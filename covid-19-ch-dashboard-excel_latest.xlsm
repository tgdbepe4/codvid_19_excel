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DieseArbeitsmappe" hidePivotFieldList="1"/>
  <mc:AlternateContent xmlns:mc="http://schemas.openxmlformats.org/markup-compatibility/2006">
    <mc:Choice Requires="x15">
      <x15ac:absPath xmlns:x15ac="http://schemas.microsoft.com/office/spreadsheetml/2010/11/ac" url="K:\myCloud\QGIS_Projekte_github\covid_19_excel\privious versions\"/>
    </mc:Choice>
  </mc:AlternateContent>
  <xr:revisionPtr revIDLastSave="0" documentId="13_ncr:1_{064C7C76-EE31-48FC-BEED-B297DCE022D6}" xr6:coauthVersionLast="45" xr6:coauthVersionMax="45" xr10:uidLastSave="{00000000-0000-0000-0000-000000000000}"/>
  <bookViews>
    <workbookView xWindow="1900" yWindow="750" windowWidth="32720" windowHeight="19080" xr2:uid="{B7984E8D-725D-425C-9EA3-75DA3EFF58B2}"/>
  </bookViews>
  <sheets>
    <sheet name="Graphs" sheetId="4" r:id="rId1"/>
    <sheet name="ch_latest" sheetId="20" r:id="rId2"/>
    <sheet name="analyse" sheetId="24" r:id="rId3"/>
    <sheet name="kt_latest" sheetId="18" r:id="rId4"/>
    <sheet name="Tabelle1" sheetId="30" r:id="rId5"/>
    <sheet name="kt_serie" sheetId="10" r:id="rId6"/>
    <sheet name="Map death" sheetId="15" r:id="rId7"/>
    <sheet name="pivot_kt_latest" sheetId="28" r:id="rId8"/>
    <sheet name="pivot_kt_serie" sheetId="16" r:id="rId9"/>
    <sheet name="Readme" sheetId="29" r:id="rId10"/>
  </sheets>
  <definedNames>
    <definedName name="_xlchart.v5.0" hidden="1">'Map death'!$A$1:$C$1</definedName>
    <definedName name="_xlchart.v5.1" hidden="1">'Map death'!$A$2:$C$27</definedName>
    <definedName name="_xlchart.v5.2" hidden="1">'Map death'!$D$1</definedName>
    <definedName name="_xlchart.v5.3" hidden="1">'Map death'!$D$2:$D$27</definedName>
    <definedName name="_xlchart.v5.4" hidden="1">'Map death'!$A$1:$C$1</definedName>
    <definedName name="_xlchart.v5.5" hidden="1">'Map death'!$A$2:$C$27</definedName>
    <definedName name="_xlchart.v5.6" hidden="1">'Map death'!$D$1</definedName>
    <definedName name="_xlchart.v5.7" hidden="1">'Map death'!$D$2:$D$27</definedName>
    <definedName name="_xlnm.Print_Area" localSheetId="0">Graphs!$A$2:$F$65</definedName>
    <definedName name="ExterneDaten_1" localSheetId="1" hidden="1">ch_latest!$A$1:$R$60</definedName>
    <definedName name="ExterneDaten_2" localSheetId="3" hidden="1">kt_latest!$A$1:$AE$28</definedName>
    <definedName name="ExterneDaten_2" localSheetId="5" hidden="1">kt_serie!$A$1:$Z$1180</definedName>
    <definedName name="ExterneDaten_5" localSheetId="1" hidden="1">ch_latest!#REF!</definedName>
  </definedNames>
  <calcPr calcId="191029"/>
  <pivotCaches>
    <pivotCache cacheId="0" r:id="rId11"/>
    <pivotCache cacheId="1"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15" l="1"/>
  <c r="C3" i="15"/>
  <c r="C4" i="15"/>
  <c r="C5" i="15"/>
  <c r="C6" i="15"/>
  <c r="C7" i="15"/>
  <c r="C8" i="15"/>
  <c r="C9" i="15"/>
  <c r="C10" i="15"/>
  <c r="C11" i="15"/>
  <c r="C12" i="15"/>
  <c r="C13" i="15"/>
  <c r="C14" i="15"/>
  <c r="C15" i="15"/>
  <c r="C16" i="15"/>
  <c r="C17" i="15"/>
  <c r="C18" i="15"/>
  <c r="C19" i="15"/>
  <c r="C20" i="15"/>
  <c r="C21" i="15"/>
  <c r="C22" i="15"/>
  <c r="C23" i="15"/>
  <c r="C24" i="15"/>
  <c r="C25" i="15"/>
  <c r="C26" i="15"/>
  <c r="C27" i="15"/>
  <c r="D2" i="15"/>
  <c r="D3" i="15"/>
  <c r="D4" i="15"/>
  <c r="D5" i="15"/>
  <c r="D6" i="15"/>
  <c r="D7" i="15"/>
  <c r="D8" i="15"/>
  <c r="D9" i="15"/>
  <c r="D10" i="15"/>
  <c r="D11" i="15"/>
  <c r="D12" i="15"/>
  <c r="D13" i="15"/>
  <c r="D14" i="15"/>
  <c r="D15" i="15"/>
  <c r="D16" i="15"/>
  <c r="D17" i="15"/>
  <c r="D18" i="15"/>
  <c r="D19" i="15"/>
  <c r="D20" i="15"/>
  <c r="D21" i="15"/>
  <c r="D22" i="15"/>
  <c r="D23" i="15"/>
  <c r="D24" i="15"/>
  <c r="D25" i="15"/>
  <c r="D26" i="15"/>
  <c r="D27" i="15"/>
  <c r="B3" i="4" l="1"/>
  <c r="C12" i="24" l="1"/>
  <c r="F4" i="4" s="1"/>
  <c r="B12" i="24"/>
  <c r="F3" i="4" s="1"/>
  <c r="B8" i="24"/>
  <c r="C5" i="24" l="1"/>
  <c r="E3" i="4" s="1"/>
  <c r="B5" i="24"/>
  <c r="D3" i="4"/>
  <c r="C4" i="4"/>
  <c r="C3" i="4"/>
  <c r="B4" i="4"/>
  <c r="B9" i="24" l="1"/>
  <c r="B2" i="24"/>
  <c r="A3" i="4" s="1"/>
  <c r="B10" i="24" l="1"/>
  <c r="A4"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C1B1DED-09BE-4F6C-BB33-7A89E4C71D33}" keepAlive="1" interval="20" name="Abfrage - dd-covid19-openzh-cantons-latest (3)" description="Verbindung mit der Abfrage 'dd-covid19-openzh-cantons-latest (3)' in der Arbeitsmappe." type="5" refreshedVersion="6" background="1" refreshOnLoad="1" saveData="1">
    <dbPr connection="Provider=Microsoft.Mashup.OleDb.1;Data Source=$Workbook$;Location=dd-covid19-openzh-cantons-latest (3);Extended Properties=&quot;&quot;" command="SELECT * FROM [dd-covid19-openzh-cantons-latest (3)]"/>
  </connection>
  <connection id="2" xr16:uid="{CB1FB7F2-E592-430F-A89A-D238E126F74D}" keepAlive="1" interval="20" name="Abfrage - dd-covid19-openzh-cantons-series (3)" description="Verbindung mit der Abfrage 'dd-covid19-openzh-cantons-series (3)' in der Arbeitsmappe." type="5" refreshedVersion="6" background="1" refreshOnLoad="1" saveData="1">
    <dbPr connection="Provider=Microsoft.Mashup.OleDb.1;Data Source=$Workbook$;Location=dd-covid19-openzh-cantons-series (3);Extended Properties=&quot;&quot;" command="SELECT * FROM [dd-covid19-openzh-cantons-series (3)]"/>
  </connection>
  <connection id="3" xr16:uid="{B3A74981-1224-44A6-969D-E78AE7515E1D}" keepAlive="1" interval="20" name="Abfrage - dd-covid19-openzh-switzerland-latest" description="Verbindung mit der Abfrage 'dd-covid19-openzh-switzerland-latest' in der Arbeitsmappe." type="5" refreshedVersion="6" background="1" refreshOnLoad="1" saveData="1">
    <dbPr connection="Provider=Microsoft.Mashup.OleDb.1;Data Source=$Workbook$;Location=dd-covid19-openzh-switzerland-latest;Extended Properties=&quot;&quot;" command="SELECT * FROM [dd-covid19-openzh-switzerland-latest]"/>
  </connection>
</connections>
</file>

<file path=xl/sharedStrings.xml><?xml version="1.0" encoding="utf-8"?>
<sst xmlns="http://schemas.openxmlformats.org/spreadsheetml/2006/main" count="7692" uniqueCount="503">
  <si>
    <t>date</t>
  </si>
  <si>
    <t>last_update</t>
  </si>
  <si>
    <t>country</t>
  </si>
  <si>
    <t>tests_performed</t>
  </si>
  <si>
    <t>total_currently_positive</t>
  </si>
  <si>
    <t>total_positive</t>
  </si>
  <si>
    <t>new_positive</t>
  </si>
  <si>
    <t>old_positive</t>
  </si>
  <si>
    <t>home_confinment</t>
  </si>
  <si>
    <t>total_hospitalized</t>
  </si>
  <si>
    <t>hospitalized_with_symptoms</t>
  </si>
  <si>
    <t>intensive_care</t>
  </si>
  <si>
    <t>released</t>
  </si>
  <si>
    <t>deaths</t>
  </si>
  <si>
    <t>doubling_time_total_positive</t>
  </si>
  <si>
    <t>doubling_time_fatalities</t>
  </si>
  <si>
    <t>CH</t>
  </si>
  <si>
    <t>timestamp</t>
  </si>
  <si>
    <t>abbreviation_canton</t>
  </si>
  <si>
    <t>name_canton</t>
  </si>
  <si>
    <t>number_canton</t>
  </si>
  <si>
    <t>lat</t>
  </si>
  <si>
    <t>long</t>
  </si>
  <si>
    <t>total_currently_positive_cases</t>
  </si>
  <si>
    <t>total_positive_cases</t>
  </si>
  <si>
    <t>new_positive_cases</t>
  </si>
  <si>
    <t>total_currently_positive_per_100k</t>
  </si>
  <si>
    <t>deaths_per_100k</t>
  </si>
  <si>
    <t>ncumul_ICU_intub</t>
  </si>
  <si>
    <t>ncumul_vent</t>
  </si>
  <si>
    <t>ncumul_confirmed_non_resident</t>
  </si>
  <si>
    <t>ninst_ICU_intub</t>
  </si>
  <si>
    <t>ncumul_ICF</t>
  </si>
  <si>
    <t>ncumul_deceased_suspect</t>
  </si>
  <si>
    <t>source</t>
  </si>
  <si>
    <t>AG</t>
  </si>
  <si>
    <t>Aargau</t>
  </si>
  <si>
    <t/>
  </si>
  <si>
    <t>https://www.ag.ch/media/kanton_aargau/themen_1/coronavirus_1/lagebulletins/200409_KFS_Coronavirus_Lagebulletin_30.pdf</t>
  </si>
  <si>
    <t>AI</t>
  </si>
  <si>
    <t>Appenzell Innerrhoden</t>
  </si>
  <si>
    <t>https://www.ai.ch/themen/gesundheit-alter-und-soziales/gesundheitsfoerderung-und-praevention/uebertragbare-krankheiten/coronavirus</t>
  </si>
  <si>
    <t>AR</t>
  </si>
  <si>
    <t>Appenzell Ausserrhoden</t>
  </si>
  <si>
    <t>https://www.ar.ch/verwaltung/departement-gesundheit-und-soziales/amt-fuer-gesundheit/informationsseite-coronavirus/</t>
  </si>
  <si>
    <t>BE</t>
  </si>
  <si>
    <t>Bern/Berne</t>
  </si>
  <si>
    <t>https://www.besondere-lage.sites.be.ch/besondere-lage_sites/de/index/corona/index.html</t>
  </si>
  <si>
    <t>BL</t>
  </si>
  <si>
    <t>Basel-Landschaft</t>
  </si>
  <si>
    <t>https://www.baselland.ch/politik-und-behorden/direktionen/volkswirtschafts-und-gesundheitsdirektion/amt-fur-gesundheit/medizinische-dienste/kantonsarztlicher-dienst/aktuelles/covid-19-faelle-kanton-basel-landschaft</t>
  </si>
  <si>
    <t>BS</t>
  </si>
  <si>
    <t>Basel-Stadt</t>
  </si>
  <si>
    <t>https://www.gd.bs.ch//nm/2020-tagesbulletin-coronavirus-846-bestaetigte-faelle-im-kanton-basel-stadt-gd.html</t>
  </si>
  <si>
    <t>FL</t>
  </si>
  <si>
    <t>Fürstentum Lichtenstein</t>
  </si>
  <si>
    <t>https://www.regierung.li/de/mitteilungen/223366/?typ=news</t>
  </si>
  <si>
    <t>FR</t>
  </si>
  <si>
    <t>Fribourg</t>
  </si>
  <si>
    <t>https://www.fr.ch/covid19/sante/covid-19/coronavirus-statistiques-evolution-de-la-situation-dans-le-canton</t>
  </si>
  <si>
    <t>GE</t>
  </si>
  <si>
    <t>Genève</t>
  </si>
  <si>
    <t>https://www.ge.ch/document/covid-19-situation-epidemiologique-geneve/telecharger</t>
  </si>
  <si>
    <t>GL</t>
  </si>
  <si>
    <t>Glarus</t>
  </si>
  <si>
    <t>https://www.gl.ch/verwaltung/finanzen-und-gesundheit/gesundheit/coronavirus.html/4817#Fallzahlen</t>
  </si>
  <si>
    <t>GR</t>
  </si>
  <si>
    <t>Graubünden/Grigioni</t>
  </si>
  <si>
    <t>https://www.gr.ch/DE/institutionen/verwaltung/djsg/ga/coronavirus/info/Seiten/Start.aspx</t>
  </si>
  <si>
    <t>JU</t>
  </si>
  <si>
    <t>Jura</t>
  </si>
  <si>
    <t>LU</t>
  </si>
  <si>
    <t>Luzern</t>
  </si>
  <si>
    <t>https://gesundheit.lu.ch/themen/Humanmedizin/Infektionskrankheiten/Coronavirus</t>
  </si>
  <si>
    <t>NE</t>
  </si>
  <si>
    <t>Neuchâtel</t>
  </si>
  <si>
    <t>https://www.ne.ch/autorites/DFS/SCSP/medecin-cantonal/maladies-vaccinations/Documents/Covid-19-Statistiques/COVID19_PublicationInternet.pdf</t>
  </si>
  <si>
    <t>NW</t>
  </si>
  <si>
    <t>Nidwalden</t>
  </si>
  <si>
    <t>https://www.nw.ch/gesundheitsamtdienste/6044</t>
  </si>
  <si>
    <t>OW</t>
  </si>
  <si>
    <t>Obwalden</t>
  </si>
  <si>
    <t>https://www.ow.ch/de/verwaltung/dienstleistungen/?dienst_id=5962</t>
  </si>
  <si>
    <t>SG</t>
  </si>
  <si>
    <t>St. Gallen</t>
  </si>
  <si>
    <t>https://www.sg.ch/tools/informationen-coronavirus.html</t>
  </si>
  <si>
    <t>SH</t>
  </si>
  <si>
    <t>Schaffhausen</t>
  </si>
  <si>
    <t>https://sh.ch/CMS/Webseite/Kanton-Schaffhausen/Beh-rde/Verwaltung/Departement-des-Innern/Gesundheitsamt-3209198-DE.html</t>
  </si>
  <si>
    <t>SO</t>
  </si>
  <si>
    <t>Solothurn</t>
  </si>
  <si>
    <t>https://corona.so.ch/</t>
  </si>
  <si>
    <t>SZ</t>
  </si>
  <si>
    <t>Schwyz</t>
  </si>
  <si>
    <t>https://www.sz.ch/public/upload/assets/46039/COVID-19_Fallzahlen_Kanton_Schwyz.xlsx</t>
  </si>
  <si>
    <t>TG</t>
  </si>
  <si>
    <t>Thurgau</t>
  </si>
  <si>
    <t>https://www.tg.ch/news/fachdossier-coronavirus.html/10552</t>
  </si>
  <si>
    <t>TI</t>
  </si>
  <si>
    <t>Ticino</t>
  </si>
  <si>
    <t>https://www4.ti.ch/area-media/comunicati/dettaglio-comunicato/?NEWS_ID=187601&amp;tx_tichareamedia_comunicazioni%5Baction%5D=show&amp;tx_tichareamedia_comunicazioni%5Bcontroller%5D=Comunicazioni&amp;cHash=a02f7a88b61d913138f4f86dbeeaa599</t>
  </si>
  <si>
    <t>UR</t>
  </si>
  <si>
    <t>Uri</t>
  </si>
  <si>
    <t>https://www.ur.ch/themen/2962</t>
  </si>
  <si>
    <t>VD</t>
  </si>
  <si>
    <t>Vaud</t>
  </si>
  <si>
    <t>https://www.vd.ch/toutes-les-actualites/hotline-et-informations-sur-le-coronavirus/point-de-situation-statistique-dans-le-canton-de-vaud/</t>
  </si>
  <si>
    <t>VS</t>
  </si>
  <si>
    <t>Valais/Wallis</t>
  </si>
  <si>
    <t>ZG</t>
  </si>
  <si>
    <t>Zug</t>
  </si>
  <si>
    <t>ZH</t>
  </si>
  <si>
    <t>Zürich</t>
  </si>
  <si>
    <t>https://gd.zh.ch/internet/gesundheitsdirektion/de/themen/coronavirus.html</t>
  </si>
  <si>
    <t>time</t>
  </si>
  <si>
    <t>https://www.srf.ch/news/schweiz/tessiner-patient-erster-coronavirus-fall-in-der-schweiz</t>
  </si>
  <si>
    <t>https://www.coronavirus.bs.ch/nm/2020-coronavirus-erster-positiver-fall-in-basel-stadt-zweiter-positiv-getesteter-ausserkantonaler-fall-gd.html</t>
  </si>
  <si>
    <t>https://www.regierung.li/media/attachments/83-verdachtsfaelle-negativ-getestet.pdf?t=637202562374055719</t>
  </si>
  <si>
    <t>https://www.ag.ch/media/kanton_aargau/themen_1/coronavirus_1/20200228_KFS_20200106_Coronavirus_Lagebulletin_AG_Unterschrieben.pdf</t>
  </si>
  <si>
    <t>https://www.be.ch/portal/de/index/mediencenter/medienmitteilungen/suche.archiv.meldungNeu.html/portal/de/meldungen/mm/2020/02/20200229_0936_corona.html</t>
  </si>
  <si>
    <t>https://www.baselland.ch/politik-und-behorden/direktionen/volkswirtschafts-und-gesundheitsdirektion/medienmitteilungen/neuer-coronavirus-covid-19-erster-bestaetigter-fall-aus-dem-kanton-basel-landschaft</t>
  </si>
  <si>
    <t>https://twitter.com/BR_Sprecher/status/1233316679863631873?s=20</t>
  </si>
  <si>
    <t>https://www.vd.ch/toutes-les-actualites/hotline-et-informations-sur-le-coronavirus/</t>
  </si>
  <si>
    <t>https://www.baselland.ch/politik-und-behorden/direktionen/volkswirtschafts-und-gesundheitsdirektion/medienmitteilungen/weiterer-bestaetigter-fall-aus-dem-kanton-basel-landschaft</t>
  </si>
  <si>
    <t>https://twitter.com/BAG_OFSP_UFSP/status/1233759578241863681?s=20</t>
  </si>
  <si>
    <t>https://www.be.ch/portal/de/index/mediencenter/medienmitteilungen/suche.meldungNeu.html/portal/de/meldungen/mm/2020/03/20200302_1522_zweiter_bestaetigtercorona-fallinbiel</t>
  </si>
  <si>
    <t>https://www.coronavirus.bs.ch/nm/2020-coronavirus-anzahl-der-getesteten-faelle-und-zwischenstand-kita-riehen-gd.html</t>
  </si>
  <si>
    <t>https://www.fr.ch/sites/default/files/2020-03/200301_commd_dsas_covid_cas_fr.pdf</t>
  </si>
  <si>
    <t>https://www.suedostschweiz.ch/ereignisse/2020-03-02/kantone-gehen-unterschiedlich-mit-dem-corona-virus-um</t>
  </si>
  <si>
    <t>https://www.ag.ch/media/kanton_aargau/themen_1/coronavirus_1/200302_KFS_Coronavirus_Lagebulletin_2.pdf</t>
  </si>
  <si>
    <t>https://www.be.ch/portal/de/index/mediencenter/medienmitteilungen/suche.meldungNeu.html/portal/de/meldungen/mm/2020/03/20200303_1333_mann_in_spital_interlakenpositivgetestet</t>
  </si>
  <si>
    <t>https://www.coronavirus.bs.ch/nm/2020-coronavirus-zwei-neue-positive-faelle-in-basel-stadt-gd.html</t>
  </si>
  <si>
    <t>https://www.fr.ch/sites/default/files/2020-03/200302_CommD_DSAS_covid_cas%20FR.pdf</t>
  </si>
  <si>
    <t>https://www.sg.ch/news/sgch_allgemein/2020/03/zwei-personen-in-quarantaene---kein-bestaetigter-fall.html</t>
  </si>
  <si>
    <t>https://www4.ti.ch/area-media/comunicati/dettaglio-comunicato/?NEWS_ID=187352&amp;tx_tichareamedia_comunicazioni%5Baction%5D=show&amp;tx_tichareamedia_comunicazioni%5Bcontroller%5D=Comunicazioni&amp;cHash=ea65dbcabb28d4711459f3b613bbc1b7</t>
  </si>
  <si>
    <t>https://www.ag.ch/media/kanton_aargau/themen_1/coronavirus_1/lagebulletins/200303_KFS_Coronavirus_Lagebulletin_3.pdf</t>
  </si>
  <si>
    <t>https://twitter.com/BAG_OFSP_UFSP/status/1234880556095213569?s=20</t>
  </si>
  <si>
    <t>https://www.regierung.li/media/attachments/90-coronavirus.pdf?t=637202562374055719</t>
  </si>
  <si>
    <t>https://www.sz.ch/public/upload/assets/45351/MM_Coronavirus_4_3_2020.pdf</t>
  </si>
  <si>
    <t>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t>
  </si>
  <si>
    <t>https://www.ag.ch/media/kanton_aargau/themen_1/coronavirus_1/lagebulletins/200304_KFS_Coronavirus_Lagebulletin_4.pdf</t>
  </si>
  <si>
    <t>https://www.be.ch/portal/de/index/mediencenter/medienmitteilungen/suche.meldungNeu.html/portal/de/meldungen/mm/2020/03/20200304_1443_corona-4-3-2020</t>
  </si>
  <si>
    <t>https://twitter.com/BAG_OFSP_UFSP/status/1235240377134862336?s=20</t>
  </si>
  <si>
    <t>https://www.regierung.li/media/attachments/97-coronavirus.pdf?t=637202562374055719</t>
  </si>
  <si>
    <t>https://www.fr.ch/sites/default/files/2020-03/200304_CommD_DSAS_covid_cas%20FR.pdf</t>
  </si>
  <si>
    <t>https://web.archive.org/web/20200304173939/https://gesundheit.lu.ch/themen/Humanmedizin/Infektionskrankheiten/Coronavirus</t>
  </si>
  <si>
    <t>https://www.sg.ch/news/sgch_allgemein/2020/03/erster-bestaetigter-corona-fall-im-kanton-.html</t>
  </si>
  <si>
    <t>https://www4.ti.ch/area-media/comunicati/dettaglio-comunicato/?NEWS_ID=187371&amp;tx_tichareamedia_comunicazioni%5Baction%5D=show&amp;tx_tichareamedia_comunicazioni%5Bcontroller%5D=Comunicazioni&amp;cHash=174f2d754f3b657af79f343c92fc5c89</t>
  </si>
  <si>
    <t>https://www.ag.ch/media/kanton_aargau/themen_1/coronavirus_1/lagebulletins/200305_KFS_Coronavirus_Lagebulletin_5.pdf</t>
  </si>
  <si>
    <t>https://www.ar.ch/verwaltung/departement-gesundheit-und-soziales/news-aus-dem-departement/detail/news/coronavirusersterfallinappenzellausserrhoden/?tx_news_pi1[controller]=News&amp;tx_news_pi1[action]=detail&amp;cHash=fb1a9cf08108cdc7b82780b9239b009d</t>
  </si>
  <si>
    <t>https://www.baselland.ch/politik-und-behorden/direktionen/volkswirtschafts-und-gesundheitsdirektion/medienmitteilungen/neuer-coronavirus-covid-19-sechs-bestaetigte-faelle-im-kanton-basel-landschaft</t>
  </si>
  <si>
    <t>https://www.coronavirus.bs.ch/nm/2020-coronavirus-fuenf-neue-positive-faelle-in-basel-stadt-gd.html</t>
  </si>
  <si>
    <t>https://www.regierung.li/media/attachments/100-coronavirus-18-verdachtsfaelle-0305.pdf?t=637202562374055719</t>
  </si>
  <si>
    <t>https://www.fr.ch/de/covid19/gesundheit/covid-19/coronavirus-entwicklungen-der-situation</t>
  </si>
  <si>
    <t>https://www4.ti.ch/area-media/comunicati/dettaglio-comunicato/?NEWS_ID=187385&amp;tx_tichareamedia_comunicazioni%5Baction%5D=show&amp;tx_tichareamedia_comunicazioni%5Bcontroller%5D=Comunicazioni&amp;cHash=a9ddddfae2c7446e5b856451e178a61a</t>
  </si>
  <si>
    <t>https://www.ag.ch/media/kanton_aargau/themen_1/coronavirus_1/lagebulletins/200305_KFS_Coronavirus_Lagebulletin_6.pdf</t>
  </si>
  <si>
    <t>https://www.be.ch/portal/de/index/mediencenter/medienmitteilungen/suche.meldungNeu.html/portal/de/meldungen/mm/2020/03/20200306_1343_corona6-3</t>
  </si>
  <si>
    <t>https://twitter.com/BAG_OFSP_UFSP/status/1235934884167852035?s=20</t>
  </si>
  <si>
    <t>https://www.regierung.li/media/attachments/104-coronavirus-vorsicht.pdf?t=637202562374055719</t>
  </si>
  <si>
    <t>https://www.sg.ch/news/sgch_allgemein/2020/03/zweiter-bestaetigter-fall-einer-corona-patientin.html</t>
  </si>
  <si>
    <t>https://so.ch/startseite/aktuell/news/erster-laborbestaetigter-covid-19-fall-im-kanton-solothurn/?tx_news_pi1%5Bcontroller%5D=News&amp;tx_news_pi1%5Baction%5D=detail&amp;cHash=3074bbdc8f0fcdcb9f1e11a21fc05e73</t>
  </si>
  <si>
    <t>https://www.sz.ch/public/upload/assets/45417/MM_Coronavirus_6_3_2020.pdf</t>
  </si>
  <si>
    <t>https://www.baselland.ch/politik-und-behorden/direktionen/volkswirtschafts-und-gesundheitsdirektion/medienmitteilungen/update-15-bestaetigte-faelle-in-basel-landschaft</t>
  </si>
  <si>
    <t>https://twitter.com/BAG_OFSP_UFSP/status/1236249864473894914?s=20</t>
  </si>
  <si>
    <t>https://www4.ti.ch/area-media/comunicati/dettaglio-comunicato/?NEWS_ID=187406&amp;tx_tichareamedia_comunicazioni%5Baction%5D=show&amp;tx_tichareamedia_comunicazioni%5Bcontroller%5D=Comunicazioni&amp;cHash=e553d0b42db2ead87a7d05e499fac4db</t>
  </si>
  <si>
    <t>https://www.baselland.ch/politik-und-behorden/direktionen/volkswirtschafts-und-gesundheitsdirektion/medienmitteilungen/patient-im-kantonsspital-baselland-stirbt-an-den-folgen-einer-coronavirus-infektion</t>
  </si>
  <si>
    <t>https://twitter.com/BAG_OFSP_UFSP/status/1236609191831384064?s=20</t>
  </si>
  <si>
    <t>https://www4.ti.ch/area-media/comunicati/dettaglio-comunicato/?NEWS_ID=187407&amp;tx_tichareamedia_comunicazioni%5Baction%5D=show&amp;tx_tichareamedia_comunicazioni%5Bcontroller%5D=Comunicazioni&amp;cHash=8d1ff4bf2a674892913340827de952ea</t>
  </si>
  <si>
    <t>https://www.ag.ch/media/kanton_aargau/themen_1/coronavirus_1/lagebulletins/200309_KFS_Coronavirus_Lagebulletin_7.pdf</t>
  </si>
  <si>
    <t>https://www.ar.ch/schnellzugriff/medienmitteilungen-der-kantonalen-verwaltung/detail/news/zweiter-coronafall-in-appenzell-ausserrhoden/?tx_news_pi1[controller]=News&amp;tx_news_pi1[action]=detail&amp;cHash=de7ec38198b5e60b6dce8fccc7735501</t>
  </si>
  <si>
    <t>https://www.be.ch/portal/de/index/mediencenter/medienmitteilungen/suche.meldungNeu.html/portal/de/meldungen/mm/2020/03/20200309_1545_corona-9-3</t>
  </si>
  <si>
    <t>https://www.baselland.ch/politik-und-behorden/direktionen/volkswirtschafts-und-gesundheitsdirektion/medienmitteilungen/update-xx-bestaetigte-faelle-in-basel-landschaft</t>
  </si>
  <si>
    <t>https://twitter.com/BAG_OFSP_UFSP/status/1236973685602426881?s=20</t>
  </si>
  <si>
    <t>https://www.regierung.li/media/attachments/106-coronavirus-anpassung-massnahmen.pdf?t=637202562374055719</t>
  </si>
  <si>
    <t>https://www4.ti.ch/area-media/comunicati/dettaglio-comunicato/?NEWS_ID=187417&amp;tx_tichareamedia_comunicazioni%5Baction%5D=show&amp;tx_tichareamedia_comunicazioni%5Bcontroller%5D=Comunicazioni&amp;cHash=20e9b76118246e98781581881b459523</t>
  </si>
  <si>
    <t>https://www.ag.ch/media/kanton_aargau/themen_1/coronavirus_1/lagebulletins/200310_KFS_Coronavirus_Lagebulletin_8.pdf</t>
  </si>
  <si>
    <t>https://www.baselland.ch/politik-und-behorden/direktionen/volkswirtschafts-und-gesundheitsdirektion/medienmitteilungen/update</t>
  </si>
  <si>
    <t>https://twitter.com/BAG_OFSP_UFSP/status/1237336196772175873?s=20</t>
  </si>
  <si>
    <t>https://www.regierung.li/media/attachments/110-corona-0310.pdf?t=637202562374055719</t>
  </si>
  <si>
    <t>https://www4.ti.ch/area-media/comunicati/dettaglio-comunicato/?NEWS_ID=187422&amp;tx_tichareamedia_comunicazioni%5Baction%5D=show&amp;tx_tichareamedia_comunicazioni%5Bcontroller%5D=Comunicazioni&amp;cHash=24aa247e65de88fdd1551a61fcc407d9</t>
  </si>
  <si>
    <t>https://www.ag.ch/media/kanton_aargau/themen_1/coronavirus_1/lagebulletins/200311_KFS_Coronavirus_Lagebulletin_9.pdf</t>
  </si>
  <si>
    <t>https://www.baselland.ch/politik-und-behorden/direktionen/volkswirtschafts-und-gesundheitsdirektion/medienmitteilungen/update-26-bestaetigte-faelle-in-basel-landschaft-1</t>
  </si>
  <si>
    <t>https://www.coronavirus.bs.ch/nm/2020-coronavirus-ende-der-quarantaenemassnahmen-im-fall-kita-riehen-gd.html</t>
  </si>
  <si>
    <t>https://www.regierung.li/media/attachments/112-drei-personen-infiziert.pdf?t=637202562374055719</t>
  </si>
  <si>
    <t>https://www.nw.ch/aktuellesinformationen/63359</t>
  </si>
  <si>
    <t>https://www.ag.ch/media/kanton_aargau/themen_1/coronavirus_1/lagebulletins/200312_KFS_Coronavirus_Lagebulletin_10.pdf</t>
  </si>
  <si>
    <t>https://www.ar.ch/schnellzugriff/medienmitteilungen-der-kantonalen-verwaltung/detail/news/coronavirus-drei-neue-faelle-in-appenzell-ausserrhoden/?tx_news_pi1[controller]=News&amp;tx_news_pi1[action]=detail&amp;cHash=272411484066c8fb971dcc838aa96ef9</t>
  </si>
  <si>
    <t>https://twitter.com/BAG_OFSP_UFSP/status/1238073089902235648?s=20 https://www.coronavirus.bs.ch/nm/2020-coronavirus-erster-todesfall-im-kanton-basel-stadt-gd.html</t>
  </si>
  <si>
    <t>https://www.regierung.li/media/attachments/114-hallenbaeder-geschlossen-0312.pdf?t=637202562374055719</t>
  </si>
  <si>
    <t>https://www4.ti.ch/area-media/comunicati/dettaglio-comunicato/?NEWS_ID=187437&amp;tx_tichareamedia_comunicazioni%5Baction%5D=show&amp;tx_tichareamedia_comunicazioni%5Bcontroller%5D=Comunicazioni&amp;cHash=59cf6112c82abed490acd8901f5a0bb2</t>
  </si>
  <si>
    <t>https://www.ag.ch/media/kanton_aargau/themen_1/coronavirus_1/lagebulletins/200313_KFS_Coronavirus_Lagebulletin_11.pdf</t>
  </si>
  <si>
    <t>https://www.baselland.ch/politik-und-behorden/direktionen/volkswirtschafts-und-gesundheitsdirektion/medienmitteilungen/update-26-bestaetigte-faelle-in-basel-landschaft-2</t>
  </si>
  <si>
    <t>https://twitter.com/BAG_OFSP_UFSP/status/1238430659762364417?s=20</t>
  </si>
  <si>
    <t>https://www.ow.ch/de/aktuelles/aktuellesinformationen/amtsmitteilungen/welcome.php?action=showinfo&amp;info_id=63566&amp;ls=0&amp;sq=&amp;kategorie_id=&amp;date_from=&amp;date_to=</t>
  </si>
  <si>
    <t>https://www.sz.ch/public/upload/assets/45585/MM_Coronavirus_13_03_2020.pdf</t>
  </si>
  <si>
    <t>https://www.youtube.com/watch?v=_x_yQ6uwGAQ</t>
  </si>
  <si>
    <t>https://www.ai.ch/themen/gesundheit-alter-und-soziales/gesundheitsfoerderung-und-praevention/aktuelles/erste-bestaetigte-coronavirus-faelle-auch-in-innerrhoden</t>
  </si>
  <si>
    <t>https://www.baselland.ch/politik-und-behorden/direktionen/volkswirtschafts-und-gesundheitsdirektion/medienmitteilungen/update-47-bestaetigte-faelle-in-basel-landschaft</t>
  </si>
  <si>
    <t>https://twitter.com/BAG_OFSP_UFSP/status/1238773726423941127?s=20</t>
  </si>
  <si>
    <t>https://www.regierung.li/media/attachments/118-corona-rueckkehrer-skiferien-0314.pdf?t=637202562374055719</t>
  </si>
  <si>
    <t>https://www.bote.ch/nachrichten/schwyz/schwyz_bdu/coronavirus-einsatz-fuer-spitalbataillon-5;art146989,1229758</t>
  </si>
  <si>
    <t>https://www4.ti.ch/area-media/comunicati/dettaglio-comunicato/?NEWS_ID=187466&amp;tx_tichareamedia_comunicazioni%5Baction%5D=show&amp;tx_tichareamedia_comunicazioni%5Bcontroller%5D=Comunicazioni&amp;cHash=1b10e6e8117296766155edcf9c317a4c</t>
  </si>
  <si>
    <t>https://www.baselland.ch/politik-und-behorden/direktionen/volkswirtschafts-und-gesundheitsdirektion/medienmitteilungen/update-54-bestaetigte-faelle-in-basel-landschaft</t>
  </si>
  <si>
    <t>https://www.regierung.li/media/attachments/119-corona-massnahmen-verschaerft-0315.pdf?t=637202562374055719</t>
  </si>
  <si>
    <t>https://www.sz.ch/public/upload/assets/45590/MM_Coronavirus_15_3_2020.pdf</t>
  </si>
  <si>
    <t>https://www4.ti.ch/area-media/comunicati/dettaglio-comunicato/?NEWS_ID=187467&amp;tx_tichareamedia_comunicazioni%5Baction%5D=show&amp;tx_tichareamedia_comunicazioni%5Bcontroller%5D=Comunicazioni&amp;cHash=af5473066754ef4d1272e156056acc07</t>
  </si>
  <si>
    <t>https://www.ag.ch/media/kanton_aargau/themen_1/coronavirus_1/lagebulletins/200316_KFS_Coronavirus_Lagebulletin_12.pdf</t>
  </si>
  <si>
    <t>Kantonaler Führungsstab Appenzell Innerrhoden</t>
  </si>
  <si>
    <t>https://www.baselland.ch/politik-und-behorden/direktionen/volkswirtschafts-und-gesundheitsdirektion/medienmitteilungen/update-67-bestaetigte-faelle-in-basel-landschaft</t>
  </si>
  <si>
    <t>https://www.coronavirus.bs.ch/nm/2020-tagesbulletin-coronavirus-144-bestaetigte-faelle-im-kanton-basel-stadt-gd.html</t>
  </si>
  <si>
    <t>https://www4.ti.ch/area-media/comunicati/dettaglio-comunicato/?NEWS_ID=187475&amp;tx_tichareamedia_comunicazioni%5Baction%5D=show&amp;tx_tichareamedia_comunicazioni%5Bcontroller%5D=Comunicazioni&amp;cHash=dee4a529abd4e9300e116c7ff4db5774</t>
  </si>
  <si>
    <t>https://www.ag.ch/media/kanton_aargau/themen_1/coronavirus_1/lagebulletins/200317_KFS_Coronavirus_Lagebulletin_13.pdf</t>
  </si>
  <si>
    <t>https://www.baselland.ch/politik-und-behorden/direktionen/volkswirtschafts-und-gesundheitsdirektion/medienmitteilungen/update-89-bestaetigte-faelle-in-basel-landschaft</t>
  </si>
  <si>
    <t>https://www.coronavirus.bs.ch/nm/2020-tagesbulletin-coronavirus-165-bestaetigte-faelle-im-kanton-basel-stadt-gd.html</t>
  </si>
  <si>
    <t>https://www.regierung.li/media/attachments/126-corona-generelles-veranstaltungsverbot-weitere-schliessungen.pdf?t=637202562374055719</t>
  </si>
  <si>
    <t>https://www.suedostschweiz.ch/ereignisse/2020-03-20/die-zahl-der-corona-faelle-im-glarnerland-steigt-stark-an</t>
  </si>
  <si>
    <t>https://www4.ti.ch/area-media/comunicati/dettaglio-comunicato/?NEWS_ID=187486&amp;tx_tichareamedia_comunicazioni%5Baction%5D=show&amp;tx_tichareamedia_comunicazioni%5Bcontroller%5D=Comunicazioni&amp;cHash=d106aab74491da09b294ff13ffadd02f</t>
  </si>
  <si>
    <t>https://www.ag.ch/media/kanton_aargau/themen_1/coronavirus_1/lagebulletins/200318_KFS_Coronavirus_Lagebulletin_14.pdf</t>
  </si>
  <si>
    <t>https://www.ar.ch/schnellzugriff/medienmitteilungen-der-kantonalen-verwaltung/detail/news/coronavirus-bevoelkerung-und-alle-spitaeler-machen-bei-der-gesundheitsversorgung-mit/?tx_news_pi1%5Bcontroller%5D=News&amp;tx_news_pi1%5Baction%5D=detail&amp;cHash=3d2a0733446b5fc7cdad0f48f61c28fd</t>
  </si>
  <si>
    <t>https://www.baselland.ch/politik-und-behorden/direktionen/volkswirtschafts-und-gesundheitsdirektion/medienmitteilungen/update-116-bestaetigte-faelle-in-basel-landschaft</t>
  </si>
  <si>
    <t>https://www.coronavirus.bs.ch/nm/2020-tagesbulletin-coronavirus-182-bestaetigte-faelle-im-kanton-basel-stadt-treffen-mit-allen-spitaelern-gd.html</t>
  </si>
  <si>
    <t>https://www.regierung.li/media/attachments/131-corona-hotline-0318.pdf?t=637202562374055719</t>
  </si>
  <si>
    <t>https://www.fr.ch/de/sr/gesundheit/covid-19/covid-19-im-kanton-freiburg-ist-ein-erster-todesfall-zu-beklagen</t>
  </si>
  <si>
    <t>https://web.archive.org/web/20200318191404/https://gesundheit.lu.ch/themen/Humanmedizin/Infektionskrankheiten/Coronavirus</t>
  </si>
  <si>
    <t>https://www.oltnertagblatt.ch/solothurn/kanton-solothurn/zivilschuetzer-kontrollieren-wer-in-die-solothurner-spitaeler-rein-will-137174885</t>
  </si>
  <si>
    <t>https://www4.ti.ch/area-media/comunicati/dettaglio-comunicato/?NEWS_ID=187493&amp;tx_tichareamedia_comunicazioni%5Baction%5D=show&amp;tx_tichareamedia_comunicazioni%5Bcontroller%5D=Comunicazioni&amp;cHash=7803bbc03dd49ef2e421dfd6b12dd239</t>
  </si>
  <si>
    <t>https://www.ur.ch/mmdirektionen/63802</t>
  </si>
  <si>
    <t>https://www.ag.ch/media/kanton_aargau/themen_1/coronavirus_1/lagebulletins/200319_KFS_Coronavirus_Lagebulletin_15.pdf</t>
  </si>
  <si>
    <t>https://www.baselland.ch/politik-und-behorden/direktionen/volkswirtschafts-und-gesundheitsdirektion/medienmitteilungen/update-131-bestaetigte-faelle-in-basel-landschaft</t>
  </si>
  <si>
    <t>https://www.coronavirus.bs.ch/nm/2020-tagesbulletin-coronavirus-222-bestaetigte-faelle-basel-stadt-trifft-gemeinsam-mit-den-spitaelern-vorkehrungen-fuer-intensiv--und-beatmungskapazitaeten-gd.html</t>
  </si>
  <si>
    <t>https://www4.ti.ch/area-media/comunicati/dettaglio-comunicato/?NEWS_ID=187499&amp;tx_tichareamedia_comunicazioni%5Baction%5D=show&amp;tx_tichareamedia_comunicazioni%5Bcontroller%5D=Comunicazioni&amp;cHash=634a783514bdcbb426c005f1ea916268 https://www.youtube.com/watch?v=34RQ7OOWYoI</t>
  </si>
  <si>
    <t>https://www.ur.ch/mmdirektionen/63841</t>
  </si>
  <si>
    <t>https://www.ag.ch/media/kanton_aargau/themen_1/coronavirus_1/lagebulletins/200320_KFS_Coronavirus_Lagebulletin_16.pdf</t>
  </si>
  <si>
    <t>https://www.baselland.ch/politik-und-behorden/direktionen/volkswirtschafts-und-gesundheitsdirektion/medienmitteilungen/update-170-bestaetigte-faelle-in-basel-landschaft</t>
  </si>
  <si>
    <t>https://www.coronavirus.bs.ch/nm/2020-tagesbulletin-coronavirus-272-bestaetigte-faelle-im-kanton-basel-stadt-gd.html</t>
  </si>
  <si>
    <t>https://www.regierung.li/media/attachments/136-soziale-kontakte-reduktion-corona.pdf?t=637203388043363286</t>
  </si>
  <si>
    <t>https://twitter.com/KantonSolothurn/status/1241041303024041989?p=p</t>
  </si>
  <si>
    <t>https://www4.ti.ch/dss/dsp/covid19/home/ https://www.youtube.com/watch?v=34RQ7OOWYoI</t>
  </si>
  <si>
    <t>https://www.ur.ch/themen/2920</t>
  </si>
  <si>
    <t>https://www.ar.ch/schnellzugriff/medienmitteilungen-der-kantonalen-verwaltung/detail/news/coronavirus-erster-todesfall-in-appenzell-ausserrhoden/?tx_news_pi1%5Bcontroller%5D=News&amp;tx_news_pi1%5Baction%5D=detail&amp;cHash=a88f209df29c38474f9c5f9e1c5dd53f</t>
  </si>
  <si>
    <t>https://www.baselland.ch/politik-und-behorden/direktionen/volkswirtschafts-und-gesundheitsdirektion/medienmitteilungen/update-282-bestaetigte-faelle-in-basel-landschaft</t>
  </si>
  <si>
    <t>https://www.coronavirus.bs.ch/nm/2020-tagesbulletin-coronavirus-299-bestaetigte-faelle-im-kanton-basel-stadt-gd.html</t>
  </si>
  <si>
    <t>https://www.regierung.li/media/attachments/138-corona-starke-zunahme-0321.pdf?t=637204593432337675</t>
  </si>
  <si>
    <t>https://gesundheit.lu.ch/themen/Humanmedizin/Infektionskrankheiten/Coronavirus;https://newsletter.lu.ch/inxmail/html_mail.jsp?params=7UGt4J1Fx6OIONHlV9upAAuOzkQ6ZmQA%2FxRrLjJkeDWZdweUdKfwhAE94i2Apium%2F6rIvcF2Z5MaTtV52A77W2jrwVmrkZ8UhFPVmHC4iuI%3D</t>
  </si>
  <si>
    <t>https://www4.ti.ch/dss/dsp/covid19/home/ https://www.youtube.com/watch?v=7g2sALU9bQM</t>
  </si>
  <si>
    <t>37.0</t>
  </si>
  <si>
    <t>https://www.ag.ch/de/aktuelles/medienportal/medienmitteilung/medienmitteilungen/mediendetails_139237.jsp</t>
  </si>
  <si>
    <t>https://www.baselland.ch/politik-und-behorden/direktionen/volkswirtschafts-und-gesundheitsdirektion/medienmitteilungen/update-289-bestaetigte-faelle-in-basel-landschaft</t>
  </si>
  <si>
    <t>https://www.coronavirus.bs.ch/nm/2020-tagesbulletin-coronavirus-358-bestaetigte-faelle-im-kanton-basel-stadt-gd.html</t>
  </si>
  <si>
    <t>https://www.regierung.li/media/attachments/139-46-faelle-0322.pdf?t=637204971345932209</t>
  </si>
  <si>
    <t>4.0</t>
  </si>
  <si>
    <t>https://web.archive.org/web/20200322153528/https://www4.ti.ch/dss/dsp/covid19/home/</t>
  </si>
  <si>
    <t>43.0</t>
  </si>
  <si>
    <t>https://www.ag.ch/media/kanton_aargau/themen_1/coronavirus_1/lagebulletins/200323_KFS_Coronavirus_Lagebulletin_17.pdf</t>
  </si>
  <si>
    <t>https://www.baselland.ch/politik-und-behorden/direktionen/volkswirtschafts-und-gesundheitsdirektion/medienmitteilungen/update-289-bestaetigte-faelle-in-basel-landschaft-1</t>
  </si>
  <si>
    <t>https://www.coronavirus.bs.ch/nm/2020-tagesbulletin-coronavirus-376-bestaetigte-faelle-im-kanton-basel-stadt-gd.html</t>
  </si>
  <si>
    <t>https://www.regierung.li/media/attachments/140-corona-regierung-0323.pdf?t=637205847493377066</t>
  </si>
  <si>
    <t>https://www4.ti.ch/area-media/comunicati/dettaglio-comunicato/?NEWS_ID=187510&amp;tx_tichareamedia_comunicazioni%5Baction%5D=show&amp;tx_tichareamedia_comunicazioni%5Bcontroller%5D=Comunicazioni&amp;cHash=0120f665ab49651b9d66c876ef272a91</t>
  </si>
  <si>
    <t>https://www.ag.ch/media/kanton_aargau/themen_1/coronavirus_1/lagebulletins/200324_KFS_Coronavirus_Lagebulletin_18.pdf</t>
  </si>
  <si>
    <t>https://www.coronavirus.bs.ch/nm/2020-tagesbulletin-coronavirus-414-bestaetigte-faelle-im-kanton-basel-stadt-gd.html</t>
  </si>
  <si>
    <t>https://www.regierung.li/media/attachments/143-coronavirus-praesenz-fernunterricht.pdf?t=637207680400073990</t>
  </si>
  <si>
    <t>https://www.tg.ch/news/fachdossier-coronavirus.html/10552 &amp; https://www.tg.ch/news/news-detailseite.html/485/news/44925</t>
  </si>
  <si>
    <t>https://www4.ti.ch/area-media/comunicati/dettaglio-comunicato/?NEWS_ID=187520&amp;tx_tichareamedia_comunicazioni%5Baction%5D=show&amp;tx_tichareamedia_comunicazioni%5Bcontroller%5D=Comunicazioni&amp;cHash=4d581f57e92de04937175bab9e5b0f14</t>
  </si>
  <si>
    <t>48.0</t>
  </si>
  <si>
    <t>https://www.ag.ch/media/kanton_aargau/themen_1/coronavirus_1/lagebulletins/200325_KFS_Coronavirus_Lagebulletin_19.pdf</t>
  </si>
  <si>
    <t>https://www.coronavirus.bs.ch/nm/2020-tagesbulletin-coronavirus-466-bestaetigte-faelle-im-kanton-basel-stadt-gd.html</t>
  </si>
  <si>
    <t>https://www.regierung.li/media/attachments/145-drive-trouhg-anlage-corona.pdf?t=637207634421649200</t>
  </si>
  <si>
    <t>https://www.sz.ch/behoerden/information-medien/medienmitteilungen/coronavirus.html/72-416-412-1379-6948</t>
  </si>
  <si>
    <t>https://www4.ti.ch/area-media/comunicati/dettaglio-comunicato/?NEWS_ID=187523&amp;tx_tichareamedia_comunicazioni%5Baction%5D=show&amp;tx_tichareamedia_comunicazioni%5Bcontroller%5D=Comunicazioni&amp;cHash=982795a2c13394282accc3a8506c9ba0</t>
  </si>
  <si>
    <t>55.0</t>
  </si>
  <si>
    <t>https://www.ag.ch/media/kanton_aargau/themen_1/coronavirus_1/lagebulletins/200326_KFS_Coronavirus_Lagebulletin_20.pdf</t>
  </si>
  <si>
    <t>https://www.coronavirus.bs.ch/nm/2020-tagesbulletin-coronavirus-505-bestaetigte-faelle-im-kanton-basel-stadt-gd.html</t>
  </si>
  <si>
    <t>20.0</t>
  </si>
  <si>
    <t>https://www.regierung.li/media/attachments/151-900-personen-getestet.pdf?t=637208497707275503</t>
  </si>
  <si>
    <t>https://www4.ti.ch/area-media/comunicati/dettaglio-comunicato/?NEWS_ID=187529&amp;tx_tichareamedia_comunicazioni%5Baction%5D=show&amp;tx_tichareamedia_comunicazioni%5Bcontroller%5D=Comunicazioni&amp;cHash=8ce8f2f412a3bb9022fb4a28c9ad7fa4</t>
  </si>
  <si>
    <t>56.0</t>
  </si>
  <si>
    <t>https://www.ag.ch/media/kanton_aargau/themen_1/coronavirus_1/lagebulletins/200327_KFS_Coronavirus_Lagebulletin_21.pdf</t>
  </si>
  <si>
    <t>https://www.coronavirus.bs.ch/nm/2020-tagesbulletin-coronavirus-534-bestaetigte-faelle-im-kanton-basel-stadt-gd.html</t>
  </si>
  <si>
    <t>19.0</t>
  </si>
  <si>
    <t>https://www.regierung.li/media/attachments/152-regierung-bedankt-sich.pdf?t=637209361840426241</t>
  </si>
  <si>
    <t>https://www.jura.ch/fr/Autorites/Coronavirus/Chiffres-H-JU/Evolution-des-cas-COVID-19-dans-le-Jura.html</t>
  </si>
  <si>
    <t>https://www.tg.ch/news/fachdossier-coronavirus.html/10552 &amp; email der Staatskanzlei des Kanton Thurgau</t>
  </si>
  <si>
    <t>https://www4.ti.ch/area-media/comunicati/dettaglio-comunicato/?NEWS_ID=187533&amp;tx_tichareamedia_comunicazioni%5Baction%5D=show&amp;tx_tichareamedia_comunicazioni%5Bcontroller%5D=Comunicazioni&amp;cHash=0f01b9fd5e63dbb0f6f5cec02aa32b40</t>
  </si>
  <si>
    <t>51.0</t>
  </si>
  <si>
    <t>https://www.coronavirus.bs.ch/nm/2020-tagesbulletin-coronavirus-573-bestaetigte-faelle-im-kanton-basel-stadt-gd.html</t>
  </si>
  <si>
    <t>https://www.regierung.li/de/mitteilungen/223346/?typ=news</t>
  </si>
  <si>
    <t>https://www4.ti.ch/area-media/comunicati/dettaglio-comunicato/?NEWS_ID=187538&amp;tx_tichareamedia_comunicazioni%5Baction%5D=show&amp;tx_tichareamedia_comunicazioni%5Bcontroller%5D=Comunicazioni&amp;cHash=736a7f1a780ed9bdb1d8e45f8a0326ff</t>
  </si>
  <si>
    <t>60.0</t>
  </si>
  <si>
    <t>https://www.coronavirus.bs.ch/nm/2020-tagesbulletin-coronavirus-609-bestaetigte-faelle-im-kanton-basel-stadt-gd.html</t>
  </si>
  <si>
    <t>22.0</t>
  </si>
  <si>
    <t>https://www.regierung.li/de/mitteilungen/223347/?typ=news</t>
  </si>
  <si>
    <t>https://www4.ti.ch/area-media/comunicati/dettaglio-comunicato/?NEWS_ID=187540&amp;tx_tichareamedia_comunicazioni%5Baction%5D=show&amp;tx_tichareamedia_comunicazioni%5Bcontroller%5D=Comunicazioni&amp;cHash=ae32268e60ac2b59add1b9d55de51cbf</t>
  </si>
  <si>
    <t>59.0</t>
  </si>
  <si>
    <t>https://www.ag.ch/media/kanton_aargau/themen_1/coronavirus_1/lagebulletins/200330_KFS_Coronavirus_Lagebulletin_22.pdf</t>
  </si>
  <si>
    <t>https://www.coronavirus.bs.ch/nm/2020-tagesbulletin-coronavirus-621-bestaetigte-faelle-im-kanton-basel-stadt-gd.html</t>
  </si>
  <si>
    <t>https://www.regierung.li/de/mitteilungen/223349/?typ=newss</t>
  </si>
  <si>
    <t>https://www4.ti.ch/area-media/comunicati/dettaglio-comunicato/?NEWS_ID=187546&amp;tx_tichareamedia_comunicazioni%5Baction%5D=show&amp;tx_tichareamedia_comunicazioni%5Bcontroller%5D=Comunicazioni&amp;cHash=1465eace9ac68357130a7327d0c9b8f9</t>
  </si>
  <si>
    <t>61.0</t>
  </si>
  <si>
    <t>https://www.ag.ch/media/kanton_aargau/themen_1/coronavirus_1/lagebulletins/200331_KFS_Coronavirus_Lagebulletin_23.pdf</t>
  </si>
  <si>
    <t>https://www.coronavirus.bs.ch/nm/2020-tagesbulletin-coronavirus-628-bestaetigte-faelle-im-kanton-basel-stadt-gd.html https://www.coronavirus.bs.ch/nm/2020-tagesbulletin-coronavirus-691-bestaetigte-faelle-im-kanton-basel-stadt-gd.html</t>
  </si>
  <si>
    <t>23.0</t>
  </si>
  <si>
    <t>https://www.regierung.li/media/attachments/160-coronavirus-68-personen-positiv.pdf?t=637212737830081294</t>
  </si>
  <si>
    <t>https://www4.ti.ch/area-media/comunicati/dettaglio-comunicato/?NEWS_ID=187550&amp;tx_tichareamedia_comunicazioni%5Baction%5D=show&amp;tx_tichareamedia_comunicazioni%5Bcontroller%5D=Comunicazioni&amp;cHash=007dc1182450e5b85ee4f533dfdcd6e3</t>
  </si>
  <si>
    <t>67.0</t>
  </si>
  <si>
    <t>https://www.ag.ch/media/kanton_aargau/themen_1/coronavirus_1/lagebulletins/200401_KFS_Coronavirus_Lagebulletin_24.pdf</t>
  </si>
  <si>
    <t>https://www.coronavirus.bs.ch/nm/2020-tagesbulletin-coronavirus-691-bestaetigte-faelle-im-kanton-basel-stadt-gd.html</t>
  </si>
  <si>
    <t>https://www.regierung.li/media/attachments/164-corona-schweizer-sanitaetssoldaten-0401.pdf?t=637213766824962451</t>
  </si>
  <si>
    <t>https://www4.ti.ch/area-media/comunicati/dettaglio-comunicato/?NEWS_ID=187555&amp;tx_tichareamedia_comunicazioni%5Baction%5D=show&amp;tx_tichareamedia_comunicazioni%5Bcontroller%5D=Comunicazioni&amp;cHash=843d72993004667ab731d64142591372</t>
  </si>
  <si>
    <t>72.0</t>
  </si>
  <si>
    <t>https://www.ag.ch/media/kanton_aargau/themen_1/coronavirus_1/lagebulletins/200402_KFS_Coronavirus_Lagebulletin_25.pdf</t>
  </si>
  <si>
    <t>https://www.gd.bs.ch//nm/2020-tagesbulletin-coronavirus-718-bestaetigte-faelle-im-kanton-basel-stadt-gd.html</t>
  </si>
  <si>
    <t>24.0</t>
  </si>
  <si>
    <t>https://www.regierung.li/media/attachments/166-massnahmen-weiter-einhalten-0402.pdf?t=637214501732587547</t>
  </si>
  <si>
    <t>https://www4.ti.ch/area-media/comunicati/dettaglio-comunicato/?NEWS_ID=187564&amp;tx_tichareamedia_comunicazioni%5Baction%5D=show&amp;tx_tichareamedia_comunicazioni%5Bcontroller%5D=Comunicazioni&amp;cHash=6abbcb9cd18b83f8ce260e2748b9a326</t>
  </si>
  <si>
    <t>73.0</t>
  </si>
  <si>
    <t>https://www.ag.ch/media/kanton_aargau/themen_1/coronavirus_1/lagebulletins/200403_KFS_Coronavirus_Lagebulletin_26.pdf</t>
  </si>
  <si>
    <t>https://www.gd.bs.ch/nm/2020-tagesbulletin-coronavirus-748-bestaetigte-faelle-im-kanton-basel-stadt-gd.html https://www.coronavirus.bs.ch/nm/2020-tagesbulletin-coronavirus-771-bestaetigte-faelle-im-kanton-basel-stadt-gd.html</t>
  </si>
  <si>
    <t>https://www4.ti.ch/area-media/comunicati/dettaglio-comunicato/?NEWS_ID=187570&amp;tx_tichareamedia_comunicazioni%5Baction%5D=show&amp;tx_tichareamedia_comunicazioni%5Bcontroller%5D=Comunicazioni&amp;cHash=bf727072887350e7700586450c3cf957</t>
  </si>
  <si>
    <t>https://www.gd.bs.ch//nm/2020-tagesbulletin-coronavirus-771-bestaetigte-faelle-im-kanton-basel-stadt-gd.html</t>
  </si>
  <si>
    <t>21.0</t>
  </si>
  <si>
    <t>https://www.regierung.li/media/attachments/168-corona-person-verstorben-0404.pdf?t=637216219078826521</t>
  </si>
  <si>
    <t>https://www4.ti.ch/area-media/comunicati/dettaglio-comunicato/?NEWS_ID=187575&amp;tx_tichareamedia_comunicazioni%5Baction%5D=show&amp;tx_tichareamedia_comunicazioni%5Bcontroller%5D=Comunicazioni&amp;cHash=4b3f64139a9dd36b9fd30a1ace23654a</t>
  </si>
  <si>
    <t>https://www.gd.bs.ch//nm/2020-tagesbulletin-coronavirus-794-bestaetigte-faelle-im-kanton-basel-stadt-gd.html</t>
  </si>
  <si>
    <t>https://www4.ti.ch/area-media/comunicati/dettaglio-comunicato/?NEWS_ID=187576&amp;tx_tichareamedia_comunicazioni%5Baction%5D=show&amp;tx_tichareamedia_comunicazioni%5Bcontroller%5D=Comunicazioni&amp;cHash=7486178287491dbfa00376059224e150</t>
  </si>
  <si>
    <t>https://www.ag.ch/media/kanton_aargau/themen_1/coronavirus_1/lagebulletins/200406_KFS_Coronavirus_Lagebulletin_27.pdf</t>
  </si>
  <si>
    <t>https://www.coronavirus.bs.ch/nm/2020-tagesbulletin-coronavirus-803-bestaetigte-faelle-im-kanton-basel-stadt-gd.html</t>
  </si>
  <si>
    <t>https://www4.ti.ch/area-media/comunicati/dettaglio-comunicato/?NEWS_ID=187585&amp;cHash=71dae3c15afd6b09d15f28f43d415af1</t>
  </si>
  <si>
    <t>62.0</t>
  </si>
  <si>
    <t>https://www.ag.ch/media/kanton_aargau/themen_1/coronavirus_1/lagebulletins/200407_KFS_Coronavirus_Lagebulletin_28.pdf</t>
  </si>
  <si>
    <t>https://www.gd.bs.ch//nm/2020-tagesbulletin-coronavirus-813-bestaetigte-faelle-im-kanton-basel-stadt-gd.html</t>
  </si>
  <si>
    <t>18.0</t>
  </si>
  <si>
    <t>https://www4.ti.ch/area-media/comunicati/dettaglio-comunicato/?NEWS_ID=187585&amp;tx_tichareamedia_comunicazioni%5Baction%5D=show&amp;tx_tichareamedia_comunicazioni%5Bcontroller%5D=Comunicazioni&amp;cHash=4bf78e02dc8ee0d240e06c4603f5605c</t>
  </si>
  <si>
    <t>https://www.ag.ch/media/kanton_aargau/themen_1/coronavirus_1/lagebulletins/200408_KFS_Coronavirus_Lagebulletin_29.pdf</t>
  </si>
  <si>
    <t>https://www.gd.bs.ch//nm/2020-tagesbulletin-coronavirus-834-bestaetigte-faelle-im-kanton-basel-stadt-gd.html</t>
  </si>
  <si>
    <t>16.0</t>
  </si>
  <si>
    <t>https://www4.ti.ch/area-media/comunicati/dettaglio-comunicato/?NEWS_ID=187593&amp;cHash=04877af9adec32de4f5ef43a5916f801</t>
  </si>
  <si>
    <t>new_hosp</t>
  </si>
  <si>
    <t>TotalPosTests1</t>
  </si>
  <si>
    <t>https://www.gd.bs.ch//nm/2020-tagesbulletin-coronavirus-866-bestaetigte-faelle-im-kanton-basel-stadt-gd.html</t>
  </si>
  <si>
    <t>https://www.sz.ch/public/upload/assets/46061/COVID-19_Fallzahlen_Kanton_Schwyz.xlsx</t>
  </si>
  <si>
    <t>https://www4.ti.ch/area-media/comunicati/dettaglio-comunicato/?NEWS_ID=187607&amp;tx_tichareamedia_comunicazioni%5Baction%5D=show&amp;tx_tichareamedia_comunicazioni%5Bcontroller%5D=Comunicazioni&amp;cHash=e9c51debb7c11815ec53651f6c8c8d24</t>
  </si>
  <si>
    <t>https://www.gd.bs.ch//nm/2020-tagesbulletin-coronavirus-859-bestaetigte-faelle-im-kanton-basel-stadt-gd.html</t>
  </si>
  <si>
    <t>https://www.sz.ch/public/upload/assets/46056/COVID-19_Fallzahlen_Kanton_Schwyz.xlsx</t>
  </si>
  <si>
    <t>Confirmed cases</t>
  </si>
  <si>
    <t>Current hospitalized</t>
  </si>
  <si>
    <t>Fatalities</t>
  </si>
  <si>
    <t>Total released</t>
  </si>
  <si>
    <t xml:space="preserve">Doubling time confirmed cases </t>
  </si>
  <si>
    <t>https://www.ag.ch/media/kanton_aargau/themen_1/coronavirus_1/lagebulletins/200411_KFS_Coronavirus_Lagebulletin_31.pdf</t>
  </si>
  <si>
    <t>https://www.regierung.li/media/attachments/188-corona-keine-neuen-faelle-0410.pdf?t=637222261316868970</t>
  </si>
  <si>
    <t>https://www.regierung.li/media/attachments/189-corona-keine-neuen-faelle-0411.pdf?t=637222261316868970</t>
  </si>
  <si>
    <t>https://www4.ti.ch/area-media/comunicati/dettaglio-comunicato/?NEWS_ID=187611&amp;tx_tichareamedia_comunicazioni%5Baction%5D=show&amp;tx_tichareamedia_comunicazioni%5Bcontroller%5D=Comunicazioni&amp;cHash=6f94f1f1d5cf92bdf5a1e053e6602530</t>
  </si>
  <si>
    <t>https://www.gd.bs.ch//nm/2020-tagesbulletin-coronavirus-882-bestaetigte-faelle-im-kanton-basel-stadt-gd.html</t>
  </si>
  <si>
    <t>https://www.sz.ch/public/upload/assets/46063/COVID-19_Fallzahlen_Kanton_Schwyz.xlsx</t>
  </si>
  <si>
    <t>Land</t>
  </si>
  <si>
    <t>Kanton</t>
  </si>
  <si>
    <t>Bevölkerung</t>
  </si>
  <si>
    <t>Schweiz</t>
  </si>
  <si>
    <t>Zeilenbeschriftungen</t>
  </si>
  <si>
    <t>Gesamtergebnis</t>
  </si>
  <si>
    <t>25. Feb</t>
  </si>
  <si>
    <t>26. Feb</t>
  </si>
  <si>
    <t>27. Feb</t>
  </si>
  <si>
    <t>28. Feb</t>
  </si>
  <si>
    <t>29. Feb</t>
  </si>
  <si>
    <t>01. Mär</t>
  </si>
  <si>
    <t>02. Mär</t>
  </si>
  <si>
    <t>03. Mär</t>
  </si>
  <si>
    <t>04. Mär</t>
  </si>
  <si>
    <t>05. Mär</t>
  </si>
  <si>
    <t>06. Mär</t>
  </si>
  <si>
    <t>07. Mär</t>
  </si>
  <si>
    <t>08. Mär</t>
  </si>
  <si>
    <t>09. Mär</t>
  </si>
  <si>
    <t>10. Mär</t>
  </si>
  <si>
    <t>11. Mär</t>
  </si>
  <si>
    <t>12. Mär</t>
  </si>
  <si>
    <t>13. Mär</t>
  </si>
  <si>
    <t>14. Mär</t>
  </si>
  <si>
    <t>15. Mär</t>
  </si>
  <si>
    <t>16. Mär</t>
  </si>
  <si>
    <t>17. Mär</t>
  </si>
  <si>
    <t>18. Mär</t>
  </si>
  <si>
    <t>19. Mär</t>
  </si>
  <si>
    <t>20. Mär</t>
  </si>
  <si>
    <t>21. Mär</t>
  </si>
  <si>
    <t>22. Mär</t>
  </si>
  <si>
    <t>23. Mär</t>
  </si>
  <si>
    <t>24. Mär</t>
  </si>
  <si>
    <t>25. Mär</t>
  </si>
  <si>
    <t>26. Mär</t>
  </si>
  <si>
    <t>27. Mär</t>
  </si>
  <si>
    <t>28. Mär</t>
  </si>
  <si>
    <t>29. Mär</t>
  </si>
  <si>
    <t>30. Mär</t>
  </si>
  <si>
    <t>31. Mär</t>
  </si>
  <si>
    <t>01. Apr</t>
  </si>
  <si>
    <t>02. Apr</t>
  </si>
  <si>
    <t>03. Apr</t>
  </si>
  <si>
    <t>04. Apr</t>
  </si>
  <si>
    <t>05. Apr</t>
  </si>
  <si>
    <t>06. Apr</t>
  </si>
  <si>
    <t>07. Apr</t>
  </si>
  <si>
    <t>08. Apr</t>
  </si>
  <si>
    <t>09. Apr</t>
  </si>
  <si>
    <t>10. Apr</t>
  </si>
  <si>
    <t>11. Apr</t>
  </si>
  <si>
    <t>12. Apr</t>
  </si>
  <si>
    <t>Spaltenbeschriftungen</t>
  </si>
  <si>
    <t>Summe von deaths</t>
  </si>
  <si>
    <t>https://www.regierung.li/media/attachments/190-corona-zusaetzliche-person-0412.pdf?t=637223083991919653</t>
  </si>
  <si>
    <t>https://www4.ti.ch/area-media/comunicati/dettaglio-comunicato/?NEWS_ID=187612&amp;tx_tichareamedia_comunicazioni%5Baction%5D=show&amp;tx_tichareamedia_comunicazioni%5Bcontroller%5D=Comunicazioni&amp;cHash=01ed3fadc99b1b00f0a8c4a0e41e7252</t>
  </si>
  <si>
    <t>https://www.vs.ch/documents/6756452/7008787/2020%2004%2012%20Sit%20Epid%20-%20%C3%89tat%20Stand</t>
  </si>
  <si>
    <t>https://www.gd.bs.ch//nm/2020-tagesbulletin-coronavirus-893-bestaetigte-faelle-im-kanton-basel-stadt-gd.html</t>
  </si>
  <si>
    <t>https://www.sz.ch/public/upload/assets/46064/COVID-19_Fallzahlen_Kanton_Schwyz.xlsx</t>
  </si>
  <si>
    <t>new_deaths</t>
  </si>
  <si>
    <t>old_deaths</t>
  </si>
  <si>
    <t>13. Apr</t>
  </si>
  <si>
    <t>Gröster Wert</t>
  </si>
  <si>
    <t>totel_positive</t>
  </si>
  <si>
    <t>Letzter Wert</t>
  </si>
  <si>
    <t>Summe von total_hospitalized</t>
  </si>
  <si>
    <t>Summe von new_hosp</t>
  </si>
  <si>
    <t>Summe von new_deaths</t>
  </si>
  <si>
    <t>Summe von released</t>
  </si>
  <si>
    <t>https://www.regierung.li/media/attachments/191-corona-keine-neuen-faelle-0413.pdf?t=637224053004137202</t>
  </si>
  <si>
    <t>https://www4.ti.ch/area-media/comunicati/dettaglio-comunicato/?NEWS_ID=187614&amp;tx_tichareamedia_comunicazioni%5Baction%5D=show&amp;tx_tichareamedia_comunicazioni%5Bcontroller%5D=Comunicazioni&amp;cHash=0464d89cb8c291fbc9c266e6b7008814</t>
  </si>
  <si>
    <t>Mittelwert von deaths_per_100k</t>
  </si>
  <si>
    <t>newreleased</t>
  </si>
  <si>
    <t>New Released</t>
  </si>
  <si>
    <t>latest</t>
  </si>
  <si>
    <t>latest-1</t>
  </si>
  <si>
    <t>diff</t>
  </si>
  <si>
    <t>14. Apr</t>
  </si>
  <si>
    <t>https://www.sz.ch/public/upload/assets/46067/COVID-19_Fallzahlen_Kanton_Schwyz.xlsx</t>
  </si>
  <si>
    <t>current_hosp_non_resident</t>
  </si>
  <si>
    <t>https://www.gd.bs.ch//nm/2020-tagesbulletin-coronavirus-899-bestaetigte-faelle-im-kanton-basel-stadt-gd.html</t>
  </si>
  <si>
    <t>https://www.liechtenstein.li/news-detail/article/aktuelle-informationen-zum-coronavirus/</t>
  </si>
  <si>
    <t>25.0</t>
  </si>
  <si>
    <t>https://www.ag.ch/media/kanton_aargau/themen_1/coronavirus_1/lagebulletins/200414_KFS_Coronavirus_Lagebulletin_32.pdf</t>
  </si>
  <si>
    <t>https://www4.ti.ch/area-media/comunicati/dettaglio-comunicato/?NEWS_ID=187617&amp;tx_tichareamedia_comunicazioni%5Baction%5D=show&amp;tx_tichareamedia_comunicazioni%5Bcontroller%5D=Comunicazioni&amp;cHash=64be59067038bfdaf603d60bfab0aa52</t>
  </si>
  <si>
    <t>https://www.gd.bs.ch//nm/2020-tagesbulletin-coronavirus-909-bestaetigte-faelle-im-kanton-basel-stadt-gd.html</t>
  </si>
  <si>
    <t>https://www.sz.ch/public/upload/assets/46093/COVID-19_Fallzahlen_Kanton_Schwyz.xlsx</t>
  </si>
  <si>
    <t>15. Apr</t>
  </si>
  <si>
    <t>https://www.gd.bs.ch//nm/2020-tagesbulletin-coronavirus-917-bestaetigte-faelle-im-kanton-basel-stadt-gd.html</t>
  </si>
  <si>
    <t>https://www.regierung.li/media/attachments/194-corona-neue-wege-zur-messung-0415.pdf?t=637225709239139141</t>
  </si>
  <si>
    <t>https://www.jura.ch/fr/Autorites/Coronavirus/Accueil/Coronavirus-Informations-officielles-a-la-population-jurassienne.html</t>
  </si>
  <si>
    <t>https://www.sz.ch/public/upload/assets/46137/COVID-19_Fallzahlen_Kanton_Schwyz.xlsx</t>
  </si>
  <si>
    <t>https://www4.ti.ch/area-media/comunicati/dettaglio-comunicato/?NEWS_ID=187624&amp;tx_tichareamedia_comunicazioni%5Baction%5D=show&amp;tx_tichareamedia_comunicazioni%5Bcontroller%5D=Comunicazioni&amp;cHash=c6ac05de202d47a4a41e41ec4d16b3b1</t>
  </si>
  <si>
    <t>https://www.ag.ch/media/kanton_aargau/themen_1/coronavirus_1/lagebulletins/200415_KFS_Coronavirus_Lagebulletin_33.pdf</t>
  </si>
  <si>
    <t>Latest date</t>
  </si>
  <si>
    <t>Date of collection</t>
  </si>
  <si>
    <t>16. Apr</t>
  </si>
  <si>
    <t>Created Peter Berger, 2020</t>
  </si>
  <si>
    <t>Covid_19 Dashboard Peter Berger, https://github.com/tgdbepe4/covid_19_excel based on data form https://github.com/openZH/covid_19 and https://github.com/zdavatz/covid19_ch. All the data will be updated fraquently from these sources</t>
  </si>
  <si>
    <t>Covid19 CH Dashboard in MS Excel
Ausgangslage
Zurzeit existieren mindestens drei verschiedene Online Covid-19 CH Dashboads. Alle drei bieten gute Grafiken jedoch teilweise mit verschiedenen Diagrammen an. Die Daten sind alle up-to-date.
Covid-19 CH als Excelfile
Die Online Dashboards sind betreffend den Daten und Grafiken statisch. Da heisst, der Endbenutzer hat keine Möglichkeiten die Daten anders auszuwerten und auch andere Grafiken anzufertigen. Daraus entstand die Idee inwieweit sich ein solches Dashboard in MS Excel realisieren liesse. 
Datenbezug
Die Daten werden über Webverbindungen aus Excel heraus bezogen und transformiert. 
Quellen sind: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Weil diese Daten in einem anderen Projekt mit Python:Scripts aufbereitet werden besteht eine Abhängigkeit bezüglich Aktualisierung. Wird die Datenstruktur verändert so funktionieren die Updates nicht mehr. Die Daten im Excelfile sind dann quasi eingefroren.
Datenaktualisierung
In Excel muss die Datenbearbeitung aktiviert sein. Danach verbindet Excel bei jedem neuen Start des Excelfiles die Daten und aktualisiert diese alle 20 Minuten.
Vorteile
Da man das Excelfile nach eigenem Wunsch anpassen kann sind Auswertungen aller Art möglich.
Warnung
Die Tabellenblätter „ch_latest“, „kt_latest“, kt_serie“, pivot_kt_latest und „pivot_kt_serie“ sollten nicht verändert werden, da sonst auch das Blatt Graphs nicht mehr funktionieren könnte. Will man eigene Auswertungen machen, so empfiehlt es sich sehr neue Tablellenblätter anzulegen und dort tätig zu werden.
Updates
Das Excelfile wird periodisch updated. Die aktuelle Version ist über https://github.com/tgdbepe4/covid_19_excel zu finden.
Kontakt
Meinungen, Fehlermeldungen, etc bitte an mailto:corona@bergi-it-consulting.ch
Peter Berger, Zürich, 2020-04-19</t>
  </si>
  <si>
    <t xml:space="preserve">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Covid19 CH Dashboard in MS Excel
Starting point
There are currently at least three different online Covid-19 CH Dashboads. However, all three offer good graphics, some with different charts.  The data is all up-to-date.
Covid-19 CH as Excelfile
The online dashboards are static in terms of data and graphics. This means that the end user has no options to evaluate the data differently and also to make other graphics. This gave rise to the idea of how such a dashboard could be realized in MS Excel. 
Datenbezug
The data is obtained and transformed from Excel via web connections.
Sources are:
https://raw.githubusercontent.com/zdavatz/covid19_ch/master/data-cantons-csv/dd-covid19-openzh-cantons-series.csv
https://raw.githubusercontent.com/zdavatz/covid19_ch/master/data-cantons-csv/dd-covid19-openzh-cantons-latest.csv
https://raw.githubusercontent.com/zdavatz/covid19_ch/master/data-switzerland-csv/dd-covid19-openzh-switzerland-latest.csv
Because this data is processed in another project with Python:Scripts,  there is a dependency on updating. If the data structure is changed, the updates will no longer work. The data in the Excelfile is then virtually frozen.
Datenaktualisierung
In Excel, data editing must be enabled. After that, Excel connects the data each time the Excel file is started and updates it every 20 minutes.
Benefits
Since you can customize the Excelfile according to your wishes, evaluations of all kinds are possible.
Warning
The worksheets "ch_latest", "kt_latest",  kt_serie",  pivot_kt_latest and "pivot_kt_serie" should not bechanged, otherwise the sheet Graphs might not work. If you want to do your own evaluations, it is recommended to create very new table sheets and to work there.
Updates
The Excelfile is updatedperiodically. The current version can be found via https://github.com/tgdbepe4/covid_19_excel.
Contact
Opinions, error messages, etc  please contact mailto:corona@bergi-it-consulting.ch
Peter Berger, Zurich, 2020-04-19
</t>
  </si>
  <si>
    <t>https://www.ag.ch/media/kanton_aargau/themen_1/coronavirus_1/lagebulletins/200420_KFS_Coronavirus_Lagebulletin_36.pdf</t>
  </si>
  <si>
    <t>https://www.gd.bs.ch//nm/2020-tagesbulletin-coronavirus-933-bestaetigte-faelle-im-kanton-basel-stadt-gd.html</t>
  </si>
  <si>
    <t>https://www.regierung.li/de/mitteilungen/223410/?typ=news</t>
  </si>
  <si>
    <t>https://www.sz.ch/public/upload/assets/46169/COVID-19_Fallzahlen_Kanton_Schwyz.xlsx</t>
  </si>
  <si>
    <t>https://www4.ti.ch/area-media/comunicati/dettaglio-comunicato/?NEWS_ID=187648&amp;tx_tichareamedia_comunicazioni%5Baction%5D=show&amp;tx_tichareamedia_comunicazioni%5Bcontroller%5D=Comunicazioni&amp;cHash=8c7fb45c6eada1e8d97d120f23176eb1</t>
  </si>
  <si>
    <t>https://www.gd.bs.ch//nm/2020-tagesbulletin-coronavirus-933-bestaetigte-faelle-im-kanton-basel-stadt-gd-2.html</t>
  </si>
  <si>
    <t>http://www.nw.ch/coronastatistik</t>
  </si>
  <si>
    <t>https://www.sz.ch/public/upload/assets/46178/COVID-19_Fallzahlen_Kanton_Schwyz.xlsx</t>
  </si>
  <si>
    <t>https://www.ag.ch/media/kanton_aargau/themen_1/coronavirus_1/lagebulletins/200416_KFS_Coronavirus_Lagebulletin_34.pdf</t>
  </si>
  <si>
    <t>https://www.regierung.li/media/attachments/196-corona-regierung-informiert-freitag-0416.pdf?t=637226573940474014</t>
  </si>
  <si>
    <t>https://www4.ti.ch/area-media/comunicati/dettaglio-comunicato/?NEWS_ID=187632&amp;tx_tichareamedia_comunicazioni%5Baction%5D=show&amp;tx_tichareamedia_comunicazioni%5Bcontroller%5D=Comunicazioni&amp;cHash=65b441f9003d32defd9e1c4f2650c177</t>
  </si>
  <si>
    <t>https://www.ag.ch/media/kanton_aargau/themen_1/coronavirus_1/lagebulletins/200417_KFS_Coronavirus_Lagebulletin_35.pdf</t>
  </si>
  <si>
    <t>https://www.gd.bs.ch//nm/2020-tagesbulletin-coronavirus-923-bestaetigte-faelle-im-kanton-basel-stadt-gd.html</t>
  </si>
  <si>
    <t>https://www.regierung.li/media/attachments/197-corona-regierung-orientiert-ueber-vorgehen-0417.pdf?t=637227446845695629</t>
  </si>
  <si>
    <t>https://www.sz.ch/public/upload/assets/46153/COVID-19_Fallzahlen_Kanton_Schwyz.xlsx</t>
  </si>
  <si>
    <t>https://www4.ti.ch/area-media/comunicati/dettaglio-comunicato/?NEWS_ID=187639&amp;tx_tichareamedia_comunicazioni%5Baction%5D=show&amp;tx_tichareamedia_comunicazioni%5Bcontroller%5D=Comunicazioni&amp;cHash=293da33bc5267650fbd8e590032cd6f3</t>
  </si>
  <si>
    <t>https://www.gd.bs.ch//nm/2020-tagesbulletin-coronavirus-929-bestaetigte-faelle-im-kanton-basel-stadt-gd.html</t>
  </si>
  <si>
    <t>https://www.regierung.li/media/attachments/198-corona-kein-zusaetzlicher-fall-0418.pdf?t=637228301134424983</t>
  </si>
  <si>
    <t>https://www.sz.ch/public/upload/assets/46165/COVID-19_Fallzahlen_Kanton_Schwyz.xlsx</t>
  </si>
  <si>
    <t>https://www4.ti.ch/area-media/comunicati/dettaglio-comunicato/?NEWS_ID=187644&amp;tx_tichareamedia_comunicazioni%5Baction%5D=show&amp;tx_tichareamedia_comunicazioni%5Bcontroller%5D=Comunicazioni&amp;cHash=df3ace8d6228b4587b78db3bfa080a83</t>
  </si>
  <si>
    <t>https://www.gd.bs.ch//nm/2020-tagesbulletin-coronavirus-932-bestaetigte-faelle-im-kanton-basel-stadt-gd.html</t>
  </si>
  <si>
    <t>https://www.regierung.li/media/attachments/199-corona-keine-neuen-faelle-0419.pdf?t=637229165752237624</t>
  </si>
  <si>
    <t>https://www.sz.ch/public/upload/assets/46167/COVID-19_Fallzahlen_Kanton_Schwyz.xlsx</t>
  </si>
  <si>
    <t>https://www4.ti.ch/area-media/comunicati/dettaglio-comunicato/?NEWS_ID=187645&amp;tx_tichareamedia_comunicazioni%5Baction%5D=show&amp;tx_tichareamedia_comunicazioni%5Bcontroller%5D=Comunicazioni&amp;cHash=7c0ead3ab8e681d79f11cb3d67995946</t>
  </si>
  <si>
    <t>https://www.ag.ch/media/kanton_aargau/themen_1/coronavirus_1/lagebulletins/200421_KFS_Coronavirus_Lagebulletin_37.pdf</t>
  </si>
  <si>
    <t>https://www.regierung.li/media/attachments/207-corona-keine-neuen-Faelle-0421.pdf?t=637230900737305962</t>
  </si>
  <si>
    <t>https://www4.ti.ch/area-media/comunicati/dettaglio-comunicato/?NEWS_ID=187654&amp;tx_tichareamedia_comunicazioni%5Baction%5D=show&amp;tx_tichareamedia_comunicazioni%5Bcontroller%5D=Comunicazioni&amp;cHash=8ae7085e87cf92c2997d0e458baa17f9</t>
  </si>
  <si>
    <t>17. Apr</t>
  </si>
  <si>
    <t>18. Apr</t>
  </si>
  <si>
    <t>19. Apr</t>
  </si>
  <si>
    <t>20. Apr</t>
  </si>
  <si>
    <t>21. Apr</t>
  </si>
  <si>
    <t>https://www.sz.ch/public/upload/assets/46199/COVID-19_Fallzahlen_Kanton_Schwyz.xlsx</t>
  </si>
  <si>
    <t>https://www.gd.bs.ch//nm/2020-tagesbulletin-coronavirus-933-bestaetigte-faelle-im-kanton-basel-stadt-gd-3.html</t>
  </si>
  <si>
    <t>https://www.ag.ch/media/kanton_aargau/themen_1/coronavirus_1/lagebulletins/200422_KFS_Coronavirus_Lagebulletin_38.pdf</t>
  </si>
  <si>
    <t>https://www.regierung.li/de/mitteilungen/223419/?typ=news</t>
  </si>
  <si>
    <t>https://www.ne.ch/autorites/DFS/SCSP/medecin-cantonal/maladies-vaccinations/Documents/Covid-19-Statistiques/COVID19_PublicationInternet.xlsx</t>
  </si>
  <si>
    <t>https://www4.ti.ch/area-media/comunicati/dettaglio-comunicato/?NEWS_ID=187672&amp;cHash=73c20eed4b20c3cb714758f2678c3f15</t>
  </si>
  <si>
    <t>https://www.vs.ch/documents/6756452/7008787/2020%2004%2022%20Sit%20Epid%20-%20%C3%89tat%20Stand</t>
  </si>
  <si>
    <t>death</t>
  </si>
  <si>
    <t>https://www.sz.ch/public/upload/assets/46266/COVID-19_Fallzahlen_Kanton_Schwyz.xlsx</t>
  </si>
  <si>
    <t>Bez</t>
  </si>
  <si>
    <t>22. Apr</t>
  </si>
  <si>
    <t>23. Apr</t>
  </si>
  <si>
    <t>https://www4.ti.ch/area-media/comunicati/dettaglio-comunicato/?NEWS_ID=187672&amp;tx_tichareamedia_comunicazioni%5Baction%5D=show&amp;tx_tichareamedia_comunicazioni%5Bcontroller%5D=Comunicazioni&amp;cHash=97e1b5c9b1c83ce43bd3c76d46f6aba5</t>
  </si>
  <si>
    <t>https://www.zg.ch/behoerden/gesundheitsdirektion/statistikfachstelle/themen/gesundheit/corona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</si>
</sst>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quot;+&quot;\ #,##0\ &quot; today&quot;"/>
    <numFmt numFmtId="166" formatCode="&quot;+&quot;0"/>
    <numFmt numFmtId="167" formatCode="0\ &quot;days&quot;"/>
  </numFmts>
  <fonts count="28">
    <font>
      <sz val="11"/>
      <color theme="1"/>
      <name val="Calibri"/>
      <family val="2"/>
      <scheme val="minor"/>
    </font>
    <font>
      <sz val="11"/>
      <color theme="5" tint="0.39997558519241921"/>
      <name val="Calibri"/>
      <family val="2"/>
      <scheme val="minor"/>
    </font>
    <font>
      <sz val="36"/>
      <color theme="5" tint="0.39997558519241921"/>
      <name val="Calibri"/>
      <family val="2"/>
      <scheme val="minor"/>
    </font>
    <font>
      <sz val="24"/>
      <color theme="5" tint="0.39997558519241921"/>
      <name val="Calibri"/>
      <family val="2"/>
      <scheme val="minor"/>
    </font>
    <font>
      <sz val="11"/>
      <color rgb="FFFF66FF"/>
      <name val="Calibri"/>
      <family val="2"/>
      <scheme val="minor"/>
    </font>
    <font>
      <sz val="36"/>
      <color rgb="FFFF66FF"/>
      <name val="Calibri"/>
      <family val="2"/>
      <scheme val="minor"/>
    </font>
    <font>
      <sz val="24"/>
      <color rgb="FFFF66FF"/>
      <name val="Calibri"/>
      <family val="2"/>
      <scheme val="minor"/>
    </font>
    <font>
      <sz val="11"/>
      <color theme="0" tint="-0.14999847407452621"/>
      <name val="Calibri"/>
      <family val="2"/>
      <scheme val="minor"/>
    </font>
    <font>
      <sz val="36"/>
      <color theme="0" tint="-0.14999847407452621"/>
      <name val="Calibri"/>
      <family val="2"/>
      <scheme val="minor"/>
    </font>
    <font>
      <sz val="24"/>
      <color theme="0" tint="-0.14999847407452621"/>
      <name val="Calibri"/>
      <family val="2"/>
      <scheme val="minor"/>
    </font>
    <font>
      <sz val="11"/>
      <color rgb="FF33CC33"/>
      <name val="Calibri"/>
      <family val="2"/>
      <scheme val="minor"/>
    </font>
    <font>
      <sz val="36"/>
      <color rgb="FF33CC33"/>
      <name val="Calibri"/>
      <family val="2"/>
      <scheme val="minor"/>
    </font>
    <font>
      <sz val="24"/>
      <color rgb="FF33CC33"/>
      <name val="Calibri"/>
      <family val="2"/>
      <scheme val="minor"/>
    </font>
    <font>
      <sz val="11"/>
      <color rgb="FF33CCFF"/>
      <name val="Calibri"/>
      <family val="2"/>
      <scheme val="minor"/>
    </font>
    <font>
      <sz val="36"/>
      <color rgb="FF33CCFF"/>
      <name val="Calibri"/>
      <family val="2"/>
      <scheme val="minor"/>
    </font>
    <font>
      <sz val="24"/>
      <color rgb="FF33CCFF"/>
      <name val="Calibri"/>
      <family val="2"/>
      <scheme val="minor"/>
    </font>
    <font>
      <b/>
      <sz val="11"/>
      <color theme="1"/>
      <name val="Calibri"/>
      <family val="2"/>
      <scheme val="minor"/>
    </font>
    <font>
      <b/>
      <sz val="11"/>
      <color theme="0"/>
      <name val="Calibri"/>
      <family val="2"/>
      <scheme val="minor"/>
    </font>
    <font>
      <sz val="9"/>
      <color rgb="FF232323"/>
      <name val="Inherit"/>
    </font>
    <font>
      <sz val="9"/>
      <color rgb="FF400F0F"/>
      <name val="Arial"/>
      <family val="2"/>
    </font>
    <font>
      <b/>
      <sz val="7"/>
      <color rgb="FF777777"/>
      <name val="Open Sans"/>
      <family val="2"/>
    </font>
    <font>
      <sz val="6"/>
      <color rgb="FF000000"/>
      <name val="Verdana"/>
      <family val="2"/>
    </font>
    <font>
      <sz val="8"/>
      <color rgb="FF5A5A5A"/>
      <name val="Consolas"/>
      <family val="3"/>
    </font>
    <font>
      <sz val="11"/>
      <color theme="0"/>
      <name val="Calibri"/>
      <family val="2"/>
      <scheme val="minor"/>
    </font>
    <font>
      <sz val="36"/>
      <color theme="0"/>
      <name val="Calibri"/>
      <family val="2"/>
      <scheme val="minor"/>
    </font>
    <font>
      <sz val="24"/>
      <color theme="0"/>
      <name val="Calibri"/>
      <family val="2"/>
      <scheme val="minor"/>
    </font>
    <font>
      <u/>
      <sz val="11"/>
      <color theme="10"/>
      <name val="Calibri"/>
      <family val="2"/>
      <scheme val="minor"/>
    </font>
    <font>
      <b/>
      <sz val="12"/>
      <color theme="1"/>
      <name val="Calibri"/>
      <family val="2"/>
      <scheme val="minor"/>
    </font>
  </fonts>
  <fills count="5">
    <fill>
      <patternFill patternType="none"/>
    </fill>
    <fill>
      <patternFill patternType="gray125"/>
    </fill>
    <fill>
      <patternFill patternType="solid">
        <fgColor theme="1" tint="0.249977111117893"/>
        <bgColor indexed="64"/>
      </patternFill>
    </fill>
    <fill>
      <patternFill patternType="solid">
        <fgColor theme="9" tint="0.79998168889431442"/>
        <bgColor theme="9" tint="0.79998168889431442"/>
      </patternFill>
    </fill>
    <fill>
      <patternFill patternType="solid">
        <fgColor theme="9"/>
        <bgColor theme="9"/>
      </patternFill>
    </fill>
  </fills>
  <borders count="4">
    <border>
      <left/>
      <right/>
      <top/>
      <bottom/>
      <diagonal/>
    </border>
    <border>
      <left/>
      <right/>
      <top style="thin">
        <color theme="9" tint="0.39997558519241921"/>
      </top>
      <bottom style="thin">
        <color theme="9" tint="0.3999755851924192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2">
    <xf numFmtId="0" fontId="0" fillId="0" borderId="0"/>
    <xf numFmtId="0" fontId="26" fillId="0" borderId="0" applyNumberFormat="0" applyFill="0" applyBorder="0" applyAlignment="0" applyProtection="0"/>
  </cellStyleXfs>
  <cellXfs count="50">
    <xf numFmtId="0" fontId="0" fillId="0" borderId="0" xfId="0"/>
    <xf numFmtId="0" fontId="0" fillId="0" borderId="0" xfId="0" applyNumberFormat="1"/>
    <xf numFmtId="14" fontId="0" fillId="0" borderId="0" xfId="0" applyNumberFormat="1"/>
    <xf numFmtId="22" fontId="0" fillId="0" borderId="0" xfId="0" applyNumberFormat="1"/>
    <xf numFmtId="164" fontId="0" fillId="0" borderId="0" xfId="0" applyNumberFormat="1"/>
    <xf numFmtId="0" fontId="0" fillId="3" borderId="1" xfId="0" applyFill="1" applyBorder="1"/>
    <xf numFmtId="0" fontId="0" fillId="0" borderId="1" xfId="0" applyBorder="1"/>
    <xf numFmtId="0" fontId="16" fillId="0" borderId="0" xfId="0" applyFont="1"/>
    <xf numFmtId="0" fontId="17" fillId="4" borderId="1" xfId="0" applyFont="1" applyFill="1" applyBorder="1"/>
    <xf numFmtId="0" fontId="0" fillId="3" borderId="1" xfId="0" applyFont="1" applyFill="1" applyBorder="1"/>
    <xf numFmtId="0" fontId="0" fillId="0" borderId="1" xfId="0" applyFont="1" applyBorder="1"/>
    <xf numFmtId="0" fontId="0" fillId="3" borderId="1" xfId="0" applyNumberFormat="1" applyFont="1" applyFill="1" applyBorder="1"/>
    <xf numFmtId="0" fontId="0" fillId="0" borderId="1" xfId="0" applyNumberFormat="1" applyFont="1" applyBorder="1"/>
    <xf numFmtId="0" fontId="0" fillId="2" borderId="2" xfId="0" applyFill="1" applyBorder="1"/>
    <xf numFmtId="165" fontId="3" fillId="2" borderId="2" xfId="0" applyNumberFormat="1" applyFont="1" applyFill="1" applyBorder="1" applyAlignment="1">
      <alignment horizontal="center"/>
    </xf>
    <xf numFmtId="0" fontId="6" fillId="2" borderId="2" xfId="0" applyFont="1" applyFill="1" applyBorder="1" applyAlignment="1">
      <alignment horizontal="center"/>
    </xf>
    <xf numFmtId="0" fontId="12" fillId="2" borderId="2" xfId="0" applyFont="1" applyFill="1" applyBorder="1" applyAlignment="1">
      <alignment horizontal="center"/>
    </xf>
    <xf numFmtId="0" fontId="15" fillId="2" borderId="2" xfId="0" applyFont="1" applyFill="1" applyBorder="1" applyAlignment="1">
      <alignment horizontal="center"/>
    </xf>
    <xf numFmtId="0" fontId="0" fillId="0" borderId="0" xfId="0" pivotButton="1"/>
    <xf numFmtId="0" fontId="0" fillId="0" borderId="0" xfId="0" applyAlignment="1">
      <alignment horizontal="left"/>
    </xf>
    <xf numFmtId="0" fontId="18" fillId="0" borderId="0" xfId="0" applyFont="1" applyAlignment="1">
      <alignment horizontal="left" vertical="center" indent="1"/>
    </xf>
    <xf numFmtId="0" fontId="19" fillId="0" borderId="0" xfId="0" applyFont="1"/>
    <xf numFmtId="0" fontId="20" fillId="0" borderId="0" xfId="0" applyFont="1"/>
    <xf numFmtId="0" fontId="21" fillId="0" borderId="0" xfId="0" applyFont="1"/>
    <xf numFmtId="14" fontId="22" fillId="0" borderId="0" xfId="0" applyNumberFormat="1" applyFont="1"/>
    <xf numFmtId="166" fontId="9" fillId="2" borderId="2" xfId="0" applyNumberFormat="1" applyFont="1" applyFill="1" applyBorder="1" applyAlignment="1">
      <alignment horizontal="center"/>
    </xf>
    <xf numFmtId="14" fontId="0" fillId="0" borderId="0" xfId="0" applyNumberFormat="1" applyAlignment="1">
      <alignment horizontal="left"/>
    </xf>
    <xf numFmtId="164" fontId="25" fillId="2" borderId="2" xfId="0" applyNumberFormat="1" applyFont="1" applyFill="1" applyBorder="1" applyAlignment="1">
      <alignment horizontal="center"/>
    </xf>
    <xf numFmtId="0" fontId="0" fillId="2" borderId="3" xfId="0" applyFill="1" applyBorder="1"/>
    <xf numFmtId="0" fontId="23" fillId="2" borderId="0" xfId="0" applyFont="1" applyFill="1" applyBorder="1"/>
    <xf numFmtId="0" fontId="2" fillId="2" borderId="3" xfId="0" applyFont="1" applyFill="1" applyBorder="1" applyAlignment="1">
      <alignment horizontal="center"/>
    </xf>
    <xf numFmtId="0" fontId="5" fillId="2" borderId="3" xfId="0" applyFont="1" applyFill="1" applyBorder="1" applyAlignment="1">
      <alignment horizontal="center"/>
    </xf>
    <xf numFmtId="0" fontId="8" fillId="2" borderId="3" xfId="0" applyFont="1" applyFill="1" applyBorder="1" applyAlignment="1">
      <alignment horizontal="center"/>
    </xf>
    <xf numFmtId="0" fontId="11" fillId="2" borderId="3" xfId="0" applyFont="1" applyFill="1" applyBorder="1" applyAlignment="1">
      <alignment horizontal="center"/>
    </xf>
    <xf numFmtId="167" fontId="14" fillId="2" borderId="3" xfId="0" applyNumberFormat="1" applyFont="1" applyFill="1" applyBorder="1" applyAlignment="1">
      <alignment horizontal="center"/>
    </xf>
    <xf numFmtId="14" fontId="24" fillId="2" borderId="3" xfId="0" applyNumberFormat="1" applyFont="1" applyFill="1" applyBorder="1" applyAlignment="1">
      <alignment horizontal="center"/>
    </xf>
    <xf numFmtId="0" fontId="1" fillId="2" borderId="0" xfId="0" applyFont="1" applyFill="1" applyBorder="1" applyAlignment="1">
      <alignment horizontal="center"/>
    </xf>
    <xf numFmtId="0" fontId="4" fillId="2" borderId="0" xfId="0" applyFont="1" applyFill="1" applyBorder="1" applyAlignment="1">
      <alignment horizontal="center"/>
    </xf>
    <xf numFmtId="0" fontId="7" fillId="2" borderId="0" xfId="0" applyFont="1" applyFill="1" applyBorder="1" applyAlignment="1">
      <alignment horizontal="center"/>
    </xf>
    <xf numFmtId="0" fontId="10" fillId="2" borderId="0" xfId="0" applyFont="1" applyFill="1" applyBorder="1" applyAlignment="1">
      <alignment horizontal="center"/>
    </xf>
    <xf numFmtId="0" fontId="13" fillId="2" borderId="0" xfId="0" applyFont="1" applyFill="1" applyBorder="1" applyAlignment="1">
      <alignment horizontal="center"/>
    </xf>
    <xf numFmtId="0" fontId="23" fillId="2" borderId="0" xfId="0" applyFont="1" applyFill="1" applyBorder="1" applyAlignment="1">
      <alignment horizontal="center"/>
    </xf>
    <xf numFmtId="0" fontId="0" fillId="2" borderId="0" xfId="0" applyFill="1" applyBorder="1"/>
    <xf numFmtId="0" fontId="0" fillId="0" borderId="0" xfId="0" applyAlignment="1">
      <alignment vertical="center" wrapText="1"/>
    </xf>
    <xf numFmtId="0" fontId="0" fillId="2" borderId="2" xfId="0" applyFill="1" applyBorder="1" applyAlignment="1">
      <alignment wrapText="1"/>
    </xf>
    <xf numFmtId="0" fontId="26" fillId="0" borderId="0" xfId="1" applyAlignment="1">
      <alignment vertical="center" wrapText="1"/>
    </xf>
    <xf numFmtId="0" fontId="23" fillId="2" borderId="2" xfId="0" applyFont="1" applyFill="1" applyBorder="1" applyAlignment="1">
      <alignment wrapText="1"/>
    </xf>
    <xf numFmtId="0" fontId="27" fillId="0" borderId="0" xfId="0" applyFont="1" applyAlignment="1">
      <alignment vertical="center" wrapText="1"/>
    </xf>
    <xf numFmtId="0" fontId="0" fillId="0" borderId="0" xfId="0" applyFont="1" applyAlignment="1">
      <alignment vertical="center" wrapText="1"/>
    </xf>
    <xf numFmtId="0" fontId="23" fillId="2" borderId="0" xfId="0" applyFont="1" applyFill="1" applyBorder="1" applyAlignment="1">
      <alignment horizontal="center" vertical="center"/>
    </xf>
  </cellXfs>
  <cellStyles count="2">
    <cellStyle name="Link" xfId="1" builtinId="8"/>
    <cellStyle name="Standard"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dd/mm/yyyy"/>
    </dxf>
    <dxf>
      <numFmt numFmtId="27" formatCode="dd/mm/yyyy\ hh:mm"/>
    </dxf>
    <dxf>
      <numFmt numFmtId="27" formatCode="dd/mm/yyyy\ hh:mm"/>
    </dxf>
    <dxf>
      <numFmt numFmtId="0" formatCode="General"/>
    </dxf>
    <dxf>
      <numFmt numFmtId="27" formatCode="dd/mm/yyyy\ hh:mm"/>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66FF"/>
      <color rgb="FF33CC33"/>
      <color rgb="FF33CCFF"/>
      <color rgb="FF0078A2"/>
      <color rgb="FF66FF99"/>
      <color rgb="FFFFFF00"/>
      <color rgb="FFFFCCFF"/>
      <color rgb="FFCC99FF"/>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a:t>Total confirmed case</a:t>
            </a:r>
          </a:p>
        </c:rich>
      </c:tx>
      <c:overlay val="1"/>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728355277472318E-2"/>
          <c:y val="2.5608194622279128E-2"/>
          <c:w val="0.92733512493163894"/>
          <c:h val="0.80347404397753741"/>
        </c:manualLayout>
      </c:layout>
      <c:lineChart>
        <c:grouping val="standard"/>
        <c:varyColors val="0"/>
        <c:ser>
          <c:idx val="5"/>
          <c:order val="5"/>
          <c:tx>
            <c:v>released</c:v>
          </c:tx>
          <c:spPr>
            <a:ln w="34925" cap="rnd">
              <a:solidFill>
                <a:srgbClr val="66FF99"/>
              </a:solidFill>
              <a:round/>
            </a:ln>
            <a:effectLst>
              <a:outerShdw blurRad="57150" dist="19050" dir="5400000" algn="ctr" rotWithShape="0">
                <a:srgbClr val="000000">
                  <a:alpha val="63000"/>
                </a:srgbClr>
              </a:outerShdw>
            </a:effectLst>
          </c:spPr>
          <c:marker>
            <c:symbol val="none"/>
          </c:marker>
          <c:cat>
            <c:numLit>
              <c:formatCode>General</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Lit>
          </c:cat>
          <c:val>
            <c:numLit>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1644</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4551</c:v>
              </c:pt>
            </c:numLit>
          </c:val>
          <c:smooth val="0"/>
          <c:extLst>
            <c:ext xmlns:c16="http://schemas.microsoft.com/office/drawing/2014/chart" uri="{C3380CC4-5D6E-409C-BE32-E72D297353CC}">
              <c16:uniqueId val="{00000004-1B1B-4E8A-9467-6BF6B6803E2C}"/>
            </c:ext>
          </c:extLst>
        </c:ser>
        <c:ser>
          <c:idx val="3"/>
          <c:order val="3"/>
          <c:tx>
            <c:v>total_positive</c:v>
          </c:tx>
          <c:spPr>
            <a:ln w="34925" cap="rnd">
              <a:solidFill>
                <a:srgbClr val="FFFF00"/>
              </a:solidFill>
              <a:round/>
            </a:ln>
            <a:effectLst>
              <a:outerShdw blurRad="57150" dist="19050" dir="5400000" algn="ctr" rotWithShape="0">
                <a:srgbClr val="000000">
                  <a:alpha val="63000"/>
                </a:srgbClr>
              </a:outerShdw>
            </a:effectLst>
          </c:spPr>
          <c:marker>
            <c:symbol val="none"/>
          </c:marker>
          <c:cat>
            <c:numLit>
              <c:formatCode>General</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Lit>
          </c:cat>
          <c:val>
            <c:numLit>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Lit>
          </c:val>
          <c:smooth val="0"/>
          <c:extLst>
            <c:ext xmlns:c16="http://schemas.microsoft.com/office/drawing/2014/chart" uri="{C3380CC4-5D6E-409C-BE32-E72D297353CC}">
              <c16:uniqueId val="{00000002-1B1B-4E8A-9467-6BF6B6803E2C}"/>
            </c:ext>
          </c:extLst>
        </c:ser>
        <c:ser>
          <c:idx val="6"/>
          <c:order val="6"/>
          <c:tx>
            <c:strRef>
              <c:f>ch_latest!$J$1</c:f>
              <c:strCache>
                <c:ptCount val="1"/>
                <c:pt idx="0">
                  <c:v>deaths</c:v>
                </c:pt>
              </c:strCache>
              <c:extLst xmlns:c15="http://schemas.microsoft.com/office/drawing/2012/chart"/>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ch_latest!$A$2:$A$60</c:f>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extLst xmlns:c15="http://schemas.microsoft.com/office/drawing/2012/chart"/>
            </c:numRef>
          </c:cat>
          <c:val>
            <c:numRef>
              <c:f>ch_latest!$J$2:$J$60</c:f>
              <c:numCache>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8</c:v>
                </c:pt>
                <c:pt idx="17">
                  <c:v>9</c:v>
                </c:pt>
                <c:pt idx="18">
                  <c:v>12</c:v>
                </c:pt>
                <c:pt idx="19">
                  <c:v>20</c:v>
                </c:pt>
                <c:pt idx="20">
                  <c:v>29</c:v>
                </c:pt>
                <c:pt idx="21">
                  <c:v>35</c:v>
                </c:pt>
                <c:pt idx="22">
                  <c:v>48</c:v>
                </c:pt>
                <c:pt idx="23">
                  <c:v>55</c:v>
                </c:pt>
                <c:pt idx="24">
                  <c:v>77</c:v>
                </c:pt>
                <c:pt idx="25">
                  <c:v>96</c:v>
                </c:pt>
                <c:pt idx="26">
                  <c:v>114</c:v>
                </c:pt>
                <c:pt idx="27">
                  <c:v>142</c:v>
                </c:pt>
                <c:pt idx="28">
                  <c:v>163</c:v>
                </c:pt>
                <c:pt idx="29">
                  <c:v>196</c:v>
                </c:pt>
                <c:pt idx="30">
                  <c:v>246</c:v>
                </c:pt>
                <c:pt idx="31">
                  <c:v>282</c:v>
                </c:pt>
                <c:pt idx="32">
                  <c:v>330</c:v>
                </c:pt>
                <c:pt idx="33">
                  <c:v>370</c:v>
                </c:pt>
                <c:pt idx="34">
                  <c:v>425</c:v>
                </c:pt>
                <c:pt idx="35">
                  <c:v>495</c:v>
                </c:pt>
                <c:pt idx="36">
                  <c:v>556</c:v>
                </c:pt>
                <c:pt idx="37">
                  <c:v>617</c:v>
                </c:pt>
                <c:pt idx="38">
                  <c:v>680</c:v>
                </c:pt>
                <c:pt idx="39">
                  <c:v>744</c:v>
                </c:pt>
                <c:pt idx="40">
                  <c:v>797</c:v>
                </c:pt>
                <c:pt idx="41">
                  <c:v>853</c:v>
                </c:pt>
                <c:pt idx="42">
                  <c:v>914</c:v>
                </c:pt>
                <c:pt idx="43">
                  <c:v>982</c:v>
                </c:pt>
                <c:pt idx="44">
                  <c:v>1031</c:v>
                </c:pt>
                <c:pt idx="45">
                  <c:v>1081</c:v>
                </c:pt>
                <c:pt idx="46">
                  <c:v>1117</c:v>
                </c:pt>
                <c:pt idx="47">
                  <c:v>1171</c:v>
                </c:pt>
                <c:pt idx="48">
                  <c:v>1200</c:v>
                </c:pt>
                <c:pt idx="49">
                  <c:v>1239</c:v>
                </c:pt>
                <c:pt idx="50">
                  <c:v>1292</c:v>
                </c:pt>
                <c:pt idx="51">
                  <c:v>1333</c:v>
                </c:pt>
                <c:pt idx="52">
                  <c:v>1374</c:v>
                </c:pt>
                <c:pt idx="53">
                  <c:v>1413</c:v>
                </c:pt>
                <c:pt idx="54">
                  <c:v>1434</c:v>
                </c:pt>
                <c:pt idx="55">
                  <c:v>1470</c:v>
                </c:pt>
                <c:pt idx="56">
                  <c:v>1504</c:v>
                </c:pt>
                <c:pt idx="57">
                  <c:v>1520</c:v>
                </c:pt>
                <c:pt idx="58">
                  <c:v>1528</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1B1B-4E8A-9467-6BF6B6803E2C}"/>
            </c:ext>
          </c:extLst>
        </c:ser>
        <c:dLbls>
          <c:showLegendKey val="0"/>
          <c:showVal val="0"/>
          <c:showCatName val="0"/>
          <c:showSerName val="0"/>
          <c:showPercent val="0"/>
          <c:showBubbleSize val="0"/>
        </c:dLbls>
        <c:smooth val="0"/>
        <c:axId val="1165289807"/>
        <c:axId val="72936975"/>
        <c:extLst>
          <c:ext xmlns:c15="http://schemas.microsoft.com/office/drawing/2012/chart" uri="{02D57815-91ED-43cb-92C2-25804820EDAC}">
            <c15:filteredLineSeries>
              <c15:ser>
                <c:idx val="8"/>
                <c:order val="8"/>
                <c:tx>
                  <c:v>new_positive</c:v>
                </c:tx>
                <c:spPr>
                  <a:ln w="34925" cap="rnd">
                    <a:solidFill>
                      <a:srgbClr val="0078A2"/>
                    </a:solidFill>
                    <a:round/>
                  </a:ln>
                  <a:effectLst>
                    <a:outerShdw blurRad="57150" dist="19050" dir="5400000" algn="ctr" rotWithShape="0">
                      <a:srgbClr val="000000">
                        <a:alpha val="63000"/>
                      </a:srgbClr>
                    </a:outerShdw>
                  </a:effectLst>
                </c:spPr>
                <c:marker>
                  <c:symbol val="none"/>
                </c:marker>
                <c:cat>
                  <c:numLit>
                    <c:formatCode>General</c:formatCode>
                    <c:ptCount val="5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numLit>
                </c:cat>
                <c:val>
                  <c:numLit>
                    <c:formatCode>General</c:formatCode>
                    <c:ptCount val="59"/>
                    <c:pt idx="0">
                      <c:v>0</c:v>
                    </c:pt>
                    <c:pt idx="1">
                      <c:v>1</c:v>
                    </c:pt>
                    <c:pt idx="2">
                      <c:v>4</c:v>
                    </c:pt>
                    <c:pt idx="3">
                      <c:v>7</c:v>
                    </c:pt>
                    <c:pt idx="4">
                      <c:v>7</c:v>
                    </c:pt>
                    <c:pt idx="5">
                      <c:v>7</c:v>
                    </c:pt>
                    <c:pt idx="6">
                      <c:v>11</c:v>
                    </c:pt>
                    <c:pt idx="7">
                      <c:v>16</c:v>
                    </c:pt>
                    <c:pt idx="8">
                      <c:v>21</c:v>
                    </c:pt>
                    <c:pt idx="9">
                      <c:v>44</c:v>
                    </c:pt>
                    <c:pt idx="10">
                      <c:v>64</c:v>
                    </c:pt>
                    <c:pt idx="11">
                      <c:v>72</c:v>
                    </c:pt>
                    <c:pt idx="12">
                      <c:v>64</c:v>
                    </c:pt>
                    <c:pt idx="13">
                      <c:v>77</c:v>
                    </c:pt>
                    <c:pt idx="14">
                      <c:v>80</c:v>
                    </c:pt>
                    <c:pt idx="15">
                      <c:v>140</c:v>
                    </c:pt>
                    <c:pt idx="16">
                      <c:v>347</c:v>
                    </c:pt>
                    <c:pt idx="17">
                      <c:v>329</c:v>
                    </c:pt>
                    <c:pt idx="18">
                      <c:v>276</c:v>
                    </c:pt>
                    <c:pt idx="19">
                      <c:v>297</c:v>
                    </c:pt>
                    <c:pt idx="20">
                      <c:v>575</c:v>
                    </c:pt>
                    <c:pt idx="21">
                      <c:v>692</c:v>
                    </c:pt>
                    <c:pt idx="22">
                      <c:v>1184</c:v>
                    </c:pt>
                    <c:pt idx="23">
                      <c:v>1153</c:v>
                    </c:pt>
                    <c:pt idx="24">
                      <c:v>1150</c:v>
                    </c:pt>
                    <c:pt idx="25">
                      <c:v>736</c:v>
                    </c:pt>
                    <c:pt idx="26">
                      <c:v>705</c:v>
                    </c:pt>
                    <c:pt idx="27">
                      <c:v>1303</c:v>
                    </c:pt>
                    <c:pt idx="28">
                      <c:v>949</c:v>
                    </c:pt>
                    <c:pt idx="29">
                      <c:v>1176</c:v>
                    </c:pt>
                    <c:pt idx="30">
                      <c:v>1240</c:v>
                    </c:pt>
                    <c:pt idx="31">
                      <c:v>1290</c:v>
                    </c:pt>
                    <c:pt idx="32">
                      <c:v>862</c:v>
                    </c:pt>
                    <c:pt idx="33">
                      <c:v>741</c:v>
                    </c:pt>
                    <c:pt idx="34">
                      <c:v>1073</c:v>
                    </c:pt>
                    <c:pt idx="35">
                      <c:v>992</c:v>
                    </c:pt>
                    <c:pt idx="36">
                      <c:v>1005</c:v>
                    </c:pt>
                    <c:pt idx="37">
                      <c:v>1083</c:v>
                    </c:pt>
                    <c:pt idx="38">
                      <c:v>922</c:v>
                    </c:pt>
                    <c:pt idx="39">
                      <c:v>607</c:v>
                    </c:pt>
                    <c:pt idx="40">
                      <c:v>458</c:v>
                    </c:pt>
                    <c:pt idx="41">
                      <c:v>660</c:v>
                    </c:pt>
                    <c:pt idx="42">
                      <c:v>657</c:v>
                    </c:pt>
                    <c:pt idx="43">
                      <c:v>651</c:v>
                    </c:pt>
                    <c:pt idx="44">
                      <c:v>676</c:v>
                    </c:pt>
                    <c:pt idx="45">
                      <c:v>494</c:v>
                    </c:pt>
                    <c:pt idx="46">
                      <c:v>466</c:v>
                    </c:pt>
                    <c:pt idx="47">
                      <c:v>319</c:v>
                    </c:pt>
                    <c:pt idx="48">
                      <c:v>240</c:v>
                    </c:pt>
                    <c:pt idx="49">
                      <c:v>309</c:v>
                    </c:pt>
                    <c:pt idx="50">
                      <c:v>320</c:v>
                    </c:pt>
                    <c:pt idx="51">
                      <c:v>314</c:v>
                    </c:pt>
                    <c:pt idx="52">
                      <c:v>303</c:v>
                    </c:pt>
                    <c:pt idx="53">
                      <c:v>322</c:v>
                    </c:pt>
                    <c:pt idx="54">
                      <c:v>198</c:v>
                    </c:pt>
                    <c:pt idx="55">
                      <c:v>189</c:v>
                    </c:pt>
                    <c:pt idx="56">
                      <c:v>146</c:v>
                    </c:pt>
                    <c:pt idx="57">
                      <c:v>177</c:v>
                    </c:pt>
                    <c:pt idx="58">
                      <c:v>95</c:v>
                    </c:pt>
                  </c:numLit>
                </c:val>
                <c:smooth val="0"/>
                <c:extLst>
                  <c:ext xmlns:c16="http://schemas.microsoft.com/office/drawing/2014/chart" uri="{C3380CC4-5D6E-409C-BE32-E72D297353CC}">
                    <c16:uniqueId val="{00000007-1B1B-4E8A-9467-6BF6B6803E2C}"/>
                  </c:ext>
                </c:extLst>
              </c15:ser>
            </c15:filteredLineSeries>
            <c15:filteredLineSeries>
              <c15:ser>
                <c:idx val="0"/>
                <c:order val="0"/>
                <c:tx>
                  <c:strRef>
                    <c:extLst xmlns:c15="http://schemas.microsoft.com/office/drawing/2012/chart">
                      <c:ext xmlns:c15="http://schemas.microsoft.com/office/drawing/2012/char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ch_latest!$D$2:$D$60</c15:sqref>
                        </c15:formulaRef>
                      </c:ext>
                    </c:extLst>
                    <c:numCache>
                      <c:formatCode>General</c:formatCode>
                      <c:ptCount val="59"/>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411</c:v>
                      </c:pt>
                      <c:pt idx="36">
                        <c:v>442</c:v>
                      </c:pt>
                      <c:pt idx="37">
                        <c:v>449</c:v>
                      </c:pt>
                      <c:pt idx="38">
                        <c:v>456</c:v>
                      </c:pt>
                      <c:pt idx="39">
                        <c:v>458</c:v>
                      </c:pt>
                      <c:pt idx="40">
                        <c:v>448</c:v>
                      </c:pt>
                      <c:pt idx="41">
                        <c:v>448</c:v>
                      </c:pt>
                      <c:pt idx="42">
                        <c:v>444</c:v>
                      </c:pt>
                      <c:pt idx="43">
                        <c:v>440</c:v>
                      </c:pt>
                      <c:pt idx="44">
                        <c:v>433</c:v>
                      </c:pt>
                      <c:pt idx="45">
                        <c:v>421</c:v>
                      </c:pt>
                      <c:pt idx="46">
                        <c:v>421</c:v>
                      </c:pt>
                      <c:pt idx="47">
                        <c:v>410</c:v>
                      </c:pt>
                      <c:pt idx="48">
                        <c:v>407</c:v>
                      </c:pt>
                      <c:pt idx="49">
                        <c:v>392</c:v>
                      </c:pt>
                      <c:pt idx="50">
                        <c:v>367</c:v>
                      </c:pt>
                      <c:pt idx="51">
                        <c:v>348</c:v>
                      </c:pt>
                      <c:pt idx="52">
                        <c:v>336</c:v>
                      </c:pt>
                      <c:pt idx="53">
                        <c:v>322</c:v>
                      </c:pt>
                      <c:pt idx="54">
                        <c:v>313</c:v>
                      </c:pt>
                      <c:pt idx="55">
                        <c:v>300</c:v>
                      </c:pt>
                      <c:pt idx="56">
                        <c:v>286</c:v>
                      </c:pt>
                      <c:pt idx="57">
                        <c:v>255</c:v>
                      </c:pt>
                      <c:pt idx="58">
                        <c:v>250</c:v>
                      </c:pt>
                    </c:numCache>
                  </c:numRef>
                </c:val>
                <c:smooth val="0"/>
                <c:extLst xmlns:c15="http://schemas.microsoft.com/office/drawing/2012/chart">
                  <c:ext xmlns:c16="http://schemas.microsoft.com/office/drawing/2014/chart" uri="{C3380CC4-5D6E-409C-BE32-E72D297353CC}">
                    <c16:uniqueId val="{00000000-2841-49BC-AC15-B5837423ED65}"/>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ch_latest!$E$2:$E$60</c15:sqref>
                        </c15:formulaRef>
                      </c:ext>
                    </c:extLst>
                    <c:numCache>
                      <c:formatCode>General</c:formatCode>
                      <c:ptCount val="59"/>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121</c:v>
                      </c:pt>
                      <c:pt idx="16">
                        <c:v>142</c:v>
                      </c:pt>
                      <c:pt idx="17">
                        <c:v>233</c:v>
                      </c:pt>
                      <c:pt idx="18">
                        <c:v>258</c:v>
                      </c:pt>
                      <c:pt idx="19">
                        <c:v>282</c:v>
                      </c:pt>
                      <c:pt idx="20">
                        <c:v>354</c:v>
                      </c:pt>
                      <c:pt idx="21">
                        <c:v>413</c:v>
                      </c:pt>
                      <c:pt idx="22">
                        <c:v>486</c:v>
                      </c:pt>
                      <c:pt idx="23">
                        <c:v>685</c:v>
                      </c:pt>
                      <c:pt idx="24">
                        <c:v>795</c:v>
                      </c:pt>
                      <c:pt idx="25">
                        <c:v>900</c:v>
                      </c:pt>
                      <c:pt idx="26">
                        <c:v>1089</c:v>
                      </c:pt>
                      <c:pt idx="27">
                        <c:v>1204</c:v>
                      </c:pt>
                      <c:pt idx="28">
                        <c:v>1350</c:v>
                      </c:pt>
                      <c:pt idx="29">
                        <c:v>1460</c:v>
                      </c:pt>
                      <c:pt idx="30">
                        <c:v>1605</c:v>
                      </c:pt>
                      <c:pt idx="31">
                        <c:v>1786</c:v>
                      </c:pt>
                      <c:pt idx="32">
                        <c:v>1868</c:v>
                      </c:pt>
                      <c:pt idx="33">
                        <c:v>1985</c:v>
                      </c:pt>
                      <c:pt idx="34">
                        <c:v>2179</c:v>
                      </c:pt>
                      <c:pt idx="35">
                        <c:v>2203</c:v>
                      </c:pt>
                      <c:pt idx="36">
                        <c:v>2283</c:v>
                      </c:pt>
                      <c:pt idx="37">
                        <c:v>2347</c:v>
                      </c:pt>
                      <c:pt idx="38">
                        <c:v>2334</c:v>
                      </c:pt>
                      <c:pt idx="39">
                        <c:v>2322</c:v>
                      </c:pt>
                      <c:pt idx="40">
                        <c:v>2300</c:v>
                      </c:pt>
                      <c:pt idx="41">
                        <c:v>2312</c:v>
                      </c:pt>
                      <c:pt idx="42">
                        <c:v>2252</c:v>
                      </c:pt>
                      <c:pt idx="43">
                        <c:v>2143</c:v>
                      </c:pt>
                      <c:pt idx="44">
                        <c:v>2077</c:v>
                      </c:pt>
                      <c:pt idx="45">
                        <c:v>2016</c:v>
                      </c:pt>
                      <c:pt idx="46">
                        <c:v>1939</c:v>
                      </c:pt>
                      <c:pt idx="47">
                        <c:v>1915</c:v>
                      </c:pt>
                      <c:pt idx="48">
                        <c:v>1895</c:v>
                      </c:pt>
                      <c:pt idx="49">
                        <c:v>1861</c:v>
                      </c:pt>
                      <c:pt idx="50">
                        <c:v>1733</c:v>
                      </c:pt>
                      <c:pt idx="51">
                        <c:v>1680</c:v>
                      </c:pt>
                      <c:pt idx="52">
                        <c:v>1586</c:v>
                      </c:pt>
                      <c:pt idx="53">
                        <c:v>1549</c:v>
                      </c:pt>
                      <c:pt idx="54">
                        <c:v>1527</c:v>
                      </c:pt>
                      <c:pt idx="55">
                        <c:v>1502</c:v>
                      </c:pt>
                      <c:pt idx="56">
                        <c:v>1425</c:v>
                      </c:pt>
                      <c:pt idx="57">
                        <c:v>1362</c:v>
                      </c:pt>
                      <c:pt idx="58">
                        <c:v>1345</c:v>
                      </c:pt>
                    </c:numCache>
                  </c:numRef>
                </c:val>
                <c:smooth val="0"/>
                <c:extLst xmlns:c15="http://schemas.microsoft.com/office/drawing/2012/chart">
                  <c:ext xmlns:c16="http://schemas.microsoft.com/office/drawing/2014/chart" uri="{C3380CC4-5D6E-409C-BE32-E72D297353CC}">
                    <c16:uniqueId val="{00000000-1B1B-4E8A-9467-6BF6B6803E2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ch_latest!$F$2:$F$60</c15:sqref>
                        </c15:formulaRef>
                      </c:ext>
                    </c:extLst>
                    <c:numCache>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Cache>
                  </c:numRef>
                </c:val>
                <c:smooth val="0"/>
                <c:extLst xmlns:c15="http://schemas.microsoft.com/office/drawing/2012/chart">
                  <c:ext xmlns:c16="http://schemas.microsoft.com/office/drawing/2014/chart" uri="{C3380CC4-5D6E-409C-BE32-E72D297353CC}">
                    <c16:uniqueId val="{00000001-1B1B-4E8A-9467-6BF6B6803E2C}"/>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ch_latest!$H$2:$H$60</c15:sqref>
                        </c15:formulaRef>
                      </c:ext>
                    </c:extLst>
                    <c:numCache>
                      <c:formatCode>General</c:formatCode>
                      <c:ptCount val="59"/>
                      <c:pt idx="0">
                        <c:v>72</c:v>
                      </c:pt>
                      <c:pt idx="1">
                        <c:v>178</c:v>
                      </c:pt>
                      <c:pt idx="2">
                        <c:v>329</c:v>
                      </c:pt>
                      <c:pt idx="3">
                        <c:v>537</c:v>
                      </c:pt>
                      <c:pt idx="4">
                        <c:v>677</c:v>
                      </c:pt>
                      <c:pt idx="5">
                        <c:v>816</c:v>
                      </c:pt>
                      <c:pt idx="6">
                        <c:v>1139</c:v>
                      </c:pt>
                      <c:pt idx="7">
                        <c:v>1260</c:v>
                      </c:pt>
                      <c:pt idx="8">
                        <c:v>1371</c:v>
                      </c:pt>
                      <c:pt idx="9">
                        <c:v>1439</c:v>
                      </c:pt>
                      <c:pt idx="10">
                        <c:v>1544</c:v>
                      </c:pt>
                      <c:pt idx="11">
                        <c:v>1620</c:v>
                      </c:pt>
                      <c:pt idx="12">
                        <c:v>1691</c:v>
                      </c:pt>
                      <c:pt idx="13">
                        <c:v>1806</c:v>
                      </c:pt>
                      <c:pt idx="14">
                        <c:v>2029</c:v>
                      </c:pt>
                      <c:pt idx="15">
                        <c:v>2293</c:v>
                      </c:pt>
                      <c:pt idx="16">
                        <c:v>2673</c:v>
                      </c:pt>
                      <c:pt idx="17">
                        <c:v>3155</c:v>
                      </c:pt>
                      <c:pt idx="18">
                        <c:v>3841</c:v>
                      </c:pt>
                      <c:pt idx="19">
                        <c:v>4276</c:v>
                      </c:pt>
                      <c:pt idx="20">
                        <c:v>4973</c:v>
                      </c:pt>
                      <c:pt idx="21">
                        <c:v>5605</c:v>
                      </c:pt>
                      <c:pt idx="22">
                        <c:v>6398</c:v>
                      </c:pt>
                      <c:pt idx="23">
                        <c:v>6993</c:v>
                      </c:pt>
                      <c:pt idx="24">
                        <c:v>7400</c:v>
                      </c:pt>
                      <c:pt idx="25">
                        <c:v>7768</c:v>
                      </c:pt>
                      <c:pt idx="26">
                        <c:v>8009</c:v>
                      </c:pt>
                      <c:pt idx="27">
                        <c:v>8405</c:v>
                      </c:pt>
                      <c:pt idx="28">
                        <c:v>8753</c:v>
                      </c:pt>
                      <c:pt idx="29">
                        <c:v>9186</c:v>
                      </c:pt>
                      <c:pt idx="30">
                        <c:v>10500</c:v>
                      </c:pt>
                      <c:pt idx="31">
                        <c:v>10992</c:v>
                      </c:pt>
                      <c:pt idx="32">
                        <c:v>11599</c:v>
                      </c:pt>
                      <c:pt idx="33">
                        <c:v>11908</c:v>
                      </c:pt>
                      <c:pt idx="34">
                        <c:v>12568</c:v>
                      </c:pt>
                      <c:pt idx="35">
                        <c:v>13326</c:v>
                      </c:pt>
                      <c:pt idx="36">
                        <c:v>13991</c:v>
                      </c:pt>
                      <c:pt idx="37">
                        <c:v>14943</c:v>
                      </c:pt>
                      <c:pt idx="38">
                        <c:v>15781</c:v>
                      </c:pt>
                      <c:pt idx="39">
                        <c:v>16375</c:v>
                      </c:pt>
                      <c:pt idx="40">
                        <c:v>16679</c:v>
                      </c:pt>
                      <c:pt idx="41">
                        <c:v>17334</c:v>
                      </c:pt>
                      <c:pt idx="42">
                        <c:v>18185</c:v>
                      </c:pt>
                      <c:pt idx="43">
                        <c:v>19006</c:v>
                      </c:pt>
                      <c:pt idx="44">
                        <c:v>19528</c:v>
                      </c:pt>
                      <c:pt idx="45">
                        <c:v>19948</c:v>
                      </c:pt>
                      <c:pt idx="46">
                        <c:v>20317</c:v>
                      </c:pt>
                      <c:pt idx="47">
                        <c:v>20496</c:v>
                      </c:pt>
                      <c:pt idx="48">
                        <c:v>20807</c:v>
                      </c:pt>
                      <c:pt idx="49">
                        <c:v>21362</c:v>
                      </c:pt>
                      <c:pt idx="50">
                        <c:v>21838</c:v>
                      </c:pt>
                      <c:pt idx="51">
                        <c:v>22530</c:v>
                      </c:pt>
                      <c:pt idx="52">
                        <c:v>23000</c:v>
                      </c:pt>
                      <c:pt idx="53">
                        <c:v>23452</c:v>
                      </c:pt>
                      <c:pt idx="54">
                        <c:v>23643</c:v>
                      </c:pt>
                      <c:pt idx="55">
                        <c:v>24035</c:v>
                      </c:pt>
                      <c:pt idx="56">
                        <c:v>24277</c:v>
                      </c:pt>
                      <c:pt idx="57">
                        <c:v>24277</c:v>
                      </c:pt>
                      <c:pt idx="58">
                        <c:v>24277</c:v>
                      </c:pt>
                    </c:numCache>
                  </c:numRef>
                </c:val>
                <c:smooth val="0"/>
                <c:extLst xmlns:c15="http://schemas.microsoft.com/office/drawing/2012/chart">
                  <c:ext xmlns:c16="http://schemas.microsoft.com/office/drawing/2014/chart" uri="{C3380CC4-5D6E-409C-BE32-E72D297353CC}">
                    <c16:uniqueId val="{00000003-1B1B-4E8A-9467-6BF6B6803E2C}"/>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ch_latest!$K$2:$K$60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numCache>
                  </c:numRef>
                </c:val>
                <c:smooth val="0"/>
                <c:extLst xmlns:c15="http://schemas.microsoft.com/office/drawing/2012/chart">
                  <c:ext xmlns:c16="http://schemas.microsoft.com/office/drawing/2014/chart" uri="{C3380CC4-5D6E-409C-BE32-E72D297353CC}">
                    <c16:uniqueId val="{00000006-1B1B-4E8A-9467-6BF6B6803E2C}"/>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ch_latest!$M$2:$M$60</c15:sqref>
                        </c15:formulaRef>
                      </c:ext>
                    </c:extLst>
                    <c:numCache>
                      <c:formatCode>General</c:formatCode>
                      <c:ptCount val="59"/>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476</c:v>
                      </c:pt>
                      <c:pt idx="16">
                        <c:v>616</c:v>
                      </c:pt>
                      <c:pt idx="17">
                        <c:v>963</c:v>
                      </c:pt>
                      <c:pt idx="18">
                        <c:v>1292</c:v>
                      </c:pt>
                      <c:pt idx="19">
                        <c:v>1568</c:v>
                      </c:pt>
                      <c:pt idx="20">
                        <c:v>1865</c:v>
                      </c:pt>
                      <c:pt idx="21">
                        <c:v>2440</c:v>
                      </c:pt>
                      <c:pt idx="22">
                        <c:v>3132</c:v>
                      </c:pt>
                      <c:pt idx="23">
                        <c:v>4316</c:v>
                      </c:pt>
                      <c:pt idx="24">
                        <c:v>5469</c:v>
                      </c:pt>
                      <c:pt idx="25">
                        <c:v>6619</c:v>
                      </c:pt>
                      <c:pt idx="26">
                        <c:v>7355</c:v>
                      </c:pt>
                      <c:pt idx="27">
                        <c:v>8060</c:v>
                      </c:pt>
                      <c:pt idx="28">
                        <c:v>9363</c:v>
                      </c:pt>
                      <c:pt idx="29">
                        <c:v>10312</c:v>
                      </c:pt>
                      <c:pt idx="30">
                        <c:v>11488</c:v>
                      </c:pt>
                      <c:pt idx="31">
                        <c:v>12728</c:v>
                      </c:pt>
                      <c:pt idx="32">
                        <c:v>14018</c:v>
                      </c:pt>
                      <c:pt idx="33">
                        <c:v>14880</c:v>
                      </c:pt>
                      <c:pt idx="34">
                        <c:v>15621</c:v>
                      </c:pt>
                      <c:pt idx="35">
                        <c:v>16694</c:v>
                      </c:pt>
                      <c:pt idx="36">
                        <c:v>17686</c:v>
                      </c:pt>
                      <c:pt idx="37">
                        <c:v>18691</c:v>
                      </c:pt>
                      <c:pt idx="38">
                        <c:v>19774</c:v>
                      </c:pt>
                      <c:pt idx="39">
                        <c:v>20696</c:v>
                      </c:pt>
                      <c:pt idx="40">
                        <c:v>21303</c:v>
                      </c:pt>
                      <c:pt idx="41">
                        <c:v>21761</c:v>
                      </c:pt>
                      <c:pt idx="42">
                        <c:v>22421</c:v>
                      </c:pt>
                      <c:pt idx="43">
                        <c:v>23078</c:v>
                      </c:pt>
                      <c:pt idx="44">
                        <c:v>23729</c:v>
                      </c:pt>
                      <c:pt idx="45">
                        <c:v>24405</c:v>
                      </c:pt>
                      <c:pt idx="46">
                        <c:v>24899</c:v>
                      </c:pt>
                      <c:pt idx="47">
                        <c:v>25365</c:v>
                      </c:pt>
                      <c:pt idx="48">
                        <c:v>25684</c:v>
                      </c:pt>
                      <c:pt idx="49">
                        <c:v>25924</c:v>
                      </c:pt>
                      <c:pt idx="50">
                        <c:v>26233</c:v>
                      </c:pt>
                      <c:pt idx="51">
                        <c:v>26553</c:v>
                      </c:pt>
                      <c:pt idx="52">
                        <c:v>26867</c:v>
                      </c:pt>
                      <c:pt idx="53">
                        <c:v>27170</c:v>
                      </c:pt>
                      <c:pt idx="54">
                        <c:v>27492</c:v>
                      </c:pt>
                      <c:pt idx="55">
                        <c:v>27690</c:v>
                      </c:pt>
                      <c:pt idx="56">
                        <c:v>27879</c:v>
                      </c:pt>
                      <c:pt idx="57">
                        <c:v>28025</c:v>
                      </c:pt>
                      <c:pt idx="58">
                        <c:v>28202</c:v>
                      </c:pt>
                    </c:numCache>
                  </c:numRef>
                </c:val>
                <c:smooth val="0"/>
                <c:extLst xmlns:c15="http://schemas.microsoft.com/office/drawing/2012/chart">
                  <c:ext xmlns:c16="http://schemas.microsoft.com/office/drawing/2014/chart" uri="{C3380CC4-5D6E-409C-BE32-E72D297353CC}">
                    <c16:uniqueId val="{00000008-1B1B-4E8A-9467-6BF6B6803E2C}"/>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ch_latest!$N$2:$N$60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numCache>
                  </c:numRef>
                </c:val>
                <c:smooth val="0"/>
                <c:extLst xmlns:c15="http://schemas.microsoft.com/office/drawing/2012/chart">
                  <c:ext xmlns:c16="http://schemas.microsoft.com/office/drawing/2014/chart" uri="{C3380CC4-5D6E-409C-BE32-E72D297353CC}">
                    <c16:uniqueId val="{00000009-1B1B-4E8A-9467-6BF6B6803E2C}"/>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ch_latest!$P$2:$P$60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8</c:v>
                      </c:pt>
                      <c:pt idx="18">
                        <c:v>9</c:v>
                      </c:pt>
                      <c:pt idx="19">
                        <c:v>12</c:v>
                      </c:pt>
                      <c:pt idx="20">
                        <c:v>20</c:v>
                      </c:pt>
                      <c:pt idx="21">
                        <c:v>29</c:v>
                      </c:pt>
                      <c:pt idx="22">
                        <c:v>35</c:v>
                      </c:pt>
                      <c:pt idx="23">
                        <c:v>48</c:v>
                      </c:pt>
                      <c:pt idx="24">
                        <c:v>55</c:v>
                      </c:pt>
                      <c:pt idx="25">
                        <c:v>77</c:v>
                      </c:pt>
                      <c:pt idx="26">
                        <c:v>96</c:v>
                      </c:pt>
                      <c:pt idx="27">
                        <c:v>114</c:v>
                      </c:pt>
                      <c:pt idx="28">
                        <c:v>142</c:v>
                      </c:pt>
                      <c:pt idx="29">
                        <c:v>163</c:v>
                      </c:pt>
                      <c:pt idx="30">
                        <c:v>196</c:v>
                      </c:pt>
                      <c:pt idx="31">
                        <c:v>246</c:v>
                      </c:pt>
                      <c:pt idx="32">
                        <c:v>282</c:v>
                      </c:pt>
                      <c:pt idx="33">
                        <c:v>330</c:v>
                      </c:pt>
                      <c:pt idx="34">
                        <c:v>370</c:v>
                      </c:pt>
                      <c:pt idx="35">
                        <c:v>425</c:v>
                      </c:pt>
                      <c:pt idx="36">
                        <c:v>495</c:v>
                      </c:pt>
                      <c:pt idx="37">
                        <c:v>556</c:v>
                      </c:pt>
                      <c:pt idx="38">
                        <c:v>617</c:v>
                      </c:pt>
                      <c:pt idx="39">
                        <c:v>680</c:v>
                      </c:pt>
                      <c:pt idx="40">
                        <c:v>744</c:v>
                      </c:pt>
                      <c:pt idx="41">
                        <c:v>797</c:v>
                      </c:pt>
                      <c:pt idx="42">
                        <c:v>853</c:v>
                      </c:pt>
                      <c:pt idx="43">
                        <c:v>914</c:v>
                      </c:pt>
                      <c:pt idx="44">
                        <c:v>982</c:v>
                      </c:pt>
                      <c:pt idx="45">
                        <c:v>1031</c:v>
                      </c:pt>
                      <c:pt idx="46">
                        <c:v>1081</c:v>
                      </c:pt>
                      <c:pt idx="47">
                        <c:v>1117</c:v>
                      </c:pt>
                      <c:pt idx="48">
                        <c:v>1171</c:v>
                      </c:pt>
                      <c:pt idx="49">
                        <c:v>1200</c:v>
                      </c:pt>
                      <c:pt idx="50">
                        <c:v>1239</c:v>
                      </c:pt>
                      <c:pt idx="51">
                        <c:v>1292</c:v>
                      </c:pt>
                      <c:pt idx="52">
                        <c:v>1333</c:v>
                      </c:pt>
                      <c:pt idx="53">
                        <c:v>1374</c:v>
                      </c:pt>
                      <c:pt idx="54">
                        <c:v>1413</c:v>
                      </c:pt>
                      <c:pt idx="55">
                        <c:v>1434</c:v>
                      </c:pt>
                      <c:pt idx="56">
                        <c:v>1470</c:v>
                      </c:pt>
                      <c:pt idx="57">
                        <c:v>1504</c:v>
                      </c:pt>
                      <c:pt idx="58">
                        <c:v>1520</c:v>
                      </c:pt>
                    </c:numCache>
                  </c:numRef>
                </c:val>
                <c:smooth val="0"/>
                <c:extLst xmlns:c15="http://schemas.microsoft.com/office/drawing/2012/chart">
                  <c:ext xmlns:c16="http://schemas.microsoft.com/office/drawing/2014/chart" uri="{C3380CC4-5D6E-409C-BE32-E72D297353CC}">
                    <c16:uniqueId val="{0000000B-1B1B-4E8A-9467-6BF6B6803E2C}"/>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ch_latest!$Q$2:$Q$60</c15:sqref>
                        </c15:formulaRef>
                      </c:ext>
                    </c:extLst>
                    <c:numCache>
                      <c:formatCode>General</c:formatCode>
                      <c:ptCount val="59"/>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2.5</c:v>
                      </c:pt>
                      <c:pt idx="15">
                        <c:v>2.8553700000000002</c:v>
                      </c:pt>
                      <c:pt idx="16">
                        <c:v>2.60819</c:v>
                      </c:pt>
                      <c:pt idx="17">
                        <c:v>2.4777279999999999</c:v>
                      </c:pt>
                      <c:pt idx="18">
                        <c:v>2.5184440000000001</c:v>
                      </c:pt>
                      <c:pt idx="19">
                        <c:v>2.5378880000000001</c:v>
                      </c:pt>
                      <c:pt idx="20">
                        <c:v>2.5177770000000002</c:v>
                      </c:pt>
                      <c:pt idx="21">
                        <c:v>2.9386239999999999</c:v>
                      </c:pt>
                      <c:pt idx="22">
                        <c:v>2.8734169999999999</c:v>
                      </c:pt>
                      <c:pt idx="23">
                        <c:v>2.7741539999999998</c:v>
                      </c:pt>
                      <c:pt idx="24">
                        <c:v>2.7360709999999999</c:v>
                      </c:pt>
                      <c:pt idx="25">
                        <c:v>3.1410110000000002</c:v>
                      </c:pt>
                      <c:pt idx="26">
                        <c:v>3.6665070000000002</c:v>
                      </c:pt>
                      <c:pt idx="27">
                        <c:v>4.4751700000000003</c:v>
                      </c:pt>
                      <c:pt idx="28">
                        <c:v>5.4646290000000004</c:v>
                      </c:pt>
                      <c:pt idx="29">
                        <c:v>6.2858099999999997</c:v>
                      </c:pt>
                      <c:pt idx="30">
                        <c:v>6.3194470000000003</c:v>
                      </c:pt>
                      <c:pt idx="31">
                        <c:v>6.2622989999999996</c:v>
                      </c:pt>
                      <c:pt idx="32">
                        <c:v>7.4813140000000002</c:v>
                      </c:pt>
                      <c:pt idx="33">
                        <c:v>8.3449799999999996</c:v>
                      </c:pt>
                      <c:pt idx="34">
                        <c:v>9.2729619999999997</c:v>
                      </c:pt>
                      <c:pt idx="35">
                        <c:v>10.535142</c:v>
                      </c:pt>
                      <c:pt idx="36">
                        <c:v>12.046357</c:v>
                      </c:pt>
                      <c:pt idx="37">
                        <c:v>12.188278</c:v>
                      </c:pt>
                      <c:pt idx="38">
                        <c:v>12.319362999999999</c:v>
                      </c:pt>
                      <c:pt idx="39">
                        <c:v>14.215572999999999</c:v>
                      </c:pt>
                      <c:pt idx="40">
                        <c:v>16.714746000000002</c:v>
                      </c:pt>
                      <c:pt idx="41">
                        <c:v>19.047121000000001</c:v>
                      </c:pt>
                      <c:pt idx="42">
                        <c:v>22.430229000000001</c:v>
                      </c:pt>
                      <c:pt idx="43">
                        <c:v>25.342203000000001</c:v>
                      </c:pt>
                      <c:pt idx="44">
                        <c:v>25.494577</c:v>
                      </c:pt>
                      <c:pt idx="45">
                        <c:v>25.727715</c:v>
                      </c:pt>
                      <c:pt idx="46">
                        <c:v>28.091697</c:v>
                      </c:pt>
                      <c:pt idx="47">
                        <c:v>32.393552999999997</c:v>
                      </c:pt>
                      <c:pt idx="48">
                        <c:v>39.173583000000001</c:v>
                      </c:pt>
                      <c:pt idx="49">
                        <c:v>47.981858000000003</c:v>
                      </c:pt>
                      <c:pt idx="50">
                        <c:v>53.88682</c:v>
                      </c:pt>
                      <c:pt idx="51">
                        <c:v>60.243811000000001</c:v>
                      </c:pt>
                      <c:pt idx="52">
                        <c:v>61.618347999999997</c:v>
                      </c:pt>
                      <c:pt idx="53">
                        <c:v>59.015486000000003</c:v>
                      </c:pt>
                      <c:pt idx="54">
                        <c:v>64.117154999999997</c:v>
                      </c:pt>
                      <c:pt idx="55">
                        <c:v>71.119764000000004</c:v>
                      </c:pt>
                      <c:pt idx="56">
                        <c:v>82.129943999999995</c:v>
                      </c:pt>
                      <c:pt idx="57">
                        <c:v>92.966330999999997</c:v>
                      </c:pt>
                      <c:pt idx="58">
                        <c:v>120.084795</c:v>
                      </c:pt>
                    </c:numCache>
                  </c:numRef>
                </c:val>
                <c:smooth val="0"/>
                <c:extLst xmlns:c15="http://schemas.microsoft.com/office/drawing/2012/chart">
                  <c:ext xmlns:c16="http://schemas.microsoft.com/office/drawing/2014/chart" uri="{C3380CC4-5D6E-409C-BE32-E72D297353CC}">
                    <c16:uniqueId val="{0000000C-1B1B-4E8A-9467-6BF6B6803E2C}"/>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ch_latest!$R$2:$R$60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1.6666669999999999</c:v>
                      </c:pt>
                      <c:pt idx="17">
                        <c:v>2.304227</c:v>
                      </c:pt>
                      <c:pt idx="18">
                        <c:v>1.934264</c:v>
                      </c:pt>
                      <c:pt idx="19">
                        <c:v>2.1533829999999998</c:v>
                      </c:pt>
                      <c:pt idx="20">
                        <c:v>1.971568</c:v>
                      </c:pt>
                      <c:pt idx="21">
                        <c:v>2.3482080000000001</c:v>
                      </c:pt>
                      <c:pt idx="22">
                        <c:v>2.0703610000000001</c:v>
                      </c:pt>
                      <c:pt idx="23">
                        <c:v>2.2764549999999999</c:v>
                      </c:pt>
                      <c:pt idx="24">
                        <c:v>2.570881</c:v>
                      </c:pt>
                      <c:pt idx="25">
                        <c:v>2.8952249999999999</c:v>
                      </c:pt>
                      <c:pt idx="26">
                        <c:v>2.934949</c:v>
                      </c:pt>
                      <c:pt idx="27">
                        <c:v>3.1953279999999999</c:v>
                      </c:pt>
                      <c:pt idx="28">
                        <c:v>3.1900599999999999</c:v>
                      </c:pt>
                      <c:pt idx="29">
                        <c:v>3.7094100000000001</c:v>
                      </c:pt>
                      <c:pt idx="30">
                        <c:v>3.6831</c:v>
                      </c:pt>
                      <c:pt idx="31">
                        <c:v>3.826546</c:v>
                      </c:pt>
                      <c:pt idx="32">
                        <c:v>4.1098980000000003</c:v>
                      </c:pt>
                      <c:pt idx="33">
                        <c:v>4.2277820000000004</c:v>
                      </c:pt>
                      <c:pt idx="34">
                        <c:v>4.4778419999999999</c:v>
                      </c:pt>
                      <c:pt idx="35">
                        <c:v>4.9565299999999999</c:v>
                      </c:pt>
                      <c:pt idx="36">
                        <c:v>5.1052200000000001</c:v>
                      </c:pt>
                      <c:pt idx="37">
                        <c:v>5.5382980000000002</c:v>
                      </c:pt>
                      <c:pt idx="38">
                        <c:v>5.694699</c:v>
                      </c:pt>
                      <c:pt idx="39">
                        <c:v>6.1893459999999996</c:v>
                      </c:pt>
                      <c:pt idx="40">
                        <c:v>7.2764189999999997</c:v>
                      </c:pt>
                      <c:pt idx="41">
                        <c:v>8.0976789999999994</c:v>
                      </c:pt>
                      <c:pt idx="42">
                        <c:v>8.8195289999999993</c:v>
                      </c:pt>
                      <c:pt idx="43">
                        <c:v>9.430612</c:v>
                      </c:pt>
                      <c:pt idx="44">
                        <c:v>10.623158999999999</c:v>
                      </c:pt>
                      <c:pt idx="45">
                        <c:v>11.371003999999999</c:v>
                      </c:pt>
                      <c:pt idx="46">
                        <c:v>12.853089000000001</c:v>
                      </c:pt>
                      <c:pt idx="47">
                        <c:v>13.986992000000001</c:v>
                      </c:pt>
                      <c:pt idx="48">
                        <c:v>17.286714</c:v>
                      </c:pt>
                      <c:pt idx="49">
                        <c:v>18.858540999999999</c:v>
                      </c:pt>
                      <c:pt idx="50">
                        <c:v>19.437135999999999</c:v>
                      </c:pt>
                      <c:pt idx="51">
                        <c:v>19.604184</c:v>
                      </c:pt>
                      <c:pt idx="52">
                        <c:v>21.678719999999998</c:v>
                      </c:pt>
                      <c:pt idx="53">
                        <c:v>21.210972000000002</c:v>
                      </c:pt>
                      <c:pt idx="54">
                        <c:v>23.711421999999999</c:v>
                      </c:pt>
                      <c:pt idx="55">
                        <c:v>26.851392000000001</c:v>
                      </c:pt>
                      <c:pt idx="56">
                        <c:v>28.714544</c:v>
                      </c:pt>
                      <c:pt idx="57">
                        <c:v>34.319606</c:v>
                      </c:pt>
                      <c:pt idx="58">
                        <c:v>44.293619</c:v>
                      </c:pt>
                    </c:numCache>
                  </c:numRef>
                </c:val>
                <c:smooth val="0"/>
                <c:extLst xmlns:c15="http://schemas.microsoft.com/office/drawing/2012/chart">
                  <c:ext xmlns:c16="http://schemas.microsoft.com/office/drawing/2014/chart" uri="{C3380CC4-5D6E-409C-BE32-E72D297353CC}">
                    <c16:uniqueId val="{0000000D-1B1B-4E8A-9467-6BF6B6803E2C}"/>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ch_latest!$O$2:$O$60</c15:sqref>
                        </c15:formulaRef>
                      </c:ext>
                    </c:extLst>
                    <c:numCache>
                      <c:formatCode>General</c:formatCode>
                      <c:ptCount val="59"/>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3</c:v>
                      </c:pt>
                      <c:pt idx="17">
                        <c:v>1</c:v>
                      </c:pt>
                      <c:pt idx="18">
                        <c:v>3</c:v>
                      </c:pt>
                      <c:pt idx="19">
                        <c:v>8</c:v>
                      </c:pt>
                      <c:pt idx="20">
                        <c:v>9</c:v>
                      </c:pt>
                      <c:pt idx="21">
                        <c:v>6</c:v>
                      </c:pt>
                      <c:pt idx="22">
                        <c:v>13</c:v>
                      </c:pt>
                      <c:pt idx="23">
                        <c:v>7</c:v>
                      </c:pt>
                      <c:pt idx="24">
                        <c:v>22</c:v>
                      </c:pt>
                      <c:pt idx="25">
                        <c:v>19</c:v>
                      </c:pt>
                      <c:pt idx="26">
                        <c:v>18</c:v>
                      </c:pt>
                      <c:pt idx="27">
                        <c:v>28</c:v>
                      </c:pt>
                      <c:pt idx="28">
                        <c:v>21</c:v>
                      </c:pt>
                      <c:pt idx="29">
                        <c:v>33</c:v>
                      </c:pt>
                      <c:pt idx="30">
                        <c:v>50</c:v>
                      </c:pt>
                      <c:pt idx="31">
                        <c:v>36</c:v>
                      </c:pt>
                      <c:pt idx="32">
                        <c:v>48</c:v>
                      </c:pt>
                      <c:pt idx="33">
                        <c:v>40</c:v>
                      </c:pt>
                      <c:pt idx="34">
                        <c:v>55</c:v>
                      </c:pt>
                      <c:pt idx="35">
                        <c:v>70</c:v>
                      </c:pt>
                      <c:pt idx="36">
                        <c:v>61</c:v>
                      </c:pt>
                      <c:pt idx="37">
                        <c:v>61</c:v>
                      </c:pt>
                      <c:pt idx="38">
                        <c:v>63</c:v>
                      </c:pt>
                      <c:pt idx="39">
                        <c:v>64</c:v>
                      </c:pt>
                      <c:pt idx="40">
                        <c:v>53</c:v>
                      </c:pt>
                      <c:pt idx="41">
                        <c:v>56</c:v>
                      </c:pt>
                      <c:pt idx="42">
                        <c:v>61</c:v>
                      </c:pt>
                      <c:pt idx="43">
                        <c:v>68</c:v>
                      </c:pt>
                      <c:pt idx="44">
                        <c:v>49</c:v>
                      </c:pt>
                      <c:pt idx="45">
                        <c:v>50</c:v>
                      </c:pt>
                      <c:pt idx="46">
                        <c:v>36</c:v>
                      </c:pt>
                      <c:pt idx="47">
                        <c:v>54</c:v>
                      </c:pt>
                      <c:pt idx="48">
                        <c:v>29</c:v>
                      </c:pt>
                      <c:pt idx="49">
                        <c:v>39</c:v>
                      </c:pt>
                      <c:pt idx="50">
                        <c:v>53</c:v>
                      </c:pt>
                      <c:pt idx="51">
                        <c:v>41</c:v>
                      </c:pt>
                      <c:pt idx="52">
                        <c:v>41</c:v>
                      </c:pt>
                      <c:pt idx="53">
                        <c:v>39</c:v>
                      </c:pt>
                      <c:pt idx="54">
                        <c:v>21</c:v>
                      </c:pt>
                      <c:pt idx="55">
                        <c:v>36</c:v>
                      </c:pt>
                      <c:pt idx="56">
                        <c:v>34</c:v>
                      </c:pt>
                      <c:pt idx="57">
                        <c:v>16</c:v>
                      </c:pt>
                      <c:pt idx="58">
                        <c:v>8</c:v>
                      </c:pt>
                    </c:numCache>
                  </c:numRef>
                </c:val>
                <c:smooth val="0"/>
                <c:extLst xmlns:c15="http://schemas.microsoft.com/office/drawing/2012/chart">
                  <c:ext xmlns:c16="http://schemas.microsoft.com/office/drawing/2014/chart" uri="{C3380CC4-5D6E-409C-BE32-E72D297353CC}">
                    <c16:uniqueId val="{0000000A-1B1B-4E8A-9467-6BF6B6803E2C}"/>
                  </c:ext>
                </c:extLst>
              </c15:ser>
            </c15:filteredLineSeries>
          </c:ext>
        </c:extLst>
      </c:lineChart>
      <c:dateAx>
        <c:axId val="1165289807"/>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2936975"/>
        <c:crosses val="autoZero"/>
        <c:auto val="0"/>
        <c:lblOffset val="100"/>
        <c:baseTimeUnit val="days"/>
      </c:dateAx>
      <c:valAx>
        <c:axId val="7293697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165289807"/>
        <c:crosses val="autoZero"/>
        <c:crossBetween val="between"/>
      </c:valAx>
      <c:spPr>
        <a:noFill/>
        <a:ln>
          <a:solidFill>
            <a:sysClr val="windowText" lastClr="000000"/>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Hospitalization / Intensive Care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9759315957958752E-2"/>
          <c:y val="7.1945391154463897E-2"/>
          <c:w val="0.94396042725355234"/>
          <c:h val="0.75924279577823617"/>
        </c:manualLayout>
      </c:layout>
      <c:areaChart>
        <c:grouping val="standard"/>
        <c:varyColors val="0"/>
        <c:ser>
          <c:idx val="3"/>
          <c:order val="1"/>
          <c:tx>
            <c:strRef>
              <c:f>ch_latest!$E$1</c:f>
              <c:strCache>
                <c:ptCount val="1"/>
                <c:pt idx="0">
                  <c:v>total_hospitalized</c:v>
                </c:pt>
              </c:strCache>
            </c:strRef>
          </c:tx>
          <c:spPr>
            <a:solidFill>
              <a:srgbClr val="CC99FF"/>
            </a:solidFill>
            <a:ln>
              <a:solidFill>
                <a:srgbClr val="FFCCFF"/>
              </a:solidFill>
            </a:ln>
            <a:effectLst>
              <a:outerShdw blurRad="57150" dist="19050" dir="5400000" algn="ctr" rotWithShape="0">
                <a:srgbClr val="000000">
                  <a:alpha val="63000"/>
                </a:srgbClr>
              </a:outerShdw>
            </a:effectLst>
          </c:spPr>
          <c:cat>
            <c:numRef>
              <c:f>ch_latest!$A$2:$A$60</c:f>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f>ch_latest!$E$2:$E$60</c:f>
              <c:numCache>
                <c:formatCode>General</c:formatCode>
                <c:ptCount val="59"/>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121</c:v>
                </c:pt>
                <c:pt idx="16">
                  <c:v>142</c:v>
                </c:pt>
                <c:pt idx="17">
                  <c:v>233</c:v>
                </c:pt>
                <c:pt idx="18">
                  <c:v>258</c:v>
                </c:pt>
                <c:pt idx="19">
                  <c:v>282</c:v>
                </c:pt>
                <c:pt idx="20">
                  <c:v>354</c:v>
                </c:pt>
                <c:pt idx="21">
                  <c:v>413</c:v>
                </c:pt>
                <c:pt idx="22">
                  <c:v>486</c:v>
                </c:pt>
                <c:pt idx="23">
                  <c:v>685</c:v>
                </c:pt>
                <c:pt idx="24">
                  <c:v>795</c:v>
                </c:pt>
                <c:pt idx="25">
                  <c:v>900</c:v>
                </c:pt>
                <c:pt idx="26">
                  <c:v>1089</c:v>
                </c:pt>
                <c:pt idx="27">
                  <c:v>1204</c:v>
                </c:pt>
                <c:pt idx="28">
                  <c:v>1350</c:v>
                </c:pt>
                <c:pt idx="29">
                  <c:v>1460</c:v>
                </c:pt>
                <c:pt idx="30">
                  <c:v>1605</c:v>
                </c:pt>
                <c:pt idx="31">
                  <c:v>1786</c:v>
                </c:pt>
                <c:pt idx="32">
                  <c:v>1868</c:v>
                </c:pt>
                <c:pt idx="33">
                  <c:v>1985</c:v>
                </c:pt>
                <c:pt idx="34">
                  <c:v>2179</c:v>
                </c:pt>
                <c:pt idx="35">
                  <c:v>2203</c:v>
                </c:pt>
                <c:pt idx="36">
                  <c:v>2283</c:v>
                </c:pt>
                <c:pt idx="37">
                  <c:v>2347</c:v>
                </c:pt>
                <c:pt idx="38">
                  <c:v>2334</c:v>
                </c:pt>
                <c:pt idx="39">
                  <c:v>2322</c:v>
                </c:pt>
                <c:pt idx="40">
                  <c:v>2300</c:v>
                </c:pt>
                <c:pt idx="41">
                  <c:v>2312</c:v>
                </c:pt>
                <c:pt idx="42">
                  <c:v>2252</c:v>
                </c:pt>
                <c:pt idx="43">
                  <c:v>2143</c:v>
                </c:pt>
                <c:pt idx="44">
                  <c:v>2077</c:v>
                </c:pt>
                <c:pt idx="45">
                  <c:v>2016</c:v>
                </c:pt>
                <c:pt idx="46">
                  <c:v>1939</c:v>
                </c:pt>
                <c:pt idx="47">
                  <c:v>1915</c:v>
                </c:pt>
                <c:pt idx="48">
                  <c:v>1895</c:v>
                </c:pt>
                <c:pt idx="49">
                  <c:v>1861</c:v>
                </c:pt>
                <c:pt idx="50">
                  <c:v>1733</c:v>
                </c:pt>
                <c:pt idx="51">
                  <c:v>1680</c:v>
                </c:pt>
                <c:pt idx="52">
                  <c:v>1586</c:v>
                </c:pt>
                <c:pt idx="53">
                  <c:v>1549</c:v>
                </c:pt>
                <c:pt idx="54">
                  <c:v>1527</c:v>
                </c:pt>
                <c:pt idx="55">
                  <c:v>1502</c:v>
                </c:pt>
                <c:pt idx="56">
                  <c:v>1425</c:v>
                </c:pt>
                <c:pt idx="57">
                  <c:v>1362</c:v>
                </c:pt>
                <c:pt idx="58">
                  <c:v>1345</c:v>
                </c:pt>
              </c:numCache>
            </c:numRef>
          </c:val>
          <c:extLst xmlns:c15="http://schemas.microsoft.com/office/drawing/2012/chart">
            <c:ext xmlns:c16="http://schemas.microsoft.com/office/drawing/2014/chart" uri="{C3380CC4-5D6E-409C-BE32-E72D297353CC}">
              <c16:uniqueId val="{00000003-503A-464F-BA74-C113BE961252}"/>
            </c:ext>
          </c:extLst>
        </c:ser>
        <c:ser>
          <c:idx val="6"/>
          <c:order val="2"/>
          <c:tx>
            <c:strRef>
              <c:f>ch_latest!$D$1</c:f>
              <c:strCache>
                <c:ptCount val="1"/>
                <c:pt idx="0">
                  <c:v>intensive_care</c:v>
                </c:pt>
              </c:strCache>
            </c:strRef>
          </c:tx>
          <c:spPr>
            <a:solidFill>
              <a:srgbClr val="FF0000"/>
            </a:solidFill>
            <a:ln>
              <a:solidFill>
                <a:srgbClr val="FF0000"/>
              </a:solidFill>
            </a:ln>
            <a:effectLst>
              <a:outerShdw blurRad="57150" dist="19050" dir="5400000" algn="ctr" rotWithShape="0">
                <a:srgbClr val="000000">
                  <a:alpha val="63000"/>
                </a:srgbClr>
              </a:outerShdw>
            </a:effectLst>
          </c:spPr>
          <c:cat>
            <c:multiLvlStrRef>
              <c:f>ch_latest!$A$2:$C$60</c:f>
              <c:multiLvlStrCache>
                <c:ptCount val="59"/>
                <c:lvl>
                  <c:pt idx="0">
                    <c:v>CH</c:v>
                  </c:pt>
                  <c:pt idx="1">
                    <c:v>CH</c:v>
                  </c:pt>
                  <c:pt idx="2">
                    <c:v>CH</c:v>
                  </c:pt>
                  <c:pt idx="3">
                    <c:v>CH</c:v>
                  </c:pt>
                  <c:pt idx="4">
                    <c:v>CH</c:v>
                  </c:pt>
                  <c:pt idx="5">
                    <c:v>CH</c:v>
                  </c:pt>
                  <c:pt idx="6">
                    <c:v>CH</c:v>
                  </c:pt>
                  <c:pt idx="7">
                    <c:v>CH</c:v>
                  </c:pt>
                  <c:pt idx="8">
                    <c:v>CH</c:v>
                  </c:pt>
                  <c:pt idx="9">
                    <c:v>CH</c:v>
                  </c:pt>
                  <c:pt idx="10">
                    <c:v>CH</c:v>
                  </c:pt>
                  <c:pt idx="11">
                    <c:v>CH</c:v>
                  </c:pt>
                  <c:pt idx="12">
                    <c:v>CH</c:v>
                  </c:pt>
                  <c:pt idx="13">
                    <c:v>CH</c:v>
                  </c:pt>
                  <c:pt idx="14">
                    <c:v>CH</c:v>
                  </c:pt>
                  <c:pt idx="15">
                    <c:v>CH</c:v>
                  </c:pt>
                  <c:pt idx="16">
                    <c:v>CH</c:v>
                  </c:pt>
                  <c:pt idx="17">
                    <c:v>CH</c:v>
                  </c:pt>
                  <c:pt idx="18">
                    <c:v>CH</c:v>
                  </c:pt>
                  <c:pt idx="19">
                    <c:v>CH</c:v>
                  </c:pt>
                  <c:pt idx="20">
                    <c:v>CH</c:v>
                  </c:pt>
                  <c:pt idx="21">
                    <c:v>CH</c:v>
                  </c:pt>
                  <c:pt idx="22">
                    <c:v>CH</c:v>
                  </c:pt>
                  <c:pt idx="23">
                    <c:v>CH</c:v>
                  </c:pt>
                  <c:pt idx="24">
                    <c:v>CH</c:v>
                  </c:pt>
                  <c:pt idx="25">
                    <c:v>CH</c:v>
                  </c:pt>
                  <c:pt idx="26">
                    <c:v>CH</c:v>
                  </c:pt>
                  <c:pt idx="27">
                    <c:v>CH</c:v>
                  </c:pt>
                  <c:pt idx="28">
                    <c:v>CH</c:v>
                  </c:pt>
                  <c:pt idx="29">
                    <c:v>CH</c:v>
                  </c:pt>
                  <c:pt idx="30">
                    <c:v>CH</c:v>
                  </c:pt>
                  <c:pt idx="31">
                    <c:v>CH</c:v>
                  </c:pt>
                  <c:pt idx="32">
                    <c:v>CH</c:v>
                  </c:pt>
                  <c:pt idx="33">
                    <c:v>CH</c:v>
                  </c:pt>
                  <c:pt idx="34">
                    <c:v>CH</c:v>
                  </c:pt>
                  <c:pt idx="35">
                    <c:v>CH</c:v>
                  </c:pt>
                  <c:pt idx="36">
                    <c:v>CH</c:v>
                  </c:pt>
                  <c:pt idx="37">
                    <c:v>CH</c:v>
                  </c:pt>
                  <c:pt idx="38">
                    <c:v>CH</c:v>
                  </c:pt>
                  <c:pt idx="39">
                    <c:v>CH</c:v>
                  </c:pt>
                  <c:pt idx="40">
                    <c:v>CH</c:v>
                  </c:pt>
                  <c:pt idx="41">
                    <c:v>CH</c:v>
                  </c:pt>
                  <c:pt idx="42">
                    <c:v>CH</c:v>
                  </c:pt>
                  <c:pt idx="43">
                    <c:v>CH</c:v>
                  </c:pt>
                  <c:pt idx="44">
                    <c:v>CH</c:v>
                  </c:pt>
                  <c:pt idx="45">
                    <c:v>CH</c:v>
                  </c:pt>
                  <c:pt idx="46">
                    <c:v>CH</c:v>
                  </c:pt>
                  <c:pt idx="47">
                    <c:v>CH</c:v>
                  </c:pt>
                  <c:pt idx="48">
                    <c:v>CH</c:v>
                  </c:pt>
                  <c:pt idx="49">
                    <c:v>CH</c:v>
                  </c:pt>
                  <c:pt idx="50">
                    <c:v>CH</c:v>
                  </c:pt>
                  <c:pt idx="51">
                    <c:v>CH</c:v>
                  </c:pt>
                  <c:pt idx="52">
                    <c:v>CH</c:v>
                  </c:pt>
                  <c:pt idx="53">
                    <c:v>CH</c:v>
                  </c:pt>
                  <c:pt idx="54">
                    <c:v>CH</c:v>
                  </c:pt>
                  <c:pt idx="55">
                    <c:v>CH</c:v>
                  </c:pt>
                  <c:pt idx="56">
                    <c:v>CH</c:v>
                  </c:pt>
                  <c:pt idx="57">
                    <c:v>CH</c:v>
                  </c:pt>
                  <c:pt idx="58">
                    <c:v>CH</c:v>
                  </c:pt>
                </c:lvl>
                <c:lvl>
                  <c:pt idx="0">
                    <c:v>23.04.2020 12:04</c:v>
                  </c:pt>
                  <c:pt idx="1">
                    <c:v>23.04.2020 12:04</c:v>
                  </c:pt>
                  <c:pt idx="2">
                    <c:v>23.04.2020 12:04</c:v>
                  </c:pt>
                  <c:pt idx="3">
                    <c:v>23.04.2020 12:04</c:v>
                  </c:pt>
                  <c:pt idx="4">
                    <c:v>23.04.2020 12:04</c:v>
                  </c:pt>
                  <c:pt idx="5">
                    <c:v>23.04.2020 12:04</c:v>
                  </c:pt>
                  <c:pt idx="6">
                    <c:v>23.04.2020 12:04</c:v>
                  </c:pt>
                  <c:pt idx="7">
                    <c:v>23.04.2020 12:04</c:v>
                  </c:pt>
                  <c:pt idx="8">
                    <c:v>23.04.2020 12:04</c:v>
                  </c:pt>
                  <c:pt idx="9">
                    <c:v>23.04.2020 12:04</c:v>
                  </c:pt>
                  <c:pt idx="10">
                    <c:v>23.04.2020 12:04</c:v>
                  </c:pt>
                  <c:pt idx="11">
                    <c:v>23.04.2020 12:04</c:v>
                  </c:pt>
                  <c:pt idx="12">
                    <c:v>23.04.2020 12:04</c:v>
                  </c:pt>
                  <c:pt idx="13">
                    <c:v>23.04.2020 12:04</c:v>
                  </c:pt>
                  <c:pt idx="14">
                    <c:v>23.04.2020 12:04</c:v>
                  </c:pt>
                  <c:pt idx="15">
                    <c:v>23.04.2020 12:04</c:v>
                  </c:pt>
                  <c:pt idx="16">
                    <c:v>23.04.2020 12:04</c:v>
                  </c:pt>
                  <c:pt idx="17">
                    <c:v>23.04.2020 12:04</c:v>
                  </c:pt>
                  <c:pt idx="18">
                    <c:v>23.04.2020 12:04</c:v>
                  </c:pt>
                  <c:pt idx="19">
                    <c:v>23.04.2020 12:04</c:v>
                  </c:pt>
                  <c:pt idx="20">
                    <c:v>23.04.2020 12:04</c:v>
                  </c:pt>
                  <c:pt idx="21">
                    <c:v>23.04.2020 12:04</c:v>
                  </c:pt>
                  <c:pt idx="22">
                    <c:v>23.04.2020 12:04</c:v>
                  </c:pt>
                  <c:pt idx="23">
                    <c:v>23.04.2020 12:04</c:v>
                  </c:pt>
                  <c:pt idx="24">
                    <c:v>23.04.2020 12:04</c:v>
                  </c:pt>
                  <c:pt idx="25">
                    <c:v>23.04.2020 12:04</c:v>
                  </c:pt>
                  <c:pt idx="26">
                    <c:v>23.04.2020 12:04</c:v>
                  </c:pt>
                  <c:pt idx="27">
                    <c:v>23.04.2020 12:04</c:v>
                  </c:pt>
                  <c:pt idx="28">
                    <c:v>23.04.2020 12:04</c:v>
                  </c:pt>
                  <c:pt idx="29">
                    <c:v>23.04.2020 12:04</c:v>
                  </c:pt>
                  <c:pt idx="30">
                    <c:v>23.04.2020 12:04</c:v>
                  </c:pt>
                  <c:pt idx="31">
                    <c:v>23.04.2020 12:04</c:v>
                  </c:pt>
                  <c:pt idx="32">
                    <c:v>23.04.2020 12:04</c:v>
                  </c:pt>
                  <c:pt idx="33">
                    <c:v>23.04.2020 12:04</c:v>
                  </c:pt>
                  <c:pt idx="34">
                    <c:v>23.04.2020 12:04</c:v>
                  </c:pt>
                  <c:pt idx="35">
                    <c:v>23.04.2020 12:04</c:v>
                  </c:pt>
                  <c:pt idx="36">
                    <c:v>23.04.2020 12:04</c:v>
                  </c:pt>
                  <c:pt idx="37">
                    <c:v>23.04.2020 12:04</c:v>
                  </c:pt>
                  <c:pt idx="38">
                    <c:v>23.04.2020 12:04</c:v>
                  </c:pt>
                  <c:pt idx="39">
                    <c:v>23.04.2020 12:04</c:v>
                  </c:pt>
                  <c:pt idx="40">
                    <c:v>23.04.2020 12:04</c:v>
                  </c:pt>
                  <c:pt idx="41">
                    <c:v>23.04.2020 12:04</c:v>
                  </c:pt>
                  <c:pt idx="42">
                    <c:v>23.04.2020 12:04</c:v>
                  </c:pt>
                  <c:pt idx="43">
                    <c:v>23.04.2020 12:04</c:v>
                  </c:pt>
                  <c:pt idx="44">
                    <c:v>23.04.2020 12:04</c:v>
                  </c:pt>
                  <c:pt idx="45">
                    <c:v>23.04.2020 12:04</c:v>
                  </c:pt>
                  <c:pt idx="46">
                    <c:v>23.04.2020 12:04</c:v>
                  </c:pt>
                  <c:pt idx="47">
                    <c:v>23.04.2020 12:04</c:v>
                  </c:pt>
                  <c:pt idx="48">
                    <c:v>23.04.2020 12:04</c:v>
                  </c:pt>
                  <c:pt idx="49">
                    <c:v>23.04.2020 12:04</c:v>
                  </c:pt>
                  <c:pt idx="50">
                    <c:v>23.04.2020 12:04</c:v>
                  </c:pt>
                  <c:pt idx="51">
                    <c:v>23.04.2020 12:04</c:v>
                  </c:pt>
                  <c:pt idx="52">
                    <c:v>23.04.2020 12:04</c:v>
                  </c:pt>
                  <c:pt idx="53">
                    <c:v>23.04.2020 12:04</c:v>
                  </c:pt>
                  <c:pt idx="54">
                    <c:v>23.04.2020 12:04</c:v>
                  </c:pt>
                  <c:pt idx="55">
                    <c:v>23.04.2020 12:04</c:v>
                  </c:pt>
                  <c:pt idx="56">
                    <c:v>23.04.2020 12:04</c:v>
                  </c:pt>
                  <c:pt idx="57">
                    <c:v>23.04.2020 12:04</c:v>
                  </c:pt>
                  <c:pt idx="58">
                    <c:v>23.04.2020 12:04</c:v>
                  </c:pt>
                </c:lvl>
                <c:lvl>
                  <c:pt idx="0">
                    <c:v>25.02.2020</c:v>
                  </c:pt>
                  <c:pt idx="1">
                    <c:v>26.02.2020</c:v>
                  </c:pt>
                  <c:pt idx="2">
                    <c:v>27.02.2020</c:v>
                  </c:pt>
                  <c:pt idx="3">
                    <c:v>28.02.2020</c:v>
                  </c:pt>
                  <c:pt idx="4">
                    <c:v>29.02.2020</c:v>
                  </c:pt>
                  <c:pt idx="5">
                    <c:v>01.03.2020</c:v>
                  </c:pt>
                  <c:pt idx="6">
                    <c:v>02.03.2020</c:v>
                  </c:pt>
                  <c:pt idx="7">
                    <c:v>03.03.2020</c:v>
                  </c:pt>
                  <c:pt idx="8">
                    <c:v>04.03.2020</c:v>
                  </c:pt>
                  <c:pt idx="9">
                    <c:v>05.03.2020</c:v>
                  </c:pt>
                  <c:pt idx="10">
                    <c:v>06.03.2020</c:v>
                  </c:pt>
                  <c:pt idx="11">
                    <c:v>07.03.2020</c:v>
                  </c:pt>
                  <c:pt idx="12">
                    <c:v>08.03.2020</c:v>
                  </c:pt>
                  <c:pt idx="13">
                    <c:v>09.03.2020</c:v>
                  </c:pt>
                  <c:pt idx="14">
                    <c:v>10.03.2020</c:v>
                  </c:pt>
                  <c:pt idx="15">
                    <c:v>11.03.2020</c:v>
                  </c:pt>
                  <c:pt idx="16">
                    <c:v>12.03.2020</c:v>
                  </c:pt>
                  <c:pt idx="17">
                    <c:v>13.03.2020</c:v>
                  </c:pt>
                  <c:pt idx="18">
                    <c:v>14.03.2020</c:v>
                  </c:pt>
                  <c:pt idx="19">
                    <c:v>15.03.2020</c:v>
                  </c:pt>
                  <c:pt idx="20">
                    <c:v>16.03.2020</c:v>
                  </c:pt>
                  <c:pt idx="21">
                    <c:v>17.03.2020</c:v>
                  </c:pt>
                  <c:pt idx="22">
                    <c:v>18.03.2020</c:v>
                  </c:pt>
                  <c:pt idx="23">
                    <c:v>19.03.2020</c:v>
                  </c:pt>
                  <c:pt idx="24">
                    <c:v>20.03.2020</c:v>
                  </c:pt>
                  <c:pt idx="25">
                    <c:v>21.03.2020</c:v>
                  </c:pt>
                  <c:pt idx="26">
                    <c:v>22.03.2020</c:v>
                  </c:pt>
                  <c:pt idx="27">
                    <c:v>23.03.2020</c:v>
                  </c:pt>
                  <c:pt idx="28">
                    <c:v>24.03.2020</c:v>
                  </c:pt>
                  <c:pt idx="29">
                    <c:v>25.03.2020</c:v>
                  </c:pt>
                  <c:pt idx="30">
                    <c:v>26.03.2020</c:v>
                  </c:pt>
                  <c:pt idx="31">
                    <c:v>27.03.2020</c:v>
                  </c:pt>
                  <c:pt idx="32">
                    <c:v>28.03.2020</c:v>
                  </c:pt>
                  <c:pt idx="33">
                    <c:v>29.03.2020</c:v>
                  </c:pt>
                  <c:pt idx="34">
                    <c:v>30.03.2020</c:v>
                  </c:pt>
                  <c:pt idx="35">
                    <c:v>31.03.2020</c:v>
                  </c:pt>
                  <c:pt idx="36">
                    <c:v>01.04.2020</c:v>
                  </c:pt>
                  <c:pt idx="37">
                    <c:v>02.04.2020</c:v>
                  </c:pt>
                  <c:pt idx="38">
                    <c:v>03.04.2020</c:v>
                  </c:pt>
                  <c:pt idx="39">
                    <c:v>04.04.2020</c:v>
                  </c:pt>
                  <c:pt idx="40">
                    <c:v>05.04.2020</c:v>
                  </c:pt>
                  <c:pt idx="41">
                    <c:v>06.04.2020</c:v>
                  </c:pt>
                  <c:pt idx="42">
                    <c:v>07.04.2020</c:v>
                  </c:pt>
                  <c:pt idx="43">
                    <c:v>08.04.2020</c:v>
                  </c:pt>
                  <c:pt idx="44">
                    <c:v>09.04.2020</c:v>
                  </c:pt>
                  <c:pt idx="45">
                    <c:v>10.04.2020</c:v>
                  </c:pt>
                  <c:pt idx="46">
                    <c:v>11.04.2020</c:v>
                  </c:pt>
                  <c:pt idx="47">
                    <c:v>12.04.2020</c:v>
                  </c:pt>
                  <c:pt idx="48">
                    <c:v>13.04.2020</c:v>
                  </c:pt>
                  <c:pt idx="49">
                    <c:v>14.04.2020</c:v>
                  </c:pt>
                  <c:pt idx="50">
                    <c:v>15.04.2020</c:v>
                  </c:pt>
                  <c:pt idx="51">
                    <c:v>16.04.2020</c:v>
                  </c:pt>
                  <c:pt idx="52">
                    <c:v>17.04.2020</c:v>
                  </c:pt>
                  <c:pt idx="53">
                    <c:v>18.04.2020</c:v>
                  </c:pt>
                  <c:pt idx="54">
                    <c:v>19.04.2020</c:v>
                  </c:pt>
                  <c:pt idx="55">
                    <c:v>20.04.2020</c:v>
                  </c:pt>
                  <c:pt idx="56">
                    <c:v>21.04.2020</c:v>
                  </c:pt>
                  <c:pt idx="57">
                    <c:v>22.04.2020</c:v>
                  </c:pt>
                  <c:pt idx="58">
                    <c:v>23.04.2020</c:v>
                  </c:pt>
                </c:lvl>
              </c:multiLvlStrCache>
            </c:multiLvlStrRef>
          </c:cat>
          <c:val>
            <c:numRef>
              <c:f>ch_latest!$D$2:$D$60</c:f>
              <c:numCache>
                <c:formatCode>General</c:formatCode>
                <c:ptCount val="59"/>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411</c:v>
                </c:pt>
                <c:pt idx="36">
                  <c:v>442</c:v>
                </c:pt>
                <c:pt idx="37">
                  <c:v>449</c:v>
                </c:pt>
                <c:pt idx="38">
                  <c:v>456</c:v>
                </c:pt>
                <c:pt idx="39">
                  <c:v>458</c:v>
                </c:pt>
                <c:pt idx="40">
                  <c:v>448</c:v>
                </c:pt>
                <c:pt idx="41">
                  <c:v>448</c:v>
                </c:pt>
                <c:pt idx="42">
                  <c:v>444</c:v>
                </c:pt>
                <c:pt idx="43">
                  <c:v>440</c:v>
                </c:pt>
                <c:pt idx="44">
                  <c:v>433</c:v>
                </c:pt>
                <c:pt idx="45">
                  <c:v>421</c:v>
                </c:pt>
                <c:pt idx="46">
                  <c:v>421</c:v>
                </c:pt>
                <c:pt idx="47">
                  <c:v>410</c:v>
                </c:pt>
                <c:pt idx="48">
                  <c:v>407</c:v>
                </c:pt>
                <c:pt idx="49">
                  <c:v>392</c:v>
                </c:pt>
                <c:pt idx="50">
                  <c:v>367</c:v>
                </c:pt>
                <c:pt idx="51">
                  <c:v>348</c:v>
                </c:pt>
                <c:pt idx="52">
                  <c:v>336</c:v>
                </c:pt>
                <c:pt idx="53">
                  <c:v>322</c:v>
                </c:pt>
                <c:pt idx="54">
                  <c:v>313</c:v>
                </c:pt>
                <c:pt idx="55">
                  <c:v>300</c:v>
                </c:pt>
                <c:pt idx="56">
                  <c:v>286</c:v>
                </c:pt>
                <c:pt idx="57">
                  <c:v>255</c:v>
                </c:pt>
                <c:pt idx="58">
                  <c:v>250</c:v>
                </c:pt>
              </c:numCache>
            </c:numRef>
          </c:val>
          <c:extLst>
            <c:ext xmlns:c16="http://schemas.microsoft.com/office/drawing/2014/chart" uri="{C3380CC4-5D6E-409C-BE32-E72D297353CC}">
              <c16:uniqueId val="{00000006-503A-464F-BA74-C113BE961252}"/>
            </c:ext>
          </c:extLst>
        </c:ser>
        <c:dLbls>
          <c:showLegendKey val="0"/>
          <c:showVal val="0"/>
          <c:showCatName val="0"/>
          <c:showSerName val="0"/>
          <c:showPercent val="0"/>
          <c:showBubbleSize val="0"/>
        </c:dLbls>
        <c:axId val="1329134367"/>
        <c:axId val="4147887"/>
        <c:extLst>
          <c:ext xmlns:c15="http://schemas.microsoft.com/office/drawing/2012/chart" uri="{02D57815-91ED-43cb-92C2-25804820EDAC}">
            <c15:filteredAreaSeries>
              <c15:ser>
                <c:idx val="4"/>
                <c:order val="3"/>
                <c:tx>
                  <c:strRef>
                    <c:extLst>
                      <c:ext uri="{02D57815-91ED-43cb-92C2-25804820EDAC}">
                        <c15:formulaRef>
                          <c15:sqref>ch_latest!$F$1</c15:sqref>
                        </c15:formulaRef>
                      </c:ext>
                    </c:extLst>
                    <c:strCache>
                      <c:ptCount val="1"/>
                      <c:pt idx="0">
                        <c:v>total_currently_positive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c:ex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c:ext uri="{02D57815-91ED-43cb-92C2-25804820EDAC}">
                        <c15:formulaRef>
                          <c15:sqref>ch_latest!$F$2:$F$60</c15:sqref>
                        </c15:formulaRef>
                      </c:ext>
                    </c:extLst>
                    <c:numCache>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Cache>
                  </c:numRef>
                </c:val>
                <c:extLst>
                  <c:ext xmlns:c16="http://schemas.microsoft.com/office/drawing/2014/chart" uri="{C3380CC4-5D6E-409C-BE32-E72D297353CC}">
                    <c16:uniqueId val="{00000004-503A-464F-BA74-C113BE961252}"/>
                  </c:ext>
                </c:extLst>
              </c15:ser>
            </c15:filteredAreaSeries>
            <c15:filteredAreaSeries>
              <c15:ser>
                <c:idx val="5"/>
                <c:order val="4"/>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ch_latest!$G$2:$G$60</c15:sqref>
                        </c15:formulaRef>
                      </c:ext>
                    </c:extLst>
                    <c:numCache>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Cache>
                  </c:numRef>
                </c:val>
                <c:extLst xmlns:c15="http://schemas.microsoft.com/office/drawing/2012/chart">
                  <c:ext xmlns:c16="http://schemas.microsoft.com/office/drawing/2014/chart" uri="{C3380CC4-5D6E-409C-BE32-E72D297353CC}">
                    <c16:uniqueId val="{00000005-503A-464F-BA74-C113BE961252}"/>
                  </c:ext>
                </c:extLst>
              </c15:ser>
            </c15:filteredAreaSeries>
            <c15:filteredAreaSeries>
              <c15:ser>
                <c:idx val="1"/>
                <c:order val="5"/>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ch_latest!$H$2:$H$60</c15:sqref>
                        </c15:formulaRef>
                      </c:ext>
                    </c:extLst>
                    <c:numCache>
                      <c:formatCode>General</c:formatCode>
                      <c:ptCount val="59"/>
                      <c:pt idx="0">
                        <c:v>72</c:v>
                      </c:pt>
                      <c:pt idx="1">
                        <c:v>178</c:v>
                      </c:pt>
                      <c:pt idx="2">
                        <c:v>329</c:v>
                      </c:pt>
                      <c:pt idx="3">
                        <c:v>537</c:v>
                      </c:pt>
                      <c:pt idx="4">
                        <c:v>677</c:v>
                      </c:pt>
                      <c:pt idx="5">
                        <c:v>816</c:v>
                      </c:pt>
                      <c:pt idx="6">
                        <c:v>1139</c:v>
                      </c:pt>
                      <c:pt idx="7">
                        <c:v>1260</c:v>
                      </c:pt>
                      <c:pt idx="8">
                        <c:v>1371</c:v>
                      </c:pt>
                      <c:pt idx="9">
                        <c:v>1439</c:v>
                      </c:pt>
                      <c:pt idx="10">
                        <c:v>1544</c:v>
                      </c:pt>
                      <c:pt idx="11">
                        <c:v>1620</c:v>
                      </c:pt>
                      <c:pt idx="12">
                        <c:v>1691</c:v>
                      </c:pt>
                      <c:pt idx="13">
                        <c:v>1806</c:v>
                      </c:pt>
                      <c:pt idx="14">
                        <c:v>2029</c:v>
                      </c:pt>
                      <c:pt idx="15">
                        <c:v>2293</c:v>
                      </c:pt>
                      <c:pt idx="16">
                        <c:v>2673</c:v>
                      </c:pt>
                      <c:pt idx="17">
                        <c:v>3155</c:v>
                      </c:pt>
                      <c:pt idx="18">
                        <c:v>3841</c:v>
                      </c:pt>
                      <c:pt idx="19">
                        <c:v>4276</c:v>
                      </c:pt>
                      <c:pt idx="20">
                        <c:v>4973</c:v>
                      </c:pt>
                      <c:pt idx="21">
                        <c:v>5605</c:v>
                      </c:pt>
                      <c:pt idx="22">
                        <c:v>6398</c:v>
                      </c:pt>
                      <c:pt idx="23">
                        <c:v>6993</c:v>
                      </c:pt>
                      <c:pt idx="24">
                        <c:v>7400</c:v>
                      </c:pt>
                      <c:pt idx="25">
                        <c:v>7768</c:v>
                      </c:pt>
                      <c:pt idx="26">
                        <c:v>8009</c:v>
                      </c:pt>
                      <c:pt idx="27">
                        <c:v>8405</c:v>
                      </c:pt>
                      <c:pt idx="28">
                        <c:v>8753</c:v>
                      </c:pt>
                      <c:pt idx="29">
                        <c:v>9186</c:v>
                      </c:pt>
                      <c:pt idx="30">
                        <c:v>10500</c:v>
                      </c:pt>
                      <c:pt idx="31">
                        <c:v>10992</c:v>
                      </c:pt>
                      <c:pt idx="32">
                        <c:v>11599</c:v>
                      </c:pt>
                      <c:pt idx="33">
                        <c:v>11908</c:v>
                      </c:pt>
                      <c:pt idx="34">
                        <c:v>12568</c:v>
                      </c:pt>
                      <c:pt idx="35">
                        <c:v>13326</c:v>
                      </c:pt>
                      <c:pt idx="36">
                        <c:v>13991</c:v>
                      </c:pt>
                      <c:pt idx="37">
                        <c:v>14943</c:v>
                      </c:pt>
                      <c:pt idx="38">
                        <c:v>15781</c:v>
                      </c:pt>
                      <c:pt idx="39">
                        <c:v>16375</c:v>
                      </c:pt>
                      <c:pt idx="40">
                        <c:v>16679</c:v>
                      </c:pt>
                      <c:pt idx="41">
                        <c:v>17334</c:v>
                      </c:pt>
                      <c:pt idx="42">
                        <c:v>18185</c:v>
                      </c:pt>
                      <c:pt idx="43">
                        <c:v>19006</c:v>
                      </c:pt>
                      <c:pt idx="44">
                        <c:v>19528</c:v>
                      </c:pt>
                      <c:pt idx="45">
                        <c:v>19948</c:v>
                      </c:pt>
                      <c:pt idx="46">
                        <c:v>20317</c:v>
                      </c:pt>
                      <c:pt idx="47">
                        <c:v>20496</c:v>
                      </c:pt>
                      <c:pt idx="48">
                        <c:v>20807</c:v>
                      </c:pt>
                      <c:pt idx="49">
                        <c:v>21362</c:v>
                      </c:pt>
                      <c:pt idx="50">
                        <c:v>21838</c:v>
                      </c:pt>
                      <c:pt idx="51">
                        <c:v>22530</c:v>
                      </c:pt>
                      <c:pt idx="52">
                        <c:v>23000</c:v>
                      </c:pt>
                      <c:pt idx="53">
                        <c:v>23452</c:v>
                      </c:pt>
                      <c:pt idx="54">
                        <c:v>23643</c:v>
                      </c:pt>
                      <c:pt idx="55">
                        <c:v>24035</c:v>
                      </c:pt>
                      <c:pt idx="56">
                        <c:v>24277</c:v>
                      </c:pt>
                      <c:pt idx="57">
                        <c:v>24277</c:v>
                      </c:pt>
                      <c:pt idx="58">
                        <c:v>24277</c:v>
                      </c:pt>
                    </c:numCache>
                  </c:numRef>
                </c:val>
                <c:extLst xmlns:c15="http://schemas.microsoft.com/office/drawing/2012/chart">
                  <c:ext xmlns:c16="http://schemas.microsoft.com/office/drawing/2014/chart" uri="{C3380CC4-5D6E-409C-BE32-E72D297353CC}">
                    <c16:uniqueId val="{00000001-503A-464F-BA74-C113BE961252}"/>
                  </c:ext>
                </c:extLst>
              </c15:ser>
            </c15:filteredAreaSeries>
            <c15:filteredAreaSeries>
              <c15:ser>
                <c:idx val="0"/>
                <c:order val="6"/>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ch_latest!$I$2:$I$60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1644</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4551</c:v>
                      </c:pt>
                    </c:numCache>
                  </c:numRef>
                </c:val>
                <c:extLst xmlns:c15="http://schemas.microsoft.com/office/drawing/2012/chart">
                  <c:ext xmlns:c16="http://schemas.microsoft.com/office/drawing/2014/chart" uri="{C3380CC4-5D6E-409C-BE32-E72D297353CC}">
                    <c16:uniqueId val="{00000000-503A-464F-BA74-C113BE961252}"/>
                  </c:ext>
                </c:extLst>
              </c15:ser>
            </c15:filteredAreaSeries>
            <c15:filteredArea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ch_latest!$K$2:$K$60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numCache>
                  </c:numRef>
                </c:val>
                <c:extLst xmlns:c15="http://schemas.microsoft.com/office/drawing/2012/chart">
                  <c:ext xmlns:c16="http://schemas.microsoft.com/office/drawing/2014/chart" uri="{C3380CC4-5D6E-409C-BE32-E72D297353CC}">
                    <c16:uniqueId val="{00000007-503A-464F-BA74-C113BE961252}"/>
                  </c:ext>
                </c:extLst>
              </c15:ser>
            </c15:filteredAreaSeries>
            <c15:filteredArea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ch_latest!$L$2:$L$60</c15:sqref>
                        </c15:formulaRef>
                      </c:ext>
                    </c:extLst>
                    <c:numCache>
                      <c:formatCode>General</c:formatCode>
                      <c:ptCount val="59"/>
                      <c:pt idx="1">
                        <c:v>1</c:v>
                      </c:pt>
                      <c:pt idx="2">
                        <c:v>4</c:v>
                      </c:pt>
                      <c:pt idx="3">
                        <c:v>7</c:v>
                      </c:pt>
                      <c:pt idx="4">
                        <c:v>7</c:v>
                      </c:pt>
                      <c:pt idx="5">
                        <c:v>7</c:v>
                      </c:pt>
                      <c:pt idx="6">
                        <c:v>11</c:v>
                      </c:pt>
                      <c:pt idx="7">
                        <c:v>16</c:v>
                      </c:pt>
                      <c:pt idx="8">
                        <c:v>21</c:v>
                      </c:pt>
                      <c:pt idx="9">
                        <c:v>44</c:v>
                      </c:pt>
                      <c:pt idx="10">
                        <c:v>64</c:v>
                      </c:pt>
                      <c:pt idx="11">
                        <c:v>72</c:v>
                      </c:pt>
                      <c:pt idx="12">
                        <c:v>64</c:v>
                      </c:pt>
                      <c:pt idx="13">
                        <c:v>77</c:v>
                      </c:pt>
                      <c:pt idx="14">
                        <c:v>80</c:v>
                      </c:pt>
                      <c:pt idx="15">
                        <c:v>140</c:v>
                      </c:pt>
                      <c:pt idx="16">
                        <c:v>347</c:v>
                      </c:pt>
                      <c:pt idx="17">
                        <c:v>329</c:v>
                      </c:pt>
                      <c:pt idx="18">
                        <c:v>276</c:v>
                      </c:pt>
                      <c:pt idx="19">
                        <c:v>297</c:v>
                      </c:pt>
                      <c:pt idx="20">
                        <c:v>575</c:v>
                      </c:pt>
                      <c:pt idx="21">
                        <c:v>692</c:v>
                      </c:pt>
                      <c:pt idx="22">
                        <c:v>1184</c:v>
                      </c:pt>
                      <c:pt idx="23">
                        <c:v>1153</c:v>
                      </c:pt>
                      <c:pt idx="24">
                        <c:v>1150</c:v>
                      </c:pt>
                      <c:pt idx="25">
                        <c:v>736</c:v>
                      </c:pt>
                      <c:pt idx="26">
                        <c:v>705</c:v>
                      </c:pt>
                      <c:pt idx="27">
                        <c:v>1303</c:v>
                      </c:pt>
                      <c:pt idx="28">
                        <c:v>949</c:v>
                      </c:pt>
                      <c:pt idx="29">
                        <c:v>1176</c:v>
                      </c:pt>
                      <c:pt idx="30">
                        <c:v>1240</c:v>
                      </c:pt>
                      <c:pt idx="31">
                        <c:v>1290</c:v>
                      </c:pt>
                      <c:pt idx="32">
                        <c:v>862</c:v>
                      </c:pt>
                      <c:pt idx="33">
                        <c:v>741</c:v>
                      </c:pt>
                      <c:pt idx="34">
                        <c:v>1073</c:v>
                      </c:pt>
                      <c:pt idx="35">
                        <c:v>992</c:v>
                      </c:pt>
                      <c:pt idx="36">
                        <c:v>1005</c:v>
                      </c:pt>
                      <c:pt idx="37">
                        <c:v>1083</c:v>
                      </c:pt>
                      <c:pt idx="38">
                        <c:v>922</c:v>
                      </c:pt>
                      <c:pt idx="39">
                        <c:v>607</c:v>
                      </c:pt>
                      <c:pt idx="40">
                        <c:v>458</c:v>
                      </c:pt>
                      <c:pt idx="41">
                        <c:v>660</c:v>
                      </c:pt>
                      <c:pt idx="42">
                        <c:v>657</c:v>
                      </c:pt>
                      <c:pt idx="43">
                        <c:v>651</c:v>
                      </c:pt>
                      <c:pt idx="44">
                        <c:v>676</c:v>
                      </c:pt>
                      <c:pt idx="45">
                        <c:v>494</c:v>
                      </c:pt>
                      <c:pt idx="46">
                        <c:v>466</c:v>
                      </c:pt>
                      <c:pt idx="47">
                        <c:v>319</c:v>
                      </c:pt>
                      <c:pt idx="48">
                        <c:v>240</c:v>
                      </c:pt>
                      <c:pt idx="49">
                        <c:v>309</c:v>
                      </c:pt>
                      <c:pt idx="50">
                        <c:v>320</c:v>
                      </c:pt>
                      <c:pt idx="51">
                        <c:v>314</c:v>
                      </c:pt>
                      <c:pt idx="52">
                        <c:v>303</c:v>
                      </c:pt>
                      <c:pt idx="53">
                        <c:v>322</c:v>
                      </c:pt>
                      <c:pt idx="54">
                        <c:v>198</c:v>
                      </c:pt>
                      <c:pt idx="55">
                        <c:v>189</c:v>
                      </c:pt>
                      <c:pt idx="56">
                        <c:v>146</c:v>
                      </c:pt>
                      <c:pt idx="57">
                        <c:v>177</c:v>
                      </c:pt>
                      <c:pt idx="58">
                        <c:v>95</c:v>
                      </c:pt>
                    </c:numCache>
                  </c:numRef>
                </c:val>
                <c:extLst xmlns:c15="http://schemas.microsoft.com/office/drawing/2012/chart">
                  <c:ext xmlns:c16="http://schemas.microsoft.com/office/drawing/2014/chart" uri="{C3380CC4-5D6E-409C-BE32-E72D297353CC}">
                    <c16:uniqueId val="{00000008-503A-464F-BA74-C113BE961252}"/>
                  </c:ext>
                </c:extLst>
              </c15:ser>
            </c15:filteredAreaSeries>
            <c15:filteredArea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ch_latest!$M$2:$M$60</c15:sqref>
                        </c15:formulaRef>
                      </c:ext>
                    </c:extLst>
                    <c:numCache>
                      <c:formatCode>General</c:formatCode>
                      <c:ptCount val="59"/>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476</c:v>
                      </c:pt>
                      <c:pt idx="16">
                        <c:v>616</c:v>
                      </c:pt>
                      <c:pt idx="17">
                        <c:v>963</c:v>
                      </c:pt>
                      <c:pt idx="18">
                        <c:v>1292</c:v>
                      </c:pt>
                      <c:pt idx="19">
                        <c:v>1568</c:v>
                      </c:pt>
                      <c:pt idx="20">
                        <c:v>1865</c:v>
                      </c:pt>
                      <c:pt idx="21">
                        <c:v>2440</c:v>
                      </c:pt>
                      <c:pt idx="22">
                        <c:v>3132</c:v>
                      </c:pt>
                      <c:pt idx="23">
                        <c:v>4316</c:v>
                      </c:pt>
                      <c:pt idx="24">
                        <c:v>5469</c:v>
                      </c:pt>
                      <c:pt idx="25">
                        <c:v>6619</c:v>
                      </c:pt>
                      <c:pt idx="26">
                        <c:v>7355</c:v>
                      </c:pt>
                      <c:pt idx="27">
                        <c:v>8060</c:v>
                      </c:pt>
                      <c:pt idx="28">
                        <c:v>9363</c:v>
                      </c:pt>
                      <c:pt idx="29">
                        <c:v>10312</c:v>
                      </c:pt>
                      <c:pt idx="30">
                        <c:v>11488</c:v>
                      </c:pt>
                      <c:pt idx="31">
                        <c:v>12728</c:v>
                      </c:pt>
                      <c:pt idx="32">
                        <c:v>14018</c:v>
                      </c:pt>
                      <c:pt idx="33">
                        <c:v>14880</c:v>
                      </c:pt>
                      <c:pt idx="34">
                        <c:v>15621</c:v>
                      </c:pt>
                      <c:pt idx="35">
                        <c:v>16694</c:v>
                      </c:pt>
                      <c:pt idx="36">
                        <c:v>17686</c:v>
                      </c:pt>
                      <c:pt idx="37">
                        <c:v>18691</c:v>
                      </c:pt>
                      <c:pt idx="38">
                        <c:v>19774</c:v>
                      </c:pt>
                      <c:pt idx="39">
                        <c:v>20696</c:v>
                      </c:pt>
                      <c:pt idx="40">
                        <c:v>21303</c:v>
                      </c:pt>
                      <c:pt idx="41">
                        <c:v>21761</c:v>
                      </c:pt>
                      <c:pt idx="42">
                        <c:v>22421</c:v>
                      </c:pt>
                      <c:pt idx="43">
                        <c:v>23078</c:v>
                      </c:pt>
                      <c:pt idx="44">
                        <c:v>23729</c:v>
                      </c:pt>
                      <c:pt idx="45">
                        <c:v>24405</c:v>
                      </c:pt>
                      <c:pt idx="46">
                        <c:v>24899</c:v>
                      </c:pt>
                      <c:pt idx="47">
                        <c:v>25365</c:v>
                      </c:pt>
                      <c:pt idx="48">
                        <c:v>25684</c:v>
                      </c:pt>
                      <c:pt idx="49">
                        <c:v>25924</c:v>
                      </c:pt>
                      <c:pt idx="50">
                        <c:v>26233</c:v>
                      </c:pt>
                      <c:pt idx="51">
                        <c:v>26553</c:v>
                      </c:pt>
                      <c:pt idx="52">
                        <c:v>26867</c:v>
                      </c:pt>
                      <c:pt idx="53">
                        <c:v>27170</c:v>
                      </c:pt>
                      <c:pt idx="54">
                        <c:v>27492</c:v>
                      </c:pt>
                      <c:pt idx="55">
                        <c:v>27690</c:v>
                      </c:pt>
                      <c:pt idx="56">
                        <c:v>27879</c:v>
                      </c:pt>
                      <c:pt idx="57">
                        <c:v>28025</c:v>
                      </c:pt>
                      <c:pt idx="58">
                        <c:v>28202</c:v>
                      </c:pt>
                    </c:numCache>
                  </c:numRef>
                </c:val>
                <c:extLst xmlns:c15="http://schemas.microsoft.com/office/drawing/2012/chart">
                  <c:ext xmlns:c16="http://schemas.microsoft.com/office/drawing/2014/chart" uri="{C3380CC4-5D6E-409C-BE32-E72D297353CC}">
                    <c16:uniqueId val="{00000009-503A-464F-BA74-C113BE961252}"/>
                  </c:ext>
                </c:extLst>
              </c15:ser>
            </c15:filteredAreaSeries>
            <c15:filteredArea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ch_latest!$N$2:$N$60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numCache>
                  </c:numRef>
                </c:val>
                <c:extLst xmlns:c15="http://schemas.microsoft.com/office/drawing/2012/chart">
                  <c:ext xmlns:c16="http://schemas.microsoft.com/office/drawing/2014/chart" uri="{C3380CC4-5D6E-409C-BE32-E72D297353CC}">
                    <c16:uniqueId val="{0000000A-503A-464F-BA74-C113BE961252}"/>
                  </c:ext>
                </c:extLst>
              </c15:ser>
            </c15:filteredAreaSeries>
            <c15:filteredArea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ch_latest!$O$2:$O$60</c15:sqref>
                        </c15:formulaRef>
                      </c:ext>
                    </c:extLst>
                    <c:numCache>
                      <c:formatCode>General</c:formatCode>
                      <c:ptCount val="59"/>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3</c:v>
                      </c:pt>
                      <c:pt idx="17">
                        <c:v>1</c:v>
                      </c:pt>
                      <c:pt idx="18">
                        <c:v>3</c:v>
                      </c:pt>
                      <c:pt idx="19">
                        <c:v>8</c:v>
                      </c:pt>
                      <c:pt idx="20">
                        <c:v>9</c:v>
                      </c:pt>
                      <c:pt idx="21">
                        <c:v>6</c:v>
                      </c:pt>
                      <c:pt idx="22">
                        <c:v>13</c:v>
                      </c:pt>
                      <c:pt idx="23">
                        <c:v>7</c:v>
                      </c:pt>
                      <c:pt idx="24">
                        <c:v>22</c:v>
                      </c:pt>
                      <c:pt idx="25">
                        <c:v>19</c:v>
                      </c:pt>
                      <c:pt idx="26">
                        <c:v>18</c:v>
                      </c:pt>
                      <c:pt idx="27">
                        <c:v>28</c:v>
                      </c:pt>
                      <c:pt idx="28">
                        <c:v>21</c:v>
                      </c:pt>
                      <c:pt idx="29">
                        <c:v>33</c:v>
                      </c:pt>
                      <c:pt idx="30">
                        <c:v>50</c:v>
                      </c:pt>
                      <c:pt idx="31">
                        <c:v>36</c:v>
                      </c:pt>
                      <c:pt idx="32">
                        <c:v>48</c:v>
                      </c:pt>
                      <c:pt idx="33">
                        <c:v>40</c:v>
                      </c:pt>
                      <c:pt idx="34">
                        <c:v>55</c:v>
                      </c:pt>
                      <c:pt idx="35">
                        <c:v>70</c:v>
                      </c:pt>
                      <c:pt idx="36">
                        <c:v>61</c:v>
                      </c:pt>
                      <c:pt idx="37">
                        <c:v>61</c:v>
                      </c:pt>
                      <c:pt idx="38">
                        <c:v>63</c:v>
                      </c:pt>
                      <c:pt idx="39">
                        <c:v>64</c:v>
                      </c:pt>
                      <c:pt idx="40">
                        <c:v>53</c:v>
                      </c:pt>
                      <c:pt idx="41">
                        <c:v>56</c:v>
                      </c:pt>
                      <c:pt idx="42">
                        <c:v>61</c:v>
                      </c:pt>
                      <c:pt idx="43">
                        <c:v>68</c:v>
                      </c:pt>
                      <c:pt idx="44">
                        <c:v>49</c:v>
                      </c:pt>
                      <c:pt idx="45">
                        <c:v>50</c:v>
                      </c:pt>
                      <c:pt idx="46">
                        <c:v>36</c:v>
                      </c:pt>
                      <c:pt idx="47">
                        <c:v>54</c:v>
                      </c:pt>
                      <c:pt idx="48">
                        <c:v>29</c:v>
                      </c:pt>
                      <c:pt idx="49">
                        <c:v>39</c:v>
                      </c:pt>
                      <c:pt idx="50">
                        <c:v>53</c:v>
                      </c:pt>
                      <c:pt idx="51">
                        <c:v>41</c:v>
                      </c:pt>
                      <c:pt idx="52">
                        <c:v>41</c:v>
                      </c:pt>
                      <c:pt idx="53">
                        <c:v>39</c:v>
                      </c:pt>
                      <c:pt idx="54">
                        <c:v>21</c:v>
                      </c:pt>
                      <c:pt idx="55">
                        <c:v>36</c:v>
                      </c:pt>
                      <c:pt idx="56">
                        <c:v>34</c:v>
                      </c:pt>
                      <c:pt idx="57">
                        <c:v>16</c:v>
                      </c:pt>
                      <c:pt idx="58">
                        <c:v>8</c:v>
                      </c:pt>
                    </c:numCache>
                  </c:numRef>
                </c:val>
                <c:extLst xmlns:c15="http://schemas.microsoft.com/office/drawing/2012/chart">
                  <c:ext xmlns:c16="http://schemas.microsoft.com/office/drawing/2014/chart" uri="{C3380CC4-5D6E-409C-BE32-E72D297353CC}">
                    <c16:uniqueId val="{0000000B-503A-464F-BA74-C113BE961252}"/>
                  </c:ext>
                </c:extLst>
              </c15:ser>
            </c15:filteredAreaSeries>
            <c15:filteredArea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ch_latest!$P$2:$P$60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8</c:v>
                      </c:pt>
                      <c:pt idx="18">
                        <c:v>9</c:v>
                      </c:pt>
                      <c:pt idx="19">
                        <c:v>12</c:v>
                      </c:pt>
                      <c:pt idx="20">
                        <c:v>20</c:v>
                      </c:pt>
                      <c:pt idx="21">
                        <c:v>29</c:v>
                      </c:pt>
                      <c:pt idx="22">
                        <c:v>35</c:v>
                      </c:pt>
                      <c:pt idx="23">
                        <c:v>48</c:v>
                      </c:pt>
                      <c:pt idx="24">
                        <c:v>55</c:v>
                      </c:pt>
                      <c:pt idx="25">
                        <c:v>77</c:v>
                      </c:pt>
                      <c:pt idx="26">
                        <c:v>96</c:v>
                      </c:pt>
                      <c:pt idx="27">
                        <c:v>114</c:v>
                      </c:pt>
                      <c:pt idx="28">
                        <c:v>142</c:v>
                      </c:pt>
                      <c:pt idx="29">
                        <c:v>163</c:v>
                      </c:pt>
                      <c:pt idx="30">
                        <c:v>196</c:v>
                      </c:pt>
                      <c:pt idx="31">
                        <c:v>246</c:v>
                      </c:pt>
                      <c:pt idx="32">
                        <c:v>282</c:v>
                      </c:pt>
                      <c:pt idx="33">
                        <c:v>330</c:v>
                      </c:pt>
                      <c:pt idx="34">
                        <c:v>370</c:v>
                      </c:pt>
                      <c:pt idx="35">
                        <c:v>425</c:v>
                      </c:pt>
                      <c:pt idx="36">
                        <c:v>495</c:v>
                      </c:pt>
                      <c:pt idx="37">
                        <c:v>556</c:v>
                      </c:pt>
                      <c:pt idx="38">
                        <c:v>617</c:v>
                      </c:pt>
                      <c:pt idx="39">
                        <c:v>680</c:v>
                      </c:pt>
                      <c:pt idx="40">
                        <c:v>744</c:v>
                      </c:pt>
                      <c:pt idx="41">
                        <c:v>797</c:v>
                      </c:pt>
                      <c:pt idx="42">
                        <c:v>853</c:v>
                      </c:pt>
                      <c:pt idx="43">
                        <c:v>914</c:v>
                      </c:pt>
                      <c:pt idx="44">
                        <c:v>982</c:v>
                      </c:pt>
                      <c:pt idx="45">
                        <c:v>1031</c:v>
                      </c:pt>
                      <c:pt idx="46">
                        <c:v>1081</c:v>
                      </c:pt>
                      <c:pt idx="47">
                        <c:v>1117</c:v>
                      </c:pt>
                      <c:pt idx="48">
                        <c:v>1171</c:v>
                      </c:pt>
                      <c:pt idx="49">
                        <c:v>1200</c:v>
                      </c:pt>
                      <c:pt idx="50">
                        <c:v>1239</c:v>
                      </c:pt>
                      <c:pt idx="51">
                        <c:v>1292</c:v>
                      </c:pt>
                      <c:pt idx="52">
                        <c:v>1333</c:v>
                      </c:pt>
                      <c:pt idx="53">
                        <c:v>1374</c:v>
                      </c:pt>
                      <c:pt idx="54">
                        <c:v>1413</c:v>
                      </c:pt>
                      <c:pt idx="55">
                        <c:v>1434</c:v>
                      </c:pt>
                      <c:pt idx="56">
                        <c:v>1470</c:v>
                      </c:pt>
                      <c:pt idx="57">
                        <c:v>1504</c:v>
                      </c:pt>
                      <c:pt idx="58">
                        <c:v>1520</c:v>
                      </c:pt>
                    </c:numCache>
                  </c:numRef>
                </c:val>
                <c:extLst xmlns:c15="http://schemas.microsoft.com/office/drawing/2012/chart">
                  <c:ext xmlns:c16="http://schemas.microsoft.com/office/drawing/2014/chart" uri="{C3380CC4-5D6E-409C-BE32-E72D297353CC}">
                    <c16:uniqueId val="{0000000C-503A-464F-BA74-C113BE961252}"/>
                  </c:ext>
                </c:extLst>
              </c15:ser>
            </c15:filteredAreaSeries>
            <c15:filteredArea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ch_latest!$Q$2:$Q$60</c15:sqref>
                        </c15:formulaRef>
                      </c:ext>
                    </c:extLst>
                    <c:numCache>
                      <c:formatCode>General</c:formatCode>
                      <c:ptCount val="59"/>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2.5</c:v>
                      </c:pt>
                      <c:pt idx="15">
                        <c:v>2.8553700000000002</c:v>
                      </c:pt>
                      <c:pt idx="16">
                        <c:v>2.60819</c:v>
                      </c:pt>
                      <c:pt idx="17">
                        <c:v>2.4777279999999999</c:v>
                      </c:pt>
                      <c:pt idx="18">
                        <c:v>2.5184440000000001</c:v>
                      </c:pt>
                      <c:pt idx="19">
                        <c:v>2.5378880000000001</c:v>
                      </c:pt>
                      <c:pt idx="20">
                        <c:v>2.5177770000000002</c:v>
                      </c:pt>
                      <c:pt idx="21">
                        <c:v>2.9386239999999999</c:v>
                      </c:pt>
                      <c:pt idx="22">
                        <c:v>2.8734169999999999</c:v>
                      </c:pt>
                      <c:pt idx="23">
                        <c:v>2.7741539999999998</c:v>
                      </c:pt>
                      <c:pt idx="24">
                        <c:v>2.7360709999999999</c:v>
                      </c:pt>
                      <c:pt idx="25">
                        <c:v>3.1410110000000002</c:v>
                      </c:pt>
                      <c:pt idx="26">
                        <c:v>3.6665070000000002</c:v>
                      </c:pt>
                      <c:pt idx="27">
                        <c:v>4.4751700000000003</c:v>
                      </c:pt>
                      <c:pt idx="28">
                        <c:v>5.4646290000000004</c:v>
                      </c:pt>
                      <c:pt idx="29">
                        <c:v>6.2858099999999997</c:v>
                      </c:pt>
                      <c:pt idx="30">
                        <c:v>6.3194470000000003</c:v>
                      </c:pt>
                      <c:pt idx="31">
                        <c:v>6.2622989999999996</c:v>
                      </c:pt>
                      <c:pt idx="32">
                        <c:v>7.4813140000000002</c:v>
                      </c:pt>
                      <c:pt idx="33">
                        <c:v>8.3449799999999996</c:v>
                      </c:pt>
                      <c:pt idx="34">
                        <c:v>9.2729619999999997</c:v>
                      </c:pt>
                      <c:pt idx="35">
                        <c:v>10.535142</c:v>
                      </c:pt>
                      <c:pt idx="36">
                        <c:v>12.046357</c:v>
                      </c:pt>
                      <c:pt idx="37">
                        <c:v>12.188278</c:v>
                      </c:pt>
                      <c:pt idx="38">
                        <c:v>12.319362999999999</c:v>
                      </c:pt>
                      <c:pt idx="39">
                        <c:v>14.215572999999999</c:v>
                      </c:pt>
                      <c:pt idx="40">
                        <c:v>16.714746000000002</c:v>
                      </c:pt>
                      <c:pt idx="41">
                        <c:v>19.047121000000001</c:v>
                      </c:pt>
                      <c:pt idx="42">
                        <c:v>22.430229000000001</c:v>
                      </c:pt>
                      <c:pt idx="43">
                        <c:v>25.342203000000001</c:v>
                      </c:pt>
                      <c:pt idx="44">
                        <c:v>25.494577</c:v>
                      </c:pt>
                      <c:pt idx="45">
                        <c:v>25.727715</c:v>
                      </c:pt>
                      <c:pt idx="46">
                        <c:v>28.091697</c:v>
                      </c:pt>
                      <c:pt idx="47">
                        <c:v>32.393552999999997</c:v>
                      </c:pt>
                      <c:pt idx="48">
                        <c:v>39.173583000000001</c:v>
                      </c:pt>
                      <c:pt idx="49">
                        <c:v>47.981858000000003</c:v>
                      </c:pt>
                      <c:pt idx="50">
                        <c:v>53.88682</c:v>
                      </c:pt>
                      <c:pt idx="51">
                        <c:v>60.243811000000001</c:v>
                      </c:pt>
                      <c:pt idx="52">
                        <c:v>61.618347999999997</c:v>
                      </c:pt>
                      <c:pt idx="53">
                        <c:v>59.015486000000003</c:v>
                      </c:pt>
                      <c:pt idx="54">
                        <c:v>64.117154999999997</c:v>
                      </c:pt>
                      <c:pt idx="55">
                        <c:v>71.119764000000004</c:v>
                      </c:pt>
                      <c:pt idx="56">
                        <c:v>82.129943999999995</c:v>
                      </c:pt>
                      <c:pt idx="57">
                        <c:v>92.966330999999997</c:v>
                      </c:pt>
                      <c:pt idx="58">
                        <c:v>120.084795</c:v>
                      </c:pt>
                    </c:numCache>
                  </c:numRef>
                </c:val>
                <c:extLst xmlns:c15="http://schemas.microsoft.com/office/drawing/2012/chart">
                  <c:ext xmlns:c16="http://schemas.microsoft.com/office/drawing/2014/chart" uri="{C3380CC4-5D6E-409C-BE32-E72D297353CC}">
                    <c16:uniqueId val="{00000000-71F8-4929-9113-196FB8E54065}"/>
                  </c:ext>
                </c:extLst>
              </c15:ser>
            </c15:filteredAreaSeries>
            <c15:filteredArea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ch_latest!$R$2:$R$60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1.6666669999999999</c:v>
                      </c:pt>
                      <c:pt idx="17">
                        <c:v>2.304227</c:v>
                      </c:pt>
                      <c:pt idx="18">
                        <c:v>1.934264</c:v>
                      </c:pt>
                      <c:pt idx="19">
                        <c:v>2.1533829999999998</c:v>
                      </c:pt>
                      <c:pt idx="20">
                        <c:v>1.971568</c:v>
                      </c:pt>
                      <c:pt idx="21">
                        <c:v>2.3482080000000001</c:v>
                      </c:pt>
                      <c:pt idx="22">
                        <c:v>2.0703610000000001</c:v>
                      </c:pt>
                      <c:pt idx="23">
                        <c:v>2.2764549999999999</c:v>
                      </c:pt>
                      <c:pt idx="24">
                        <c:v>2.570881</c:v>
                      </c:pt>
                      <c:pt idx="25">
                        <c:v>2.8952249999999999</c:v>
                      </c:pt>
                      <c:pt idx="26">
                        <c:v>2.934949</c:v>
                      </c:pt>
                      <c:pt idx="27">
                        <c:v>3.1953279999999999</c:v>
                      </c:pt>
                      <c:pt idx="28">
                        <c:v>3.1900599999999999</c:v>
                      </c:pt>
                      <c:pt idx="29">
                        <c:v>3.7094100000000001</c:v>
                      </c:pt>
                      <c:pt idx="30">
                        <c:v>3.6831</c:v>
                      </c:pt>
                      <c:pt idx="31">
                        <c:v>3.826546</c:v>
                      </c:pt>
                      <c:pt idx="32">
                        <c:v>4.1098980000000003</c:v>
                      </c:pt>
                      <c:pt idx="33">
                        <c:v>4.2277820000000004</c:v>
                      </c:pt>
                      <c:pt idx="34">
                        <c:v>4.4778419999999999</c:v>
                      </c:pt>
                      <c:pt idx="35">
                        <c:v>4.9565299999999999</c:v>
                      </c:pt>
                      <c:pt idx="36">
                        <c:v>5.1052200000000001</c:v>
                      </c:pt>
                      <c:pt idx="37">
                        <c:v>5.5382980000000002</c:v>
                      </c:pt>
                      <c:pt idx="38">
                        <c:v>5.694699</c:v>
                      </c:pt>
                      <c:pt idx="39">
                        <c:v>6.1893459999999996</c:v>
                      </c:pt>
                      <c:pt idx="40">
                        <c:v>7.2764189999999997</c:v>
                      </c:pt>
                      <c:pt idx="41">
                        <c:v>8.0976789999999994</c:v>
                      </c:pt>
                      <c:pt idx="42">
                        <c:v>8.8195289999999993</c:v>
                      </c:pt>
                      <c:pt idx="43">
                        <c:v>9.430612</c:v>
                      </c:pt>
                      <c:pt idx="44">
                        <c:v>10.623158999999999</c:v>
                      </c:pt>
                      <c:pt idx="45">
                        <c:v>11.371003999999999</c:v>
                      </c:pt>
                      <c:pt idx="46">
                        <c:v>12.853089000000001</c:v>
                      </c:pt>
                      <c:pt idx="47">
                        <c:v>13.986992000000001</c:v>
                      </c:pt>
                      <c:pt idx="48">
                        <c:v>17.286714</c:v>
                      </c:pt>
                      <c:pt idx="49">
                        <c:v>18.858540999999999</c:v>
                      </c:pt>
                      <c:pt idx="50">
                        <c:v>19.437135999999999</c:v>
                      </c:pt>
                      <c:pt idx="51">
                        <c:v>19.604184</c:v>
                      </c:pt>
                      <c:pt idx="52">
                        <c:v>21.678719999999998</c:v>
                      </c:pt>
                      <c:pt idx="53">
                        <c:v>21.210972000000002</c:v>
                      </c:pt>
                      <c:pt idx="54">
                        <c:v>23.711421999999999</c:v>
                      </c:pt>
                      <c:pt idx="55">
                        <c:v>26.851392000000001</c:v>
                      </c:pt>
                      <c:pt idx="56">
                        <c:v>28.714544</c:v>
                      </c:pt>
                      <c:pt idx="57">
                        <c:v>34.319606</c:v>
                      </c:pt>
                      <c:pt idx="58">
                        <c:v>44.293619</c:v>
                      </c:pt>
                    </c:numCache>
                  </c:numRef>
                </c:val>
                <c:extLst xmlns:c15="http://schemas.microsoft.com/office/drawing/2012/chart">
                  <c:ext xmlns:c16="http://schemas.microsoft.com/office/drawing/2014/chart" uri="{C3380CC4-5D6E-409C-BE32-E72D297353CC}">
                    <c16:uniqueId val="{00000001-71F8-4929-9113-196FB8E54065}"/>
                  </c:ext>
                </c:extLst>
              </c15:ser>
            </c15:filteredAreaSeries>
          </c:ext>
        </c:extLst>
      </c:areaChart>
      <c:lineChart>
        <c:grouping val="standard"/>
        <c:varyColors val="0"/>
        <c:ser>
          <c:idx val="2"/>
          <c:order val="0"/>
          <c:tx>
            <c:strRef>
              <c:f>ch_latest!$J$1</c:f>
              <c:strCache>
                <c:ptCount val="1"/>
                <c:pt idx="0">
                  <c:v>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ch_latest!$A$2:$A$60</c:f>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f>ch_latest!$J$2:$J$60</c:f>
              <c:numCache>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8</c:v>
                </c:pt>
                <c:pt idx="17">
                  <c:v>9</c:v>
                </c:pt>
                <c:pt idx="18">
                  <c:v>12</c:v>
                </c:pt>
                <c:pt idx="19">
                  <c:v>20</c:v>
                </c:pt>
                <c:pt idx="20">
                  <c:v>29</c:v>
                </c:pt>
                <c:pt idx="21">
                  <c:v>35</c:v>
                </c:pt>
                <c:pt idx="22">
                  <c:v>48</c:v>
                </c:pt>
                <c:pt idx="23">
                  <c:v>55</c:v>
                </c:pt>
                <c:pt idx="24">
                  <c:v>77</c:v>
                </c:pt>
                <c:pt idx="25">
                  <c:v>96</c:v>
                </c:pt>
                <c:pt idx="26">
                  <c:v>114</c:v>
                </c:pt>
                <c:pt idx="27">
                  <c:v>142</c:v>
                </c:pt>
                <c:pt idx="28">
                  <c:v>163</c:v>
                </c:pt>
                <c:pt idx="29">
                  <c:v>196</c:v>
                </c:pt>
                <c:pt idx="30">
                  <c:v>246</c:v>
                </c:pt>
                <c:pt idx="31">
                  <c:v>282</c:v>
                </c:pt>
                <c:pt idx="32">
                  <c:v>330</c:v>
                </c:pt>
                <c:pt idx="33">
                  <c:v>370</c:v>
                </c:pt>
                <c:pt idx="34">
                  <c:v>425</c:v>
                </c:pt>
                <c:pt idx="35">
                  <c:v>495</c:v>
                </c:pt>
                <c:pt idx="36">
                  <c:v>556</c:v>
                </c:pt>
                <c:pt idx="37">
                  <c:v>617</c:v>
                </c:pt>
                <c:pt idx="38">
                  <c:v>680</c:v>
                </c:pt>
                <c:pt idx="39">
                  <c:v>744</c:v>
                </c:pt>
                <c:pt idx="40">
                  <c:v>797</c:v>
                </c:pt>
                <c:pt idx="41">
                  <c:v>853</c:v>
                </c:pt>
                <c:pt idx="42">
                  <c:v>914</c:v>
                </c:pt>
                <c:pt idx="43">
                  <c:v>982</c:v>
                </c:pt>
                <c:pt idx="44">
                  <c:v>1031</c:v>
                </c:pt>
                <c:pt idx="45">
                  <c:v>1081</c:v>
                </c:pt>
                <c:pt idx="46">
                  <c:v>1117</c:v>
                </c:pt>
                <c:pt idx="47">
                  <c:v>1171</c:v>
                </c:pt>
                <c:pt idx="48">
                  <c:v>1200</c:v>
                </c:pt>
                <c:pt idx="49">
                  <c:v>1239</c:v>
                </c:pt>
                <c:pt idx="50">
                  <c:v>1292</c:v>
                </c:pt>
                <c:pt idx="51">
                  <c:v>1333</c:v>
                </c:pt>
                <c:pt idx="52">
                  <c:v>1374</c:v>
                </c:pt>
                <c:pt idx="53">
                  <c:v>1413</c:v>
                </c:pt>
                <c:pt idx="54">
                  <c:v>1434</c:v>
                </c:pt>
                <c:pt idx="55">
                  <c:v>1470</c:v>
                </c:pt>
                <c:pt idx="56">
                  <c:v>1504</c:v>
                </c:pt>
                <c:pt idx="57">
                  <c:v>1520</c:v>
                </c:pt>
                <c:pt idx="58">
                  <c:v>1528</c:v>
                </c:pt>
              </c:numCache>
            </c:numRef>
          </c:val>
          <c:smooth val="0"/>
          <c:extLst xmlns:c15="http://schemas.microsoft.com/office/drawing/2012/chart">
            <c:ext xmlns:c16="http://schemas.microsoft.com/office/drawing/2014/chart" uri="{C3380CC4-5D6E-409C-BE32-E72D297353CC}">
              <c16:uniqueId val="{00000002-503A-464F-BA74-C113BE961252}"/>
            </c:ext>
          </c:extLst>
        </c:ser>
        <c:dLbls>
          <c:showLegendKey val="0"/>
          <c:showVal val="0"/>
          <c:showCatName val="0"/>
          <c:showSerName val="0"/>
          <c:showPercent val="0"/>
          <c:showBubbleSize val="0"/>
        </c:dLbls>
        <c:marker val="1"/>
        <c:smooth val="0"/>
        <c:axId val="1329134367"/>
        <c:axId val="4147887"/>
      </c:lineChart>
      <c:dateAx>
        <c:axId val="1329134367"/>
        <c:scaling>
          <c:orientation val="minMax"/>
        </c:scaling>
        <c:delete val="0"/>
        <c:axPos val="b"/>
        <c:numFmt formatCode="m/d/yyyy" sourceLinked="0"/>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4147887"/>
        <c:crosses val="autoZero"/>
        <c:auto val="1"/>
        <c:lblOffset val="100"/>
        <c:baseTimeUnit val="days"/>
      </c:dateAx>
      <c:valAx>
        <c:axId val="4147887"/>
        <c:scaling>
          <c:orientation val="minMax"/>
        </c:scaling>
        <c:delete val="0"/>
        <c:axPos val="l"/>
        <c:majorGridlines>
          <c:spPr>
            <a:ln w="9525" cap="flat" cmpd="sng" algn="ctr">
              <a:solidFill>
                <a:schemeClr val="bg1">
                  <a:alpha val="58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329134367"/>
        <c:crosses val="autoZero"/>
        <c:crossBetween val="between"/>
      </c:valAx>
      <c:spPr>
        <a:noFill/>
        <a:ln>
          <a:noFill/>
        </a:ln>
        <a:effectLst/>
      </c:spPr>
    </c:plotArea>
    <c:legend>
      <c:legendPos val="b"/>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253909158600149"/>
          <c:y val="2.709745103420023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5.7173449431132124E-2"/>
          <c:y val="0.12638970157987128"/>
          <c:w val="0.90141120048978762"/>
          <c:h val="0.67277725381820308"/>
        </c:manualLayout>
      </c:layout>
      <c:barChart>
        <c:barDir val="col"/>
        <c:grouping val="clustered"/>
        <c:varyColors val="0"/>
        <c:ser>
          <c:idx val="13"/>
          <c:order val="13"/>
          <c:tx>
            <c:strRef>
              <c:f>ch_latest!$Q$1</c:f>
              <c:strCache>
                <c:ptCount val="1"/>
                <c:pt idx="0">
                  <c:v>doubling_time_total_positive</c:v>
                </c:pt>
              </c:strCache>
            </c:strRef>
          </c:tx>
          <c:spPr>
            <a:solidFill>
              <a:srgbClr val="33CCFF"/>
            </a:solidFill>
            <a:ln>
              <a:solidFill>
                <a:srgbClr val="33CCFF"/>
              </a:solidFill>
            </a:ln>
            <a:effectLst>
              <a:outerShdw blurRad="57150" dist="19050" dir="5400000" algn="ctr" rotWithShape="0">
                <a:srgbClr val="000000">
                  <a:alpha val="63000"/>
                </a:srgbClr>
              </a:outerShdw>
            </a:effectLst>
          </c:spPr>
          <c:invertIfNegative val="0"/>
          <c:cat>
            <c:numRef>
              <c:f>ch_latest!$A$2:$A$60</c:f>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f>ch_latest!$Q$2:$Q$60</c:f>
              <c:numCache>
                <c:formatCode>General</c:formatCode>
                <c:ptCount val="59"/>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2.5</c:v>
                </c:pt>
                <c:pt idx="15">
                  <c:v>2.8553700000000002</c:v>
                </c:pt>
                <c:pt idx="16">
                  <c:v>2.60819</c:v>
                </c:pt>
                <c:pt idx="17">
                  <c:v>2.4777279999999999</c:v>
                </c:pt>
                <c:pt idx="18">
                  <c:v>2.5184440000000001</c:v>
                </c:pt>
                <c:pt idx="19">
                  <c:v>2.5378880000000001</c:v>
                </c:pt>
                <c:pt idx="20">
                  <c:v>2.5177770000000002</c:v>
                </c:pt>
                <c:pt idx="21">
                  <c:v>2.9386239999999999</c:v>
                </c:pt>
                <c:pt idx="22">
                  <c:v>2.8734169999999999</c:v>
                </c:pt>
                <c:pt idx="23">
                  <c:v>2.7741539999999998</c:v>
                </c:pt>
                <c:pt idx="24">
                  <c:v>2.7360709999999999</c:v>
                </c:pt>
                <c:pt idx="25">
                  <c:v>3.1410110000000002</c:v>
                </c:pt>
                <c:pt idx="26">
                  <c:v>3.6665070000000002</c:v>
                </c:pt>
                <c:pt idx="27">
                  <c:v>4.4751700000000003</c:v>
                </c:pt>
                <c:pt idx="28">
                  <c:v>5.4646290000000004</c:v>
                </c:pt>
                <c:pt idx="29">
                  <c:v>6.2858099999999997</c:v>
                </c:pt>
                <c:pt idx="30">
                  <c:v>6.3194470000000003</c:v>
                </c:pt>
                <c:pt idx="31">
                  <c:v>6.2622989999999996</c:v>
                </c:pt>
                <c:pt idx="32">
                  <c:v>7.4813140000000002</c:v>
                </c:pt>
                <c:pt idx="33">
                  <c:v>8.3449799999999996</c:v>
                </c:pt>
                <c:pt idx="34">
                  <c:v>9.2729619999999997</c:v>
                </c:pt>
                <c:pt idx="35">
                  <c:v>10.535142</c:v>
                </c:pt>
                <c:pt idx="36">
                  <c:v>12.046357</c:v>
                </c:pt>
                <c:pt idx="37">
                  <c:v>12.188278</c:v>
                </c:pt>
                <c:pt idx="38">
                  <c:v>12.319362999999999</c:v>
                </c:pt>
                <c:pt idx="39">
                  <c:v>14.215572999999999</c:v>
                </c:pt>
                <c:pt idx="40">
                  <c:v>16.714746000000002</c:v>
                </c:pt>
                <c:pt idx="41">
                  <c:v>19.047121000000001</c:v>
                </c:pt>
                <c:pt idx="42">
                  <c:v>22.430229000000001</c:v>
                </c:pt>
                <c:pt idx="43">
                  <c:v>25.342203000000001</c:v>
                </c:pt>
                <c:pt idx="44">
                  <c:v>25.494577</c:v>
                </c:pt>
                <c:pt idx="45">
                  <c:v>25.727715</c:v>
                </c:pt>
                <c:pt idx="46">
                  <c:v>28.091697</c:v>
                </c:pt>
                <c:pt idx="47">
                  <c:v>32.393552999999997</c:v>
                </c:pt>
                <c:pt idx="48">
                  <c:v>39.173583000000001</c:v>
                </c:pt>
                <c:pt idx="49">
                  <c:v>47.981858000000003</c:v>
                </c:pt>
                <c:pt idx="50">
                  <c:v>53.88682</c:v>
                </c:pt>
                <c:pt idx="51">
                  <c:v>60.243811000000001</c:v>
                </c:pt>
                <c:pt idx="52">
                  <c:v>61.618347999999997</c:v>
                </c:pt>
                <c:pt idx="53">
                  <c:v>59.015486000000003</c:v>
                </c:pt>
                <c:pt idx="54">
                  <c:v>64.117154999999997</c:v>
                </c:pt>
                <c:pt idx="55">
                  <c:v>71.119764000000004</c:v>
                </c:pt>
                <c:pt idx="56">
                  <c:v>82.129943999999995</c:v>
                </c:pt>
                <c:pt idx="57">
                  <c:v>92.966330999999997</c:v>
                </c:pt>
                <c:pt idx="58">
                  <c:v>120.084795</c:v>
                </c:pt>
              </c:numCache>
            </c:numRef>
          </c:val>
          <c:extLst>
            <c:ext xmlns:c16="http://schemas.microsoft.com/office/drawing/2014/chart" uri="{C3380CC4-5D6E-409C-BE32-E72D297353CC}">
              <c16:uniqueId val="{00000000-84A1-4D71-B585-618A414EE633}"/>
            </c:ext>
          </c:extLst>
        </c:ser>
        <c:dLbls>
          <c:showLegendKey val="0"/>
          <c:showVal val="0"/>
          <c:showCatName val="0"/>
          <c:showSerName val="0"/>
          <c:showPercent val="0"/>
          <c:showBubbleSize val="0"/>
        </c:dLbls>
        <c:gapWidth val="150"/>
        <c:axId val="89998336"/>
        <c:axId val="10938272"/>
        <c:extLst>
          <c:ext xmlns:c15="http://schemas.microsoft.com/office/drawing/2012/chart" uri="{02D57815-91ED-43cb-92C2-25804820EDAC}">
            <c15:filteredBarSeries>
              <c15:ser>
                <c:idx val="0"/>
                <c:order val="0"/>
                <c:tx>
                  <c:strRef>
                    <c:extLst>
                      <c:ext uri="{02D57815-91ED-43cb-92C2-25804820EDAC}">
                        <c15:formulaRef>
                          <c15:sqref>ch_latest!$D$1</c15:sqref>
                        </c15:formulaRef>
                      </c:ext>
                    </c:extLst>
                    <c:strCache>
                      <c:ptCount val="1"/>
                      <c:pt idx="0">
                        <c:v>intensive_care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c:ex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c:ext uri="{02D57815-91ED-43cb-92C2-25804820EDAC}">
                        <c15:formulaRef>
                          <c15:sqref>ch_latest!$D$2:$D$60</c15:sqref>
                        </c15:formulaRef>
                      </c:ext>
                    </c:extLst>
                    <c:numCache>
                      <c:formatCode>General</c:formatCode>
                      <c:ptCount val="59"/>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411</c:v>
                      </c:pt>
                      <c:pt idx="36">
                        <c:v>442</c:v>
                      </c:pt>
                      <c:pt idx="37">
                        <c:v>449</c:v>
                      </c:pt>
                      <c:pt idx="38">
                        <c:v>456</c:v>
                      </c:pt>
                      <c:pt idx="39">
                        <c:v>458</c:v>
                      </c:pt>
                      <c:pt idx="40">
                        <c:v>448</c:v>
                      </c:pt>
                      <c:pt idx="41">
                        <c:v>448</c:v>
                      </c:pt>
                      <c:pt idx="42">
                        <c:v>444</c:v>
                      </c:pt>
                      <c:pt idx="43">
                        <c:v>440</c:v>
                      </c:pt>
                      <c:pt idx="44">
                        <c:v>433</c:v>
                      </c:pt>
                      <c:pt idx="45">
                        <c:v>421</c:v>
                      </c:pt>
                      <c:pt idx="46">
                        <c:v>421</c:v>
                      </c:pt>
                      <c:pt idx="47">
                        <c:v>410</c:v>
                      </c:pt>
                      <c:pt idx="48">
                        <c:v>407</c:v>
                      </c:pt>
                      <c:pt idx="49">
                        <c:v>392</c:v>
                      </c:pt>
                      <c:pt idx="50">
                        <c:v>367</c:v>
                      </c:pt>
                      <c:pt idx="51">
                        <c:v>348</c:v>
                      </c:pt>
                      <c:pt idx="52">
                        <c:v>336</c:v>
                      </c:pt>
                      <c:pt idx="53">
                        <c:v>322</c:v>
                      </c:pt>
                      <c:pt idx="54">
                        <c:v>313</c:v>
                      </c:pt>
                      <c:pt idx="55">
                        <c:v>300</c:v>
                      </c:pt>
                      <c:pt idx="56">
                        <c:v>286</c:v>
                      </c:pt>
                      <c:pt idx="57">
                        <c:v>255</c:v>
                      </c:pt>
                      <c:pt idx="58">
                        <c:v>250</c:v>
                      </c:pt>
                    </c:numCache>
                  </c:numRef>
                </c:val>
                <c:extLst>
                  <c:ext xmlns:c16="http://schemas.microsoft.com/office/drawing/2014/chart" uri="{C3380CC4-5D6E-409C-BE32-E72D297353CC}">
                    <c16:uniqueId val="{00000000-0070-4142-9DD7-3059914A0F04}"/>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ch_latest!$E$2:$E$60</c15:sqref>
                        </c15:formulaRef>
                      </c:ext>
                    </c:extLst>
                    <c:numCache>
                      <c:formatCode>General</c:formatCode>
                      <c:ptCount val="59"/>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121</c:v>
                      </c:pt>
                      <c:pt idx="16">
                        <c:v>142</c:v>
                      </c:pt>
                      <c:pt idx="17">
                        <c:v>233</c:v>
                      </c:pt>
                      <c:pt idx="18">
                        <c:v>258</c:v>
                      </c:pt>
                      <c:pt idx="19">
                        <c:v>282</c:v>
                      </c:pt>
                      <c:pt idx="20">
                        <c:v>354</c:v>
                      </c:pt>
                      <c:pt idx="21">
                        <c:v>413</c:v>
                      </c:pt>
                      <c:pt idx="22">
                        <c:v>486</c:v>
                      </c:pt>
                      <c:pt idx="23">
                        <c:v>685</c:v>
                      </c:pt>
                      <c:pt idx="24">
                        <c:v>795</c:v>
                      </c:pt>
                      <c:pt idx="25">
                        <c:v>900</c:v>
                      </c:pt>
                      <c:pt idx="26">
                        <c:v>1089</c:v>
                      </c:pt>
                      <c:pt idx="27">
                        <c:v>1204</c:v>
                      </c:pt>
                      <c:pt idx="28">
                        <c:v>1350</c:v>
                      </c:pt>
                      <c:pt idx="29">
                        <c:v>1460</c:v>
                      </c:pt>
                      <c:pt idx="30">
                        <c:v>1605</c:v>
                      </c:pt>
                      <c:pt idx="31">
                        <c:v>1786</c:v>
                      </c:pt>
                      <c:pt idx="32">
                        <c:v>1868</c:v>
                      </c:pt>
                      <c:pt idx="33">
                        <c:v>1985</c:v>
                      </c:pt>
                      <c:pt idx="34">
                        <c:v>2179</c:v>
                      </c:pt>
                      <c:pt idx="35">
                        <c:v>2203</c:v>
                      </c:pt>
                      <c:pt idx="36">
                        <c:v>2283</c:v>
                      </c:pt>
                      <c:pt idx="37">
                        <c:v>2347</c:v>
                      </c:pt>
                      <c:pt idx="38">
                        <c:v>2334</c:v>
                      </c:pt>
                      <c:pt idx="39">
                        <c:v>2322</c:v>
                      </c:pt>
                      <c:pt idx="40">
                        <c:v>2300</c:v>
                      </c:pt>
                      <c:pt idx="41">
                        <c:v>2312</c:v>
                      </c:pt>
                      <c:pt idx="42">
                        <c:v>2252</c:v>
                      </c:pt>
                      <c:pt idx="43">
                        <c:v>2143</c:v>
                      </c:pt>
                      <c:pt idx="44">
                        <c:v>2077</c:v>
                      </c:pt>
                      <c:pt idx="45">
                        <c:v>2016</c:v>
                      </c:pt>
                      <c:pt idx="46">
                        <c:v>1939</c:v>
                      </c:pt>
                      <c:pt idx="47">
                        <c:v>1915</c:v>
                      </c:pt>
                      <c:pt idx="48">
                        <c:v>1895</c:v>
                      </c:pt>
                      <c:pt idx="49">
                        <c:v>1861</c:v>
                      </c:pt>
                      <c:pt idx="50">
                        <c:v>1733</c:v>
                      </c:pt>
                      <c:pt idx="51">
                        <c:v>1680</c:v>
                      </c:pt>
                      <c:pt idx="52">
                        <c:v>1586</c:v>
                      </c:pt>
                      <c:pt idx="53">
                        <c:v>1549</c:v>
                      </c:pt>
                      <c:pt idx="54">
                        <c:v>1527</c:v>
                      </c:pt>
                      <c:pt idx="55">
                        <c:v>1502</c:v>
                      </c:pt>
                      <c:pt idx="56">
                        <c:v>1425</c:v>
                      </c:pt>
                      <c:pt idx="57">
                        <c:v>1362</c:v>
                      </c:pt>
                      <c:pt idx="58">
                        <c:v>1345</c:v>
                      </c:pt>
                    </c:numCache>
                  </c:numRef>
                </c:val>
                <c:extLst xmlns:c15="http://schemas.microsoft.com/office/drawing/2012/chart">
                  <c:ext xmlns:c16="http://schemas.microsoft.com/office/drawing/2014/chart" uri="{C3380CC4-5D6E-409C-BE32-E72D297353CC}">
                    <c16:uniqueId val="{00000001-0070-4142-9DD7-3059914A0F04}"/>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ch_latest!$F$2:$F$60</c15:sqref>
                        </c15:formulaRef>
                      </c:ext>
                    </c:extLst>
                    <c:numCache>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Cache>
                  </c:numRef>
                </c:val>
                <c:extLst xmlns:c15="http://schemas.microsoft.com/office/drawing/2012/chart">
                  <c:ext xmlns:c16="http://schemas.microsoft.com/office/drawing/2014/chart" uri="{C3380CC4-5D6E-409C-BE32-E72D297353CC}">
                    <c16:uniqueId val="{00000002-0070-4142-9DD7-3059914A0F04}"/>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ch_latest!$G$2:$G$60</c15:sqref>
                        </c15:formulaRef>
                      </c:ext>
                    </c:extLst>
                    <c:numCache>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Cache>
                  </c:numRef>
                </c:val>
                <c:extLst xmlns:c15="http://schemas.microsoft.com/office/drawing/2012/chart">
                  <c:ext xmlns:c16="http://schemas.microsoft.com/office/drawing/2014/chart" uri="{C3380CC4-5D6E-409C-BE32-E72D297353CC}">
                    <c16:uniqueId val="{00000003-0070-4142-9DD7-3059914A0F04}"/>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ch_latest!$H$2:$H$60</c15:sqref>
                        </c15:formulaRef>
                      </c:ext>
                    </c:extLst>
                    <c:numCache>
                      <c:formatCode>General</c:formatCode>
                      <c:ptCount val="59"/>
                      <c:pt idx="0">
                        <c:v>72</c:v>
                      </c:pt>
                      <c:pt idx="1">
                        <c:v>178</c:v>
                      </c:pt>
                      <c:pt idx="2">
                        <c:v>329</c:v>
                      </c:pt>
                      <c:pt idx="3">
                        <c:v>537</c:v>
                      </c:pt>
                      <c:pt idx="4">
                        <c:v>677</c:v>
                      </c:pt>
                      <c:pt idx="5">
                        <c:v>816</c:v>
                      </c:pt>
                      <c:pt idx="6">
                        <c:v>1139</c:v>
                      </c:pt>
                      <c:pt idx="7">
                        <c:v>1260</c:v>
                      </c:pt>
                      <c:pt idx="8">
                        <c:v>1371</c:v>
                      </c:pt>
                      <c:pt idx="9">
                        <c:v>1439</c:v>
                      </c:pt>
                      <c:pt idx="10">
                        <c:v>1544</c:v>
                      </c:pt>
                      <c:pt idx="11">
                        <c:v>1620</c:v>
                      </c:pt>
                      <c:pt idx="12">
                        <c:v>1691</c:v>
                      </c:pt>
                      <c:pt idx="13">
                        <c:v>1806</c:v>
                      </c:pt>
                      <c:pt idx="14">
                        <c:v>2029</c:v>
                      </c:pt>
                      <c:pt idx="15">
                        <c:v>2293</c:v>
                      </c:pt>
                      <c:pt idx="16">
                        <c:v>2673</c:v>
                      </c:pt>
                      <c:pt idx="17">
                        <c:v>3155</c:v>
                      </c:pt>
                      <c:pt idx="18">
                        <c:v>3841</c:v>
                      </c:pt>
                      <c:pt idx="19">
                        <c:v>4276</c:v>
                      </c:pt>
                      <c:pt idx="20">
                        <c:v>4973</c:v>
                      </c:pt>
                      <c:pt idx="21">
                        <c:v>5605</c:v>
                      </c:pt>
                      <c:pt idx="22">
                        <c:v>6398</c:v>
                      </c:pt>
                      <c:pt idx="23">
                        <c:v>6993</c:v>
                      </c:pt>
                      <c:pt idx="24">
                        <c:v>7400</c:v>
                      </c:pt>
                      <c:pt idx="25">
                        <c:v>7768</c:v>
                      </c:pt>
                      <c:pt idx="26">
                        <c:v>8009</c:v>
                      </c:pt>
                      <c:pt idx="27">
                        <c:v>8405</c:v>
                      </c:pt>
                      <c:pt idx="28">
                        <c:v>8753</c:v>
                      </c:pt>
                      <c:pt idx="29">
                        <c:v>9186</c:v>
                      </c:pt>
                      <c:pt idx="30">
                        <c:v>10500</c:v>
                      </c:pt>
                      <c:pt idx="31">
                        <c:v>10992</c:v>
                      </c:pt>
                      <c:pt idx="32">
                        <c:v>11599</c:v>
                      </c:pt>
                      <c:pt idx="33">
                        <c:v>11908</c:v>
                      </c:pt>
                      <c:pt idx="34">
                        <c:v>12568</c:v>
                      </c:pt>
                      <c:pt idx="35">
                        <c:v>13326</c:v>
                      </c:pt>
                      <c:pt idx="36">
                        <c:v>13991</c:v>
                      </c:pt>
                      <c:pt idx="37">
                        <c:v>14943</c:v>
                      </c:pt>
                      <c:pt idx="38">
                        <c:v>15781</c:v>
                      </c:pt>
                      <c:pt idx="39">
                        <c:v>16375</c:v>
                      </c:pt>
                      <c:pt idx="40">
                        <c:v>16679</c:v>
                      </c:pt>
                      <c:pt idx="41">
                        <c:v>17334</c:v>
                      </c:pt>
                      <c:pt idx="42">
                        <c:v>18185</c:v>
                      </c:pt>
                      <c:pt idx="43">
                        <c:v>19006</c:v>
                      </c:pt>
                      <c:pt idx="44">
                        <c:v>19528</c:v>
                      </c:pt>
                      <c:pt idx="45">
                        <c:v>19948</c:v>
                      </c:pt>
                      <c:pt idx="46">
                        <c:v>20317</c:v>
                      </c:pt>
                      <c:pt idx="47">
                        <c:v>20496</c:v>
                      </c:pt>
                      <c:pt idx="48">
                        <c:v>20807</c:v>
                      </c:pt>
                      <c:pt idx="49">
                        <c:v>21362</c:v>
                      </c:pt>
                      <c:pt idx="50">
                        <c:v>21838</c:v>
                      </c:pt>
                      <c:pt idx="51">
                        <c:v>22530</c:v>
                      </c:pt>
                      <c:pt idx="52">
                        <c:v>23000</c:v>
                      </c:pt>
                      <c:pt idx="53">
                        <c:v>23452</c:v>
                      </c:pt>
                      <c:pt idx="54">
                        <c:v>23643</c:v>
                      </c:pt>
                      <c:pt idx="55">
                        <c:v>24035</c:v>
                      </c:pt>
                      <c:pt idx="56">
                        <c:v>24277</c:v>
                      </c:pt>
                      <c:pt idx="57">
                        <c:v>24277</c:v>
                      </c:pt>
                      <c:pt idx="58">
                        <c:v>24277</c:v>
                      </c:pt>
                    </c:numCache>
                  </c:numRef>
                </c:val>
                <c:extLst xmlns:c15="http://schemas.microsoft.com/office/drawing/2012/chart">
                  <c:ext xmlns:c16="http://schemas.microsoft.com/office/drawing/2014/chart" uri="{C3380CC4-5D6E-409C-BE32-E72D297353CC}">
                    <c16:uniqueId val="{00000004-0070-4142-9DD7-3059914A0F04}"/>
                  </c:ext>
                </c:extLst>
              </c15:ser>
            </c15:filteredBarSeries>
            <c15:filteredBar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ch_latest!$I$2:$I$60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1644</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4551</c:v>
                      </c:pt>
                    </c:numCache>
                  </c:numRef>
                </c:val>
                <c:extLst xmlns:c15="http://schemas.microsoft.com/office/drawing/2012/chart">
                  <c:ext xmlns:c16="http://schemas.microsoft.com/office/drawing/2014/chart" uri="{C3380CC4-5D6E-409C-BE32-E72D297353CC}">
                    <c16:uniqueId val="{00000005-0070-4142-9DD7-3059914A0F04}"/>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ch_latest!$J$2:$J$60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8</c:v>
                      </c:pt>
                      <c:pt idx="17">
                        <c:v>9</c:v>
                      </c:pt>
                      <c:pt idx="18">
                        <c:v>12</c:v>
                      </c:pt>
                      <c:pt idx="19">
                        <c:v>20</c:v>
                      </c:pt>
                      <c:pt idx="20">
                        <c:v>29</c:v>
                      </c:pt>
                      <c:pt idx="21">
                        <c:v>35</c:v>
                      </c:pt>
                      <c:pt idx="22">
                        <c:v>48</c:v>
                      </c:pt>
                      <c:pt idx="23">
                        <c:v>55</c:v>
                      </c:pt>
                      <c:pt idx="24">
                        <c:v>77</c:v>
                      </c:pt>
                      <c:pt idx="25">
                        <c:v>96</c:v>
                      </c:pt>
                      <c:pt idx="26">
                        <c:v>114</c:v>
                      </c:pt>
                      <c:pt idx="27">
                        <c:v>142</c:v>
                      </c:pt>
                      <c:pt idx="28">
                        <c:v>163</c:v>
                      </c:pt>
                      <c:pt idx="29">
                        <c:v>196</c:v>
                      </c:pt>
                      <c:pt idx="30">
                        <c:v>246</c:v>
                      </c:pt>
                      <c:pt idx="31">
                        <c:v>282</c:v>
                      </c:pt>
                      <c:pt idx="32">
                        <c:v>330</c:v>
                      </c:pt>
                      <c:pt idx="33">
                        <c:v>370</c:v>
                      </c:pt>
                      <c:pt idx="34">
                        <c:v>425</c:v>
                      </c:pt>
                      <c:pt idx="35">
                        <c:v>495</c:v>
                      </c:pt>
                      <c:pt idx="36">
                        <c:v>556</c:v>
                      </c:pt>
                      <c:pt idx="37">
                        <c:v>617</c:v>
                      </c:pt>
                      <c:pt idx="38">
                        <c:v>680</c:v>
                      </c:pt>
                      <c:pt idx="39">
                        <c:v>744</c:v>
                      </c:pt>
                      <c:pt idx="40">
                        <c:v>797</c:v>
                      </c:pt>
                      <c:pt idx="41">
                        <c:v>853</c:v>
                      </c:pt>
                      <c:pt idx="42">
                        <c:v>914</c:v>
                      </c:pt>
                      <c:pt idx="43">
                        <c:v>982</c:v>
                      </c:pt>
                      <c:pt idx="44">
                        <c:v>1031</c:v>
                      </c:pt>
                      <c:pt idx="45">
                        <c:v>1081</c:v>
                      </c:pt>
                      <c:pt idx="46">
                        <c:v>1117</c:v>
                      </c:pt>
                      <c:pt idx="47">
                        <c:v>1171</c:v>
                      </c:pt>
                      <c:pt idx="48">
                        <c:v>1200</c:v>
                      </c:pt>
                      <c:pt idx="49">
                        <c:v>1239</c:v>
                      </c:pt>
                      <c:pt idx="50">
                        <c:v>1292</c:v>
                      </c:pt>
                      <c:pt idx="51">
                        <c:v>1333</c:v>
                      </c:pt>
                      <c:pt idx="52">
                        <c:v>1374</c:v>
                      </c:pt>
                      <c:pt idx="53">
                        <c:v>1413</c:v>
                      </c:pt>
                      <c:pt idx="54">
                        <c:v>1434</c:v>
                      </c:pt>
                      <c:pt idx="55">
                        <c:v>1470</c:v>
                      </c:pt>
                      <c:pt idx="56">
                        <c:v>1504</c:v>
                      </c:pt>
                      <c:pt idx="57">
                        <c:v>1520</c:v>
                      </c:pt>
                      <c:pt idx="58">
                        <c:v>1528</c:v>
                      </c:pt>
                    </c:numCache>
                  </c:numRef>
                </c:val>
                <c:extLst xmlns:c15="http://schemas.microsoft.com/office/drawing/2012/chart">
                  <c:ext xmlns:c16="http://schemas.microsoft.com/office/drawing/2014/chart" uri="{C3380CC4-5D6E-409C-BE32-E72D297353CC}">
                    <c16:uniqueId val="{00000006-0070-4142-9DD7-3059914A0F04}"/>
                  </c:ext>
                </c:extLst>
              </c15:ser>
            </c15:filteredBarSeries>
            <c15:filteredBar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ch_latest!$K$2:$K$60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numCache>
                  </c:numRef>
                </c:val>
                <c:extLst xmlns:c15="http://schemas.microsoft.com/office/drawing/2012/chart">
                  <c:ext xmlns:c16="http://schemas.microsoft.com/office/drawing/2014/chart" uri="{C3380CC4-5D6E-409C-BE32-E72D297353CC}">
                    <c16:uniqueId val="{00000007-0070-4142-9DD7-3059914A0F04}"/>
                  </c:ext>
                </c:extLst>
              </c15:ser>
            </c15:filteredBarSeries>
            <c15:filteredBarSeries>
              <c15:ser>
                <c:idx val="8"/>
                <c:order val="8"/>
                <c:tx>
                  <c:strRef>
                    <c:extLst xmlns:c15="http://schemas.microsoft.com/office/drawing/2012/chart">
                      <c:ext xmlns:c15="http://schemas.microsoft.com/office/drawing/2012/chart" uri="{02D57815-91ED-43cb-92C2-25804820EDAC}">
                        <c15:formulaRef>
                          <c15:sqref>ch_latest!$L$1</c15:sqref>
                        </c15:formulaRef>
                      </c:ext>
                    </c:extLst>
                    <c:strCache>
                      <c:ptCount val="1"/>
                      <c:pt idx="0">
                        <c:v>new_positive</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ch_latest!$L$2:$L$60</c15:sqref>
                        </c15:formulaRef>
                      </c:ext>
                    </c:extLst>
                    <c:numCache>
                      <c:formatCode>General</c:formatCode>
                      <c:ptCount val="59"/>
                      <c:pt idx="1">
                        <c:v>1</c:v>
                      </c:pt>
                      <c:pt idx="2">
                        <c:v>4</c:v>
                      </c:pt>
                      <c:pt idx="3">
                        <c:v>7</c:v>
                      </c:pt>
                      <c:pt idx="4">
                        <c:v>7</c:v>
                      </c:pt>
                      <c:pt idx="5">
                        <c:v>7</c:v>
                      </c:pt>
                      <c:pt idx="6">
                        <c:v>11</c:v>
                      </c:pt>
                      <c:pt idx="7">
                        <c:v>16</c:v>
                      </c:pt>
                      <c:pt idx="8">
                        <c:v>21</c:v>
                      </c:pt>
                      <c:pt idx="9">
                        <c:v>44</c:v>
                      </c:pt>
                      <c:pt idx="10">
                        <c:v>64</c:v>
                      </c:pt>
                      <c:pt idx="11">
                        <c:v>72</c:v>
                      </c:pt>
                      <c:pt idx="12">
                        <c:v>64</c:v>
                      </c:pt>
                      <c:pt idx="13">
                        <c:v>77</c:v>
                      </c:pt>
                      <c:pt idx="14">
                        <c:v>80</c:v>
                      </c:pt>
                      <c:pt idx="15">
                        <c:v>140</c:v>
                      </c:pt>
                      <c:pt idx="16">
                        <c:v>347</c:v>
                      </c:pt>
                      <c:pt idx="17">
                        <c:v>329</c:v>
                      </c:pt>
                      <c:pt idx="18">
                        <c:v>276</c:v>
                      </c:pt>
                      <c:pt idx="19">
                        <c:v>297</c:v>
                      </c:pt>
                      <c:pt idx="20">
                        <c:v>575</c:v>
                      </c:pt>
                      <c:pt idx="21">
                        <c:v>692</c:v>
                      </c:pt>
                      <c:pt idx="22">
                        <c:v>1184</c:v>
                      </c:pt>
                      <c:pt idx="23">
                        <c:v>1153</c:v>
                      </c:pt>
                      <c:pt idx="24">
                        <c:v>1150</c:v>
                      </c:pt>
                      <c:pt idx="25">
                        <c:v>736</c:v>
                      </c:pt>
                      <c:pt idx="26">
                        <c:v>705</c:v>
                      </c:pt>
                      <c:pt idx="27">
                        <c:v>1303</c:v>
                      </c:pt>
                      <c:pt idx="28">
                        <c:v>949</c:v>
                      </c:pt>
                      <c:pt idx="29">
                        <c:v>1176</c:v>
                      </c:pt>
                      <c:pt idx="30">
                        <c:v>1240</c:v>
                      </c:pt>
                      <c:pt idx="31">
                        <c:v>1290</c:v>
                      </c:pt>
                      <c:pt idx="32">
                        <c:v>862</c:v>
                      </c:pt>
                      <c:pt idx="33">
                        <c:v>741</c:v>
                      </c:pt>
                      <c:pt idx="34">
                        <c:v>1073</c:v>
                      </c:pt>
                      <c:pt idx="35">
                        <c:v>992</c:v>
                      </c:pt>
                      <c:pt idx="36">
                        <c:v>1005</c:v>
                      </c:pt>
                      <c:pt idx="37">
                        <c:v>1083</c:v>
                      </c:pt>
                      <c:pt idx="38">
                        <c:v>922</c:v>
                      </c:pt>
                      <c:pt idx="39">
                        <c:v>607</c:v>
                      </c:pt>
                      <c:pt idx="40">
                        <c:v>458</c:v>
                      </c:pt>
                      <c:pt idx="41">
                        <c:v>660</c:v>
                      </c:pt>
                      <c:pt idx="42">
                        <c:v>657</c:v>
                      </c:pt>
                      <c:pt idx="43">
                        <c:v>651</c:v>
                      </c:pt>
                      <c:pt idx="44">
                        <c:v>676</c:v>
                      </c:pt>
                      <c:pt idx="45">
                        <c:v>494</c:v>
                      </c:pt>
                      <c:pt idx="46">
                        <c:v>466</c:v>
                      </c:pt>
                      <c:pt idx="47">
                        <c:v>319</c:v>
                      </c:pt>
                      <c:pt idx="48">
                        <c:v>240</c:v>
                      </c:pt>
                      <c:pt idx="49">
                        <c:v>309</c:v>
                      </c:pt>
                      <c:pt idx="50">
                        <c:v>320</c:v>
                      </c:pt>
                      <c:pt idx="51">
                        <c:v>314</c:v>
                      </c:pt>
                      <c:pt idx="52">
                        <c:v>303</c:v>
                      </c:pt>
                      <c:pt idx="53">
                        <c:v>322</c:v>
                      </c:pt>
                      <c:pt idx="54">
                        <c:v>198</c:v>
                      </c:pt>
                      <c:pt idx="55">
                        <c:v>189</c:v>
                      </c:pt>
                      <c:pt idx="56">
                        <c:v>146</c:v>
                      </c:pt>
                      <c:pt idx="57">
                        <c:v>177</c:v>
                      </c:pt>
                      <c:pt idx="58">
                        <c:v>95</c:v>
                      </c:pt>
                    </c:numCache>
                  </c:numRef>
                </c:val>
                <c:extLst xmlns:c15="http://schemas.microsoft.com/office/drawing/2012/chart">
                  <c:ext xmlns:c16="http://schemas.microsoft.com/office/drawing/2014/chart" uri="{C3380CC4-5D6E-409C-BE32-E72D297353CC}">
                    <c16:uniqueId val="{00000008-0070-4142-9DD7-3059914A0F04}"/>
                  </c:ext>
                </c:extLst>
              </c15:ser>
            </c15:filteredBarSeries>
            <c15:filteredBar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ch_latest!$M$2:$M$60</c15:sqref>
                        </c15:formulaRef>
                      </c:ext>
                    </c:extLst>
                    <c:numCache>
                      <c:formatCode>General</c:formatCode>
                      <c:ptCount val="59"/>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476</c:v>
                      </c:pt>
                      <c:pt idx="16">
                        <c:v>616</c:v>
                      </c:pt>
                      <c:pt idx="17">
                        <c:v>963</c:v>
                      </c:pt>
                      <c:pt idx="18">
                        <c:v>1292</c:v>
                      </c:pt>
                      <c:pt idx="19">
                        <c:v>1568</c:v>
                      </c:pt>
                      <c:pt idx="20">
                        <c:v>1865</c:v>
                      </c:pt>
                      <c:pt idx="21">
                        <c:v>2440</c:v>
                      </c:pt>
                      <c:pt idx="22">
                        <c:v>3132</c:v>
                      </c:pt>
                      <c:pt idx="23">
                        <c:v>4316</c:v>
                      </c:pt>
                      <c:pt idx="24">
                        <c:v>5469</c:v>
                      </c:pt>
                      <c:pt idx="25">
                        <c:v>6619</c:v>
                      </c:pt>
                      <c:pt idx="26">
                        <c:v>7355</c:v>
                      </c:pt>
                      <c:pt idx="27">
                        <c:v>8060</c:v>
                      </c:pt>
                      <c:pt idx="28">
                        <c:v>9363</c:v>
                      </c:pt>
                      <c:pt idx="29">
                        <c:v>10312</c:v>
                      </c:pt>
                      <c:pt idx="30">
                        <c:v>11488</c:v>
                      </c:pt>
                      <c:pt idx="31">
                        <c:v>12728</c:v>
                      </c:pt>
                      <c:pt idx="32">
                        <c:v>14018</c:v>
                      </c:pt>
                      <c:pt idx="33">
                        <c:v>14880</c:v>
                      </c:pt>
                      <c:pt idx="34">
                        <c:v>15621</c:v>
                      </c:pt>
                      <c:pt idx="35">
                        <c:v>16694</c:v>
                      </c:pt>
                      <c:pt idx="36">
                        <c:v>17686</c:v>
                      </c:pt>
                      <c:pt idx="37">
                        <c:v>18691</c:v>
                      </c:pt>
                      <c:pt idx="38">
                        <c:v>19774</c:v>
                      </c:pt>
                      <c:pt idx="39">
                        <c:v>20696</c:v>
                      </c:pt>
                      <c:pt idx="40">
                        <c:v>21303</c:v>
                      </c:pt>
                      <c:pt idx="41">
                        <c:v>21761</c:v>
                      </c:pt>
                      <c:pt idx="42">
                        <c:v>22421</c:v>
                      </c:pt>
                      <c:pt idx="43">
                        <c:v>23078</c:v>
                      </c:pt>
                      <c:pt idx="44">
                        <c:v>23729</c:v>
                      </c:pt>
                      <c:pt idx="45">
                        <c:v>24405</c:v>
                      </c:pt>
                      <c:pt idx="46">
                        <c:v>24899</c:v>
                      </c:pt>
                      <c:pt idx="47">
                        <c:v>25365</c:v>
                      </c:pt>
                      <c:pt idx="48">
                        <c:v>25684</c:v>
                      </c:pt>
                      <c:pt idx="49">
                        <c:v>25924</c:v>
                      </c:pt>
                      <c:pt idx="50">
                        <c:v>26233</c:v>
                      </c:pt>
                      <c:pt idx="51">
                        <c:v>26553</c:v>
                      </c:pt>
                      <c:pt idx="52">
                        <c:v>26867</c:v>
                      </c:pt>
                      <c:pt idx="53">
                        <c:v>27170</c:v>
                      </c:pt>
                      <c:pt idx="54">
                        <c:v>27492</c:v>
                      </c:pt>
                      <c:pt idx="55">
                        <c:v>27690</c:v>
                      </c:pt>
                      <c:pt idx="56">
                        <c:v>27879</c:v>
                      </c:pt>
                      <c:pt idx="57">
                        <c:v>28025</c:v>
                      </c:pt>
                      <c:pt idx="58">
                        <c:v>28202</c:v>
                      </c:pt>
                    </c:numCache>
                  </c:numRef>
                </c:val>
                <c:extLst xmlns:c15="http://schemas.microsoft.com/office/drawing/2012/chart">
                  <c:ext xmlns:c16="http://schemas.microsoft.com/office/drawing/2014/chart" uri="{C3380CC4-5D6E-409C-BE32-E72D297353CC}">
                    <c16:uniqueId val="{00000009-0070-4142-9DD7-3059914A0F04}"/>
                  </c:ext>
                </c:extLst>
              </c15:ser>
            </c15:filteredBarSeries>
            <c15:filteredBar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ch_latest!$N$2:$N$60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numCache>
                  </c:numRef>
                </c:val>
                <c:extLst xmlns:c15="http://schemas.microsoft.com/office/drawing/2012/chart">
                  <c:ext xmlns:c16="http://schemas.microsoft.com/office/drawing/2014/chart" uri="{C3380CC4-5D6E-409C-BE32-E72D297353CC}">
                    <c16:uniqueId val="{0000000A-0070-4142-9DD7-3059914A0F04}"/>
                  </c:ext>
                </c:extLst>
              </c15:ser>
            </c15:filteredBarSeries>
            <c15:filteredBarSeries>
              <c15:ser>
                <c:idx val="11"/>
                <c:order val="11"/>
                <c:tx>
                  <c:strRef>
                    <c:extLst xmlns:c15="http://schemas.microsoft.com/office/drawing/2012/chart">
                      <c:ext xmlns:c15="http://schemas.microsoft.com/office/drawing/2012/chart" uri="{02D57815-91ED-43cb-92C2-25804820EDAC}">
                        <c15:formulaRef>
                          <c15:sqref>ch_latest!$O$1</c15:sqref>
                        </c15:formulaRef>
                      </c:ext>
                    </c:extLst>
                    <c:strCache>
                      <c:ptCount val="1"/>
                      <c:pt idx="0">
                        <c:v>new_deaths</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ch_latest!$O$2:$O$60</c15:sqref>
                        </c15:formulaRef>
                      </c:ext>
                    </c:extLst>
                    <c:numCache>
                      <c:formatCode>General</c:formatCode>
                      <c:ptCount val="59"/>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3</c:v>
                      </c:pt>
                      <c:pt idx="17">
                        <c:v>1</c:v>
                      </c:pt>
                      <c:pt idx="18">
                        <c:v>3</c:v>
                      </c:pt>
                      <c:pt idx="19">
                        <c:v>8</c:v>
                      </c:pt>
                      <c:pt idx="20">
                        <c:v>9</c:v>
                      </c:pt>
                      <c:pt idx="21">
                        <c:v>6</c:v>
                      </c:pt>
                      <c:pt idx="22">
                        <c:v>13</c:v>
                      </c:pt>
                      <c:pt idx="23">
                        <c:v>7</c:v>
                      </c:pt>
                      <c:pt idx="24">
                        <c:v>22</c:v>
                      </c:pt>
                      <c:pt idx="25">
                        <c:v>19</c:v>
                      </c:pt>
                      <c:pt idx="26">
                        <c:v>18</c:v>
                      </c:pt>
                      <c:pt idx="27">
                        <c:v>28</c:v>
                      </c:pt>
                      <c:pt idx="28">
                        <c:v>21</c:v>
                      </c:pt>
                      <c:pt idx="29">
                        <c:v>33</c:v>
                      </c:pt>
                      <c:pt idx="30">
                        <c:v>50</c:v>
                      </c:pt>
                      <c:pt idx="31">
                        <c:v>36</c:v>
                      </c:pt>
                      <c:pt idx="32">
                        <c:v>48</c:v>
                      </c:pt>
                      <c:pt idx="33">
                        <c:v>40</c:v>
                      </c:pt>
                      <c:pt idx="34">
                        <c:v>55</c:v>
                      </c:pt>
                      <c:pt idx="35">
                        <c:v>70</c:v>
                      </c:pt>
                      <c:pt idx="36">
                        <c:v>61</c:v>
                      </c:pt>
                      <c:pt idx="37">
                        <c:v>61</c:v>
                      </c:pt>
                      <c:pt idx="38">
                        <c:v>63</c:v>
                      </c:pt>
                      <c:pt idx="39">
                        <c:v>64</c:v>
                      </c:pt>
                      <c:pt idx="40">
                        <c:v>53</c:v>
                      </c:pt>
                      <c:pt idx="41">
                        <c:v>56</c:v>
                      </c:pt>
                      <c:pt idx="42">
                        <c:v>61</c:v>
                      </c:pt>
                      <c:pt idx="43">
                        <c:v>68</c:v>
                      </c:pt>
                      <c:pt idx="44">
                        <c:v>49</c:v>
                      </c:pt>
                      <c:pt idx="45">
                        <c:v>50</c:v>
                      </c:pt>
                      <c:pt idx="46">
                        <c:v>36</c:v>
                      </c:pt>
                      <c:pt idx="47">
                        <c:v>54</c:v>
                      </c:pt>
                      <c:pt idx="48">
                        <c:v>29</c:v>
                      </c:pt>
                      <c:pt idx="49">
                        <c:v>39</c:v>
                      </c:pt>
                      <c:pt idx="50">
                        <c:v>53</c:v>
                      </c:pt>
                      <c:pt idx="51">
                        <c:v>41</c:v>
                      </c:pt>
                      <c:pt idx="52">
                        <c:v>41</c:v>
                      </c:pt>
                      <c:pt idx="53">
                        <c:v>39</c:v>
                      </c:pt>
                      <c:pt idx="54">
                        <c:v>21</c:v>
                      </c:pt>
                      <c:pt idx="55">
                        <c:v>36</c:v>
                      </c:pt>
                      <c:pt idx="56">
                        <c:v>34</c:v>
                      </c:pt>
                      <c:pt idx="57">
                        <c:v>16</c:v>
                      </c:pt>
                      <c:pt idx="58">
                        <c:v>8</c:v>
                      </c:pt>
                    </c:numCache>
                  </c:numRef>
                </c:val>
                <c:extLst xmlns:c15="http://schemas.microsoft.com/office/drawing/2012/chart">
                  <c:ext xmlns:c16="http://schemas.microsoft.com/office/drawing/2014/chart" uri="{C3380CC4-5D6E-409C-BE32-E72D297353CC}">
                    <c16:uniqueId val="{0000000B-0070-4142-9DD7-3059914A0F04}"/>
                  </c:ext>
                </c:extLst>
              </c15:ser>
            </c15:filteredBarSeries>
            <c15:filteredBar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ch_latest!$P$2:$P$60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8</c:v>
                      </c:pt>
                      <c:pt idx="18">
                        <c:v>9</c:v>
                      </c:pt>
                      <c:pt idx="19">
                        <c:v>12</c:v>
                      </c:pt>
                      <c:pt idx="20">
                        <c:v>20</c:v>
                      </c:pt>
                      <c:pt idx="21">
                        <c:v>29</c:v>
                      </c:pt>
                      <c:pt idx="22">
                        <c:v>35</c:v>
                      </c:pt>
                      <c:pt idx="23">
                        <c:v>48</c:v>
                      </c:pt>
                      <c:pt idx="24">
                        <c:v>55</c:v>
                      </c:pt>
                      <c:pt idx="25">
                        <c:v>77</c:v>
                      </c:pt>
                      <c:pt idx="26">
                        <c:v>96</c:v>
                      </c:pt>
                      <c:pt idx="27">
                        <c:v>114</c:v>
                      </c:pt>
                      <c:pt idx="28">
                        <c:v>142</c:v>
                      </c:pt>
                      <c:pt idx="29">
                        <c:v>163</c:v>
                      </c:pt>
                      <c:pt idx="30">
                        <c:v>196</c:v>
                      </c:pt>
                      <c:pt idx="31">
                        <c:v>246</c:v>
                      </c:pt>
                      <c:pt idx="32">
                        <c:v>282</c:v>
                      </c:pt>
                      <c:pt idx="33">
                        <c:v>330</c:v>
                      </c:pt>
                      <c:pt idx="34">
                        <c:v>370</c:v>
                      </c:pt>
                      <c:pt idx="35">
                        <c:v>425</c:v>
                      </c:pt>
                      <c:pt idx="36">
                        <c:v>495</c:v>
                      </c:pt>
                      <c:pt idx="37">
                        <c:v>556</c:v>
                      </c:pt>
                      <c:pt idx="38">
                        <c:v>617</c:v>
                      </c:pt>
                      <c:pt idx="39">
                        <c:v>680</c:v>
                      </c:pt>
                      <c:pt idx="40">
                        <c:v>744</c:v>
                      </c:pt>
                      <c:pt idx="41">
                        <c:v>797</c:v>
                      </c:pt>
                      <c:pt idx="42">
                        <c:v>853</c:v>
                      </c:pt>
                      <c:pt idx="43">
                        <c:v>914</c:v>
                      </c:pt>
                      <c:pt idx="44">
                        <c:v>982</c:v>
                      </c:pt>
                      <c:pt idx="45">
                        <c:v>1031</c:v>
                      </c:pt>
                      <c:pt idx="46">
                        <c:v>1081</c:v>
                      </c:pt>
                      <c:pt idx="47">
                        <c:v>1117</c:v>
                      </c:pt>
                      <c:pt idx="48">
                        <c:v>1171</c:v>
                      </c:pt>
                      <c:pt idx="49">
                        <c:v>1200</c:v>
                      </c:pt>
                      <c:pt idx="50">
                        <c:v>1239</c:v>
                      </c:pt>
                      <c:pt idx="51">
                        <c:v>1292</c:v>
                      </c:pt>
                      <c:pt idx="52">
                        <c:v>1333</c:v>
                      </c:pt>
                      <c:pt idx="53">
                        <c:v>1374</c:v>
                      </c:pt>
                      <c:pt idx="54">
                        <c:v>1413</c:v>
                      </c:pt>
                      <c:pt idx="55">
                        <c:v>1434</c:v>
                      </c:pt>
                      <c:pt idx="56">
                        <c:v>1470</c:v>
                      </c:pt>
                      <c:pt idx="57">
                        <c:v>1504</c:v>
                      </c:pt>
                      <c:pt idx="58">
                        <c:v>1520</c:v>
                      </c:pt>
                    </c:numCache>
                  </c:numRef>
                </c:val>
                <c:extLst xmlns:c15="http://schemas.microsoft.com/office/drawing/2012/chart">
                  <c:ext xmlns:c16="http://schemas.microsoft.com/office/drawing/2014/chart" uri="{C3380CC4-5D6E-409C-BE32-E72D297353CC}">
                    <c16:uniqueId val="{0000000C-0070-4142-9DD7-3059914A0F04}"/>
                  </c:ext>
                </c:extLst>
              </c15:ser>
            </c15:filteredBarSeries>
            <c15:filteredBar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ch_latest!$R$2:$R$60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1.6666669999999999</c:v>
                      </c:pt>
                      <c:pt idx="17">
                        <c:v>2.304227</c:v>
                      </c:pt>
                      <c:pt idx="18">
                        <c:v>1.934264</c:v>
                      </c:pt>
                      <c:pt idx="19">
                        <c:v>2.1533829999999998</c:v>
                      </c:pt>
                      <c:pt idx="20">
                        <c:v>1.971568</c:v>
                      </c:pt>
                      <c:pt idx="21">
                        <c:v>2.3482080000000001</c:v>
                      </c:pt>
                      <c:pt idx="22">
                        <c:v>2.0703610000000001</c:v>
                      </c:pt>
                      <c:pt idx="23">
                        <c:v>2.2764549999999999</c:v>
                      </c:pt>
                      <c:pt idx="24">
                        <c:v>2.570881</c:v>
                      </c:pt>
                      <c:pt idx="25">
                        <c:v>2.8952249999999999</c:v>
                      </c:pt>
                      <c:pt idx="26">
                        <c:v>2.934949</c:v>
                      </c:pt>
                      <c:pt idx="27">
                        <c:v>3.1953279999999999</c:v>
                      </c:pt>
                      <c:pt idx="28">
                        <c:v>3.1900599999999999</c:v>
                      </c:pt>
                      <c:pt idx="29">
                        <c:v>3.7094100000000001</c:v>
                      </c:pt>
                      <c:pt idx="30">
                        <c:v>3.6831</c:v>
                      </c:pt>
                      <c:pt idx="31">
                        <c:v>3.826546</c:v>
                      </c:pt>
                      <c:pt idx="32">
                        <c:v>4.1098980000000003</c:v>
                      </c:pt>
                      <c:pt idx="33">
                        <c:v>4.2277820000000004</c:v>
                      </c:pt>
                      <c:pt idx="34">
                        <c:v>4.4778419999999999</c:v>
                      </c:pt>
                      <c:pt idx="35">
                        <c:v>4.9565299999999999</c:v>
                      </c:pt>
                      <c:pt idx="36">
                        <c:v>5.1052200000000001</c:v>
                      </c:pt>
                      <c:pt idx="37">
                        <c:v>5.5382980000000002</c:v>
                      </c:pt>
                      <c:pt idx="38">
                        <c:v>5.694699</c:v>
                      </c:pt>
                      <c:pt idx="39">
                        <c:v>6.1893459999999996</c:v>
                      </c:pt>
                      <c:pt idx="40">
                        <c:v>7.2764189999999997</c:v>
                      </c:pt>
                      <c:pt idx="41">
                        <c:v>8.0976789999999994</c:v>
                      </c:pt>
                      <c:pt idx="42">
                        <c:v>8.8195289999999993</c:v>
                      </c:pt>
                      <c:pt idx="43">
                        <c:v>9.430612</c:v>
                      </c:pt>
                      <c:pt idx="44">
                        <c:v>10.623158999999999</c:v>
                      </c:pt>
                      <c:pt idx="45">
                        <c:v>11.371003999999999</c:v>
                      </c:pt>
                      <c:pt idx="46">
                        <c:v>12.853089000000001</c:v>
                      </c:pt>
                      <c:pt idx="47">
                        <c:v>13.986992000000001</c:v>
                      </c:pt>
                      <c:pt idx="48">
                        <c:v>17.286714</c:v>
                      </c:pt>
                      <c:pt idx="49">
                        <c:v>18.858540999999999</c:v>
                      </c:pt>
                      <c:pt idx="50">
                        <c:v>19.437135999999999</c:v>
                      </c:pt>
                      <c:pt idx="51">
                        <c:v>19.604184</c:v>
                      </c:pt>
                      <c:pt idx="52">
                        <c:v>21.678719999999998</c:v>
                      </c:pt>
                      <c:pt idx="53">
                        <c:v>21.210972000000002</c:v>
                      </c:pt>
                      <c:pt idx="54">
                        <c:v>23.711421999999999</c:v>
                      </c:pt>
                      <c:pt idx="55">
                        <c:v>26.851392000000001</c:v>
                      </c:pt>
                      <c:pt idx="56">
                        <c:v>28.714544</c:v>
                      </c:pt>
                      <c:pt idx="57">
                        <c:v>34.319606</c:v>
                      </c:pt>
                      <c:pt idx="58">
                        <c:v>44.293619</c:v>
                      </c:pt>
                    </c:numCache>
                  </c:numRef>
                </c:val>
                <c:extLst xmlns:c15="http://schemas.microsoft.com/office/drawing/2012/chart">
                  <c:ext xmlns:c16="http://schemas.microsoft.com/office/drawing/2014/chart" uri="{C3380CC4-5D6E-409C-BE32-E72D297353CC}">
                    <c16:uniqueId val="{00000001-84A1-4D71-B585-618A414EE633}"/>
                  </c:ext>
                </c:extLst>
              </c15:ser>
            </c15:filteredBarSeries>
          </c:ext>
        </c:extLst>
      </c:barChart>
      <c:dateAx>
        <c:axId val="89998336"/>
        <c:scaling>
          <c:orientation val="minMax"/>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0938272"/>
        <c:crosses val="autoZero"/>
        <c:auto val="1"/>
        <c:lblOffset val="100"/>
        <c:baseTimeUnit val="days"/>
        <c:minorUnit val="2"/>
        <c:minorTimeUnit val="days"/>
      </c:dateAx>
      <c:valAx>
        <c:axId val="109382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89998336"/>
        <c:crosses val="autoZero"/>
        <c:crossBetween val="midCat"/>
      </c:valAx>
      <c:spPr>
        <a:noFill/>
        <a:ln>
          <a:noFill/>
        </a:ln>
        <a:effectLst/>
      </c:spPr>
    </c:plotArea>
    <c:legend>
      <c:legendPos val="b"/>
      <c:layout>
        <c:manualLayout>
          <c:xMode val="edge"/>
          <c:yMode val="edge"/>
          <c:x val="7.3463854808846568E-2"/>
          <c:y val="0.89577464376841476"/>
          <c:w val="0.21076776050797077"/>
          <c:h val="3.5174822052959354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pivotSource>
    <c:name>[covid-19-ch-dashboard-excel_0.8.xlsm]pivot_kt_serie!PivotTable5</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de-CH" sz="1600" b="1" i="0" u="none" strike="noStrike" baseline="0">
                <a:effectLst/>
              </a:rPr>
              <a:t>Fatalities per Canton over time</a:t>
            </a:r>
            <a:endParaRPr lang="de-CH"/>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lumOff val="40000"/>
                    <a:satMod val="103000"/>
                    <a:lumMod val="102000"/>
                    <a:tint val="94000"/>
                  </a:schemeClr>
                </a:gs>
                <a:gs pos="50000">
                  <a:schemeClr val="accent4">
                    <a:lumMod val="60000"/>
                    <a:lumOff val="40000"/>
                    <a:satMod val="110000"/>
                    <a:lumMod val="100000"/>
                    <a:shade val="100000"/>
                  </a:schemeClr>
                </a:gs>
                <a:gs pos="100000">
                  <a:schemeClr val="accent4">
                    <a:lumMod val="60000"/>
                    <a:lumOff val="40000"/>
                    <a:lumMod val="99000"/>
                    <a:satMod val="120000"/>
                    <a:shade val="78000"/>
                  </a:schemeClr>
                </a:gs>
              </a:gsLst>
              <a:lin ang="5400000" scaled="0"/>
            </a:gradFill>
            <a:ln w="9525">
              <a:solidFill>
                <a:schemeClr val="accent4">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9"/>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1"/>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2"/>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4"/>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6"/>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2390986416445342E-2"/>
          <c:y val="0.1257890298177203"/>
          <c:w val="0.79700260907208298"/>
          <c:h val="0.70461853190938617"/>
        </c:manualLayout>
      </c:layout>
      <c:lineChart>
        <c:grouping val="standard"/>
        <c:varyColors val="0"/>
        <c:ser>
          <c:idx val="0"/>
          <c:order val="0"/>
          <c:tx>
            <c:strRef>
              <c:f>pivot_kt_serie!$B$3:$B$4</c:f>
              <c:strCache>
                <c:ptCount val="1"/>
                <c:pt idx="0">
                  <c:v>FR</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pivot_kt_serie!$B$5:$B$64</c:f>
              <c:numCache>
                <c:formatCode>General</c:formatCode>
                <c:ptCount val="59"/>
                <c:pt idx="22">
                  <c:v>1</c:v>
                </c:pt>
                <c:pt idx="23">
                  <c:v>1</c:v>
                </c:pt>
                <c:pt idx="24">
                  <c:v>1</c:v>
                </c:pt>
                <c:pt idx="25">
                  <c:v>2</c:v>
                </c:pt>
                <c:pt idx="26">
                  <c:v>3</c:v>
                </c:pt>
                <c:pt idx="27">
                  <c:v>4</c:v>
                </c:pt>
                <c:pt idx="28">
                  <c:v>5</c:v>
                </c:pt>
                <c:pt idx="29">
                  <c:v>6</c:v>
                </c:pt>
                <c:pt idx="30">
                  <c:v>11</c:v>
                </c:pt>
                <c:pt idx="31">
                  <c:v>15</c:v>
                </c:pt>
                <c:pt idx="32">
                  <c:v>15</c:v>
                </c:pt>
                <c:pt idx="33">
                  <c:v>16</c:v>
                </c:pt>
                <c:pt idx="34">
                  <c:v>17</c:v>
                </c:pt>
                <c:pt idx="35">
                  <c:v>20</c:v>
                </c:pt>
                <c:pt idx="36">
                  <c:v>23</c:v>
                </c:pt>
                <c:pt idx="37">
                  <c:v>26</c:v>
                </c:pt>
                <c:pt idx="38">
                  <c:v>31</c:v>
                </c:pt>
                <c:pt idx="39">
                  <c:v>37</c:v>
                </c:pt>
                <c:pt idx="40">
                  <c:v>40</c:v>
                </c:pt>
                <c:pt idx="41">
                  <c:v>41</c:v>
                </c:pt>
                <c:pt idx="42">
                  <c:v>44</c:v>
                </c:pt>
                <c:pt idx="43">
                  <c:v>45</c:v>
                </c:pt>
                <c:pt idx="44">
                  <c:v>46</c:v>
                </c:pt>
                <c:pt idx="45">
                  <c:v>49</c:v>
                </c:pt>
                <c:pt idx="46">
                  <c:v>53</c:v>
                </c:pt>
                <c:pt idx="47">
                  <c:v>54</c:v>
                </c:pt>
                <c:pt idx="48">
                  <c:v>55</c:v>
                </c:pt>
                <c:pt idx="49">
                  <c:v>57</c:v>
                </c:pt>
                <c:pt idx="50">
                  <c:v>63</c:v>
                </c:pt>
                <c:pt idx="51">
                  <c:v>65</c:v>
                </c:pt>
                <c:pt idx="52">
                  <c:v>67</c:v>
                </c:pt>
                <c:pt idx="53">
                  <c:v>69</c:v>
                </c:pt>
                <c:pt idx="54">
                  <c:v>71</c:v>
                </c:pt>
                <c:pt idx="55">
                  <c:v>72</c:v>
                </c:pt>
                <c:pt idx="56">
                  <c:v>74</c:v>
                </c:pt>
                <c:pt idx="57">
                  <c:v>76</c:v>
                </c:pt>
                <c:pt idx="58">
                  <c:v>76</c:v>
                </c:pt>
              </c:numCache>
            </c:numRef>
          </c:val>
          <c:smooth val="0"/>
          <c:extLst>
            <c:ext xmlns:c16="http://schemas.microsoft.com/office/drawing/2014/chart" uri="{C3380CC4-5D6E-409C-BE32-E72D297353CC}">
              <c16:uniqueId val="{00000000-563F-45AC-B11C-13D977FE363F}"/>
            </c:ext>
          </c:extLst>
        </c:ser>
        <c:ser>
          <c:idx val="1"/>
          <c:order val="1"/>
          <c:tx>
            <c:strRef>
              <c:f>pivot_kt_serie!$C$3:$C$4</c:f>
              <c:strCache>
                <c:ptCount val="1"/>
                <c:pt idx="0">
                  <c:v>SO</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pivot_kt_serie!$C$5:$C$64</c:f>
              <c:numCache>
                <c:formatCode>General</c:formatCode>
                <c:ptCount val="59"/>
                <c:pt idx="27">
                  <c:v>1</c:v>
                </c:pt>
                <c:pt idx="28">
                  <c:v>1</c:v>
                </c:pt>
                <c:pt idx="29">
                  <c:v>1</c:v>
                </c:pt>
                <c:pt idx="30">
                  <c:v>1</c:v>
                </c:pt>
                <c:pt idx="31">
                  <c:v>1</c:v>
                </c:pt>
                <c:pt idx="32">
                  <c:v>1</c:v>
                </c:pt>
                <c:pt idx="33">
                  <c:v>2</c:v>
                </c:pt>
                <c:pt idx="35">
                  <c:v>2</c:v>
                </c:pt>
                <c:pt idx="36">
                  <c:v>3</c:v>
                </c:pt>
                <c:pt idx="37">
                  <c:v>3</c:v>
                </c:pt>
                <c:pt idx="38">
                  <c:v>3</c:v>
                </c:pt>
                <c:pt idx="39">
                  <c:v>3</c:v>
                </c:pt>
                <c:pt idx="40">
                  <c:v>3</c:v>
                </c:pt>
                <c:pt idx="41">
                  <c:v>3</c:v>
                </c:pt>
                <c:pt idx="42">
                  <c:v>3</c:v>
                </c:pt>
                <c:pt idx="43">
                  <c:v>3</c:v>
                </c:pt>
                <c:pt idx="44">
                  <c:v>5</c:v>
                </c:pt>
                <c:pt idx="45">
                  <c:v>5</c:v>
                </c:pt>
                <c:pt idx="46">
                  <c:v>6</c:v>
                </c:pt>
                <c:pt idx="47">
                  <c:v>7</c:v>
                </c:pt>
                <c:pt idx="48">
                  <c:v>7</c:v>
                </c:pt>
                <c:pt idx="49">
                  <c:v>8</c:v>
                </c:pt>
                <c:pt idx="50">
                  <c:v>8</c:v>
                </c:pt>
                <c:pt idx="51">
                  <c:v>8</c:v>
                </c:pt>
                <c:pt idx="52">
                  <c:v>9</c:v>
                </c:pt>
                <c:pt idx="53">
                  <c:v>10</c:v>
                </c:pt>
                <c:pt idx="54">
                  <c:v>11</c:v>
                </c:pt>
                <c:pt idx="55">
                  <c:v>11</c:v>
                </c:pt>
                <c:pt idx="56">
                  <c:v>11</c:v>
                </c:pt>
                <c:pt idx="57">
                  <c:v>11</c:v>
                </c:pt>
                <c:pt idx="58">
                  <c:v>12</c:v>
                </c:pt>
              </c:numCache>
            </c:numRef>
          </c:val>
          <c:smooth val="0"/>
          <c:extLst>
            <c:ext xmlns:c16="http://schemas.microsoft.com/office/drawing/2014/chart" uri="{C3380CC4-5D6E-409C-BE32-E72D297353CC}">
              <c16:uniqueId val="{00000001-563F-45AC-B11C-13D977FE363F}"/>
            </c:ext>
          </c:extLst>
        </c:ser>
        <c:ser>
          <c:idx val="2"/>
          <c:order val="2"/>
          <c:tx>
            <c:strRef>
              <c:f>pivot_kt_serie!$D$3:$D$4</c:f>
              <c:strCache>
                <c:ptCount val="1"/>
                <c:pt idx="0">
                  <c:v>AG</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pivot_kt_serie!$D$5:$D$64</c:f>
              <c:numCache>
                <c:formatCode>General</c:formatCode>
                <c:ptCount val="59"/>
                <c:pt idx="24">
                  <c:v>1</c:v>
                </c:pt>
                <c:pt idx="26">
                  <c:v>1</c:v>
                </c:pt>
                <c:pt idx="27">
                  <c:v>1</c:v>
                </c:pt>
                <c:pt idx="28">
                  <c:v>2</c:v>
                </c:pt>
                <c:pt idx="29">
                  <c:v>2</c:v>
                </c:pt>
                <c:pt idx="30">
                  <c:v>2</c:v>
                </c:pt>
                <c:pt idx="31">
                  <c:v>3</c:v>
                </c:pt>
                <c:pt idx="34">
                  <c:v>8</c:v>
                </c:pt>
                <c:pt idx="35">
                  <c:v>11</c:v>
                </c:pt>
                <c:pt idx="36">
                  <c:v>11</c:v>
                </c:pt>
                <c:pt idx="37">
                  <c:v>12</c:v>
                </c:pt>
                <c:pt idx="38">
                  <c:v>12</c:v>
                </c:pt>
                <c:pt idx="41">
                  <c:v>13</c:v>
                </c:pt>
                <c:pt idx="42">
                  <c:v>16</c:v>
                </c:pt>
                <c:pt idx="43">
                  <c:v>16</c:v>
                </c:pt>
                <c:pt idx="44">
                  <c:v>17</c:v>
                </c:pt>
                <c:pt idx="45">
                  <c:v>18</c:v>
                </c:pt>
                <c:pt idx="46">
                  <c:v>18</c:v>
                </c:pt>
                <c:pt idx="47">
                  <c:v>18</c:v>
                </c:pt>
                <c:pt idx="48">
                  <c:v>19</c:v>
                </c:pt>
                <c:pt idx="49">
                  <c:v>19</c:v>
                </c:pt>
                <c:pt idx="50">
                  <c:v>22</c:v>
                </c:pt>
                <c:pt idx="51">
                  <c:v>23</c:v>
                </c:pt>
                <c:pt idx="52">
                  <c:v>24</c:v>
                </c:pt>
                <c:pt idx="53">
                  <c:v>25</c:v>
                </c:pt>
                <c:pt idx="54">
                  <c:v>25</c:v>
                </c:pt>
                <c:pt idx="55">
                  <c:v>28</c:v>
                </c:pt>
                <c:pt idx="56">
                  <c:v>29</c:v>
                </c:pt>
                <c:pt idx="57">
                  <c:v>31</c:v>
                </c:pt>
              </c:numCache>
            </c:numRef>
          </c:val>
          <c:smooth val="0"/>
          <c:extLst>
            <c:ext xmlns:c16="http://schemas.microsoft.com/office/drawing/2014/chart" uri="{C3380CC4-5D6E-409C-BE32-E72D297353CC}">
              <c16:uniqueId val="{00000002-563F-45AC-B11C-13D977FE363F}"/>
            </c:ext>
          </c:extLst>
        </c:ser>
        <c:ser>
          <c:idx val="3"/>
          <c:order val="3"/>
          <c:tx>
            <c:strRef>
              <c:f>pivot_kt_serie!$E$3:$E$4</c:f>
              <c:strCache>
                <c:ptCount val="1"/>
                <c:pt idx="0">
                  <c:v>AI</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pivot_kt_serie!$E$5:$E$64</c:f>
              <c:numCache>
                <c:formatCode>General</c:formatCode>
                <c:ptCount val="59"/>
              </c:numCache>
            </c:numRef>
          </c:val>
          <c:smooth val="0"/>
          <c:extLst>
            <c:ext xmlns:c16="http://schemas.microsoft.com/office/drawing/2014/chart" uri="{C3380CC4-5D6E-409C-BE32-E72D297353CC}">
              <c16:uniqueId val="{00000003-563F-45AC-B11C-13D977FE363F}"/>
            </c:ext>
          </c:extLst>
        </c:ser>
        <c:ser>
          <c:idx val="4"/>
          <c:order val="4"/>
          <c:tx>
            <c:strRef>
              <c:f>pivot_kt_serie!$F$3:$F$4</c:f>
              <c:strCache>
                <c:ptCount val="1"/>
                <c:pt idx="0">
                  <c:v>AR</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pivot_kt_serie!$F$5:$F$64</c:f>
              <c:numCache>
                <c:formatCode>General</c:formatCode>
                <c:ptCount val="59"/>
                <c:pt idx="25">
                  <c:v>1</c:v>
                </c:pt>
                <c:pt idx="27">
                  <c:v>1</c:v>
                </c:pt>
                <c:pt idx="28">
                  <c:v>2</c:v>
                </c:pt>
                <c:pt idx="29">
                  <c:v>2</c:v>
                </c:pt>
                <c:pt idx="30">
                  <c:v>2</c:v>
                </c:pt>
                <c:pt idx="31">
                  <c:v>2</c:v>
                </c:pt>
                <c:pt idx="32">
                  <c:v>2</c:v>
                </c:pt>
                <c:pt idx="33">
                  <c:v>2</c:v>
                </c:pt>
                <c:pt idx="34">
                  <c:v>2</c:v>
                </c:pt>
                <c:pt idx="35">
                  <c:v>2</c:v>
                </c:pt>
                <c:pt idx="36">
                  <c:v>3</c:v>
                </c:pt>
                <c:pt idx="37">
                  <c:v>3</c:v>
                </c:pt>
                <c:pt idx="38">
                  <c:v>3</c:v>
                </c:pt>
                <c:pt idx="39">
                  <c:v>3</c:v>
                </c:pt>
                <c:pt idx="40">
                  <c:v>3</c:v>
                </c:pt>
                <c:pt idx="41">
                  <c:v>3</c:v>
                </c:pt>
                <c:pt idx="42">
                  <c:v>3</c:v>
                </c:pt>
                <c:pt idx="43">
                  <c:v>3</c:v>
                </c:pt>
                <c:pt idx="44">
                  <c:v>3</c:v>
                </c:pt>
                <c:pt idx="45">
                  <c:v>3</c:v>
                </c:pt>
                <c:pt idx="46">
                  <c:v>3</c:v>
                </c:pt>
                <c:pt idx="48">
                  <c:v>3</c:v>
                </c:pt>
                <c:pt idx="49">
                  <c:v>3</c:v>
                </c:pt>
                <c:pt idx="50">
                  <c:v>3</c:v>
                </c:pt>
                <c:pt idx="51">
                  <c:v>3</c:v>
                </c:pt>
                <c:pt idx="52">
                  <c:v>3</c:v>
                </c:pt>
                <c:pt idx="55">
                  <c:v>3</c:v>
                </c:pt>
                <c:pt idx="56">
                  <c:v>3</c:v>
                </c:pt>
                <c:pt idx="57">
                  <c:v>3</c:v>
                </c:pt>
                <c:pt idx="58">
                  <c:v>3</c:v>
                </c:pt>
              </c:numCache>
            </c:numRef>
          </c:val>
          <c:smooth val="0"/>
          <c:extLst>
            <c:ext xmlns:c16="http://schemas.microsoft.com/office/drawing/2014/chart" uri="{C3380CC4-5D6E-409C-BE32-E72D297353CC}">
              <c16:uniqueId val="{00000004-563F-45AC-B11C-13D977FE363F}"/>
            </c:ext>
          </c:extLst>
        </c:ser>
        <c:ser>
          <c:idx val="5"/>
          <c:order val="5"/>
          <c:tx>
            <c:strRef>
              <c:f>pivot_kt_serie!$G$3:$G$4</c:f>
              <c:strCache>
                <c:ptCount val="1"/>
                <c:pt idx="0">
                  <c:v>BE</c:v>
                </c:pt>
              </c:strCache>
            </c:strRef>
          </c:tx>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pivot_kt_serie!$G$5:$G$64</c:f>
              <c:numCache>
                <c:formatCode>General</c:formatCode>
                <c:ptCount val="59"/>
                <c:pt idx="20">
                  <c:v>1</c:v>
                </c:pt>
                <c:pt idx="22">
                  <c:v>1</c:v>
                </c:pt>
                <c:pt idx="23">
                  <c:v>1</c:v>
                </c:pt>
                <c:pt idx="24">
                  <c:v>2</c:v>
                </c:pt>
                <c:pt idx="25">
                  <c:v>3</c:v>
                </c:pt>
                <c:pt idx="27">
                  <c:v>5</c:v>
                </c:pt>
                <c:pt idx="28">
                  <c:v>6</c:v>
                </c:pt>
                <c:pt idx="29">
                  <c:v>6</c:v>
                </c:pt>
                <c:pt idx="30">
                  <c:v>7</c:v>
                </c:pt>
                <c:pt idx="31">
                  <c:v>8</c:v>
                </c:pt>
                <c:pt idx="32">
                  <c:v>9</c:v>
                </c:pt>
                <c:pt idx="33">
                  <c:v>10</c:v>
                </c:pt>
                <c:pt idx="34">
                  <c:v>13</c:v>
                </c:pt>
                <c:pt idx="35">
                  <c:v>16</c:v>
                </c:pt>
                <c:pt idx="36">
                  <c:v>20</c:v>
                </c:pt>
                <c:pt idx="37">
                  <c:v>23</c:v>
                </c:pt>
                <c:pt idx="38">
                  <c:v>26</c:v>
                </c:pt>
                <c:pt idx="39">
                  <c:v>28</c:v>
                </c:pt>
                <c:pt idx="40">
                  <c:v>28</c:v>
                </c:pt>
                <c:pt idx="41">
                  <c:v>31</c:v>
                </c:pt>
                <c:pt idx="42">
                  <c:v>33</c:v>
                </c:pt>
                <c:pt idx="43">
                  <c:v>37</c:v>
                </c:pt>
                <c:pt idx="44">
                  <c:v>38</c:v>
                </c:pt>
                <c:pt idx="45">
                  <c:v>42</c:v>
                </c:pt>
                <c:pt idx="46">
                  <c:v>44</c:v>
                </c:pt>
                <c:pt idx="47">
                  <c:v>49</c:v>
                </c:pt>
                <c:pt idx="48">
                  <c:v>49</c:v>
                </c:pt>
                <c:pt idx="49">
                  <c:v>49</c:v>
                </c:pt>
                <c:pt idx="50">
                  <c:v>53</c:v>
                </c:pt>
                <c:pt idx="51">
                  <c:v>55</c:v>
                </c:pt>
                <c:pt idx="52">
                  <c:v>67</c:v>
                </c:pt>
                <c:pt idx="53">
                  <c:v>69</c:v>
                </c:pt>
                <c:pt idx="54">
                  <c:v>69</c:v>
                </c:pt>
                <c:pt idx="55">
                  <c:v>73</c:v>
                </c:pt>
                <c:pt idx="56">
                  <c:v>77</c:v>
                </c:pt>
                <c:pt idx="57">
                  <c:v>77</c:v>
                </c:pt>
                <c:pt idx="58">
                  <c:v>79</c:v>
                </c:pt>
              </c:numCache>
            </c:numRef>
          </c:val>
          <c:smooth val="0"/>
          <c:extLst>
            <c:ext xmlns:c16="http://schemas.microsoft.com/office/drawing/2014/chart" uri="{C3380CC4-5D6E-409C-BE32-E72D297353CC}">
              <c16:uniqueId val="{00000005-563F-45AC-B11C-13D977FE363F}"/>
            </c:ext>
          </c:extLst>
        </c:ser>
        <c:ser>
          <c:idx val="6"/>
          <c:order val="6"/>
          <c:tx>
            <c:strRef>
              <c:f>pivot_kt_serie!$H$3:$H$4</c:f>
              <c:strCache>
                <c:ptCount val="1"/>
                <c:pt idx="0">
                  <c:v>BL</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pivot_kt_serie!$H$5:$H$64</c:f>
              <c:numCache>
                <c:formatCode>General</c:formatCode>
                <c:ptCount val="59"/>
                <c:pt idx="12">
                  <c:v>1</c:v>
                </c:pt>
                <c:pt idx="13">
                  <c:v>1</c:v>
                </c:pt>
                <c:pt idx="14">
                  <c:v>1</c:v>
                </c:pt>
                <c:pt idx="15">
                  <c:v>2</c:v>
                </c:pt>
                <c:pt idx="16">
                  <c:v>2</c:v>
                </c:pt>
                <c:pt idx="17">
                  <c:v>2</c:v>
                </c:pt>
                <c:pt idx="18">
                  <c:v>2</c:v>
                </c:pt>
                <c:pt idx="19">
                  <c:v>2</c:v>
                </c:pt>
                <c:pt idx="20">
                  <c:v>2</c:v>
                </c:pt>
                <c:pt idx="21">
                  <c:v>2</c:v>
                </c:pt>
                <c:pt idx="22">
                  <c:v>2</c:v>
                </c:pt>
                <c:pt idx="23">
                  <c:v>2</c:v>
                </c:pt>
                <c:pt idx="24">
                  <c:v>3</c:v>
                </c:pt>
                <c:pt idx="25">
                  <c:v>3</c:v>
                </c:pt>
                <c:pt idx="26">
                  <c:v>3</c:v>
                </c:pt>
                <c:pt idx="27">
                  <c:v>3</c:v>
                </c:pt>
                <c:pt idx="28">
                  <c:v>4</c:v>
                </c:pt>
                <c:pt idx="29">
                  <c:v>5</c:v>
                </c:pt>
                <c:pt idx="30">
                  <c:v>5</c:v>
                </c:pt>
                <c:pt idx="31">
                  <c:v>5</c:v>
                </c:pt>
                <c:pt idx="32">
                  <c:v>6</c:v>
                </c:pt>
                <c:pt idx="33">
                  <c:v>6</c:v>
                </c:pt>
                <c:pt idx="34">
                  <c:v>7</c:v>
                </c:pt>
                <c:pt idx="35">
                  <c:v>10</c:v>
                </c:pt>
                <c:pt idx="36">
                  <c:v>11</c:v>
                </c:pt>
                <c:pt idx="37">
                  <c:v>12</c:v>
                </c:pt>
                <c:pt idx="38">
                  <c:v>14</c:v>
                </c:pt>
                <c:pt idx="39">
                  <c:v>19</c:v>
                </c:pt>
                <c:pt idx="40">
                  <c:v>19</c:v>
                </c:pt>
                <c:pt idx="41">
                  <c:v>19</c:v>
                </c:pt>
                <c:pt idx="42">
                  <c:v>19</c:v>
                </c:pt>
                <c:pt idx="43">
                  <c:v>21</c:v>
                </c:pt>
                <c:pt idx="44">
                  <c:v>21</c:v>
                </c:pt>
                <c:pt idx="45">
                  <c:v>22</c:v>
                </c:pt>
                <c:pt idx="46">
                  <c:v>22</c:v>
                </c:pt>
                <c:pt idx="47">
                  <c:v>23</c:v>
                </c:pt>
                <c:pt idx="48">
                  <c:v>24</c:v>
                </c:pt>
                <c:pt idx="49">
                  <c:v>25</c:v>
                </c:pt>
                <c:pt idx="50">
                  <c:v>25</c:v>
                </c:pt>
                <c:pt idx="51">
                  <c:v>25</c:v>
                </c:pt>
                <c:pt idx="52">
                  <c:v>25</c:v>
                </c:pt>
                <c:pt idx="53">
                  <c:v>25</c:v>
                </c:pt>
                <c:pt idx="54">
                  <c:v>25</c:v>
                </c:pt>
                <c:pt idx="55">
                  <c:v>25</c:v>
                </c:pt>
                <c:pt idx="56">
                  <c:v>26</c:v>
                </c:pt>
                <c:pt idx="57">
                  <c:v>26</c:v>
                </c:pt>
              </c:numCache>
            </c:numRef>
          </c:val>
          <c:smooth val="0"/>
          <c:extLst>
            <c:ext xmlns:c16="http://schemas.microsoft.com/office/drawing/2014/chart" uri="{C3380CC4-5D6E-409C-BE32-E72D297353CC}">
              <c16:uniqueId val="{00000006-563F-45AC-B11C-13D977FE363F}"/>
            </c:ext>
          </c:extLst>
        </c:ser>
        <c:ser>
          <c:idx val="7"/>
          <c:order val="7"/>
          <c:tx>
            <c:strRef>
              <c:f>pivot_kt_serie!$I$3:$I$4</c:f>
              <c:strCache>
                <c:ptCount val="1"/>
                <c:pt idx="0">
                  <c:v>BS</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w="9525">
                <a:solidFill>
                  <a:schemeClr val="accent2">
                    <a:lumMod val="6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pivot_kt_serie!$I$5:$I$64</c:f>
              <c:numCache>
                <c:formatCode>General</c:formatCode>
                <c:ptCount val="59"/>
                <c:pt idx="16">
                  <c:v>1</c:v>
                </c:pt>
                <c:pt idx="17">
                  <c:v>1</c:v>
                </c:pt>
                <c:pt idx="18">
                  <c:v>1</c:v>
                </c:pt>
                <c:pt idx="20">
                  <c:v>4</c:v>
                </c:pt>
                <c:pt idx="21">
                  <c:v>4</c:v>
                </c:pt>
                <c:pt idx="22">
                  <c:v>4</c:v>
                </c:pt>
                <c:pt idx="23">
                  <c:v>4</c:v>
                </c:pt>
                <c:pt idx="24">
                  <c:v>4</c:v>
                </c:pt>
                <c:pt idx="25">
                  <c:v>5</c:v>
                </c:pt>
                <c:pt idx="26">
                  <c:v>5</c:v>
                </c:pt>
                <c:pt idx="27">
                  <c:v>5</c:v>
                </c:pt>
                <c:pt idx="28">
                  <c:v>5</c:v>
                </c:pt>
                <c:pt idx="29">
                  <c:v>8</c:v>
                </c:pt>
                <c:pt idx="30">
                  <c:v>12</c:v>
                </c:pt>
                <c:pt idx="31">
                  <c:v>13</c:v>
                </c:pt>
                <c:pt idx="32">
                  <c:v>13</c:v>
                </c:pt>
                <c:pt idx="33">
                  <c:v>15</c:v>
                </c:pt>
                <c:pt idx="34">
                  <c:v>15</c:v>
                </c:pt>
                <c:pt idx="35">
                  <c:v>16</c:v>
                </c:pt>
                <c:pt idx="36">
                  <c:v>18</c:v>
                </c:pt>
                <c:pt idx="37">
                  <c:v>19</c:v>
                </c:pt>
                <c:pt idx="38">
                  <c:v>21</c:v>
                </c:pt>
                <c:pt idx="39">
                  <c:v>24</c:v>
                </c:pt>
                <c:pt idx="40">
                  <c:v>26</c:v>
                </c:pt>
                <c:pt idx="41">
                  <c:v>26</c:v>
                </c:pt>
                <c:pt idx="42">
                  <c:v>28</c:v>
                </c:pt>
                <c:pt idx="43">
                  <c:v>31</c:v>
                </c:pt>
                <c:pt idx="44">
                  <c:v>33</c:v>
                </c:pt>
                <c:pt idx="45">
                  <c:v>33</c:v>
                </c:pt>
                <c:pt idx="46">
                  <c:v>33</c:v>
                </c:pt>
                <c:pt idx="47">
                  <c:v>33</c:v>
                </c:pt>
                <c:pt idx="48">
                  <c:v>34</c:v>
                </c:pt>
                <c:pt idx="49">
                  <c:v>34</c:v>
                </c:pt>
                <c:pt idx="50">
                  <c:v>36</c:v>
                </c:pt>
                <c:pt idx="51">
                  <c:v>37</c:v>
                </c:pt>
                <c:pt idx="52">
                  <c:v>37</c:v>
                </c:pt>
                <c:pt idx="53">
                  <c:v>40</c:v>
                </c:pt>
                <c:pt idx="54">
                  <c:v>40</c:v>
                </c:pt>
                <c:pt idx="55">
                  <c:v>42</c:v>
                </c:pt>
                <c:pt idx="56">
                  <c:v>44</c:v>
                </c:pt>
                <c:pt idx="57">
                  <c:v>45</c:v>
                </c:pt>
              </c:numCache>
            </c:numRef>
          </c:val>
          <c:smooth val="0"/>
          <c:extLst>
            <c:ext xmlns:c16="http://schemas.microsoft.com/office/drawing/2014/chart" uri="{C3380CC4-5D6E-409C-BE32-E72D297353CC}">
              <c16:uniqueId val="{00000007-563F-45AC-B11C-13D977FE363F}"/>
            </c:ext>
          </c:extLst>
        </c:ser>
        <c:ser>
          <c:idx val="8"/>
          <c:order val="8"/>
          <c:tx>
            <c:strRef>
              <c:f>pivot_kt_serie!$J$3:$J$4</c:f>
              <c:strCache>
                <c:ptCount val="1"/>
                <c:pt idx="0">
                  <c:v>FL</c:v>
                </c:pt>
              </c:strCache>
            </c:strRef>
          </c:tx>
          <c:spPr>
            <a:ln w="34925" cap="rnd">
              <a:solidFill>
                <a:schemeClr val="accent3">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w="9525">
                <a:solidFill>
                  <a:schemeClr val="accent3">
                    <a:lumMod val="6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pivot_kt_serie!$J$5:$J$64</c:f>
              <c:numCache>
                <c:formatCode>General</c:formatCode>
                <c:ptCount val="59"/>
                <c:pt idx="39">
                  <c:v>1</c:v>
                </c:pt>
                <c:pt idx="40">
                  <c:v>1</c:v>
                </c:pt>
                <c:pt idx="42">
                  <c:v>1</c:v>
                </c:pt>
                <c:pt idx="45">
                  <c:v>1</c:v>
                </c:pt>
                <c:pt idx="46">
                  <c:v>1</c:v>
                </c:pt>
                <c:pt idx="47">
                  <c:v>1</c:v>
                </c:pt>
                <c:pt idx="48">
                  <c:v>1</c:v>
                </c:pt>
                <c:pt idx="50">
                  <c:v>1</c:v>
                </c:pt>
                <c:pt idx="51">
                  <c:v>1</c:v>
                </c:pt>
                <c:pt idx="52">
                  <c:v>1</c:v>
                </c:pt>
                <c:pt idx="53">
                  <c:v>1</c:v>
                </c:pt>
                <c:pt idx="54">
                  <c:v>1</c:v>
                </c:pt>
                <c:pt idx="55">
                  <c:v>1</c:v>
                </c:pt>
                <c:pt idx="56">
                  <c:v>1</c:v>
                </c:pt>
                <c:pt idx="57">
                  <c:v>1</c:v>
                </c:pt>
              </c:numCache>
            </c:numRef>
          </c:val>
          <c:smooth val="0"/>
          <c:extLst>
            <c:ext xmlns:c16="http://schemas.microsoft.com/office/drawing/2014/chart" uri="{C3380CC4-5D6E-409C-BE32-E72D297353CC}">
              <c16:uniqueId val="{00000008-563F-45AC-B11C-13D977FE363F}"/>
            </c:ext>
          </c:extLst>
        </c:ser>
        <c:ser>
          <c:idx val="9"/>
          <c:order val="9"/>
          <c:tx>
            <c:strRef>
              <c:f>pivot_kt_serie!$K$3:$K$4</c:f>
              <c:strCache>
                <c:ptCount val="1"/>
                <c:pt idx="0">
                  <c:v>GE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w="9525">
                <a:solidFill>
                  <a:schemeClr val="accent4">
                    <a:lumMod val="6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pivot_kt_serie!$K$5:$K$64</c:f>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c:v>
                </c:pt>
                <c:pt idx="15">
                  <c:v>1</c:v>
                </c:pt>
                <c:pt idx="16">
                  <c:v>1</c:v>
                </c:pt>
                <c:pt idx="17">
                  <c:v>1</c:v>
                </c:pt>
                <c:pt idx="18">
                  <c:v>1</c:v>
                </c:pt>
                <c:pt idx="19">
                  <c:v>3</c:v>
                </c:pt>
                <c:pt idx="20">
                  <c:v>3</c:v>
                </c:pt>
                <c:pt idx="21">
                  <c:v>4</c:v>
                </c:pt>
                <c:pt idx="22">
                  <c:v>5</c:v>
                </c:pt>
                <c:pt idx="23">
                  <c:v>6</c:v>
                </c:pt>
                <c:pt idx="24">
                  <c:v>8</c:v>
                </c:pt>
                <c:pt idx="25">
                  <c:v>8</c:v>
                </c:pt>
                <c:pt idx="26">
                  <c:v>9</c:v>
                </c:pt>
                <c:pt idx="27">
                  <c:v>14</c:v>
                </c:pt>
                <c:pt idx="28">
                  <c:v>15</c:v>
                </c:pt>
                <c:pt idx="29">
                  <c:v>22</c:v>
                </c:pt>
                <c:pt idx="30">
                  <c:v>24</c:v>
                </c:pt>
                <c:pt idx="31">
                  <c:v>31</c:v>
                </c:pt>
                <c:pt idx="32">
                  <c:v>39</c:v>
                </c:pt>
                <c:pt idx="33">
                  <c:v>46</c:v>
                </c:pt>
                <c:pt idx="34">
                  <c:v>55</c:v>
                </c:pt>
                <c:pt idx="35">
                  <c:v>63</c:v>
                </c:pt>
                <c:pt idx="36">
                  <c:v>71</c:v>
                </c:pt>
                <c:pt idx="37">
                  <c:v>79</c:v>
                </c:pt>
                <c:pt idx="38">
                  <c:v>85</c:v>
                </c:pt>
                <c:pt idx="39">
                  <c:v>98</c:v>
                </c:pt>
                <c:pt idx="40">
                  <c:v>105</c:v>
                </c:pt>
                <c:pt idx="41">
                  <c:v>116</c:v>
                </c:pt>
                <c:pt idx="42">
                  <c:v>127</c:v>
                </c:pt>
                <c:pt idx="43">
                  <c:v>140</c:v>
                </c:pt>
                <c:pt idx="44">
                  <c:v>149</c:v>
                </c:pt>
                <c:pt idx="45">
                  <c:v>159</c:v>
                </c:pt>
                <c:pt idx="46">
                  <c:v>167</c:v>
                </c:pt>
                <c:pt idx="47">
                  <c:v>173</c:v>
                </c:pt>
                <c:pt idx="48">
                  <c:v>176</c:v>
                </c:pt>
                <c:pt idx="49">
                  <c:v>180</c:v>
                </c:pt>
                <c:pt idx="50">
                  <c:v>184</c:v>
                </c:pt>
                <c:pt idx="51">
                  <c:v>190</c:v>
                </c:pt>
                <c:pt idx="52">
                  <c:v>196</c:v>
                </c:pt>
                <c:pt idx="53">
                  <c:v>199</c:v>
                </c:pt>
                <c:pt idx="54">
                  <c:v>201</c:v>
                </c:pt>
                <c:pt idx="55">
                  <c:v>202</c:v>
                </c:pt>
                <c:pt idx="56">
                  <c:v>205</c:v>
                </c:pt>
                <c:pt idx="57">
                  <c:v>205</c:v>
                </c:pt>
              </c:numCache>
            </c:numRef>
          </c:val>
          <c:smooth val="0"/>
          <c:extLst>
            <c:ext xmlns:c16="http://schemas.microsoft.com/office/drawing/2014/chart" uri="{C3380CC4-5D6E-409C-BE32-E72D297353CC}">
              <c16:uniqueId val="{00000009-563F-45AC-B11C-13D977FE363F}"/>
            </c:ext>
          </c:extLst>
        </c:ser>
        <c:ser>
          <c:idx val="10"/>
          <c:order val="10"/>
          <c:tx>
            <c:strRef>
              <c:f>pivot_kt_serie!$L$3:$L$4</c:f>
              <c:strCache>
                <c:ptCount val="1"/>
                <c:pt idx="0">
                  <c:v>GL</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w="9525">
                <a:solidFill>
                  <a:schemeClr val="accent5">
                    <a:lumMod val="6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pivot_kt_serie!$L$5:$L$64</c:f>
              <c:numCache>
                <c:formatCode>General</c:formatCode>
                <c:ptCount val="59"/>
                <c:pt idx="32">
                  <c:v>1</c:v>
                </c:pt>
                <c:pt idx="34">
                  <c:v>1</c:v>
                </c:pt>
                <c:pt idx="35">
                  <c:v>2</c:v>
                </c:pt>
                <c:pt idx="36">
                  <c:v>2</c:v>
                </c:pt>
                <c:pt idx="37">
                  <c:v>2</c:v>
                </c:pt>
                <c:pt idx="38">
                  <c:v>2</c:v>
                </c:pt>
                <c:pt idx="41">
                  <c:v>2</c:v>
                </c:pt>
                <c:pt idx="42">
                  <c:v>2</c:v>
                </c:pt>
                <c:pt idx="43">
                  <c:v>2</c:v>
                </c:pt>
                <c:pt idx="44">
                  <c:v>2</c:v>
                </c:pt>
                <c:pt idx="46">
                  <c:v>2</c:v>
                </c:pt>
                <c:pt idx="48">
                  <c:v>2</c:v>
                </c:pt>
                <c:pt idx="49">
                  <c:v>2</c:v>
                </c:pt>
                <c:pt idx="50">
                  <c:v>2</c:v>
                </c:pt>
                <c:pt idx="51">
                  <c:v>3</c:v>
                </c:pt>
                <c:pt idx="52">
                  <c:v>3</c:v>
                </c:pt>
                <c:pt idx="55">
                  <c:v>5</c:v>
                </c:pt>
                <c:pt idx="56">
                  <c:v>6</c:v>
                </c:pt>
                <c:pt idx="57">
                  <c:v>6</c:v>
                </c:pt>
                <c:pt idx="58">
                  <c:v>6</c:v>
                </c:pt>
              </c:numCache>
            </c:numRef>
          </c:val>
          <c:smooth val="0"/>
          <c:extLst>
            <c:ext xmlns:c16="http://schemas.microsoft.com/office/drawing/2014/chart" uri="{C3380CC4-5D6E-409C-BE32-E72D297353CC}">
              <c16:uniqueId val="{0000000A-563F-45AC-B11C-13D977FE363F}"/>
            </c:ext>
          </c:extLst>
        </c:ser>
        <c:ser>
          <c:idx val="11"/>
          <c:order val="11"/>
          <c:tx>
            <c:strRef>
              <c:f>pivot_kt_serie!$M$3:$M$4</c:f>
              <c:strCache>
                <c:ptCount val="1"/>
                <c:pt idx="0">
                  <c:v>GR</c:v>
                </c:pt>
              </c:strCache>
            </c:strRef>
          </c:tx>
          <c:spPr>
            <a:ln w="34925" cap="rnd">
              <a:solidFill>
                <a:schemeClr val="accent6">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w="9525">
                <a:solidFill>
                  <a:schemeClr val="accent6">
                    <a:lumMod val="6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pivot_kt_serie!$M$5:$M$64</c:f>
              <c:numCache>
                <c:formatCode>General</c:formatCode>
                <c:ptCount val="59"/>
                <c:pt idx="22">
                  <c:v>1</c:v>
                </c:pt>
                <c:pt idx="23">
                  <c:v>1</c:v>
                </c:pt>
                <c:pt idx="24">
                  <c:v>3</c:v>
                </c:pt>
                <c:pt idx="25">
                  <c:v>3</c:v>
                </c:pt>
                <c:pt idx="26">
                  <c:v>6</c:v>
                </c:pt>
                <c:pt idx="28">
                  <c:v>6</c:v>
                </c:pt>
                <c:pt idx="29">
                  <c:v>6</c:v>
                </c:pt>
                <c:pt idx="30">
                  <c:v>9</c:v>
                </c:pt>
                <c:pt idx="31">
                  <c:v>9</c:v>
                </c:pt>
                <c:pt idx="34">
                  <c:v>12</c:v>
                </c:pt>
                <c:pt idx="35">
                  <c:v>19</c:v>
                </c:pt>
                <c:pt idx="36">
                  <c:v>21</c:v>
                </c:pt>
                <c:pt idx="37">
                  <c:v>23</c:v>
                </c:pt>
                <c:pt idx="38">
                  <c:v>27</c:v>
                </c:pt>
                <c:pt idx="40">
                  <c:v>30</c:v>
                </c:pt>
                <c:pt idx="41">
                  <c:v>31</c:v>
                </c:pt>
                <c:pt idx="42">
                  <c:v>34</c:v>
                </c:pt>
                <c:pt idx="43">
                  <c:v>35</c:v>
                </c:pt>
                <c:pt idx="44">
                  <c:v>35</c:v>
                </c:pt>
                <c:pt idx="45">
                  <c:v>35</c:v>
                </c:pt>
                <c:pt idx="46">
                  <c:v>35</c:v>
                </c:pt>
                <c:pt idx="47">
                  <c:v>35</c:v>
                </c:pt>
                <c:pt idx="48">
                  <c:v>35</c:v>
                </c:pt>
                <c:pt idx="49">
                  <c:v>37</c:v>
                </c:pt>
                <c:pt idx="50">
                  <c:v>38</c:v>
                </c:pt>
                <c:pt idx="51">
                  <c:v>39</c:v>
                </c:pt>
                <c:pt idx="54">
                  <c:v>40</c:v>
                </c:pt>
                <c:pt idx="55">
                  <c:v>40</c:v>
                </c:pt>
                <c:pt idx="56">
                  <c:v>42</c:v>
                </c:pt>
                <c:pt idx="57">
                  <c:v>43</c:v>
                </c:pt>
              </c:numCache>
            </c:numRef>
          </c:val>
          <c:smooth val="0"/>
          <c:extLst>
            <c:ext xmlns:c16="http://schemas.microsoft.com/office/drawing/2014/chart" uri="{C3380CC4-5D6E-409C-BE32-E72D297353CC}">
              <c16:uniqueId val="{0000000B-563F-45AC-B11C-13D977FE363F}"/>
            </c:ext>
          </c:extLst>
        </c:ser>
        <c:ser>
          <c:idx val="12"/>
          <c:order val="12"/>
          <c:tx>
            <c:strRef>
              <c:f>pivot_kt_serie!$N$3:$N$4</c:f>
              <c:strCache>
                <c:ptCount val="1"/>
                <c:pt idx="0">
                  <c:v>JU</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w="9525">
                <a:solidFill>
                  <a:schemeClr val="accent1">
                    <a:lumMod val="80000"/>
                    <a:lumOff val="2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pivot_kt_serie!$N$5:$N$64</c:f>
              <c:numCache>
                <c:formatCode>General</c:formatCode>
                <c:ptCount val="59"/>
                <c:pt idx="43">
                  <c:v>1</c:v>
                </c:pt>
                <c:pt idx="44">
                  <c:v>1</c:v>
                </c:pt>
                <c:pt idx="45">
                  <c:v>3</c:v>
                </c:pt>
                <c:pt idx="46">
                  <c:v>3</c:v>
                </c:pt>
                <c:pt idx="47">
                  <c:v>3</c:v>
                </c:pt>
                <c:pt idx="48">
                  <c:v>3</c:v>
                </c:pt>
                <c:pt idx="49">
                  <c:v>3</c:v>
                </c:pt>
                <c:pt idx="50">
                  <c:v>3</c:v>
                </c:pt>
                <c:pt idx="51">
                  <c:v>3</c:v>
                </c:pt>
                <c:pt idx="52">
                  <c:v>3</c:v>
                </c:pt>
                <c:pt idx="53">
                  <c:v>3</c:v>
                </c:pt>
                <c:pt idx="54">
                  <c:v>5</c:v>
                </c:pt>
                <c:pt idx="55">
                  <c:v>6</c:v>
                </c:pt>
                <c:pt idx="56">
                  <c:v>6</c:v>
                </c:pt>
                <c:pt idx="57">
                  <c:v>6</c:v>
                </c:pt>
              </c:numCache>
            </c:numRef>
          </c:val>
          <c:smooth val="0"/>
          <c:extLst>
            <c:ext xmlns:c16="http://schemas.microsoft.com/office/drawing/2014/chart" uri="{C3380CC4-5D6E-409C-BE32-E72D297353CC}">
              <c16:uniqueId val="{0000000C-563F-45AC-B11C-13D977FE363F}"/>
            </c:ext>
          </c:extLst>
        </c:ser>
        <c:ser>
          <c:idx val="13"/>
          <c:order val="13"/>
          <c:tx>
            <c:strRef>
              <c:f>pivot_kt_serie!$O$3:$O$4</c:f>
              <c:strCache>
                <c:ptCount val="1"/>
                <c:pt idx="0">
                  <c:v>LU</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w="9525">
                <a:solidFill>
                  <a:schemeClr val="accent2">
                    <a:lumMod val="80000"/>
                    <a:lumOff val="2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pivot_kt_serie!$O$5:$O$64</c:f>
              <c:numCache>
                <c:formatCode>General</c:formatCode>
                <c:ptCount val="59"/>
                <c:pt idx="25">
                  <c:v>1</c:v>
                </c:pt>
                <c:pt idx="26">
                  <c:v>1</c:v>
                </c:pt>
                <c:pt idx="27">
                  <c:v>1</c:v>
                </c:pt>
                <c:pt idx="28">
                  <c:v>2</c:v>
                </c:pt>
                <c:pt idx="29">
                  <c:v>2</c:v>
                </c:pt>
                <c:pt idx="30">
                  <c:v>3</c:v>
                </c:pt>
                <c:pt idx="31">
                  <c:v>3</c:v>
                </c:pt>
                <c:pt idx="32">
                  <c:v>4</c:v>
                </c:pt>
                <c:pt idx="33">
                  <c:v>5</c:v>
                </c:pt>
                <c:pt idx="34">
                  <c:v>6</c:v>
                </c:pt>
                <c:pt idx="35">
                  <c:v>7</c:v>
                </c:pt>
                <c:pt idx="36">
                  <c:v>7</c:v>
                </c:pt>
                <c:pt idx="37">
                  <c:v>7</c:v>
                </c:pt>
                <c:pt idx="38">
                  <c:v>7</c:v>
                </c:pt>
                <c:pt idx="39">
                  <c:v>7</c:v>
                </c:pt>
                <c:pt idx="40">
                  <c:v>9</c:v>
                </c:pt>
                <c:pt idx="41">
                  <c:v>9</c:v>
                </c:pt>
                <c:pt idx="42">
                  <c:v>9</c:v>
                </c:pt>
                <c:pt idx="43">
                  <c:v>9</c:v>
                </c:pt>
                <c:pt idx="44">
                  <c:v>9</c:v>
                </c:pt>
                <c:pt idx="45">
                  <c:v>9</c:v>
                </c:pt>
                <c:pt idx="46">
                  <c:v>10</c:v>
                </c:pt>
                <c:pt idx="47">
                  <c:v>10</c:v>
                </c:pt>
                <c:pt idx="48">
                  <c:v>10</c:v>
                </c:pt>
                <c:pt idx="49">
                  <c:v>11</c:v>
                </c:pt>
                <c:pt idx="50">
                  <c:v>12</c:v>
                </c:pt>
                <c:pt idx="51">
                  <c:v>13</c:v>
                </c:pt>
                <c:pt idx="52">
                  <c:v>14</c:v>
                </c:pt>
                <c:pt idx="53">
                  <c:v>15</c:v>
                </c:pt>
                <c:pt idx="54">
                  <c:v>15</c:v>
                </c:pt>
                <c:pt idx="55">
                  <c:v>15</c:v>
                </c:pt>
                <c:pt idx="56">
                  <c:v>15</c:v>
                </c:pt>
                <c:pt idx="57">
                  <c:v>15</c:v>
                </c:pt>
                <c:pt idx="58">
                  <c:v>15</c:v>
                </c:pt>
              </c:numCache>
            </c:numRef>
          </c:val>
          <c:smooth val="0"/>
          <c:extLst>
            <c:ext xmlns:c16="http://schemas.microsoft.com/office/drawing/2014/chart" uri="{C3380CC4-5D6E-409C-BE32-E72D297353CC}">
              <c16:uniqueId val="{0000000D-563F-45AC-B11C-13D977FE363F}"/>
            </c:ext>
          </c:extLst>
        </c:ser>
        <c:ser>
          <c:idx val="14"/>
          <c:order val="14"/>
          <c:tx>
            <c:strRef>
              <c:f>pivot_kt_serie!$P$3:$P$4</c:f>
              <c:strCache>
                <c:ptCount val="1"/>
                <c:pt idx="0">
                  <c:v>NE</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w="9525">
                <a:solidFill>
                  <a:schemeClr val="accent3">
                    <a:lumMod val="80000"/>
                    <a:lumOff val="2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pivot_kt_serie!$P$5:$P$64</c:f>
              <c:numCache>
                <c:formatCode>General</c:formatCode>
                <c:ptCount val="59"/>
                <c:pt idx="21">
                  <c:v>1</c:v>
                </c:pt>
                <c:pt idx="22">
                  <c:v>2</c:v>
                </c:pt>
                <c:pt idx="23">
                  <c:v>3</c:v>
                </c:pt>
                <c:pt idx="24">
                  <c:v>3</c:v>
                </c:pt>
                <c:pt idx="25">
                  <c:v>4</c:v>
                </c:pt>
                <c:pt idx="26">
                  <c:v>4</c:v>
                </c:pt>
                <c:pt idx="27">
                  <c:v>5</c:v>
                </c:pt>
                <c:pt idx="28">
                  <c:v>6</c:v>
                </c:pt>
                <c:pt idx="29">
                  <c:v>9</c:v>
                </c:pt>
                <c:pt idx="30">
                  <c:v>12</c:v>
                </c:pt>
                <c:pt idx="31">
                  <c:v>13</c:v>
                </c:pt>
                <c:pt idx="32">
                  <c:v>15</c:v>
                </c:pt>
                <c:pt idx="33">
                  <c:v>18</c:v>
                </c:pt>
                <c:pt idx="34">
                  <c:v>21</c:v>
                </c:pt>
                <c:pt idx="35">
                  <c:v>23</c:v>
                </c:pt>
                <c:pt idx="36">
                  <c:v>25</c:v>
                </c:pt>
                <c:pt idx="37">
                  <c:v>28</c:v>
                </c:pt>
                <c:pt idx="38">
                  <c:v>29</c:v>
                </c:pt>
                <c:pt idx="39">
                  <c:v>31</c:v>
                </c:pt>
                <c:pt idx="40">
                  <c:v>31</c:v>
                </c:pt>
                <c:pt idx="41">
                  <c:v>34</c:v>
                </c:pt>
                <c:pt idx="42">
                  <c:v>36</c:v>
                </c:pt>
                <c:pt idx="43">
                  <c:v>39</c:v>
                </c:pt>
                <c:pt idx="44">
                  <c:v>40</c:v>
                </c:pt>
                <c:pt idx="45">
                  <c:v>40</c:v>
                </c:pt>
                <c:pt idx="46">
                  <c:v>42</c:v>
                </c:pt>
                <c:pt idx="47">
                  <c:v>47</c:v>
                </c:pt>
                <c:pt idx="48">
                  <c:v>48</c:v>
                </c:pt>
                <c:pt idx="49">
                  <c:v>51</c:v>
                </c:pt>
                <c:pt idx="50">
                  <c:v>52</c:v>
                </c:pt>
                <c:pt idx="51">
                  <c:v>53</c:v>
                </c:pt>
                <c:pt idx="52">
                  <c:v>55</c:v>
                </c:pt>
                <c:pt idx="53">
                  <c:v>55</c:v>
                </c:pt>
                <c:pt idx="54">
                  <c:v>56</c:v>
                </c:pt>
                <c:pt idx="55">
                  <c:v>56</c:v>
                </c:pt>
                <c:pt idx="56">
                  <c:v>56</c:v>
                </c:pt>
                <c:pt idx="57">
                  <c:v>56</c:v>
                </c:pt>
              </c:numCache>
            </c:numRef>
          </c:val>
          <c:smooth val="0"/>
          <c:extLst>
            <c:ext xmlns:c16="http://schemas.microsoft.com/office/drawing/2014/chart" uri="{C3380CC4-5D6E-409C-BE32-E72D297353CC}">
              <c16:uniqueId val="{0000000E-563F-45AC-B11C-13D977FE363F}"/>
            </c:ext>
          </c:extLst>
        </c:ser>
        <c:ser>
          <c:idx val="15"/>
          <c:order val="15"/>
          <c:tx>
            <c:strRef>
              <c:f>pivot_kt_serie!$Q$3:$Q$4</c:f>
              <c:strCache>
                <c:ptCount val="1"/>
                <c:pt idx="0">
                  <c:v>NW</c:v>
                </c:pt>
              </c:strCache>
            </c:strRef>
          </c:tx>
          <c:spPr>
            <a:ln w="34925" cap="rnd">
              <a:solidFill>
                <a:schemeClr val="accent4">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w="9525">
                <a:solidFill>
                  <a:schemeClr val="accent4">
                    <a:lumMod val="80000"/>
                    <a:lumOff val="2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pivot_kt_serie!$Q$5:$Q$64</c:f>
              <c:numCache>
                <c:formatCode>General</c:formatCode>
                <c:ptCount val="59"/>
                <c:pt idx="39">
                  <c:v>0</c:v>
                </c:pt>
                <c:pt idx="40">
                  <c:v>0</c:v>
                </c:pt>
                <c:pt idx="41">
                  <c:v>0</c:v>
                </c:pt>
                <c:pt idx="42">
                  <c:v>0</c:v>
                </c:pt>
                <c:pt idx="43">
                  <c:v>0</c:v>
                </c:pt>
                <c:pt idx="44">
                  <c:v>0</c:v>
                </c:pt>
                <c:pt idx="45">
                  <c:v>0</c:v>
                </c:pt>
                <c:pt idx="46">
                  <c:v>0</c:v>
                </c:pt>
                <c:pt idx="47">
                  <c:v>0</c:v>
                </c:pt>
                <c:pt idx="48">
                  <c:v>1</c:v>
                </c:pt>
                <c:pt idx="49">
                  <c:v>1</c:v>
                </c:pt>
                <c:pt idx="50">
                  <c:v>2</c:v>
                </c:pt>
                <c:pt idx="51">
                  <c:v>2</c:v>
                </c:pt>
                <c:pt idx="52">
                  <c:v>2</c:v>
                </c:pt>
                <c:pt idx="53">
                  <c:v>3</c:v>
                </c:pt>
                <c:pt idx="54">
                  <c:v>3</c:v>
                </c:pt>
                <c:pt idx="55">
                  <c:v>3</c:v>
                </c:pt>
                <c:pt idx="56">
                  <c:v>3</c:v>
                </c:pt>
              </c:numCache>
            </c:numRef>
          </c:val>
          <c:smooth val="0"/>
          <c:extLst>
            <c:ext xmlns:c16="http://schemas.microsoft.com/office/drawing/2014/chart" uri="{C3380CC4-5D6E-409C-BE32-E72D297353CC}">
              <c16:uniqueId val="{0000000F-563F-45AC-B11C-13D977FE363F}"/>
            </c:ext>
          </c:extLst>
        </c:ser>
        <c:ser>
          <c:idx val="16"/>
          <c:order val="16"/>
          <c:tx>
            <c:strRef>
              <c:f>pivot_kt_serie!$R$3:$R$4</c:f>
              <c:strCache>
                <c:ptCount val="1"/>
                <c:pt idx="0">
                  <c:v>OW</c:v>
                </c:pt>
              </c:strCache>
            </c:strRef>
          </c:tx>
          <c:spPr>
            <a:ln w="34925" cap="rnd">
              <a:solidFill>
                <a:schemeClr val="accent5">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w="9525">
                <a:solidFill>
                  <a:schemeClr val="accent5">
                    <a:lumMod val="80000"/>
                    <a:lumOff val="2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pivot_kt_serie!$R$5:$R$64</c:f>
              <c:numCache>
                <c:formatCode>General</c:formatCode>
                <c:ptCount val="59"/>
                <c:pt idx="41">
                  <c:v>0</c:v>
                </c:pt>
                <c:pt idx="42">
                  <c:v>0</c:v>
                </c:pt>
                <c:pt idx="43">
                  <c:v>0</c:v>
                </c:pt>
                <c:pt idx="44">
                  <c:v>0</c:v>
                </c:pt>
                <c:pt idx="49">
                  <c:v>0</c:v>
                </c:pt>
                <c:pt idx="50">
                  <c:v>0</c:v>
                </c:pt>
                <c:pt idx="51">
                  <c:v>0</c:v>
                </c:pt>
                <c:pt idx="52">
                  <c:v>0</c:v>
                </c:pt>
                <c:pt idx="55">
                  <c:v>0</c:v>
                </c:pt>
                <c:pt idx="56">
                  <c:v>0</c:v>
                </c:pt>
                <c:pt idx="57">
                  <c:v>0</c:v>
                </c:pt>
                <c:pt idx="58">
                  <c:v>0</c:v>
                </c:pt>
              </c:numCache>
            </c:numRef>
          </c:val>
          <c:smooth val="0"/>
          <c:extLst>
            <c:ext xmlns:c16="http://schemas.microsoft.com/office/drawing/2014/chart" uri="{C3380CC4-5D6E-409C-BE32-E72D297353CC}">
              <c16:uniqueId val="{00000010-563F-45AC-B11C-13D977FE363F}"/>
            </c:ext>
          </c:extLst>
        </c:ser>
        <c:ser>
          <c:idx val="17"/>
          <c:order val="17"/>
          <c:tx>
            <c:strRef>
              <c:f>pivot_kt_serie!$S$3:$S$4</c:f>
              <c:strCache>
                <c:ptCount val="1"/>
                <c:pt idx="0">
                  <c:v>SG</c:v>
                </c:pt>
              </c:strCache>
            </c:strRef>
          </c:tx>
          <c:spPr>
            <a:ln w="34925" cap="rnd">
              <a:solidFill>
                <a:schemeClr val="accent6">
                  <a:lumMod val="80000"/>
                  <a:lumOff val="2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w="9525">
                <a:solidFill>
                  <a:schemeClr val="accent6">
                    <a:lumMod val="80000"/>
                    <a:lumOff val="2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pivot_kt_serie!$S$5:$S$64</c:f>
              <c:numCache>
                <c:formatCode>General</c:formatCode>
                <c:ptCount val="59"/>
                <c:pt idx="27">
                  <c:v>1</c:v>
                </c:pt>
                <c:pt idx="29">
                  <c:v>1</c:v>
                </c:pt>
                <c:pt idx="30">
                  <c:v>2</c:v>
                </c:pt>
                <c:pt idx="32">
                  <c:v>5</c:v>
                </c:pt>
                <c:pt idx="33">
                  <c:v>5</c:v>
                </c:pt>
                <c:pt idx="34">
                  <c:v>5</c:v>
                </c:pt>
                <c:pt idx="35">
                  <c:v>7</c:v>
                </c:pt>
                <c:pt idx="36">
                  <c:v>7</c:v>
                </c:pt>
                <c:pt idx="37">
                  <c:v>8</c:v>
                </c:pt>
                <c:pt idx="38">
                  <c:v>8</c:v>
                </c:pt>
                <c:pt idx="39">
                  <c:v>9</c:v>
                </c:pt>
                <c:pt idx="40">
                  <c:v>9</c:v>
                </c:pt>
                <c:pt idx="41">
                  <c:v>11</c:v>
                </c:pt>
                <c:pt idx="42">
                  <c:v>13</c:v>
                </c:pt>
                <c:pt idx="43">
                  <c:v>15</c:v>
                </c:pt>
                <c:pt idx="44">
                  <c:v>16</c:v>
                </c:pt>
                <c:pt idx="45">
                  <c:v>17</c:v>
                </c:pt>
                <c:pt idx="46">
                  <c:v>18</c:v>
                </c:pt>
                <c:pt idx="47">
                  <c:v>21</c:v>
                </c:pt>
                <c:pt idx="48">
                  <c:v>21</c:v>
                </c:pt>
                <c:pt idx="49">
                  <c:v>21</c:v>
                </c:pt>
                <c:pt idx="50">
                  <c:v>23</c:v>
                </c:pt>
                <c:pt idx="51">
                  <c:v>25</c:v>
                </c:pt>
                <c:pt idx="52">
                  <c:v>27</c:v>
                </c:pt>
                <c:pt idx="53">
                  <c:v>27</c:v>
                </c:pt>
                <c:pt idx="54">
                  <c:v>27</c:v>
                </c:pt>
                <c:pt idx="55">
                  <c:v>27</c:v>
                </c:pt>
                <c:pt idx="56">
                  <c:v>29</c:v>
                </c:pt>
                <c:pt idx="57">
                  <c:v>29</c:v>
                </c:pt>
                <c:pt idx="58">
                  <c:v>31</c:v>
                </c:pt>
              </c:numCache>
            </c:numRef>
          </c:val>
          <c:smooth val="0"/>
          <c:extLst>
            <c:ext xmlns:c16="http://schemas.microsoft.com/office/drawing/2014/chart" uri="{C3380CC4-5D6E-409C-BE32-E72D297353CC}">
              <c16:uniqueId val="{00000011-563F-45AC-B11C-13D977FE363F}"/>
            </c:ext>
          </c:extLst>
        </c:ser>
        <c:ser>
          <c:idx val="18"/>
          <c:order val="18"/>
          <c:tx>
            <c:strRef>
              <c:f>pivot_kt_serie!$T$3:$T$4</c:f>
              <c:strCache>
                <c:ptCount val="1"/>
                <c:pt idx="0">
                  <c:v>SH</c:v>
                </c:pt>
              </c:strCache>
            </c:strRef>
          </c:tx>
          <c:spPr>
            <a:ln w="34925" cap="rnd">
              <a:solidFill>
                <a:schemeClr val="accent1">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w="9525">
                <a:solidFill>
                  <a:schemeClr val="accent1">
                    <a:lumMod val="8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pivot_kt_serie!$T$5:$T$64</c:f>
              <c:numCache>
                <c:formatCode>General</c:formatCode>
                <c:ptCount val="59"/>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2</c:v>
                </c:pt>
                <c:pt idx="57">
                  <c:v>3</c:v>
                </c:pt>
                <c:pt idx="58">
                  <c:v>3</c:v>
                </c:pt>
              </c:numCache>
            </c:numRef>
          </c:val>
          <c:smooth val="0"/>
          <c:extLst>
            <c:ext xmlns:c16="http://schemas.microsoft.com/office/drawing/2014/chart" uri="{C3380CC4-5D6E-409C-BE32-E72D297353CC}">
              <c16:uniqueId val="{00000012-563F-45AC-B11C-13D977FE363F}"/>
            </c:ext>
          </c:extLst>
        </c:ser>
        <c:ser>
          <c:idx val="19"/>
          <c:order val="19"/>
          <c:tx>
            <c:strRef>
              <c:f>pivot_kt_serie!$U$3:$U$4</c:f>
              <c:strCache>
                <c:ptCount val="1"/>
                <c:pt idx="0">
                  <c:v>SZ</c:v>
                </c:pt>
              </c:strCache>
            </c:strRef>
          </c:tx>
          <c:spPr>
            <a:ln w="34925" cap="rnd">
              <a:solidFill>
                <a:schemeClr val="accent2">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80000"/>
                      <a:satMod val="103000"/>
                      <a:lumMod val="102000"/>
                      <a:tint val="94000"/>
                    </a:schemeClr>
                  </a:gs>
                  <a:gs pos="50000">
                    <a:schemeClr val="accent2">
                      <a:lumMod val="80000"/>
                      <a:satMod val="110000"/>
                      <a:lumMod val="100000"/>
                      <a:shade val="100000"/>
                    </a:schemeClr>
                  </a:gs>
                  <a:gs pos="100000">
                    <a:schemeClr val="accent2">
                      <a:lumMod val="80000"/>
                      <a:lumMod val="99000"/>
                      <a:satMod val="120000"/>
                      <a:shade val="78000"/>
                    </a:schemeClr>
                  </a:gs>
                </a:gsLst>
                <a:lin ang="5400000" scaled="0"/>
              </a:gradFill>
              <a:ln w="9525">
                <a:solidFill>
                  <a:schemeClr val="accent2">
                    <a:lumMod val="8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pivot_kt_serie!$U$5:$U$64</c:f>
              <c:numCache>
                <c:formatCode>General</c:formatCode>
                <c:ptCount val="59"/>
                <c:pt idx="30">
                  <c:v>1</c:v>
                </c:pt>
                <c:pt idx="31">
                  <c:v>1</c:v>
                </c:pt>
                <c:pt idx="32">
                  <c:v>2</c:v>
                </c:pt>
                <c:pt idx="33">
                  <c:v>2</c:v>
                </c:pt>
                <c:pt idx="34">
                  <c:v>2</c:v>
                </c:pt>
                <c:pt idx="35">
                  <c:v>4</c:v>
                </c:pt>
                <c:pt idx="36">
                  <c:v>4</c:v>
                </c:pt>
                <c:pt idx="37">
                  <c:v>4</c:v>
                </c:pt>
                <c:pt idx="38">
                  <c:v>4</c:v>
                </c:pt>
                <c:pt idx="39">
                  <c:v>5</c:v>
                </c:pt>
                <c:pt idx="40">
                  <c:v>5</c:v>
                </c:pt>
                <c:pt idx="41">
                  <c:v>6</c:v>
                </c:pt>
                <c:pt idx="42">
                  <c:v>7</c:v>
                </c:pt>
                <c:pt idx="43">
                  <c:v>7</c:v>
                </c:pt>
                <c:pt idx="44">
                  <c:v>9</c:v>
                </c:pt>
                <c:pt idx="45">
                  <c:v>10</c:v>
                </c:pt>
                <c:pt idx="46">
                  <c:v>10</c:v>
                </c:pt>
                <c:pt idx="47">
                  <c:v>11</c:v>
                </c:pt>
                <c:pt idx="48">
                  <c:v>12</c:v>
                </c:pt>
                <c:pt idx="49">
                  <c:v>13</c:v>
                </c:pt>
                <c:pt idx="50">
                  <c:v>13</c:v>
                </c:pt>
                <c:pt idx="51">
                  <c:v>14</c:v>
                </c:pt>
                <c:pt idx="52">
                  <c:v>14</c:v>
                </c:pt>
                <c:pt idx="53">
                  <c:v>14</c:v>
                </c:pt>
                <c:pt idx="54">
                  <c:v>15</c:v>
                </c:pt>
                <c:pt idx="55">
                  <c:v>15</c:v>
                </c:pt>
                <c:pt idx="56">
                  <c:v>16</c:v>
                </c:pt>
                <c:pt idx="57">
                  <c:v>16</c:v>
                </c:pt>
                <c:pt idx="58">
                  <c:v>16</c:v>
                </c:pt>
              </c:numCache>
            </c:numRef>
          </c:val>
          <c:smooth val="0"/>
          <c:extLst>
            <c:ext xmlns:c16="http://schemas.microsoft.com/office/drawing/2014/chart" uri="{C3380CC4-5D6E-409C-BE32-E72D297353CC}">
              <c16:uniqueId val="{00000013-563F-45AC-B11C-13D977FE363F}"/>
            </c:ext>
          </c:extLst>
        </c:ser>
        <c:ser>
          <c:idx val="20"/>
          <c:order val="20"/>
          <c:tx>
            <c:strRef>
              <c:f>pivot_kt_serie!$V$3:$V$4</c:f>
              <c:strCache>
                <c:ptCount val="1"/>
                <c:pt idx="0">
                  <c:v>TG</c:v>
                </c:pt>
              </c:strCache>
            </c:strRef>
          </c:tx>
          <c:spPr>
            <a:ln w="34925" cap="rnd">
              <a:solidFill>
                <a:schemeClr val="accent3">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w="9525">
                <a:solidFill>
                  <a:schemeClr val="accent3">
                    <a:lumMod val="8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pivot_kt_serie!$V$5:$V$64</c:f>
              <c:numCache>
                <c:formatCode>General</c:formatCode>
                <c:ptCount val="59"/>
                <c:pt idx="28">
                  <c:v>1</c:v>
                </c:pt>
                <c:pt idx="29">
                  <c:v>1</c:v>
                </c:pt>
                <c:pt idx="30">
                  <c:v>1</c:v>
                </c:pt>
                <c:pt idx="31">
                  <c:v>2</c:v>
                </c:pt>
                <c:pt idx="32">
                  <c:v>2</c:v>
                </c:pt>
                <c:pt idx="33">
                  <c:v>2</c:v>
                </c:pt>
                <c:pt idx="34">
                  <c:v>2</c:v>
                </c:pt>
                <c:pt idx="35">
                  <c:v>3</c:v>
                </c:pt>
                <c:pt idx="36">
                  <c:v>4</c:v>
                </c:pt>
                <c:pt idx="37">
                  <c:v>4</c:v>
                </c:pt>
                <c:pt idx="38">
                  <c:v>5</c:v>
                </c:pt>
                <c:pt idx="39">
                  <c:v>5</c:v>
                </c:pt>
                <c:pt idx="40">
                  <c:v>7</c:v>
                </c:pt>
                <c:pt idx="41">
                  <c:v>7</c:v>
                </c:pt>
                <c:pt idx="42">
                  <c:v>8</c:v>
                </c:pt>
                <c:pt idx="43">
                  <c:v>8</c:v>
                </c:pt>
                <c:pt idx="44">
                  <c:v>8</c:v>
                </c:pt>
                <c:pt idx="45">
                  <c:v>8</c:v>
                </c:pt>
                <c:pt idx="46">
                  <c:v>8</c:v>
                </c:pt>
                <c:pt idx="47">
                  <c:v>8</c:v>
                </c:pt>
                <c:pt idx="48">
                  <c:v>8</c:v>
                </c:pt>
                <c:pt idx="49">
                  <c:v>10</c:v>
                </c:pt>
                <c:pt idx="50">
                  <c:v>11</c:v>
                </c:pt>
                <c:pt idx="51">
                  <c:v>11</c:v>
                </c:pt>
                <c:pt idx="52">
                  <c:v>12</c:v>
                </c:pt>
                <c:pt idx="53">
                  <c:v>13</c:v>
                </c:pt>
                <c:pt idx="54">
                  <c:v>13</c:v>
                </c:pt>
                <c:pt idx="55">
                  <c:v>13</c:v>
                </c:pt>
                <c:pt idx="56">
                  <c:v>13</c:v>
                </c:pt>
                <c:pt idx="57">
                  <c:v>14</c:v>
                </c:pt>
                <c:pt idx="58">
                  <c:v>14</c:v>
                </c:pt>
              </c:numCache>
            </c:numRef>
          </c:val>
          <c:smooth val="0"/>
          <c:extLst>
            <c:ext xmlns:c16="http://schemas.microsoft.com/office/drawing/2014/chart" uri="{C3380CC4-5D6E-409C-BE32-E72D297353CC}">
              <c16:uniqueId val="{00000014-563F-45AC-B11C-13D977FE363F}"/>
            </c:ext>
          </c:extLst>
        </c:ser>
        <c:ser>
          <c:idx val="21"/>
          <c:order val="21"/>
          <c:tx>
            <c:strRef>
              <c:f>pivot_kt_serie!$W$3:$W$4</c:f>
              <c:strCache>
                <c:ptCount val="1"/>
                <c:pt idx="0">
                  <c:v>TI</c:v>
                </c:pt>
              </c:strCache>
            </c:strRef>
          </c:tx>
          <c:spPr>
            <a:ln w="34925" cap="rnd">
              <a:solidFill>
                <a:schemeClr val="accent4">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4">
                      <a:lumMod val="80000"/>
                      <a:satMod val="103000"/>
                      <a:lumMod val="102000"/>
                      <a:tint val="94000"/>
                    </a:schemeClr>
                  </a:gs>
                  <a:gs pos="50000">
                    <a:schemeClr val="accent4">
                      <a:lumMod val="80000"/>
                      <a:satMod val="110000"/>
                      <a:lumMod val="100000"/>
                      <a:shade val="100000"/>
                    </a:schemeClr>
                  </a:gs>
                  <a:gs pos="100000">
                    <a:schemeClr val="accent4">
                      <a:lumMod val="80000"/>
                      <a:lumMod val="99000"/>
                      <a:satMod val="120000"/>
                      <a:shade val="78000"/>
                    </a:schemeClr>
                  </a:gs>
                </a:gsLst>
                <a:lin ang="5400000" scaled="0"/>
              </a:gradFill>
              <a:ln w="9525">
                <a:solidFill>
                  <a:schemeClr val="accent4">
                    <a:lumMod val="8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pivot_kt_serie!$W$5:$W$64</c:f>
              <c:numCache>
                <c:formatCode>General</c:formatCode>
                <c:ptCount val="59"/>
                <c:pt idx="14">
                  <c:v>1</c:v>
                </c:pt>
                <c:pt idx="15">
                  <c:v>1</c:v>
                </c:pt>
                <c:pt idx="16">
                  <c:v>1</c:v>
                </c:pt>
                <c:pt idx="17">
                  <c:v>1</c:v>
                </c:pt>
                <c:pt idx="18">
                  <c:v>3</c:v>
                </c:pt>
                <c:pt idx="19">
                  <c:v>6</c:v>
                </c:pt>
                <c:pt idx="20">
                  <c:v>8</c:v>
                </c:pt>
                <c:pt idx="21">
                  <c:v>10</c:v>
                </c:pt>
                <c:pt idx="22">
                  <c:v>14</c:v>
                </c:pt>
                <c:pt idx="23">
                  <c:v>15</c:v>
                </c:pt>
                <c:pt idx="24">
                  <c:v>22</c:v>
                </c:pt>
                <c:pt idx="25">
                  <c:v>28</c:v>
                </c:pt>
                <c:pt idx="26">
                  <c:v>37</c:v>
                </c:pt>
                <c:pt idx="27">
                  <c:v>48</c:v>
                </c:pt>
                <c:pt idx="28">
                  <c:v>53</c:v>
                </c:pt>
                <c:pt idx="29">
                  <c:v>60</c:v>
                </c:pt>
                <c:pt idx="30">
                  <c:v>67</c:v>
                </c:pt>
                <c:pt idx="31">
                  <c:v>76</c:v>
                </c:pt>
                <c:pt idx="32">
                  <c:v>87</c:v>
                </c:pt>
                <c:pt idx="33">
                  <c:v>93</c:v>
                </c:pt>
                <c:pt idx="34">
                  <c:v>105</c:v>
                </c:pt>
                <c:pt idx="35">
                  <c:v>120</c:v>
                </c:pt>
                <c:pt idx="36">
                  <c:v>132</c:v>
                </c:pt>
                <c:pt idx="37">
                  <c:v>141</c:v>
                </c:pt>
                <c:pt idx="38">
                  <c:v>155</c:v>
                </c:pt>
                <c:pt idx="39">
                  <c:v>165</c:v>
                </c:pt>
                <c:pt idx="40">
                  <c:v>177</c:v>
                </c:pt>
                <c:pt idx="41">
                  <c:v>189</c:v>
                </c:pt>
                <c:pt idx="42">
                  <c:v>198</c:v>
                </c:pt>
                <c:pt idx="43">
                  <c:v>211</c:v>
                </c:pt>
                <c:pt idx="44">
                  <c:v>219</c:v>
                </c:pt>
                <c:pt idx="45">
                  <c:v>227</c:v>
                </c:pt>
                <c:pt idx="46">
                  <c:v>229</c:v>
                </c:pt>
                <c:pt idx="47">
                  <c:v>244</c:v>
                </c:pt>
                <c:pt idx="48">
                  <c:v>251</c:v>
                </c:pt>
                <c:pt idx="49">
                  <c:v>258</c:v>
                </c:pt>
                <c:pt idx="50">
                  <c:v>263</c:v>
                </c:pt>
                <c:pt idx="51">
                  <c:v>269</c:v>
                </c:pt>
                <c:pt idx="52">
                  <c:v>270</c:v>
                </c:pt>
                <c:pt idx="53">
                  <c:v>277</c:v>
                </c:pt>
                <c:pt idx="54">
                  <c:v>281</c:v>
                </c:pt>
                <c:pt idx="55">
                  <c:v>288</c:v>
                </c:pt>
                <c:pt idx="56">
                  <c:v>291</c:v>
                </c:pt>
                <c:pt idx="57">
                  <c:v>295</c:v>
                </c:pt>
                <c:pt idx="58">
                  <c:v>298</c:v>
                </c:pt>
              </c:numCache>
            </c:numRef>
          </c:val>
          <c:smooth val="0"/>
          <c:extLst>
            <c:ext xmlns:c16="http://schemas.microsoft.com/office/drawing/2014/chart" uri="{C3380CC4-5D6E-409C-BE32-E72D297353CC}">
              <c16:uniqueId val="{00000015-563F-45AC-B11C-13D977FE363F}"/>
            </c:ext>
          </c:extLst>
        </c:ser>
        <c:ser>
          <c:idx val="22"/>
          <c:order val="22"/>
          <c:tx>
            <c:strRef>
              <c:f>pivot_kt_serie!$X$3:$X$4</c:f>
              <c:strCache>
                <c:ptCount val="1"/>
                <c:pt idx="0">
                  <c:v>UR</c:v>
                </c:pt>
              </c:strCache>
            </c:strRef>
          </c:tx>
          <c:spPr>
            <a:ln w="34925" cap="rnd">
              <a:solidFill>
                <a:schemeClr val="accent5">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w="9525">
                <a:solidFill>
                  <a:schemeClr val="accent5">
                    <a:lumMod val="8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pivot_kt_serie!$X$5:$X$64</c:f>
              <c:numCache>
                <c:formatCode>General</c:formatCode>
                <c:ptCount val="59"/>
                <c:pt idx="36">
                  <c:v>1</c:v>
                </c:pt>
                <c:pt idx="37">
                  <c:v>1</c:v>
                </c:pt>
                <c:pt idx="38">
                  <c:v>1</c:v>
                </c:pt>
                <c:pt idx="39">
                  <c:v>1</c:v>
                </c:pt>
                <c:pt idx="40">
                  <c:v>2</c:v>
                </c:pt>
                <c:pt idx="41">
                  <c:v>2</c:v>
                </c:pt>
                <c:pt idx="42">
                  <c:v>2</c:v>
                </c:pt>
                <c:pt idx="43">
                  <c:v>4</c:v>
                </c:pt>
                <c:pt idx="44">
                  <c:v>4</c:v>
                </c:pt>
                <c:pt idx="45">
                  <c:v>4</c:v>
                </c:pt>
                <c:pt idx="46">
                  <c:v>4</c:v>
                </c:pt>
                <c:pt idx="47">
                  <c:v>4</c:v>
                </c:pt>
                <c:pt idx="48">
                  <c:v>4</c:v>
                </c:pt>
                <c:pt idx="49">
                  <c:v>4</c:v>
                </c:pt>
                <c:pt idx="50">
                  <c:v>4</c:v>
                </c:pt>
                <c:pt idx="51">
                  <c:v>5</c:v>
                </c:pt>
                <c:pt idx="52">
                  <c:v>5</c:v>
                </c:pt>
                <c:pt idx="53">
                  <c:v>5</c:v>
                </c:pt>
                <c:pt idx="54">
                  <c:v>5</c:v>
                </c:pt>
                <c:pt idx="55">
                  <c:v>5</c:v>
                </c:pt>
                <c:pt idx="56">
                  <c:v>5</c:v>
                </c:pt>
                <c:pt idx="57">
                  <c:v>5</c:v>
                </c:pt>
              </c:numCache>
            </c:numRef>
          </c:val>
          <c:smooth val="0"/>
          <c:extLst>
            <c:ext xmlns:c16="http://schemas.microsoft.com/office/drawing/2014/chart" uri="{C3380CC4-5D6E-409C-BE32-E72D297353CC}">
              <c16:uniqueId val="{00000016-563F-45AC-B11C-13D977FE363F}"/>
            </c:ext>
          </c:extLst>
        </c:ser>
        <c:ser>
          <c:idx val="23"/>
          <c:order val="23"/>
          <c:tx>
            <c:strRef>
              <c:f>pivot_kt_serie!$Y$3:$Y$4</c:f>
              <c:strCache>
                <c:ptCount val="1"/>
                <c:pt idx="0">
                  <c:v>VD</c:v>
                </c:pt>
              </c:strCache>
            </c:strRef>
          </c:tx>
          <c:spPr>
            <a:ln w="34925" cap="rnd">
              <a:solidFill>
                <a:schemeClr val="accent6">
                  <a:lumMod val="8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6">
                      <a:lumMod val="80000"/>
                      <a:satMod val="103000"/>
                      <a:lumMod val="102000"/>
                      <a:tint val="94000"/>
                    </a:schemeClr>
                  </a:gs>
                  <a:gs pos="50000">
                    <a:schemeClr val="accent6">
                      <a:lumMod val="80000"/>
                      <a:satMod val="110000"/>
                      <a:lumMod val="100000"/>
                      <a:shade val="100000"/>
                    </a:schemeClr>
                  </a:gs>
                  <a:gs pos="100000">
                    <a:schemeClr val="accent6">
                      <a:lumMod val="80000"/>
                      <a:lumMod val="99000"/>
                      <a:satMod val="120000"/>
                      <a:shade val="78000"/>
                    </a:schemeClr>
                  </a:gs>
                </a:gsLst>
                <a:lin ang="5400000" scaled="0"/>
              </a:gradFill>
              <a:ln w="9525">
                <a:solidFill>
                  <a:schemeClr val="accent6">
                    <a:lumMod val="8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pivot_kt_serie!$Y$5:$Y$64</c:f>
              <c:numCache>
                <c:formatCode>General</c:formatCode>
                <c:ptCount val="59"/>
                <c:pt idx="10">
                  <c:v>1</c:v>
                </c:pt>
                <c:pt idx="11">
                  <c:v>1</c:v>
                </c:pt>
                <c:pt idx="12">
                  <c:v>1</c:v>
                </c:pt>
                <c:pt idx="13">
                  <c:v>1</c:v>
                </c:pt>
                <c:pt idx="14">
                  <c:v>1</c:v>
                </c:pt>
                <c:pt idx="15">
                  <c:v>1</c:v>
                </c:pt>
                <c:pt idx="16">
                  <c:v>3</c:v>
                </c:pt>
                <c:pt idx="17">
                  <c:v>3</c:v>
                </c:pt>
                <c:pt idx="18">
                  <c:v>4</c:v>
                </c:pt>
                <c:pt idx="19">
                  <c:v>5</c:v>
                </c:pt>
                <c:pt idx="20">
                  <c:v>7</c:v>
                </c:pt>
                <c:pt idx="21">
                  <c:v>9</c:v>
                </c:pt>
                <c:pt idx="22">
                  <c:v>12</c:v>
                </c:pt>
                <c:pt idx="23">
                  <c:v>13</c:v>
                </c:pt>
                <c:pt idx="24">
                  <c:v>19</c:v>
                </c:pt>
                <c:pt idx="25">
                  <c:v>22</c:v>
                </c:pt>
                <c:pt idx="26">
                  <c:v>24</c:v>
                </c:pt>
                <c:pt idx="27">
                  <c:v>28</c:v>
                </c:pt>
                <c:pt idx="28">
                  <c:v>32</c:v>
                </c:pt>
                <c:pt idx="29">
                  <c:v>40</c:v>
                </c:pt>
                <c:pt idx="30">
                  <c:v>57</c:v>
                </c:pt>
                <c:pt idx="31">
                  <c:v>61</c:v>
                </c:pt>
                <c:pt idx="32">
                  <c:v>72</c:v>
                </c:pt>
                <c:pt idx="33">
                  <c:v>81</c:v>
                </c:pt>
                <c:pt idx="34">
                  <c:v>92</c:v>
                </c:pt>
                <c:pt idx="35">
                  <c:v>104</c:v>
                </c:pt>
                <c:pt idx="36">
                  <c:v>115</c:v>
                </c:pt>
                <c:pt idx="37">
                  <c:v>134</c:v>
                </c:pt>
                <c:pt idx="38">
                  <c:v>152</c:v>
                </c:pt>
                <c:pt idx="39">
                  <c:v>162</c:v>
                </c:pt>
                <c:pt idx="40">
                  <c:v>174</c:v>
                </c:pt>
                <c:pt idx="41">
                  <c:v>190</c:v>
                </c:pt>
                <c:pt idx="42">
                  <c:v>202</c:v>
                </c:pt>
                <c:pt idx="43">
                  <c:v>214</c:v>
                </c:pt>
                <c:pt idx="44">
                  <c:v>228</c:v>
                </c:pt>
                <c:pt idx="45">
                  <c:v>235</c:v>
                </c:pt>
                <c:pt idx="46">
                  <c:v>241</c:v>
                </c:pt>
                <c:pt idx="47">
                  <c:v>249</c:v>
                </c:pt>
                <c:pt idx="48">
                  <c:v>255</c:v>
                </c:pt>
                <c:pt idx="49">
                  <c:v>265</c:v>
                </c:pt>
                <c:pt idx="50">
                  <c:v>282</c:v>
                </c:pt>
                <c:pt idx="51">
                  <c:v>292</c:v>
                </c:pt>
                <c:pt idx="52">
                  <c:v>296</c:v>
                </c:pt>
                <c:pt idx="53">
                  <c:v>302</c:v>
                </c:pt>
                <c:pt idx="54">
                  <c:v>306</c:v>
                </c:pt>
                <c:pt idx="55">
                  <c:v>315</c:v>
                </c:pt>
                <c:pt idx="56">
                  <c:v>321</c:v>
                </c:pt>
                <c:pt idx="57">
                  <c:v>324</c:v>
                </c:pt>
              </c:numCache>
            </c:numRef>
          </c:val>
          <c:smooth val="0"/>
          <c:extLst>
            <c:ext xmlns:c16="http://schemas.microsoft.com/office/drawing/2014/chart" uri="{C3380CC4-5D6E-409C-BE32-E72D297353CC}">
              <c16:uniqueId val="{00000017-563F-45AC-B11C-13D977FE363F}"/>
            </c:ext>
          </c:extLst>
        </c:ser>
        <c:ser>
          <c:idx val="24"/>
          <c:order val="24"/>
          <c:tx>
            <c:strRef>
              <c:f>pivot_kt_serie!$Z$3:$Z$4</c:f>
              <c:strCache>
                <c:ptCount val="1"/>
                <c:pt idx="0">
                  <c:v>VS</c:v>
                </c:pt>
              </c:strCache>
            </c:strRef>
          </c:tx>
          <c:spPr>
            <a:ln w="34925" cap="rnd">
              <a:solidFill>
                <a:schemeClr val="accent1">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w="9525">
                <a:solidFill>
                  <a:schemeClr val="accent1">
                    <a:lumMod val="60000"/>
                    <a:lumOff val="4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pivot_kt_serie!$Z$5:$Z$64</c:f>
              <c:numCache>
                <c:formatCode>General</c:formatCode>
                <c:ptCount val="59"/>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1</c:v>
                </c:pt>
                <c:pt idx="18">
                  <c:v>1</c:v>
                </c:pt>
                <c:pt idx="19">
                  <c:v>2</c:v>
                </c:pt>
                <c:pt idx="20">
                  <c:v>3</c:v>
                </c:pt>
                <c:pt idx="21">
                  <c:v>3</c:v>
                </c:pt>
                <c:pt idx="22">
                  <c:v>4</c:v>
                </c:pt>
                <c:pt idx="23">
                  <c:v>6</c:v>
                </c:pt>
                <c:pt idx="24">
                  <c:v>7</c:v>
                </c:pt>
                <c:pt idx="25">
                  <c:v>10</c:v>
                </c:pt>
                <c:pt idx="26">
                  <c:v>11</c:v>
                </c:pt>
                <c:pt idx="27">
                  <c:v>13</c:v>
                </c:pt>
                <c:pt idx="28">
                  <c:v>14</c:v>
                </c:pt>
                <c:pt idx="29">
                  <c:v>15</c:v>
                </c:pt>
                <c:pt idx="30">
                  <c:v>17</c:v>
                </c:pt>
                <c:pt idx="31">
                  <c:v>21</c:v>
                </c:pt>
                <c:pt idx="32">
                  <c:v>25</c:v>
                </c:pt>
                <c:pt idx="33">
                  <c:v>31</c:v>
                </c:pt>
                <c:pt idx="34">
                  <c:v>35</c:v>
                </c:pt>
                <c:pt idx="35">
                  <c:v>37</c:v>
                </c:pt>
                <c:pt idx="36">
                  <c:v>40</c:v>
                </c:pt>
                <c:pt idx="37">
                  <c:v>47</c:v>
                </c:pt>
                <c:pt idx="38">
                  <c:v>51</c:v>
                </c:pt>
                <c:pt idx="39">
                  <c:v>53</c:v>
                </c:pt>
                <c:pt idx="40">
                  <c:v>57</c:v>
                </c:pt>
                <c:pt idx="41">
                  <c:v>60</c:v>
                </c:pt>
                <c:pt idx="42">
                  <c:v>68</c:v>
                </c:pt>
                <c:pt idx="43">
                  <c:v>71</c:v>
                </c:pt>
                <c:pt idx="44">
                  <c:v>77</c:v>
                </c:pt>
                <c:pt idx="45">
                  <c:v>83</c:v>
                </c:pt>
                <c:pt idx="46">
                  <c:v>85</c:v>
                </c:pt>
                <c:pt idx="47">
                  <c:v>91</c:v>
                </c:pt>
                <c:pt idx="48">
                  <c:v>93</c:v>
                </c:pt>
                <c:pt idx="49">
                  <c:v>94</c:v>
                </c:pt>
                <c:pt idx="50">
                  <c:v>94</c:v>
                </c:pt>
                <c:pt idx="51">
                  <c:v>95</c:v>
                </c:pt>
                <c:pt idx="52">
                  <c:v>99</c:v>
                </c:pt>
                <c:pt idx="53">
                  <c:v>104</c:v>
                </c:pt>
                <c:pt idx="54">
                  <c:v>107</c:v>
                </c:pt>
                <c:pt idx="55">
                  <c:v>110</c:v>
                </c:pt>
                <c:pt idx="56">
                  <c:v>113</c:v>
                </c:pt>
                <c:pt idx="57">
                  <c:v>114</c:v>
                </c:pt>
              </c:numCache>
            </c:numRef>
          </c:val>
          <c:smooth val="0"/>
          <c:extLst>
            <c:ext xmlns:c16="http://schemas.microsoft.com/office/drawing/2014/chart" uri="{C3380CC4-5D6E-409C-BE32-E72D297353CC}">
              <c16:uniqueId val="{00000018-563F-45AC-B11C-13D977FE363F}"/>
            </c:ext>
          </c:extLst>
        </c:ser>
        <c:ser>
          <c:idx val="25"/>
          <c:order val="25"/>
          <c:tx>
            <c:strRef>
              <c:f>pivot_kt_serie!$AA$3:$AA$4</c:f>
              <c:strCache>
                <c:ptCount val="1"/>
                <c:pt idx="0">
                  <c:v>ZG</c:v>
                </c:pt>
              </c:strCache>
            </c:strRef>
          </c:tx>
          <c:spPr>
            <a:ln w="34925" cap="rnd">
              <a:solidFill>
                <a:schemeClr val="accent2">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2">
                      <a:lumMod val="60000"/>
                      <a:lumOff val="40000"/>
                      <a:satMod val="103000"/>
                      <a:lumMod val="102000"/>
                      <a:tint val="94000"/>
                    </a:schemeClr>
                  </a:gs>
                  <a:gs pos="50000">
                    <a:schemeClr val="accent2">
                      <a:lumMod val="60000"/>
                      <a:lumOff val="40000"/>
                      <a:satMod val="110000"/>
                      <a:lumMod val="100000"/>
                      <a:shade val="100000"/>
                    </a:schemeClr>
                  </a:gs>
                  <a:gs pos="100000">
                    <a:schemeClr val="accent2">
                      <a:lumMod val="60000"/>
                      <a:lumOff val="40000"/>
                      <a:lumMod val="99000"/>
                      <a:satMod val="120000"/>
                      <a:shade val="78000"/>
                    </a:schemeClr>
                  </a:gs>
                </a:gsLst>
                <a:lin ang="5400000" scaled="0"/>
              </a:gradFill>
              <a:ln w="9525">
                <a:solidFill>
                  <a:schemeClr val="accent2">
                    <a:lumMod val="60000"/>
                    <a:lumOff val="4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pivot_kt_serie!$AA$5:$AA$64</c:f>
              <c:numCache>
                <c:formatCode>General</c:formatCode>
                <c:ptCount val="59"/>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1</c:v>
                </c:pt>
                <c:pt idx="33">
                  <c:v>1</c:v>
                </c:pt>
                <c:pt idx="34">
                  <c:v>1</c:v>
                </c:pt>
                <c:pt idx="35">
                  <c:v>1</c:v>
                </c:pt>
                <c:pt idx="36">
                  <c:v>1</c:v>
                </c:pt>
                <c:pt idx="37">
                  <c:v>1</c:v>
                </c:pt>
                <c:pt idx="38">
                  <c:v>2</c:v>
                </c:pt>
                <c:pt idx="39">
                  <c:v>2</c:v>
                </c:pt>
                <c:pt idx="40">
                  <c:v>3</c:v>
                </c:pt>
                <c:pt idx="41">
                  <c:v>3</c:v>
                </c:pt>
                <c:pt idx="42">
                  <c:v>3</c:v>
                </c:pt>
                <c:pt idx="43">
                  <c:v>3</c:v>
                </c:pt>
                <c:pt idx="44">
                  <c:v>3</c:v>
                </c:pt>
                <c:pt idx="45">
                  <c:v>4</c:v>
                </c:pt>
                <c:pt idx="46">
                  <c:v>5</c:v>
                </c:pt>
                <c:pt idx="47">
                  <c:v>5</c:v>
                </c:pt>
                <c:pt idx="48">
                  <c:v>5</c:v>
                </c:pt>
                <c:pt idx="49">
                  <c:v>5</c:v>
                </c:pt>
                <c:pt idx="50">
                  <c:v>6</c:v>
                </c:pt>
                <c:pt idx="51">
                  <c:v>6</c:v>
                </c:pt>
                <c:pt idx="52">
                  <c:v>7</c:v>
                </c:pt>
                <c:pt idx="53">
                  <c:v>7</c:v>
                </c:pt>
                <c:pt idx="54">
                  <c:v>7</c:v>
                </c:pt>
                <c:pt idx="55">
                  <c:v>8</c:v>
                </c:pt>
                <c:pt idx="56">
                  <c:v>8</c:v>
                </c:pt>
                <c:pt idx="57">
                  <c:v>8</c:v>
                </c:pt>
                <c:pt idx="58">
                  <c:v>8</c:v>
                </c:pt>
              </c:numCache>
            </c:numRef>
          </c:val>
          <c:smooth val="0"/>
          <c:extLst>
            <c:ext xmlns:c16="http://schemas.microsoft.com/office/drawing/2014/chart" uri="{C3380CC4-5D6E-409C-BE32-E72D297353CC}">
              <c16:uniqueId val="{00000019-563F-45AC-B11C-13D977FE363F}"/>
            </c:ext>
          </c:extLst>
        </c:ser>
        <c:ser>
          <c:idx val="26"/>
          <c:order val="26"/>
          <c:tx>
            <c:strRef>
              <c:f>pivot_kt_serie!$AB$3:$AB$4</c:f>
              <c:strCache>
                <c:ptCount val="1"/>
                <c:pt idx="0">
                  <c:v>ZH</c:v>
                </c:pt>
              </c:strCache>
            </c:strRef>
          </c:tx>
          <c:spPr>
            <a:ln w="34925" cap="rnd">
              <a:solidFill>
                <a:schemeClr val="accent3">
                  <a:lumMod val="60000"/>
                  <a:lumOff val="4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w="9525">
                <a:solidFill>
                  <a:schemeClr val="accent3">
                    <a:lumMod val="60000"/>
                    <a:lumOff val="40000"/>
                  </a:schemeClr>
                </a:solidFill>
                <a:round/>
              </a:ln>
              <a:effectLst>
                <a:outerShdw blurRad="57150" dist="19050" dir="5400000" algn="ctr" rotWithShape="0">
                  <a:srgbClr val="000000">
                    <a:alpha val="63000"/>
                  </a:srgbClr>
                </a:outerShdw>
              </a:effectLst>
            </c:spPr>
          </c:marker>
          <c:cat>
            <c:strRef>
              <c:f>pivot_kt_serie!$A$5:$A$64</c:f>
              <c:strCache>
                <c:ptCount val="59"/>
                <c:pt idx="0">
                  <c:v>25. Feb</c:v>
                </c:pt>
                <c:pt idx="1">
                  <c:v>26. Feb</c:v>
                </c:pt>
                <c:pt idx="2">
                  <c:v>27. Feb</c:v>
                </c:pt>
                <c:pt idx="3">
                  <c:v>28. Feb</c:v>
                </c:pt>
                <c:pt idx="4">
                  <c:v>29. Feb</c:v>
                </c:pt>
                <c:pt idx="5">
                  <c:v>01. Mär</c:v>
                </c:pt>
                <c:pt idx="6">
                  <c:v>02. Mär</c:v>
                </c:pt>
                <c:pt idx="7">
                  <c:v>03. Mär</c:v>
                </c:pt>
                <c:pt idx="8">
                  <c:v>04. Mär</c:v>
                </c:pt>
                <c:pt idx="9">
                  <c:v>05. Mär</c:v>
                </c:pt>
                <c:pt idx="10">
                  <c:v>06. Mär</c:v>
                </c:pt>
                <c:pt idx="11">
                  <c:v>07. Mär</c:v>
                </c:pt>
                <c:pt idx="12">
                  <c:v>08. Mär</c:v>
                </c:pt>
                <c:pt idx="13">
                  <c:v>09. Mär</c:v>
                </c:pt>
                <c:pt idx="14">
                  <c:v>10. Mär</c:v>
                </c:pt>
                <c:pt idx="15">
                  <c:v>11. Mär</c:v>
                </c:pt>
                <c:pt idx="16">
                  <c:v>12. Mär</c:v>
                </c:pt>
                <c:pt idx="17">
                  <c:v>13. Mär</c:v>
                </c:pt>
                <c:pt idx="18">
                  <c:v>14. Mär</c:v>
                </c:pt>
                <c:pt idx="19">
                  <c:v>15. Mär</c:v>
                </c:pt>
                <c:pt idx="20">
                  <c:v>16. Mär</c:v>
                </c:pt>
                <c:pt idx="21">
                  <c:v>17. Mär</c:v>
                </c:pt>
                <c:pt idx="22">
                  <c:v>18. Mär</c:v>
                </c:pt>
                <c:pt idx="23">
                  <c:v>19. Mär</c:v>
                </c:pt>
                <c:pt idx="24">
                  <c:v>20. Mär</c:v>
                </c:pt>
                <c:pt idx="25">
                  <c:v>21. Mär</c:v>
                </c:pt>
                <c:pt idx="26">
                  <c:v>22. Mär</c:v>
                </c:pt>
                <c:pt idx="27">
                  <c:v>23. Mär</c:v>
                </c:pt>
                <c:pt idx="28">
                  <c:v>24. Mär</c:v>
                </c:pt>
                <c:pt idx="29">
                  <c:v>25. Mär</c:v>
                </c:pt>
                <c:pt idx="30">
                  <c:v>26. Mär</c:v>
                </c:pt>
                <c:pt idx="31">
                  <c:v>27. Mär</c:v>
                </c:pt>
                <c:pt idx="32">
                  <c:v>28. Mär</c:v>
                </c:pt>
                <c:pt idx="33">
                  <c:v>29. Mär</c:v>
                </c:pt>
                <c:pt idx="34">
                  <c:v>30. Mär</c:v>
                </c:pt>
                <c:pt idx="35">
                  <c:v>31. Mär</c:v>
                </c:pt>
                <c:pt idx="36">
                  <c:v>01. Apr</c:v>
                </c:pt>
                <c:pt idx="37">
                  <c:v>02. Apr</c:v>
                </c:pt>
                <c:pt idx="38">
                  <c:v>03. Apr</c:v>
                </c:pt>
                <c:pt idx="39">
                  <c:v>04. Apr</c:v>
                </c:pt>
                <c:pt idx="40">
                  <c:v>05. Apr</c:v>
                </c:pt>
                <c:pt idx="41">
                  <c:v>06. Apr</c:v>
                </c:pt>
                <c:pt idx="42">
                  <c:v>07. Apr</c:v>
                </c:pt>
                <c:pt idx="43">
                  <c:v>08. Apr</c:v>
                </c:pt>
                <c:pt idx="44">
                  <c:v>09. Apr</c:v>
                </c:pt>
                <c:pt idx="45">
                  <c:v>10. Apr</c:v>
                </c:pt>
                <c:pt idx="46">
                  <c:v>11. Apr</c:v>
                </c:pt>
                <c:pt idx="47">
                  <c:v>12. Apr</c:v>
                </c:pt>
                <c:pt idx="48">
                  <c:v>13. Apr</c:v>
                </c:pt>
                <c:pt idx="49">
                  <c:v>14. Apr</c:v>
                </c:pt>
                <c:pt idx="50">
                  <c:v>15. Apr</c:v>
                </c:pt>
                <c:pt idx="51">
                  <c:v>16. Apr</c:v>
                </c:pt>
                <c:pt idx="52">
                  <c:v>17. Apr</c:v>
                </c:pt>
                <c:pt idx="53">
                  <c:v>18. Apr</c:v>
                </c:pt>
                <c:pt idx="54">
                  <c:v>19. Apr</c:v>
                </c:pt>
                <c:pt idx="55">
                  <c:v>20. Apr</c:v>
                </c:pt>
                <c:pt idx="56">
                  <c:v>21. Apr</c:v>
                </c:pt>
                <c:pt idx="57">
                  <c:v>22. Apr</c:v>
                </c:pt>
                <c:pt idx="58">
                  <c:v>23. Apr</c:v>
                </c:pt>
              </c:strCache>
            </c:strRef>
          </c:cat>
          <c:val>
            <c:numRef>
              <c:f>pivot_kt_serie!$AB$5:$AB$64</c:f>
              <c:numCache>
                <c:formatCode>General</c:formatCode>
                <c:ptCount val="59"/>
                <c:pt idx="19">
                  <c:v>1</c:v>
                </c:pt>
                <c:pt idx="20">
                  <c:v>1</c:v>
                </c:pt>
                <c:pt idx="21">
                  <c:v>1</c:v>
                </c:pt>
                <c:pt idx="22">
                  <c:v>2</c:v>
                </c:pt>
                <c:pt idx="23">
                  <c:v>3</c:v>
                </c:pt>
                <c:pt idx="24">
                  <c:v>4</c:v>
                </c:pt>
                <c:pt idx="25">
                  <c:v>5</c:v>
                </c:pt>
                <c:pt idx="26">
                  <c:v>6</c:v>
                </c:pt>
                <c:pt idx="27">
                  <c:v>6</c:v>
                </c:pt>
                <c:pt idx="28">
                  <c:v>8</c:v>
                </c:pt>
                <c:pt idx="29">
                  <c:v>10</c:v>
                </c:pt>
                <c:pt idx="30">
                  <c:v>13</c:v>
                </c:pt>
                <c:pt idx="31">
                  <c:v>15</c:v>
                </c:pt>
                <c:pt idx="32">
                  <c:v>19</c:v>
                </c:pt>
                <c:pt idx="33">
                  <c:v>22</c:v>
                </c:pt>
                <c:pt idx="34">
                  <c:v>24</c:v>
                </c:pt>
                <c:pt idx="35">
                  <c:v>27</c:v>
                </c:pt>
                <c:pt idx="36">
                  <c:v>36</c:v>
                </c:pt>
                <c:pt idx="37">
                  <c:v>39</c:v>
                </c:pt>
                <c:pt idx="38">
                  <c:v>41</c:v>
                </c:pt>
                <c:pt idx="39">
                  <c:v>49</c:v>
                </c:pt>
                <c:pt idx="40">
                  <c:v>53</c:v>
                </c:pt>
                <c:pt idx="41">
                  <c:v>55</c:v>
                </c:pt>
                <c:pt idx="42">
                  <c:v>57</c:v>
                </c:pt>
                <c:pt idx="43">
                  <c:v>65</c:v>
                </c:pt>
                <c:pt idx="44">
                  <c:v>66</c:v>
                </c:pt>
                <c:pt idx="45">
                  <c:v>71</c:v>
                </c:pt>
                <c:pt idx="46">
                  <c:v>77</c:v>
                </c:pt>
                <c:pt idx="47">
                  <c:v>79</c:v>
                </c:pt>
                <c:pt idx="48">
                  <c:v>83</c:v>
                </c:pt>
                <c:pt idx="49">
                  <c:v>87</c:v>
                </c:pt>
                <c:pt idx="50">
                  <c:v>91</c:v>
                </c:pt>
                <c:pt idx="51">
                  <c:v>95</c:v>
                </c:pt>
                <c:pt idx="52">
                  <c:v>98</c:v>
                </c:pt>
                <c:pt idx="53">
                  <c:v>104</c:v>
                </c:pt>
                <c:pt idx="54">
                  <c:v>104</c:v>
                </c:pt>
                <c:pt idx="55">
                  <c:v>106</c:v>
                </c:pt>
                <c:pt idx="56">
                  <c:v>108</c:v>
                </c:pt>
                <c:pt idx="57">
                  <c:v>108</c:v>
                </c:pt>
              </c:numCache>
            </c:numRef>
          </c:val>
          <c:smooth val="0"/>
          <c:extLst>
            <c:ext xmlns:c16="http://schemas.microsoft.com/office/drawing/2014/chart" uri="{C3380CC4-5D6E-409C-BE32-E72D297353CC}">
              <c16:uniqueId val="{0000001A-563F-45AC-B11C-13D977FE363F}"/>
            </c:ext>
          </c:extLst>
        </c:ser>
        <c:dLbls>
          <c:showLegendKey val="0"/>
          <c:showVal val="0"/>
          <c:showCatName val="0"/>
          <c:showSerName val="0"/>
          <c:showPercent val="0"/>
          <c:showBubbleSize val="0"/>
        </c:dLbls>
        <c:marker val="1"/>
        <c:smooth val="0"/>
        <c:axId val="703014592"/>
        <c:axId val="703370992"/>
      </c:lineChart>
      <c:catAx>
        <c:axId val="703014592"/>
        <c:scaling>
          <c:orientation val="minMax"/>
        </c:scaling>
        <c:delete val="0"/>
        <c:axPos val="b"/>
        <c:numFmt formatCode="General" sourceLinked="0"/>
        <c:majorTickMark val="none"/>
        <c:minorTickMark val="none"/>
        <c:tickLblPos val="nextTo"/>
        <c:spPr>
          <a:noFill/>
          <a:ln w="9525" cap="flat" cmpd="sng" algn="ctr">
            <a:solidFill>
              <a:schemeClr val="lt1">
                <a:lumMod val="95000"/>
                <a:alpha val="10000"/>
              </a:schemeClr>
            </a:solidFill>
            <a:round/>
          </a:ln>
          <a:effectLst/>
        </c:spPr>
        <c:txPr>
          <a:bodyPr rot="0" spcFirstLastPara="1" vertOverflow="ellipsis" wrap="square" anchor="t" anchorCtr="1"/>
          <a:lstStyle/>
          <a:p>
            <a:pPr>
              <a:defRPr sz="900" b="0" i="0" u="none" strike="noStrike" kern="1200" baseline="0">
                <a:solidFill>
                  <a:schemeClr val="lt1">
                    <a:lumMod val="85000"/>
                  </a:schemeClr>
                </a:solidFill>
                <a:latin typeface="+mn-lt"/>
                <a:ea typeface="+mn-ea"/>
                <a:cs typeface="+mn-cs"/>
              </a:defRPr>
            </a:pPr>
            <a:endParaRPr lang="de-DE"/>
          </a:p>
        </c:txPr>
        <c:crossAx val="703370992"/>
        <c:crosses val="autoZero"/>
        <c:auto val="1"/>
        <c:lblAlgn val="ctr"/>
        <c:lblOffset val="100"/>
        <c:noMultiLvlLbl val="0"/>
      </c:catAx>
      <c:valAx>
        <c:axId val="7033709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703014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New</a:t>
            </a:r>
            <a:r>
              <a:rPr lang="en-US" baseline="0"/>
              <a:t> positive &amp; new deaths</a:t>
            </a:r>
            <a:r>
              <a:rPr lang="en-US"/>
              <a:t>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8.9323272090988629E-2"/>
          <c:y val="0.10689814814814817"/>
          <c:w val="0.85474540682414701"/>
          <c:h val="0.72082754498200308"/>
        </c:manualLayout>
      </c:layout>
      <c:lineChart>
        <c:grouping val="standard"/>
        <c:varyColors val="0"/>
        <c:ser>
          <c:idx val="8"/>
          <c:order val="8"/>
          <c:tx>
            <c:strRef>
              <c:f>ch_latest!$L$1</c:f>
              <c:strCache>
                <c:ptCount val="1"/>
                <c:pt idx="0">
                  <c:v>new_positive</c:v>
                </c:pt>
              </c:strCache>
            </c:strRef>
          </c:tx>
          <c:spPr>
            <a:ln w="34925" cap="rnd">
              <a:solidFill>
                <a:srgbClr val="33CCFF"/>
              </a:solidFill>
              <a:round/>
            </a:ln>
            <a:effectLst>
              <a:outerShdw blurRad="57150" dist="19050" dir="5400000" algn="ctr" rotWithShape="0">
                <a:srgbClr val="000000">
                  <a:alpha val="63000"/>
                </a:srgbClr>
              </a:outerShdw>
            </a:effectLst>
          </c:spPr>
          <c:marker>
            <c:symbol val="none"/>
          </c:marker>
          <c:cat>
            <c:numRef>
              <c:f>ch_latest!$A$2:$A$60</c:f>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f>ch_latest!$L$2:$L$60</c:f>
              <c:numCache>
                <c:formatCode>General</c:formatCode>
                <c:ptCount val="59"/>
                <c:pt idx="1">
                  <c:v>1</c:v>
                </c:pt>
                <c:pt idx="2">
                  <c:v>4</c:v>
                </c:pt>
                <c:pt idx="3">
                  <c:v>7</c:v>
                </c:pt>
                <c:pt idx="4">
                  <c:v>7</c:v>
                </c:pt>
                <c:pt idx="5">
                  <c:v>7</c:v>
                </c:pt>
                <c:pt idx="6">
                  <c:v>11</c:v>
                </c:pt>
                <c:pt idx="7">
                  <c:v>16</c:v>
                </c:pt>
                <c:pt idx="8">
                  <c:v>21</c:v>
                </c:pt>
                <c:pt idx="9">
                  <c:v>44</c:v>
                </c:pt>
                <c:pt idx="10">
                  <c:v>64</c:v>
                </c:pt>
                <c:pt idx="11">
                  <c:v>72</c:v>
                </c:pt>
                <c:pt idx="12">
                  <c:v>64</c:v>
                </c:pt>
                <c:pt idx="13">
                  <c:v>77</c:v>
                </c:pt>
                <c:pt idx="14">
                  <c:v>80</c:v>
                </c:pt>
                <c:pt idx="15">
                  <c:v>140</c:v>
                </c:pt>
                <c:pt idx="16">
                  <c:v>347</c:v>
                </c:pt>
                <c:pt idx="17">
                  <c:v>329</c:v>
                </c:pt>
                <c:pt idx="18">
                  <c:v>276</c:v>
                </c:pt>
                <c:pt idx="19">
                  <c:v>297</c:v>
                </c:pt>
                <c:pt idx="20">
                  <c:v>575</c:v>
                </c:pt>
                <c:pt idx="21">
                  <c:v>692</c:v>
                </c:pt>
                <c:pt idx="22">
                  <c:v>1184</c:v>
                </c:pt>
                <c:pt idx="23">
                  <c:v>1153</c:v>
                </c:pt>
                <c:pt idx="24">
                  <c:v>1150</c:v>
                </c:pt>
                <c:pt idx="25">
                  <c:v>736</c:v>
                </c:pt>
                <c:pt idx="26">
                  <c:v>705</c:v>
                </c:pt>
                <c:pt idx="27">
                  <c:v>1303</c:v>
                </c:pt>
                <c:pt idx="28">
                  <c:v>949</c:v>
                </c:pt>
                <c:pt idx="29">
                  <c:v>1176</c:v>
                </c:pt>
                <c:pt idx="30">
                  <c:v>1240</c:v>
                </c:pt>
                <c:pt idx="31">
                  <c:v>1290</c:v>
                </c:pt>
                <c:pt idx="32">
                  <c:v>862</c:v>
                </c:pt>
                <c:pt idx="33">
                  <c:v>741</c:v>
                </c:pt>
                <c:pt idx="34">
                  <c:v>1073</c:v>
                </c:pt>
                <c:pt idx="35">
                  <c:v>992</c:v>
                </c:pt>
                <c:pt idx="36">
                  <c:v>1005</c:v>
                </c:pt>
                <c:pt idx="37">
                  <c:v>1083</c:v>
                </c:pt>
                <c:pt idx="38">
                  <c:v>922</c:v>
                </c:pt>
                <c:pt idx="39">
                  <c:v>607</c:v>
                </c:pt>
                <c:pt idx="40">
                  <c:v>458</c:v>
                </c:pt>
                <c:pt idx="41">
                  <c:v>660</c:v>
                </c:pt>
                <c:pt idx="42">
                  <c:v>657</c:v>
                </c:pt>
                <c:pt idx="43">
                  <c:v>651</c:v>
                </c:pt>
                <c:pt idx="44">
                  <c:v>676</c:v>
                </c:pt>
                <c:pt idx="45">
                  <c:v>494</c:v>
                </c:pt>
                <c:pt idx="46">
                  <c:v>466</c:v>
                </c:pt>
                <c:pt idx="47">
                  <c:v>319</c:v>
                </c:pt>
                <c:pt idx="48">
                  <c:v>240</c:v>
                </c:pt>
                <c:pt idx="49">
                  <c:v>309</c:v>
                </c:pt>
                <c:pt idx="50">
                  <c:v>320</c:v>
                </c:pt>
                <c:pt idx="51">
                  <c:v>314</c:v>
                </c:pt>
                <c:pt idx="52">
                  <c:v>303</c:v>
                </c:pt>
                <c:pt idx="53">
                  <c:v>322</c:v>
                </c:pt>
                <c:pt idx="54">
                  <c:v>198</c:v>
                </c:pt>
                <c:pt idx="55">
                  <c:v>189</c:v>
                </c:pt>
                <c:pt idx="56">
                  <c:v>146</c:v>
                </c:pt>
                <c:pt idx="57">
                  <c:v>177</c:v>
                </c:pt>
                <c:pt idx="58">
                  <c:v>95</c:v>
                </c:pt>
              </c:numCache>
            </c:numRef>
          </c:val>
          <c:smooth val="0"/>
          <c:extLst>
            <c:ext xmlns:c16="http://schemas.microsoft.com/office/drawing/2014/chart" uri="{C3380CC4-5D6E-409C-BE32-E72D297353CC}">
              <c16:uniqueId val="{00000000-3C9B-4CCC-99BC-84CFF113D9B4}"/>
            </c:ext>
          </c:extLst>
        </c:ser>
        <c:ser>
          <c:idx val="11"/>
          <c:order val="11"/>
          <c:tx>
            <c:strRef>
              <c:f>ch_latest!$O$1</c:f>
              <c:strCache>
                <c:ptCount val="1"/>
                <c:pt idx="0">
                  <c:v>new_deaths</c:v>
                </c:pt>
              </c:strCache>
            </c:strRef>
          </c:tx>
          <c:spPr>
            <a:ln w="34925" cap="rnd">
              <a:solidFill>
                <a:schemeClr val="bg1"/>
              </a:solidFill>
              <a:round/>
            </a:ln>
            <a:effectLst>
              <a:outerShdw blurRad="57150" dist="19050" dir="5400000" algn="ctr" rotWithShape="0">
                <a:srgbClr val="000000">
                  <a:alpha val="63000"/>
                </a:srgbClr>
              </a:outerShdw>
            </a:effectLst>
          </c:spPr>
          <c:marker>
            <c:symbol val="none"/>
          </c:marker>
          <c:cat>
            <c:numRef>
              <c:f>ch_latest!$A$2:$A$60</c:f>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f>ch_latest!$O$2:$O$60</c:f>
              <c:numCache>
                <c:formatCode>General</c:formatCode>
                <c:ptCount val="59"/>
                <c:pt idx="1">
                  <c:v>0</c:v>
                </c:pt>
                <c:pt idx="2">
                  <c:v>0</c:v>
                </c:pt>
                <c:pt idx="3">
                  <c:v>0</c:v>
                </c:pt>
                <c:pt idx="4">
                  <c:v>0</c:v>
                </c:pt>
                <c:pt idx="5">
                  <c:v>0</c:v>
                </c:pt>
                <c:pt idx="6">
                  <c:v>0</c:v>
                </c:pt>
                <c:pt idx="7">
                  <c:v>0</c:v>
                </c:pt>
                <c:pt idx="8">
                  <c:v>0</c:v>
                </c:pt>
                <c:pt idx="9">
                  <c:v>0</c:v>
                </c:pt>
                <c:pt idx="10">
                  <c:v>1</c:v>
                </c:pt>
                <c:pt idx="11">
                  <c:v>0</c:v>
                </c:pt>
                <c:pt idx="12">
                  <c:v>1</c:v>
                </c:pt>
                <c:pt idx="13">
                  <c:v>0</c:v>
                </c:pt>
                <c:pt idx="14">
                  <c:v>2</c:v>
                </c:pt>
                <c:pt idx="15">
                  <c:v>1</c:v>
                </c:pt>
                <c:pt idx="16">
                  <c:v>3</c:v>
                </c:pt>
                <c:pt idx="17">
                  <c:v>1</c:v>
                </c:pt>
                <c:pt idx="18">
                  <c:v>3</c:v>
                </c:pt>
                <c:pt idx="19">
                  <c:v>8</c:v>
                </c:pt>
                <c:pt idx="20">
                  <c:v>9</c:v>
                </c:pt>
                <c:pt idx="21">
                  <c:v>6</c:v>
                </c:pt>
                <c:pt idx="22">
                  <c:v>13</c:v>
                </c:pt>
                <c:pt idx="23">
                  <c:v>7</c:v>
                </c:pt>
                <c:pt idx="24">
                  <c:v>22</c:v>
                </c:pt>
                <c:pt idx="25">
                  <c:v>19</c:v>
                </c:pt>
                <c:pt idx="26">
                  <c:v>18</c:v>
                </c:pt>
                <c:pt idx="27">
                  <c:v>28</c:v>
                </c:pt>
                <c:pt idx="28">
                  <c:v>21</c:v>
                </c:pt>
                <c:pt idx="29">
                  <c:v>33</c:v>
                </c:pt>
                <c:pt idx="30">
                  <c:v>50</c:v>
                </c:pt>
                <c:pt idx="31">
                  <c:v>36</c:v>
                </c:pt>
                <c:pt idx="32">
                  <c:v>48</c:v>
                </c:pt>
                <c:pt idx="33">
                  <c:v>40</c:v>
                </c:pt>
                <c:pt idx="34">
                  <c:v>55</c:v>
                </c:pt>
                <c:pt idx="35">
                  <c:v>70</c:v>
                </c:pt>
                <c:pt idx="36">
                  <c:v>61</c:v>
                </c:pt>
                <c:pt idx="37">
                  <c:v>61</c:v>
                </c:pt>
                <c:pt idx="38">
                  <c:v>63</c:v>
                </c:pt>
                <c:pt idx="39">
                  <c:v>64</c:v>
                </c:pt>
                <c:pt idx="40">
                  <c:v>53</c:v>
                </c:pt>
                <c:pt idx="41">
                  <c:v>56</c:v>
                </c:pt>
                <c:pt idx="42">
                  <c:v>61</c:v>
                </c:pt>
                <c:pt idx="43">
                  <c:v>68</c:v>
                </c:pt>
                <c:pt idx="44">
                  <c:v>49</c:v>
                </c:pt>
                <c:pt idx="45">
                  <c:v>50</c:v>
                </c:pt>
                <c:pt idx="46">
                  <c:v>36</c:v>
                </c:pt>
                <c:pt idx="47">
                  <c:v>54</c:v>
                </c:pt>
                <c:pt idx="48">
                  <c:v>29</c:v>
                </c:pt>
                <c:pt idx="49">
                  <c:v>39</c:v>
                </c:pt>
                <c:pt idx="50">
                  <c:v>53</c:v>
                </c:pt>
                <c:pt idx="51">
                  <c:v>41</c:v>
                </c:pt>
                <c:pt idx="52">
                  <c:v>41</c:v>
                </c:pt>
                <c:pt idx="53">
                  <c:v>39</c:v>
                </c:pt>
                <c:pt idx="54">
                  <c:v>21</c:v>
                </c:pt>
                <c:pt idx="55">
                  <c:v>36</c:v>
                </c:pt>
                <c:pt idx="56">
                  <c:v>34</c:v>
                </c:pt>
                <c:pt idx="57">
                  <c:v>16</c:v>
                </c:pt>
                <c:pt idx="58">
                  <c:v>8</c:v>
                </c:pt>
              </c:numCache>
            </c:numRef>
          </c:val>
          <c:smooth val="0"/>
          <c:extLst>
            <c:ext xmlns:c16="http://schemas.microsoft.com/office/drawing/2014/chart" uri="{C3380CC4-5D6E-409C-BE32-E72D297353CC}">
              <c16:uniqueId val="{00000001-3C9B-4CCC-99BC-84CFF113D9B4}"/>
            </c:ext>
          </c:extLst>
        </c:ser>
        <c:dLbls>
          <c:showLegendKey val="0"/>
          <c:showVal val="0"/>
          <c:showCatName val="0"/>
          <c:showSerName val="0"/>
          <c:showPercent val="0"/>
          <c:showBubbleSize val="0"/>
        </c:dLbls>
        <c:smooth val="0"/>
        <c:axId val="267841359"/>
        <c:axId val="1298294639"/>
        <c:extLst>
          <c:ext xmlns:c15="http://schemas.microsoft.com/office/drawing/2012/chart" uri="{02D57815-91ED-43cb-92C2-25804820EDAC}">
            <c15:filteredLineSeries>
              <c15:ser>
                <c:idx val="0"/>
                <c:order val="0"/>
                <c:tx>
                  <c:strRef>
                    <c:extLst>
                      <c:ext uri="{02D57815-91ED-43cb-92C2-25804820EDAC}">
                        <c15:formulaRef>
                          <c15:sqref>ch_latest!$D$1</c15:sqref>
                        </c15:formulaRef>
                      </c:ext>
                    </c:extLst>
                    <c:strCache>
                      <c:ptCount val="1"/>
                      <c:pt idx="0">
                        <c:v>intensive_care</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extLst>
                      <c:ex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c:ext uri="{02D57815-91ED-43cb-92C2-25804820EDAC}">
                        <c15:formulaRef>
                          <c15:sqref>ch_latest!$D$2:$D$60</c15:sqref>
                        </c15:formulaRef>
                      </c:ext>
                    </c:extLst>
                    <c:numCache>
                      <c:formatCode>General</c:formatCode>
                      <c:ptCount val="59"/>
                      <c:pt idx="0">
                        <c:v>0</c:v>
                      </c:pt>
                      <c:pt idx="1">
                        <c:v>0</c:v>
                      </c:pt>
                      <c:pt idx="2">
                        <c:v>0</c:v>
                      </c:pt>
                      <c:pt idx="3">
                        <c:v>0</c:v>
                      </c:pt>
                      <c:pt idx="4">
                        <c:v>0</c:v>
                      </c:pt>
                      <c:pt idx="5">
                        <c:v>0</c:v>
                      </c:pt>
                      <c:pt idx="6">
                        <c:v>0</c:v>
                      </c:pt>
                      <c:pt idx="7">
                        <c:v>0</c:v>
                      </c:pt>
                      <c:pt idx="8">
                        <c:v>1</c:v>
                      </c:pt>
                      <c:pt idx="9">
                        <c:v>1</c:v>
                      </c:pt>
                      <c:pt idx="10">
                        <c:v>4</c:v>
                      </c:pt>
                      <c:pt idx="11">
                        <c:v>6</c:v>
                      </c:pt>
                      <c:pt idx="12">
                        <c:v>6</c:v>
                      </c:pt>
                      <c:pt idx="13">
                        <c:v>13</c:v>
                      </c:pt>
                      <c:pt idx="14">
                        <c:v>15</c:v>
                      </c:pt>
                      <c:pt idx="15">
                        <c:v>18</c:v>
                      </c:pt>
                      <c:pt idx="16">
                        <c:v>19</c:v>
                      </c:pt>
                      <c:pt idx="17">
                        <c:v>34</c:v>
                      </c:pt>
                      <c:pt idx="18">
                        <c:v>37</c:v>
                      </c:pt>
                      <c:pt idx="19">
                        <c:v>41</c:v>
                      </c:pt>
                      <c:pt idx="20">
                        <c:v>53</c:v>
                      </c:pt>
                      <c:pt idx="21">
                        <c:v>69</c:v>
                      </c:pt>
                      <c:pt idx="22">
                        <c:v>71</c:v>
                      </c:pt>
                      <c:pt idx="23">
                        <c:v>110</c:v>
                      </c:pt>
                      <c:pt idx="24">
                        <c:v>120</c:v>
                      </c:pt>
                      <c:pt idx="25">
                        <c:v>142</c:v>
                      </c:pt>
                      <c:pt idx="26">
                        <c:v>175</c:v>
                      </c:pt>
                      <c:pt idx="27">
                        <c:v>203</c:v>
                      </c:pt>
                      <c:pt idx="28">
                        <c:v>206</c:v>
                      </c:pt>
                      <c:pt idx="29">
                        <c:v>240</c:v>
                      </c:pt>
                      <c:pt idx="30">
                        <c:v>274</c:v>
                      </c:pt>
                      <c:pt idx="31">
                        <c:v>294</c:v>
                      </c:pt>
                      <c:pt idx="32">
                        <c:v>325</c:v>
                      </c:pt>
                      <c:pt idx="33">
                        <c:v>340</c:v>
                      </c:pt>
                      <c:pt idx="34">
                        <c:v>388</c:v>
                      </c:pt>
                      <c:pt idx="35">
                        <c:v>411</c:v>
                      </c:pt>
                      <c:pt idx="36">
                        <c:v>442</c:v>
                      </c:pt>
                      <c:pt idx="37">
                        <c:v>449</c:v>
                      </c:pt>
                      <c:pt idx="38">
                        <c:v>456</c:v>
                      </c:pt>
                      <c:pt idx="39">
                        <c:v>458</c:v>
                      </c:pt>
                      <c:pt idx="40">
                        <c:v>448</c:v>
                      </c:pt>
                      <c:pt idx="41">
                        <c:v>448</c:v>
                      </c:pt>
                      <c:pt idx="42">
                        <c:v>444</c:v>
                      </c:pt>
                      <c:pt idx="43">
                        <c:v>440</c:v>
                      </c:pt>
                      <c:pt idx="44">
                        <c:v>433</c:v>
                      </c:pt>
                      <c:pt idx="45">
                        <c:v>421</c:v>
                      </c:pt>
                      <c:pt idx="46">
                        <c:v>421</c:v>
                      </c:pt>
                      <c:pt idx="47">
                        <c:v>410</c:v>
                      </c:pt>
                      <c:pt idx="48">
                        <c:v>407</c:v>
                      </c:pt>
                      <c:pt idx="49">
                        <c:v>392</c:v>
                      </c:pt>
                      <c:pt idx="50">
                        <c:v>367</c:v>
                      </c:pt>
                      <c:pt idx="51">
                        <c:v>348</c:v>
                      </c:pt>
                      <c:pt idx="52">
                        <c:v>336</c:v>
                      </c:pt>
                      <c:pt idx="53">
                        <c:v>322</c:v>
                      </c:pt>
                      <c:pt idx="54">
                        <c:v>313</c:v>
                      </c:pt>
                      <c:pt idx="55">
                        <c:v>300</c:v>
                      </c:pt>
                      <c:pt idx="56">
                        <c:v>286</c:v>
                      </c:pt>
                      <c:pt idx="57">
                        <c:v>255</c:v>
                      </c:pt>
                      <c:pt idx="58">
                        <c:v>250</c:v>
                      </c:pt>
                    </c:numCache>
                  </c:numRef>
                </c:val>
                <c:smooth val="0"/>
                <c:extLst>
                  <c:ext xmlns:c16="http://schemas.microsoft.com/office/drawing/2014/chart" uri="{C3380CC4-5D6E-409C-BE32-E72D297353CC}">
                    <c16:uniqueId val="{00000002-3C9B-4CCC-99BC-84CFF113D9B4}"/>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ch_latest!$E$1</c15:sqref>
                        </c15:formulaRef>
                      </c:ext>
                    </c:extLst>
                    <c:strCache>
                      <c:ptCount val="1"/>
                      <c:pt idx="0">
                        <c:v>total_hospitalized</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ch_latest!$E$2:$E$60</c15:sqref>
                        </c15:formulaRef>
                      </c:ext>
                    </c:extLst>
                    <c:numCache>
                      <c:formatCode>General</c:formatCode>
                      <c:ptCount val="59"/>
                      <c:pt idx="0">
                        <c:v>0</c:v>
                      </c:pt>
                      <c:pt idx="1">
                        <c:v>1</c:v>
                      </c:pt>
                      <c:pt idx="2">
                        <c:v>2</c:v>
                      </c:pt>
                      <c:pt idx="3">
                        <c:v>12</c:v>
                      </c:pt>
                      <c:pt idx="4">
                        <c:v>14</c:v>
                      </c:pt>
                      <c:pt idx="5">
                        <c:v>15</c:v>
                      </c:pt>
                      <c:pt idx="6">
                        <c:v>21</c:v>
                      </c:pt>
                      <c:pt idx="7">
                        <c:v>26</c:v>
                      </c:pt>
                      <c:pt idx="8">
                        <c:v>34</c:v>
                      </c:pt>
                      <c:pt idx="9">
                        <c:v>38</c:v>
                      </c:pt>
                      <c:pt idx="10">
                        <c:v>46</c:v>
                      </c:pt>
                      <c:pt idx="11">
                        <c:v>47</c:v>
                      </c:pt>
                      <c:pt idx="12">
                        <c:v>60</c:v>
                      </c:pt>
                      <c:pt idx="13">
                        <c:v>73</c:v>
                      </c:pt>
                      <c:pt idx="14">
                        <c:v>101</c:v>
                      </c:pt>
                      <c:pt idx="15">
                        <c:v>121</c:v>
                      </c:pt>
                      <c:pt idx="16">
                        <c:v>142</c:v>
                      </c:pt>
                      <c:pt idx="17">
                        <c:v>233</c:v>
                      </c:pt>
                      <c:pt idx="18">
                        <c:v>258</c:v>
                      </c:pt>
                      <c:pt idx="19">
                        <c:v>282</c:v>
                      </c:pt>
                      <c:pt idx="20">
                        <c:v>354</c:v>
                      </c:pt>
                      <c:pt idx="21">
                        <c:v>413</c:v>
                      </c:pt>
                      <c:pt idx="22">
                        <c:v>486</c:v>
                      </c:pt>
                      <c:pt idx="23">
                        <c:v>685</c:v>
                      </c:pt>
                      <c:pt idx="24">
                        <c:v>795</c:v>
                      </c:pt>
                      <c:pt idx="25">
                        <c:v>900</c:v>
                      </c:pt>
                      <c:pt idx="26">
                        <c:v>1089</c:v>
                      </c:pt>
                      <c:pt idx="27">
                        <c:v>1204</c:v>
                      </c:pt>
                      <c:pt idx="28">
                        <c:v>1350</c:v>
                      </c:pt>
                      <c:pt idx="29">
                        <c:v>1460</c:v>
                      </c:pt>
                      <c:pt idx="30">
                        <c:v>1605</c:v>
                      </c:pt>
                      <c:pt idx="31">
                        <c:v>1786</c:v>
                      </c:pt>
                      <c:pt idx="32">
                        <c:v>1868</c:v>
                      </c:pt>
                      <c:pt idx="33">
                        <c:v>1985</c:v>
                      </c:pt>
                      <c:pt idx="34">
                        <c:v>2179</c:v>
                      </c:pt>
                      <c:pt idx="35">
                        <c:v>2203</c:v>
                      </c:pt>
                      <c:pt idx="36">
                        <c:v>2283</c:v>
                      </c:pt>
                      <c:pt idx="37">
                        <c:v>2347</c:v>
                      </c:pt>
                      <c:pt idx="38">
                        <c:v>2334</c:v>
                      </c:pt>
                      <c:pt idx="39">
                        <c:v>2322</c:v>
                      </c:pt>
                      <c:pt idx="40">
                        <c:v>2300</c:v>
                      </c:pt>
                      <c:pt idx="41">
                        <c:v>2312</c:v>
                      </c:pt>
                      <c:pt idx="42">
                        <c:v>2252</c:v>
                      </c:pt>
                      <c:pt idx="43">
                        <c:v>2143</c:v>
                      </c:pt>
                      <c:pt idx="44">
                        <c:v>2077</c:v>
                      </c:pt>
                      <c:pt idx="45">
                        <c:v>2016</c:v>
                      </c:pt>
                      <c:pt idx="46">
                        <c:v>1939</c:v>
                      </c:pt>
                      <c:pt idx="47">
                        <c:v>1915</c:v>
                      </c:pt>
                      <c:pt idx="48">
                        <c:v>1895</c:v>
                      </c:pt>
                      <c:pt idx="49">
                        <c:v>1861</c:v>
                      </c:pt>
                      <c:pt idx="50">
                        <c:v>1733</c:v>
                      </c:pt>
                      <c:pt idx="51">
                        <c:v>1680</c:v>
                      </c:pt>
                      <c:pt idx="52">
                        <c:v>1586</c:v>
                      </c:pt>
                      <c:pt idx="53">
                        <c:v>1549</c:v>
                      </c:pt>
                      <c:pt idx="54">
                        <c:v>1527</c:v>
                      </c:pt>
                      <c:pt idx="55">
                        <c:v>1502</c:v>
                      </c:pt>
                      <c:pt idx="56">
                        <c:v>1425</c:v>
                      </c:pt>
                      <c:pt idx="57">
                        <c:v>1362</c:v>
                      </c:pt>
                      <c:pt idx="58">
                        <c:v>1345</c:v>
                      </c:pt>
                    </c:numCache>
                  </c:numRef>
                </c:val>
                <c:smooth val="0"/>
                <c:extLst xmlns:c15="http://schemas.microsoft.com/office/drawing/2012/chart">
                  <c:ext xmlns:c16="http://schemas.microsoft.com/office/drawing/2014/chart" uri="{C3380CC4-5D6E-409C-BE32-E72D297353CC}">
                    <c16:uniqueId val="{00000003-3C9B-4CCC-99BC-84CFF113D9B4}"/>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ch_latest!$F$1</c15:sqref>
                        </c15:formulaRef>
                      </c:ext>
                    </c:extLst>
                    <c:strCache>
                      <c:ptCount val="1"/>
                      <c:pt idx="0">
                        <c:v>total_currently_positive</c:v>
                      </c:pt>
                    </c:strCache>
                  </c:strRef>
                </c:tx>
                <c:spPr>
                  <a:ln w="34925" cap="rnd">
                    <a:solidFill>
                      <a:schemeClr val="accent3"/>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ch_latest!$F$2:$F$60</c15:sqref>
                        </c15:formulaRef>
                      </c:ext>
                    </c:extLst>
                    <c:numCache>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Cache>
                  </c:numRef>
                </c:val>
                <c:smooth val="0"/>
                <c:extLst xmlns:c15="http://schemas.microsoft.com/office/drawing/2012/chart">
                  <c:ext xmlns:c16="http://schemas.microsoft.com/office/drawing/2014/chart" uri="{C3380CC4-5D6E-409C-BE32-E72D297353CC}">
                    <c16:uniqueId val="{00000004-3C9B-4CCC-99BC-84CFF113D9B4}"/>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ch_latest!$G$1</c15:sqref>
                        </c15:formulaRef>
                      </c:ext>
                    </c:extLst>
                    <c:strCache>
                      <c:ptCount val="1"/>
                      <c:pt idx="0">
                        <c:v>total_positive</c:v>
                      </c:pt>
                    </c:strCache>
                  </c:strRef>
                </c:tx>
                <c:spPr>
                  <a:ln w="34925" cap="rnd">
                    <a:solidFill>
                      <a:schemeClr val="accent4"/>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ch_latest!$G$2:$G$60</c15:sqref>
                        </c15:formulaRef>
                      </c:ext>
                    </c:extLst>
                    <c:numCache>
                      <c:formatCode>General</c:formatCode>
                      <c:ptCount val="59"/>
                      <c:pt idx="0">
                        <c:v>1</c:v>
                      </c:pt>
                      <c:pt idx="1">
                        <c:v>2</c:v>
                      </c:pt>
                      <c:pt idx="2">
                        <c:v>6</c:v>
                      </c:pt>
                      <c:pt idx="3">
                        <c:v>13</c:v>
                      </c:pt>
                      <c:pt idx="4">
                        <c:v>20</c:v>
                      </c:pt>
                      <c:pt idx="5">
                        <c:v>27</c:v>
                      </c:pt>
                      <c:pt idx="6">
                        <c:v>38</c:v>
                      </c:pt>
                      <c:pt idx="7">
                        <c:v>54</c:v>
                      </c:pt>
                      <c:pt idx="8">
                        <c:v>75</c:v>
                      </c:pt>
                      <c:pt idx="9">
                        <c:v>119</c:v>
                      </c:pt>
                      <c:pt idx="10">
                        <c:v>183</c:v>
                      </c:pt>
                      <c:pt idx="11">
                        <c:v>255</c:v>
                      </c:pt>
                      <c:pt idx="12">
                        <c:v>319</c:v>
                      </c:pt>
                      <c:pt idx="13">
                        <c:v>396</c:v>
                      </c:pt>
                      <c:pt idx="14">
                        <c:v>476</c:v>
                      </c:pt>
                      <c:pt idx="15">
                        <c:v>616</c:v>
                      </c:pt>
                      <c:pt idx="16">
                        <c:v>963</c:v>
                      </c:pt>
                      <c:pt idx="17">
                        <c:v>1292</c:v>
                      </c:pt>
                      <c:pt idx="18">
                        <c:v>1568</c:v>
                      </c:pt>
                      <c:pt idx="19">
                        <c:v>1865</c:v>
                      </c:pt>
                      <c:pt idx="20">
                        <c:v>2440</c:v>
                      </c:pt>
                      <c:pt idx="21">
                        <c:v>3132</c:v>
                      </c:pt>
                      <c:pt idx="22">
                        <c:v>4316</c:v>
                      </c:pt>
                      <c:pt idx="23">
                        <c:v>5469</c:v>
                      </c:pt>
                      <c:pt idx="24">
                        <c:v>6619</c:v>
                      </c:pt>
                      <c:pt idx="25">
                        <c:v>7355</c:v>
                      </c:pt>
                      <c:pt idx="26">
                        <c:v>8060</c:v>
                      </c:pt>
                      <c:pt idx="27">
                        <c:v>9363</c:v>
                      </c:pt>
                      <c:pt idx="28">
                        <c:v>10312</c:v>
                      </c:pt>
                      <c:pt idx="29">
                        <c:v>11488</c:v>
                      </c:pt>
                      <c:pt idx="30">
                        <c:v>12728</c:v>
                      </c:pt>
                      <c:pt idx="31">
                        <c:v>14018</c:v>
                      </c:pt>
                      <c:pt idx="32">
                        <c:v>14880</c:v>
                      </c:pt>
                      <c:pt idx="33">
                        <c:v>15621</c:v>
                      </c:pt>
                      <c:pt idx="34">
                        <c:v>16694</c:v>
                      </c:pt>
                      <c:pt idx="35">
                        <c:v>17686</c:v>
                      </c:pt>
                      <c:pt idx="36">
                        <c:v>18691</c:v>
                      </c:pt>
                      <c:pt idx="37">
                        <c:v>19774</c:v>
                      </c:pt>
                      <c:pt idx="38">
                        <c:v>20696</c:v>
                      </c:pt>
                      <c:pt idx="39">
                        <c:v>21303</c:v>
                      </c:pt>
                      <c:pt idx="40">
                        <c:v>21761</c:v>
                      </c:pt>
                      <c:pt idx="41">
                        <c:v>22421</c:v>
                      </c:pt>
                      <c:pt idx="42">
                        <c:v>23078</c:v>
                      </c:pt>
                      <c:pt idx="43">
                        <c:v>23729</c:v>
                      </c:pt>
                      <c:pt idx="44">
                        <c:v>24405</c:v>
                      </c:pt>
                      <c:pt idx="45">
                        <c:v>24899</c:v>
                      </c:pt>
                      <c:pt idx="46">
                        <c:v>25365</c:v>
                      </c:pt>
                      <c:pt idx="47">
                        <c:v>25684</c:v>
                      </c:pt>
                      <c:pt idx="48">
                        <c:v>25924</c:v>
                      </c:pt>
                      <c:pt idx="49">
                        <c:v>26233</c:v>
                      </c:pt>
                      <c:pt idx="50">
                        <c:v>26553</c:v>
                      </c:pt>
                      <c:pt idx="51">
                        <c:v>26867</c:v>
                      </c:pt>
                      <c:pt idx="52">
                        <c:v>27170</c:v>
                      </c:pt>
                      <c:pt idx="53">
                        <c:v>27492</c:v>
                      </c:pt>
                      <c:pt idx="54">
                        <c:v>27690</c:v>
                      </c:pt>
                      <c:pt idx="55">
                        <c:v>27879</c:v>
                      </c:pt>
                      <c:pt idx="56">
                        <c:v>28025</c:v>
                      </c:pt>
                      <c:pt idx="57">
                        <c:v>28202</c:v>
                      </c:pt>
                      <c:pt idx="58">
                        <c:v>28297</c:v>
                      </c:pt>
                    </c:numCache>
                  </c:numRef>
                </c:val>
                <c:smooth val="0"/>
                <c:extLst xmlns:c15="http://schemas.microsoft.com/office/drawing/2012/chart">
                  <c:ext xmlns:c16="http://schemas.microsoft.com/office/drawing/2014/chart" uri="{C3380CC4-5D6E-409C-BE32-E72D297353CC}">
                    <c16:uniqueId val="{00000005-3C9B-4CCC-99BC-84CFF113D9B4}"/>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ch_latest!$H$1</c15:sqref>
                        </c15:formulaRef>
                      </c:ext>
                    </c:extLst>
                    <c:strCache>
                      <c:ptCount val="1"/>
                      <c:pt idx="0">
                        <c:v>tests_performed</c:v>
                      </c:pt>
                    </c:strCache>
                  </c:strRef>
                </c:tx>
                <c:spPr>
                  <a:ln w="34925" cap="rnd">
                    <a:solidFill>
                      <a:schemeClr val="accent5"/>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ch_latest!$H$2:$H$60</c15:sqref>
                        </c15:formulaRef>
                      </c:ext>
                    </c:extLst>
                    <c:numCache>
                      <c:formatCode>General</c:formatCode>
                      <c:ptCount val="59"/>
                      <c:pt idx="0">
                        <c:v>72</c:v>
                      </c:pt>
                      <c:pt idx="1">
                        <c:v>178</c:v>
                      </c:pt>
                      <c:pt idx="2">
                        <c:v>329</c:v>
                      </c:pt>
                      <c:pt idx="3">
                        <c:v>537</c:v>
                      </c:pt>
                      <c:pt idx="4">
                        <c:v>677</c:v>
                      </c:pt>
                      <c:pt idx="5">
                        <c:v>816</c:v>
                      </c:pt>
                      <c:pt idx="6">
                        <c:v>1139</c:v>
                      </c:pt>
                      <c:pt idx="7">
                        <c:v>1260</c:v>
                      </c:pt>
                      <c:pt idx="8">
                        <c:v>1371</c:v>
                      </c:pt>
                      <c:pt idx="9">
                        <c:v>1439</c:v>
                      </c:pt>
                      <c:pt idx="10">
                        <c:v>1544</c:v>
                      </c:pt>
                      <c:pt idx="11">
                        <c:v>1620</c:v>
                      </c:pt>
                      <c:pt idx="12">
                        <c:v>1691</c:v>
                      </c:pt>
                      <c:pt idx="13">
                        <c:v>1806</c:v>
                      </c:pt>
                      <c:pt idx="14">
                        <c:v>2029</c:v>
                      </c:pt>
                      <c:pt idx="15">
                        <c:v>2293</c:v>
                      </c:pt>
                      <c:pt idx="16">
                        <c:v>2673</c:v>
                      </c:pt>
                      <c:pt idx="17">
                        <c:v>3155</c:v>
                      </c:pt>
                      <c:pt idx="18">
                        <c:v>3841</c:v>
                      </c:pt>
                      <c:pt idx="19">
                        <c:v>4276</c:v>
                      </c:pt>
                      <c:pt idx="20">
                        <c:v>4973</c:v>
                      </c:pt>
                      <c:pt idx="21">
                        <c:v>5605</c:v>
                      </c:pt>
                      <c:pt idx="22">
                        <c:v>6398</c:v>
                      </c:pt>
                      <c:pt idx="23">
                        <c:v>6993</c:v>
                      </c:pt>
                      <c:pt idx="24">
                        <c:v>7400</c:v>
                      </c:pt>
                      <c:pt idx="25">
                        <c:v>7768</c:v>
                      </c:pt>
                      <c:pt idx="26">
                        <c:v>8009</c:v>
                      </c:pt>
                      <c:pt idx="27">
                        <c:v>8405</c:v>
                      </c:pt>
                      <c:pt idx="28">
                        <c:v>8753</c:v>
                      </c:pt>
                      <c:pt idx="29">
                        <c:v>9186</c:v>
                      </c:pt>
                      <c:pt idx="30">
                        <c:v>10500</c:v>
                      </c:pt>
                      <c:pt idx="31">
                        <c:v>10992</c:v>
                      </c:pt>
                      <c:pt idx="32">
                        <c:v>11599</c:v>
                      </c:pt>
                      <c:pt idx="33">
                        <c:v>11908</c:v>
                      </c:pt>
                      <c:pt idx="34">
                        <c:v>12568</c:v>
                      </c:pt>
                      <c:pt idx="35">
                        <c:v>13326</c:v>
                      </c:pt>
                      <c:pt idx="36">
                        <c:v>13991</c:v>
                      </c:pt>
                      <c:pt idx="37">
                        <c:v>14943</c:v>
                      </c:pt>
                      <c:pt idx="38">
                        <c:v>15781</c:v>
                      </c:pt>
                      <c:pt idx="39">
                        <c:v>16375</c:v>
                      </c:pt>
                      <c:pt idx="40">
                        <c:v>16679</c:v>
                      </c:pt>
                      <c:pt idx="41">
                        <c:v>17334</c:v>
                      </c:pt>
                      <c:pt idx="42">
                        <c:v>18185</c:v>
                      </c:pt>
                      <c:pt idx="43">
                        <c:v>19006</c:v>
                      </c:pt>
                      <c:pt idx="44">
                        <c:v>19528</c:v>
                      </c:pt>
                      <c:pt idx="45">
                        <c:v>19948</c:v>
                      </c:pt>
                      <c:pt idx="46">
                        <c:v>20317</c:v>
                      </c:pt>
                      <c:pt idx="47">
                        <c:v>20496</c:v>
                      </c:pt>
                      <c:pt idx="48">
                        <c:v>20807</c:v>
                      </c:pt>
                      <c:pt idx="49">
                        <c:v>21362</c:v>
                      </c:pt>
                      <c:pt idx="50">
                        <c:v>21838</c:v>
                      </c:pt>
                      <c:pt idx="51">
                        <c:v>22530</c:v>
                      </c:pt>
                      <c:pt idx="52">
                        <c:v>23000</c:v>
                      </c:pt>
                      <c:pt idx="53">
                        <c:v>23452</c:v>
                      </c:pt>
                      <c:pt idx="54">
                        <c:v>23643</c:v>
                      </c:pt>
                      <c:pt idx="55">
                        <c:v>24035</c:v>
                      </c:pt>
                      <c:pt idx="56">
                        <c:v>24277</c:v>
                      </c:pt>
                      <c:pt idx="57">
                        <c:v>24277</c:v>
                      </c:pt>
                      <c:pt idx="58">
                        <c:v>24277</c:v>
                      </c:pt>
                    </c:numCache>
                  </c:numRef>
                </c:val>
                <c:smooth val="0"/>
                <c:extLst xmlns:c15="http://schemas.microsoft.com/office/drawing/2012/chart">
                  <c:ext xmlns:c16="http://schemas.microsoft.com/office/drawing/2014/chart" uri="{C3380CC4-5D6E-409C-BE32-E72D297353CC}">
                    <c16:uniqueId val="{00000006-3C9B-4CCC-99BC-84CFF113D9B4}"/>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ch_latest!$I$1</c15:sqref>
                        </c15:formulaRef>
                      </c:ext>
                    </c:extLst>
                    <c:strCache>
                      <c:ptCount val="1"/>
                      <c:pt idx="0">
                        <c:v>released</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ch_latest!$I$2:$I$60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1</c:v>
                      </c:pt>
                      <c:pt idx="13">
                        <c:v>3</c:v>
                      </c:pt>
                      <c:pt idx="14">
                        <c:v>12</c:v>
                      </c:pt>
                      <c:pt idx="15">
                        <c:v>17</c:v>
                      </c:pt>
                      <c:pt idx="16">
                        <c:v>18</c:v>
                      </c:pt>
                      <c:pt idx="17">
                        <c:v>18</c:v>
                      </c:pt>
                      <c:pt idx="18">
                        <c:v>18</c:v>
                      </c:pt>
                      <c:pt idx="19">
                        <c:v>21</c:v>
                      </c:pt>
                      <c:pt idx="20">
                        <c:v>22</c:v>
                      </c:pt>
                      <c:pt idx="21">
                        <c:v>56</c:v>
                      </c:pt>
                      <c:pt idx="22">
                        <c:v>81</c:v>
                      </c:pt>
                      <c:pt idx="23">
                        <c:v>125</c:v>
                      </c:pt>
                      <c:pt idx="24">
                        <c:v>139</c:v>
                      </c:pt>
                      <c:pt idx="25">
                        <c:v>161</c:v>
                      </c:pt>
                      <c:pt idx="26">
                        <c:v>182</c:v>
                      </c:pt>
                      <c:pt idx="27">
                        <c:v>218</c:v>
                      </c:pt>
                      <c:pt idx="28">
                        <c:v>369</c:v>
                      </c:pt>
                      <c:pt idx="29">
                        <c:v>444</c:v>
                      </c:pt>
                      <c:pt idx="30">
                        <c:v>547</c:v>
                      </c:pt>
                      <c:pt idx="31">
                        <c:v>655</c:v>
                      </c:pt>
                      <c:pt idx="32">
                        <c:v>738</c:v>
                      </c:pt>
                      <c:pt idx="33">
                        <c:v>804</c:v>
                      </c:pt>
                      <c:pt idx="34">
                        <c:v>939</c:v>
                      </c:pt>
                      <c:pt idx="35">
                        <c:v>1308</c:v>
                      </c:pt>
                      <c:pt idx="36">
                        <c:v>1479</c:v>
                      </c:pt>
                      <c:pt idx="37">
                        <c:v>1644</c:v>
                      </c:pt>
                      <c:pt idx="38">
                        <c:v>1796</c:v>
                      </c:pt>
                      <c:pt idx="39">
                        <c:v>1951</c:v>
                      </c:pt>
                      <c:pt idx="40">
                        <c:v>2111</c:v>
                      </c:pt>
                      <c:pt idx="41">
                        <c:v>2234</c:v>
                      </c:pt>
                      <c:pt idx="42">
                        <c:v>2557</c:v>
                      </c:pt>
                      <c:pt idx="43">
                        <c:v>2812</c:v>
                      </c:pt>
                      <c:pt idx="44">
                        <c:v>2962</c:v>
                      </c:pt>
                      <c:pt idx="45">
                        <c:v>3046</c:v>
                      </c:pt>
                      <c:pt idx="46">
                        <c:v>3212</c:v>
                      </c:pt>
                      <c:pt idx="47">
                        <c:v>3314</c:v>
                      </c:pt>
                      <c:pt idx="48">
                        <c:v>3388</c:v>
                      </c:pt>
                      <c:pt idx="49">
                        <c:v>3556</c:v>
                      </c:pt>
                      <c:pt idx="50">
                        <c:v>3720</c:v>
                      </c:pt>
                      <c:pt idx="51">
                        <c:v>3880</c:v>
                      </c:pt>
                      <c:pt idx="52">
                        <c:v>3988</c:v>
                      </c:pt>
                      <c:pt idx="53">
                        <c:v>4103</c:v>
                      </c:pt>
                      <c:pt idx="54">
                        <c:v>4173</c:v>
                      </c:pt>
                      <c:pt idx="55">
                        <c:v>4304</c:v>
                      </c:pt>
                      <c:pt idx="56">
                        <c:v>4431</c:v>
                      </c:pt>
                      <c:pt idx="57">
                        <c:v>4538</c:v>
                      </c:pt>
                      <c:pt idx="58">
                        <c:v>4551</c:v>
                      </c:pt>
                    </c:numCache>
                  </c:numRef>
                </c:val>
                <c:smooth val="0"/>
                <c:extLst xmlns:c15="http://schemas.microsoft.com/office/drawing/2012/chart">
                  <c:ext xmlns:c16="http://schemas.microsoft.com/office/drawing/2014/chart" uri="{C3380CC4-5D6E-409C-BE32-E72D297353CC}">
                    <c16:uniqueId val="{00000007-3C9B-4CCC-99BC-84CFF113D9B4}"/>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ch_latest!$J$1</c15:sqref>
                        </c15:formulaRef>
                      </c:ext>
                    </c:extLst>
                    <c:strCache>
                      <c:ptCount val="1"/>
                      <c:pt idx="0">
                        <c:v>deaths</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ch_latest!$J$2:$J$60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1</c:v>
                      </c:pt>
                      <c:pt idx="11">
                        <c:v>1</c:v>
                      </c:pt>
                      <c:pt idx="12">
                        <c:v>2</c:v>
                      </c:pt>
                      <c:pt idx="13">
                        <c:v>2</c:v>
                      </c:pt>
                      <c:pt idx="14">
                        <c:v>4</c:v>
                      </c:pt>
                      <c:pt idx="15">
                        <c:v>5</c:v>
                      </c:pt>
                      <c:pt idx="16">
                        <c:v>8</c:v>
                      </c:pt>
                      <c:pt idx="17">
                        <c:v>9</c:v>
                      </c:pt>
                      <c:pt idx="18">
                        <c:v>12</c:v>
                      </c:pt>
                      <c:pt idx="19">
                        <c:v>20</c:v>
                      </c:pt>
                      <c:pt idx="20">
                        <c:v>29</c:v>
                      </c:pt>
                      <c:pt idx="21">
                        <c:v>35</c:v>
                      </c:pt>
                      <c:pt idx="22">
                        <c:v>48</c:v>
                      </c:pt>
                      <c:pt idx="23">
                        <c:v>55</c:v>
                      </c:pt>
                      <c:pt idx="24">
                        <c:v>77</c:v>
                      </c:pt>
                      <c:pt idx="25">
                        <c:v>96</c:v>
                      </c:pt>
                      <c:pt idx="26">
                        <c:v>114</c:v>
                      </c:pt>
                      <c:pt idx="27">
                        <c:v>142</c:v>
                      </c:pt>
                      <c:pt idx="28">
                        <c:v>163</c:v>
                      </c:pt>
                      <c:pt idx="29">
                        <c:v>196</c:v>
                      </c:pt>
                      <c:pt idx="30">
                        <c:v>246</c:v>
                      </c:pt>
                      <c:pt idx="31">
                        <c:v>282</c:v>
                      </c:pt>
                      <c:pt idx="32">
                        <c:v>330</c:v>
                      </c:pt>
                      <c:pt idx="33">
                        <c:v>370</c:v>
                      </c:pt>
                      <c:pt idx="34">
                        <c:v>425</c:v>
                      </c:pt>
                      <c:pt idx="35">
                        <c:v>495</c:v>
                      </c:pt>
                      <c:pt idx="36">
                        <c:v>556</c:v>
                      </c:pt>
                      <c:pt idx="37">
                        <c:v>617</c:v>
                      </c:pt>
                      <c:pt idx="38">
                        <c:v>680</c:v>
                      </c:pt>
                      <c:pt idx="39">
                        <c:v>744</c:v>
                      </c:pt>
                      <c:pt idx="40">
                        <c:v>797</c:v>
                      </c:pt>
                      <c:pt idx="41">
                        <c:v>853</c:v>
                      </c:pt>
                      <c:pt idx="42">
                        <c:v>914</c:v>
                      </c:pt>
                      <c:pt idx="43">
                        <c:v>982</c:v>
                      </c:pt>
                      <c:pt idx="44">
                        <c:v>1031</c:v>
                      </c:pt>
                      <c:pt idx="45">
                        <c:v>1081</c:v>
                      </c:pt>
                      <c:pt idx="46">
                        <c:v>1117</c:v>
                      </c:pt>
                      <c:pt idx="47">
                        <c:v>1171</c:v>
                      </c:pt>
                      <c:pt idx="48">
                        <c:v>1200</c:v>
                      </c:pt>
                      <c:pt idx="49">
                        <c:v>1239</c:v>
                      </c:pt>
                      <c:pt idx="50">
                        <c:v>1292</c:v>
                      </c:pt>
                      <c:pt idx="51">
                        <c:v>1333</c:v>
                      </c:pt>
                      <c:pt idx="52">
                        <c:v>1374</c:v>
                      </c:pt>
                      <c:pt idx="53">
                        <c:v>1413</c:v>
                      </c:pt>
                      <c:pt idx="54">
                        <c:v>1434</c:v>
                      </c:pt>
                      <c:pt idx="55">
                        <c:v>1470</c:v>
                      </c:pt>
                      <c:pt idx="56">
                        <c:v>1504</c:v>
                      </c:pt>
                      <c:pt idx="57">
                        <c:v>1520</c:v>
                      </c:pt>
                      <c:pt idx="58">
                        <c:v>1528</c:v>
                      </c:pt>
                    </c:numCache>
                  </c:numRef>
                </c:val>
                <c:smooth val="0"/>
                <c:extLst xmlns:c15="http://schemas.microsoft.com/office/drawing/2012/chart">
                  <c:ext xmlns:c16="http://schemas.microsoft.com/office/drawing/2014/chart" uri="{C3380CC4-5D6E-409C-BE32-E72D297353CC}">
                    <c16:uniqueId val="{00000008-3C9B-4CCC-99BC-84CFF113D9B4}"/>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ch_latest!$K$1</c15:sqref>
                        </c15:formulaRef>
                      </c:ext>
                    </c:extLst>
                    <c:strCache>
                      <c:ptCount val="1"/>
                      <c:pt idx="0">
                        <c:v>home_confinment</c:v>
                      </c:pt>
                    </c:strCache>
                  </c:strRef>
                </c:tx>
                <c:spPr>
                  <a:ln w="34925" cap="rnd">
                    <a:solidFill>
                      <a:schemeClr val="accent2">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ch_latest!$K$2:$K$60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numCache>
                  </c:numRef>
                </c:val>
                <c:smooth val="0"/>
                <c:extLst xmlns:c15="http://schemas.microsoft.com/office/drawing/2012/chart">
                  <c:ext xmlns:c16="http://schemas.microsoft.com/office/drawing/2014/chart" uri="{C3380CC4-5D6E-409C-BE32-E72D297353CC}">
                    <c16:uniqueId val="{00000009-3C9B-4CCC-99BC-84CFF113D9B4}"/>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ch_latest!$M$1</c15:sqref>
                        </c15:formulaRef>
                      </c:ext>
                    </c:extLst>
                    <c:strCache>
                      <c:ptCount val="1"/>
                      <c:pt idx="0">
                        <c:v>old_positive</c:v>
                      </c:pt>
                    </c:strCache>
                  </c:strRef>
                </c:tx>
                <c:spPr>
                  <a:ln w="34925" cap="rnd">
                    <a:solidFill>
                      <a:schemeClr val="accent4">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ch_latest!$M$2:$M$60</c15:sqref>
                        </c15:formulaRef>
                      </c:ext>
                    </c:extLst>
                    <c:numCache>
                      <c:formatCode>General</c:formatCode>
                      <c:ptCount val="59"/>
                      <c:pt idx="0">
                        <c:v>0</c:v>
                      </c:pt>
                      <c:pt idx="1">
                        <c:v>1</c:v>
                      </c:pt>
                      <c:pt idx="2">
                        <c:v>2</c:v>
                      </c:pt>
                      <c:pt idx="3">
                        <c:v>6</c:v>
                      </c:pt>
                      <c:pt idx="4">
                        <c:v>13</c:v>
                      </c:pt>
                      <c:pt idx="5">
                        <c:v>20</c:v>
                      </c:pt>
                      <c:pt idx="6">
                        <c:v>27</c:v>
                      </c:pt>
                      <c:pt idx="7">
                        <c:v>38</c:v>
                      </c:pt>
                      <c:pt idx="8">
                        <c:v>54</c:v>
                      </c:pt>
                      <c:pt idx="9">
                        <c:v>75</c:v>
                      </c:pt>
                      <c:pt idx="10">
                        <c:v>119</c:v>
                      </c:pt>
                      <c:pt idx="11">
                        <c:v>183</c:v>
                      </c:pt>
                      <c:pt idx="12">
                        <c:v>255</c:v>
                      </c:pt>
                      <c:pt idx="13">
                        <c:v>319</c:v>
                      </c:pt>
                      <c:pt idx="14">
                        <c:v>396</c:v>
                      </c:pt>
                      <c:pt idx="15">
                        <c:v>476</c:v>
                      </c:pt>
                      <c:pt idx="16">
                        <c:v>616</c:v>
                      </c:pt>
                      <c:pt idx="17">
                        <c:v>963</c:v>
                      </c:pt>
                      <c:pt idx="18">
                        <c:v>1292</c:v>
                      </c:pt>
                      <c:pt idx="19">
                        <c:v>1568</c:v>
                      </c:pt>
                      <c:pt idx="20">
                        <c:v>1865</c:v>
                      </c:pt>
                      <c:pt idx="21">
                        <c:v>2440</c:v>
                      </c:pt>
                      <c:pt idx="22">
                        <c:v>3132</c:v>
                      </c:pt>
                      <c:pt idx="23">
                        <c:v>4316</c:v>
                      </c:pt>
                      <c:pt idx="24">
                        <c:v>5469</c:v>
                      </c:pt>
                      <c:pt idx="25">
                        <c:v>6619</c:v>
                      </c:pt>
                      <c:pt idx="26">
                        <c:v>7355</c:v>
                      </c:pt>
                      <c:pt idx="27">
                        <c:v>8060</c:v>
                      </c:pt>
                      <c:pt idx="28">
                        <c:v>9363</c:v>
                      </c:pt>
                      <c:pt idx="29">
                        <c:v>10312</c:v>
                      </c:pt>
                      <c:pt idx="30">
                        <c:v>11488</c:v>
                      </c:pt>
                      <c:pt idx="31">
                        <c:v>12728</c:v>
                      </c:pt>
                      <c:pt idx="32">
                        <c:v>14018</c:v>
                      </c:pt>
                      <c:pt idx="33">
                        <c:v>14880</c:v>
                      </c:pt>
                      <c:pt idx="34">
                        <c:v>15621</c:v>
                      </c:pt>
                      <c:pt idx="35">
                        <c:v>16694</c:v>
                      </c:pt>
                      <c:pt idx="36">
                        <c:v>17686</c:v>
                      </c:pt>
                      <c:pt idx="37">
                        <c:v>18691</c:v>
                      </c:pt>
                      <c:pt idx="38">
                        <c:v>19774</c:v>
                      </c:pt>
                      <c:pt idx="39">
                        <c:v>20696</c:v>
                      </c:pt>
                      <c:pt idx="40">
                        <c:v>21303</c:v>
                      </c:pt>
                      <c:pt idx="41">
                        <c:v>21761</c:v>
                      </c:pt>
                      <c:pt idx="42">
                        <c:v>22421</c:v>
                      </c:pt>
                      <c:pt idx="43">
                        <c:v>23078</c:v>
                      </c:pt>
                      <c:pt idx="44">
                        <c:v>23729</c:v>
                      </c:pt>
                      <c:pt idx="45">
                        <c:v>24405</c:v>
                      </c:pt>
                      <c:pt idx="46">
                        <c:v>24899</c:v>
                      </c:pt>
                      <c:pt idx="47">
                        <c:v>25365</c:v>
                      </c:pt>
                      <c:pt idx="48">
                        <c:v>25684</c:v>
                      </c:pt>
                      <c:pt idx="49">
                        <c:v>25924</c:v>
                      </c:pt>
                      <c:pt idx="50">
                        <c:v>26233</c:v>
                      </c:pt>
                      <c:pt idx="51">
                        <c:v>26553</c:v>
                      </c:pt>
                      <c:pt idx="52">
                        <c:v>26867</c:v>
                      </c:pt>
                      <c:pt idx="53">
                        <c:v>27170</c:v>
                      </c:pt>
                      <c:pt idx="54">
                        <c:v>27492</c:v>
                      </c:pt>
                      <c:pt idx="55">
                        <c:v>27690</c:v>
                      </c:pt>
                      <c:pt idx="56">
                        <c:v>27879</c:v>
                      </c:pt>
                      <c:pt idx="57">
                        <c:v>28025</c:v>
                      </c:pt>
                      <c:pt idx="58">
                        <c:v>28202</c:v>
                      </c:pt>
                    </c:numCache>
                  </c:numRef>
                </c:val>
                <c:smooth val="0"/>
                <c:extLst xmlns:c15="http://schemas.microsoft.com/office/drawing/2012/chart">
                  <c:ext xmlns:c16="http://schemas.microsoft.com/office/drawing/2014/chart" uri="{C3380CC4-5D6E-409C-BE32-E72D297353CC}">
                    <c16:uniqueId val="{0000000A-3C9B-4CCC-99BC-84CFF113D9B4}"/>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ch_latest!$N$1</c15:sqref>
                        </c15:formulaRef>
                      </c:ext>
                    </c:extLst>
                    <c:strCache>
                      <c:ptCount val="1"/>
                      <c:pt idx="0">
                        <c:v>hospitalized_with_symptoms</c:v>
                      </c:pt>
                    </c:strCache>
                  </c:strRef>
                </c:tx>
                <c:spPr>
                  <a:ln w="34925" cap="rnd">
                    <a:solidFill>
                      <a:schemeClr val="accent5">
                        <a:lumMod val="6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ch_latest!$N$2:$N$60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numCache>
                  </c:numRef>
                </c:val>
                <c:smooth val="0"/>
                <c:extLst xmlns:c15="http://schemas.microsoft.com/office/drawing/2012/chart">
                  <c:ext xmlns:c16="http://schemas.microsoft.com/office/drawing/2014/chart" uri="{C3380CC4-5D6E-409C-BE32-E72D297353CC}">
                    <c16:uniqueId val="{0000000B-3C9B-4CCC-99BC-84CFF113D9B4}"/>
                  </c:ext>
                </c:extLst>
              </c15:ser>
            </c15:filteredLineSeries>
            <c15:filteredLineSeries>
              <c15:ser>
                <c:idx val="12"/>
                <c:order val="12"/>
                <c:tx>
                  <c:strRef>
                    <c:extLst xmlns:c15="http://schemas.microsoft.com/office/drawing/2012/chart">
                      <c:ext xmlns:c15="http://schemas.microsoft.com/office/drawing/2012/chart" uri="{02D57815-91ED-43cb-92C2-25804820EDAC}">
                        <c15:formulaRef>
                          <c15:sqref>ch_latest!$P$1</c15:sqref>
                        </c15:formulaRef>
                      </c:ext>
                    </c:extLst>
                    <c:strCache>
                      <c:ptCount val="1"/>
                      <c:pt idx="0">
                        <c:v>old_deaths</c:v>
                      </c:pt>
                    </c:strCache>
                  </c:strRef>
                </c:tx>
                <c:spPr>
                  <a:ln w="34925" cap="rnd">
                    <a:solidFill>
                      <a:schemeClr val="accent1">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ch_latest!$P$2:$P$60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1</c:v>
                      </c:pt>
                      <c:pt idx="12">
                        <c:v>1</c:v>
                      </c:pt>
                      <c:pt idx="13">
                        <c:v>2</c:v>
                      </c:pt>
                      <c:pt idx="14">
                        <c:v>2</c:v>
                      </c:pt>
                      <c:pt idx="15">
                        <c:v>4</c:v>
                      </c:pt>
                      <c:pt idx="16">
                        <c:v>5</c:v>
                      </c:pt>
                      <c:pt idx="17">
                        <c:v>8</c:v>
                      </c:pt>
                      <c:pt idx="18">
                        <c:v>9</c:v>
                      </c:pt>
                      <c:pt idx="19">
                        <c:v>12</c:v>
                      </c:pt>
                      <c:pt idx="20">
                        <c:v>20</c:v>
                      </c:pt>
                      <c:pt idx="21">
                        <c:v>29</c:v>
                      </c:pt>
                      <c:pt idx="22">
                        <c:v>35</c:v>
                      </c:pt>
                      <c:pt idx="23">
                        <c:v>48</c:v>
                      </c:pt>
                      <c:pt idx="24">
                        <c:v>55</c:v>
                      </c:pt>
                      <c:pt idx="25">
                        <c:v>77</c:v>
                      </c:pt>
                      <c:pt idx="26">
                        <c:v>96</c:v>
                      </c:pt>
                      <c:pt idx="27">
                        <c:v>114</c:v>
                      </c:pt>
                      <c:pt idx="28">
                        <c:v>142</c:v>
                      </c:pt>
                      <c:pt idx="29">
                        <c:v>163</c:v>
                      </c:pt>
                      <c:pt idx="30">
                        <c:v>196</c:v>
                      </c:pt>
                      <c:pt idx="31">
                        <c:v>246</c:v>
                      </c:pt>
                      <c:pt idx="32">
                        <c:v>282</c:v>
                      </c:pt>
                      <c:pt idx="33">
                        <c:v>330</c:v>
                      </c:pt>
                      <c:pt idx="34">
                        <c:v>370</c:v>
                      </c:pt>
                      <c:pt idx="35">
                        <c:v>425</c:v>
                      </c:pt>
                      <c:pt idx="36">
                        <c:v>495</c:v>
                      </c:pt>
                      <c:pt idx="37">
                        <c:v>556</c:v>
                      </c:pt>
                      <c:pt idx="38">
                        <c:v>617</c:v>
                      </c:pt>
                      <c:pt idx="39">
                        <c:v>680</c:v>
                      </c:pt>
                      <c:pt idx="40">
                        <c:v>744</c:v>
                      </c:pt>
                      <c:pt idx="41">
                        <c:v>797</c:v>
                      </c:pt>
                      <c:pt idx="42">
                        <c:v>853</c:v>
                      </c:pt>
                      <c:pt idx="43">
                        <c:v>914</c:v>
                      </c:pt>
                      <c:pt idx="44">
                        <c:v>982</c:v>
                      </c:pt>
                      <c:pt idx="45">
                        <c:v>1031</c:v>
                      </c:pt>
                      <c:pt idx="46">
                        <c:v>1081</c:v>
                      </c:pt>
                      <c:pt idx="47">
                        <c:v>1117</c:v>
                      </c:pt>
                      <c:pt idx="48">
                        <c:v>1171</c:v>
                      </c:pt>
                      <c:pt idx="49">
                        <c:v>1200</c:v>
                      </c:pt>
                      <c:pt idx="50">
                        <c:v>1239</c:v>
                      </c:pt>
                      <c:pt idx="51">
                        <c:v>1292</c:v>
                      </c:pt>
                      <c:pt idx="52">
                        <c:v>1333</c:v>
                      </c:pt>
                      <c:pt idx="53">
                        <c:v>1374</c:v>
                      </c:pt>
                      <c:pt idx="54">
                        <c:v>1413</c:v>
                      </c:pt>
                      <c:pt idx="55">
                        <c:v>1434</c:v>
                      </c:pt>
                      <c:pt idx="56">
                        <c:v>1470</c:v>
                      </c:pt>
                      <c:pt idx="57">
                        <c:v>1504</c:v>
                      </c:pt>
                      <c:pt idx="58">
                        <c:v>1520</c:v>
                      </c:pt>
                    </c:numCache>
                  </c:numRef>
                </c:val>
                <c:smooth val="0"/>
                <c:extLst xmlns:c15="http://schemas.microsoft.com/office/drawing/2012/chart">
                  <c:ext xmlns:c16="http://schemas.microsoft.com/office/drawing/2014/chart" uri="{C3380CC4-5D6E-409C-BE32-E72D297353CC}">
                    <c16:uniqueId val="{0000000C-3C9B-4CCC-99BC-84CFF113D9B4}"/>
                  </c:ext>
                </c:extLst>
              </c15:ser>
            </c15:filteredLineSeries>
            <c15:filteredLineSeries>
              <c15:ser>
                <c:idx val="13"/>
                <c:order val="13"/>
                <c:tx>
                  <c:strRef>
                    <c:extLst xmlns:c15="http://schemas.microsoft.com/office/drawing/2012/chart">
                      <c:ext xmlns:c15="http://schemas.microsoft.com/office/drawing/2012/chart" uri="{02D57815-91ED-43cb-92C2-25804820EDAC}">
                        <c15:formulaRef>
                          <c15:sqref>ch_latest!$Q$1</c15:sqref>
                        </c15:formulaRef>
                      </c:ext>
                    </c:extLst>
                    <c:strCache>
                      <c:ptCount val="1"/>
                      <c:pt idx="0">
                        <c:v>doubling_time_total_positive</c:v>
                      </c:pt>
                    </c:strCache>
                  </c:strRef>
                </c:tx>
                <c:spPr>
                  <a:ln w="34925" cap="rnd">
                    <a:solidFill>
                      <a:schemeClr val="accent2">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ch_latest!$Q$2:$Q$60</c15:sqref>
                        </c15:formulaRef>
                      </c:ext>
                    </c:extLst>
                    <c:numCache>
                      <c:formatCode>General</c:formatCode>
                      <c:ptCount val="59"/>
                      <c:pt idx="0">
                        <c:v>0</c:v>
                      </c:pt>
                      <c:pt idx="1">
                        <c:v>0</c:v>
                      </c:pt>
                      <c:pt idx="2">
                        <c:v>0</c:v>
                      </c:pt>
                      <c:pt idx="3">
                        <c:v>0</c:v>
                      </c:pt>
                      <c:pt idx="4">
                        <c:v>0</c:v>
                      </c:pt>
                      <c:pt idx="5">
                        <c:v>1.05155</c:v>
                      </c:pt>
                      <c:pt idx="6">
                        <c:v>1.1770449999999999</c:v>
                      </c:pt>
                      <c:pt idx="7">
                        <c:v>1.5773239999999999</c:v>
                      </c:pt>
                      <c:pt idx="8">
                        <c:v>1.977552</c:v>
                      </c:pt>
                      <c:pt idx="9">
                        <c:v>1.9433400000000001</c:v>
                      </c:pt>
                      <c:pt idx="10">
                        <c:v>1.811061</c:v>
                      </c:pt>
                      <c:pt idx="11">
                        <c:v>1.8205480000000001</c:v>
                      </c:pt>
                      <c:pt idx="12">
                        <c:v>1.9512</c:v>
                      </c:pt>
                      <c:pt idx="13">
                        <c:v>2.0828660000000001</c:v>
                      </c:pt>
                      <c:pt idx="14">
                        <c:v>2.5</c:v>
                      </c:pt>
                      <c:pt idx="15">
                        <c:v>2.8553700000000002</c:v>
                      </c:pt>
                      <c:pt idx="16">
                        <c:v>2.60819</c:v>
                      </c:pt>
                      <c:pt idx="17">
                        <c:v>2.4777279999999999</c:v>
                      </c:pt>
                      <c:pt idx="18">
                        <c:v>2.5184440000000001</c:v>
                      </c:pt>
                      <c:pt idx="19">
                        <c:v>2.5378880000000001</c:v>
                      </c:pt>
                      <c:pt idx="20">
                        <c:v>2.5177770000000002</c:v>
                      </c:pt>
                      <c:pt idx="21">
                        <c:v>2.9386239999999999</c:v>
                      </c:pt>
                      <c:pt idx="22">
                        <c:v>2.8734169999999999</c:v>
                      </c:pt>
                      <c:pt idx="23">
                        <c:v>2.7741539999999998</c:v>
                      </c:pt>
                      <c:pt idx="24">
                        <c:v>2.7360709999999999</c:v>
                      </c:pt>
                      <c:pt idx="25">
                        <c:v>3.1410110000000002</c:v>
                      </c:pt>
                      <c:pt idx="26">
                        <c:v>3.6665070000000002</c:v>
                      </c:pt>
                      <c:pt idx="27">
                        <c:v>4.4751700000000003</c:v>
                      </c:pt>
                      <c:pt idx="28">
                        <c:v>5.4646290000000004</c:v>
                      </c:pt>
                      <c:pt idx="29">
                        <c:v>6.2858099999999997</c:v>
                      </c:pt>
                      <c:pt idx="30">
                        <c:v>6.3194470000000003</c:v>
                      </c:pt>
                      <c:pt idx="31">
                        <c:v>6.2622989999999996</c:v>
                      </c:pt>
                      <c:pt idx="32">
                        <c:v>7.4813140000000002</c:v>
                      </c:pt>
                      <c:pt idx="33">
                        <c:v>8.3449799999999996</c:v>
                      </c:pt>
                      <c:pt idx="34">
                        <c:v>9.2729619999999997</c:v>
                      </c:pt>
                      <c:pt idx="35">
                        <c:v>10.535142</c:v>
                      </c:pt>
                      <c:pt idx="36">
                        <c:v>12.046357</c:v>
                      </c:pt>
                      <c:pt idx="37">
                        <c:v>12.188278</c:v>
                      </c:pt>
                      <c:pt idx="38">
                        <c:v>12.319362999999999</c:v>
                      </c:pt>
                      <c:pt idx="39">
                        <c:v>14.215572999999999</c:v>
                      </c:pt>
                      <c:pt idx="40">
                        <c:v>16.714746000000002</c:v>
                      </c:pt>
                      <c:pt idx="41">
                        <c:v>19.047121000000001</c:v>
                      </c:pt>
                      <c:pt idx="42">
                        <c:v>22.430229000000001</c:v>
                      </c:pt>
                      <c:pt idx="43">
                        <c:v>25.342203000000001</c:v>
                      </c:pt>
                      <c:pt idx="44">
                        <c:v>25.494577</c:v>
                      </c:pt>
                      <c:pt idx="45">
                        <c:v>25.727715</c:v>
                      </c:pt>
                      <c:pt idx="46">
                        <c:v>28.091697</c:v>
                      </c:pt>
                      <c:pt idx="47">
                        <c:v>32.393552999999997</c:v>
                      </c:pt>
                      <c:pt idx="48">
                        <c:v>39.173583000000001</c:v>
                      </c:pt>
                      <c:pt idx="49">
                        <c:v>47.981858000000003</c:v>
                      </c:pt>
                      <c:pt idx="50">
                        <c:v>53.88682</c:v>
                      </c:pt>
                      <c:pt idx="51">
                        <c:v>60.243811000000001</c:v>
                      </c:pt>
                      <c:pt idx="52">
                        <c:v>61.618347999999997</c:v>
                      </c:pt>
                      <c:pt idx="53">
                        <c:v>59.015486000000003</c:v>
                      </c:pt>
                      <c:pt idx="54">
                        <c:v>64.117154999999997</c:v>
                      </c:pt>
                      <c:pt idx="55">
                        <c:v>71.119764000000004</c:v>
                      </c:pt>
                      <c:pt idx="56">
                        <c:v>82.129943999999995</c:v>
                      </c:pt>
                      <c:pt idx="57">
                        <c:v>92.966330999999997</c:v>
                      </c:pt>
                      <c:pt idx="58">
                        <c:v>120.084795</c:v>
                      </c:pt>
                    </c:numCache>
                  </c:numRef>
                </c:val>
                <c:smooth val="0"/>
                <c:extLst xmlns:c15="http://schemas.microsoft.com/office/drawing/2012/chart">
                  <c:ext xmlns:c16="http://schemas.microsoft.com/office/drawing/2014/chart" uri="{C3380CC4-5D6E-409C-BE32-E72D297353CC}">
                    <c16:uniqueId val="{0000000D-3C9B-4CCC-99BC-84CFF113D9B4}"/>
                  </c:ext>
                </c:extLst>
              </c15:ser>
            </c15:filteredLineSeries>
            <c15:filteredLineSeries>
              <c15:ser>
                <c:idx val="14"/>
                <c:order val="14"/>
                <c:tx>
                  <c:strRef>
                    <c:extLst xmlns:c15="http://schemas.microsoft.com/office/drawing/2012/chart">
                      <c:ext xmlns:c15="http://schemas.microsoft.com/office/drawing/2012/chart" uri="{02D57815-91ED-43cb-92C2-25804820EDAC}">
                        <c15:formulaRef>
                          <c15:sqref>ch_latest!$R$1</c15:sqref>
                        </c15:formulaRef>
                      </c:ext>
                    </c:extLst>
                    <c:strCache>
                      <c:ptCount val="1"/>
                      <c:pt idx="0">
                        <c:v>doubling_time_fatalities</c:v>
                      </c:pt>
                    </c:strCache>
                  </c:strRef>
                </c:tx>
                <c:spPr>
                  <a:ln w="34925" cap="rnd">
                    <a:solidFill>
                      <a:schemeClr val="accent3">
                        <a:lumMod val="80000"/>
                        <a:lumOff val="20000"/>
                      </a:schemeClr>
                    </a:solidFill>
                    <a:round/>
                  </a:ln>
                  <a:effectLst>
                    <a:outerShdw blurRad="57150" dist="19050" dir="5400000" algn="ctr" rotWithShape="0">
                      <a:srgbClr val="000000">
                        <a:alpha val="63000"/>
                      </a:srgbClr>
                    </a:outerShdw>
                  </a:effectLst>
                </c:spPr>
                <c:marker>
                  <c:symbol val="none"/>
                </c:marker>
                <c:cat>
                  <c:numRef>
                    <c:extLst xmlns:c15="http://schemas.microsoft.com/office/drawing/2012/chart">
                      <c:ext xmlns:c15="http://schemas.microsoft.com/office/drawing/2012/chart" uri="{02D57815-91ED-43cb-92C2-25804820EDAC}">
                        <c15:formulaRef>
                          <c15:sqref>ch_latest!$A$2:$A$60</c15:sqref>
                        </c15:formulaRef>
                      </c:ext>
                    </c:extLst>
                    <c:numCache>
                      <c:formatCode>m/d/yyyy</c:formatCode>
                      <c:ptCount val="59"/>
                      <c:pt idx="0">
                        <c:v>43886</c:v>
                      </c:pt>
                      <c:pt idx="1">
                        <c:v>43887</c:v>
                      </c:pt>
                      <c:pt idx="2">
                        <c:v>43888</c:v>
                      </c:pt>
                      <c:pt idx="3">
                        <c:v>43889</c:v>
                      </c:pt>
                      <c:pt idx="4">
                        <c:v>43890</c:v>
                      </c:pt>
                      <c:pt idx="5">
                        <c:v>43891</c:v>
                      </c:pt>
                      <c:pt idx="6">
                        <c:v>43892</c:v>
                      </c:pt>
                      <c:pt idx="7">
                        <c:v>43893</c:v>
                      </c:pt>
                      <c:pt idx="8">
                        <c:v>43894</c:v>
                      </c:pt>
                      <c:pt idx="9">
                        <c:v>43895</c:v>
                      </c:pt>
                      <c:pt idx="10">
                        <c:v>43896</c:v>
                      </c:pt>
                      <c:pt idx="11">
                        <c:v>43897</c:v>
                      </c:pt>
                      <c:pt idx="12">
                        <c:v>43898</c:v>
                      </c:pt>
                      <c:pt idx="13">
                        <c:v>43899</c:v>
                      </c:pt>
                      <c:pt idx="14">
                        <c:v>43900</c:v>
                      </c:pt>
                      <c:pt idx="15">
                        <c:v>43901</c:v>
                      </c:pt>
                      <c:pt idx="16">
                        <c:v>43902</c:v>
                      </c:pt>
                      <c:pt idx="17">
                        <c:v>43903</c:v>
                      </c:pt>
                      <c:pt idx="18">
                        <c:v>43904</c:v>
                      </c:pt>
                      <c:pt idx="19">
                        <c:v>43905</c:v>
                      </c:pt>
                      <c:pt idx="20">
                        <c:v>43906</c:v>
                      </c:pt>
                      <c:pt idx="21">
                        <c:v>43907</c:v>
                      </c:pt>
                      <c:pt idx="22">
                        <c:v>43908</c:v>
                      </c:pt>
                      <c:pt idx="23">
                        <c:v>43909</c:v>
                      </c:pt>
                      <c:pt idx="24">
                        <c:v>43910</c:v>
                      </c:pt>
                      <c:pt idx="25">
                        <c:v>43911</c:v>
                      </c:pt>
                      <c:pt idx="26">
                        <c:v>43912</c:v>
                      </c:pt>
                      <c:pt idx="27">
                        <c:v>43913</c:v>
                      </c:pt>
                      <c:pt idx="28">
                        <c:v>43914</c:v>
                      </c:pt>
                      <c:pt idx="29">
                        <c:v>43915</c:v>
                      </c:pt>
                      <c:pt idx="30">
                        <c:v>43916</c:v>
                      </c:pt>
                      <c:pt idx="31">
                        <c:v>43917</c:v>
                      </c:pt>
                      <c:pt idx="32">
                        <c:v>43918</c:v>
                      </c:pt>
                      <c:pt idx="33">
                        <c:v>43919</c:v>
                      </c:pt>
                      <c:pt idx="34">
                        <c:v>43920</c:v>
                      </c:pt>
                      <c:pt idx="35">
                        <c:v>43921</c:v>
                      </c:pt>
                      <c:pt idx="36">
                        <c:v>43922</c:v>
                      </c:pt>
                      <c:pt idx="37">
                        <c:v>43923</c:v>
                      </c:pt>
                      <c:pt idx="38">
                        <c:v>43924</c:v>
                      </c:pt>
                      <c:pt idx="39">
                        <c:v>43925</c:v>
                      </c:pt>
                      <c:pt idx="40">
                        <c:v>43926</c:v>
                      </c:pt>
                      <c:pt idx="41">
                        <c:v>43927</c:v>
                      </c:pt>
                      <c:pt idx="42">
                        <c:v>43928</c:v>
                      </c:pt>
                      <c:pt idx="43">
                        <c:v>43929</c:v>
                      </c:pt>
                      <c:pt idx="44">
                        <c:v>43930</c:v>
                      </c:pt>
                      <c:pt idx="45">
                        <c:v>43931</c:v>
                      </c:pt>
                      <c:pt idx="46">
                        <c:v>43932</c:v>
                      </c:pt>
                      <c:pt idx="47">
                        <c:v>43933</c:v>
                      </c:pt>
                      <c:pt idx="48">
                        <c:v>43934</c:v>
                      </c:pt>
                      <c:pt idx="49">
                        <c:v>43935</c:v>
                      </c:pt>
                      <c:pt idx="50">
                        <c:v>43936</c:v>
                      </c:pt>
                      <c:pt idx="51">
                        <c:v>43937</c:v>
                      </c:pt>
                      <c:pt idx="52">
                        <c:v>43938</c:v>
                      </c:pt>
                      <c:pt idx="53">
                        <c:v>43939</c:v>
                      </c:pt>
                      <c:pt idx="54">
                        <c:v>43940</c:v>
                      </c:pt>
                      <c:pt idx="55">
                        <c:v>43941</c:v>
                      </c:pt>
                      <c:pt idx="56">
                        <c:v>43942</c:v>
                      </c:pt>
                      <c:pt idx="57">
                        <c:v>43943</c:v>
                      </c:pt>
                      <c:pt idx="58">
                        <c:v>43944</c:v>
                      </c:pt>
                    </c:numCache>
                  </c:numRef>
                </c:cat>
                <c:val>
                  <c:numRef>
                    <c:extLst xmlns:c15="http://schemas.microsoft.com/office/drawing/2012/chart">
                      <c:ext xmlns:c15="http://schemas.microsoft.com/office/drawing/2012/chart" uri="{02D57815-91ED-43cb-92C2-25804820EDAC}">
                        <c15:formulaRef>
                          <c15:sqref>ch_latest!$R$2:$R$60</c15:sqref>
                        </c15:formulaRef>
                      </c:ext>
                    </c:extLst>
                    <c:numCache>
                      <c:formatCode>General</c:formatCode>
                      <c:ptCount val="5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2.1533829999999998</c:v>
                      </c:pt>
                      <c:pt idx="16">
                        <c:v>1.6666669999999999</c:v>
                      </c:pt>
                      <c:pt idx="17">
                        <c:v>2.304227</c:v>
                      </c:pt>
                      <c:pt idx="18">
                        <c:v>1.934264</c:v>
                      </c:pt>
                      <c:pt idx="19">
                        <c:v>2.1533829999999998</c:v>
                      </c:pt>
                      <c:pt idx="20">
                        <c:v>1.971568</c:v>
                      </c:pt>
                      <c:pt idx="21">
                        <c:v>2.3482080000000001</c:v>
                      </c:pt>
                      <c:pt idx="22">
                        <c:v>2.0703610000000001</c:v>
                      </c:pt>
                      <c:pt idx="23">
                        <c:v>2.2764549999999999</c:v>
                      </c:pt>
                      <c:pt idx="24">
                        <c:v>2.570881</c:v>
                      </c:pt>
                      <c:pt idx="25">
                        <c:v>2.8952249999999999</c:v>
                      </c:pt>
                      <c:pt idx="26">
                        <c:v>2.934949</c:v>
                      </c:pt>
                      <c:pt idx="27">
                        <c:v>3.1953279999999999</c:v>
                      </c:pt>
                      <c:pt idx="28">
                        <c:v>3.1900599999999999</c:v>
                      </c:pt>
                      <c:pt idx="29">
                        <c:v>3.7094100000000001</c:v>
                      </c:pt>
                      <c:pt idx="30">
                        <c:v>3.6831</c:v>
                      </c:pt>
                      <c:pt idx="31">
                        <c:v>3.826546</c:v>
                      </c:pt>
                      <c:pt idx="32">
                        <c:v>4.1098980000000003</c:v>
                      </c:pt>
                      <c:pt idx="33">
                        <c:v>4.2277820000000004</c:v>
                      </c:pt>
                      <c:pt idx="34">
                        <c:v>4.4778419999999999</c:v>
                      </c:pt>
                      <c:pt idx="35">
                        <c:v>4.9565299999999999</c:v>
                      </c:pt>
                      <c:pt idx="36">
                        <c:v>5.1052200000000001</c:v>
                      </c:pt>
                      <c:pt idx="37">
                        <c:v>5.5382980000000002</c:v>
                      </c:pt>
                      <c:pt idx="38">
                        <c:v>5.694699</c:v>
                      </c:pt>
                      <c:pt idx="39">
                        <c:v>6.1893459999999996</c:v>
                      </c:pt>
                      <c:pt idx="40">
                        <c:v>7.2764189999999997</c:v>
                      </c:pt>
                      <c:pt idx="41">
                        <c:v>8.0976789999999994</c:v>
                      </c:pt>
                      <c:pt idx="42">
                        <c:v>8.8195289999999993</c:v>
                      </c:pt>
                      <c:pt idx="43">
                        <c:v>9.430612</c:v>
                      </c:pt>
                      <c:pt idx="44">
                        <c:v>10.623158999999999</c:v>
                      </c:pt>
                      <c:pt idx="45">
                        <c:v>11.371003999999999</c:v>
                      </c:pt>
                      <c:pt idx="46">
                        <c:v>12.853089000000001</c:v>
                      </c:pt>
                      <c:pt idx="47">
                        <c:v>13.986992000000001</c:v>
                      </c:pt>
                      <c:pt idx="48">
                        <c:v>17.286714</c:v>
                      </c:pt>
                      <c:pt idx="49">
                        <c:v>18.858540999999999</c:v>
                      </c:pt>
                      <c:pt idx="50">
                        <c:v>19.437135999999999</c:v>
                      </c:pt>
                      <c:pt idx="51">
                        <c:v>19.604184</c:v>
                      </c:pt>
                      <c:pt idx="52">
                        <c:v>21.678719999999998</c:v>
                      </c:pt>
                      <c:pt idx="53">
                        <c:v>21.210972000000002</c:v>
                      </c:pt>
                      <c:pt idx="54">
                        <c:v>23.711421999999999</c:v>
                      </c:pt>
                      <c:pt idx="55">
                        <c:v>26.851392000000001</c:v>
                      </c:pt>
                      <c:pt idx="56">
                        <c:v>28.714544</c:v>
                      </c:pt>
                      <c:pt idx="57">
                        <c:v>34.319606</c:v>
                      </c:pt>
                      <c:pt idx="58">
                        <c:v>44.293619</c:v>
                      </c:pt>
                    </c:numCache>
                  </c:numRef>
                </c:val>
                <c:smooth val="0"/>
                <c:extLst xmlns:c15="http://schemas.microsoft.com/office/drawing/2012/chart">
                  <c:ext xmlns:c16="http://schemas.microsoft.com/office/drawing/2014/chart" uri="{C3380CC4-5D6E-409C-BE32-E72D297353CC}">
                    <c16:uniqueId val="{0000000E-3C9B-4CCC-99BC-84CFF113D9B4}"/>
                  </c:ext>
                </c:extLst>
              </c15:ser>
            </c15:filteredLineSeries>
          </c:ext>
        </c:extLst>
      </c:lineChart>
      <c:dateAx>
        <c:axId val="267841359"/>
        <c:scaling>
          <c:orientation val="minMax"/>
        </c:scaling>
        <c:delete val="0"/>
        <c:axPos val="b"/>
        <c:numFmt formatCode="m/d/yy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1298294639"/>
        <c:crosses val="autoZero"/>
        <c:auto val="1"/>
        <c:lblOffset val="100"/>
        <c:baseTimeUnit val="days"/>
      </c:dateAx>
      <c:valAx>
        <c:axId val="12982946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crossAx val="2678413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9263A9C3-7294-4E4F-80E8-86ADB0A0B0AD}">
          <cx:tx>
            <cx:txData>
              <cx:f>_xlchart.v5.2</cx:f>
              <cx:v>death</cx:v>
            </cx:txData>
          </cx:tx>
          <cx:dataId val="0"/>
          <cx:layoutPr>
            <cx:geography cultureLanguage="de-DE" cultureRegion="CH" attribution="Unterstützt von Bing">
              <cx:geoCache provider="{E9337A44-BEBE-4D9F-B70C-5C5E7DAFC167}">
                <cx:binary>3HzZctxIku2vyPQ8oGKPQFtXm3UAyJ2LSGp9gaVICltgD6yfM0/3I+atf+x6iqJKzKZKVWPqh6GZ
TGQmMhKOOHD348cd/PvN+Lcbc7dvXoy5Kdq/3Yy/vYytrf726lV7E9/l+/YkT26asi0/25ObMn9V
fv6c3Ny9um32Q1JErwjC7NVNvG/s3fjyH3+Hb4vuyl15s7dJWbzu7prp8q7tjG3/4NiTh17clF1h
D8sj+KbfXl7dxMNdMr98sb/Nk8JPWtskNxb/9nLRJJ/KrolevrgrbGKn66m6++3lo0+9fPHq+Bz/
Zs8LAybb7hbWMnEikeJIcioVw9KVL1+Ysoi+HpYnyBUCY0SIy1yClXo49dk+h+WL5i759BODvpiz
v71t7toWrujLz+9XPjIfDly+/OF+JG3p3W+VVx6s91ZfLvfVYyj+8fejN2ADjt75Dq3j3frZoR8a
9+g6AKx/7pto3z3s1y+ASp4w5ComCXc5wUyxR1CpE8yFEohy+En4w3nvcfq5LU+j9LDu0bXBpS2f
CUZ6394Z58rub+3Dhv0SoLhgynUZY1whJMFpHvmUwJwIRShiFP4ngOO9O99j9SdtehqwR4uPUNNX
zwS1f1bVXTHfGfNiXRR3TRNDMCgeNvGX4EeRQpi6WKCvzvQdfi64IaVccHBCwhChR/h9s875k9Y9
jeQPvuYI03+unwmmu26+a34tiEhIl3KX0S9BUTxyQoiWGFGssKLKVS7hR4nt5+Y8jdrDuiOYdm+e
CUzf7soX/+za9j/je0xgQiTDwgXG4T6CzT2hDLtIMQ7xlSPsHue5h8jg/Fnznobx22Uefc8RrP98
LlxFg++9Ovx39wvDqDhRhIhDpESCMikee6A8EQRgFIgDu+TURXD4URr8STh4GrjDNRzx5t9e6uCZ
eN99dt/ti1soWPaffy1nYRxLRDDUABgcjzzyOwlVAoFkB8EUvE+4+Cjn/RXDfgDcFyb2/aUd+Zre
PRMQl3fFv/5f/2sdjWCgI4IzF0lwuceOJk4wRZJCvgMyCpT0mK+APZ8fXO8p8vQ0XverjjBaPhdH
W5p907V/tCt/ucx2FcZMQhTEmBKFH7mXe4IEl5wgqLKxchmnD6e+Lwl+bs4PQPp6GccwPRtXavbd
p3/9TwH0/9WySQ7qSfKwc0/dyn8ZNMEhP3HGoVK7R+VRHSCIgvTGkGAAG/x4OPVX0H437uHAUzb9
ALnvFx/D91xYx9t9d/tHW/OX4eKgjECwcwliGOHjMCiYEIpjKNjuS4KHU9/D9W7/ExHgaaC+LjuC
6K3/TJLVpmv2D/v01N37FyGSJxS0RtA8hPhSWkOc+86j5EHCQi7FBHHJAEogId9Twp8Z8zRC96uO
ANq8eSYAnd11N/G//tvemYe9+gUwiRPXhbCnCPxzn/AkqYCyA9PgiAoBlPHh1PeeBCbdFf87Vfi7
pUeAnT0XavGx+5Xy/cFlJIiJnNzXy49puzoBWZ+4LrgVSPcuiJKPkfqJLU/705dFR+h8fC6C8Fly
O+zNr5UTwZsAIRDmlVJCfumhfBf0FMiJnGKogEFu/Kp4fB/0/pRFTyP13dIjvM7ePZPwd/7pPwCX
4qALMoVBvodcxB/lKHVCkFKSSEhPiLkKweHv4fozBj2N1u8rj8A6fy5gXdmTF8u9Mb9YrD80Ujhl
LiYYyMPjZot7QiR24ROCYwUpTYCe+D1cV/sis3/CqKche7z6CLar5xITD+3oCbrR9/v2C+gFdJUh
H0HjC7xIAiN/TNTVieQCCi+g65LAUX5UV/3cnB+A9fUyjmH6+ExCIezL/vPneN+1v9i/JKjwMCMg
XOh6HfsXMAzBYHRAUnXoihF0pFz8WaN+CNl3l3QM3Oq5AFea0sbdL+5+EZe7wDYQ1FLQgX6sN4H2
zlwJsEHUhOAJeu+Dd98z+Ks/Y9EPIPt96TFe588Er2vA6ldPdhxGNwSotAIpCjMejygHqIPQo+QM
9HeY0GH/Rjn+hD1PY/Vt4RFS188lc3381//A5FT8cHP/ktTFMIi0DDrLEkGv5LjeAhkeWCGkNqD7
Avjjw6nv/epP2PM0Ut8WHiH18bnEwOvkJinKh936BUCJE+KClkRcJRFouEw+cil1og5Tb8IFngEV
MoKj37PCaxhVS/5wGOFpmB7WHaF0vX4mke9N82vldQncHKYOEYKu/vHooYL+MHQaIT8RISmFqPgY
o5/Y8jRAXxYdofPm+cjpZp+0r95BhZX82t4VgcYvSBjSVQpaV8eiLbgX9D+kJNDMh7B4FPPe7g9W
PWD3lGc/DdXDuiO03l79H/Wl76unR/O+f31iF2YKAREoeg9djgN3eyQnwajuwas4iBjQu0JHnfpD
9fRltvjH9jyNx7eFj4z/blj5PzOc++PB3W9jzf7e7oMv89Dfze7+8dEvlwjT20dL/6jEvd+v9e1v
LyVjSh2K1m+T1oeveZRAfjQP8Wj53b618G0nrqCg0UpodygMdRS413B3f4SCBkVdUHcVAYGQAtko
ysbGMLYtT7iEoPk1corDXHZbdl8PHaYTXQlU8es0wMPVXpRmisri29Z8ff2i6PKLMils+9tLjF6+
qO4/9sXWw/wjTMiBvAxxGCaPMWTK6mZ/CfPwh0//F03FFImypTrLy9tcVy1fsbLfDk53646Jnotq
8JrZ3ljRTPq7LXvi3OTw3UfnZmAAP0ylHARS2PLvz91XLRkE6aiObXRVkl6HlfPGbeStJNFVwXOf
O+MZcic/nJOgjUdNnCEwM1vOq6w37Lwmt2aqrkeHZIssLgNXmNc9bXemYxtZeGYw6z4qL0pENqhR
b39mPWBwbD4kOAF+CpWzhBz22PxszGsW8ZLqHFehZmlutKui3GtoWGhF8kh385R4CNl2URdszXoy
a0stD9Ki1yTDy5pH9rwj0euc1r2flOqCzY7OCAp9x1SRluOZI4t2gftYeqng5HxQ7UXfhs4SV2TR
hUmqVWl1npeNZ+qoOC2LTxUfR61QMno5aTMvJfR0GnTFZb5CMUGLWKWz1yv3HWbNOlYzW5l+WDW1
eRt1aRL0XUqWQ+/u0hCj0xmPXNeJy3VVF0jTuikXs5mXKHZT303YGU8p8UtRcq+MmNQUORtqJqPb
OVTaxu3CrcT5XE1Ep0OyrEWVatD6VqRWUeSFydns0sUUlvFOpZEbpITlGrvlmyhHARpin1C7DTu6
iXjyGmLmW2vUOzJar5DDWdWo6yjrz1KnuugtWyZOuOTMeY8b9zO4z3Is5m1bRpd5Wl4UbCWHWIcj
2zYtq3XaFe9baTZV2QeitOvGRkHOnAUpr2uTrcYI3c3TeFMqcW5QssqRq8MhTd64XRQYUu1ZWqYL
icdUj8Srw6jULA5dz3HE3dgxvhSRMloVckM6dlF2kU/rFLYAN1o5kQ6jHG5PbKdVEbO3Q8mXTptp
Wkl3WfKebIzbbyYUVpuMOyaoonQreW03dmCOLuY8KKX9mDTF+wz2NysTskxJU/s2byf4EqcLxrRO
PZWR0SvbrSNNupMpzzTi+bRMik5HlUlOK1PMZxR9mBL6buxsoZuJBJNFmZ/kZiOz5DJuO7UcGdNG
zc6q6ei8YMX8toqmZZS5OhLIAxWQawfHhXb6IKzGUteSidXsVKNfFrmj05pem7TtVrNJ86Bui1o3
IXF3te31VM0+HRL5JsFkK1ulB5tL3dMo8WKa5JrM/QaNTutnxTAsMtwFMCvudzKRq4I4uUbhdT5l
TEe4LQOR5mdknKO1I8b3BnWvB1LeJjTtPdIzuNVIkWnXVkJTnMY7JtFHUUq2yEiO/DKqwCEtL31B
zAoq9B2PKrlNS5kFOHTOedbHXt30ZIkSluiEfcDF2rKs29Rqyrws6q9auJuWYSlqv3PxBbKMrmrX
Z+PogHd2XCc5G7yxmiY/Qp9I3zDd5OEbCFGNR2sa6jmkdCNYNvptl3Hdy7DzqfHrMckX1oilGdAF
mlB1OvBEx6YZPdPc1DQvdy2udeT0TZAZp1skSdSvqawT7XTKeM00+CORw9Z2ptlFdkgCVqvEy+rR
BiNx+mU/ZdKLo2kVMydd97ZG2jRusXRl7XhfQubXFP414t9nn5uymmBgJ/76sNS3l/9YBZfBl6d1
fn/r8KTV769OrxbXxx84nOHbJ+AEX894SMuPXvwbS3jIjEc84P45rh8cfEQSHpGhB5J7yJyEQLj/
MUH4yqZevHpx1SUwSH34pU9mmIH/Nm7x7VvueQJGJ9DigAYGMARCXfCSB57AT1wYl+DQOwQJicOY
Jhz5nSeAXHQonmDo7CC4A4V44AkcxnOBJyjoHX8Zv6Xfnml7hBSwpK+vv+cJ0G7+N6YgQL2CUgBM
gxk2KLofpzuatFGNE0L03GcejxKIb7aMfT7Db6brzmbnk7UN0VaFeGNUD3mRxcKbQzLpHp0l7DqK
yvmsDsmok6LBHqQWol0xnEpymVqTa17kfgMUJahZnOoMqVuVjm9nmcWaJVdTL8LVWN7Ec42Coqed
ppa8b/u5XDdVtxwgImtnnBrdVrJcGjSnPjJDoTsVdZo0wl0yxanGebfirJtPu2heYK4ynxsml7gp
lk6Tj15fTtzLC4cHyUjGBXFI7fVi8KrCuaiSkK9m3EVa1dOqFondtnW+7CCa1hHOFr2TOT6fws4r
a1v7g1PGGpP8TdG3/aZuU6WLycxeJVvt1P3ox3HU6C0hmfWS1HaLOco/EeGeD1E4LiMxFv44s8sx
JHdVHZog7joeTOy6EznxaNZrUSHkk1FYLUx617P+Js8Gu4H45GQ7LCyOdSsRRDa16YVIrgasnKDq
B+azaPakHYB6AU/ZVE72qasrvFL98H4UTrVswmmtotLRbtuc2zwF2wxxPd6YRd21byHBfIgjOmkB
m97WU7QZMutPg4g9WyUbFCPslyQ8G7O0CRAbCq+383rkWbuIe02jTu643Cekp9tpTq6imoT+mLmn
oKBaXyUJ8kSb+gM2xUI4EKniphKBq4Y3XQPBi1VhrdHgtHqmoxZD1l6CY3nwEIiGXDqfZ6RfdaLc
Rnk+6Qn4dzDFn1iTT0GG2WXNzejVcbjNU7JwcxokA17kGMW+iQq6iCtqNKPxmxDXycrkAwCe4DNr
7XXTJiQoPLbgUTQF0fuac6472q77JFcL1TS9rovySrXjR5W3s+/GvQwYyTaOKUsdTQjSUI7aC6cv
tTV4i4gDlKFM+LIf2bisZUR0m7vbaiyA54YTZOd4VbMw0dVA40U2klSXjYqXdChY0A/vqk5iyII8
DixOpcfVVG/cllxhWhVndYXO2lgscMp4UIoKLBhYr1kW6sRkkD2zIfFJ4YQLyGzvkokaLwERR8cs
Omv5e8nGqxn6sltbum+y3IyveSRvcuCntou75cQIJOkc+7UFBkBo0XjRXGQL2rF5O0r6Gjnxx9p5
TWY+BbZFb0mfh7sEDVfO1C/aqhi28WwHyGLibCgmu+K2zzVsXeWJ9wge7/X6wc2A56nZ550zeaq3
ajWsx3kAdpDjbZK3idf2Y7ywXVmcwgMnK5xnC+DpLFCSl0EYR8uwqKbXedG6cFVYh5zMftxcOnDn
4DYddD662BM8pB6qhS4cJZZlMn8IEU2XTlV/6GexZVnbr5itXsu0vRtzWwRRPdJdxedqgW0W+ZbF
KmgcgLKZdthhxQXcaRauOdrObVGeGqVpNgGBnke/IyLyCk79UHRkGeIlpSpaNIXLfExvq4oASQvj
ctu2YtCzkwhdG4ghNiKDHpGCoBg13KsHJwtU261HGX6iwvhuz+zaVeJNysqznDvTyuL5jIdp7DFb
rlsU57BnAXeAh3B/rNG4rzonIKqOPEmGMOAQsqLZJis7tbphBRAtW2tVWannhFYLhrt3eVp9imHJ
Og5bXUbnsdPX4PauWgqen88ocf0Y248llJM+hB7qTa3xYreHAKtC7ncA29Rc8raG6J9Rr07GA2lM
V6gjb+tsk49m2DgqFH4aqTBwp7FdiHFSuiNIjyLlAc6nStNDbBgANmxJupIdvZUYqiBhaj9XcyDD
Id7AHRZrUwSkLLk/MYN8OZbvWBe+jjI5eES2p7geN0keLTIJF9O4brNMFL5IkrxYxCWUS63pG9+d
uTajvGgaHC9j965K4XMj5rUmct7DrH4fGLfZqDzuAydimW768V0RruLJ5n5dhbM/JWpTSJmc98K5
kPBouhdWxujZdhsxJAlsfpIspMnCgGGgdY7tlxzSY2iqLYc3XLgZgqllkU6b0Gop5oDC2yUfZ690
at/QxIUwnoYb42xtgbLlVIyDdkzq6BL1xA8la4I4DOHmTkylHWl9KJI9ypsm4CaSnpM3fInaqfNy
2QVxVCU6k8BZ01q4H0R9MznTZor609wtnMuwGD42juReRTtgwQ21V1nZRrpw1Y7PrnbhmK/SdsPm
sFiG01LB8IY3hJH1xwo3Xtra94qPawiLrY9CyL+tcS57PNwe/J1Acln1tvdCGsbLLEt8J0GRHjG7
zlVrFlOUnEonG3w2uWyR9m0MtLdcAyGHSqLFUoclfVuGQPPR1FaLCA9pIObC+C1V67T07URP+7w1
vqkt3FU5m7QtJ6xbDN5cTsgjmfJJWrUeE0n/njbzUjZel8l3pJmRN6YWAK4aqAOoOptwpPl4uLAW
uR6bumLtzFBimYLv52ZYFFAoLeMB3WUm92QmfBuqwS8zExQhrjSMkh1qiQiUDdzrhAxv41KRzUTG
DJSD5o7XclgNearDhH9OG/uay2nVw2u3Kgr/cKDkdvbhgYTZsyPNPZB5Us+FJAVUvqt8+OinNGWr
poTCjYAgcVaqaIsMBT5C68iPxuL1iNPGB7nX1djaZeUU3fXE7KzR7NQLORmPSbhfu3Fjqzw8JcDI
QM3Kg2yIxLJz8xWIMf0CYk2rBebrvIRaYkjmqykaP/SwXXWbBXRijYZMvIMzp6DHEAAvrLk3Dggv
SQycKLNcp3I/QOzxKbCDwdHSOJtcDU0wK/Sm7WXnQdWyiVvSBU5aGsh7gnoiHeJlbvDFzE+Rkx4S
e72rOe49VZFTlasLd4o5SAlb2iq1HFp3gvOUIYQoRoN+kqtujpUWhwSZWzdIIDKl+bCt3WSPnbn0
4HpjX5IVz9Eno8IRRDDIw6YpgSHIPS/mSA9Vlh/y/1kyonFD1LQTZBxXaqpAaJnqNR1y8ObE6yVd
EFK1WzzEjZ9HI/bm3PHSYhxPhVPuamc19wKB+iUaPc4jfHMP8R46xfFS5VAnu2hIdXSoUccdnPkC
fBFCbNWnGqgVO5/tuGxz62dJW3kTtM20yctcGyLXQtrksjHouu+dT13IhrWdndmbchN6vDC1Zn17
Uc3UhYAnYPPrz2kn1aWsHLWY5oj4xeTCZ2LzGjheohs6tQsowe0UZ6dutouxitdJWQIVp8NtnMwX
RuLbSc6tN43qXReaYomKbpFVw1WbVO2alCGIH+Ydq+biXeL0V6xY0niJD15qYmeD+mkpQuEAnvYG
8xbUhHxTufxDrUBP6VPq55ScpQlXXqscSOCC9kFWUB25M94JWQcTeINOSdH4IiyrpRSbshyCgkVv
+FCU/iBgFRV9FCQFXYEMgnUDqZKFHwV0531M2tGH0ieY0Gy8bIQyuo5J6ju2o97A4L1+Zl4mpmyr
WN4Bb+NrFEWtRytAdEqDCh42WQIZzZdlUfY6CtW+LePKg6e3iq2LCxKUMJa4qLhb6grq5x1LytmL
8kGsxNx7s2wmn7sqDmaIrJd1xS/bynTbvIMdEr1Cwdjw6JQO89Yio147Z5bn66rm2ZZNGChT2S1H
PryOMegMRsrtWFlIsiCmhXSeVllKbxAQxV4W75Vw7lzQLHjeVBCKyj3u63rTtMV5i8y0ZeG0q+Pi
k6xFt0yRe9FEbb6ax3qvOtEvMON2OXbTteVO5pedFw8zCmzXzZs6cVZFrjZzHkUXdV2TAFjJaxhB
+jhn/ahBOIC8NNSQCdOzyuCr3pQ+kzH3wghD5TXwaTMDBVcpbtfuKEZddVG0goyWSHZ7KBe7ptzW
zFdTMbxmEuSbce6gogGhZoXwdOpUtgWvpLd14ZgzgYEDheQC2xkEHZNIf0is9ZNhAEpE8IccbnMt
4xIFqneklyuia+xCFAbFajSr2KnkLkKtLyMaQYEDtg9JtlAGZJJuyC6aEq1Kt2l1XDaFF+Jx9isz
v2ngNop6JKDwRW9jbIwfFpFOBkhOHRTNmqrcDWbpEVf2mz4avGyq61Vtwo8Nb0jQ9lYXvP8EEotY
OFUDNU7RQ/kXz35GQaRrDXxPH8Jtz1wv6Qa6xP0c+xEPeNv2Xlekn2MLJ0m3tM92vaxL4DHKatsf
hGcFArSgpY4jKOsSWfvxNLXLphk2HTC5zfQ+SvNYj8nYaiPHdx0aNnJ+TQyEvYb5aHRBC4UaEepm
P8ERaL4ljhZtXp7nQubrEBRbLhFYAbvOuy5cdCQBiboQzS6e5NsS7uRkaAfwJKf2qmwAMZbDfUHm
8APo6fXOdgIEAwgUXd10IB9AFLfVOR1RvB5DvoBnTy4Vit8l+QBFFJOLqumUX452g1QB9PAqMjFe
cjU6njHpRqgBJEVH3YwOciCTmBl6GnAnVObWifpeKw5SqW3semrgRm+MWkFDewuZ+00kgSH0kFH7
pq302IJINwxT7GWwOZVKmKcsr/0UXDYoSwiTtRNB8myym7aJ00WZrid+h50UBHh7XkRe5hQapJBx
yTno2tRxMoiE8wjpLt12DTsva860StD7Ju+umwSUexxL4FSd+OwoCCWuEXVgRPzeCbnXFCVaCD5u
BhNdTAVkaSROReGCOlqPHusxB6riu2ZKV9WAKNzSW0NNu3VL+THLL1v3rhA6btphLdoOIl4ClUZl
5zQoyvk2bU25NjBb5nNoVmmQsxUU/f26Q2/cnt62in6Gv7+0JHMT6wZln1k20WVKIT3HXe61QI0g
Goxe1Qw7VaFFMfTzwm2ERs64CCfheoN1r2G7Zw0PUzoaq7r1e2lOGUnGoAxTq6ORSh/P6bmS46qs
osthXKYut6ekZpuid24nhj9QR113fJ40bjAU/qD36HYKN6BKLqrc3kwo37uk8hpwpdRi8Ozqo+Eg
xuM0WarIrzm5KCvHr2JQ/dtmO3UKDHIQiFPuZ6ikE21tJLwiTFw9T3nAuuoK/PKzbUWsUdL3vqPs
osjLWUdS5NDLyO9aJG7gT02lXpG9Mw0g3E/0TEKZUUSkXjjNgZtCsqZ8tothDj/jcLpp8/RjPXS+
KsV1wdsQKlCyzkS8Bp5YLfoB2m5NCmzJoZkXRSEO5rO2gmvN4JGEoOvMeTyZlUkgBCeiBSbsxGZF
hniXMa83IxS9BXQtVFJomTijprl528duHIxDfyui2fgzCzvgQR9pSwffkHo35l3mTxFfNKBEa9AJ
nSB1dnUnxA70sBIkRziK3/RO/bFh6iKyxanrpJWXUpl6xErip2HrtQU4jYE/ZLTI2I0pVLXIabeD
hywv+hKVp1MBMSFySbNg+slenrAT203V5M9lC0IL9IYEhIQix4WXxN11G6B83jQGqiIaOcEQseU0
gf7CTAzptEnXw4CMR1SjZ1VfzyZvdZb1xSKvzIUR8iOk3TsQ0SPQmVjrDTw6ryx058oYS080Xah5
bXS+jhMQ7esMSm7H2QHtQtCk414XUbOQfbseo9IfkeeIEHspMm871kCR1c17Hg66zyne/e96OzFr
pqVMZqoLCvhLmkEJTMJPcxxedNOSzVV31eQ9FHIjy0FPKEdtMyNWWUKp16fAlEI8eHMitUNYCSVB
9HmE9P90X4c18zqGnO/HWQIRqAdJiaDmsh7DixB3YSB7kJ1qXn6mkK2X6afakHkDsl9pqY+yLvQz
PBWa1KW7iyBMFY57ns/9zjXdBzmxbJE4EmIu9ONEcZ3Wdt64EOxlUZxm6VbYIgviLBw8eBTt/TwW
jR5GYzxIptKbhuGzdeTHuRCXMVIg8HVXBeitPug6OJnf5WGssypLNKvzBZKVAZPUpRvWS2i6DxcH
bUg3I+U+UeMS56g/zQpIPgNqpe/0zIvHuAG+PIPTgLtVMG/hjWZy/WKsAwh0ja5cx0ATJro2Tpt7
IMFHm2JAV7FSoFoCQw9VEvphAp3ACDfQBksJXlmHvU6GdzGt/NJWZgESeO99gKq/9JQshy/3FW4z
6NZl0HSH5++8yOQgBEzxGTYi3RW1BJU4HSC7dPDH0mgKN6Uqt50bj+dRBsU2s4zrIa4Knc+oDHBa
VFDTyd7nYYU8I6EvNpOuWFn4gw/QzD2gyYagGaJkkWfW6K4K2io0iwrxcOGOjtWlTDwetpdzFV9j
N9mSGpqBSeEwD0dl7qdV4kdZcYFp30LgHKDOTJtlO2RAdaLqrQrrmzwW72Y8LMZp4LqNoUafynwF
rYRTWYN4TxL2/6k7s+XIcaxJv1BzDCS43nKLVRHaldINTSplcgFJECAAknj68aiy+buqu6fb/rG5
mLlJs1IpIyNIEDjH/fMTeNiNf8eHspXxD8g/sAzEo4ZP7o5RkgkxbdD+mvcQglrqGfvYuhKd463Y
ia+oVVoUdH7ZLO5H6EKqsqM3pagc8sjaFdWzsdnQ0B9MPKDDvRstZc9RYCAGo9xZDMVxGf1a12TK
vDr+od3qaZsjmvfODXAgQ8qruJQyKqZpJTlsM1ScpLTJfBzdu3oOvatdh3PNW9w9M9SnYQ4uFUTR
Sbl8r7roF9vcnAhsaGGsKvRkzput57IK3AqmdwP3WP4YbPzhz+PntJnUGCFz4ph3oZPSS4auXJcY
x7ErFLrD6LiO4U+uAp1O0sAJJM0CV+8lmizqM31B284hdTRHKJ5DNgVLnzpWdbm189G6Yi4szuPU
D5qhpATK9rJMfdbzBYotXGXjxmuGOmnq/TGrm8TLnL5/nNfenGoTPzIeyXzRKFUWv8Jes+K9+Zbg
dk5Pbu0d3an54aroTIW/pgk/0vEkuMGCXeKTs9HtBwlVYfruW8g4eiKRo1MN7zaVUI9YnYQ57i3k
r87LglYtXxDQtN8XQM/yqu/E2fgNzHFHQgsYO7aLlui1NQIvUePsi7GljfajW2ULbWm51mLyMpjC
r2CuCU7atQUEgkee1qHMeAdFiTi6T9Es2quZXkU/LbvFa17nbsDyjmb2GLD6ZR7l1/qLNFEpp77e
k/ZlSuhwHiOJteFONXrlmJcbNkTX7eYHmYRNGRAz4fBSp0TrN6loe3TQDBae7cohXJy3rV1P9QrO
w6+5X45O02R09pe7SWJno4HJq2AZ9tFqg4IZD/qLAwndr/X6YwhCWF3tJx+d/eL3P+3sQQED9HE1
lZPbVnwM3M0hfQ3naXbL1kz7iQzBTriVuusvLrrPnInZPFTDwou+rpy7vlYZ5bgkHavijNElTCVk
rHSCj7Y3PX2VZim3QNyB2Dg0A//JkrVCY4Z1tSRVnA/SJehcZlqoxLSHqLtUkarhXy3hcZQKSk/L
ir4RFWT63j/M42Cz8TMiq3+d4DbT7XPl1VKGsfsFVgRbl3Fyt0sG2EZUw4dmbiblStCSzPtwAc+A
DsuHWjOBjcu5u/2CduOkS8CPFVrxzOugCxMitizqoTG3rg7L0HP2EE/EnTbqqW8g80UoHOjWrLDm
5avP5W9sGv1cc07ToIPAAgvcpoKhTmHrdJkq7LlryF6rfnuiZgwOQQeJMVywB7XVFMG1eZh8c42m
8VnicUyTiqPF5ON0pACvrj4Zt3LyXJRgynth/V4aU+XbYN0smCLcLpzBY0ObPJmqd+NAiXdMNWbc
DKII4CeNeJhWVGmtO6cz8b/b2xNMO7pg1xvzBLxOrgfhYnM/NLoadqKjz96whdmw2jcaTSITvxid
HptAXEawQNgagzpzWfS1TN/dTfhzDLblluURGR8jE0LvHy+kQ2njnT3eP07r8NOEczkqDv9HV+8u
9124QbA+aRunJFzcdKPTs076JW2tVhlc7HOsoJ4ktXmdw6AQ0XgXvqMB8cheVvFP7UJVQKO8jY9G
BL+JkKNYr0qSrIck3A5RyPaqqdZ0lP5vdChaGgapKqhFcTD7w2er/R9Y0tvGcWEl5KXgoggAkNbw
zypOVC55fHGnwk+cHM/7RSv75W5NPpHuwkdXA7pYfvUW8NIW3q92vJ9Diw01wfZLR3YAhONelgjt
MtyZGXRH2Zup3bNAOvfV7UOqWO+oE+DoADyH3Wiyr1F1XA2gLHcwASRsuN7rRLZjzdS7mURuO9Md
VQVxDVLlncYb3ZGhO8BAPGxD1Nz58fxOEtkfG7QY87IlpRM2Sa7gDaGzb3m5NCav/UWmPq/nvUkq
lPFzAGkEV4lALztJGY+nmdU+JP+KZw6dwiM1fMqjeXbRukTzMexCnoErlfkshAP166mp+SfSsLYU
VDx3UVOQ0ILa2shc+n6L9hOyHIgzNu+IH2LhV/rEmX8HFClMu446O1skLQqiJiDghmJ2lNt63Xr6
4BPUxgS1+EEk+n4JzbuNs0aF4LuaOYTMs6ICongwQBQaC0ulD1y0VLzN+BJVKGp8lnvBAqO+vvir
LTbu2KKhLpy+gJpSErSecuCXEaGZM+9EDQU00sfNmQHXzai2oB/sJ07CjDQ45ufwkbsjy5Wr3KKu
YXonnTp2VL2QpjqimCIlcUaWzWvs5JVc94OJHGAMvYcasWGZ2fQJ4MOGzQjP04aj4YRikKerHr28
JzTrFqxwNsH/rJoqSqPOe9Erh3PAZIoCts4TDw2kWNe8jT12rj0DfwE4T09guopFwbGJWTGgr0YX
wwn8a9tlwBPrS6Kx64PFKXk8PLWkl6kM0eNP0q0LN4yrvA3I1xqMvKAjPFLY9tEei2JPewdHnlPd
VY5XHx1sJKiy9/42uOUNLohsMxUuF1U6a/Hab9FT06pn60Q6D4Lmq30Tg4LLSmMDsXadwSWh5+7Z
l+/BHIom8FdJ470HszxY7FMVAYThZfN0BBYRfrvOL8ZJnBvZbnjIvzHT9g1+ARArx37oOa4LZKE0
CK9do2tYOo0tG5fnAKmCB39VO6pXmXuqc7Aa1gLQkvgIO5SDuqcu7Mzlext+ccF+hv364uJQt75h
qao+J9QXlsFqDEWIBld3JcpNuevN/EgqXOjZ7boDPKDXIZw+AzsMRzoPP8PQHLkOttTT3pY3DrX4
PPg0hPKXyjOQrzuosK14gyyDLpfWr5KMryyInh0WYQthbgh0cD1EkjaoIbsm7aA8pUBV6gPpHBzo
Ms5VXw/X0VO4Zzi+Kpd+6Tg6Mhb+THzrF0z5udPM8R7xI0g/MxRG38n9m9y/4bqNa1+QYPJTdC15
woIOjZBP9jYgMFstKzvuoLWE2KnA9aXCeFiCNnwOmK8zaqOucJ023eq63UOCKvxmhS8iBg+m9oym
rdvxDXa5CKLUH2t4/0IxqFbVAWVzvMdF/zAUj6jTgSVrE9iiPkz4Ze4yMYBVoN73Akv/2A1Tqtbt
l5OILw7FNpUala+piXu3LEGftvrnwL0PUaG2HG+aa+KPMAdTQbv2pr986bF6gFB051Rs2G3TDK0O
xv9UQVTztE6tzjq3b/cRqWHQJVVZo0lKsaqGXRV238sAqHCI2t/qqCfwYccaynKXNmTsz7//gbqr
P89GsmwFNw8pCQhupOV86lTz02vg31g5dWiU/LVQrf7wgvrgeh09t4mXe637E/Mq+5JUY5AGGr/o
G1h+zuKyM1NwZckCHR0+mSoWC7vGMu9QfbQols9iGGGZV5+oZtItNtWp5sEnAdgcieqp4T7HMbei
MqkvE8Xz2q75ErDXTnnYPzb9LsKotAb6ktledTTorI+Xp9Hzu4cZNxzdz73qXPu4TPxSYaB46ffC
KXsaP/qG48zxhJf2G3ZjGtVfcRhodM6yhv4qmtyKheVisSZfNUxMPUaXwJj6lCz4SwxoJ2dhe+/V
UKdN0ALH8rkt2hjIgxTs5DnsDVRRd1zFrIsptDDnIzRjiWUs7fwIOpFMbE4kbXP03XsT9A/KWoid
If1edAjFdKh1qZauhEcNgX2945tO4e1joxOgE9vIYJPHVTMa7VC4vbk4itLKsnofbpnX0rUUrsam
nARvLBpwmPjkqacEDjxqrIOYIXwEpuyCcct7+ElAnsMBPKr0IJ/U+89+7LqrHN6c9YFDLzYVkXkz
bN8VgY7Uz7DSMXiv0GL4rduci3DEHZGNLozb9AWMmXsztm5WRyN6aniueoO84+oga5r2ioe8/5CM
pnPMq3LqyYOgo0onSopBOubADbQYrFE80WTx95WuP7tWOpnvPYqBhmngtzOEaTMWdvKrrOrlPiTC
vAU3K59FE1y/2kUVvLLTJqai3sQ92tNfgjftDuB1lULnhkQ1OB72h+YtnpVXLiCeh1XHoMkqVXiA
taJup0bsabh/r0ZsJNeA7LJGr18DRdO4RP0HGDi6ryx/UetlcDf5wIRud9onBFXQ+KnVRtBYbp82
Vj2g8I1mE5nSdson4ehj63UzTHAIxplza+vdTewjs3zAUmElqGJodom983CmEtC5aTTBMm0qDRRb
Dftu8r2yVeRVb/HPVSr/iKHNXrHkUZfgszlgsgZXw4ke/EMgu+Zu5vbdH0DA6ipajmZxpj1Gxjm5
Mc/+TUFux7MDcCSr5AZ7SmEHYWKEVSqyeubY6CTcsgoyQwR9uk9O3G3aDzRpEHiDj65ugeGqUJfO
lgrSg+dpuuucoPdUJviFadF3Tq9AGcn+bKMRPVpATqa9+F0/oQaJ4zwRAHZd9TAnBve33/a6UmC3
bjb633gwCKsS2EtKAMtx/OR7hNlJ9fIEexecU/jWsHjXcwP1bnF4RkkpIvrcJePZ1hbqucFiX28G
KpPvjgBu8TcddbazIfSgOgTFsfZog9HPYpm3mUb51y3Q0h1Sv2tIOMECUyl02q+ZdE9D3N97cbQh
sIB7Cdb6GPU1QB10iBquetrFEbqepoYgvIK779WRje+Erf3/ARF897++k+Efqd8/Q7//v3HDf0m1
/ZkbvoWLohChrf89O/zHjNu/5pF+/yt/gMIYKIS4a4JoKwIPtwwsXuyPQBEG8oYEP4sSDPZCuX5L
Df0dFPZvGUzMIELoKMagh7+DwuH/oF5yG0+EwTe3AUbJfwsU/idM+DYwAqcMIQRz+DBY4q+YMFvi
mM2J9VKy5gxnOBBCdvr3YvIkkd/R4mXcANMrCdSraz1AmAkJjmjbXoM2n6Dnl3+6qP8CaXYRXJz+
IX50mz6C/e02JZz6/wA0b5GcA8J9D6EVbXfwo3aqB4Yiwv7A+VeM7fdu0VC0BffSyOlbnByrW84h
gh8RNtJQZ3NYq/8QinIxueEf3xXSfaGH6cmY7gAH7K/Xr+JibmmEzlrNXlL4PeBl2ZzVijchDdH5
uq0ZOStISJmH4MsWJdN/eAtIGv7TewC8hhw8vV0bhMNuV+5PobDap3r0EYyAtVZ3qWHGzThH8IEk
xjnroRtTpH7SIGpWoDYWHrL8FVv72RrXHLGvm6wdH8x0Ak46ZrZxWQYgpUevYBvUo/V2wgXAPgjD
qEAyZDotJkILFTc5jEG/RBTGzX1Vd9dxWnc+gfFf+29uHaPMnmDWe6SFaK4aYAdQngksx7riLzSy
H8mNkV7CCD2/+wYjtBiUolmlYjjAaOhQsbHmNDo7DMfb8pXSU414cnaL6tyUEFpO1S21YbGLD/GY
5BM6DOGtHKJ/+xBGsy5lbS7TVr2OdoNUG6EInGccEVpnsUSLQAV57GV1apMGZbRJgD9uKGdMTVXq
dqY9ox+BbsjV/eLWr/4G6HlxxfMYzm9wBBEHG5xP3Je9GgZy5/JN5OT2r276UwDNfwFNBUJ8/NwU
Cy5T28nXkJLDCLzrEEfquU3G+Kj92s1ITQzYctqAFOLtfgtOWgjYJ9vqZ7Zrtv3UBOCC425vgcGl
RBuxX2dzbvxqh1KqL8cpqI5JhQRXK6Mu7ZwV4lkNJ96nG+JdTJ0bJynXMRmP8VIfGZET8FFXlX2l
q2vVQs+CLcIOdSf3pj4mdWsvLrAJRtz22CZvIDzBLcw22ocDLQkD7ii9BoCiXSW8TKSBVhciVfSS
gMi+Rx+YbsFcX+vGvg4dsNF5wvPRI1azk8rbDkEL0RxMD36LLnAeWzC2yJeVqg2ysG9Pjkrgny3l
tHT3HUPlN62NvefwpiSc3yxEbiPDxCJxhgwPptSDVGhUMXUEsDCtoNPNDSqY3YbLCsStOwvoBFBD
HUCoaPm5SHoAccnjjNDkuTVX0wPVHtrcXSE0a4Uqc1sUUmK3PS3kjXcMZwDAU8iP3Lg38QYVK/RZ
r7Xi4GsBIb2dL13C4tO64H/Fc9bgSHmzXUug5AVDuswzPpdT4yWnX+sQQODthwvXsXPUMOYZk82u
qvwmXUK2ZL4zgqdqLBRToBuAAoCMGRdIVCefoZKF+2RQFDVzXTY+gdkoVLVTaIiWWUHgT6TNlnkA
pDiwC1G4HOPoejmFuggWFVkyn+sbc26KbUFBm/jkmyu2D2ZngN2zQbwI9cnnYsr4Nm5HDjfZdZz4
INcW3oAOogc6n2zlNJdqPYbRGkLIGO7D7qKEF5axaVp81Om1xVK68aWwc5Gf4w21qe8DKKvlz40C
iUb+Lc4WfL5sqbE9cRC9KQvKzd3QtxAU2a2CVTf4v0Fv7hHRWvC08QHRC5u2rNoDN9sOxHrQYXLq
qwS4TqUgpG08A6+Xa6W3siJOknqAyQh84GxNVAiYEJpC7dRTOtB1S4ek+cFXmUXcWwu5vo51WN0l
IgZWBOgq3uY70OHYRUzHH8W4AnevXb1j3fTooVpD+lfgdfBPbm0D4Kgbfmu6EVGt2bXpMsXuzm/I
hzcKe1fdqu+594s1bgGlBihtvdhbj4AgAYt3t6BmmHTwNmUN4W49S7rCsGiXNfUdLWA/oL2QHixE
whMEMuhb1UWoWJfqa+zcBxdb6AGZFvQJmyxjN0VcQxex26FtpWyFHEI5SDnnOXL5BXrcYwCm5zXQ
5tvg7rG4AXMhZKFMhTiDF/t74mmb4wEfyw7cHti/k7byfZRVtOu15ScP0OEVD3Mr9ViAI2+yjDrJ
Ry96vZtq5mWrGjlayeq7nxf4qNyzWQUOb0KWcKWwOZyMgGXkLjh/gi0D3bCJ9lw2B1F3xcq7V9UZ
r6BcJikgha84qfe1HsGKOom/TxR7IQyuph+UE1KwffwsrAUU4r0Jh0ksn1uswXPQ1yW8z8TsPnoL
gBPTBbuYgv6Zq/lnO63tDoDhFWoB/AkpAWyCzXIwV3rv1DBYdctkRky3ln2cdYkwl7UOjvMEU2pz
xKNk/GWmibo2Uh/YU8/scaTxCYdRiA0zKVGCf6qJewWOn/3gyS7TdtV5uClcmFG2h9htg7KhCkg6
I01WLwRTG+iXP242H5CNQmdgamA2UD5ijflQNxIv8UweMpGS3m/vOe1PCHX1YKmXCx5jhsDCLWtT
+3nUjw9ScHQ5GgwqoHSZAf50wClH7XxV0DGysV9DKJP9N9yj6bKtRhekAV5FlPjwhNX5FC/7JgG/
jphMDq8eYlPytIRkQWp7s5k7q/Oi5HfE4RH3ifoWa/TpOjwGegbey3HLCDlnIuoP1Gl7d0xgW0NA
wnEGlcV1WwP6tWfHsL1AZ5syAKxftkpC2FHmR+DBQFrnddesC3yVFp3WAP0ilp0qNoiL4JE85+JV
kU7jgeUDAeAzb6gM/AiHaTVEz4JSkdfOW6N7DhALGQU+47yvQ5x9fbNcmD6z3qO58Dl7iFXoF9uA
4kDDbgfzOyBFBEtcIGLs98YvugD/EiJ/MRDo9oX6Ul+NoxQeYfmbs7H2PAJcRFiX4l4tc3uKQDGB
YgkPGK5MgAUPsrSQKTLN0AxOPpaawZMd6+UltiwbuEGD7tnXHmmXXZUI0D3VcBGYdXnFA5tcp4B2
uVsJSNru1GaeGCzMY41NxibITRCGezIu8wGJY+QO3GUs12CFTMOYV6iqWERX+gO7+vCEYFc+DUa+
8KT6WprmhWFnT9db/heq250cUEBBzlD53MxA11uBjX6EqSVQZZPljTAQhL5UK6AI52dkDx2j5ZzQ
FLmVsx/vYsmBBvtbs1eocScvzBlwy/OEYAFkGbrHZINhj/watKcg2bN+/Vw1D/bQCbYHYfZQXv2n
OeDwMeGK8maEIxgED73twp03DW1J8FV0OEvjHZtAlPYrBKyNGTDo0ln29VDvsBbdvI0QXlGRjeEk
3y01gyC3YRUmaMnX7aiQ6kWE4keyICk1DMEJMkX/LJ3tYYxwLNAOWAEywm9T1SJZYaQB6XGvBhVd
utUHADJVDCkOnB0wMsB2tPDqxyn5bph7bdrg0LcJXp/rda835ztwFggMUKHSeh7CPEDsZGWOQKyX
/RZqpIr8JcE5ErD1iS1jsQzy6KHSzKBoAi3eEpvhx5+y8fhJrVADKgMVxF0XaJ/efh2on2IEAU4W
tRVxsCyFSxECGiXU8rBBtmEwhp5//0O0TVM2CLwjTtSND+HaXLAczFm28Y2jhDa6gFic/PkMNAGJ
umWGKz8uuSKYbMC9MUYSuxpOY2Qvju1YZr3gkRFQqmKUV+fb2ZI7xpFTEQFUt37GG0u2HUr05zrx
H1nCdnjG3IN2gBf0tXmq7IxSeYTnWVO8GhQPlNvjd9/FLVR0+sYDCVrPD85hCOq37ZEedJMFhj5/
NnXwmFCjcpFsxdJ7L16AoysKQfeAf1VpkGxx2S/twWmiKavggzRht4t89Le+Q4+re+0rJhBVCEeg
uai8/es2KtTUULbTOZhMFjJERVBKIWrOwgflh+9eHyeIumMKwVjz/eR0QzqQDm/H/sCIiGJE9sdI
iKZVGY31c7zqbjd6iHEm9kCWmKVIBwKt8ybkylYK5E0Gr8t4Hf3p7NQ/Qsc9YykY4HgEPKsKyrB3
z4KZ5LKgoVBi2PCEGInTHgXihPByCi3JFjPy/tTFs+h9kRBVxNxEGFpgYMJRBcfNFQ0OwggkSZ18
TomLjJyLqQFdBxcTGVserjTXBmuNBvAqEIDhG/DkTY2vqxN84fh9BED92LcqLnRMfsNQjwE6Vkwy
OhztCHtgXfkhngZ03ChVcEO3MtL2SS1gcbfBYNV3PXKtMizHUM150y8qkwsVh3qWL8BM9Dv8nPvW
O2uMGcgxTwdHVBKACx66ouc1z/S2imxU3lGR4MELhYL5g8VlYeshN5NcUT8pAA9xgbgS4IjQyNtv
S+QEcWpOwOyTFl6C2JCHi3NAQ+hcUx0yjea0GrHXmItecLc1A5rdo1QpEAqs6zjzpRTpEm9xMUC1
Di0goqoL7YlRdDUxG/2sCmqW8hHUHqx6DF9AbK9oRrz8kJR8Dh/kMBwoHapbjYsxKLVyoIwgcsEk
W8q/VW7va8WEm+JM/wXLPs6CDvTBdFt6mB+Uehiy0ZvoORkTt/xbyMIIASOkuCNqX+NtfRw5fDlH
0mOAR3xyEN5V3j1idGNG6+1AOarE33WX/7tTAN5a1k4/v9vPfysK/r81K+DfaX63aft/kqf+aaDQ
f41q/Ivs98ff+kP2w9cS4ubhlAZuHYeYeAxR5g/ZD5PU8CNCXA8jhjDrjmAywd9lP8zAww8xUOD3
L3j9k+yH72qICSYMYcq/B23Qd/87st8/i2lYTKh2oVxBMcK3pmBGwZ8lo6ra6srjaKBkdOAAPzQJ
rv+VKvEbUXhAuuUK3sT3jqv0j361XGIkLNhkUBE1xZ+u3r8Q9/BFBv+oYYWYjoQRSZD2oO3hmwD/
+oYQ0tW0oQCrBDCWQ+WThypB9AcDjhDHDebM9Tl4VT5mwPxtmizsSpjzKEwNCoO6pAykHdC404Nt
dQJsa0ZJ1lcA7BfM8JgJfCF/JSmihGj1fHKZ5gpJcctDkFExmkIMKpiaSYOwjM9uva17hJx5Ps9j
BFEhSMpoeXIHaD7DoieEXmybdocBFlfh9mCSa47KjdW3MTJNHjfRUgiBWQp186MGblBp5QC1qH+s
y8Gre5NjSFFYrD6i0FxDwETrmMKPgHrPTio+RxVkpzHwl9wRpIx5jOPcCe/oML8MYqJHt6JzJsXy
5Rr3lWn/Aga/SkMK/SroXySJ92tnLY5CHOJnQ2IgjgaXLNwkrqdmV62nJpvgxA4+QlKz6DHfiCI0
FK1XERlISvFDwwMn925uWYj1AZzo5xKr5IjN7Dxs5BBOhO/rhP0aNhyuI2NlciORJEK6Ubh9LnN/
RId6aqreKWM1rGfTxTSbhzMGt1y3BRTBMN8gO+vR3TzVbcG1/bWy+IuM5MvrZV26IkD3eiNtdvWG
FniI8ekm8Pw5raq9QNOWOhRuCWqtNykeAqSHZ4oyamQA7Po9j5yihwMuGUw2tz7Yfn0affYVe/PO
Zzgk9TDmo4buBbwiUzPQ7DGOfy3NfF9X7a6GsxXH9iPanB9tMj+uLZCWDWZhE+R2rQp0VLDdPah7
cyFjGO31ydNIsJkPJSg65wr5xAOBXVNP+AW8ByTOQG8UhKhdMI4HfRfo9czqMB8q/yNuAdm0E/4Y
6/dkYkinWWAPduBP+OaqX3MDgxhiXobuK8hu79dO7SNEA7hf0PYQrJPv0Lz3s2AXW08VzMTZS0NE
k90ufsHgIygyoAsglT0k8PEGETwaCu5XmOTRSMSKEvSP6if0jR3znua+/hEzdbWa/Can5ohpHvtt
Mbu67jPtV6/bqk9Lze+7eD5F03LCpXiIgB32t3Tqv8qrgTLZJwhnzwosIRjlaN3QQatsaDXAZJuL
tj2aFhO/BBIXASTF6NZ21Y9RK6/Yb84EoW6DLKnU/d5K9j6sTrEmYl+DxpirqphDddcMYcb6GnOt
opMh7gEc+Jul9csQsOviqzsHV5ORu8XBtI8Fm8YQq3xUzosRM8oxb2c9cq5je4gm6C9kOprkvnHi
h0ms+eZGJ7fqdlWj77DsdjCgTxU+Epy9y2jqQ8+a+6XCR9zMHaiWdLvvPCiXEHoD0E2j2+0CtITW
T/ZdCPEX5EgMmmoBi2DYcRvnHFX0LXHiUA+Rbu8QD04Rgc4Fq7eLtHsYXG9HkTWjodiH01reXj0I
0cBH/LIqsb+9LyDQJ0SEpui5q3Ex8F9oQY/BoN5HPlz9kR8wqyRRzmMUTt/ejHgO60+hFw2pbtgO
gZF72dFdGCylDeQRPlbWg+VcTZO31ZLPHDOOJhTr/5QE9D163/eqQImHWAfjEDqgcXS6N5kZnClz
MIGmdFvM8ULeaYcxBA7GxYCfOW8yukorAZL/5+heHRp1YJv6T0bnzVId3aTZGX6yLtqZxsespkUI
/9Bh+pIwDPCju9is8WOdS+2+bLyOdsSAbEwQ4UkWE97d5ho0q3vgtX2uNgQbBKiwKp4hH69AbRqC
oSJYm0HNk8PGJrSpFaZzGJD/azNh0ho0PzZ2kPTsMVqp2LUEAUTSMGyjMMh9MGC6Ho5IJ0iQx3ii
vLloq8/YRwnr3uZpAMof8oqZ57nj70DPuvRBoCs5rt7y4tYrwhkNAeMZ/k/2ziTJjSvN1nup8XOZ
3+v9oAYFwNEjegabiRubkPd97yuqfbyNve8GkykyJFGlNFNZZj5OmFIoEUQggNv855zvuJ8w3l01
QxrslsG9Tic2ASJZPhPjT9YgzQ1R52Dt1AwJMoNZXJtkxMETLBhT5olNigJio/Fv2xkTYzu6zU3U
v23v5ZS/zirAXmyxJNOXeL7ILtq6I5mboOnyu85M+ERUby1cJgeOsR+D0NnU2oT3n9DqqneMd5kw
b/hCvBpiy9xMVrWpAwTz1uKVD1GnTJY1whHDrQiDbWzvCi5o2ImgA3z/RCE4RX0rzOEj92gfM1EK
DYuel28PFMHY8O4Smr1ivedqlKNqxuWVbkQkBrW9aSW3Wai/TjvuZdI1rsuEZIGrdTd6ZVeHH0fo
uXr6z//43hHa0z3OcL8vm3/psv/mBP35Qb8I51RkwrDCEgGO0/v7Cdr5CbUTVj6/X5tImudAqvzq
BC1tDpG2y1mSgzTP4Qthi3Im5ugYYT4foCkI/IIU+9sJ9XskTkT8l28wonOGwUGc4mPdArX77RuM
228tnSnBMOQBSaGacPYDgbd+qJSblYyxcPq3pemd85Q4t1evcRuzCKQVd0jJJTx33HYvZ3G3lHm9
0UCFrqwyPhYsGmuMOI/BYmw1Tx1NjMyfa3PddTbfNE1bX5uzVyHHhzSad15Sbru0Sy5JH36qvbw+
jAYfraIOcXZjd10DhrzCajevMo/ZHodNWCBTQurQHkoCKcWbwuXKiQzAbeU+MOvrcn4zCiyKEE9I
wsYI6XGag9oIxTEfTWxGGoKxB2qhdDaumTPn1VvQgmZ0nyfd+3lI39UFqi6pN33rFYO+gQiATBdb
OCbtu77L73Ut9m7cGDgHW7MGtsBokacs+42TDyZbYrz2Rje8TMtjAFjPbzztnEErWgcFQXl7uW67
6ikfJRtYab1JbJYcw7TvDcuNt6FTXw+9/PAjwfojwfp7CVZYcO447B2FMJ0UzBT1YOvFV+KZcsqG
sodjkRCU5zSx9BKwkn3NTHzbjoSLnUJkBKSiU4jpinllZ62z2ZWbKrCudBXaABm3kwq8WioEa6Vg
rMgWoJwCoV8GSK29QrZqHfDWGv0qhebameCwoqI79HBeQwV8xVqoE9518j2AoBgmLDOkJxIV+hqI
mF+NBkbbOH1twIlhA8d04S7mQ8/kDJ0l5NboYA4F6I5732o21mAP94bYLra3nLIm2/EUQb7iXsyr
UN+lU7IpEMlXntfJS4KsGdWtBN1hwJYs0lfWnP5Mhuqey3DIB7rWWE6TnT52D0ylIW5Oywn7f7ou
kUYvU6qcL7pSVc39GEafPA6iRAqze9L0t26Sztybh+3caddgKqQv3HWep/JuDLNDYjUEQyFgobZU
KwDJMPkQgjAkKz0UYTQhprztBANGV4tMiLO43ImGZNgtq7s66vZtDFnXgXK3Zuh56bRk2ALKK9dt
Gx4mTuVk79wn6ZRvh5JpQDfXHdbEyd5HTne16MgI6TyfqxpGqSx0jiU2rsVM+lOHJdE0+SvNOdws
RZTfZy6rVLS0hPtleOmn3jrn5HrDrI92Re58sMrrkB+8d6Jh7ckO0RQdX8vaDTnzcLtgQN0nQ79Z
NDPaEZcA5TzYJIg0a9kbMsVNOeavEhjPE4gdd0xwaOtwQmrN3VdNAL/BSED4NjVGaAO6VN4liN11
cJk7vNZwIbbCKLZe2ymC3U1YLPdOyQvQPGRWcK3+tW2Mj1owvWsFzKDI3tl5ejs5+utJiPti0V87
kICi+INWBA/VAolYhvAFeRKNzihEntkHriCHHcN4uscTtc2cemVY/AaBshjoVU64nwp5MQBQzA3u
iUCeGk2+NiNvG1RyP3MfD4R5hlH4pjfsC/ehZVVEfmrN2Vlkkjt5EVxlhnzdlP2BHFuyI/p6M8Xj
wAwfO4ZXV6cumId1NoUI5LHMN7k07J01NjoO5YHEpIWVNxrNeDMGnXwkfkIs0NsCklh2DMhLfAe+
tXBFSIEsnHnbhGtrevMXnPv+dYaiRKe+a4T8r6p6KpanLNMORfEE27f8qrjxC2r9+Xt8GZHaghOU
R5kBFS3g1pl2fh6Rej/Rj67+A+wc5oEUj319wMOvqHP20x2ov8/T018OeJLzGBUjwpW2+JPOSEu5
5r7xG9rqWOfwUzORde3nC8ZXrrrRSqKynSt0cuPO4EhxjKb60A19jtQx2z7D2ugVq/hIXpgAWxxV
t6E9Bq9c9AyD0FJmis5vumHbwXXYINKA/kwgVbk6icqwbct9I8iYknrAQ2G5O28Zj0VYmewBZryu
4H9sCpAh2zitgRRHj1Aask1n6ut4zJAOiwj3jsiPURPVmzbpz4SKD8JjrTO5ta8I22p80KV36cGY
DdpVmE+f4koz9viB3tgG6RJr0etj6ATiNBoOrofcuyQhDJUlykKyzFn+BwZOqWbKL19Qyl3g4nIE
d0z54kZWG4075TXR6X4mqCtt7OdyIURt1RGJi0lsql5zwPPF1xBNSDcS/Fg3k+07eQPvrxE3ZKmv
Y8sZdyYogaEb3fMwcmnHC0Z23AsQeKMHg9DNOunza03ENTokSERtTO6/uqn87TLwNV73+fL4qx/F
BC1jOECADefF2Z9oGNPUJMW6WDKQg1O0A9gEAsZE/MM4dcEZmWxch+gPNiZeywN4uhP7in5aZuTw
MPiEslitABR2d4x1NrphFn/FpfNfZ/EhVM4H9Pevk7uvG9q/uVN+fuTnJef3qc1KlbFdteQgv3ho
N9/cKXWbpcaBqMzS4vA8vqw49k90TnE1VTdO1BRuvH/iSok69KtPiGFzo6Xt1OK286xBfa3KiAmK
N84xML8/SMM/SMM/SMM/SMM/SMM/SMM/SMM/SMM/SMM/SMNIp+OA0/EFaXhynGMrIEw5qbeXCQD3
JI6LA0EzyBpdeZ+2Tr5rliK+Zk4JZ7Ynf5tRLwDpwdnS0mFvpzS6a1V5FfYZQAgMxiogSY5o3FXe
FhOmF4ysbQjpojRw3gda1p8pJ6xw6nILbab20oNJXZfZlCp4dgcKP1yDeokPowaiCzb42x65H1IT
OoBbistMp0dSdafnP6Q1OcfEvMZ8C2izyexN1YCwi2Iv2RfztZN1/U7AsjuE+pteQ7iI52nbZ5gX
yb7cDkt7Ab2X3M4m3AmrwAqUZrRLBEI7eGnlQnFeIGh50RGZ06+DZC/z7merCJIHQE/xvrTwHjek
j6YSR4WrobCgzpwGS0IrwpDnRwDuVg008JFOH0bAfO/nP5SWqQyhsilua0vRQ0LUH+BJGxf33zEz
E3GxaizDY4YynoWfIs95m0aDtmra9OMUZjjp04/WTA8TRQjnHKVnVQfKYYXzmg4h5rGEyz4YfQvP
aTJhFQ/Bm8Uxdksz9mua1ZocknqShp0fwq9ew3RiUhu+J+2SbRoTpbYH5k8kB8Kh/mYpI2YAYUHE
zErhI9sG+k9/G+I98Nsabltbpadeb1YakL0K2DLFJXONDbMBdpssxYocRbjG97ot0xEeb6W1fhkP
V3qJhXzuKs/PDQKHoXeerYg7cAu4VZ8DFydMBTREc661Rbh7x9BWEqdZb99mmfNWC8GLGoZGW4JR
bvOB9pFXzH6vegm1OYLcVJsGw1tQF3k8hwfDOVfQw2H7Vy7x9Qj5aak8cjMWAEjoCFvi+Y+T18LR
rTVzEyeWDWR3DK+kHu7rmDDAHDviChl4ipweCA6Ag7hOVFb9Km379mYeXXgwjryijhaKgQaMYckC
3otzSJNA4e5CDcOmrQCOg01u3bJullANfM3wxjJnXzdgCJNxe99lac8MP1uPcRb7TYbIPBVnxRFb
LwAUTvlcJ7u+TIs16BoMMcaY8roQiZvS0MWjjHtd760jhRXd2uqW1G9bekCixEoe9G4iGWXIbWIk
r400wrVuE7xhwo3bGc762lXA9XSMXtcdn5xMe9TspFs7uvkxBmotTFndNNjjafizL/CroRc22UYO
lnYA4DeuStigMoo+1by7/bm3W5+9h1dOOfGY184najnKtXByGuxgOYcdKLJpGq6IQ2zScHgbQEE6
NCIBlQG6gDymOLbdsqt6edW1Fp4SxyoOpsgfqNCBHdO15Y7yLnJvev6PxNX/cWfqH+bZlYX241fF
WX+z1P4v1Fx9T3enC/O7g5LPXZj33ftP3cug+/MjPw9KnJ8YdVCD6RlMWz83Mn8ezdJ0SSJdR3Nn
tWb4pX8zmrWFRKuXznODlRrYfBmU8DCBp5UGCayvrkUI/k8MSpxfzUlUCybjE8Ngikjn6osWTDdK
ssV1WVw7KNk1+hqKWQU5XKL+RLHupxgiRwzbBWCGSD7FqHId4gFgvfHjrCoyXVCSo/nOkwCcoKjG
/xSI2glKXctqk8YfmCiu5uUpr4nMIWZ4RrWy07d2yEdoJaLbOnzUxzdTfA8dmfqQdCXQ0ifsmhbx
IZA3ay1Rafd4nYADoosRmo8k0LnwNXdTgCD5atL2G+NQNQH7drLL78OzHdWNiq9Zl+r39dWofF7Q
f3ILrn85gniqyvZ9NER+n4/xqx6gFRb5fUU1o05FI++u1Zwlmyjs9iXx36Glzq4GgfSgwy9ScUrI
fr7SWBO89z0tBlGNwZ8lJ2QDSkdcRuprsKdmQBoTZGXyjauBgNo8oIjl5CsVtnV5IhRPU8yeWblF
VCdIP1FAA+Hrbdm/C4vHdnhHYgJOIWTreGVZj0L+D/DAOfWPKnu691QjpEO0dYibVSI0sSoojRS9
eeNQImmpNsmxp1ogoGDSzC1vXanOyVGubdVB+ReoTP/4MvhPusqBOfjqTforg/4vWtR/9fT5/a4Y
xTf5uxiF4sCCBwrRsxntI3V9EaPwifF107DMZ1DHN5NhU73tCazRLAtjjzf+LyseS6HSsBy8QQ7D
5T+z4jFVfvkRQ40yHcPCAi8Baegv/PFzYtV1PuX2SmZYoc2eQGjQ22ARHMRrNBxbqTmO0nUSYbyJ
MxpUKdn4ZEpLu+r9sQ0DgPNReEM+jwBfhmWxcNJDh3AUKwVpystjOGOrtkkaAq0AJ/msN0WPkdKf
cqVElUqT6pQ6lSudykWwWpRyBZiMqlDELDh+5V6vBMS+jDoZN+1fgXXXtk2DicjKW8heIruv+gkY
mkcCeKjL62Vu9DW+woexiEBH0I4GdMi99ErdoVhoFSm9Z0T4sZvlxiCVuyto1aNoAW1IqUQOctGS
FJuhzq5lEXjHTK+vvCJadkUmHgqK3ITSVhxEllSpLb3SXRwjfIJAsSuVIkNd0Em2S3bwNo5SbMaO
7aJAxKHa4crGcw/RrU6q1ayX2ynOo+tOd5HxjLTeUcLjEMqaQBFTBJLZ8d4tcLqXCSRKa0dkNAdA
fpvPQJ6lsMQm6ATNE2X3ANy2WI9v+gh+r2r7Kruy3cVdPK/6OPnZbvFgBDptWDC0EJDgnayLwcQc
UAzA/+nmsSPZXrdOmm3CnLAGCvfICgsmtgbycDMlsFFHzPdi7AkS52Lvyflu8MhTx/wlNHZN8WmY
vJtQJzQBe5awID2A1BkEJzOhWwC0dLx2o+w+T3kvUci0GaJxVwTZuzwgk2trxrsuzChQdMEOzgs8
52nCYFZ5y87TAb5Sr4YBQBhXos2jqzyxuDG0OT/OmBY40Bx8ZzCzdxoFS6spgCRbQalvoiG8LJ5+
5xjZMcdnYSzu7DfjazukptXKRioeifj7Bem47bLof0nQ6V9IMIN+970VctvEH8q+CV8cAoER8bAv
h0A0LbDfEIKQvzjV/X1NtH9y0MlAF7kAeSgFN75ZE5W6y6M8Uj6mhE/09zXR/gnEkIGj04CV41FW
9afWxGc20TcqLAlq00ExQynj1ClfEIHShoKWKeZ+XEhQw15gEZLPlW+eXGSeUt2XF9ZTwO2VIo67
CGc//V2ASQOQgyA+IULmFZ8GNP56N2UW/ARz3FFf5w9aw9HCpVg0c8qz7CfY1t4Mg6HdtynMinBo
IVICFfPlOF+WUYGLCRYnAzRXHb+jTalBlFvDGtKpIMUTeqt5HvYhfoLtaHmPkw55jnyfvRbGeG6k
t58M++CRQlz439gSZ21KSKFw7V0MnPqVrzxdIHG2dDbenWPLuK5tcQ608K1TxBu7vEStdy3S8R3m
yqdI53tE2r61K8DF+hYf6Sac3XMhHxrvyqIzYuVY6W0/ONdL1HDPB3Uob20rXQBc8KLUFBSsgJpw
5CTfUctD2bqXsiI9bM0RpUVD751LKqfTHOQE909zBcD35AEt9oPBehq5YOLrjKmiTk6tfUrz8d1k
8orTbT1SIxnX9TUNnfJEyv4EDBTINe3TqzxkrYJ22nw+HXH1+u0m3F/7wNU71GLjlkxrUOpfSPVm
4Hl1EoRYv0awKN4MaVIvhzdpCRKofk4GZMScAPNthU7beTpb1YPX8BIBuSZQIP7g+Rh8Zl6elXEM
UxD8LCfbL9+0oGfNoq5wBmoD8O9k4kBuNHdxr5OJ7+G/CTI59NpwV6GEvMwOLrOIXSkBAhcu9Zsc
cEXTg+HUXciK0c006Ez4bFZLosSbBu532ds2WNyg3Q3GfKJNrSkz/rHqz4YXreIZAhPGBhwXfVet
oPI28PZ1cLhYt75aT37jWsCP9OuflVUCe4+ycHOuUoear+4FZkWR40yQfdWIurx06YgtRvMeh15/
NS9VvqXlwWeS4K1SdzqEgmJ3E4zSPrADal1KWqKaIIOjzWZSmZj+kkY1lKfjY1HP5wKM+H1RyQPE
lGhlm0v5kBfBsC5MwN7CxLcTEthPTRxlXSozmOfeJ9BPEfsVWfYxrG5Th10uJyOzsTX6V8ybQXNx
bOvdK0NoRJVVaDlX8eV5nu1tHRJri1W4uSfl7JJ2ltUybycVgPZIQs8koulxjdcNLeh0Y62FCk0P
pKdTFaO2yVO35KpH8tXwUR7DmnunMZLoodyBFi2VrzEM/IDM2jy7Ak0fma9rkts5Ce5aRbmnOvSb
inyvqWLeLp9+goREv6GGqCB4RyK8UdFwcJAc41RcnL+PZIaKkJsksGKc9FdQ2M9EsbapipsPKng+
S+O89G+SviHjdj1K57EJwXzmKrAu+qVaUc1E0tg9LLUGBhkPzs4l5z4Z2taDSt3Mp3E2fEkavpcZ
kXHgm01T7ScVmDdUdJ4T19uMLL2Ot5tXkXbMxiLtvKjIPfVuFMoEFs1BMGS0AohXXfsdx9TJOroq
tq+RD9lptR/GBPq5UB4AedJvlFGUVjQLiUYFADDd5VUMK2UasRONoXUnYQVImAGJggc4CiMQWhYl
sIAFyky8zhVqQMIccMCMhQutT27O7TLoC466EAqwU8JCMYkFucBsx9C5m6EZALLIFdygNlknqI7I
gGh5l/CpgYLAqbNckd29S0x86o0UV9VQFLw0zNCn0g42pgIqxAqtEOrdtoa1oCvoAqNX6D+zfQiD
ZjjHpnaZ4anfZomtOLx2uM2tDIqD+sMOgZOVCu8gFehBmzV4prL0K47/UFCAYGZwfoexhe7C0E+x
du3E7WEsP9QBh9i6Wuy1MwLJHpr9878sDvnMmtOhFuzFIOmAUWUPhBED8Fd2fWdN5rFJ8I6G6W1Y
0sBBTi9vxeuONpfKAVWQgGcAhBzH8z2s1GvDW87G6F13vXfdWJKUo3ERozwJUlCDax6nVB7Vf6fb
+ta4baFPyN6xbjzB7hBE47gKO1FsAVN9IvH/IVVNFHaGmW2ec3yzdkHav8UOnNrjK4tDC/gGxgRa
pE2qXSjjkFt9MrThqU3INbOpwBYGzGSSkTDrMYbhTPlU7QDZ0Dx9p/MDrdrpdcvMmoFEBTu5GwBv
gZ0vHZVorRLh65K+aaOOwBZQOkwwKz4ztMd7NotDOnFIIJDQrsYGXEokqjt6ESJI6uyUZVnsQme6
T4K0W1E/AOdgmn0+t4ysp+kdRjcmv4GW7hetMDBgB+RCxP0wWW8Lfie1yy+EnXHamD1M6JLAF/tS
X116VZ81MzDJ6pGy2Jq446LSrJ6RbtrpjjcmSH5n3VEV0eTyQqQmYXxMaBr+28d8ButmN7fgpNKN
HQYPQ9rMhzaa7/tphPcFNm3FzO1xbOf3CR+JgEf75BIpJE5Ldy0Br9D/ueLWwWoGDqKgMlu2/Sv4
83RqqQL1iSEvaVpL+LTRYRYuI56gw6IRAjsKCZ+EjfyE2a+7xdFOsBBXc5to5cqEI0Zez4WKTTEe
PNRxE1mklWXIpcKN5L3phSezYAEoe8rsOw44lcMenVOwc7A77iBw1LhXlCboqfNYg/cHWk7Pa5HJ
XZQDS57KjDVQjHsm7rbqSxngRuyj/uiGMHSKhneaoXPl8DqavD37liDhcQjQLDquVNZUbFsJc20Z
vA3m9eEg+T3YqZT73tLIf6eEs3kj2hVrmDI19pIrWVlmWy+NqDZw6w91VEPLrwLieBjVLXkOtUdn
cK+GwEqPVXET0HICC8tt/cpttoMMzvPCq099zyZlghXaFT2mUeonfRz7ThJvnJkEgJcZw0FLSR8V
I5w5SHHRjebOoc+lzuwj1tHkMYaXtTYz9VYrquaKjWAL8O9DB3/Yh6pDg2kmH+iae7sMnX5ZKrmJ
vOYC4rjYTcScaeqlVKxO782u11b/5xfc5aJAlgZEy6qnDqq9ytoZJcfqeR8SAKijs6FQmFMyev73
TxW/nv062EchbnKBsODpq1nkV2eKXwAaFgVO20l6DwbIDIfDHy8AmeKhAmIXzS6r4PDz81/9t7n9
3040n0NgX8/1vx7z/zHY9t9t0gYj4rsojN1T8X//e3h6eY18ftTna6SNm1vn9MeYzOJiCPXiy2jN
+gk1D5M3lmDC61KaWIa/BPl4FJwMD7ejNH51jRRoEAAj+KXaFL3+udHab7yh1GXWxJgsbPrxXtwi
IdO5nTDymXjvPO+1Uf9Ul54vK9mulsx9J8CNglROCfMzGemju+cA92yd45oqm4qOFwfcntMmMxcZ
FjNZeKfcNf7gXW/ov/U0uU87vILcuBlQfvu+H5iGOEi/9KvKH801/+zNNSa548UqgE3Oq4mVSVRg
G8p5r+L9nCRiYuNoWPu5LrfMIg9aSG9foNMzbOwyjyasuTs4rrGL4ZtWbCZJ3h4ik/ah/i5oNsPs
bhIqka0YbBFfhXq4q9xsUy6qYKdbL2m19UBr0OHLQZNJbjlAoADJNoZ+qJkXZo0HyzhGoPSHSp7S
ivkjOMeAu0NRN9vC5VvaBNqK9jBQch4MfpHq59gV5yQyLmFTXHGxpOdT90004bk5BHxUev5Ro22F
EuJVKkkRGG9DZprewrPXTUQrj0xnDXxxJacZhB/cI+YZDCQ8qHJCX8867CPBtw6BUiHpOW3km6Vg
FnMc4VN5PUFXfT+h24E5A465b8vSd6GijcX94NyZpbfOSdpFhrdeiACxaWoLdAgiWFkfrju8H+3t
Ugk+0t1h6hgNxdpdEdAFe0X9ybbiPqBD6Wz0Dyk3xxSETGQ8yvnd1OZ7t+VA00j6+MR2Apw1euWl
JACjP9b8RBrd3LLn/1Frfi+7XavLdSxjf+FXmFe+nXhUbtf+ON4V4KcYofjdEvlFU2+9MlDXEq5p
gEx47oL7ZqeF2Sr1eptSxEV/lTscOVw3//j/VTfXX7Br757Kq/c0vv6b8KtQ59lKv5OWyN43ffty
z35+0Bc5TKp8veeyI6LsOg5jsy/4KhIQ7JKCOLVuSPltUEI4pCCI3ttI/aZko2/Lvov+8z9MJsYE
sxDCGH0RcPhzo19255eTJfJYuidwYQlMAKb+4hQYu1W8tAuaiBtO2sprg7e9E38CdQ2KRcN0ZXfi
0oohOHYl0BcTSTluOLTnbXVLMRT0ImAPpWcDp+WPkdnhFkPPRszgJ2dbo2NE+b905QRzsISNyhum
ENWFcostM5RusdTpQx+OP8OA3IdB67dmBoxNmc2U6wzyxIHzvM1U2mEVFlwMiz5Ibp2mJxU53MKe
pMzWmLdywtwa9AnlM44TrYAfzcB2GFOlqpEjqSq/aV3qN6oYjF7YvSM0doLLDUNcc07psNByzrmF
cHH/c5l3/aozMjpJhteqxn5lW6zKfRCeei0rb1Mhrsy6RU4rARo7JPxbDRNTGXHlNwJa4g1yqjl0
lLYH4Z8HtMroLejaepYPfQSaa04YSXsuzUV9Yman2WzCFePdQ8cwJg3R+2fCn2Q3l/bAvfgwQSp1
qwxtsThHUh7H/H2Qp3sI2Sc3De90bEeNYR0t8tZzY55ybY917XYcUXcmeeTudFTQn6aksWYYtm4b
7kLBkwwGOprt9SB43XG5xSGNpW7kU4Poa+2DzNgAgUGXtGZO2bwhUroRHp1VVfw090N4kwjhG1Fw
G0dOuw/pucMH5/ielMkp7SfAjGj8fZ1QIutr9Lb6VWck19pg+PWcF2+0ODlNMWgnJzCznQ1SVXww
q/yjSKzjRDnUWmljmQHsqI2rnazSI0BVrsKVN+0qO3N8hgi3QQUvcW7yAHIi5znVSb3UzHRr2tnT
knazOOvnTTMFYgVDx08gdHODpde0uek5CqwCb3gfRbLDzDd/EkZ6XdGHCYt9OmtWRCVvaFXssBqb
CwCe9INtVEiic0MNYMLe3taXjipLc6iKo2nRKeYK7Fe5q3206d9Zx0afUMlMbavDvZyN6p2LoSLt
41vODe0Ocdpcy2U0N6wDOphSyqNgMUb0w3MMAfsNOXsi/LaUC+O9BRhRmVf31iQ3tTkecbeZEMMI
F2dZS5/OrEOoUc5Hoozp2cQM6WKKJAvu15gk/4J94N/u9va8NP7+RnDsm/cvt4Hnh3xRANHVlCkC
6wP5aXhjX7YBykuw+zBmozLEUiCUr65umL2eBQ7EFsEDPWSBL9sADBYLDfDvGV35ZxRAQ/+1wGDR
2gaL0OTqhkDJk/h6GBDmVclcKBGrSavtnZNl9i18z41pwEZxGhgHbW7dV8OeDp/5dlS4Yd1Y3kfU
tQqd2lqgWLQaBRQqdYW+czErn4Vw4CWAQKjsCKbaQDqfJQvCcQfpOIV4XLgHL4l/NhQIGcpStkmD
151CJM8KluxCTdbDIYHnlPabwiPCWnSivXSZu09dQvoT3OUK/nJvdK9k4N4DsV1Z8JknOM2wWIey
lr5XiGFF6zLVYQrqnEN3pi589GcFfJ6f2c9CYaAHoyMprA/GOrPcZDMsC7NVATM6tqgeq6loi+Jg
2WVWQmVTxJSGQtt0mV713CJLBaLuFJJ6VnBqW2GqTQWsnhW6uhjqtTWI+OTarJ25AlwHCnUtYF4n
UnR7IAD9dV8BhygSb2fkoH2B1MGIU5UsxTTvQDVQ0KIKVwaaVwabyuUg3ZIHF1uLXWvlNeG+iQcm
+WnO4ob84YQxeGN5PdiSUoQmegdYgqneXWx9MHWJzSt3tsOUPCn4Np3utAhQfHadD1q5H9N522Ay
LbrE3em13W7wmx9jipJWwHCg1Xa5Qwslrlp0R3OMnVdLtWyMxLmvVVGNzTxt6R8tfDfHVNU+9KrU
BuWKJhR6bmr6bn4UqBM8+FGg/m9coB6MEPLSRi9PA4z1RcHWhcKu/wWb8L/bZQzDy/cuY+d+QSN8
uQs/P+jzLuxinrZx1GChNkxXmCbf7osb28VOw38BeOFIgR3hlwGq8xNnMcllzObL3Mi4wX3ZhbmM
KdciD9K55eGh+TO7ML1kLy9jloMEhTsR76+riGjf7sIUQoxjOE1sZK07+BAb8QU2PXSD2vEXwShp
UUU0tDhcjXY1KFaDS60fDZ1zc0+TNF3Di8EC7+lURbiJfR6D6NTOLfzUk/WmmRNzrU2xcXwX61gf
YRRtl6i2me9wL9Ki7l0bVPN9x6Araku6QbuPyUApJ47GDh8iBS55tQDhzaqVNNvjSNfCyo5Sbc2Q
xz04qwltD2ZqnL3RqaWgypVBU9zvpniJT7WECtMZd17RvJqqwLgp9P48TBINZey5H9LVUcrkUnYw
9LXSQp/BNZNjNEBze50tdn/sC8AyedcQK6kM16/gICk2IgB7S4tOOuNjVOxlm1Z9vV5yPH2Buy/C
jxr5LK+jHCGlrWe09p2haL5QzO1kk1W4mtsJgW5hMp0uOCuxU6O3Ib8dI5MKX9lugwY0MZXNGfgh
SwwoIgFeBLkKaRhKeN2oufCxN5bp4oeOQGSzN+oCNdMBQoeg3/S8NI2104S1SSZ7O0K5attum1Df
3lXttjQ1f6mH1Qzl2AE3O5hybUQPWq9MhLth7o5Ulq9GikQczvJOS3EJsKNmDvyJbtM4pPskKHez
1209zcaMYFGiA79jKNa1N+AeSjZT1+MZpAeA8nCveBCZse7IO3ULPa9J5pe824bRWhcQR/Ok2o1m
dZAZiC6kVCG4fnAz1N66NNlH4aEK5/0ozB1iH+5Oe6264MIwv6L7lTCPSSfl4qtXggqUTYUrx43n
a318NbbI0ll2pX4Bev0pdZHyLe9Bt9tjFkWnuijftrPl08qxq4r8Qxz2d6UxpSsnbR7Q5DTvoYuN
/dBq/nMdFsGaD9HURxunL89o2MUxGONylTkRVM663GA0nvZ6nj7QcIk0TZXSpreZU9hw5FcMPht6
TuUuHRmWkm8wNvb0JlHYokwBjGyFMmLAm/gd81cFOVq8bTgCPZoU/ihWIKRaIZHohipwh4BJKhQw
SXtGJymIUq9wSlVQ02Y6Gxv6aemGg7kUKPgS68qByNFrCoGv6DlR0aZKtWqC54IsDcT4Ak38aFbN
Pimwh/BrCikp6enDrmBdDWLXLvEuIk/kRedW1X3BwW0dqqFrRb4dt1qV7vi6zziCUg0iRou5nVOO
rvnkXvKRiJlQlKvSSyU5RCjCtWJgxYqGZerTrWsU1MMWDI7d+lNulq9MRdBy8Ol3Rq4iTSGmFF2R
tlLehbpib7XPFK6yoTkqM6+rpD11itRFY+gqC66cyfww5gXBLpX0UmyvFsgXEyeLezLcL10RwEJD
W48E8nyRZPWaCkA/k/DCIkUOq0GIaQkssVlBxYCLdYoy1ive2KjIY0Gbv00c66kTDKvpBN/3pNPW
pBs5EAMucxXBTCcQSV6g2Y9DcRdGUM7cBacTqBLD7xUDLVU0NBaj0JeqPqpVRVK6qpQCjzQda1Uz
NarCKcJ4Jq3w1abPw+Vi0Eo1qHqqRBVVeSHDH61PPlJ7xYvR4wvvVLGVqOkjpemKSp1+F6c9TibD
KO6cLOq3sIwumWrIeq7KUqVZ9fRoqxIt0yQyOGqvnytStIBGlaygXBsbkQ01jRouQR8XTkGPZnkq
uvKYVCUlMGtP1XctWeltxJqBDQP4NpsPseq6jilpF1QbM7vfxQk5VEodP9b/j70zzY0jS7PsVnoB
bYlnz+a/7uZuPnEmRYl/DJpo8zzbcnorvbE+j9GRQUmRmYhCFQpVqAQyAwmIQZe7+XvfcO+5RH41
KiZsQYCwY5hSrTZzDxed9cRcc6ureLHZoEWYnG8o3rsjhPGVE9SLsJM4m8TQSPxzC3bwSMA6FV1m
pdchSWaWijTzZrYeRJxJnoqByLNGhZ8JFYNWkoeGNJxUPRWRFpOVViqFtqni00py1JiMQmxDf/Wu
HvgTJR3i2J+vWFsnh1w12yw8XRaiP16xWatZFq0MSLNcPI3y+5THKYv8KtzpWVVsNeC8y6AjiSj0
7p4OHLaQKG8mHIYbq/diuNF5B5e4qqHL4YMRff7VXYdTvxiB0xjB4GQX3QzvDTrINiU1KObk1j8l
sZ/a58i+L6Ji29eslcL2aLAlDVGphOV8sDXl7iEWRL+xRb9F7beZbfvoumohRAolCg/dXZD/Fep8
oUW0NinnndCaQGghdqRiWxOJ5bQmKKj67CG4b+Q2nOIgRb8AizgIczRQEp1RphNSTkQXUYROOO8J
6pkBKpuLxk7W8HvPOq4DQ0RbXMzBOYZ2tHPRDtYaWhdZEYbDlNieD00PGT98QVQSxKdBelt7NIOE
bdHAONFDXphpwzZxcCLw34aJMRecURPoxkkN0BSYKpG7DQO9lLhgVlWrzeoqnw8lMSHVxXpFwEWy
0nGcahn8B1TO/3Xk6TbBE+++BL8YeK6/D1/j//t/+u/5T4Xxbz/4+3iKDFybQlbHYMM4Us2HfiuM
UZpL5ccBLIdGQO0J3hfGOhIS16NgVp4dFbv7R2FMuUw97cJfImsWB+NfsCkab763HwXqFpMx0HbK
MimFUta/H09htZGN7VJwVm0HJrdCnZj1Gg5xt4nuo9ldtzLkyusmChISb4g417XbsYyHG2vkjBT5
VzuKo40zTwiDZqJXNdaPlt4bh8kkPTpqPKK1cA3zE939Osj23sbZQf7XfOgM0szIy/yardjPh/wE
DLPe18X43UgkdjXXIkHRqBHCayV5jDOTX3MleKdBUF6bmCuM9AMaLD8W3zz9XkzuqY76felp+3lJ
r9T/bzNvh0LjYGJKqZr8ysNdwq66anVU8hnpu85uXGI/ghgMO+CwOt3ejqYHWfWXyBuOdpkfrPXW
tIitndIru+gvdep+9LLyeqYqstpLyJ+ycnE2DbHVag+Fs3EzGOkp5/TXunqbOcPRsKl1wai3g3VI
9W6/lCfD4LgDlFpIjOTFsGdGeWiYc0XJ8tQ54lYO4Z6wtGNowYfDOT7B1AtNhnzSuHGaObDT/ApV
b2DP/OsJgkOTrirDYz7s1pxEUVbkXkuzUY/MAhH8zzVCs1EFUzBeIrupgJ5na1elHvvocgPCDy45
4zQk+rQ4GXmpkU/O0yHNKLWnh6n9KtTKhRchXII45/bCoOqUztScCR4uwlunAhtUfD/MIWJh7ue0
I62IPFeZHqD/oSHvEUNrV1ryompJ9a70yNbIM6MmmskX6/fqdUic3Kl1MFAS213K7I/IVgfDjnor
AAhcu9FyT9l0lcbDUSzcmPJO3d0LqUxGPhy1qttR+2wHtdiJ4dYv+UFxpi2TrRfICE2yFSrckyQw
ouw8f0z4M53tjwj8zlnSfC7zhMKVrI3tMLP7mozulM3VrtCm+aGK8ujgDESixUDle71qL3o67eKO
2LRWBaihEyaQmEy1UoWr1QtuC30xjlwKNxX5a1HVI8aduN3fgj09wobHMUX+PeuJc22UtyIiUs2L
cI4y8HtuXdJQmTfCmA2nO12T2aOcjXNdTYTCefJjrCGLXk7EYtug8KOXqK8FmUtXMV5pyvHM9ie9
1f2qj4NZhc+tKoauUIF0EAOQGHjdqdSvos5mZTMXl6jCyWqNRXQuOus6rLynmr/ioU+d12xhLtok
bErQE1O8ac9kiuxDS+dZmqBTFO3HYnVfzK78XC/jZhwb/GLa+KkZvL30inQ/k4GL9pSDpYhI1S3t
71Vv4QFuR2IzRDztk+TJqdcTLc810u1qA+6Yz8jk3rUmNItQI0kT7E6r3nS71cyWjWnFxd4Qk76f
JuLt8moKFtMbT6PuzoA0NnXOxieKPUmxnN93cz6eo9G9zyrqx0lJKyczDG+HmddmrsJfqvpBj+RJ
r+OPeu9cjMacNx5JteW5qUYX5aJLgq6xfBR2vxvz9FvTus6DcBgoD0oA3JbafRZ5ti9HmMVrKrdW
0k9fnHE3mHSWjqTHT5vLaHJOhhoz/XaUZGFlTnL4D7h//5tNrnBWcaP+4+3RdfJt+pz/Snn97ef+
PrzC6cKVCovfZtijEtR/VxJInbNb6NzQ7JLeJG2/q/+cv6Hx5D5nr4RF1VG1wh93NBo4lotvPljp
YLD5C3e0ra7gH69odke6+i0eRFlqgh+vaMNpYq7fhaNCyo0eWUHj9PvapLFSi4/WDrpc38nqA5nY
u5wjvl8wm2Bg7R/XvsYA2u1rpME8ci2KK5wlHFoqwI3hxhASlZf7q/7sWNZh1vorQUSAGsTQrVwj
xlcJgz4undZBqsWOuW5uUK3TSopu3euMhlo1I4K2Mr7mYfJgUzDsSjVKGtVQySJp8BR72bMytiTM
nUI1gFpXIpPW0tW22D5ZT1fFYyzZqNsiTCC7TuMFfeGLjgzCQ9fw7rP/ky5FmhRVv7yZbyNFhy4L
XedP6zg3s8xc71tjo1MSG5me+EkyyCBqzAdbtldV2N0DjXmZZV0faxJ5iIRJseVOlNs1qbRhmzyg
DjslZXfHdno6A/TfVqHrHF3LHIH9U0R1kiQVvSMvM3JFB1j8BdoOrlrlRIXlQIYCnACirZTXIV3v
DM/9HFsWHY81kJ9njvs0n2gXlrg4RwOjOFJLyy0DoM+Vg6W/mWEilQ6LvFbKbgt2YPad2vvCI8z9
MdCyILeODsQQ0lZvMmgHPmwk/GNR/qG0Sg0+cNGj8jM75mD5te6On2i1LziwVPboTMKRiTLaQR9X
xCSUuXF9SqzopsWT7IILTgrxNJHVOy4m453nnsIAC+OjlWJIltqZum7L0/JoNM5jpWlfk8i4q/QP
+KxPjRt/ltp0lsZ4764pbW7yPEfm1u2yl2R29kOrb0wx3QhsCD3PCWLDtMxO5DMfs8S+LFl1W6/5
Z8Du16NbvDSGBRWnP6HtvikZr0k5n6dMBQlVgUc3VrjtqRypqWAuDM1tHAe84T4+vG2ImdKYZ0Tq
aF8aCrJmRAug7Yrc3c9xCYqHe39Mv5t1/6QVn/jGXBfWfBPNjGb1mahmpj/tl5JxppXUVLEjBPsF
hUGzmbHombr2YE7z80K+u20knzOUCvPXxM53Et8zA63tUplcfy5s8tTV7wsjPKUOe2BPXPWLeajX
+khhsLe7Af+E5YslvRZjcbBQ7TPqNBuqk9iiXquCya2DDlSNKwhIc5azVbx21tcpxYBcE5GLvapA
+99h3lbW0SVLSZ3FPLCASmKE2DGkEoh+rP6mrnB/J8xRmbFiASWZnbGlrp0cy70lne02mx7WSbKz
lgfJ+cP440jc6S7Jxq1gh7xG+j5L4g/E2ByrhLA0OZE7NBvsZmMYRlXf7Nc0WPnlPl/rflsumceo
tBn2axfJoE3ru3QY5k0urIhp/I0g1PjghNUKJbkmynRUlb+ZE1EfodNcnJhXWzTq6HCP3cDAuHpZ
J9J7QYpcNYVxb6bjt8604wfhadd6shLWZzOnYtP+23Hy76u2/y/U8FpKWf6P79KbL39+lb792N+v
0jcdPa0uzS3eay6r369SIiPVf2yd1lVwK/7R7tp/A7zjCWHYrGf4SX7o3VWKdZqrGdYPQHVWRH/h
KqWJ/vX4Ry4C6gKPt0mM40/Hf2iUWk10NMPr1Cs2RtOKM4+k8+zo/RZj4MYokQPBMe+uq6Q76zw/
ULDjBwJQv7U8WbZ6xATPWswzl7JuNrxjGA02WDQ0Ao56PLlfyCtYEKVl6uF11WMMj2w8IOyyai3a
EW1FqF/a3hmylMGgvgaOoblkT6ELE+pLItJgVl8aj2+PycD8HI62zxcg2eV8w3K+aUM1H5QqWbNI
wrLJSQR/BUMd4Ex/TlFqFwikZjLilQKN5DuLCSVBdIgK9ACPjr+0N0b2OpOXHBIszGDTIbs6+2qM
pDvYhcIc7Mvocw5Ir9OXQFTTfiEATlcYI0TcOieEw/TX7ZlDuYQ6t/GOuoWpKYrymFA1uqGqGbZZ
SMpX397h2HqhzudeVzd8ou56HK2PLuB0oi0ZUcN664PIwmZY9F16pa++pnZXjoYTiM/igpnPuLU0
huYsumoWXpPafNUhP1VDm+Ny8ZdRZB/zvAy37BYi3T3aOTfhFDNSlWV70litlWrHVlgEzS1q75ap
DZxdtl97WZAALrad6RH5wLIuVFs7cGfkYZf6vhmsfHvtGJY8lS7C+P7DRM5EveABYzumdoGz2gpm
aj/YlIzy+dgfimHaTLbAPei1KwChvqJVk77d9GHAtIHENj3au0VvbPJisg+FmbaPCLSt2DFv6DBC
Tn1j2ZqY8Hakv01INDnMUxQnARTDgPTK6Czz4nrirwMKr34lEz3i13Tbd1/vPymXfv26QMuC+mHw
Xebb8rbvfT8dwj/iIgMdoFgZS0GqW/t9bJG6E5wWeLGjHZi9f9Kt6THLsv5YezEbLwPsislDjP49
memr09FBqFkdi8ietrgJKt707iTN0nuV2m1pkLc4dK9DgUMldRzG8etc7qqpUgslFJylBPbiqapI
pzxKVJ3Evvizkcx3oTbY2z5fos2bXy5R9ZWpKq1wgp9EfSNVDeauNjenW1GXtWiWzEk4R5OibVDV
W0wZp1POeZR1sarvUlXpearmq1Qco6oCGV+9lJSFFuWhSf4kGfESHdcEL8aCmDCQb8Lm4mQTJGJV
sTzVSp4zT/zL3j6Mf9/L5r+bOBDjFXuGf3wlPfR/+1/B5zz//rM44bcf/O1S8iDFEY/BHBUtthTo
4/64lHiw+aMWQUHMPy1kBn93dymMnKFU5JLZreEqXeEfl5KLnACPn7CxjaF8+CuXkqP/iVKcpGNB
TBsWNLxTP11KPLedUbeol0cZsy72+o1Z69mWirbaAkW4MhM2I2MeNZtiGYdLrQinwG0wzs86XMSV
SWC5MKhgppecigY7axtZx06u13qR3pPz62DkKB1S1DtYa+w8C0VZ7d54q4q8GoNgdRWLNVNUVkPx
Wd3MOzABik8L6NYoQhIxX6xyRc6rsQauUQ8Kk7SglakdBhY/Sxh2LtKzOc+oJXPpHG2nx+2fi8dx
1L4MoYkGG3LAdikwo1glaCVz7CjoUQ10Odt7rXlNB8e9d2rN3S9rROLa4vFn4vyuWRiKtcaCkz9W
bVF2Rf8R626Ma4XUcsOYvsXJeps7+rfFWbvtMrvPA7KKQKCsyOrpAZ1zd5TMV8MofzbrtXxOtPHB
LAMjDnT63y6PtZMYl8AObfzVev9VtzCjO8WJWLhPjQsqbUwNn/XydQpNijxbcKCFbYy7DKAcDCv9
YjvNbpmNYpNy3fh2WNWBY58qdomAN5+sqaz8iQnhxrBxRcEuPdR5orN0Wq/N8AX/oOnrslMZLGKH
4BgN5MxGvYllSjZH9DGO6ts+dG5IoTqWUvpLnEPQRdWca4fMCQ+M4Rk8JQBAh/RLmYRATKMj86Yr
Wik8xTA3TD+rrWtPG1+KOcfZNb3MGQf0yusvRxsnF09YOBwi0acQ64wrkK77uQ2mBcfXGh9XEpKM
0XgaR2crYKp0LDK3uoqhJLDvdo1XHNIarv4ZLAPpy1mnB24832tNf2gF7qJ08Ae3fUYM32+AeWFb
nL2DlzETHCTXK9PLxvfAGDA2jsTMNFcFLJO0vJC4XFXy1dUofmAtGEHRehFOrDDcmm5z446X6S24
OZ7mS6LCnKGsnCOvOLmkPGvmeCIZDF2lCoCWTRKAjnq1dYJtinQ9dk17mbTMOzmkRzukSIci4uNU
wdKJe5c0RhiU5npT9iEcChVCnZNG3ROeWvR5jKw8ubFUYLVI2J4MKsRaRpc3j5QyiJfOIbcek4W/
Xa3Cr/PBvJakYY+y/4IigbTSMTJOJonZjorO9sjQjkiuasdVjfOxWg8uqYznRIVuLyYai0EFcS8k
cqOYsndDTdO6TMeEzG65VKz55wYxy/OyuMhgYh0lbmLETFxD3hLHxSkd0wXrxc4IShUNXqqQcKni
wo3sQR+InerJTvNnFSkeV818sGz70sTEjQMK/BqqAPJFRZFXKpS8UenkPTHlBjoBN6J26lWEua7C
zGsVa65hJtjy9B77aio2UQTix+aC993Iu7dEQsgYb1Gk2LKSzPTVFN12nSqL5Gcc9caC936gZ+Nb
0mjxVhCOC/4SStrQ7fq41YDBtG6AvuhRx3AxQwYhiPo8pvF40qAWATNKwF501blfyF/0kt7ncuC5
7Oz0thjnzG+zYKTwYCFgn9q4njZ9Vwy4WbLlZMtXmMuPdcgapbO917WS5mUc5+agQ9hlGA3F0e5Z
AFe69imbI+smjD+bfRI4HXtuY0J2U2tAfm13A9Au2ZXDi6W70EHGoNa1w8jQYpy0nSydY8HuNxnC
A5qq3YigeXIJgAc7MTGOQvrAlkM7l3l/C0iUJ8/dmozVgBoUn5dMuw7b6CjGFvlyFyB0voTzV9lP
29kEMTPuk96mvzecx5AiWN9rWDr7wTirFRJm5qt2FYHJaiFKVXZ5G1hpcdA7SLhlvq81c7cO7f0w
cKREpX2VVd9xBVLIm3v9odEcVF+W96rXxllrUWBZSIOSC93KvWXEX9Q/R4ZhJgi21ZQcieHOIFna
MJ1t69rBssb7FZouJ4yI4j7IBY1MHoV6QHpooMvWvmSEbdZaEujOiMirK+vdnO+HKX8scL2kyv7i
KiOMbmOJ0azqMVYmGancMrhmQk9Et7Hy0Yz5Vd1pEKfMk70rOpyUXXtfFPExLELkKjm6E9CELFnU
SywGED5Y9cVsH61IogGPP3lGeNbOw9Dcl7JmT9mV3416DGTvsMVbHkBIP9lT9GFqylMurcAYyu9O
s7y0rXkVt+auweMfjrzXc3qX5tqN5K/VMtYrFVg02XgivSuM6nujG4yNlvaw1Khp1odYRyDircuD
Fpm+YyOA19I+WGtxGWrtAHpuS8t9srtIbT+pfmN9kxIPnUbiIomdb2kyaFyuq7y+mcjomdzHeOGj
ScObOnNeixi93DKNiHsAP1fOcmclz2ES3bJbuU/c9M5mlxkJgxDV9G5y4081n+cs2lfoWBHaDOpx
V3mrGqG+NMpvVWO86iDlcZYws+lGgSIs7P0UtdKK/GVfaWEMpRoPV63cXCO2LkP5u7rJwNU6Qx5k
G2wpD1ir3GAMfp477GGl8onFGMZ0JO6bVHnIHMxkouqNIxjHc4TNTKZe6zfKeZZgQcvIsN5rGqiR
TPnT8AvGG0951rT1I3IqnYYQ1HQKg2zNskPVojCRCuQuFdI9MW90hXg3FfH97X/m4WC7YOArBYTv
IcOnEOJHhYo3FDT+f/8Rvda0xJAJFUiWqWiyKCakDFQ1udscW3bCLlMoEGClkICpggPaChPoRAAD
teTZmeWCJ1cD1pifBGTBTiEGG1iDi4IORjUqMQT+ExcQoGBXwQnTDkxhqYCFM1w3Jf277hTM0Era
bp8LUN0KdMgnuW7RVnFxKAxiMtsvcGr4Vg7VS6tWyKHr+sVifcyK8kEomKLp5fbGNbQzJB7QQ+Wa
bSZDBdhCYUwUjjFWYMZBIRpdWI1pOeiMQeCVKYxj3hfoq6rqVs9Z7CKAnQ4auPddp9x1qPr6m65w
MG3ZahOPJ7IoV2yISphU5IPlWwon2cOVjPuE93AZOwab6kCKOj/6PE+iJKFS9I+SzNAhhSJWKmBl
Wt1x5ZR+fqwQOWwdBbbMIFxWCnXJFnYXKvilozCYnWAxPCk05gwj00w5/Qaj3chHG4lpjEMkGFa4
LYYXBYtNuGMry00bLo+zZi2BhVeFy9M7TRA8BSRPb5bOaV3A6KlcuKHLqWNMQSLmkiN2VA+/1nmx
PyuyqHDbp7AnYHlAVMlMKCdsOI9mHzDnngayR3BraL4b+6aThk9LVN6F3owyWTp4G7WKAL+ys3dx
XBXkv9ZHh+zJk9be/09v+S/jv3km6On+SW/5Nf78+hp/Hro/6S7Vj/4+8iRUDUsxji2DHHfj3cTT
1A26S1yxyOHYLb6beDp/cwXt5d/ZIe8mnvSdgPfIhvyLDmQURD8PO1l0cdChdvfUUPWNO/iOQzN1
fYwvs7Y2/UTWwVo657TOv2kRCmrXaugh2/64tPYQAPNDF6if40k8RQ6n2Ih/aWwBMsydgfxkWuJt
hsQDBgH7mt5q/HRFclJVtGiNFpGj0GZfuxa9X5Ue5dTRoOX+gFrSD6sFGtBkvvZGEqQjcd6yQo+W
21bQxUYbiBmR0NiVLeM0ZjJK0jnRI2gi+jTUTFgm8Al0tV86kT4Ubn4rXYytTIsB+yTFycmjzLfQ
u2XtsDUjsz+6EP83w5TdtpU4VF7bAbNtS6I25pWv3frU0mRRjtooD8QHBKs56tpok0Dp3DBZY+zn
Ft4OPhWOQfQEEckSS9Mcmjx8aa2WCApeTmmNXyBy20iCUX1M5biLh3j1MxIqlg4IyzCGdBFIPJNh
gnAxrgiMrJ3VKVlJqU44fgnxDyM7NAciWz4DiO/HcmRIZaGeN4g9oTDbJ07jx8vSBQzc0EZYxWn5
GKV8CHOCHit35udBTCdnvZO589li+CRm5E00sDUgWj/RMeoaFVPGrqhuCtspjqFBmokjeBWhvLUG
JEaDRNZRlHZ7iRfnQ0UnnEwdvPNVa7Z1NjWb1ILhLNfwU2NGzaUfbJ4M2uih4e1eQ3AQfX1DD0AJ
GFpYs+17V8TPSUFtkJvOvkaizxqoPwk0GUbyEOWxHrAT1rZ5np5sd3I24Ay/zprQ/sXcEhHcT1te
WD3MZkBeC6yc5s+0dyOam57729qs8OkBwNlXaWpkGyvNb0KMEAhk2r1b6vg72uhp5CnI+qw4RoW/
lNthFvYVxMMy6oH8WhjbiUjdrGuJztqtrkQVv9r5eEdoy5U1VWcvaS3/3THzJ2NXRS/6cUnNy2c6
jDmGFQV87p94P64sE2TDXMcjXyHTidlZRjrC7slaTiv4LjdF4uTNNs5sFJ6HVGlBzW+ePV0NbXVu
MD4v5XRnOgXpF0hOfVMPtYPQlyuths4/GMa3Br/ktU0egcnDoPcrR0OeIJZPejjIEzDCWMJ1ZA6z
ceJKQDHRHDaqTLjXls6u9m4+opoATMh63O9nWHXJxBtFwMd+KLSaRz8n+FjifJAZzbbd477P+x0c
pdv/ubj+9cXlqCfin1xcVY6wa/jFsMVSjp/7/dYSUpllBVs1Jo7wrX6fiTp/M0iuUHs6aWLZQtny
w0xUKEGMpevkvSND/WMmihwGKZNSrELWAKPm/ZWZ6NsT/qPmBTeZzSoRroWFE0xdbe+uriVuK4uT
SRIh/8JGYL2e0jG5iksAvFaxBFrmZoidRyJcujOWi3m7pFxoXG+cxiZJR5lsGz+vEhnkccfgs/wY
m+0SEMPEwMsgUoaqUCCoCb+sMVKwBXFAPTy0xZhvjRnpGYBhxSvN7UOWGMZ2TBkBhvq0XRPCehla
sK2LXud1ASIqMkZjOCuaBpxDYjy/++T+5Cx4ixz+5Z1w8I2zAoVMptam79+JzM3BSlQ6mNGwKnY1
vIJDOVuPU9FoG60eZ7/lgzrAJ2a0O+0iGZckdCwWUxexjTPuZ7ohJrcfusFY92a7HuOO9KU4SwCT
jPiqpGjvJ2vIzpn09h0Qy9B8qDnwmlB6vLtls/nnfyElpvrxcCM2FrWUBbbbks4vdDw7sx1XtkiZ
UkZOG8jsx7LQEeH38hYm80nHeJPa+mnNpsp3lvneNtYP//wlUGb98hocHn+X0T2HKyftT16FpbcQ
7qEy3iTjigyjC8/wZE45iFCUqYZHt5JVT1yD9900TYG+2Kex1sfrOPZF1sz7oifFxUk1SLr8gkP8
5uegV59KWrAoa26aykyCNuy+OwZ1EkJPK9AnBvSdfj8kCEFTG8kWX+GMeUvW7nT5XK+rts/cR2TK
H2YMZy7dkqUXT52bW8wq2nHbgXTBNvglLRBeD+lIuVGlkHCJ3WrjI5sB50APjPpRR8arM2C3HG1b
wpImoUVbza1XyXVbIKcBDu58W/qy4tnI5LZoyGYyNe9lrydevG1yUe5GBhqM42/qya3Oq5m7Qb+2
n1pm52eYvmVelXuR4C10l8yi6w+5GHogt2HmMma0T2Q/fDOpJ/ibdPfl1FzXYfxE+AuXmbIrZRFR
B1rPxg+iVm50SH8K1J4htNU1M+7MKfzipY696R3rWYzhHgV1Se6ZXh3Zw+2rgVommeT9TBabmRID
1sa3sp7Ar3TLsTDFXUhLi1+NNYpMv41KWy3aLdogCbEgra8aAW9SzOuZ4hI52tQ/MpQJrBlhe7fE
MYtGcONd+RqPxdPQsk3JTdgg48qgJjLlFQRwfdP1Gd0zRIa+GZ/XHN1n0eYBJ+N6NvW9PdrjAyhf
n7UUVqwZQmoET3svsbcw3TEf+0loG7Nitov76blBabxpmGeJpBGQMIvv4VxlUHrAVlYoqjZl+SVr
ovJqcPBbufBcpcYUZk71fepJLTC95lYLB3kTG+B8IhfF31heg6JmJpGMoa+Cx+PKvWWmBxpahrdv
2QwD6RIGLNl6LkGtuLjk2tI86qJH3TsNyRYWRLRhCM5b7+KtqRLOwFCyPIDqqm2Zw5fB1FNtQwRO
j4nyLzJqZwmkjUHezP3OapQ0jqn7TmVGX7xpmc7kpFF+gys0HfYbaRKhWc+1Ya8BvN+1Oo6ncqou
tY3Aepy3ZFogYAtr/HXidsgZH2p0wdTFaZaNfldS3yVpw9YkNBil81LhUOAx7IrwyRjx68QsEGoG
0w0wmG1eDNamWnrC7fBw9Sa2R0+/1SrmMF0r8iCN+Mh4ntEBIFYT5TFpPnXoA9XoWQY9Y6KtFYU3
HPUZ31fNRvknLo6EjFSLyi/ViiyVFFzNKMy9ySQwre3oYq1UcVJmINFHE/ROhXcHX+e3eu3uKCs/
DjODXMb91zFbCXxbGRy68LFdXPionm0fxjFiUdfvxMIDDvPZDbAHBSMwiVxRJWLwEr3iTLTd0m/b
uvi+aJ2zN2sDOPlX+56nvAQzAnrqjVgBuqJUDAsPINWSIKPS3H7vgrkwFe9iDJvEdxu+JuMwbhzQ
xVdl9QUk0BExLeNCElV2TQ+ryg1HPw6t/FBwC4Newh9Ycc7YnZfeZZIhp8guwpTjddRoR3NG5jHT
qPp6hfYRZVyyLI0vNfOxqsDztAujmwJHxEY0KdY5tHGR02rXiYDY4/Zet/PymMgkaTwnMwMsVPfo
+yw+xnL8uPAmHe1a+0KZUyPHYz+XZyehY5NeUmQLJZlwTB4turZhOeDlfNEcStHC2I+Ge1+7s3tq
svBzLKZvpTEUJAcO36xkvEBUWreRA9CkbR41E7rQmsytz6pvV7nTQW+wDa9987LG9NJEyw1Qmcsa
6GDyzaHz4Hhm/V8WzQ0qtu+zc55rBGgigu4/xlm9peO4wykHDpGvCIa8bIOT43qKkhwVDzdx0Se3
TtaQViJH3xQMEgeX6sTi5YxN5IcNSU1Guax+3BlfJm/+nDH+3EZGP+7EWFt7s1qTo7VgW+tXavBw
YUBbLeGhqyuJQ6T/HHve/u1O/UvqhH+7+OBf8mvV63gPvP3/r+s/OcjOYijyrvT4xSH28DWelvUn
d9hvP/S7MkGJCEyENWgnlcCNf93vcjliSHQqF4PhkmS09MPwiGEOYyWpCnVC8N5V4TCP0NGhPHd0
RcQz/5Ly/FdHp+LXqvgoSHbyF11C3WusSC0MkQjIgkIzT1Db2M2jCuvcS8aCUrBdLJGavXuP/qTk
RXPxY4EIgM8mRorqULgOncaPFW9orcIGnmcxaSl8LWOa4OBdxCcU8hjDmz7/818HnuKXX0iOoKC2
lkgNdU+57d6X2DJre3txwfwj50qPZl9rm0G5cpYivperbAKz1L5nde0iknO7bUFE1DapUfgNS/KN
w2TaynzpttjCFa7MYb8fVHoz7nq+vlvHAG32PVacs1kBzxqvZgwOA00oGprMrSDL9asQTFqieGll
kX3FpttsDHnr4fsuhUAVXzN6Uqy1ZloXfzTZinotTQo/cJCd6lSccGPX5NhJbVn2YT7fJQZI0CYt
rUDoUL9noz724N4KxX1TywAdKCiCEftshtXXoTe/oGBWvDi3wM4cpel5KUT50VssAHjJcMM0et5R
njO/KXZS7em0KAtYL+tBoXZ4dZvF+2IlWc/pQQikAL0zjfgK+0tCoeKFDL1RhCeJdqdAeckaflDo
vax/6blBCQs493l4yd0mmDBptbnzYbb00xAnJ5WsGofmYY3MA3iH40rMXgJYvRnyC9uNQyjik94q
osIh40AUswHOLjsMLHn0uTs2vXVVs5Gtwvs1MvzExpTTGic902ADZAcmFkE43izIaBiC+LFCAKZf
WqAOvOYL5/q+KuxDNWQHshQOso/2DfK3JomDVWp7JxXEnkAfdNJTHT4JNHoaqx7k7ykODXDL1009
7TBCgcVSVQqLYbbzboT9DHlkBIxxGg66vT5r3pJjm+ZvyLoymzFwIwodKotAwXH/Jnav7Yc8Li/l
Ep16HHpTmhLiUfiWjChy2fjz7hlYArR2IBaguDhxuMun5oZ35mJOFEch2cvV7aKT+TFo9zXgq2yq
bxY4HUxFPezMqCo0jxQNw8GWleiYpOJuTHzBnHbNvo1LXm7HBW1c41CiALTcihbLiS5AWHKraZ3m
BATtNH7tFKhOaV6WLkv+H3vntSM7dmbpV+kHaGrozW0EGd5kZqS/IU46uk1uevf087GEkkqqgRoa
9MWgMQIKKEg6JzMjyb1/s9a3tomGu7EstHXKzumoGAS31r2zkpZJHTgPX+rMNgqP4Jik5w9KlC9t
UafroYo7VP8iSSE+66X7kEorCBViLXCpwbMgR/EgGnPnUdsV04BTID7kzYuV2n7h9ESV5P4o4+0C
H25dczWY6S5HNOOkOxNORsny18B73ZFqixJnG6LxTMg56hCGFmjhUT9JluyqOFHCbESNGa2LtpbZ
7CnoNmaH0Jx/X/7JIJzEULqW/IbRjYJCLhxips3FBrGpj9FhY2n8rVL1m5ZPrYlWjRIHkoCnNKcU
Yle3kDkAIm9qyz5YkGlYXkJzQF1UHBGerV0bqoW8LKqMUgUoyZ5UPRhtSl7vr0aZfL2z1qmGtcEL
d2P9ULISTvmcCrNDS3pdvu9EeGd2fggzMvLcBAwHsp+sPdl2Sz6CLA44nC72zHOJieLDzpPoigBp
T1RmMMuHhGQ38SztbMmwLO/yNN4u3zVGv43gbZsIU8Dcf1Cu7OnvukVIG4XP+tizqe2umbQOroi3
JS+B7SorC4cE6prVhMqN1ptgq3UXYc4ok8PEvkBWkDPhPhNdsu5SkjGnX3Ze7EeWo53BNlfFN7Qb
RvbllatnmyFj0kFc8LVQ+BfAx/pDhoyOyQ9mhTDN196CHhCtmmxIA15NQ/G4jK22vQj3EObO4Thv
7C4596yr5UJ2wQ5h1xwPwoV+p7x0/EKVbnl1hiAzQYQW2idMmUel7Y4RGdg8m4e29h7HPtq2UbfO
e6QO2fxqtQBaI0WGsFzmz0mbfPAmoOlGwHPWwfHOSwxBvkSgyzioi3y3/JMMiBCYLhhvUoO3k21o
Mld6qZ6jwTml8FK0sNsIhCOqmH2tx1xtvw+9sikjANUTu3ZT3rHHsGKxiVvj7Kn9JWzHS5NWGxsU
QMlztOqH/QTxOZPTqZ6CwWjXvJxr7vdthGWXnY7ZG4x7Q9YvtOYu2wMJas/hDCR1keMm5i4Qld7s
spT8J9fA9GXN52oa8Rp12YpDmerdQI/HjpcvBjLI0dgawOgmeqThxbUN4h9l+l7GLgsi+r/CRRcw
FOJJr5NzR+r7euqZvUnTQCAPGWqhou70rrAXYeLsj/qxSaqvGWnv2qkY8hWRcugmx9yrQ/XXEdG/
Vc7ugofgX8KW/+/r3f9Hy1nL/JcUsMfkMynkP5ezv/2h38tZIg/wRKrsLTCFUKL+oZyFtkyai4v9
A1KYisb1dyOl/Rf7NwTCwkr+bVH696Gy9Re0t1S0UBCWGpjh6L/h/iCA+U+FngGMEyizRuGuMtr+
x0KPJt0bvI7RY45NL3VG303LY9rsEw2eJHwkfLpf+WLKzrs8CMlDYRJ+WcSKxrqojfvZiAGqsMZQ
lrcVbFAr3yMS9ZDCRDeP7SO6mDu7WqexftJGwp0HBGqo0ecLvo0b4v9NXqMNtxPlkaXaKcvMnQqG
vQd+XxWgMCvXu02NdfC8GcgBM2Y1OpeTgd6oO1YOJUJkzZciPOT1EuIjQfnix/+BVHTsLHlmDHxI
izzy2/gk7dw77ss3M3YeAEzcm/Xo+hUTDq+Ff5J3VLEt9HoF3e55QItW4R0g1JTpmponu3EIUxTA
KRAEeZEKf5SoE1S5rjg5U2xs1XL66vJ8b4XiI3SST3hBTqCH1Va2oKrnUMFkxnBQjBpLo8Q5uV1R
BE1JCmLF6BcPyWASZBifNAswMrQLG+7/3JBejwOwVqh9hxk3SZGGRyDStir6C3GOx0FTQfd0cQ3G
ITnbSvWkJidWGC+9ySmMuYBboQ2UGA2hmnON5gq/mXRi8mmhEZqEuZeeou/72AwiTfdlakBANkR+
skO2nH3IETa8jZkg3CycHL8vdZMwO4tk56l+muscOFtiHc2MCwW4gtg6s0eQV/bjmqAKknCKNoNR
fNRCKXaeBydfeOQYQbJq2DeshjaOA7d2IMPE4sPNMDU0RkzI6J2ekqBTw1Tey5B9XkjHbyfto4Uc
kLqkP0T9AFitGR5qZjx+VExbImwQErucuQ6/TboAppskS2c7PSW+eYkuTVouZkBZ2payugUJxpwm
GxzHZyXP+lxZj2qIbgU7CzQ585q2CTanSW6L7DFh6rQO3fiYtAWrQMXUGdca96Hg0rbD7mRNg8Xf
AKWMQY1uZ+zeEwaxYvoipBaQm+ge9WnCzwdCQjdLX+NR65KeKXJLjOBCw67tAbhHzVTamMOnAvIr
H1W4EE0bsR9rg9ERjG+zEhe1MwNngsYGhA7Yq4Ivqg9TBjoxaw1BneMiOjuWuSZZzEP2DnUD2tHs
3WVIw7ZTzhsYz/GldlkDpXn4RcoDPV6vlUHb2zBN0GdKIeb9PJ2TPEpRkoNVByLAXYlnq5LaPjH7
+5R4YiL24FOlygiVjjlwD/ZC1+dxT5md2ZKlSZwj28NmNWX2s/CqrR1Fn8KQT15l7gGYZetypkWj
IqoDB6xgqRF4lzTfgxmh8689Mt2a7IiyIN6pmXgDkXLvIbXQNOAfKMGDMtZLZonKauyUb0ZIqCwA
CWY6DiyJ1H7OxlWcVTmwI+M7bIjuq/GzJiga24YPI0kR9B3QMa/IEayNjKlsuCrUXdZXHHNF/tLi
CV45k1auqspI1rFbsUGr0Qm6FnyqxSm3MDQwSVRoueRdzi66gRW/FyNaKvYzFAyEehAQsUtlir+z
a3ZPoaEe21H5Scv5U0nz9wj5hIyjD6FSDVIhDBwEYv6pVPUjd9R6oxEKuWq8Nhhxwgboc4udEo1P
iqK85Tm5kraV0eXZa9Mi3KsklSqw2/xXrtvQkrANMYt/Up0yWhmTAPakM+AsJNpR3di5jbfBhwYx
roqfajd9GV23ZvMD+NxSkNGWddAkfRNYeQJozFQh7M2CSEodZJyTbAu3visZCmyiELMbYsfrOHvf
RQr1aTJBquX5TNpH19xqkjLxdiP9reMfE+hYUOkObZWJUZCU27eq44HlOKoKSIHdEK1cRGyBqj31
sClXTK1fJ28pwc0rJL192Kixr2CJ2oOd2E2x6Rxlbfbkf7TMAlzvqEFK942RDrCjDKb2amBqgEPv
8mUAuSQRqlj/MLWv53E6Ea/2KMPLUEYvXobm2g2D0vMeDUO8YcGqTBtMj7VmrnllDEBuV9P8aqtH
QHu8DKjP6wzLOlyYc+HwYwyjt9dD4PJMI7xy+GhTXjWNbkOmIJer7Wyn9yr9tHSMsyGAeMRL4gGR
dOtw1K6gdu61sDglgpG2gV6xIzU2Q1FCYLSdJq9+T1fgqd1Go9h1ODc7mjiFPd0Cy9dV+2T1Epsy
V6sd5e9LHwJLJFoNZXiyysey9RbGfGDzB22VcxjDIUZyQH8qd28sUPla/cHU3Afz1YT3kjP5zvJv
1CLfXGNfzjCyNl2AR82VtfmpHqNtmcPVRsjZCHxliLc7jYmJ+zA4Iw6S4bexVFLd93lzxpG/YkJy
y0oweK7HR+Wo8dlq86tupO9G5zw2YXKvNHzCWhZvdazJU+WeXIJZSup3chDeLH6mqCh+5Y6+m5Cj
9GrkVxhe1JqdjN7ok+/kv0rL/fLU5cibRAJMcR7Xs2W9zbH2aLPsXpnzR67r16rJy43QOeahk1Z4
Nb5SbXiIauYYuH8QSwq61RFdvK9p9YYZfY1gho9F4SkYi4dR729uhkMn6V8rrzHX7TJrSPr2PTOb
+OAOAFsGYv5q3Iy+mWcHihgfLdSxbSYVRXmzjqvio3SKs+NG03qy3U0Wk1kYe87BaRK5UxTrR84m
BE19pZYZjlNiCB3n1OXALRRgRPaXTTxRhn0kUbHz29qqLep9RayVZn1UabQJFbmvlfyOSemJXzJF
Qr8dnXqd4p6f4vKO0INtzBCDiXjABUUEg3GfJNXO6uStE96WAfraLHHXQJYsKg67xmFZKXdwdp4i
01ybkEVT77WEQ1hbxqXtIIrapDlm3csELsNVBxX2VReMDisCqhkCqqGRyr3FT5fTdBmGA/nPuvRl
8tFJojzZ0JH0LiaI6rDTU8fvNJNZibmtx2obR/kNnsBLNhNE2ByFNv4Xs04K7j+XwJisF3ccrjcV
J/Y/lsCoqMuBfSSb73p2V1i4idfD+wz5886oXCCQmUSPTMOZOq8iNUGBEisdzEl0cSJjrbu8Q4k0
XPwP5qeG4d+vc+u5WURVqQpix47fLbdAB2iW1zDLWALyqAMl2rrWrR6UCI9M9JzN+ikD1RqOLKbw
sm7qioRHnu8Vgd1bpHUHtwMANjapso7DI44fdngwa9d2V2SBincNFxaG3sq1/MnKXvU0VbY5NCRF
H9aqQ+2nQgFcsfOywQhar4bNQ8i2a+SuXuWaghPUfXPi+sPoQ6ruLvqAanDihThROB6EdzEEcRah
sE6j0z70lnhvoS2wPvd5atdF4zxGCrtRiwyJMBMnGNRQQ/NTx3w1GsubkrzifueDMy4icS8LRpaf
5C6R9X1vPvaxvWmAMdXpZVag3BIg28XMPaNL8SCLZO9kpS/lnnXwfhF6U9ztexp+BH9H28uDzgsD
CQzSk9klHR/nIbrDosJ0Xt/VE/SzAhuKm5+yYjyST3VpMaJlGLaI8gpq09qBeuEWuR9Lh2+ApGKw
L1xNJM7eRUr5aqfyjsmeal5tWd0qm9NMd/nOK1giHXM/ImY3tebeJbxdc6XdUxWfjGRYD5qJXG44
L1e0rAGOZMlTwhjFHvdt7eIcKHDCd5Vxp5rT65y0Ko9PDG+R+W1PQQlYBJG34rzO6sQTI2nJjACp
A/zOnnuhjcp48UDBLxwA9pfVgyHLc1nzhSX+E6SFIZkmOuu5ukYtr9qgSOxGXXuxG7SK9ig1/O3G
R+dE74M5EjmSAlkVv/A0fVZTuira5inO7Qt5OHw8PRqaSplXjmY5qxwNxF/lL/+9g4X/YYwmCw3j
H3Yyf1qTPdXJPw8VfvsTvyvVmBroBsmMrITcZeH1h6ECCk8GDaCZUFIsPtw/DBWWLCfD8XRAPwjV
WCL93b3LZslhb4bX6a9Mp39nqGD+eV2l8WUcCHKkQKqkiP/jiTrIakqUNIYoVCQ/bRWxDiC0DSIs
0gjysEfOIjYg5jqZsnuN4l4uVT5gliPWF3hkbgYhxum+21jdGShSG6GgrF66hXDpG1waiJJed9KS
z1HQJNNguAvPYek40qX3aLNNpzjjPu2tXVQxY3WXPoV1LySEBnpiQv+CJu5eBZi2B1SeonTA2yDs
gLEubs8Yzk7ia0PJoqacfmQ87RKp3osq/khwe+m2WSM/xbdvMktdqU4UB6EDuVvbD6R005BxKafN
Q+PKZ0sW91kUIkuYV3uzk3s59SySSkKjiLpemSmLd8UOryJGUAVkEtoO+RUyvY+6xQql+wQZvaeY
lGXHTjxR1ckfQqdbhZQp3JGZzw6PKtcitTpsX6Yq4/1W402iebvR0u/mUH0U+gDeFqciobSrTHWg
/XDZNurZYX+GHQX9cy9PUeXiNNTZmIy51wGCRPAG//giwBvvpgKbMvbAXreD0KW+Ti1vPXLQaHP7
02jqzRu0l5zlwmjhGdUYw+Q4sjE9yk2mym08d5s2LvbI3wCxns3WOuDARrg46repspncYBeZPYKE
6q5/EAtYwcOwDb447tHExBWVEiQ6/puvKbxoxataKNueBVIdpq9RFKN0yb5Lq52AkceHbMYhNDFt
D+3BF2363mkg9WJKzpVRZcfGIqmYtK+fqHUeDXzkdDn1EyZNIHioPUJPh/jU8Kv3ctIzIo2FBiuJ
oLKm25DQZkNFNAbjx8Ez6nelwBV1dSXC7VSqrPg67xmr4zm1rW+q35Yjflj0M/N1xqGJxw0ceeka
cLPNM90kjEXn0y70DY7efpVRHPdAaPehKzfsXbfpmO4jb2CjAr070szXnolyJE0gu7qKVadssRhe
s5IbrZrCJzGRWzO4L3HM7dAXZCuagI5YBa01s2JvbG0hmsII8sJnN9f3o5vces82DoNDHbz8OuZw
8vMMXpqRUSyAHZUQIeOl6c7eWqO+stn7qDEzDQWjFQXmkg8mC2rRzNsQZoFwwiRIyihdF0v2TE7w
O/5VfWsnv2z9LjTZ1sQ/pbibkYWSzgIp0Sm/1cbn5c/6o2TgwTx7Ts5TiF9wrVSfTg+I9Gtk8+BB
7mpvE8Ls0Y/NNwxhLh/AzKfZsVyrn7vsQTVPXhFAKOysICc3zUtoqO9acUtbjM4HV3tKSgrebWFj
CTvr6mUqdwPR28620uBK8iu7C1lk5QQN9ADNETepxPj0KUnK8VWTZyN5znpMH/YZOrEDP3TwYLI3
NzXaZpqv81I49UUr7ypsx2p4rykX6Z7nc6il6MlYYJAQmV2j+UG36Yme5vg2aQ+jctHz+9Q4N/Vj
RFS38+DmVyoFp8GqUP2q+LNMcVZ8XRrwwNKpN4yHSvl27bs4Cer5Y5KPiJNG/Y2aboRzORmfMroo
oy/5Nnk/vJcqfei9n4THtHrV8nndNS8QyVc05r7QX2PrTfEQ+fp9u5mSj8h6mKYSR0MfQLTLiRbB
VjqHYHxK7HoR0gPDn3GlaAMOweYuZAKi1eskeiHNYaVbqe81L8tOb9QmnHIlK2P1AC3BYHfaOt8O
qPMZTH3Ezz7Yvt3ySzYS2PHPCpUFQXsBtDDGyoeuP9tDsxYmUiBotqXHACYWQYd33+D/maQfaf/d
IhQq6JJq/VeEUSE7arhuoocOYX0J8st4dZMj0NtMf3SiYxr/sqtL0kI5YqoMgn2lybeaKaRjz35L
v6tMFzc56Dz2CavrmNI4agglLfoN1N9VDQYnDLzqZQjp9hAVxN0lpCWumRP0D+bU0cnxsxF0UXgM
lMTXlN9sujXCr1YmqfF8UMX03dVfU3RjvLMEr/ta9ShRaLlY4KaJxQ5Y9RmfiCfMTVzFa2E8FRGC
D/miKbT+kvESQCSzhM9Wr/ve9DGsbkKMMhaKTfg4jGIFaeop7iMFvRhNOSb7NST9emU1uA4XwR3b
vgh58chopRg3sMa/3N7+MCMweU6fH5Jy+CZatsvf6/pLn8kzsI3lTmyjD5XxW+UUDxooDlIUz2Np
kl9ep/DTClLUudpJq+8hbTDMlG63AyQHZjst8H2XkII7PtYCIazZ6vclDw8oUtI6VDB5a70NZE/Y
a8qNv4odVtlZmm0rPUfZPVRvluzhlLmPI7EfOu+ko+JLYsqjFyCYoDKjEG1j7PfepTFGTo7qTbdc
1ILRVrXcCxJwOEzVvbBwbcZ4d1bsSOHfhM06nQoGQhj8c5euM7zW7A/73LyXdX2Nc3dkz2fwDC+R
wKjqGQqvcgMt8KAiJHRGPscIEUGGRB2ELZtrV8muvTu9WEuBoIzlNxJDpNzRt67Fo1/FhEiK5byc
n9XOfQaMvM+dEFVwYeOTZKIU28rB0xkeGeSGzTXHdT96BU+EBrvAfpxn/Wp14okv4adGBJxPnqeu
uU5Vdxr0+pMsQXgTzIFdMPaApcvNkFo3ar213rGA5JFrHZv3WFa4oyfxWlTynCfZmQRJQley8pKE
7bvU29eU/2w6p3zTKu9Xoxr4X8fiMKuzsW7AkMgIKGYyPdoV20ehktlRasQUN7fM7cVhKp9x3CKR
TZ3k8Fv5+9/bJPyP2z6ym/tXXcLzr+7rT23C8kf+2iaQJWQuYUI2e0JgOvApfm8T7L+AjSOK1WZ6
4Jk2Krt/bBNsF1qrueQPLT6yv3cJGDDVv8UZGdq/tXr80+YR4hzSsqUbIZpWU/9JYoYKWyGg1aIl
6FWxr3v6Tpj9JBuYdlBq43fksYNq7MINEqtufJxZeNOQLa9qlDO+dJ1i02H35uReGMuz9q3MNAey
R79fJVBBJzOfjoap1Jg6VEChEDVqUX0UoMbMsEINHLMawvMRb6zkSsl+0IoJHcSiPLbCnkvC8sxF
IMZ7pVvhEVaR+hhNVu+LqMRrCTANLGarbJJhSneD2q60skS/Wibt1kLyRBy0WA05XY6E38MpUzJ2
x/XnwqQwl/GSSVFso/sL3PBFNcCv2oXDYEMtvsM5Z64JiEIRm7mDEKmGNaM7lxDxgWYGOfm3q5c8
GX/zQ/0fJIaethiI/tFWg+KPns1mFINF9p9Xwa1VFossnOVBY2t32BsZMYZ6xX4kfJgi4TBDBqfh
okEmKjA6CUs7MRBqKMzEj5qHER9M81j2LBzMGLgfsJKTnPtzZTyqkCv2LkjPrd1lT2A01ga+ONiV
8DfZJ6IeHzG6SIa0o3RvObfzmHfmqY2Qphs1y550rsHYoUAvGxvA+SYpUuwBsZUGkyOHvb00HApn
vZlOaCik7Zw9W8H9MyGQEuisl0gotwmjbRdJm8SWtvLboexBGPQofQSDSRDl1N6rXiuwHLi+27Hv
iU02YM5MogjjoFZHYWdzGWGMrWEahEEobW7fWrka+JS42mzi3jX8puqsHIURNF5dH0nzyteZxyVL
+M9OlFO4qpOMZXT3U6fTuM1joXHIT8+DC+tcRnDuMpxPuxwd+YZgkz79cvpKuTnzcOoySt6yRcTo
ucWb2tQzPQdWRtrHkfE2ptyhi9p90w6YTxNvVRKO1HiODDRLOKvWrHZzYkFNTHvjsow7axdbQ8Gt
YFXZbW40FOXuI5D5dp3i3F6rpe6rfaueUbODR+W+Z//THfSWBhVCAvWva45b1W2ssy7dT6Ms3sOk
jIOXuWijIB7b+G5uuHYdV1ZMDg2egAlTh0tnTS4tjUKcBbFdGhtBkAeZT35VK2ngtNG5jduN6iRt
4DVQf9rprh4ScbB796KEz6WlnyyrfrDYEWdd6CFBi39VmTE9KAZ5RIJoFYTqJkXJDHrBTt1dOFO2
c2YcZluP4TkRzt4u9GevDddZNDw7OVqlWgNrF4tyXeXiPTSo5vWGQVvK6krzJnuTI9xh4o5cPxzX
7LKLnTXYL5PKXNiQVoRhC82/xeiVumNEdp/AphaF3zX2FbqHT5JLue1MIocY/3L0KPZaEu0QuLiX
K7DsyxnHuNwdkekBaGxCsBrEi1H5ZQvOvuH5aUskBGhPMbDfy8T6CtNdShLMIcfKi70nPXVpdCoH
BY2rPo5+1+Ef6OqxpUgNSb3B97BK7sHZ8p4O8afHHkWGlKE1OM592s5U6HaydQfvxexc2l2JqVaY
kesP+JiNnxahbi4cuRUIe4N4Sh8Hc6t0LI6lSaefju0+HZRr1uAmrIbJYW5dvmYlfPeoiJ4QYH4k
tXwfSp5yeKMFW7rEO+MrSFDcot9q8RmPoX3nQgZZNy17He6neNPO6o8hvF2vK5e0+1IGc0/4A8Cc
EEFrBbce38b4jpLA8UUiXbAq5FUkitOv66hIr4PeHee6jh4UOHgUP4vqwNW0fTSr6t7hf9QLzO/J
TF1YRDNCwgo3SdSksQ9GZFxnBBakiFnWQOoW6XV3Uic73eiiyINR4Ws2JTY3IyOdhyoXLk4G8yi1
fEeWJCFkLq2Sovp6z0ed2yVD6nLemlVRcZyFr6UV40J28idVY2ESxzbWjq5F5aVbGwH4fN0xH0AZ
214ZI3crgZ1xlWQ1W9/JOApdB2uHmX6t6s+tKN61PEcTPfPRkP5+wb+iMV8qERVWIg0K9CJr7tCe
sDozYU5Vr3F79+jiTnWs3oTKQqJtSS8H8MPCIT2yRkWL2XlPSlxfOx3TREk0GMXwpkq3tQMx1TN2
hdd+RJP3HDfKYRpZiCwKy9B+SpdVXm2PzGAm9hd5vesG+zZFdYdpq7qqYAjouvxWje5TvQHZhHDS
dJ+zElJepWx6UtBiMV5aJdrE6E3iaTxCcYfo49T1wWTtAPjOeyZajggS8jaGMOcU+1JTgsVDeSeL
+BWVI2xs6lAygump0XHujYJ16CIPZRXpOyGkFDXDhRTn73nVH2mxx4p9rVlZB7uMZ6TTKATtL1Mp
61VRTifRaSyGYnA0CjCp8LR8FQXVx6yY5TIn4fXSPo1EubVGsbbFGIwDGJgKjk7UuLR/Ksr4eols
0ZbwFrnEuJhLoIsXtq+j7djbsot/5gzkGMLpddMjZ23rBC2twvB3NaRyY9XefE7bSAsK57XK2K9w
AylRGh8Q3txrafEKADY/zmqdXHkEdpj737KqsK+g4+vu2gwEPTQxY7ZBkbgAl6SFrHUXS2uyTqy2
PCw0AHgQ6WrWGbnaUj2S/QTqwIj0tWdfLDX+EgTHPUwMlv02L5954ryjNFEXJyXNtxJFfhkb5lbl
wVnSImMknxqqHEtl+FEUfmvxBWQBxXTw9Oi6iDmsJPOb3rQvuR2+QGGCxwUT4uril5rgqWbR1O2z
0nvEVEAOsi3eyJoZ73tptER08Mo15leLYuo1i5FVoW0IfWF2Lw0F1Rg6+o3mW1gbK+ysZ08LGWcO
QxXobrtg+GfjOaxSxCujLu68OEnp90NGv6G8Hzv0VNadXs0706p3usfSDtFBSNNMCaYSZIg8PxTB
bGsG4ewRwRrgmndzWebb0FHOvSvlRjFbduyNBdix4zRlwiLwJjq8EQy5lftoqOOdMedwJ1mraUlx
Ke2pISynu5VtzECW1CsldJW9rmA+mFKW1kMymZtee04dbhqYGAw6B8Tfph2ae7vXf2GOKXaT3T9X
EYc+gqDYLywkzXhuD7SQpNLHLas9gC3HrMXeXWrlqxi9zTCke5G9T958ySPxwyx8S6VkEymPRzNW
5bWPg4l9MAo4FPBSw/ZtNFczi54q1opFMX5MQvyYTJ0RGpdM9oyfqlJPeXJmj90wCuvzoO/GI6Ej
YlVW91gGH52suBPh1vaiQ2HxgqoZf3dWA3frAkfIO67UXYTzAFbfU6G3ewOxfpzHt7AzPuv0Sdbu
Qc3TU2WgzFfa/L6FCuwh9mHcsTMIajTLCBVPeIrD/Jzuh4l9XgUaHkUJfbWUJ0IXgKPxHYt6P9o9
gDaQWlp2Nag+4B/e53UMIWw81or75Okhdlb5LgeqTEMntqa+FVggNC3387JEwVKrn1NE0+LM+wEt
0G9HTzkAkEOox4aOZfbI52LmfL1W8ZjB2+EaP8lbx28VX8ETPG0UC5S5qjBOGH8DmunNoFXXYWDa
hEoLjeAtw9JOdPaxLZwv0p/8UNuheEhac5d64g1dQtAIsUttXBxF8ysHO7Ja3NihbM4pvPoRn0MH
/ykqWkhb8tRqftNteLmRepgGWN9mXzOA53LGRluo850r7WtY8SM3zJ7Jc3txoTvGptjYef5aWZtF
qqIx7IoGHqVsusz2iCqE8KWQGIN2At9Y+GreqbQrw2VRhUcSxxSi7sbQMF3rDOvyMgVMyUSiVcMb
gp3fvpWtSivU93C1LN3ul33Rjj33oVK1mAtOnAxLeWHk9YDbYSU8dET8Ojglv1qQg7ycEDcH+zPL
ohc5Zoys5F0WEitvDHSXCJEYr0AqSJrxRIJh5HcjB7xq3zeaBkpfDQA+vpeTc0uJ4KTYAgzpPWM5
O4ODpMSu23PWxXvkUAFy04KbgS9JFC7XXXSgdqMOaPyELYYdmZ+mCHn3vOyVnLH1FOMJd5CyYtmJ
nfCZ0MQHm9AEBw1Qg1jDr0UE8RCMlROnKwtLxlQmD+VwdisNjkOxRwJ1Nhv1s69SUiO8G1UQd/fo
t3hpMzV9Rxt4ch12Jzy/pBglhD+tElyNSek96MZX747XxdzTTt6LUbiPbmQ+UJb4eZ2+A867i5e9
RCWaZVOAczPvEghAE5EHTaslQUgqaWeEDHrHgXCOVGXNtSqUKj4oeX+Ii6I4scZCBWGO07FvsnOX
aTdTivA82InqDzOKUbWukFIpwwsIOapux9fNiKOqo9lAKbfHoP9F8MS9yNzyjejb9X+Gs+m2msHV
DMOMsb53VEVK4AYeInIL8mpDyYIloiFKMG8fojRHMjujoHfn4lpj5F4V3pdWQZr37Gra/Sebp0Tx
SEtYFRqWFq+g3NO7zNlFhnWlpNZWnWf2QVLTReod4jljIWmryI4Lc/p05fj9n33DRKEfGGJ3WcEE
oEvjdQ4YFMP7+N4bk3Ns2brpeN62Udkxke5wBQp0Bg1KGUE1ruhh4stJnrNceig44QaYFTNem7F0
5ZTtKa/zDPc/5lYVxQ3eBZYjrSjnTVVmX4RtIdGs1r3BOSrzUkH0UARer1rB/x+1/dcAGWOBuvxt
YPKnhfzzL/Eraf7jf/3HC2jtpPnT1G35078v582FTcIDhQTb1ZYB2l/9qzb53YzdPJeBnIcsSP+D
fxXBv7WszDUQL6z2Vf6n36duCP4tLK+uaTj/VrChs3xL/zzgWQLHme8gDGBJzXf2R1Nn76VTk4Qc
vHIiXEEtWU4P2lGU6GxMlsiEqDXsscGU4dvJRYREk3/hb7sKvd26ErtJ2Kf7KmpPoUqDMJvTt1bj
cjftiNNTDpyIseTvaWoSrB+ydqKLwzC6akrE8KOysbo4AzpBvGCazadBcHCqkZKTHOiiaCnuGFSL
foiOo571weBuOpYqhM8h8SmtG/LMp9jNNc5sLiWG/AzChonSArLiWpQnFTgy1OT0KFo69fB/c3ce
y5EbaR5/lYm5owMJIGEOMxFbnkVPNtlUXxA01fDe43H2OfY2L7Y/FLulJin1SCptLHcvUkhVRAGJ
NJ/5G2Ptm7Bz9IFtp7WtVVey5Rvyixvo/Sqz6ge6DIA7GxDpVmUsiP7vw3SSmnARku6th2Cgf+ib
Fa2eULJnk4uFIS0HpMt64tO5oD2yUFQTvc+k34Aw76lpIeeZ4D1kRDJfFp57ZUTUUAIKa8sypHOD
a8vGSnKHwY0dwGHOCeq+NwWtkHmSI09rmj8ZeCbgajsCCbIGeI7IHvamaBCHKHXIdFelVChDgGsF
Jzsu8R+2KVkhTYAQWbbWhI22NMTNilrUzItRiwv7Ar3tHrMZ7RHUFf7pqhvPy4AuJ4Ko6bLMpbH6
UgSWgMJhXaCpJoHjG0AFYmsJlvnOA+FMAXTTY5lLTSG+6cMGQZW+OS59kvYE3wPqR+pNSS2Gc19F
FoyqiYjp7aoe3VnHXXk1nTKPGJ02hIcGnAYWsCAJ6RI0TxLIEp4Vq+te7AGpO7pDA/LTvZzroEfm
mhIWsxix4pXljijiDPrSaj0UDiQFsZaiacFUjrRW4M1EGceRmYq6QbKISkjFYWXP0zwAYwnZeZGy
++KA4h5luNnOfA1Ingb7MqnA3Y9JhcIdxhScBBlBLRmI3SroR8RkHp6Em6BbOWaP+QTRGFElbqjN
oJeACTMNIr0ZFnlK4bMaYDcYIjg1oNTO+ozM3iN8gsF2C8UjnqmxNUcx5TQaeiThU+hgTI2CrAIn
dG/uRfG9XxU47bk0qArDD2l3BR9HsJ9s+PKzj4Yxek0dRaTeOulhbTgW/5GJ8QJ2X7IiuVzphXIH
Uezcje+9AbtnxbJXWoInimwoiBYyPst9iHBVf5RERwnhIjQPF7m+8gr3r+pISOTPR5aAUQICIP0u
XUvF7BB8uYL0lDM1fGIwsVUld3Hr3DYtEjSKly1zLd+UWQ3xzIPhXaUa24M4c922o+KlTUJowxUK
Xf6aisNccdNjSCHk1h3sxE1aKxei0515rHpAJJqVXzaIVOHCBh9WKdAexIl8penDBpwuizY3qgV4
+8neswwL99yqsG+MwCXQpUL3Q6X96JPI5hKMXqhQ90vAfmPjel02dIhzniGCskpifmqlfkoWHcDF
QfaD7uMF5Cus4kpefV4r5yVuyWjH5Gvp4+g2OOqFEbgPOUz9OcDzW1/FXUlGrEg9gSJcYy+TmlQE
mhrygAKLAJ+YZEkJModdwAqO5imNeWWWLxDTMbb4XmfUyHGJXiYivI7M5gnwCdTHCP66EW7tkMYy
bjgnYViFPCpNtQC0Omyhm3hqt/n03QqxSqY2XGIOyWrU2ycHyD4WOw7Wz1l0rQwR4G0fIyo9Kde6
ld2ZsVPNpSQ4cRjueWltVT2dIX+EGnSC1FGPe7PyxOtCDN3WL5RxjLgSdmtRKz821mYo2hjOjWRE
AQrNEgzhdcW7FDlGfF1+aXqUJ8wmg5Z67MXIR9nORMgAWu4S5eS3ih0ax2hxbE1cbipVsxdSQQfa
0mhKS2jaXinSkyrXVt3QTIxsi5p8fga7fW8IpA8mWtyCaoVLQUhRm2WLwswazM5lj8jUUilcqqXo
19YCv0tk3Q0WKTCGof1UQenZakG0cjEFRFhk64flRgmyCDKK0c8St3HP/VHUq6iktm17ytGQOumW
oHFlxPi5Zkm/1RL2+5Y4kFq1AYUzsGxcycNkocJxIvKMgWm5QIHojt6OTVtsosrfDQa5Q5oY1xSO
wpmTWjeK2iMDCmaYRom7rTstW5W4L2BmbS5Tz86QUrKgojrjJ1KOIzDzA1gZAJh4xozbYTUWHGEQ
zfRV95i3sjizQGeJYFC3alEgWI9yeNUn17I6IfnjeToX0mqpUg7qhqVSupQBzfLIiNXbxhgnox90
AjSYf4FEH6oX3q3vZPWFCpiuMxv3VHTesjRpvhU5kjeYkKJVPzyG2jYhDJq3SvBohM4XAGbIuYzo
KuBEeq+l7lqlCQTjDM21sPMuTRppW6Gga5MH2MBTMkAOGsWhrtD0lURRf86c0ifJ8eN+AOQGhydT
k2ihKp2YF/b4JZTwtB1Z0/8zmwcfnBiZZjdXJiFFr/TOOgOxsMphccFym8VV6NHXxqZB+M28GJJb
4JVsW85p0CTemY9h64IEHk0v3b0q2/omMFL9GFpUOA8whwVAq4hJeEY7R4xdAOoLQV2xrNS7qK3Q
AHIsRlyLjnVLXxqFfR4W1pknvRTOX4fIPlCWyrPAWxXgZOizrlINOiD2I8h1eTc+gQi1kkQ9UaIt
MuLdx3xqfqn9he36IG8s6S7oORU4+aCqkQY3doAak12P7ZFZfDTM+jTpxQmyaO2mVlG0knA80LT1
Fp4afHFNxLD6ACGmKKdJZ1EEHhmnILfME0rkV6bRw2s20K+vk1Zc2KVcNWCpYFs12pE71uel4iVz
M3WOjBDMYhY6j6As6HpUxampDkwl+kQUU3U90O9Ld0GWhgDrlOfJKeNrSf06UsBibOMTtWlmpg8T
w6Euunaq4MJF6+OI8pRBEhlO2aQbwF5zTXdVT5lmOOWcFMzovkx5aLnPSG3nroP5kVMFb8cKO4Hq
LpPQiVDVnFWZs9Kn9YvYAEp0DcraiWdw8rrjLFLEzk+Kz41D0zbyywzE9LjOa3wfLCWdqnbIbXjM
WBRMoMWP+nUfFvp8FFB6cgPBgUSzZ6Pb3SiR+1NUu+cJgiY25Y2SmJM9EZFdpRluG71saQNGHxVd
OsTCYHrQcGtTzz/yKezQSpwLl5H0WpA+KHTRRZRIniHqYNFKXE1rDGst6l/sJJ/Z5KdDHyBXO8AG
bFuflqmysPRsJOGk79y7Xn6S9mILD2nTqP1MDPl96QDOT9AtXpfKeEbXzZylo5XPIR4j+0U514sg
GHYl/jh6az/AHx/XtB2gtwA4QiD/U1XipmCZSbvU2oDCtWnejSMTKhmAslb1FzRlKf+HK0SvzHkF
B6U2ULdQFee2Q6hjHRhQzpwkP3GHaFtz8K0KF35lqrCQ60Ss1BJSgbCVhYDrsdIHcm/DCJ7ctsCc
GAjpzBgQXIshX2mTM3KfE2KW9NDmRO4XasGLTymLlCK5z1y9XQijdpaAlo7GviQ1cNmSO+xEcsyu
Nayk5+AgoTkO1kpmgCh7FWSnFikP1KWP9QpF4wEKlN4hRO6VI/tcCQtTHU/9gGJW/9QoU7m2GxES
mLpoFExMKoLzvhFrT7Vw9IgeamToEHNpMW7pn4yO2SosVOOK4WR0icWNTAboeVQt1dOPkV4PS9Uo
0X4OHQRO8LADmESV3ZZ3RW2F6K8gYp+iMfvHk/jT4LHMquxL/UPK/ubfcfr/77g1SvRWf5TEf268
14n7/i++Je7Q9A2UomwHMSnhTCpLvyhPkZhPssM4NSL/9B1cZgLZAKYn4+d/k1yDsfmWuaP/aqt7
Dy3zDwqXk6a/zt1NIUxdIPGA65zU5CuSEqdYpDgZvWPfEE8+yMATAxO8QrAnIoTJvhkvOwmYktT+
OKHJOTdHy0JfwzkGMw9ONXA+eaFhrLHFg0naQQivE8giSXDcFwBz67bBKQOV7ppQTWYNfKHApG7a
DgjHRMayVCYrpiED7dJGNONWRpKEMxzgjTmiohzemAfZgQ+mz/EfEOjUUUbytl7i3WJ4rpwbNntW
QL8frA/Z53S0OehyuujEsQlRQyaCQXigPbba3AG16l7lBLBS5Lca3soY553Z152T6FQglerECMtT
M23uCtr0J0EZnXV+vjCrGNuuvj3Nx0RdJf7Qrh0iP1utbsrSitCKZXQ89whK24XFzSylREMPzVos
ywH/IvyNh0NA8U9P77K83JRwxReiyRxy72gXCP3UibOMWDffKAPdppbNOFJoTdFZ0U2lAq8rQQZG
5pFnJzNgQNuQRiEZ1rKlMYcqOi1dum6kmgqekhI5SbS3Q/gAsrgDrQ+aG3x9TxKT2ta8cFW8oECO
IA5pWwUw+2HuZ87Mg6Y4rrzeOe+m4z6DtNjQBwA62mXNPAaDkygtyFDiQ4qTldNeKjqd5BAri9qg
/7WOkb0Z1WRT+5Qd9cse4ZXWwbDeoN05bnrKElEFN4BgDwiS6wMS8Tt0XtRHM6Q0NNdaqHAIukeh
XKa4XnhLuiZwTcVCt9kfe5iGPhErublT2ISZ4wqzqfkg6Pdr8Yqy8qns7urGnjsWziOcBUrprdnf
MQCG/sc+PZAjGWO/kCZU/qjCvBtEhv1ZFZdmdN2KAtWu5jLpnPUUgWkYDTaYd7vqJ7v7DDahLfH3
peQqx2qVOOhYZCuLzkuPVEKZ1Ks4izZRlC6n44EAWSSP0+VzmpoR1O+Yk6PIUDkg4++nwn6WYzCE
IEJ2GdrVskA1YFLnLcSnBtXHcqxOG1UgKXgDMGVKfRejbS0nGmCFfGbnIkD0MGr5IkLcMMweU+aM
mWkbjLjWujfMyjLa9CHKA02zhGgwt6xh7o5YD0cXMHVmLqJFaA+DtRLYyOlgZhB7XRcxAvOAX0fQ
50ixrrK6WTu5sa3wJlB1nptAtTLsldXjo51ZaAOExhcb2bLVWNZPHar4f/yQ+bfHx/87UCaEph8e
Mv/6rzJ49N8cNNNffTtoqOYiZQ82k93coVb53UEjgYS9+CTNytr/x98N6wNgTTZTIJN7xCaSfb8c
NNBXIX0JTVOtvavGH6BvcZi8OWu4iuVABUMtUbdf14kbdxRlKyAbVEF1HOQEqUXtyGXgyXOEt3so
F1IumjIMsMog8CZbaXN/VVbjDX6xKqzz4MFy7RV2gJQQlItEYkdOkK9xRTkEBHO9O1Oy7hjq2Jnm
9VeTL7ldBTsIUVem6l0p4yKIhuNVQYeahsx5X6UBjhjRQxWg+G+4F+Um96o7tQOKDV0qn5lJdGoW
CXhwKBk1Ph64JtEKCqNzPHuu3VS5DaBxokb+E5oBSNso9WyomyX+BXiAC7455Ei4xASRMtcuI1td
m4kHHLveorVwX03fUMSUFRU3OlqpdQ5FO/ySZGRDGoi6AO2/TO1WgaxOydTOoqo97bXsM25Ppx6i
iODVdUJfeBWDeRbJets60J5d/BNB7NzQG940ZJsKVkGukZ4MeYvE4iMkUErp/UUefjEGxJRlw92b
EYoFERX1FDjeABWizvXHa7K2bSTaT16fXQcGGDYvUR4HWD1t6O700AGK2eHg7A5sjOLWBPqgcF6F
fXRGOI+SmnsBvuUmlt3VhKftUbBglzqqsIWzKocvCpOKb9ZgmFY9SCP6bCgGhJ3uFEGe68DtL3Mo
I41HEpYn3mWJB67o+4/MGAyHihONe/d6/caq2YDt7kr1rDNE2zZOHy4AQgQg2Wd4I9ybTVxTI8P0
p6y3ut6d+2X8aPvecVw1Gwlw0HPbUyKDo6H/SF6zzprPSmJVIOxqkwbyoJ304JScUfYX+LT/NAQt
bYHSRFgc9hj2lP5J3Wr+ST54O0ja7dpKw4+8ZexBLCx1B0zsrEhuu5RTOAqopcPtXgBQrc4aKibI
XEOJ0yRoxMC3twrH98qbStiTw56K1d6A5R4p+zrBgg/rFnvdNaA4ClKuudbrG0QQolnrqOXGA+GG
1kkMJkDlpCzTgrfUoxGZouHro29YmWqDeCARmmXoyKgIkIzO4C6bbGgWSivNmRShtvYLcW9jE7Du
chJOIAAu1EeTA83rjtA8O28gVc9JxahS++NtOg5kYU+t1xREhzkaMAYQGxX4VJmymFD49lniMMvL
c6FYxsLBbWYW11WM22J6OkTZBf5Ow7JG5CLh/Al1Zw1m60s0ZmBp6lis3WawzrDCK2cKHn5uEp4N
Q/nJjo5l2hdzUEnN3PbBzZrVA9dJlAgPSEpDa2lSdOigkSs55omju/E8DfF3J2k2o2thTslaVnA2
7NtsVegDjEtUwmswI7MwL4qjIofVhQlW0yOUrdjVsCwRQXNrP553svuoaQjWmNZRbfb1ZVzvGptt
BWJ7vcEB+ZJaAxCGoZAELrCPVLhFzMm0t7PFqMgzIxqPm4451SadD2KqAM4N+4VYu4zmirr1CqzN
FbX7TNeZOoH/pVGBVznINlGHPqPFK9FCItLFt+0nzE6vO73v1x3Ao23vNiGo0mlKUK+Y64b2WUTC
Im67MkZ3gmPtwBbdVUlPZD+xjaxA7mqKzjNWGjuJJuCAIbSfZphIyn5rduWt0g8bWTtQr9CLngtf
MHtFeysFHEQFNI+bN59ZwyvNt72jym+mlgcCFFGIp6WXobwuq2UY23eFj9Fz6BHodI68Q9auW1rR
cJdoiJRIzzmxFOMk7OKnvkCZysoWjcWOj5b9sBQaE0to8acMF10icf9y7OVFqxFqd2alr7ADvWA3
NDd1jqsRTQq13WYCvxVVoIzOOYDV43lPUcVyaK1lo2OB/7XukT9hwngIC+QUyBQzPs101BREWz8J
Y3gAT7ZJG5onod980jXtVEsUhQYOYEffmybPVBpp8+zMqD7FKq23CRUbIatkFi3IK5R1JyeARyeA
2UcBPT6FVQ0cs+i+pK4OYpfRihvnaLCRZgz88JMuwidhgXWpwf7SIMRKNqnA0glCZ19qtw0CiqxQ
GqJO784LD/wMegvHnerfl2ZOuaPGjt6t83XQYzGQSLHAFztcaDG11Dw1LQo8xQNwqJLCjoqMmgcQ
A6WjubRQRepHf0mRsae96fICtbxa0Yn7ZE1YrzYIzieV0WU63IUmPLZBvRbZpHG0HjIE2nWDF8XJ
d5q5uUnD1LgSmHlGwrwuSHAvGkOiKCGKRav4dzVyZhtJ+1BBSf3cBVQNsH0JgOdcVdOTHpM6UOqU
rxPoD26ibcxOfESy+2naUUA9km3BtriZCu/xlIfFRa2uRN6fyilHa0nWfJK2fMreQMfd6VM6FwB/
8MYSAZZbxT8TU9ZnkP7FADFT3782p7zQmjJEpSVXRCAF4G+7qqYsspjyyVgAHIY+zoPaJ+wfU87p
3BStclRO2ehIWqpijYy5p3okpoxVVGH6PwGc+IurKV8JVBNeYZnWQT1cNrtyuNpVHJfVtyhw+vQi
C9L6I4L5f+ZLP77Q33b7i378tyAL23oTOu9va3/PP7pKfM9dN087wmDkvDUNLWwTNyvdsKZ6C94a
3tePCZI1gwKNKtEukroziSoC6vhulH5rHH78iM8D+uPv/OgBnkfo6Okffwe3bpo2wfsLrMmfGAbE
atDmJiFAhlyddB6+GwagJjbPb2mahKJnUs36XxqGx6xJ62k+ekH2wo9+j375PUPw6govZwJeTVCW
eOGMwCSo8d0Q2B80BoZES8qpBCfV56Ttfc0ECFcHzwTrw1SzNFBqxzyIrYvnfDEMQpq2iTIy/54y
vXe3GpAweb4t/Ay8XfbzXvXHNgXJ0wsYjdrEw3uzGqjN4qoE0pJ8dhqLdzgMtiNflxX+8KaATxkV
Z/J2kMVfX/d3U8FhoiDnbEqmiWYgzfIeV4Rti4NnA3ahU13FMQzjGYT3YkVwRKCqC+FHxwiRf2rv
cRgQ6Tl4Y+AQQM0MTV+gjYYAXPhqGCb6L7xbtkmDX5ssHt7d3sCigKX6e46J+6ckSNGcgBbzWPOg
vwQMLArDpDJmGQS0POjLY8LhU4HsCmcIP8Yp8h73BkwK/4JFAdMGyWg6VPvNgQbSd3uD9YH9QsVe
RVOxRGQrfR7293Vasjc8h3MHnBScllJYKhERBU6mA8/5Yhj4iL3RMQgdbXPfAnx3i4LV/LxWDxgG
84MmOAhMiUAAUeKrKNr8wFGKxQ1xk40AsPEuTwrLcg6eDeYHJAjw7SSNEELXprD8u9ngoJIA+0hD
QgHxU8eYmq7vbjZMu/uhWySzgSnPmWjR/GYUXu8NpFOMAASyqdM9wdDf3zBwcwdvkRMIn0eVBskC
FsnT634xG9DJIPFEFAPNjEkb4z0Og/pXnBSqiU4gr3wfK78Kpu0PbAsAEYSt21AZ9s2rd7coTNbt
4YvCYUWQLOwFFvfx0XezwSaYlrqgxECw/TWseH/DQE/w8GGAfoI5hC2IpokPWGUvhgGbAxsFF0IG
1cBl/j3uDdNLOnwYkEQhzRZIa74Npm3KToQLjk5H19L1vbvuu5sNk8LxocMA2om0SeoG8jG4hkx2
It/NBueDxiDxDVP+jJN6h8Mw3TW3dUD4ZH3A1JsIEZoXGfXrYbCn/JNj2aJ3Tsa9Z3O9v2F465j+
J+oNmiMRmiWJVEkuXoVPJNqGg5SQzWxh0uwLdO9vGFjSh88GlY4zhQS2wYla97IWa38AG0hgQQ1q
r8gr32PcMJWSDx+GqdKIYhVhw56w+GpvUIkXJAgWpoJlvNOTgtjv0GEgmHYIkzXElvFRl8bLsov9
AUgorQtonqaOUsNzmPK+8uxfgdH+ia0BATHiJ4nF1RQfvcyz2SF5eEInycKBD/t18r23YTi8W0W5
ASNVw5h0t1VqDq+HgRycsImtgzjTJMDaT77fNQy/40s/9//mfhA/7Tt/wa76tQbhb33h2yH59vOv
za6pozW1cl58cWoEPv/2L43Bf74o0O0bct99+K1Bt/+dr3/+9QHf/vSL3/r2VN/+5ybYlfflI3iD
fU/y622e3Sf0Dj83vw3M++0O5s+Rwo8v7b0B/E1Y9F+e8R9/fzEC3+0yP7rubys8HnjDz3z2bzf4
tTH5XEs49J5/U7v+wFv+kdfeoZeG4OrdN6+HY38oHjoc11kMsbUpX7Q/6QJTZyU5O/jqP/DTPnBQ
sOq+//LFv2+q3Zt734e8B997/bc1agq/cvUpUTn06ucP3X389Obi4Ab+gmE/C55+/er7wsOht362
ax79f/1nvYu/DcML5MChlz9pHndlunt1bcgvHD+HXnvblPffrvL1pp+7F4deeF3eNw//+q/07Rt9
Lv0dfP34vmyq17e+rzEffOldumvfjMq+in/opVdl8JCxd72+73378NCLz35lljxDeA6+8n21i5WP
SIK8uvHn9u9fc/n5M/bk7S+QgB36C/+R57t03MXx386belcqV372dmI+dy//up/CcPUHP0Ub++Cf
uv+VU/AZo/LjS/9arPYz6uptBPcNTfVrf/YyPJ2+8Rjv7st//jcAAAD//w==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Todefälle</cx:v>
        </cx:txData>
      </cx:tx>
      <cx:txPr>
        <a:bodyPr spcFirstLastPara="1" vertOverflow="ellipsis" horzOverflow="overflow" wrap="square" lIns="0" tIns="0" rIns="0" bIns="0" anchor="ctr" anchorCtr="1"/>
        <a:lstStyle/>
        <a:p>
          <a:pPr algn="ctr" rtl="0">
            <a:defRPr/>
          </a:pPr>
          <a:r>
            <a:rPr lang="de-DE" sz="1400" b="0" i="0" u="none" strike="noStrike" baseline="0">
              <a:solidFill>
                <a:sysClr val="window" lastClr="FFFFFF">
                  <a:lumMod val="95000"/>
                </a:sysClr>
              </a:solidFill>
              <a:latin typeface="Calibri" panose="020F0502020204030204"/>
            </a:rPr>
            <a:t>Todefälle</a:t>
          </a:r>
        </a:p>
      </cx:txPr>
    </cx:title>
    <cx:plotArea>
      <cx:plotAreaRegion>
        <cx:series layoutId="regionMap" uniqueId="{538DAE7F-B7AB-41C6-827B-EE90E3A1AE0E}">
          <cx:tx>
            <cx:txData>
              <cx:f>_xlchart.v5.6</cx:f>
              <cx:v>death</cx:v>
            </cx:txData>
          </cx:tx>
          <cx:dataId val="0"/>
          <cx:layoutPr>
            <cx:geography cultureLanguage="de-DE" cultureRegion="CH" attribution="Unterstützt von Bing">
              <cx:geoCache provider="{E9337A44-BEBE-4D9F-B70C-5C5E7DAFC167}">
                <cx:binary>3HzZctxIku2vyPQ8oGKPQFtXm3UAyJ2LSGp9gaVICltgD6yfM0/3I+atf+x6iqJKzKZKVWPqh6GZ
TGQmMhKOOHD348cd/PvN+Lcbc7dvXoy5Kdq/3Yy/vYytrf726lV7E9/l+/YkT26asi0/25ObMn9V
fv6c3Ny9um32Q1JErwjC7NVNvG/s3fjyH3+Hb4vuyl15s7dJWbzu7prp8q7tjG3/4NiTh17clF1h
D8sj+KbfXl7dxMNdMr98sb/Nk8JPWtskNxb/9nLRJJ/KrolevrgrbGKn66m6++3lo0+9fPHq+Bz/
Zs8LAybb7hbWMnEikeJIcioVw9KVL1+Ysoi+HpYnyBUCY0SIy1yClXo49dk+h+WL5i759BODvpiz
v71t7toWrujLz+9XPjIfDly+/OF+JG3p3W+VVx6s91ZfLvfVYyj+8fejN2ADjt75Dq3j3frZoR8a
9+g6AKx/7pto3z3s1y+ASp4w5ComCXc5wUyxR1CpE8yFEohy+En4w3nvcfq5LU+j9LDu0bXBpS2f
CUZ6394Z58rub+3Dhv0SoLhgynUZY1whJMFpHvmUwJwIRShiFP4ngOO9O99j9SdtehqwR4uPUNNX
zwS1f1bVXTHfGfNiXRR3TRNDMCgeNvGX4EeRQpi6WKCvzvQdfi64IaVccHBCwhChR/h9s875k9Y9
jeQPvuYI03+unwmmu26+a34tiEhIl3KX0S9BUTxyQoiWGFGssKLKVS7hR4nt5+Y8jdrDuiOYdm+e
CUzf7soX/+za9j/je0xgQiTDwgXG4T6CzT2hDLtIMQ7xlSPsHue5h8jg/Fnznobx22Uefc8RrP98
LlxFg++9Ovx39wvDqDhRhIhDpESCMikee6A8EQRgFIgDu+TURXD4URr8STh4GrjDNRzx5t9e6uCZ
eN99dt/ti1soWPaffy1nYRxLRDDUABgcjzzyOwlVAoFkB8EUvE+4+Cjn/RXDfgDcFyb2/aUd+Zre
PRMQl3fFv/5f/2sdjWCgI4IzF0lwuceOJk4wRZJCvgMyCpT0mK+APZ8fXO8p8vQ0XverjjBaPhdH
W5p907V/tCt/ucx2FcZMQhTEmBKFH7mXe4IEl5wgqLKxchmnD6e+Lwl+bs4PQPp6GccwPRtXavbd
p3/9TwH0/9WySQ7qSfKwc0/dyn8ZNMEhP3HGoVK7R+VRHSCIgvTGkGAAG/x4OPVX0H437uHAUzb9
ALnvFx/D91xYx9t9d/tHW/OX4eKgjECwcwliGOHjMCiYEIpjKNjuS4KHU9/D9W7/ExHgaaC+LjuC
6K3/TJLVpmv2D/v01N37FyGSJxS0RtA8hPhSWkOc+86j5EHCQi7FBHHJAEogId9Twp8Z8zRC96uO
ANq8eSYAnd11N/G//tvemYe9+gUwiRPXhbCnCPxzn/AkqYCyA9PgiAoBlPHh1PeeBCbdFf87Vfi7
pUeAnT0XavGx+5Xy/cFlJIiJnNzXy49puzoBWZ+4LrgVSPcuiJKPkfqJLU/705dFR+h8fC6C8Fly
O+zNr5UTwZsAIRDmlVJCfumhfBf0FMiJnGKogEFu/Kp4fB/0/pRFTyP13dIjvM7ePZPwd/7pPwCX
4qALMoVBvodcxB/lKHVCkFKSSEhPiLkKweHv4fozBj2N1u8rj8A6fy5gXdmTF8u9Mb9YrD80Ujhl
LiYYyMPjZot7QiR24ROCYwUpTYCe+D1cV/sis3/CqKche7z6CLar5xITD+3oCbrR9/v2C+gFdJUh
H0HjC7xIAiN/TNTVieQCCi+g65LAUX5UV/3cnB+A9fUyjmH6+ExCIezL/vPneN+1v9i/JKjwMCMg
XOh6HfsXMAzBYHRAUnXoihF0pFz8WaN+CNl3l3QM3Oq5AFea0sbdL+5+EZe7wDYQ1FLQgX6sN4H2
zlwJsEHUhOAJeu+Dd98z+Ks/Y9EPIPt96TFe588Er2vA6ldPdhxGNwSotAIpCjMejygHqIPQo+QM
9HeY0GH/Rjn+hD1PY/Vt4RFS188lc3381//A5FT8cHP/ktTFMIi0DDrLEkGv5LjeAhkeWCGkNqD7
Avjjw6nv/epP2PM0Ut8WHiH18bnEwOvkJinKh936BUCJE+KClkRcJRFouEw+cil1og5Tb8IFngEV
MoKj37PCaxhVS/5wGOFpmB7WHaF0vX4mke9N82vldQncHKYOEYKu/vHooYL+MHQaIT8RISmFqPgY
o5/Y8jRAXxYdofPm+cjpZp+0r95BhZX82t4VgcYvSBjSVQpaV8eiLbgX9D+kJNDMh7B4FPPe7g9W
PWD3lGc/DdXDuiO03l79H/Wl76unR/O+f31iF2YKAREoeg9djgN3eyQnwajuwas4iBjQu0JHnfpD
9fRltvjH9jyNx7eFj4z/blj5PzOc++PB3W9jzf7e7oMv89Dfze7+8dEvlwjT20dL/6jEvd+v9e1v
LyVjSh2K1m+T1oeveZRAfjQP8Wj53b618G0nrqCg0UpodygMdRS413B3f4SCBkVdUHcVAYGQAtko
ysbGMLYtT7iEoPk1corDXHZbdl8PHaYTXQlU8es0wMPVXpRmisri29Z8ff2i6PKLMils+9tLjF6+
qO4/9sXWw/wjTMiBvAxxGCaPMWTK6mZ/CfPwh0//F03FFImypTrLy9tcVy1fsbLfDk53646Jnotq
8JrZ3ljRTPq7LXvi3OTw3UfnZmAAP0ylHARS2PLvz91XLRkE6aiObXRVkl6HlfPGbeStJNFVwXOf
O+MZcic/nJOgjUdNnCEwM1vOq6w37Lwmt2aqrkeHZIssLgNXmNc9bXemYxtZeGYw6z4qL0pENqhR
b39mPWBwbD4kOAF+CpWzhBz22PxszGsW8ZLqHFehZmlutKui3GtoWGhF8kh385R4CNl2URdszXoy
a0stD9Ki1yTDy5pH9rwj0euc1r2flOqCzY7OCAp9x1SRluOZI4t2gftYeqng5HxQ7UXfhs4SV2TR
hUmqVWl1npeNZ+qoOC2LTxUfR61QMno5aTMvJfR0GnTFZb5CMUGLWKWz1yv3HWbNOlYzW5l+WDW1
eRt1aRL0XUqWQ+/u0hCj0xmPXNeJy3VVF0jTuikXs5mXKHZT303YGU8p8UtRcq+MmNQUORtqJqPb
OVTaxu3CrcT5XE1Ep0OyrEWVatD6VqRWUeSFydns0sUUlvFOpZEbpITlGrvlmyhHARpin1C7DTu6
iXjyGmLmW2vUOzJar5DDWdWo6yjrz1KnuugtWyZOuOTMeY8b9zO4z3Is5m1bRpd5Wl4UbCWHWIcj
2zYtq3XaFe9baTZV2QeitOvGRkHOnAUpr2uTrcYI3c3TeFMqcW5QssqRq8MhTd64XRQYUu1ZWqYL
icdUj8Srw6jULA5dz3HE3dgxvhSRMloVckM6dlF2kU/rFLYAN1o5kQ6jHG5PbKdVEbO3Q8mXTptp
Wkl3WfKebIzbbyYUVpuMOyaoonQreW03dmCOLuY8KKX9mDTF+wz2NysTskxJU/s2byf4EqcLxrRO
PZWR0SvbrSNNupMpzzTi+bRMik5HlUlOK1PMZxR9mBL6buxsoZuJBJNFmZ/kZiOz5DJuO7UcGdNG
zc6q6ei8YMX8toqmZZS5OhLIAxWQawfHhXb6IKzGUteSidXsVKNfFrmj05pem7TtVrNJ86Bui1o3
IXF3te31VM0+HRL5JsFkK1ulB5tL3dMo8WKa5JrM/QaNTutnxTAsMtwFMCvudzKRq4I4uUbhdT5l
TEe4LQOR5mdknKO1I8b3BnWvB1LeJjTtPdIzuNVIkWnXVkJTnMY7JtFHUUq2yEiO/DKqwCEtL31B
zAoq9B2PKrlNS5kFOHTOedbHXt30ZIkSluiEfcDF2rKs29Rqyrws6q9auJuWYSlqv3PxBbKMrmrX
Z+PogHd2XCc5G7yxmiY/Qp9I3zDd5OEbCFGNR2sa6jmkdCNYNvptl3Hdy7DzqfHrMckX1oilGdAF
mlB1OvBEx6YZPdPc1DQvdy2udeT0TZAZp1skSdSvqawT7XTKeM00+CORw9Z2ptlFdkgCVqvEy+rR
BiNx+mU/ZdKLo2kVMydd97ZG2jRusXRl7XhfQubXFP414t9nn5uymmBgJ/76sNS3l/9YBZfBl6d1
fn/r8KTV769OrxbXxx84nOHbJ+AEX894SMuPXvwbS3jIjEc84P45rh8cfEQSHpGhB5J7yJyEQLj/
MUH4yqZevHpx1SUwSH34pU9mmIH/Nm7x7VvueQJGJ9DigAYGMARCXfCSB57AT1wYl+DQOwQJicOY
Jhz5nSeAXHQonmDo7CC4A4V44AkcxnOBJyjoHX8Zv6Xfnml7hBSwpK+vv+cJ0G7+N6YgQL2CUgBM
gxk2KLofpzuatFGNE0L03GcejxKIb7aMfT7Db6brzmbnk7UN0VaFeGNUD3mRxcKbQzLpHp0l7DqK
yvmsDsmok6LBHqQWol0xnEpymVqTa17kfgMUJahZnOoMqVuVjm9nmcWaJVdTL8LVWN7Ec42Coqed
ppa8b/u5XDdVtxwgImtnnBrdVrJcGjSnPjJDoTsVdZo0wl0yxanGebfirJtPu2heYK4ynxsml7gp
lk6Tj15fTtzLC4cHyUjGBXFI7fVi8KrCuaiSkK9m3EVa1dOqFondtnW+7CCa1hHOFr2TOT6fws4r
a1v7g1PGGpP8TdG3/aZuU6WLycxeJVvt1P3ox3HU6C0hmfWS1HaLOco/EeGeD1E4LiMxFv44s8sx
JHdVHZog7joeTOy6EznxaNZrUSHkk1FYLUx617P+Js8Gu4H45GQ7LCyOdSsRRDa16YVIrgasnKDq
B+azaPakHYB6AU/ZVE72qasrvFL98H4UTrVswmmtotLRbtuc2zwF2wxxPd6YRd21byHBfIgjOmkB
m97WU7QZMutPg4g9WyUbFCPslyQ8G7O0CRAbCq+383rkWbuIe02jTu643Cekp9tpTq6imoT+mLmn
oKBaXyUJ8kSb+gM2xUI4EKniphKBq4Y3XQPBi1VhrdHgtHqmoxZD1l6CY3nwEIiGXDqfZ6RfdaLc
Rnk+6Qn4dzDFn1iTT0GG2WXNzejVcbjNU7JwcxokA17kGMW+iQq6iCtqNKPxmxDXycrkAwCe4DNr
7XXTJiQoPLbgUTQF0fuac6472q77JFcL1TS9rovySrXjR5W3s+/GvQwYyTaOKUsdTQjSUI7aC6cv
tTV4i4gDlKFM+LIf2bisZUR0m7vbaiyA54YTZOd4VbMw0dVA40U2klSXjYqXdChY0A/vqk5iyII8
DixOpcfVVG/cllxhWhVndYXO2lgscMp4UIoKLBhYr1kW6sRkkD2zIfFJ4YQLyGzvkokaLwERR8cs
Omv5e8nGqxn6sltbum+y3IyveSRvcuCntou75cQIJOkc+7UFBkBo0XjRXGQL2rF5O0r6Gjnxx9p5
TWY+BbZFb0mfh7sEDVfO1C/aqhi28WwHyGLibCgmu+K2zzVsXeWJ9wge7/X6wc2A56nZ550zeaq3
ajWsx3kAdpDjbZK3idf2Y7ywXVmcwgMnK5xnC+DpLFCSl0EYR8uwqKbXedG6cFVYh5zMftxcOnDn
4DYddD662BM8pB6qhS4cJZZlMn8IEU2XTlV/6GexZVnbr5itXsu0vRtzWwRRPdJdxedqgW0W+ZbF
KmgcgLKZdthhxQXcaRauOdrObVGeGqVpNgGBnke/IyLyCk79UHRkGeIlpSpaNIXLfExvq4oASQvj
ctu2YtCzkwhdG4ghNiKDHpGCoBg13KsHJwtU261HGX6iwvhuz+zaVeJNysqznDvTyuL5jIdp7DFb
rlsU57BnAXeAh3B/rNG4rzonIKqOPEmGMOAQsqLZJis7tbphBRAtW2tVWannhFYLhrt3eVp9imHJ
Og5bXUbnsdPX4PauWgqen88ocf0Y248llJM+hB7qTa3xYreHAKtC7ncA29Rc8raG6J9Rr07GA2lM
V6gjb+tsk49m2DgqFH4aqTBwp7FdiHFSuiNIjyLlAc6nStNDbBgANmxJupIdvZUYqiBhaj9XcyDD
Id7AHRZrUwSkLLk/MYN8OZbvWBe+jjI5eES2p7geN0keLTIJF9O4brNMFL5IkrxYxCWUS63pG9+d
uTajvGgaHC9j965K4XMj5rUmct7DrH4fGLfZqDzuAydimW768V0RruLJ5n5dhbM/JWpTSJmc98K5
kPBouhdWxujZdhsxJAlsfpIspMnCgGGgdY7tlxzSY2iqLYc3XLgZgqllkU6b0Gop5oDC2yUfZ690
at/QxIUwnoYb42xtgbLlVIyDdkzq6BL1xA8la4I4DOHmTkylHWl9KJI9ypsm4CaSnpM3fInaqfNy
2QVxVCU6k8BZ01q4H0R9MznTZor609wtnMuwGD42juReRTtgwQ21V1nZRrpw1Y7PrnbhmK/SdsPm
sFiG01LB8IY3hJH1xwo3Xtra94qPawiLrY9CyL+tcS57PNwe/J1Acln1tvdCGsbLLEt8J0GRHjG7
zlVrFlOUnEonG3w2uWyR9m0MtLdcAyGHSqLFUoclfVuGQPPR1FaLCA9pIObC+C1V67T07URP+7w1
vqkt3FU5m7QtJ6xbDN5cTsgjmfJJWrUeE0n/njbzUjZel8l3pJmRN6YWAK4aqAOoOptwpPl4uLAW
uR6bumLtzFBimYLv52ZYFFAoLeMB3WUm92QmfBuqwS8zExQhrjSMkh1qiQiUDdzrhAxv41KRzUTG
DJSD5o7XclgNearDhH9OG/uay2nVw2u3Kgr/cKDkdvbhgYTZsyPNPZB5Us+FJAVUvqt8+OinNGWr
poTCjYAgcVaqaIsMBT5C68iPxuL1iNPGB7nX1djaZeUU3fXE7KzR7NQLORmPSbhfu3Fjqzw8JcDI
QM3Kg2yIxLJz8xWIMf0CYk2rBebrvIRaYkjmqykaP/SwXXWbBXRijYZMvIMzp6DHEAAvrLk3Dggv
SQycKLNcp3I/QOzxKbCDwdHSOJtcDU0wK/Sm7WXnQdWyiVvSBU5aGsh7gnoiHeJlbvDFzE+Rkx4S
e72rOe49VZFTlasLd4o5SAlb2iq1HFp3gvOUIYQoRoN+kqtujpUWhwSZWzdIIDKl+bCt3WSPnbn0
4HpjX5IVz9Eno8IRRDDIw6YpgSHIPS/mSA9Vlh/y/1kyonFD1LQTZBxXaqpAaJnqNR1y8ObE6yVd
EFK1WzzEjZ9HI/bm3PHSYhxPhVPuamc19wKB+iUaPc4jfHMP8R46xfFS5VAnu2hIdXSoUccdnPkC
fBFCbNWnGqgVO5/tuGxz62dJW3kTtM20yctcGyLXQtrksjHouu+dT13IhrWdndmbchN6vDC1Zn17
Uc3UhYAnYPPrz2kn1aWsHLWY5oj4xeTCZ2LzGjheohs6tQsowe0UZ6dutouxitdJWQIVp8NtnMwX
RuLbSc6tN43qXReaYomKbpFVw1WbVO2alCGIH+Ydq+biXeL0V6xY0niJD15qYmeD+mkpQuEAnvYG
8xbUhHxTufxDrUBP6VPq55ScpQlXXqscSOCC9kFWUB25M94JWQcTeINOSdH4IiyrpRSbshyCgkVv
+FCU/iBgFRV9FCQFXYEMgnUDqZKFHwV0531M2tGH0ieY0Gy8bIQyuo5J6ju2o97A4L1+Zl4mpmyr
WN4Bb+NrFEWtRytAdEqDCh42WQIZzZdlUfY6CtW+LePKg6e3iq2LCxKUMJa4qLhb6grq5x1LytmL
8kGsxNx7s2wmn7sqDmaIrJd1xS/bynTbvIMdEr1Cwdjw6JQO89Yio147Z5bn66rm2ZZNGChT2S1H
PryOMegMRsrtWFlIsiCmhXSeVllKbxAQxV4W75Vw7lzQLHjeVBCKyj3u63rTtMV5i8y0ZeG0q+Pi
k6xFt0yRe9FEbb6ax3qvOtEvMON2OXbTteVO5pedFw8zCmzXzZs6cVZFrjZzHkUXdV2TAFjJaxhB
+jhn/ahBOIC8NNSQCdOzyuCr3pQ+kzH3wghD5TXwaTMDBVcpbtfuKEZddVG0goyWSHZ7KBe7ptzW
zFdTMbxmEuSbce6gogGhZoXwdOpUtgWvpLd14ZgzgYEDheQC2xkEHZNIf0is9ZNhAEpE8IccbnMt
4xIFqneklyuia+xCFAbFajSr2KnkLkKtLyMaQYEDtg9JtlAGZJJuyC6aEq1Kt2l1XDaFF+Jx9isz
v2ngNop6JKDwRW9jbIwfFpFOBkhOHRTNmqrcDWbpEVf2mz4avGyq61Vtwo8Nb0jQ9lYXvP8EEotY
OFUDNU7RQ/kXz35GQaRrDXxPH8Jtz1wv6Qa6xP0c+xEPeNv2Xlekn2MLJ0m3tM92vaxL4DHKatsf
hGcFArSgpY4jKOsSWfvxNLXLphk2HTC5zfQ+SvNYj8nYaiPHdx0aNnJ+TQyEvYb5aHRBC4UaEepm
P8ERaL4ljhZtXp7nQubrEBRbLhFYAbvOuy5cdCQBiboQzS6e5NsS7uRkaAfwJKf2qmwAMZbDfUHm
8APo6fXOdgIEAwgUXd10IB9AFLfVOR1RvB5DvoBnTy4Vit8l+QBFFJOLqumUX452g1QB9PAqMjFe
cjU6njHpRqgBJEVH3YwOciCTmBl6GnAnVObWifpeKw5SqW3semrgRm+MWkFDewuZ+00kgSH0kFH7
pq302IJINwxT7GWwOZVKmKcsr/0UXDYoSwiTtRNB8myym7aJ00WZrid+h50UBHh7XkRe5hQapJBx
yTno2tRxMoiE8wjpLt12DTsva860StD7Ju+umwSUexxL4FSd+OwoCCWuEXVgRPzeCbnXFCVaCD5u
BhNdTAVkaSROReGCOlqPHusxB6riu2ZKV9WAKNzSW0NNu3VL+THLL1v3rhA6btphLdoOIl4ClUZl
5zQoyvk2bU25NjBb5nNoVmmQsxUU/f26Q2/cnt62in6Gv7+0JHMT6wZln1k20WVKIT3HXe61QI0g
Goxe1Qw7VaFFMfTzwm2ERs64CCfheoN1r2G7Zw0PUzoaq7r1e2lOGUnGoAxTq6ORSh/P6bmS46qs
osthXKYut6ekZpuid24nhj9QR113fJ40bjAU/qD36HYKN6BKLqrc3kwo37uk8hpwpdRi8Ozqo+Eg
xuM0WarIrzm5KCvHr2JQ/dtmO3UKDHIQiFPuZ6ikE21tJLwiTFw9T3nAuuoK/PKzbUWsUdL3vqPs
osjLWUdS5NDLyO9aJG7gT02lXpG9Mw0g3E/0TEKZUUSkXjjNgZtCsqZ8tothDj/jcLpp8/RjPXS+
KsV1wdsQKlCyzkS8Bp5YLfoB2m5NCmzJoZkXRSEO5rO2gmvN4JGEoOvMeTyZlUkgBCeiBSbsxGZF
hniXMa83IxS9BXQtVFJomTijprl528duHIxDfyui2fgzCzvgQR9pSwffkHo35l3mTxFfNKBEa9AJ
nSB1dnUnxA70sBIkRziK3/RO/bFh6iKyxanrpJWXUpl6xErip2HrtQU4jYE/ZLTI2I0pVLXIabeD
hywv+hKVp1MBMSFySbNg+slenrAT203V5M9lC0IL9IYEhIQix4WXxN11G6B83jQGqiIaOcEQseU0
gf7CTAzptEnXw4CMR1SjZ1VfzyZvdZb1xSKvzIUR8iOk3TsQ0SPQmVjrDTw6ryx058oYS080Xah5
bXS+jhMQ7esMSm7H2QHtQtCk414XUbOQfbseo9IfkeeIEHspMm871kCR1c17Hg66zyne/e96OzFr
pqVMZqoLCvhLmkEJTMJPcxxedNOSzVV31eQ9FHIjy0FPKEdtMyNWWUKp16fAlEI8eHMitUNYCSVB
9HmE9P90X4c18zqGnO/HWQIRqAdJiaDmsh7DixB3YSB7kJ1qXn6mkK2X6afakHkDsl9pqY+yLvQz
PBWa1KW7iyBMFY57ns/9zjXdBzmxbJE4EmIu9ONEcZ3Wdt64EOxlUZxm6VbYIgviLBw8eBTt/TwW
jR5GYzxIptKbhuGzdeTHuRCXMVIg8HVXBeitPug6OJnf5WGssypLNKvzBZKVAZPUpRvWS2i6DxcH
bUg3I+U+UeMS56g/zQpIPgNqpe/0zIvHuAG+PIPTgLtVMG/hjWZy/WKsAwh0ja5cx0ATJro2Tpt7
IMFHm2JAV7FSoFoCQw9VEvphAp3ACDfQBksJXlmHvU6GdzGt/NJWZgESeO99gKq/9JQshy/3FW4z
6NZl0HSH5++8yOQgBEzxGTYi3RW1BJU4HSC7dPDH0mgKN6Uqt50bj+dRBsU2s4zrIa4Knc+oDHBa
VFDTyd7nYYU8I6EvNpOuWFn4gw/QzD2gyYagGaJkkWfW6K4K2io0iwrxcOGOjtWlTDwetpdzFV9j
N9mSGpqBSeEwD0dl7qdV4kdZcYFp30LgHKDOTJtlO2RAdaLqrQrrmzwW72Y8LMZp4LqNoUafynwF
rYRTWYN4TxL2/6k7s+XIcaxJv1BzDCS43nKLVRHaldINTSplcgFJECAAknj68aiy+buqu6fb/rG5
mLlJs1IpIyNIEDjH/fMTeNiNf8eHspXxD8g/sAzEo4ZP7o5RkgkxbdD+mvcQglrqGfvYuhKd463Y
ia+oVVoUdH7ZLO5H6EKqsqM3pagc8sjaFdWzsdnQ0B9MPKDDvRstZc9RYCAGo9xZDMVxGf1a12TK
vDr+od3qaZsjmvfODXAgQ8qruJQyKqZpJTlsM1ScpLTJfBzdu3oOvatdh3PNW9w9M9SnYQ4uFUTR
Sbl8r7roF9vcnAhsaGGsKvRkzput57IK3AqmdwP3WP4YbPzhz+PntJnUGCFz4ph3oZPSS4auXJcY
x7ErFLrD6LiO4U+uAp1O0sAJJM0CV+8lmizqM31B284hdTRHKJ5DNgVLnzpWdbm189G6Yi4szuPU
D5qhpATK9rJMfdbzBYotXGXjxmuGOmnq/TGrm8TLnL5/nNfenGoTPzIeyXzRKFUWv8Jes+K9+Zbg
dk5Pbu0d3an54aroTIW/pgk/0vEkuMGCXeKTs9HtBwlVYfruW8g4eiKRo1MN7zaVUI9YnYQ57i3k
r87LglYtXxDQtN8XQM/yqu/E2fgNzHFHQgsYO7aLlui1NQIvUePsi7GljfajW2ULbWm51mLyMpjC
r2CuCU7atQUEgkee1qHMeAdFiTi6T9Es2quZXkU/LbvFa17nbsDyjmb2GLD6ZR7l1/qLNFEpp77e
k/ZlSuhwHiOJteFONXrlmJcbNkTX7eYHmYRNGRAz4fBSp0TrN6loe3TQDBae7cohXJy3rV1P9QrO
w6+5X45O02R09pe7SWJno4HJq2AZ9tFqg4IZD/qLAwndr/X6YwhCWF3tJx+d/eL3P+3sQQED9HE1
lZPbVnwM3M0hfQ3naXbL1kz7iQzBTriVuusvLrrPnInZPFTDwou+rpy7vlYZ5bgkHavijNElTCVk
rHSCj7Y3PX2VZim3QNyB2Dg0A//JkrVCY4Z1tSRVnA/SJehcZlqoxLSHqLtUkarhXy3hcZQKSk/L
ir4RFWT63j/M42Cz8TMiq3+d4DbT7XPl1VKGsfsFVgRbl3Fyt0sG2EZUw4dmbiblStCSzPtwAc+A
DsuHWjOBjcu5u/2CduOkS8CPFVrxzOugCxMitizqoTG3rg7L0HP2EE/EnTbqqW8g80UoHOjWrLDm
5avP5W9sGv1cc07ToIPAAgvcpoKhTmHrdJkq7LlryF6rfnuiZgwOQQeJMVywB7XVFMG1eZh8c42m
8VnicUyTiqPF5ON0pACvrj4Zt3LyXJRgynth/V4aU+XbYN0smCLcLpzBY0ObPJmqd+NAiXdMNWbc
DKII4CeNeJhWVGmtO6cz8b/b2xNMO7pg1xvzBLxOrgfhYnM/NLoadqKjz96whdmw2jcaTSITvxid
HptAXEawQNgagzpzWfS1TN/dTfhzDLblluURGR8jE0LvHy+kQ2njnT3eP07r8NOEczkqDv9HV+8u
9124QbA+aRunJFzcdKPTs076JW2tVhlc7HOsoJ4ktXmdw6AQ0XgXvqMB8cheVvFP7UJVQKO8jY9G
BL+JkKNYr0qSrIck3A5RyPaqqdZ0lP5vdChaGgapKqhFcTD7w2er/R9Y0tvGcWEl5KXgoggAkNbw
zypOVC55fHGnwk+cHM/7RSv75W5NPpHuwkdXA7pYfvUW8NIW3q92vJ9Diw01wfZLR3YAhONelgjt
MtyZGXRH2Zup3bNAOvfV7UOqWO+oE+DoADyH3Wiyr1F1XA2gLHcwASRsuN7rRLZjzdS7mURuO9Md
VQVxDVLlncYb3ZGhO8BAPGxD1Nz58fxOEtkfG7QY87IlpRM2Sa7gDaGzb3m5NCav/UWmPq/nvUkq
lPFzAGkEV4lALztJGY+nmdU+JP+KZw6dwiM1fMqjeXbRukTzMexCnoErlfkshAP166mp+SfSsLYU
VDx3UVOQ0ILa2shc+n6L9hOyHIgzNu+IH2LhV/rEmX8HFClMu446O1skLQqiJiDghmJ2lNt63Xr6
4BPUxgS1+EEk+n4JzbuNs0aF4LuaOYTMs6ICongwQBQaC0ulD1y0VLzN+BJVKGp8lnvBAqO+vvir
LTbu2KKhLpy+gJpSErSecuCXEaGZM+9EDQU00sfNmQHXzai2oB/sJ07CjDQ45ufwkbsjy5Wr3KKu
YXonnTp2VL2QpjqimCIlcUaWzWvs5JVc94OJHGAMvYcasWGZ2fQJ4MOGzQjP04aj4YRikKerHr28
JzTrFqxwNsH/rJoqSqPOe9Erh3PAZIoCts4TDw2kWNe8jT12rj0DfwE4T09guopFwbGJWTGgr0YX
wwn8a9tlwBPrS6Kx64PFKXk8PLWkl6kM0eNP0q0LN4yrvA3I1xqMvKAjPFLY9tEei2JPewdHnlPd
VY5XHx1sJKiy9/42uOUNLohsMxUuF1U6a/Hab9FT06pn60Q6D4Lmq30Tg4LLSmMDsXadwSWh5+7Z
l+/BHIom8FdJ470HszxY7FMVAYThZfN0BBYRfrvOL8ZJnBvZbnjIvzHT9g1+ARArx37oOa4LZKE0
CK9do2tYOo0tG5fnAKmCB39VO6pXmXuqc7Aa1gLQkvgIO5SDuqcu7Mzlext+ccF+hv364uJQt75h
qao+J9QXlsFqDEWIBld3JcpNuevN/EgqXOjZ7boDPKDXIZw+AzsMRzoPP8PQHLkOttTT3pY3DrX4
PPg0hPKXyjOQrzuosK14gyyDLpfWr5KMryyInh0WYQthbgh0cD1EkjaoIbsm7aA8pUBV6gPpHBzo
Ms5VXw/X0VO4Zzi+Kpd+6Tg6Mhb+THzrF0z5udPM8R7xI0g/MxRG38n9m9y/4bqNa1+QYPJTdC15
woIOjZBP9jYgMFstKzvuoLWE2KnA9aXCeFiCNnwOmK8zaqOucJ023eq63UOCKvxmhS8iBg+m9oym
rdvxDXa5CKLUH2t4/0IxqFbVAWVzvMdF/zAUj6jTgSVrE9iiPkz4Ze4yMYBVoN73Akv/2A1Tqtbt
l5OILw7FNpUala+piXu3LEGftvrnwL0PUaG2HG+aa+KPMAdTQbv2pr986bF6gFB051Rs2G3TDK0O
xv9UQVTztE6tzjq3b/cRqWHQJVVZo0lKsaqGXRV238sAqHCI2t/qqCfwYccaynKXNmTsz7//gbqr
P89GsmwFNw8pCQhupOV86lTz02vg31g5dWiU/LVQrf7wgvrgeh09t4mXe637E/Mq+5JUY5AGGr/o
G1h+zuKyM1NwZckCHR0+mSoWC7vGMu9QfbQols9iGGGZV5+oZtItNtWp5sEnAdgcieqp4T7HMbei
MqkvE8Xz2q75ErDXTnnYPzb9LsKotAb6ktledTTorI+Xp9Hzu4cZNxzdz73qXPu4TPxSYaB46ffC
KXsaP/qG48zxhJf2G3ZjGtVfcRhodM6yhv4qmtyKheVisSZfNUxMPUaXwJj6lCz4SwxoJ2dhe+/V
UKdN0ALH8rkt2hjIgxTs5DnsDVRRd1zFrIsptDDnIzRjiWUs7fwIOpFMbE4kbXP03XsT9A/KWoid
If1edAjFdKh1qZauhEcNgX2945tO4e1joxOgE9vIYJPHVTMa7VC4vbk4itLKsnofbpnX0rUUrsam
nARvLBpwmPjkqacEDjxqrIOYIXwEpuyCcct7+ElAnsMBPKr0IJ/U+89+7LqrHN6c9YFDLzYVkXkz
bN8VgY7Uz7DSMXiv0GL4rduci3DEHZGNLozb9AWMmXsztm5WRyN6aniueoO84+oga5r2ioe8/5CM
pnPMq3LqyYOgo0onSopBOubADbQYrFE80WTx95WuP7tWOpnvPYqBhmngtzOEaTMWdvKrrOrlPiTC
vAU3K59FE1y/2kUVvLLTJqai3sQ92tNfgjftDuB1lULnhkQ1OB72h+YtnpVXLiCeh1XHoMkqVXiA
taJup0bsabh/r0ZsJNeA7LJGr18DRdO4RP0HGDi6ryx/UetlcDf5wIRud9onBFXQ+KnVRtBYbp82
Vj2g8I1mE5nSdson4ehj63UzTHAIxplza+vdTewjs3zAUmElqGJodom983CmEtC5aTTBMm0qDRRb
Dftu8r2yVeRVb/HPVSr/iKHNXrHkUZfgszlgsgZXw4ke/EMgu+Zu5vbdH0DA6ipajmZxpj1Gxjm5
Mc/+TUFux7MDcCSr5AZ7SmEHYWKEVSqyeubY6CTcsgoyQwR9uk9O3G3aDzRpEHiDj65ugeGqUJfO
lgrSg+dpuuucoPdUJviFadF3Tq9AGcn+bKMRPVpATqa9+F0/oQaJ4zwRAHZd9TAnBve33/a6UmC3
bjb633gwCKsS2EtKAMtx/OR7hNlJ9fIEexecU/jWsHjXcwP1bnF4RkkpIvrcJePZ1hbqucFiX28G
KpPvjgBu8TcddbazIfSgOgTFsfZog9HPYpm3mUb51y3Q0h1Sv2tIOMECUyl02q+ZdE9D3N97cbQh
sIB7Cdb6GPU1QB10iBquetrFEbqepoYgvIK779WRje+Erf3/ARF897++k+Efqd8/Q7//v3HDf0m1
/ZkbvoWLohChrf89O/zHjNu/5pF+/yt/gMIYKIS4a4JoKwIPtwwsXuyPQBEG8oYEP4sSDPZCuX5L
Df0dFPZvGUzMIELoKMagh7+DwuH/oF5yG0+EwTe3AUbJfwsU/idM+DYwAqcMIQRz+DBY4q+YMFvi
mM2J9VKy5gxnOBBCdvr3YvIkkd/R4mXcANMrCdSraz1AmAkJjmjbXoM2n6Dnl3+6qP8CaXYRXJz+
IX50mz6C/e02JZz6/wA0b5GcA8J9D6EVbXfwo3aqB4Yiwv7A+VeM7fdu0VC0BffSyOlbnByrW84h
gh8RNtJQZ3NYq/8QinIxueEf3xXSfaGH6cmY7gAH7K/Xr+JibmmEzlrNXlL4PeBl2ZzVijchDdH5
uq0ZOStISJmH4MsWJdN/eAtIGv7TewC8hhw8vV0bhMNuV+5PobDap3r0EYyAtVZ3qWHGzThH8IEk
xjnroRtTpH7SIGpWoDYWHrL8FVv72RrXHLGvm6wdH8x0Ak46ZrZxWQYgpUevYBvUo/V2wgXAPgjD
qEAyZDotJkILFTc5jEG/RBTGzX1Vd9dxWnc+gfFf+29uHaPMnmDWe6SFaK4aYAdQngksx7riLzSy
H8mNkV7CCD2/+wYjtBiUolmlYjjAaOhQsbHmNDo7DMfb8pXSU414cnaL6tyUEFpO1S21YbGLD/GY
5BM6DOGtHKJ/+xBGsy5lbS7TVr2OdoNUG6EInGccEVpnsUSLQAV57GV1apMGZbRJgD9uKGdMTVXq
dqY9ox+BbsjV/eLWr/4G6HlxxfMYzm9wBBEHG5xP3Je9GgZy5/JN5OT2r276UwDNfwFNBUJ8/NwU
Cy5T28nXkJLDCLzrEEfquU3G+Kj92s1ITQzYctqAFOLtfgtOWgjYJ9vqZ7Zrtv3UBOCC425vgcGl
RBuxX2dzbvxqh1KqL8cpqI5JhQRXK6Mu7ZwV4lkNJ96nG+JdTJ0bJynXMRmP8VIfGZET8FFXlX2l
q2vVQs+CLcIOdSf3pj4mdWsvLrAJRtz22CZvIDzBLcw22ocDLQkD7ii9BoCiXSW8TKSBVhciVfSS
gMi+Rx+YbsFcX+vGvg4dsNF5wvPRI1azk8rbDkEL0RxMD36LLnAeWzC2yJeVqg2ysG9Pjkrgny3l
tHT3HUPlN62NvefwpiSc3yxEbiPDxCJxhgwPptSDVGhUMXUEsDCtoNPNDSqY3YbLCsStOwvoBFBD
HUCoaPm5SHoAccnjjNDkuTVX0wPVHtrcXSE0a4Uqc1sUUmK3PS3kjXcMZwDAU8iP3Lg38QYVK/RZ
r7Xi4GsBIb2dL13C4tO64H/Fc9bgSHmzXUug5AVDuswzPpdT4yWnX+sQQODthwvXsXPUMOYZk82u
qvwmXUK2ZL4zgqdqLBRToBuAAoCMGRdIVCefoZKF+2RQFDVzXTY+gdkoVLVTaIiWWUHgT6TNlnkA
pDiwC1G4HOPoejmFuggWFVkyn+sbc26KbUFBm/jkmyu2D2ZngN2zQbwI9cnnYsr4Nm5HDjfZdZz4
INcW3oAOogc6n2zlNJdqPYbRGkLIGO7D7qKEF5axaVp81Om1xVK68aWwc5Gf4w21qe8DKKvlz40C
iUb+Lc4WfL5sqbE9cRC9KQvKzd3QtxAU2a2CVTf4v0Fv7hHRWvC08QHRC5u2rNoDN9sOxHrQYXLq
qwS4TqUgpG08A6+Xa6W3siJOknqAyQh84GxNVAiYEJpC7dRTOtB1S4ek+cFXmUXcWwu5vo51WN0l
IgZWBOgq3uY70OHYRUzHH8W4AnevXb1j3fTooVpD+lfgdfBPbm0D4Kgbfmu6EVGt2bXpMsXuzm/I
hzcKe1fdqu+594s1bgGlBihtvdhbj4AgAYt3t6BmmHTwNmUN4W49S7rCsGiXNfUdLWA/oL2QHixE
whMEMuhb1UWoWJfqa+zcBxdb6AGZFvQJmyxjN0VcQxex26FtpWyFHEI5SDnnOXL5BXrcYwCm5zXQ
5tvg7rG4AXMhZKFMhTiDF/t74mmb4wEfyw7cHti/k7byfZRVtOu15ScP0OEVD3Mr9ViAI2+yjDrJ
Ry96vZtq5mWrGjlayeq7nxf4qNyzWQUOb0KWcKWwOZyMgGXkLjh/gi0D3bCJ9lw2B1F3xcq7V9UZ
r6BcJikgha84qfe1HsGKOom/TxR7IQyuph+UE1KwffwsrAUU4r0Jh0ksn1uswXPQ1yW8z8TsPnoL
gBPTBbuYgv6Zq/lnO63tDoDhFWoB/AkpAWyCzXIwV3rv1DBYdctkRky3ln2cdYkwl7UOjvMEU2pz
xKNk/GWmibo2Uh/YU8/scaTxCYdRiA0zKVGCf6qJewWOn/3gyS7TdtV5uClcmFG2h9htg7KhCkg6
I01WLwRTG+iXP242H5CNQmdgamA2UD5ijflQNxIv8UweMpGS3m/vOe1PCHX1YKmXCx5jhsDCLWtT
+3nUjw9ScHQ5GgwqoHSZAf50wClH7XxV0DGysV9DKJP9N9yj6bKtRhekAV5FlPjwhNX5FC/7JgG/
jphMDq8eYlPytIRkQWp7s5k7q/Oi5HfE4RH3ifoWa/TpOjwGegbey3HLCDlnIuoP1Gl7d0xgW0NA
wnEGlcV1WwP6tWfHsL1AZ5syAKxftkpC2FHmR+DBQFrnddesC3yVFp3WAP0ilp0qNoiL4JE85+JV
kU7jgeUDAeAzb6gM/AiHaTVEz4JSkdfOW6N7DhALGQU+47yvQ5x9fbNcmD6z3qO58Dl7iFXoF9uA
4kDDbgfzOyBFBEtcIGLs98YvugD/EiJ/MRDo9oX6Ul+NoxQeYfmbs7H2PAJcRFiX4l4tc3uKQDGB
YgkPGK5MgAUPsrSQKTLN0AxOPpaawZMd6+UltiwbuEGD7tnXHmmXXZUI0D3VcBGYdXnFA5tcp4B2
uVsJSNru1GaeGCzMY41NxibITRCGezIu8wGJY+QO3GUs12CFTMOYV6iqWERX+gO7+vCEYFc+DUa+
8KT6WprmhWFnT9db/heq250cUEBBzlD53MxA11uBjX6EqSVQZZPljTAQhL5UK6AI52dkDx2j5ZzQ
FLmVsx/vYsmBBvtbs1eocScvzBlwy/OEYAFkGbrHZINhj/watKcg2bN+/Vw1D/bQCbYHYfZQXv2n
OeDwMeGK8maEIxgED73twp03DW1J8FV0OEvjHZtAlPYrBKyNGTDo0ln29VDvsBbdvI0QXlGRjeEk
3y01gyC3YRUmaMnX7aiQ6kWE4keyICk1DMEJMkX/LJ3tYYxwLNAOWAEywm9T1SJZYaQB6XGvBhVd
utUHADJVDCkOnB0wMsB2tPDqxyn5bph7bdrg0LcJXp/rda835ztwFggMUKHSeh7CPEDsZGWOQKyX
/RZqpIr8JcE5ErD1iS1jsQzy6KHSzKBoAi3eEpvhx5+y8fhJrVADKgMVxF0XaJ/efh2on2IEAU4W
tRVxsCyFSxECGiXU8rBBtmEwhp5//0O0TVM2CLwjTtSND+HaXLAczFm28Y2jhDa6gFic/PkMNAGJ
umWGKz8uuSKYbMC9MUYSuxpOY2Qvju1YZr3gkRFQqmKUV+fb2ZI7xpFTEQFUt37GG0u2HUr05zrx
H1nCdnjG3IN2gBf0tXmq7IxSeYTnWVO8GhQPlNvjd9/FLVR0+sYDCVrPD85hCOq37ZEedJMFhj5/
NnXwmFCjcpFsxdJ7L16AoysKQfeAf1VpkGxx2S/twWmiKavggzRht4t89Le+Q4+re+0rJhBVCEeg
uai8/es2KtTUULbTOZhMFjJERVBKIWrOwgflh+9eHyeIumMKwVjz/eR0QzqQDm/H/sCIiGJE9sdI
iKZVGY31c7zqbjd6iHEm9kCWmKVIBwKt8ybkylYK5E0Gr8t4Hf3p7NQ/Qsc9YykY4HgEPKsKyrB3
z4KZ5LKgoVBi2PCEGInTHgXihPByCi3JFjPy/tTFs+h9kRBVxNxEGFpgYMJRBcfNFQ0OwggkSZ18
TomLjJyLqQFdBxcTGVserjTXBmuNBvAqEIDhG/DkTY2vqxN84fh9BED92LcqLnRMfsNQjwE6Vkwy
OhztCHtgXfkhngZ03ChVcEO3MtL2SS1gcbfBYNV3PXKtMizHUM150y8qkwsVh3qWL8BM9Dv8nPvW
O2uMGcgxTwdHVBKACx66ouc1z/S2imxU3lGR4MELhYL5g8VlYeshN5NcUT8pAA9xgbgS4IjQyNtv
S+QEcWpOwOyTFl6C2JCHi3NAQ+hcUx0yjea0GrHXmItecLc1A5rdo1QpEAqs6zjzpRTpEm9xMUC1
Di0goqoL7YlRdDUxG/2sCmqW8hHUHqx6DF9AbK9oRrz8kJR8Dh/kMBwoHapbjYsxKLVyoIwgcsEk
W8q/VW7va8WEm+JM/wXLPs6CDvTBdFt6mB+Uehiy0ZvoORkTt/xbyMIIASOkuCNqX+NtfRw5fDlH
0mOAR3xyEN5V3j1idGNG6+1AOarE33WX/7tTAN5a1k4/v9vPfysK/r81K+DfaX63aft/kqf+aaDQ
f41q/Ivs98ff+kP2w9cS4ubhlAZuHYeYeAxR5g/ZD5PU8CNCXA8jhjDrjmAywd9lP8zAww8xUOD3
L3j9k+yH72qICSYMYcq/B23Qd/87st8/i2lYTKh2oVxBMcK3pmBGwZ8lo6ra6srjaKBkdOAAPzQJ
rv+VKvEbUXhAuuUK3sT3jqv0j361XGIkLNhkUBE1xZ+u3r8Q9/BFBv+oYYWYjoQRSZD2oO3hmwD/
+oYQ0tW0oQCrBDCWQ+WThypB9AcDjhDHDebM9Tl4VT5mwPxtmizsSpjzKEwNCoO6pAykHdC404Nt
dQJsa0ZJ1lcA7BfM8JgJfCF/JSmihGj1fHKZ5gpJcctDkFExmkIMKpiaSYOwjM9uva17hJx5Ps9j
BFEhSMpoeXIHaD7DoieEXmybdocBFlfh9mCSa47KjdW3MTJNHjfRUgiBWQp186MGblBp5QC1qH+s
y8Gre5NjSFFYrD6i0FxDwETrmMKPgHrPTio+RxVkpzHwl9wRpIx5jOPcCe/oML8MYqJHt6JzJsXy
5Rr3lWn/Aga/SkMK/SroXySJ92tnLY5CHOJnQ2IgjgaXLNwkrqdmV62nJpvgxA4+QlKz6DHfiCI0
FK1XERlISvFDwwMn925uWYj1AZzo5xKr5IjN7Dxs5BBOhO/rhP0aNhyuI2NlciORJEK6Ubh9LnN/
RId6aqreKWM1rGfTxTSbhzMGt1y3BRTBMN8gO+vR3TzVbcG1/bWy+IuM5MvrZV26IkD3eiNtdvWG
FniI8ekm8Pw5raq9QNOWOhRuCWqtNykeAqSHZ4oyamQA7Po9j5yihwMuGUw2tz7Yfn0affYVe/PO
Zzgk9TDmo4buBbwiUzPQ7DGOfy3NfF9X7a6GsxXH9iPanB9tMj+uLZCWDWZhE+R2rQp0VLDdPah7
cyFjGO31ydNIsJkPJSg65wr5xAOBXVNP+AW8ByTOQG8UhKhdMI4HfRfo9czqMB8q/yNuAdm0E/4Y
6/dkYkinWWAPduBP+OaqX3MDgxhiXobuK8hu79dO7SNEA7hf0PYQrJPv0Lz3s2AXW08VzMTZS0NE
k90ufsHgIygyoAsglT0k8PEGETwaCu5XmOTRSMSKEvSP6if0jR3znua+/hEzdbWa/Can5ohpHvtt
Mbu67jPtV6/bqk9Lze+7eD5F03LCpXiIgB32t3Tqv8qrgTLZJwhnzwosIRjlaN3QQatsaDXAZJuL
tj2aFhO/BBIXASTF6NZ21Y9RK6/Yb84EoW6DLKnU/d5K9j6sTrEmYl+DxpirqphDddcMYcb6GnOt
opMh7gEc+Jul9csQsOviqzsHV5ORu8XBtI8Fm8YQq3xUzosRM8oxb2c9cq5je4gm6C9kOprkvnHi
h0ms+eZGJ7fqdlWj77DsdjCgTxU+Epy9y2jqQ8+a+6XCR9zMHaiWdLvvPCiXEHoD0E2j2+0CtITW
T/ZdCPEX5EgMmmoBi2DYcRvnHFX0LXHiUA+Rbu8QD04Rgc4Fq7eLtHsYXG9HkTWjodiH01reXj0I
0cBH/LIqsb+9LyDQJ0SEpui5q3Ex8F9oQY/BoN5HPlz9kR8wqyRRzmMUTt/ejHgO60+hFw2pbtgO
gZF72dFdGCylDeQRPlbWg+VcTZO31ZLPHDOOJhTr/5QE9D163/eqQImHWAfjEDqgcXS6N5kZnClz
MIGmdFvM8ULeaYcxBA7GxYCfOW8yukorAZL/5+heHRp1YJv6T0bnzVId3aTZGX6yLtqZxsespkUI
/9Bh+pIwDPCju9is8WOdS+2+bLyOdsSAbEwQ4UkWE97d5ho0q3vgtX2uNgQbBKiwKp4hH69AbRqC
oSJYm0HNk8PGJrSpFaZzGJD/azNh0ho0PzZ2kPTsMVqp2LUEAUTSMGyjMMh9MGC6Ho5IJ0iQx3ii
vLloq8/YRwnr3uZpAMof8oqZ57nj70DPuvRBoCs5rt7y4tYrwhkNAeMZ/k/2ziTJjSvN1nup8XOZ
3+v9oAYFwNEjegabiRubkPd97yuqfbyNve8GkykyJFGlNFNZZj5OmFIoEUQggNv855zvuJ8w3l01
QxrslsG9Tic2ASJZPhPjT9YgzQ1R52Dt1AwJMoNZXJtkxMETLBhT5olNigJio/Fv2xkTYzu6zU3U
v23v5ZS/zirAXmyxJNOXeL7ILtq6I5mboOnyu85M+ERUby1cJgeOsR+D0NnU2oT3n9DqqneMd5kw
b/hCvBpiy9xMVrWpAwTz1uKVD1GnTJY1whHDrQiDbWzvCi5o2ImgA3z/RCE4RX0rzOEj92gfM1EK
DYuel28PFMHY8O4Smr1ivedqlKNqxuWVbkQkBrW9aSW3Wai/TjvuZdI1rsuEZIGrdTd6ZVeHH0fo
uXr6z//43hHa0z3OcL8vm3/psv/mBP35Qb8I51RkwrDCEgGO0/v7Cdr5CbUTVj6/X5tImudAqvzq
BC1tDpG2y1mSgzTP4Qthi3Im5ugYYT4foCkI/IIU+9sJ9XskTkT8l28wonOGwUGc4mPdArX77RuM
228tnSnBMOQBSaGacPYDgbd+qJSblYyxcPq3pemd85Q4t1evcRuzCKQVd0jJJTx33HYvZ3G3lHm9
0UCFrqwyPhYsGmuMOI/BYmw1Tx1NjMyfa3PddTbfNE1bX5uzVyHHhzSad15Sbru0Sy5JH36qvbw+
jAYfraIOcXZjd10DhrzCajevMo/ZHodNWCBTQurQHkoCKcWbwuXKiQzAbeU+MOvrcn4zCiyKEE9I
wsYI6XGag9oIxTEfTWxGGoKxB2qhdDaumTPn1VvQgmZ0nyfd+3lI39UFqi6pN33rFYO+gQiATBdb
OCbtu77L73Ut9m7cGDgHW7MGtsBokacs+42TDyZbYrz2Rje8TMtjAFjPbzztnEErWgcFQXl7uW67
6ikfJRtYab1JbJYcw7TvDcuNt6FTXw+9/PAjwfojwfp7CVZYcO447B2FMJ0UzBT1YOvFV+KZcsqG
sodjkRCU5zSx9BKwkn3NTHzbjoSLnUJkBKSiU4jpinllZ62z2ZWbKrCudBXaABm3kwq8WioEa6Vg
rMgWoJwCoV8GSK29QrZqHfDWGv0qhebameCwoqI79HBeQwV8xVqoE9518j2AoBgmLDOkJxIV+hqI
mF+NBkbbOH1twIlhA8d04S7mQ8/kDJ0l5NboYA4F6I5732o21mAP94bYLra3nLIm2/EUQb7iXsyr
UN+lU7IpEMlXntfJS4KsGdWtBN1hwJYs0lfWnP5Mhuqey3DIB7rWWE6TnT52D0ylIW5Oywn7f7ou
kUYvU6qcL7pSVc39GEafPA6iRAqze9L0t26Sztybh+3caddgKqQv3HWep/JuDLNDYjUEQyFgobZU
KwDJMPkQgjAkKz0UYTQhprztBANGV4tMiLO43ImGZNgtq7s66vZtDFnXgXK3Zuh56bRk2ALKK9dt
Gx4mTuVk79wn6ZRvh5JpQDfXHdbEyd5HTne16MgI6TyfqxpGqSx0jiU2rsVM+lOHJdE0+SvNOdws
RZTfZy6rVLS0hPtleOmn3jrn5HrDrI92Re58sMrrkB+8d6Jh7ckO0RQdX8vaDTnzcLtgQN0nQ79Z
NDPaEZcA5TzYJIg0a9kbMsVNOeavEhjPE4gdd0xwaOtwQmrN3VdNAL/BSED4NjVGaAO6VN4liN11
cJk7vNZwIbbCKLZe2ymC3U1YLPdOyQvQPGRWcK3+tW2Mj1owvWsFzKDI3tl5ejs5+utJiPti0V87
kICi+INWBA/VAolYhvAFeRKNzihEntkHriCHHcN4uscTtc2cemVY/AaBshjoVU64nwp5MQBQzA3u
iUCeGk2+NiNvG1RyP3MfD4R5hlH4pjfsC/ehZVVEfmrN2Vlkkjt5EVxlhnzdlP2BHFuyI/p6M8Xj
wAwfO4ZXV6cumId1NoUI5LHMN7k07J01NjoO5YHEpIWVNxrNeDMGnXwkfkIs0NsCklh2DMhLfAe+
tXBFSIEsnHnbhGtrevMXnPv+dYaiRKe+a4T8r6p6KpanLNMORfEE27f8qrjxC2r9+Xt8GZHaghOU
R5kBFS3g1pl2fh6Rej/Rj67+A+wc5oEUj319wMOvqHP20x2ov8/T018OeJLzGBUjwpW2+JPOSEu5
5r7xG9rqWOfwUzORde3nC8ZXrrrRSqKynSt0cuPO4EhxjKb60A19jtQx2z7D2ugVq/hIXpgAWxxV
t6E9Bq9c9AyD0FJmis5vumHbwXXYINKA/kwgVbk6icqwbct9I8iYknrAQ2G5O28Zj0VYmewBZryu
4H9sCpAh2zitgRRHj1Aask1n6ut4zJAOiwj3jsiPURPVmzbpz4SKD8JjrTO5ta8I22p80KV36cGY
DdpVmE+f4koz9viB3tgG6RJr0etj6ATiNBoOrofcuyQhDJUlykKyzFn+BwZOqWbKL19Qyl3g4nIE
d0z54kZWG4075TXR6X4mqCtt7OdyIURt1RGJi0lsql5zwPPF1xBNSDcS/Fg3k+07eQPvrxE3ZKmv
Y8sZdyYogaEb3fMwcmnHC0Z23AsQeKMHg9DNOunza03ENTokSERtTO6/uqn87TLwNV73+fL4qx/F
BC1jOECADefF2Z9oGNPUJMW6WDKQg1O0A9gEAsZE/MM4dcEZmWxch+gPNiZeywN4uhP7in5aZuTw
MPiEslitABR2d4x1NrphFn/FpfNfZ/EhVM4H9Pevk7uvG9q/uVN+fuTnJef3qc1KlbFdteQgv3ho
N9/cKXWbpcaBqMzS4vA8vqw49k90TnE1VTdO1BRuvH/iSok69KtPiGFzo6Xt1OK286xBfa3KiAmK
N84xML8/SMM/SMM/SMM/SMM/SMM/SMM/SMM/SMM/SMM/SMNIp+OA0/EFaXhynGMrIEw5qbeXCQD3
JI6LA0EzyBpdeZ+2Tr5rliK+Zk4JZ7Ynf5tRLwDpwdnS0mFvpzS6a1V5FfYZQAgMxiogSY5o3FXe
FhOmF4ysbQjpojRw3gda1p8pJ6xw6nILbab20oNJXZfZlCp4dgcKP1yDeokPowaiCzb42x65H1IT
OoBbistMp0dSdafnP6Q1OcfEvMZ8C2izyexN1YCwi2Iv2RfztZN1/U7AsjuE+pteQ7iI52nbZ5gX
yb7cDkt7Ab2X3M4m3AmrwAqUZrRLBEI7eGnlQnFeIGh50RGZ06+DZC/z7merCJIHQE/xvrTwHjek
j6YSR4WrobCgzpwGS0IrwpDnRwDuVg008JFOH0bAfO/nP5SWqQyhsilua0vRQ0LUH+BJGxf33zEz
E3GxaizDY4YynoWfIs95m0aDtmra9OMUZjjp04/WTA8TRQjnHKVnVQfKYYXzmg4h5rGEyz4YfQvP
aTJhFQ/Bm8Uxdksz9mua1ZocknqShp0fwq9ew3RiUhu+J+2SbRoTpbYH5k8kB8Kh/mYpI2YAYUHE
zErhI9sG+k9/G+I98Nsabltbpadeb1YakL0K2DLFJXONDbMBdpssxYocRbjG97ot0xEeb6W1fhkP
V3qJhXzuKs/PDQKHoXeerYg7cAu4VZ8DFydMBTREc661Rbh7x9BWEqdZb99mmfNWC8GLGoZGW4JR
bvOB9pFXzH6vegm1OYLcVJsGw1tQF3k8hwfDOVfQw2H7Vy7x9Qj5aak8cjMWAEjoCFvi+Y+T18LR
rTVzEyeWDWR3DK+kHu7rmDDAHDviChl4ipweCA6Ag7hOVFb9Km379mYeXXgwjryijhaKgQaMYckC
3otzSJNA4e5CDcOmrQCOg01u3bJullANfM3wxjJnXzdgCJNxe99lac8MP1uPcRb7TYbIPBVnxRFb
LwAUTvlcJ7u+TIs16BoMMcaY8roQiZvS0MWjjHtd760jhRXd2uqW1G9bekCixEoe9G4iGWXIbWIk
r400wrVuE7xhwo3bGc762lXA9XSMXtcdn5xMe9TspFs7uvkxBmotTFndNNjjafizL/CroRc22UYO
lnYA4DeuStigMoo+1by7/bm3W5+9h1dOOfGY184najnKtXByGuxgOYcdKLJpGq6IQ2zScHgbQEE6
NCIBlQG6gDymOLbdsqt6edW1Fp4SxyoOpsgfqNCBHdO15Y7yLnJvev6PxNX/cWfqH+bZlYX241fF
WX+z1P4v1Fx9T3enC/O7g5LPXZj33ftP3cug+/MjPw9KnJ8YdVCD6RlMWz83Mn8ezdJ0SSJdR3Nn
tWb4pX8zmrWFRKuXznODlRrYfBmU8DCBp5UGCayvrkUI/k8MSpxfzUlUCybjE8Ngikjn6osWTDdK
ssV1WVw7KNk1+hqKWQU5XKL+RLHupxgiRwzbBWCGSD7FqHId4gFgvfHjrCoyXVCSo/nOkwCcoKjG
/xSI2glKXctqk8YfmCiu5uUpr4nMIWZ4RrWy07d2yEdoJaLbOnzUxzdTfA8dmfqQdCXQ0ifsmhbx
IZA3ay1Rafd4nYADoosRmo8k0LnwNXdTgCD5atL2G+NQNQH7drLL78OzHdWNiq9Zl+r39dWofF7Q
f3ILrn85gniqyvZ9NER+n4/xqx6gFRb5fUU1o05FI++u1Zwlmyjs9iXx36Glzq4GgfSgwy9ScUrI
fr7SWBO89z0tBlGNwZ8lJ2QDSkdcRuprsKdmQBoTZGXyjauBgNo8oIjl5CsVtnV5IhRPU8yeWblF
VCdIP1FAA+Hrbdm/C4vHdnhHYgJOIWTreGVZj0L+D/DAOfWPKnu691QjpEO0dYibVSI0sSoojRS9
eeNQImmpNsmxp1ogoGDSzC1vXanOyVGubdVB+ReoTP/4MvhPusqBOfjqTforg/4vWtR/9fT5/a4Y
xTf5uxiF4sCCBwrRsxntI3V9EaPwifF107DMZ1DHN5NhU73tCazRLAtjjzf+LyseS6HSsBy8QQ7D
5T+z4jFVfvkRQ40yHcPCAi8Baegv/PFzYtV1PuX2SmZYoc2eQGjQ22ARHMRrNBxbqTmO0nUSYbyJ
MxpUKdn4ZEpLu+r9sQ0DgPNReEM+jwBfhmWxcNJDh3AUKwVpystjOGOrtkkaAq0AJ/msN0WPkdKf
cqVElUqT6pQ6lSudykWwWpRyBZiMqlDELDh+5V6vBMS+jDoZN+1fgXXXtk2DicjKW8heIruv+gkY
mkcCeKjL62Vu9DW+woexiEBH0I4GdMi99ErdoVhoFSm9Z0T4sZvlxiCVuyto1aNoAW1IqUQOctGS
FJuhzq5lEXjHTK+vvCJadkUmHgqK3ITSVhxEllSpLb3SXRwjfIJAsSuVIkNd0Em2S3bwNo5SbMaO
7aJAxKHa4crGcw/RrU6q1ayX2ynOo+tOd5HxjLTeUcLjEMqaQBFTBJLZ8d4tcLqXCSRKa0dkNAdA
fpvPQJ6lsMQm6ATNE2X3ANy2WI9v+gh+r2r7Kruy3cVdPK/6OPnZbvFgBDptWDC0EJDgnayLwcQc
UAzA/+nmsSPZXrdOmm3CnLAGCvfICgsmtgbycDMlsFFHzPdi7AkS52Lvyflu8MhTx/wlNHZN8WmY
vJtQJzQBe5awID2A1BkEJzOhWwC0dLx2o+w+T3kvUci0GaJxVwTZuzwgk2trxrsuzChQdMEOzgs8
52nCYFZ5y87TAb5Sr4YBQBhXos2jqzyxuDG0OT/OmBY40Bx8ZzCzdxoFS6spgCRbQalvoiG8LJ5+
5xjZMcdnYSzu7DfjazukptXKRioeifj7Bem47bLof0nQ6V9IMIN+970VctvEH8q+CV8cAoER8bAv
h0A0LbDfEIKQvzjV/X1NtH9y0MlAF7kAeSgFN75ZE5W6y6M8Uj6mhE/09zXR/gnEkIGj04CV41FW
9afWxGc20TcqLAlq00ExQynj1ClfEIHShoKWKeZ+XEhQw15gEZLPlW+eXGSeUt2XF9ZTwO2VIo67
CGc//V2ASQOQgyA+IULmFZ8GNP56N2UW/ARz3FFf5w9aw9HCpVg0c8qz7CfY1t4Mg6HdtynMinBo
IVICFfPlOF+WUYGLCRYnAzRXHb+jTalBlFvDGtKpIMUTeqt5HvYhfoLtaHmPkw55jnyfvRbGeG6k
t58M++CRQlz439gSZ21KSKFw7V0MnPqVrzxdIHG2dDbenWPLuK5tcQ608K1TxBu7vEStdy3S8R3m
yqdI53tE2r61K8DF+hYf6Sac3XMhHxrvyqIzYuVY6W0/ONdL1HDPB3Uob20rXQBc8KLUFBSsgJpw
5CTfUctD2bqXsiI9bM0RpUVD751LKqfTHOQE909zBcD35AEt9oPBehq5YOLrjKmiTk6tfUrz8d1k
8orTbT1SIxnX9TUNnfJEyv4EDBTINe3TqzxkrYJ22nw+HXH1+u0m3F/7wNU71GLjlkxrUOpfSPVm
4Hl1EoRYv0awKN4MaVIvhzdpCRKofk4GZMScAPNthU7beTpb1YPX8BIBuSZQIP7g+Rh8Zl6elXEM
UxD8LCfbL9+0oGfNoq5wBmoD8O9k4kBuNHdxr5OJ7+G/CTI59NpwV6GEvMwOLrOIXSkBAhcu9Zsc
cEXTg+HUXciK0c006Ez4bFZLosSbBu532ds2WNyg3Q3GfKJNrSkz/rHqz4YXreIZAhPGBhwXfVet
oPI28PZ1cLhYt75aT37jWsCP9OuflVUCe4+ycHOuUoear+4FZkWR40yQfdWIurx06YgtRvMeh15/
NS9VvqXlwWeS4K1SdzqEgmJ3E4zSPrADal1KWqKaIIOjzWZSmZj+kkY1lKfjY1HP5wKM+H1RyQPE
lGhlm0v5kBfBsC5MwN7CxLcTEthPTRxlXSozmOfeJ9BPEfsVWfYxrG5Th10uJyOzsTX6V8ybQXNx
bOvdK0NoRJVVaDlX8eV5nu1tHRJri1W4uSfl7JJ2ltUybycVgPZIQs8koulxjdcNLeh0Y62FCk0P
pKdTFaO2yVO35KpH8tXwUR7DmnunMZLoodyBFi2VrzEM/IDM2jy7Ak0fma9rkts5Ce5aRbmnOvSb
inyvqWLeLp9+goREv6GGqCB4RyK8UdFwcJAc41RcnL+PZIaKkJsksGKc9FdQ2M9EsbapipsPKng+
S+O89G+SviHjdj1K57EJwXzmKrAu+qVaUc1E0tg9LLUGBhkPzs4l5z4Z2taDSt3Mp3E2fEkavpcZ
kXHgm01T7ScVmDdUdJ4T19uMLL2Ot5tXkXbMxiLtvKjIPfVuFMoEFs1BMGS0AohXXfsdx9TJOroq
tq+RD9lptR/GBPq5UB4AedJvlFGUVjQLiUYFADDd5VUMK2UasRONoXUnYQVImAGJggc4CiMQWhYl
sIAFyky8zhVqQMIccMCMhQutT27O7TLoC466EAqwU8JCMYkFucBsx9C5m6EZALLIFdygNlknqI7I
gGh5l/CpgYLAqbNckd29S0x86o0UV9VQFLw0zNCn0g42pgIqxAqtEOrdtoa1oCvoAqNX6D+zfQiD
ZjjHpnaZ4anfZomtOLx2uM2tDIqD+sMOgZOVCu8gFehBmzV4prL0K47/UFCAYGZwfoexhe7C0E+x
du3E7WEsP9QBh9i6Wuy1MwLJHpr9878sDvnMmtOhFuzFIOmAUWUPhBED8Fd2fWdN5rFJ8I6G6W1Y
0sBBTi9vxeuONpfKAVWQgGcAhBzH8z2s1GvDW87G6F13vXfdWJKUo3ERozwJUlCDax6nVB7Vf6fb
+ta4baFPyN6xbjzB7hBE47gKO1FsAVN9IvH/IVVNFHaGmW2ec3yzdkHav8UOnNrjK4tDC/gGxgRa
pE2qXSjjkFt9MrThqU3INbOpwBYGzGSSkTDrMYbhTPlU7QDZ0Dx9p/MDrdrpdcvMmoFEBTu5GwBv
gZ0vHZVorRLh65K+aaOOwBZQOkwwKz4ztMd7NotDOnFIIJDQrsYGXEokqjt6ESJI6uyUZVnsQme6
T4K0W1E/AOdgmn0+t4ysp+kdRjcmv4GW7hetMDBgB+RCxP0wWW8Lfie1yy+EnXHamD1M6JLAF/tS
X116VZ81MzDJ6pGy2Jq446LSrJ6RbtrpjjcmSH5n3VEV0eTyQqQmYXxMaBr+28d8ButmN7fgpNKN
HQYPQ9rMhzaa7/tphPcFNm3FzO1xbOf3CR+JgEf75BIpJE5Ldy0Br9D/ueLWwWoGDqKgMlu2/Sv4
83RqqQL1iSEvaVpL+LTRYRYuI56gw6IRAjsKCZ+EjfyE2a+7xdFOsBBXc5to5cqEI0Zez4WKTTEe
PNRxE1mklWXIpcKN5L3phSezYAEoe8rsOw44lcMenVOwc7A77iBw1LhXlCboqfNYg/cHWk7Pa5HJ
XZQDS57KjDVQjHsm7rbqSxngRuyj/uiGMHSKhneaoXPl8DqavD37liDhcQjQLDquVNZUbFsJc20Z
vA3m9eEg+T3YqZT73tLIf6eEs3kj2hVrmDI19pIrWVlmWy+NqDZw6w91VEPLrwLieBjVLXkOtUdn
cK+GwEqPVXET0HICC8tt/cpttoMMzvPCq099zyZlghXaFT2mUeonfRz7ThJvnJkEgJcZw0FLSR8V
I5w5SHHRjebOoc+lzuwj1tHkMYaXtTYz9VYrquaKjWAL8O9DB3/Yh6pDg2kmH+iae7sMnX5ZKrmJ
vOYC4rjYTcScaeqlVKxO782u11b/5xfc5aJAlgZEy6qnDqq9ytoZJcfqeR8SAKijs6FQmFMyev73
TxW/nv062EchbnKBsODpq1nkV2eKXwAaFgVO20l6DwbIDIfDHy8AmeKhAmIXzS6r4PDz81/9t7n9
3040n0NgX8/1vx7z/zHY9t9t0gYj4rsojN1T8X//e3h6eY18ftTna6SNm1vn9MeYzOJiCPXiy2jN
+gk1D5M3lmDC61KaWIa/BPl4FJwMD7ejNH51jRRoEAAj+KXaFL3+udHab7yh1GXWxJgsbPrxXtwi
IdO5nTDymXjvPO+1Uf9Ul54vK9mulsx9J8CNglROCfMzGemju+cA92yd45oqm4qOFwfcntMmMxcZ
FjNZeKfcNf7gXW/ov/U0uU87vILcuBlQfvu+H5iGOEi/9KvKH801/+zNNSa548UqgE3Oq4mVSVRg
G8p5r+L9nCRiYuNoWPu5LrfMIg9aSG9foNMzbOwyjyasuTs4rrGL4ZtWbCZJ3h4ik/ah/i5oNsPs
bhIqka0YbBFfhXq4q9xsUy6qYKdbL2m19UBr0OHLQZNJbjlAoADJNoZ+qJkXZo0HyzhGoPSHSp7S
ivkjOMeAu0NRN9vC5VvaBNqK9jBQch4MfpHq59gV5yQyLmFTXHGxpOdT90004bk5BHxUev5Ro22F
EuJVKkkRGG9DZprewrPXTUQrj0xnDXxxJacZhB/cI+YZDCQ8qHJCX8867CPBtw6BUiHpOW3km6Vg
FnMc4VN5PUFXfT+h24E5A465b8vSd6GijcX94NyZpbfOSdpFhrdeiACxaWoLdAgiWFkfrju8H+3t
Ugk+0t1h6hgNxdpdEdAFe0X9ybbiPqBD6Wz0Dyk3xxSETGQ8yvnd1OZ7t+VA00j6+MR2Apw1euWl
JACjP9b8RBrd3LLn/1Frfi+7XavLdSxjf+FXmFe+nXhUbtf+ON4V4KcYofjdEvlFU2+9MlDXEq5p
gEx47oL7ZqeF2Sr1eptSxEV/lTscOVw3//j/VTfXX7Br757Kq/c0vv6b8KtQ59lKv5OWyN43ffty
z35+0Bc5TKp8veeyI6LsOg5jsy/4KhIQ7JKCOLVuSPltUEI4pCCI3ttI/aZko2/Lvov+8z9MJsYE
sxDCGH0RcPhzo19255eTJfJYuidwYQlMAKb+4hQYu1W8tAuaiBtO2sprg7e9E38CdQ2KRcN0ZXfi
0oohOHYl0BcTSTluOLTnbXVLMRT0ImAPpWcDp+WPkdnhFkPPRszgJ2dbo2NE+b905QRzsISNyhum
ENWFcostM5RusdTpQx+OP8OA3IdB67dmBoxNmc2U6wzyxIHzvM1U2mEVFlwMiz5Ibp2mJxU53MKe
pMzWmLdywtwa9AnlM44TrYAfzcB2GFOlqpEjqSq/aV3qN6oYjF7YvSM0doLLDUNcc07psNByzrmF
cHH/c5l3/aozMjpJhteqxn5lW6zKfRCeei0rb1Mhrsy6RU4rARo7JPxbDRNTGXHlNwJa4g1yqjl0
lLYH4Z8HtMroLejaepYPfQSaa04YSXsuzUV9Yman2WzCFePdQ8cwJg3R+2fCn2Q3l/bAvfgwQSp1
qwxtsThHUh7H/H2Qp3sI2Sc3De90bEeNYR0t8tZzY55ybY917XYcUXcmeeTudFTQn6aksWYYtm4b
7kLBkwwGOprt9SB43XG5xSGNpW7kU4Poa+2DzNgAgUGXtGZO2bwhUroRHp1VVfw090N4kwjhG1Fw
G0dOuw/pucMH5/ielMkp7SfAjGj8fZ1QIutr9Lb6VWck19pg+PWcF2+0ODlNMWgnJzCznQ1SVXww
q/yjSKzjRDnUWmljmQHsqI2rnazSI0BVrsKVN+0qO3N8hgi3QQUvcW7yAHIi5znVSb3UzHRr2tnT
knazOOvnTTMFYgVDx08gdHODpde0uek5CqwCb3gfRbLDzDd/EkZ6XdGHCYt9OmtWRCVvaFXssBqb
CwCe9INtVEiic0MNYMLe3taXjipLc6iKo2nRKeYK7Fe5q3206d9Zx0afUMlMbavDvZyN6p2LoSLt
41vODe0Ocdpcy2U0N6wDOphSyqNgMUb0w3MMAfsNOXsi/LaUC+O9BRhRmVf31iQ3tTkecbeZEMMI
F2dZS5/OrEOoUc5Hoozp2cQM6WKKJAvu15gk/4J94N/u9va8NP7+RnDsm/cvt4Hnh3xRANHVlCkC
6wP5aXhjX7YBykuw+zBmozLEUiCUr65umL2eBQ7EFsEDPWSBL9sADBYLDfDvGV35ZxRAQ/+1wGDR
2gaL0OTqhkDJk/h6GBDmVclcKBGrSavtnZNl9i18z41pwEZxGhgHbW7dV8OeDp/5dlS4Yd1Y3kfU
tQqd2lqgWLQaBRQqdYW+czErn4Vw4CWAQKjsCKbaQDqfJQvCcQfpOIV4XLgHL4l/NhQIGcpStkmD
151CJM8KluxCTdbDIYHnlPabwiPCWnSivXSZu09dQvoT3OUK/nJvdK9k4N4DsV1Z8JknOM2wWIey
lr5XiGFF6zLVYQrqnEN3pi589GcFfJ6f2c9CYaAHoyMprA/GOrPcZDMsC7NVATM6tqgeq6loi+Jg
2WVWQmVTxJSGQtt0mV713CJLBaLuFJJ6VnBqW2GqTQWsnhW6uhjqtTWI+OTarJ25AlwHCnUtYF4n
UnR7IAD9dV8BhygSb2fkoH2B1MGIU5UsxTTvQDVQ0KIKVwaaVwabyuUg3ZIHF1uLXWvlNeG+iQcm
+WnO4ob84YQxeGN5PdiSUoQmegdYgqneXWx9MHWJzSt3tsOUPCn4Np3utAhQfHadD1q5H9N522Ay
LbrE3em13W7wmx9jipJWwHCg1Xa5Qwslrlp0R3OMnVdLtWyMxLmvVVGNzTxt6R8tfDfHVNU+9KrU
BuWKJhR6bmr6bn4UqBM8+FGg/m9coB6MEPLSRi9PA4z1RcHWhcKu/wWb8L/bZQzDy/cuY+d+QSN8
uQs/P+jzLuxinrZx1GChNkxXmCbf7osb28VOw38BeOFIgR3hlwGq8xNnMcllzObL3Mi4wX3ZhbmM
KdciD9K55eGh+TO7ML1kLy9jloMEhTsR76+riGjf7sIUQoxjOE1sZK07+BAb8QU2PXSD2vEXwShp
UUU0tDhcjXY1KFaDS60fDZ1zc0+TNF3Di8EC7+lURbiJfR6D6NTOLfzUk/WmmRNzrU2xcXwX61gf
YRRtl6i2me9wL9Ki7l0bVPN9x6Araku6QbuPyUApJ47GDh8iBS55tQDhzaqVNNvjSNfCyo5Sbc2Q
xz04qwltD2ZqnL3RqaWgypVBU9zvpniJT7WECtMZd17RvJqqwLgp9P48TBINZey5H9LVUcrkUnYw
9LXSQp/BNZNjNEBze50tdn/sC8AyedcQK6kM16/gICk2IgB7S4tOOuNjVOxlm1Z9vV5yPH2Buy/C
jxr5LK+jHCGlrWe09p2haL5QzO1kk1W4mtsJgW5hMp0uOCuxU6O3Ib8dI5MKX9lugwY0MZXNGfgh
SwwoIgFeBLkKaRhKeN2oufCxN5bp4oeOQGSzN+oCNdMBQoeg3/S8NI2104S1SSZ7O0K5attum1Df
3lXttjQ1f6mH1Qzl2AE3O5hybUQPWq9MhLth7o5Ulq9GikQczvJOS3EJsKNmDvyJbtM4pPskKHez
1209zcaMYFGiA79jKNa1N+AeSjZT1+MZpAeA8nCveBCZse7IO3ULPa9J5pe824bRWhcQR/Ok2o1m
dZAZiC6kVCG4fnAz1N66NNlH4aEK5/0ozB1iH+5Oe6264MIwv6L7lTCPSSfl4qtXggqUTYUrx43n
a318NbbI0ll2pX4Bev0pdZHyLe9Bt9tjFkWnuijftrPl08qxq4r8Qxz2d6UxpSsnbR7Q5DTvoYuN
/dBq/nMdFsGaD9HURxunL89o2MUxGONylTkRVM663GA0nvZ6nj7QcIk0TZXSpreZU9hw5FcMPht6
TuUuHRmWkm8wNvb0JlHYokwBjGyFMmLAm/gd81cFOVq8bTgCPZoU/ihWIKRaIZHohipwh4BJKhQw
SXtGJymIUq9wSlVQ02Y6Gxv6aemGg7kUKPgS68qByNFrCoGv6DlR0aZKtWqC54IsDcT4Ak38aFbN
Pimwh/BrCikp6enDrmBdDWLXLvEuIk/kRedW1X3BwW0dqqFrRb4dt1qV7vi6zziCUg0iRou5nVOO
rvnkXvKRiJlQlKvSSyU5RCjCtWJgxYqGZerTrWsU1MMWDI7d+lNulq9MRdBy8Ol3Rq4iTSGmFF2R
tlLehbpib7XPFK6yoTkqM6+rpD11itRFY+gqC66cyfww5gXBLpX0UmyvFsgXEyeLezLcL10RwEJD
W48E8nyRZPWaCkA/k/DCIkUOq0GIaQkssVlBxYCLdYoy1ive2KjIY0Gbv00c66kTDKvpBN/3pNPW
pBs5EAMucxXBTCcQSV6g2Y9DcRdGUM7cBacTqBLD7xUDLVU0NBaj0JeqPqpVRVK6qpQCjzQda1Uz
NarCKcJ4Jq3w1abPw+Vi0Eo1qHqqRBVVeSHDH61PPlJ7xYvR4wvvVLGVqOkjpemKSp1+F6c9TibD
KO6cLOq3sIwumWrIeq7KUqVZ9fRoqxIt0yQyOGqvnytStIBGlaygXBsbkQ01jRouQR8XTkGPZnkq
uvKYVCUlMGtP1XctWeltxJqBDQP4NpsPseq6jilpF1QbM7vfxQk5VEodP9b/j70zzY0jS7PsVnoB
bYlnz+a/7uZuPnEmRYl/DJpo8zzbcnorvbE+j9GRQUmRmYhCFQpVqAQyAwmIQZe7+XvfcO+5RH41
KiZsQYCwY5hSrTZzDxed9cRcc6ureLHZoEWYnG8o3rsjhPGVE9SLsJM4m8TQSPxzC3bwSMA6FV1m
pdchSWaWijTzZrYeRJxJnoqByLNGhZ8JFYNWkoeGNJxUPRWRFpOVViqFtqni00py1JiMQmxDf/Wu
HvgTJR3i2J+vWFsnh1w12yw8XRaiP16xWatZFq0MSLNcPI3y+5THKYv8KtzpWVVsNeC8y6AjiSj0
7p4OHLaQKG8mHIYbq/diuNF5B5e4qqHL4YMRff7VXYdTvxiB0xjB4GQX3QzvDTrINiU1KObk1j8l
sZ/a58i+L6Ji29eslcL2aLAlDVGphOV8sDXl7iEWRL+xRb9F7beZbfvoumohRAolCg/dXZD/Fep8
oUW0NinnndCaQGghdqRiWxOJ5bQmKKj67CG4b+Q2nOIgRb8AizgIczRQEp1RphNSTkQXUYROOO8J
6pkBKpuLxk7W8HvPOq4DQ0RbXMzBOYZ2tHPRDtYaWhdZEYbDlNieD00PGT98QVQSxKdBelt7NIOE
bdHAONFDXphpwzZxcCLw34aJMRecURPoxkkN0BSYKpG7DQO9lLhgVlWrzeoqnw8lMSHVxXpFwEWy
0nGcahn8B1TO/3Xk6TbBE+++BL8YeK6/D1/j//t/+u/5T4Xxbz/4+3iKDFybQlbHYMM4Us2HfiuM
UZpL5ccBLIdGQO0J3hfGOhIS16NgVp4dFbv7R2FMuUw97cJfImsWB+NfsCkab763HwXqFpMx0HbK
MimFUta/H09htZGN7VJwVm0HJrdCnZj1Gg5xt4nuo9ldtzLkyusmChISb4g417XbsYyHG2vkjBT5
VzuKo40zTwiDZqJXNdaPlt4bh8kkPTpqPKK1cA3zE939Osj23sbZQf7XfOgM0szIy/yardjPh/wE
DLPe18X43UgkdjXXIkHRqBHCayV5jDOTX3MleKdBUF6bmCuM9AMaLD8W3zz9XkzuqY76felp+3lJ
r9T/bzNvh0LjYGJKqZr8ysNdwq66anVU8hnpu85uXGI/ghgMO+CwOt3ejqYHWfWXyBuOdpkfrPXW
tIitndIru+gvdep+9LLyeqYqstpLyJ+ycnE2DbHVag+Fs3EzGOkp5/TXunqbOcPRsKl1wai3g3VI
9W6/lCfD4LgDlFpIjOTFsGdGeWiYc0XJ8tQ54lYO4Z6wtGNowYfDOT7B1AtNhnzSuHGaObDT/ApV
b2DP/OsJgkOTrirDYz7s1pxEUVbkXkuzUY/MAhH8zzVCs1EFUzBeIrupgJ5na1elHvvocgPCDy45
4zQk+rQ4GXmpkU/O0yHNKLWnh6n9KtTKhRchXII45/bCoOqUztScCR4uwlunAhtUfD/MIWJh7ue0
I62IPFeZHqD/oSHvEUNrV1ryompJ9a70yNbIM6MmmskX6/fqdUic3Kl1MFAS213K7I/IVgfDjnor
AAhcu9FyT9l0lcbDUSzcmPJO3d0LqUxGPhy1qttR+2wHtdiJ4dYv+UFxpi2TrRfICE2yFSrckyQw
ouw8f0z4M53tjwj8zlnSfC7zhMKVrI3tMLP7mozulM3VrtCm+aGK8ujgDESixUDle71qL3o67eKO
2LRWBaihEyaQmEy1UoWr1QtuC30xjlwKNxX5a1HVI8aduN3fgj09wobHMUX+PeuJc22UtyIiUs2L
cI4y8HtuXdJQmTfCmA2nO12T2aOcjXNdTYTCefJjrCGLXk7EYtug8KOXqK8FmUtXMV5pyvHM9ie9
1f2qj4NZhc+tKoauUIF0EAOQGHjdqdSvos5mZTMXl6jCyWqNRXQuOus6rLynmr/ioU+d12xhLtok
bErQE1O8ac9kiuxDS+dZmqBTFO3HYnVfzK78XC/jZhwb/GLa+KkZvL30inQ/k4GL9pSDpYhI1S3t
71Vv4QFuR2IzRDztk+TJqdcTLc810u1qA+6Yz8jk3rUmNItQI0kT7E6r3nS71cyWjWnFxd4Qk76f
JuLt8moKFtMbT6PuzoA0NnXOxieKPUmxnN93cz6eo9G9zyrqx0lJKyczDG+HmddmrsJfqvpBj+RJ
r+OPeu9cjMacNx5JteW5qUYX5aJLgq6xfBR2vxvz9FvTus6DcBgoD0oA3JbafRZ5ti9HmMVrKrdW
0k9fnHE3mHSWjqTHT5vLaHJOhhoz/XaUZGFlTnL4D7h//5tNrnBWcaP+4+3RdfJt+pz/Snn97ef+
PrzC6cKVCovfZtijEtR/VxJInbNb6NzQ7JLeJG2/q/+cv6Hx5D5nr4RF1VG1wh93NBo4lotvPljp
YLD5C3e0ra7gH69odke6+i0eRFlqgh+vaMNpYq7fhaNCyo0eWUHj9PvapLFSi4/WDrpc38nqA5nY
u5wjvl8wm2Bg7R/XvsYA2u1rpME8ci2KK5wlHFoqwI3hxhASlZf7q/7sWNZh1vorQUSAGsTQrVwj
xlcJgz4undZBqsWOuW5uUK3TSopu3euMhlo1I4K2Mr7mYfJgUzDsSjVKGtVQySJp8BR72bMytiTM
nUI1gFpXIpPW0tW22D5ZT1fFYyzZqNsiTCC7TuMFfeGLjgzCQ9fw7rP/ky5FmhRVv7yZbyNFhy4L
XedP6zg3s8xc71tjo1MSG5me+EkyyCBqzAdbtldV2N0DjXmZZV0faxJ5iIRJseVOlNs1qbRhmzyg
DjslZXfHdno6A/TfVqHrHF3LHIH9U0R1kiQVvSMvM3JFB1j8BdoOrlrlRIXlQIYCnACirZTXIV3v
DM/9HFsWHY81kJ9njvs0n2gXlrg4RwOjOFJLyy0DoM+Vg6W/mWEilQ6LvFbKbgt2YPad2vvCI8z9
MdCyILeODsQQ0lZvMmgHPmwk/GNR/qG0Sg0+cNGj8jM75mD5te6On2i1LziwVPboTMKRiTLaQR9X
xCSUuXF9SqzopsWT7IILTgrxNJHVOy4m453nnsIAC+OjlWJIltqZum7L0/JoNM5jpWlfk8i4q/QP
+KxPjRt/ltp0lsZ4764pbW7yPEfm1u2yl2R29kOrb0wx3QhsCD3PCWLDtMxO5DMfs8S+LFl1W6/5
Z8Du16NbvDSGBRWnP6HtvikZr0k5n6dMBQlVgUc3VrjtqRypqWAuDM1tHAe84T4+vG2ImdKYZ0Tq
aF8aCrJmRAug7Yrc3c9xCYqHe39Mv5t1/6QVn/jGXBfWfBPNjGb1mahmpj/tl5JxppXUVLEjBPsF
hUGzmbHombr2YE7z80K+u20knzOUCvPXxM53Et8zA63tUplcfy5s8tTV7wsjPKUOe2BPXPWLeajX
+khhsLe7Af+E5YslvRZjcbBQ7TPqNBuqk9iiXquCya2DDlSNKwhIc5azVbx21tcpxYBcE5GLvapA
+99h3lbW0SVLSZ3FPLCASmKE2DGkEoh+rP6mrnB/J8xRmbFiASWZnbGlrp0cy70lne02mx7WSbKz
lgfJ+cP440jc6S7Jxq1gh7xG+j5L4g/E2ByrhLA0OZE7NBvsZmMYRlXf7Nc0WPnlPl/rflsumceo
tBn2axfJoE3ru3QY5k0urIhp/I0g1PjghNUKJbkmynRUlb+ZE1EfodNcnJhXWzTq6HCP3cDAuHpZ
J9J7QYpcNYVxb6bjt8604wfhadd6shLWZzOnYtP+23Hy76u2/y/U8FpKWf6P79KbL39+lb792N+v
0jcdPa0uzS3eay6r369SIiPVf2yd1lVwK/7R7tp/A7zjCWHYrGf4SX7o3VWKdZqrGdYPQHVWRH/h
KqWJ/vX4Ry4C6gKPt0mM40/Hf2iUWk10NMPr1Cs2RtOKM4+k8+zo/RZj4MYokQPBMe+uq6Q76zw/
ULDjBwJQv7U8WbZ6xATPWswzl7JuNrxjGA02WDQ0Ao56PLlfyCtYEKVl6uF11WMMj2w8IOyyai3a
EW1FqF/a3hmylMGgvgaOoblkT6ELE+pLItJgVl8aj2+PycD8HI62zxcg2eV8w3K+aUM1H5QqWbNI
wrLJSQR/BUMd4Ex/TlFqFwikZjLilQKN5DuLCSVBdIgK9ACPjr+0N0b2OpOXHBIszGDTIbs6+2qM
pDvYhcIc7Mvocw5Ir9OXQFTTfiEATlcYI0TcOieEw/TX7ZlDuYQ6t/GOuoWpKYrymFA1uqGqGbZZ
SMpX397h2HqhzudeVzd8ou56HK2PLuB0oi0ZUcN664PIwmZY9F16pa++pnZXjoYTiM/igpnPuLU0
huYsumoWXpPafNUhP1VDm+Ny8ZdRZB/zvAy37BYi3T3aOTfhFDNSlWV70litlWrHVlgEzS1q75ap
DZxdtl97WZAALrad6RH5wLIuVFs7cGfkYZf6vhmsfHvtGJY8lS7C+P7DRM5EveABYzumdoGz2gpm
aj/YlIzy+dgfimHaTLbAPei1KwChvqJVk77d9GHAtIHENj3au0VvbPJisg+FmbaPCLSt2DFv6DBC
Tn1j2ZqY8Hakv01INDnMUxQnARTDgPTK6Czz4nrirwMKr34lEz3i13Tbd1/vPymXfv26QMuC+mHw
Xebb8rbvfT8dwj/iIgMdoFgZS0GqW/t9bJG6E5wWeLGjHZi9f9Kt6THLsv5YezEbLwPsislDjP49
memr09FBqFkdi8ietrgJKt707iTN0nuV2m1pkLc4dK9DgUMldRzG8etc7qqpUgslFJylBPbiqapI
pzxKVJ3Evvizkcx3oTbY2z5fos2bXy5R9ZWpKq1wgp9EfSNVDeauNjenW1GXtWiWzEk4R5OibVDV
W0wZp1POeZR1sarvUlXpearmq1Qco6oCGV+9lJSFFuWhSf4kGfESHdcEL8aCmDCQb8Lm4mQTJGJV
sTzVSp4zT/zL3j6Mf9/L5r+bOBDjFXuGf3wlPfR/+1/B5zz//rM44bcf/O1S8iDFEY/BHBUtthTo
4/64lHiw+aMWQUHMPy1kBn93dymMnKFU5JLZreEqXeEfl5KLnACPn7CxjaF8+CuXkqP/iVKcpGNB
TBsWNLxTP11KPLedUbeol0cZsy72+o1Z69mWirbaAkW4MhM2I2MeNZtiGYdLrQinwG0wzs86XMSV
SWC5MKhgppecigY7axtZx06u13qR3pPz62DkKB1S1DtYa+w8C0VZ7d54q4q8GoNgdRWLNVNUVkPx
Wd3MOzABik8L6NYoQhIxX6xyRc6rsQauUQ8Kk7SglakdBhY/Sxh2LtKzOc+oJXPpHG2nx+2fi8dx
1L4MoYkGG3LAdikwo1glaCVz7CjoUQ10Odt7rXlNB8e9d2rN3S9rROLa4vFn4vyuWRiKtcaCkz9W
bVF2Rf8R626Ma4XUcsOYvsXJeps7+rfFWbvtMrvPA7KKQKCsyOrpAZ1zd5TMV8MofzbrtXxOtPHB
LAMjDnT63y6PtZMYl8AObfzVev9VtzCjO8WJWLhPjQsqbUwNn/XydQpNijxbcKCFbYy7DKAcDCv9
YjvNbpmNYpNy3fh2WNWBY58qdomAN5+sqaz8iQnhxrBxRcEuPdR5orN0Wq/N8AX/oOnrslMZLGKH
4BgN5MxGvYllSjZH9DGO6ts+dG5IoTqWUvpLnEPQRdWca4fMCQ+M4Rk8JQBAh/RLmYRATKMj86Yr
Wik8xTA3TD+rrWtPG1+KOcfZNb3MGQf0yusvRxsnF09YOBwi0acQ64wrkK77uQ2mBcfXGh9XEpKM
0XgaR2crYKp0LDK3uoqhJLDvdo1XHNIarv4ZLAPpy1mnB24832tNf2gF7qJ08Ae3fUYM32+AeWFb
nL2DlzETHCTXK9PLxvfAGDA2jsTMNFcFLJO0vJC4XFXy1dUofmAtGEHRehFOrDDcmm5z446X6S24
OZ7mS6LCnKGsnCOvOLmkPGvmeCIZDF2lCoCWTRKAjnq1dYJtinQ9dk17mbTMOzmkRzukSIci4uNU
wdKJe5c0RhiU5npT9iEcChVCnZNG3ROeWvR5jKw8ubFUYLVI2J4MKsRaRpc3j5QyiJfOIbcek4W/
Xa3Cr/PBvJakYY+y/4IigbTSMTJOJonZjorO9sjQjkiuasdVjfOxWg8uqYznRIVuLyYai0EFcS8k
cqOYsndDTdO6TMeEzG65VKz55wYxy/OyuMhgYh0lbmLETFxD3hLHxSkd0wXrxc4IShUNXqqQcKni
wo3sQR+InerJTvNnFSkeV818sGz70sTEjQMK/BqqAPJFRZFXKpS8UenkPTHlBjoBN6J26lWEua7C
zGsVa65hJtjy9B77aio2UQTix+aC993Iu7dEQsgYb1Gk2LKSzPTVFN12nSqL5Gcc9caC936gZ+Nb
0mjxVhCOC/4SStrQ7fq41YDBtG6AvuhRx3AxQwYhiPo8pvF40qAWATNKwF501blfyF/0kt7ncuC5
7Oz0thjnzG+zYKTwYCFgn9q4njZ9Vwy4WbLlZMtXmMuPdcgapbO917WS5mUc5+agQ9hlGA3F0e5Z
AFe69imbI+smjD+bfRI4HXtuY0J2U2tAfm13A9Au2ZXDi6W70EHGoNa1w8jQYpy0nSydY8HuNxnC
A5qq3YigeXIJgAc7MTGOQvrAlkM7l3l/C0iUJ8/dmozVgBoUn5dMuw7b6CjGFvlyFyB0voTzV9lP
29kEMTPuk96mvzecx5AiWN9rWDr7wTirFRJm5qt2FYHJaiFKVXZ5G1hpcdA7SLhlvq81c7cO7f0w
cKREpX2VVd9xBVLIm3v9odEcVF+W96rXxllrUWBZSIOSC93KvWXEX9Q/R4ZhJgi21ZQcieHOIFna
MJ1t69rBssb7FZouJ4yI4j7IBY1MHoV6QHpooMvWvmSEbdZaEujOiMirK+vdnO+HKX8scL2kyv7i
KiOMbmOJ0azqMVYmGancMrhmQk9Et7Hy0Yz5Vd1pEKfMk70rOpyUXXtfFPExLELkKjm6E9CELFnU
SywGED5Y9cVsH61IogGPP3lGeNbOw9Dcl7JmT9mV3416DGTvsMVbHkBIP9lT9GFqylMurcAYyu9O
s7y0rXkVt+auweMfjrzXc3qX5tqN5K/VMtYrFVg02XgivSuM6nujG4yNlvaw1Khp1odYRyDircuD
Fpm+YyOA19I+WGtxGWrtAHpuS8t9srtIbT+pfmN9kxIPnUbiIomdb2kyaFyuq7y+mcjomdzHeOGj
ScObOnNeixi93DKNiHsAP1fOcmclz2ES3bJbuU/c9M5mlxkJgxDV9G5y4081n+cs2lfoWBHaDOpx
V3mrGqG+NMpvVWO86iDlcZYws+lGgSIs7P0UtdKK/GVfaWEMpRoPV63cXCO2LkP5u7rJwNU6Qx5k
G2wpD1ir3GAMfp477GGl8onFGMZ0JO6bVHnIHMxkouqNIxjHc4TNTKZe6zfKeZZgQcvIsN5rGqiR
TPnT8AvGG0951rT1I3IqnYYQ1HQKg2zNskPVojCRCuQuFdI9MW90hXg3FfH97X/m4WC7YOArBYTv
IcOnEOJHhYo3FDT+f/8Rvda0xJAJFUiWqWiyKCakDFQ1udscW3bCLlMoEGClkICpggPaChPoRAAD
teTZmeWCJ1cD1pifBGTBTiEGG1iDi4IORjUqMQT+ExcQoGBXwQnTDkxhqYCFM1w3Jf277hTM0Era
bp8LUN0KdMgnuW7RVnFxKAxiMtsvcGr4Vg7VS6tWyKHr+sVifcyK8kEomKLp5fbGNbQzJB7QQ+Wa
bSZDBdhCYUwUjjFWYMZBIRpdWI1pOeiMQeCVKYxj3hfoq6rqVs9Z7CKAnQ4auPddp9x1qPr6m65w
MG3ZahOPJ7IoV2yISphU5IPlWwon2cOVjPuE93AZOwab6kCKOj/6PE+iJKFS9I+SzNAhhSJWKmBl
Wt1x5ZR+fqwQOWwdBbbMIFxWCnXJFnYXKvilozCYnWAxPCk05gwj00w5/Qaj3chHG4lpjEMkGFa4
LYYXBYtNuGMry00bLo+zZi2BhVeFy9M7TRA8BSRPb5bOaV3A6KlcuKHLqWNMQSLmkiN2VA+/1nmx
PyuyqHDbp7AnYHlAVMlMKCdsOI9mHzDnngayR3BraL4b+6aThk9LVN6F3owyWTp4G7WKAL+ys3dx
XBXkv9ZHh+zJk9be/09v+S/jv3km6On+SW/5Nf78+hp/Hro/6S7Vj/4+8iRUDUsxji2DHHfj3cTT
1A26S1yxyOHYLb6beDp/cwXt5d/ZIe8mnvSdgPfIhvyLDmQURD8PO1l0cdChdvfUUPWNO/iOQzN1
fYwvs7Y2/UTWwVo657TOv2kRCmrXaugh2/64tPYQAPNDF6if40k8RQ6n2Ih/aWwBMsydgfxkWuJt
hsQDBgH7mt5q/HRFclJVtGiNFpGj0GZfuxa9X5Ue5dTRoOX+gFrSD6sFGtBkvvZGEqQjcd6yQo+W
21bQxUYbiBmR0NiVLeM0ZjJK0jnRI2gi+jTUTFgm8Al0tV86kT4Ubn4rXYytTIsB+yTFycmjzLfQ
u2XtsDUjsz+6EP83w5TdtpU4VF7bAbNtS6I25pWv3frU0mRRjtooD8QHBKs56tpok0Dp3DBZY+zn
Ft4OPhWOQfQEEckSS9Mcmjx8aa2WCApeTmmNXyBy20iCUX1M5biLh3j1MxIqlg4IyzCGdBFIPJNh
gnAxrgiMrJ3VKVlJqU44fgnxDyM7NAciWz4DiO/HcmRIZaGeN4g9oTDbJ07jx8vSBQzc0EZYxWn5
GKV8CHOCHit35udBTCdnvZO589li+CRm5E00sDUgWj/RMeoaFVPGrqhuCtspjqFBmokjeBWhvLUG
JEaDRNZRlHZ7iRfnQ0UnnEwdvPNVa7Z1NjWb1ILhLNfwU2NGzaUfbJ4M2uih4e1eQ3AQfX1DD0AJ
GFpYs+17V8TPSUFtkJvOvkaizxqoPwk0GUbyEOWxHrAT1rZ5np5sd3I24Ay/zprQ/sXcEhHcT1te
WD3MZkBeC6yc5s+0dyOam57729qs8OkBwNlXaWpkGyvNb0KMEAhk2r1b6vg72uhp5CnI+qw4RoW/
lNthFvYVxMMy6oH8WhjbiUjdrGuJztqtrkQVv9r5eEdoy5U1VWcvaS3/3THzJ2NXRS/6cUnNy2c6
jDmGFQV87p94P64sE2TDXMcjXyHTidlZRjrC7slaTiv4LjdF4uTNNs5sFJ6HVGlBzW+ePV0NbXVu
MD4v5XRnOgXpF0hOfVMPtYPQlyuths4/GMa3Br/ktU0egcnDoPcrR0OeIJZPejjIEzDCWMJ1ZA6z
ceJKQDHRHDaqTLjXls6u9m4+opoATMh63O9nWHXJxBtFwMd+KLSaRz8n+FjifJAZzbbd477P+x0c
pdv/ubj+9cXlqCfin1xcVY6wa/jFsMVSjp/7/dYSUpllBVs1Jo7wrX6fiTp/M0iuUHs6aWLZQtny
w0xUKEGMpevkvSND/WMmihwGKZNSrELWAKPm/ZWZ6NsT/qPmBTeZzSoRroWFE0xdbe+uriVuK4uT
SRIh/8JGYL2e0jG5iksAvFaxBFrmZoidRyJcujOWi3m7pFxoXG+cxiZJR5lsGz+vEhnkccfgs/wY
m+0SEMPEwMsgUoaqUCCoCb+sMVKwBXFAPTy0xZhvjRnpGYBhxSvN7UOWGMZ2TBkBhvq0XRPCehla
sK2LXud1ASIqMkZjOCuaBpxDYjy/++T+5Cx4ixz+5Z1w8I2zAoVMptam79+JzM3BSlQ6mNGwKnY1
vIJDOVuPU9FoG60eZ7/lgzrAJ2a0O+0iGZckdCwWUxexjTPuZ7ohJrcfusFY92a7HuOO9KU4SwCT
jPiqpGjvJ2vIzpn09h0Qy9B8qDnwmlB6vLtls/nnfyElpvrxcCM2FrWUBbbbks4vdDw7sx1XtkiZ
UkZOG8jsx7LQEeH38hYm80nHeJPa+mnNpsp3lvneNtYP//wlUGb98hocHn+X0T2HKyftT16FpbcQ
7qEy3iTjigyjC8/wZE45iFCUqYZHt5JVT1yD9900TYG+2Kex1sfrOPZF1sz7oifFxUk1SLr8gkP8
5uegV59KWrAoa26aykyCNuy+OwZ1EkJPK9AnBvSdfj8kCEFTG8kWX+GMeUvW7nT5XK+rts/cR2TK
H2YMZy7dkqUXT52bW8wq2nHbgXTBNvglLRBeD+lIuVGlkHCJ3WrjI5sB50APjPpRR8arM2C3HG1b
wpImoUVbza1XyXVbIKcBDu58W/qy4tnI5LZoyGYyNe9lrydevG1yUe5GBhqM42/qya3Oq5m7Qb+2
n1pm52eYvmVelXuR4C10l8yi6w+5GHogt2HmMma0T2Q/fDOpJ/ibdPfl1FzXYfxE+AuXmbIrZRFR
B1rPxg+iVm50SH8K1J4htNU1M+7MKfzipY696R3rWYzhHgV1Se6ZXh3Zw+2rgVommeT9TBabmRID
1sa3sp7Ar3TLsTDFXUhLi1+NNYpMv41KWy3aLdogCbEgra8aAW9SzOuZ4hI52tQ/MpQJrBlhe7fE
MYtGcONd+RqPxdPQsk3JTdgg48qgJjLlFQRwfdP1Gd0zRIa+GZ/XHN1n0eYBJ+N6NvW9PdrjAyhf
n7UUVqwZQmoET3svsbcw3TEf+0loG7Nitov76blBabxpmGeJpBGQMIvv4VxlUHrAVlYoqjZl+SVr
ovJqcPBbufBcpcYUZk71fepJLTC95lYLB3kTG+B8IhfF31heg6JmJpGMoa+Cx+PKvWWmBxpahrdv
2QwD6RIGLNl6LkGtuLjk2tI86qJH3TsNyRYWRLRhCM5b7+KtqRLOwFCyPIDqqm2Zw5fB1FNtQwRO
j4nyLzJqZwmkjUHezP3OapQ0jqn7TmVGX7xpmc7kpFF+gys0HfYbaRKhWc+1Ya8BvN+1Oo6ncqou
tY3Aepy3ZFogYAtr/HXidsgZH2p0wdTFaZaNfldS3yVpw9YkNBil81LhUOAx7IrwyRjx68QsEGoG
0w0wmG1eDNamWnrC7fBw9Sa2R0+/1SrmMF0r8iCN+Mh4ntEBIFYT5TFpPnXoA9XoWQY9Y6KtFYU3
HPUZ31fNRvknLo6EjFSLyi/ViiyVFFzNKMy9ySQwre3oYq1UcVJmINFHE/ROhXcHX+e3eu3uKCs/
DjODXMb91zFbCXxbGRy68LFdXPionm0fxjFiUdfvxMIDDvPZDbAHBSMwiVxRJWLwEr3iTLTd0m/b
uvi+aJ2zN2sDOPlX+56nvAQzAnrqjVgBuqJUDAsPINWSIKPS3H7vgrkwFe9iDJvEdxu+JuMwbhzQ
xVdl9QUk0BExLeNCElV2TQ+ryg1HPw6t/FBwC4Newh9Ycc7YnZfeZZIhp8guwpTjddRoR3NG5jHT
qPp6hfYRZVyyLI0vNfOxqsDztAujmwJHxEY0KdY5tHGR02rXiYDY4/Zet/PymMgkaTwnMwMsVPfo
+yw+xnL8uPAmHe1a+0KZUyPHYz+XZyehY5NeUmQLJZlwTB4turZhOeDlfNEcStHC2I+Ge1+7s3tq
svBzLKZvpTEUJAcO36xkvEBUWreRA9CkbR41E7rQmsytz6pvV7nTQW+wDa9987LG9NJEyw1Qmcsa
6GDyzaHz4Hhm/V8WzQ0qtu+zc55rBGgigu4/xlm9peO4wykHDpGvCIa8bIOT43qKkhwVDzdx0Se3
TtaQViJH3xQMEgeX6sTi5YxN5IcNSU1Guax+3BlfJm/+nDH+3EZGP+7EWFt7s1qTo7VgW+tXavBw
YUBbLeGhqyuJQ6T/HHve/u1O/UvqhH+7+OBf8mvV63gPvP3/r+s/OcjOYijyrvT4xSH28DWelvUn
d9hvP/S7MkGJCEyENWgnlcCNf93vcjliSHQqF4PhkmS09MPwiGEOYyWpCnVC8N5V4TCP0NGhPHd0
RcQz/5Ly/FdHp+LXqvgoSHbyF11C3WusSC0MkQjIgkIzT1Db2M2jCuvcS8aCUrBdLJGavXuP/qTk
RXPxY4EIgM8mRorqULgOncaPFW9orcIGnmcxaSl8LWOa4OBdxCcU8hjDmz7/818HnuKXX0iOoKC2
lkgNdU+57d6X2DJre3txwfwj50qPZl9rm0G5cpYivperbAKz1L5nde0iknO7bUFE1DapUfgNS/KN
w2TaynzpttjCFa7MYb8fVHoz7nq+vlvHAG32PVacs1kBzxqvZgwOA00oGprMrSDL9asQTFqieGll
kX3FpttsDHnr4fsuhUAVXzN6Uqy1ZloXfzTZinotTQo/cJCd6lSccGPX5NhJbVn2YT7fJQZI0CYt
rUDoUL9noz724N4KxX1TywAdKCiCEftshtXXoTe/oGBWvDi3wM4cpel5KUT50VssAHjJcMM0et5R
njO/KXZS7em0KAtYL+tBoXZ4dZvF+2IlWc/pQQikAL0zjfgK+0tCoeKFDL1RhCeJdqdAeckaflDo
vax/6blBCQs493l4yd0mmDBptbnzYbb00xAnJ5WsGofmYY3MA3iH40rMXgJYvRnyC9uNQyjik94q
osIh40AUswHOLjsMLHn0uTs2vXVVs5Gtwvs1MvzExpTTGic902ADZAcmFkE43izIaBiC+LFCAKZf
WqAOvOYL5/q+KuxDNWQHshQOso/2DfK3JomDVWp7JxXEnkAfdNJTHT4JNHoaqx7k7ykODXDL1009
7TBCgcVSVQqLYbbzboT9DHlkBIxxGg66vT5r3pJjm+ZvyLoymzFwIwodKotAwXH/Jnav7Yc8Li/l
Ep16HHpTmhLiUfiWjChy2fjz7hlYArR2IBaguDhxuMun5oZ35mJOFEch2cvV7aKT+TFo9zXgq2yq
bxY4HUxFPezMqCo0jxQNw8GWleiYpOJuTHzBnHbNvo1LXm7HBW1c41CiALTcihbLiS5AWHKraZ3m
BATtNH7tFKhOaV6WLkv+H3vntSM7dmbpV+kHaGrozW0EGd5kZqS/IU46uk1uevf087GEkkqqgRoa
9MWgMQIKKEg6JzMjyb1/s9a3tomGu7EstHXKzumoGAS31r2zkpZJHTgPX+rMNgqP4Jik5w9KlC9t
UafroYo7VP8iSSE+66X7kEorCBViLXCpwbMgR/EgGnPnUdsV04BTID7kzYuV2n7h9ESV5P4o4+0C
H25dczWY6S5HNOOkOxNORsny18B73ZFqixJnG6LxTMg56hCGFmjhUT9JluyqOFHCbESNGa2LtpbZ
7CnoNmaH0Jx/X/7JIJzEULqW/IbRjYJCLhxips3FBrGpj9FhY2n8rVL1m5ZPrYlWjRIHkoCnNKcU
Yle3kDkAIm9qyz5YkGlYXkJzQF1UHBGerV0bqoW8LKqMUgUoyZ5UPRhtSl7vr0aZfL2z1qmGtcEL
d2P9ULISTvmcCrNDS3pdvu9EeGd2fggzMvLcBAwHsp+sPdl2Sz6CLA44nC72zHOJieLDzpPoigBp
T1RmMMuHhGQ38SztbMmwLO/yNN4u3zVGv43gbZsIU8Dcf1Cu7OnvukVIG4XP+tizqe2umbQOroi3
JS+B7SorC4cE6prVhMqN1ptgq3UXYc4ok8PEvkBWkDPhPhNdsu5SkjGnX3Ze7EeWo53BNlfFN7Qb
RvbllatnmyFj0kFc8LVQ+BfAx/pDhoyOyQ9mhTDN196CHhCtmmxIA15NQ/G4jK22vQj3EObO4Thv
7C4596yr5UJ2wQ5h1xwPwoV+p7x0/EKVbnl1hiAzQYQW2idMmUel7Y4RGdg8m4e29h7HPtq2UbfO
e6QO2fxqtQBaI0WGsFzmz0mbfPAmoOlGwHPWwfHOSwxBvkSgyzioi3y3/JMMiBCYLhhvUoO3k21o
Mld6qZ6jwTml8FK0sNsIhCOqmH2tx1xtvw+9sikjANUTu3ZT3rHHsGKxiVvj7Kn9JWzHS5NWGxsU
QMlztOqH/QTxOZPTqZ6CwWjXvJxr7vdthGWXnY7ZG4x7Q9YvtOYu2wMJas/hDCR1keMm5i4Qld7s
spT8J9fA9GXN52oa8Rp12YpDmerdQI/HjpcvBjLI0dgawOgmeqThxbUN4h9l+l7GLgsi+r/CRRcw
FOJJr5NzR+r7euqZvUnTQCAPGWqhou70rrAXYeLsj/qxSaqvGWnv2qkY8hWRcugmx9yrQ/XXEdG/
Vc7ugofgX8KW/+/r3f9Hy1nL/JcUsMfkMynkP5ezv/2h38tZIg/wRKrsLTCFUKL+oZyFtkyai4v9
A1KYisb1dyOl/Rf7NwTCwkr+bVH696Gy9Re0t1S0UBCWGpjh6L/h/iCA+U+FngGMEyizRuGuMtr+
x0KPJt0bvI7RY45NL3VG303LY9rsEw2eJHwkfLpf+WLKzrs8CMlDYRJ+WcSKxrqojfvZiAGqsMZQ
lrcVbFAr3yMS9ZDCRDeP7SO6mDu7WqexftJGwp0HBGqo0ecLvo0b4v9NXqMNtxPlkaXaKcvMnQqG
vQd+XxWgMCvXu02NdfC8GcgBM2Y1OpeTgd6oO1YOJUJkzZciPOT1EuIjQfnix/+BVHTsLHlmDHxI
izzy2/gk7dw77ss3M3YeAEzcm/Xo+hUTDq+Ff5J3VLEt9HoF3e55QItW4R0g1JTpmponu3EIUxTA
KRAEeZEKf5SoE1S5rjg5U2xs1XL66vJ8b4XiI3SST3hBTqCH1Va2oKrnUMFkxnBQjBpLo8Q5uV1R
BE1JCmLF6BcPyWASZBifNAswMrQLG+7/3JBejwOwVqh9hxk3SZGGRyDStir6C3GOx0FTQfd0cQ3G
ITnbSvWkJidWGC+9ySmMuYBboQ2UGA2hmnON5gq/mXRi8mmhEZqEuZeeou/72AwiTfdlakBANkR+
skO2nH3IETa8jZkg3CycHL8vdZMwO4tk56l+muscOFtiHc2MCwW4gtg6s0eQV/bjmqAKknCKNoNR
fNRCKXaeBydfeOQYQbJq2DeshjaOA7d2IMPE4sPNMDU0RkzI6J2ekqBTw1Tey5B9XkjHbyfto4Uc
kLqkP0T9AFitGR5qZjx+VExbImwQErucuQ6/TboAppskS2c7PSW+eYkuTVouZkBZ2payugUJxpwm
GxzHZyXP+lxZj2qIbgU7CzQ585q2CTanSW6L7DFh6rQO3fiYtAWrQMXUGdca96Hg0rbD7mRNg8Xf
AKWMQY1uZ+zeEwaxYvoipBaQm+ge9WnCzwdCQjdLX+NR65KeKXJLjOBCw67tAbhHzVTamMOnAvIr
H1W4EE0bsR9rg9ERjG+zEhe1MwNngsYGhA7Yq4Ivqg9TBjoxaw1BneMiOjuWuSZZzEP2DnUD2tHs
3WVIw7ZTzhsYz/GldlkDpXn4RcoDPV6vlUHb2zBN0GdKIeb9PJ2TPEpRkoNVByLAXYlnq5LaPjH7
+5R4YiL24FOlygiVjjlwD/ZC1+dxT5md2ZKlSZwj28NmNWX2s/CqrR1Fn8KQT15l7gGYZetypkWj
IqoDB6xgqRF4lzTfgxmh8689Mt2a7IiyIN6pmXgDkXLvIbXQNOAfKMGDMtZLZonKauyUb0ZIqCwA
CWY6DiyJ1H7OxlWcVTmwI+M7bIjuq/GzJiga24YPI0kR9B3QMa/IEayNjKlsuCrUXdZXHHNF/tLi
CV45k1auqspI1rFbsUGr0Qm6FnyqxSm3MDQwSVRoueRdzi66gRW/FyNaKvYzFAyEehAQsUtlir+z
a3ZPoaEe21H5Scv5U0nz9wj5hIyjD6FSDVIhDBwEYv6pVPUjd9R6oxEKuWq8Nhhxwgboc4udEo1P
iqK85Tm5kraV0eXZa9Mi3KsklSqw2/xXrtvQkrANMYt/Up0yWhmTAPakM+AsJNpR3di5jbfBhwYx
roqfajd9GV23ZvMD+NxSkNGWddAkfRNYeQJozFQh7M2CSEodZJyTbAu3visZCmyiELMbYsfrOHvf
RQr1aTJBquX5TNpH19xqkjLxdiP9reMfE+hYUOkObZWJUZCU27eq44HlOKoKSIHdEK1cRGyBqj31
sClXTK1fJ28pwc0rJL192Kixr2CJ2oOd2E2x6Rxlbfbkf7TMAlzvqEFK942RDrCjDKb2amBqgEPv
8mUAuSQRqlj/MLWv53E6Ea/2KMPLUEYvXobm2g2D0vMeDUO8YcGqTBtMj7VmrnllDEBuV9P8aqtH
QHu8DKjP6wzLOlyYc+HwYwyjt9dD4PJMI7xy+GhTXjWNbkOmIJer7Wyn9yr9tHSMsyGAeMRL4gGR
dOtw1K6gdu61sDglgpG2gV6xIzU2Q1FCYLSdJq9+T1fgqd1Go9h1ODc7mjiFPd0Cy9dV+2T1Epsy
V6sd5e9LHwJLJFoNZXiyysey9RbGfGDzB22VcxjDIUZyQH8qd28sUPla/cHU3Afz1YT3kjP5zvJv
1CLfXGNfzjCyNl2AR82VtfmpHqNtmcPVRsjZCHxliLc7jYmJ+zA4Iw6S4bexVFLd93lzxpG/YkJy
y0oweK7HR+Wo8dlq86tupO9G5zw2YXKvNHzCWhZvdazJU+WeXIJZSup3chDeLH6mqCh+5Y6+m5Cj
9GrkVxhe1JqdjN7ok+/kv0rL/fLU5cibRAJMcR7Xs2W9zbH2aLPsXpnzR67r16rJy43QOeahk1Z4
Nb5SbXiIauYYuH8QSwq61RFdvK9p9YYZfY1gho9F4SkYi4dR729uhkMn6V8rrzHX7TJrSPr2PTOb
+OAOAFsGYv5q3Iy+mWcHihgfLdSxbSYVRXmzjqvio3SKs+NG03qy3U0Wk1kYe87BaRK5UxTrR84m
BE19pZYZjlNiCB3n1OXALRRgRPaXTTxRhn0kUbHz29qqLep9RayVZn1UabQJFbmvlfyOSemJXzJF
Qr8dnXqd4p6f4vKO0INtzBCDiXjABUUEg3GfJNXO6uStE96WAfraLHHXQJYsKg67xmFZKXdwdp4i
01ybkEVT77WEQ1hbxqXtIIrapDlm3csELsNVBxX2VReMDisCqhkCqqGRyr3FT5fTdBmGA/nPuvRl
8tFJojzZ0JH0LiaI6rDTU8fvNJNZibmtx2obR/kNnsBLNhNE2ByFNv4Xs04K7j+XwJisF3ccrjcV
J/Y/lsCoqMuBfSSb73p2V1i4idfD+wz5886oXCCQmUSPTMOZOq8iNUGBEisdzEl0cSJjrbu8Q4k0
XPwP5qeG4d+vc+u5WURVqQpix47fLbdAB2iW1zDLWALyqAMl2rrWrR6UCI9M9JzN+ikD1RqOLKbw
sm7qioRHnu8Vgd1bpHUHtwMANjapso7DI44fdngwa9d2V2SBincNFxaG3sq1/MnKXvU0VbY5NCRF
H9aqQ+2nQgFcsfOywQhar4bNQ8i2a+SuXuWaghPUfXPi+sPoQ6ruLvqAanDihThROB6EdzEEcRah
sE6j0z70lnhvoS2wPvd5atdF4zxGCrtRiwyJMBMnGNRQQ/NTx3w1GsubkrzifueDMy4icS8LRpaf
5C6R9X1vPvaxvWmAMdXpZVag3BIg28XMPaNL8SCLZO9kpS/lnnXwfhF6U9ztexp+BH9H28uDzgsD
CQzSk9klHR/nIbrDosJ0Xt/VE/SzAhuKm5+yYjyST3VpMaJlGLaI8gpq09qBeuEWuR9Lh2+ApGKw
L1xNJM7eRUr5aqfyjsmeal5tWd0qm9NMd/nOK1giHXM/ImY3tebeJbxdc6XdUxWfjGRYD5qJXG44
L1e0rAGOZMlTwhjFHvdt7eIcKHDCd5Vxp5rT65y0Ko9PDG+R+W1PQQlYBJG34rzO6sQTI2nJjACp
A/zOnnuhjcp48UDBLxwA9pfVgyHLc1nzhSX+E6SFIZkmOuu5ukYtr9qgSOxGXXuxG7SK9ig1/O3G
R+dE74M5EjmSAlkVv/A0fVZTuira5inO7Qt5OHw8PRqaSplXjmY5qxwNxF/lL/+9g4X/YYwmCw3j
H3Yyf1qTPdXJPw8VfvsTvyvVmBroBsmMrITcZeH1h6ECCk8GDaCZUFIsPtw/DBWWLCfD8XRAPwjV
WCL93b3LZslhb4bX6a9Mp39nqGD+eV2l8WUcCHKkQKqkiP/jiTrIakqUNIYoVCQ/bRWxDiC0DSIs
0gjysEfOIjYg5jqZsnuN4l4uVT5gliPWF3hkbgYhxum+21jdGShSG6GgrF66hXDpG1waiJJed9KS
z1HQJNNguAvPYek40qX3aLNNpzjjPu2tXVQxY3WXPoV1LySEBnpiQv+CJu5eBZi2B1SeonTA2yDs
gLEubs8Yzk7ia0PJoqacfmQ87RKp3osq/khwe+m2WSM/xbdvMktdqU4UB6EDuVvbD6R005BxKafN
Q+PKZ0sW91kUIkuYV3uzk3s59SySSkKjiLpemSmLd8UOryJGUAVkEtoO+RUyvY+6xQql+wQZvaeY
lGXHTjxR1ckfQqdbhZQp3JGZzw6PKtcitTpsX6Yq4/1W402iebvR0u/mUH0U+gDeFqciobSrTHWg
/XDZNurZYX+GHQX9cy9PUeXiNNTZmIy51wGCRPAG//giwBvvpgKbMvbAXreD0KW+Ti1vPXLQaHP7
02jqzRu0l5zlwmjhGdUYw+Q4sjE9yk2mym08d5s2LvbI3wCxns3WOuDARrg46repspncYBeZPYKE
6q5/EAtYwcOwDb447tHExBWVEiQ6/puvKbxoxataKNueBVIdpq9RFKN0yb5Lq52AkceHbMYhNDFt
D+3BF2363mkg9WJKzpVRZcfGIqmYtK+fqHUeDXzkdDn1EyZNIHioPUJPh/jU8Kv3ctIzIo2FBiuJ
oLKm25DQZkNFNAbjx8Ez6nelwBV1dSXC7VSqrPg67xmr4zm1rW+q35Yjflj0M/N1xqGJxw0ceeka
cLPNM90kjEXn0y70DY7efpVRHPdAaPehKzfsXbfpmO4jb2CjAr070szXnolyJE0gu7qKVadssRhe
s5IbrZrCJzGRWzO4L3HM7dAXZCuagI5YBa01s2JvbG0hmsII8sJnN9f3o5vces82DoNDHbz8OuZw
8vMMXpqRUSyAHZUQIeOl6c7eWqO+stn7qDEzDQWjFQXmkg8mC2rRzNsQZoFwwiRIyihdF0v2TE7w
O/5VfWsnv2z9LjTZ1sQ/pbibkYWSzgIp0Sm/1cbn5c/6o2TgwTx7Ts5TiF9wrVSfTg+I9Gtk8+BB
7mpvE8Ls0Y/NNwxhLh/AzKfZsVyrn7vsQTVPXhFAKOysICc3zUtoqO9acUtbjM4HV3tKSgrebWFj
CTvr6mUqdwPR28620uBK8iu7C1lk5QQN9ADNETepxPj0KUnK8VWTZyN5znpMH/YZOrEDP3TwYLI3
NzXaZpqv81I49UUr7ypsx2p4rykX6Z7nc6il6MlYYJAQmV2j+UG36Yme5vg2aQ+jctHz+9Q4N/Vj
RFS38+DmVyoFp8GqUP2q+LNMcVZ8XRrwwNKpN4yHSvl27bs4Cer5Y5KPiJNG/Y2aboRzORmfMroo
oy/5Nnk/vJcqfei9n4THtHrV8nndNS8QyVc05r7QX2PrTfEQ+fp9u5mSj8h6mKYSR0MfQLTLiRbB
VjqHYHxK7HoR0gPDn3GlaAMOweYuZAKi1eskeiHNYaVbqe81L8tOb9QmnHIlK2P1AC3BYHfaOt8O
qPMZTH3Ezz7Yvt3ySzYS2PHPCpUFQXsBtDDGyoeuP9tDsxYmUiBotqXHACYWQYd33+D/maQfaf/d
IhQq6JJq/VeEUSE7arhuoocOYX0J8st4dZMj0NtMf3SiYxr/sqtL0kI5YqoMgn2lybeaKaRjz35L
v6tMFzc56Dz2CavrmNI4agglLfoN1N9VDQYnDLzqZQjp9hAVxN0lpCWumRP0D+bU0cnxsxF0UXgM
lMTXlN9sujXCr1YmqfF8UMX03dVfU3RjvLMEr/ta9ShRaLlY4KaJxQ5Y9RmfiCfMTVzFa2E8FRGC
D/miKbT+kvESQCSzhM9Wr/ve9DGsbkKMMhaKTfg4jGIFaeop7iMFvRhNOSb7NST9emU1uA4XwR3b
vgh58chopRg3sMa/3N7+MCMweU6fH5Jy+CZatsvf6/pLn8kzsI3lTmyjD5XxW+UUDxooDlIUz2Np
kl9ep/DTClLUudpJq+8hbTDMlG63AyQHZjst8H2XkII7PtYCIazZ6vclDw8oUtI6VDB5a70NZE/Y
a8qNv4odVtlZmm0rPUfZPVRvluzhlLmPI7EfOu+ko+JLYsqjFyCYoDKjEG1j7PfepTFGTo7qTbdc
1ILRVrXcCxJwOEzVvbBwbcZ4d1bsSOHfhM06nQoGQhj8c5euM7zW7A/73LyXdX2Nc3dkz2fwDC+R
wKjqGQqvcgMt8KAiJHRGPscIEUGGRB2ELZtrV8muvTu9WEuBoIzlNxJDpNzRt67Fo1/FhEiK5byc
n9XOfQaMvM+dEFVwYeOTZKIU28rB0xkeGeSGzTXHdT96BU+EBrvAfpxn/Wp14okv4adGBJxPnqeu
uU5Vdxr0+pMsQXgTzIFdMPaApcvNkFo3ar213rGA5JFrHZv3WFa4oyfxWlTynCfZmQRJQley8pKE
7bvU29eU/2w6p3zTKu9Xoxr4X8fiMKuzsW7AkMgIKGYyPdoV20ehktlRasQUN7fM7cVhKp9x3CKR
TZ3k8Fv5+9/bJPyP2z6ym/tXXcLzr+7rT23C8kf+2iaQJWQuYUI2e0JgOvApfm8T7L+AjSOK1WZ6
4Jk2Krt/bBNsF1qrueQPLT6yv3cJGDDVv8UZGdq/tXr80+YR4hzSsqUbIZpWU/9JYoYKWyGg1aIl
6FWxr3v6Tpj9JBuYdlBq43fksYNq7MINEqtufJxZeNOQLa9qlDO+dJ1i02H35uReGMuz9q3MNAey
R79fJVBBJzOfjoap1Jg6VEChEDVqUX0UoMbMsEINHLMawvMRb6zkSsl+0IoJHcSiPLbCnkvC8sxF
IMZ7pVvhEVaR+hhNVu+LqMRrCTANLGarbJJhSneD2q60skS/Wibt1kLyRBy0WA05XY6E38MpUzJ2
x/XnwqQwl/GSSVFso/sL3PBFNcCv2oXDYEMtvsM5Z64JiEIRm7mDEKmGNaM7lxDxgWYGOfm3q5c8
GX/zQ/0fJIaethiI/tFWg+KPns1mFINF9p9Xwa1VFossnOVBY2t32BsZMYZ6xX4kfJgi4TBDBqfh
okEmKjA6CUs7MRBqKMzEj5qHER9M81j2LBzMGLgfsJKTnPtzZTyqkCv2LkjPrd1lT2A01ga+ONiV
8DfZJ6IeHzG6SIa0o3RvObfzmHfmqY2Qphs1y550rsHYoUAvGxvA+SYpUuwBsZUGkyOHvb00HApn
vZlOaCik7Zw9W8H9MyGQEuisl0gotwmjbRdJm8SWtvLboexBGPQofQSDSRDl1N6rXiuwHLi+27Hv
iU02YM5MogjjoFZHYWdzGWGMrWEahEEobW7fWrka+JS42mzi3jX8puqsHIURNF5dH0nzyteZxyVL
+M9OlFO4qpOMZXT3U6fTuM1joXHIT8+DC+tcRnDuMpxPuxwd+YZgkz79cvpKuTnzcOoySt6yRcTo
ucWb2tQzPQdWRtrHkfE2ptyhi9p90w6YTxNvVRKO1HiODDRLOKvWrHZzYkFNTHvjsow7axdbQ8Gt
YFXZbW40FOXuI5D5dp3i3F6rpe6rfaueUbODR+W+Z//THfSWBhVCAvWva45b1W2ssy7dT6Ms3sOk
jIOXuWijIB7b+G5uuHYdV1ZMDg2egAlTh0tnTS4tjUKcBbFdGhtBkAeZT35VK2ngtNG5jduN6iRt
4DVQf9rprh4ScbB796KEz6WlnyyrfrDYEWdd6CFBi39VmTE9KAZ5RIJoFYTqJkXJDHrBTt1dOFO2
c2YcZluP4TkRzt4u9GevDddZNDw7OVqlWgNrF4tyXeXiPTSo5vWGQVvK6krzJnuTI9xh4o5cPxzX
7LKLnTXYL5PKXNiQVoRhC82/xeiVumNEdp/AphaF3zX2FbqHT5JLue1MIocY/3L0KPZaEu0QuLiX
K7DsyxnHuNwdkekBaGxCsBrEi1H5ZQvOvuH5aUskBGhPMbDfy8T6CtNdShLMIcfKi70nPXVpdCoH
BY2rPo5+1+Ef6OqxpUgNSb3B97BK7sHZ8p4O8afHHkWGlKE1OM592s5U6HaydQfvxexc2l2JqVaY
kesP+JiNnxahbi4cuRUIe4N4Sh8Hc6t0LI6lSaefju0+HZRr1uAmrIbJYW5dvmYlfPeoiJ4QYH4k
tXwfSp5yeKMFW7rEO+MrSFDcot9q8RmPoX3nQgZZNy17He6neNPO6o8hvF2vK5e0+1IGc0/4A8Cc
EEFrBbce38b4jpLA8UUiXbAq5FUkitOv66hIr4PeHee6jh4UOHgUP4vqwNW0fTSr6t7hf9QLzO/J
TF1YRDNCwgo3SdSksQ9GZFxnBBakiFnWQOoW6XV3Uic73eiiyINR4Ws2JTY3IyOdhyoXLk4G8yi1
fEeWJCFkLq2Sovp6z0ed2yVD6nLemlVRcZyFr6UV40J28idVY2ESxzbWjq5F5aVbGwH4fN0xH0AZ
214ZI3crgZ1xlWQ1W9/JOApdB2uHmX6t6s+tKN61PEcTPfPRkP5+wb+iMV8qERVWIg0K9CJr7tCe
sDozYU5Vr3F79+jiTnWs3oTKQqJtSS8H8MPCIT2yRkWL2XlPSlxfOx3TREk0GMXwpkq3tQMx1TN2
hdd+RJP3HDfKYRpZiCwKy9B+SpdVXm2PzGAm9hd5vesG+zZFdYdpq7qqYAjouvxWje5TvQHZhHDS
dJ+zElJepWx6UtBiMV5aJdrE6E3iaTxCcYfo49T1wWTtAPjOeyZajggS8jaGMOcU+1JTgsVDeSeL
+BWVI2xs6lAygump0XHujYJ16CIPZRXpOyGkFDXDhRTn73nVH2mxx4p9rVlZB7uMZ6TTKATtL1Mp
61VRTifRaSyGYnA0CjCp8LR8FQXVx6yY5TIn4fXSPo1EubVGsbbFGIwDGJgKjk7UuLR/Ksr4eols
0ZbwFrnEuJhLoIsXtq+j7djbsot/5gzkGMLpddMjZ23rBC2twvB3NaRyY9XefE7bSAsK57XK2K9w
AylRGh8Q3txrafEKADY/zmqdXHkEdpj737KqsK+g4+vu2gwEPTQxY7ZBkbgAl6SFrHUXS2uyTqy2
PCw0AHgQ6WrWGbnaUj2S/QTqwIj0tWdfLDX+EgTHPUwMlv02L5954ryjNFEXJyXNtxJFfhkb5lbl
wVnSImMknxqqHEtl+FEUfmvxBWQBxXTw9Oi6iDmsJPOb3rQvuR2+QGGCxwUT4uril5rgqWbR1O2z
0nvEVEAOsi3eyJoZ73tptER08Mo15leLYuo1i5FVoW0IfWF2Lw0F1Rg6+o3mW1gbK+ysZ08LGWcO
QxXobrtg+GfjOaxSxCujLu68OEnp90NGv6G8Hzv0VNadXs0706p3usfSDtFBSNNMCaYSZIg8PxTB
bGsG4ewRwRrgmndzWebb0FHOvSvlRjFbduyNBdix4zRlwiLwJjq8EQy5lftoqOOdMedwJ1mraUlx
Ke2pISynu5VtzECW1CsldJW9rmA+mFKW1kMymZtee04dbhqYGAw6B8Tfph2ae7vXf2GOKXaT3T9X
EYc+gqDYLywkzXhuD7SQpNLHLas9gC3HrMXeXWrlqxi9zTCke5G9T958ySPxwyx8S6VkEymPRzNW
5bWPg4l9MAo4FPBSw/ZtNFczi54q1opFMX5MQvyYTJ0RGpdM9oyfqlJPeXJmj90wCuvzoO/GI6Ej
YlVW91gGH52suBPh1vaiQ2HxgqoZf3dWA3frAkfIO67UXYTzAFbfU6G3ewOxfpzHt7AzPuv0Sdbu
Qc3TU2WgzFfa/L6FCuwh9mHcsTMIajTLCBVPeIrD/Jzuh4l9XgUaHkUJfbWUJ0IXgKPxHYt6P9o9
gDaQWlp2Nag+4B/e53UMIWw81or75Okhdlb5LgeqTEMntqa+FVggNC3387JEwVKrn1NE0+LM+wEt
0G9HTzkAkEOox4aOZfbI52LmfL1W8ZjB2+EaP8lbx28VX8ETPG0UC5S5qjBOGH8DmunNoFXXYWDa
hEoLjeAtw9JOdPaxLZwv0p/8UNuheEhac5d64g1dQtAIsUttXBxF8ysHO7Ja3NihbM4pvPoRn0MH
/ykqWkhb8tRqftNteLmRepgGWN9mXzOA53LGRluo850r7WtY8SM3zJ7Jc3txoTvGptjYef5aWZtF
qqIx7IoGHqVsusz2iCqE8KWQGIN2At9Y+GreqbQrw2VRhUcSxxSi7sbQMF3rDOvyMgVMyUSiVcMb
gp3fvpWtSivU93C1LN3ul33Rjj33oVK1mAtOnAxLeWHk9YDbYSU8dET8Ojglv1qQg7ycEDcH+zPL
ohc5Zoys5F0WEitvDHSXCJEYr0AqSJrxRIJh5HcjB7xq3zeaBkpfDQA+vpeTc0uJ4KTYAgzpPWM5
O4ODpMSu23PWxXvkUAFy04KbgS9JFC7XXXSgdqMOaPyELYYdmZ+mCHn3vOyVnLH1FOMJd5CyYtmJ
nfCZ0MQHm9AEBw1Qg1jDr0UE8RCMlROnKwtLxlQmD+VwdisNjkOxRwJ1Nhv1s69SUiO8G1UQd/fo
t3hpMzV9Rxt4ch12Jzy/pBglhD+tElyNSek96MZX747XxdzTTt6LUbiPbmQ+UJb4eZ2+A867i5e9
RCWaZVOAczPvEghAE5EHTaslQUgqaWeEDHrHgXCOVGXNtSqUKj4oeX+Ii6I4scZCBWGO07FvsnOX
aTdTivA82InqDzOKUbWukFIpwwsIOapux9fNiKOqo9lAKbfHoP9F8MS9yNzyjejb9X+Gs+m2msHV
DMOMsb53VEVK4AYeInIL8mpDyYIloiFKMG8fojRHMjujoHfn4lpj5F4V3pdWQZr37Gra/Sebp0Tx
SEtYFRqWFq+g3NO7zNlFhnWlpNZWnWf2QVLTReod4jljIWmryI4Lc/p05fj9n33DRKEfGGJ3WcEE
oEvjdQ4YFMP7+N4bk3Ns2brpeN62Udkxke5wBQp0Bg1KGUE1ruhh4stJnrNceig44QaYFTNem7F0
5ZTtKa/zDPc/5lYVxQ3eBZYjrSjnTVVmX4RtIdGs1r3BOSrzUkH0UARer1rB/x+1/dcAGWOBuvxt
YPKnhfzzL/Eraf7jf/3HC2jtpPnT1G35078v582FTcIDhQTb1ZYB2l/9qzb53YzdPJeBnIcsSP+D
fxXBv7WszDUQL6z2Vf6n36duCP4tLK+uaTj/VrChs3xL/zzgWQLHme8gDGBJzXf2R1Nn76VTk4Qc
vHIiXEEtWU4P2lGU6GxMlsiEqDXsscGU4dvJRYREk3/hb7sKvd26ErtJ2Kf7KmpPoUqDMJvTt1bj
cjftiNNTDpyIseTvaWoSrB+ydqKLwzC6akrE8KOysbo4AzpBvGCazadBcHCqkZKTHOiiaCnuGFSL
foiOo571weBuOpYqhM8h8SmtG/LMp9jNNc5sLiWG/AzChonSArLiWpQnFTgy1OT0KFo69fB/c3ce
y5EbaR5/lYm5owMJIGEOMxFbnkVPNtlUXxA01fDe43H2OfY2L7Y/FLulJin1SCptLHcvUkhVRAGJ
NJ/5G2Ptm7Bz9IFtp7WtVVey5Rvyixvo/Sqz6ge6DIA7GxDpVmUsiP7vw3SSmnARku6th2Cgf+ib
Fa2eULJnk4uFIS0HpMt64tO5oD2yUFQTvc+k34Aw76lpIeeZ4D1kRDJfFp57ZUTUUAIKa8sypHOD
a8vGSnKHwY0dwGHOCeq+NwWtkHmSI09rmj8ZeCbgajsCCbIGeI7IHvamaBCHKHXIdFelVChDgGsF
Jzsu8R+2KVkhTYAQWbbWhI22NMTNilrUzItRiwv7Ar3tHrMZ7RHUFf7pqhvPy4AuJ4Ko6bLMpbH6
UgSWgMJhXaCpJoHjG0AFYmsJlvnOA+FMAXTTY5lLTSG+6cMGQZW+OS59kvYE3wPqR+pNSS2Gc19F
FoyqiYjp7aoe3VnHXXk1nTKPGJ02hIcGnAYWsCAJ6RI0TxLIEp4Vq+te7AGpO7pDA/LTvZzroEfm
mhIWsxix4pXljijiDPrSaj0UDiQFsZaiacFUjrRW4M1EGceRmYq6QbKISkjFYWXP0zwAYwnZeZGy
++KA4h5luNnOfA1Ingb7MqnA3Y9JhcIdxhScBBlBLRmI3SroR8RkHp6Em6BbOWaP+QTRGFElbqjN
oJeACTMNIr0ZFnlK4bMaYDcYIjg1oNTO+ozM3iN8gsF2C8UjnqmxNUcx5TQaeiThU+hgTI2CrAIn
dG/uRfG9XxU47bk0qArDD2l3BR9HsJ9s+PKzj4Yxek0dRaTeOulhbTgW/5GJ8QJ2X7IiuVzphXIH
Uezcje+9AbtnxbJXWoInimwoiBYyPst9iHBVf5RERwnhIjQPF7m+8gr3r+pISOTPR5aAUQICIP0u
XUvF7BB8uYL0lDM1fGIwsVUld3Hr3DYtEjSKly1zLd+UWQ3xzIPhXaUa24M4c922o+KlTUJowxUK
Xf6aisNccdNjSCHk1h3sxE1aKxei0515rHpAJJqVXzaIVOHCBh9WKdAexIl8penDBpwuizY3qgV4
+8neswwL99yqsG+MwCXQpUL3Q6X96JPI5hKMXqhQ90vAfmPjel02dIhzniGCskpifmqlfkoWHcDF
QfaD7uMF5Cus4kpefV4r5yVuyWjH5Gvp4+g2OOqFEbgPOUz9OcDzW1/FXUlGrEg9gSJcYy+TmlQE
mhrygAKLAJ+YZEkJModdwAqO5imNeWWWLxDTMbb4XmfUyHGJXiYivI7M5gnwCdTHCP66EW7tkMYy
bjgnYViFPCpNtQC0Omyhm3hqt/n03QqxSqY2XGIOyWrU2ycHyD4WOw7Wz1l0rQwR4G0fIyo9Kde6
ld2ZsVPNpSQ4cRjueWltVT2dIX+EGnSC1FGPe7PyxOtCDN3WL5RxjLgSdmtRKz821mYo2hjOjWRE
AQrNEgzhdcW7FDlGfF1+aXqUJ8wmg5Z67MXIR9nORMgAWu4S5eS3ih0ax2hxbE1cbipVsxdSQQfa
0mhKS2jaXinSkyrXVt3QTIxsi5p8fga7fW8IpA8mWtyCaoVLQUhRm2WLwswazM5lj8jUUilcqqXo
19YCv0tk3Q0WKTCGof1UQenZakG0cjEFRFhk64flRgmyCDKK0c8St3HP/VHUq6iktm17ytGQOumW
oHFlxPi5Zkm/1RL2+5Y4kFq1AYUzsGxcycNkocJxIvKMgWm5QIHojt6OTVtsosrfDQa5Q5oY1xSO
wpmTWjeK2iMDCmaYRom7rTstW5W4L2BmbS5Tz86QUrKgojrjJ1KOIzDzA1gZAJh4xozbYTUWHGEQ
zfRV95i3sjizQGeJYFC3alEgWI9yeNUn17I6IfnjeToX0mqpUg7qhqVSupQBzfLIiNXbxhgnox90
AjSYf4FEH6oX3q3vZPWFCpiuMxv3VHTesjRpvhU5kjeYkKJVPzyG2jYhDJq3SvBohM4XAGbIuYzo
KuBEeq+l7lqlCQTjDM21sPMuTRppW6Gga5MH2MBTMkAOGsWhrtD0lURRf86c0ifJ8eN+AOQGhydT
k2ihKp2YF/b4JZTwtB1Z0/8zmwcfnBiZZjdXJiFFr/TOOgOxsMphccFym8VV6NHXxqZB+M28GJJb
4JVsW85p0CTemY9h64IEHk0v3b0q2/omMFL9GFpUOA8whwVAq4hJeEY7R4xdAOoLQV2xrNS7qK3Q
AHIsRlyLjnVLXxqFfR4W1pknvRTOX4fIPlCWyrPAWxXgZOizrlINOiD2I8h1eTc+gQi1kkQ9UaIt
MuLdx3xqfqn9he36IG8s6S7oORU4+aCqkQY3doAak12P7ZFZfDTM+jTpxQmyaO2mVlG0knA80LT1
Fp4afHFNxLD6ACGmKKdJZ1EEHhmnILfME0rkV6bRw2s20K+vk1Zc2KVcNWCpYFs12pE71uel4iVz
M3WOjBDMYhY6j6As6HpUxampDkwl+kQUU3U90O9Ld0GWhgDrlOfJKeNrSf06UsBibOMTtWlmpg8T
w6Euunaq4MJF6+OI8pRBEhlO2aQbwF5zTXdVT5lmOOWcFMzovkx5aLnPSG3nroP5kVMFb8cKO4Hq
LpPQiVDVnFWZs9Kn9YvYAEp0DcraiWdw8rrjLFLEzk+Kz41D0zbyywzE9LjOa3wfLCWdqnbIbXjM
WBRMoMWP+nUfFvp8FFB6cgPBgUSzZ6Pb3SiR+1NUu+cJgiY25Y2SmJM9EZFdpRluG71saQNGHxVd
OsTCYHrQcGtTzz/yKezQSpwLl5H0WpA+KHTRRZRIniHqYNFKXE1rDGst6l/sJJ/Z5KdDHyBXO8AG
bFuflqmysPRsJOGk79y7Xn6S9mILD2nTqP1MDPl96QDOT9AtXpfKeEbXzZylo5XPIR4j+0U514sg
GHYl/jh6az/AHx/XtB2gtwA4QiD/U1XipmCZSbvU2oDCtWnejSMTKhmAslb1FzRlKf+HK0SvzHkF
B6U2ULdQFee2Q6hjHRhQzpwkP3GHaFtz8K0KF35lqrCQ60Ss1BJSgbCVhYDrsdIHcm/DCJ7ctsCc
GAjpzBgQXIshX2mTM3KfE2KW9NDmRO4XasGLTymLlCK5z1y9XQijdpaAlo7GviQ1cNmSO+xEcsyu
Nayk5+AgoTkO1kpmgCh7FWSnFikP1KWP9QpF4wEKlN4hRO6VI/tcCQtTHU/9gGJW/9QoU7m2GxES
mLpoFExMKoLzvhFrT7Vw9IgeamToEHNpMW7pn4yO2SosVOOK4WR0icWNTAboeVQt1dOPkV4PS9Uo
0X4OHQRO8LADmESV3ZZ3RW2F6K8gYp+iMfvHk/jT4LHMquxL/UPK/ubfcfr/77g1SvRWf5TEf268
14n7/i++Je7Q9A2UomwHMSnhTCpLvyhPkZhPssM4NSL/9B1cZgLZAKYn4+d/k1yDsfmWuaP/aqt7
Dy3zDwqXk6a/zt1NIUxdIPGA65zU5CuSEqdYpDgZvWPfEE8+yMATAxO8QrAnIoTJvhkvOwmYktT+
OKHJOTdHy0JfwzkGMw9ONXA+eaFhrLHFg0naQQivE8giSXDcFwBz67bBKQOV7ppQTWYNfKHApG7a
DgjHRMayVCYrpiED7dJGNONWRpKEMxzgjTmiohzemAfZgQ+mz/EfEOjUUUbytl7i3WJ4rpwbNntW
QL8frA/Z53S0OehyuujEsQlRQyaCQXigPbba3AG16l7lBLBS5Lca3soY553Z152T6FQglerECMtT
M23uCtr0J0EZnXV+vjCrGNuuvj3Nx0RdJf7Qrh0iP1utbsrSitCKZXQ89whK24XFzSylREMPzVos
ywH/IvyNh0NA8U9P77K83JRwxReiyRxy72gXCP3UibOMWDffKAPdppbNOFJoTdFZ0U2lAq8rQQZG
5pFnJzNgQNuQRiEZ1rKlMYcqOi1dum6kmgqekhI5SbS3Q/gAsrgDrQ+aG3x9TxKT2ta8cFW8oECO
IA5pWwUw+2HuZ87Mg6Y4rrzeOe+m4z6DtNjQBwA62mXNPAaDkygtyFDiQ4qTldNeKjqd5BAri9qg
/7WOkb0Z1WRT+5Qd9cse4ZXWwbDeoN05bnrKElEFN4BgDwiS6wMS8Tt0XtRHM6Q0NNdaqHAIukeh
XKa4XnhLuiZwTcVCt9kfe5iGPhErublT2ISZ4wqzqfkg6Pdr8Yqy8qns7urGnjsWziOcBUrprdnf
MQCG/sc+PZAjGWO/kCZU/qjCvBtEhv1ZFZdmdN2KAtWu5jLpnPUUgWkYDTaYd7vqJ7v7DDahLfH3
peQqx2qVOOhYZCuLzkuPVEKZ1Ks4izZRlC6n44EAWSSP0+VzmpoR1O+Yk6PIUDkg4++nwn6WYzCE
IEJ2GdrVskA1YFLnLcSnBtXHcqxOG1UgKXgDMGVKfRejbS0nGmCFfGbnIkD0MGr5IkLcMMweU+aM
mWkbjLjWujfMyjLa9CHKA02zhGgwt6xh7o5YD0cXMHVmLqJFaA+DtRLYyOlgZhB7XRcxAvOAX0fQ
50ixrrK6WTu5sa3wJlB1nptAtTLsldXjo51ZaAOExhcb2bLVWNZPHar4f/yQ+bfHx/87UCaEph8e
Mv/6rzJ49N8cNNNffTtoqOYiZQ82k93coVb53UEjgYS9+CTNytr/x98N6wNgTTZTIJN7xCaSfb8c
NNBXIX0JTVOtvavGH6BvcZi8OWu4iuVABUMtUbdf14kbdxRlKyAbVEF1HOQEqUXtyGXgyXOEt3so
F1IumjIMsMog8CZbaXN/VVbjDX6xKqzz4MFy7RV2gJQQlItEYkdOkK9xRTkEBHO9O1Oy7hjq2Jnm
9VeTL7ldBTsIUVem6l0p4yKIhuNVQYeahsx5X6UBjhjRQxWg+G+4F+Um96o7tQOKDV0qn5lJdGoW
CXhwKBk1Ph64JtEKCqNzPHuu3VS5DaBxokb+E5oBSNso9WyomyX+BXiAC7455Ei4xASRMtcuI1td
m4kHHLveorVwX03fUMSUFRU3OlqpdQ5FO/ySZGRDGoi6AO2/TO1WgaxOydTOoqo97bXsM25Ppx6i
iODVdUJfeBWDeRbJets60J5d/BNB7NzQG940ZJsKVkGukZ4MeYvE4iMkUErp/UUefjEGxJRlw92b
EYoFERX1FDjeABWizvXHa7K2bSTaT16fXQcGGDYvUR4HWD1t6O700AGK2eHg7A5sjOLWBPqgcF6F
fXRGOI+SmnsBvuUmlt3VhKftUbBglzqqsIWzKocvCpOKb9ZgmFY9SCP6bCgGhJ3uFEGe68DtL3Mo
I41HEpYn3mWJB67o+4/MGAyHihONe/d6/caq2YDt7kr1rDNE2zZOHy4AQgQg2Wd4I9ybTVxTI8P0
p6y3ut6d+2X8aPvecVw1Gwlw0HPbUyKDo6H/SF6zzprPSmJVIOxqkwbyoJ304JScUfYX+LT/NAQt
bYHSRFgc9hj2lP5J3Wr+ST54O0ja7dpKw4+8ZexBLCx1B0zsrEhuu5RTOAqopcPtXgBQrc4aKibI
XEOJ0yRoxMC3twrH98qbStiTw56K1d6A5R4p+zrBgg/rFnvdNaA4ClKuudbrG0QQolnrqOXGA+GG
1kkMJkDlpCzTgrfUoxGZouHro29YmWqDeCARmmXoyKgIkIzO4C6bbGgWSivNmRShtvYLcW9jE7Du
chJOIAAu1EeTA83rjtA8O28gVc9JxahS++NtOg5kYU+t1xREhzkaMAYQGxX4VJmymFD49lniMMvL
c6FYxsLBbWYW11WM22J6OkTZBf5Ow7JG5CLh/Al1Zw1m60s0ZmBp6lis3WawzrDCK2cKHn5uEp4N
Q/nJjo5l2hdzUEnN3PbBzZrVA9dJlAgPSEpDa2lSdOigkSs55omju/E8DfF3J2k2o2thTslaVnA2
7NtsVegDjEtUwmswI7MwL4qjIofVhQlW0yOUrdjVsCwRQXNrP553svuoaQjWmNZRbfb1ZVzvGptt
BWJ7vcEB+ZJaAxCGoZAELrCPVLhFzMm0t7PFqMgzIxqPm4451SadD2KqAM4N+4VYu4zmirr1CqzN
FbX7TNeZOoH/pVGBVznINlGHPqPFK9FCItLFt+0nzE6vO73v1x3Ao23vNiGo0mlKUK+Y64b2WUTC
Im67MkZ3gmPtwBbdVUlPZD+xjaxA7mqKzjNWGjuJJuCAIbSfZphIyn5rduWt0g8bWTtQr9CLngtf
MHtFeysFHEQFNI+bN59ZwyvNt72jym+mlgcCFFGIp6WXobwuq2UY23eFj9Fz6BHodI68Q9auW1rR
cJdoiJRIzzmxFOMk7OKnvkCZysoWjcWOj5b9sBQaE0to8acMF10icf9y7OVFqxFqd2alr7ADvWA3
NDd1jqsRTQq13WYCvxVVoIzOOYDV43lPUcVyaK1lo2OB/7XukT9hwngIC+QUyBQzPs101BREWz8J
Y3gAT7ZJG5onod980jXtVEsUhQYOYEffmybPVBpp8+zMqD7FKq23CRUbIatkFi3IK5R1JyeARyeA
2UcBPT6FVQ0cs+i+pK4OYpfRihvnaLCRZgz88JMuwidhgXWpwf7SIMRKNqnA0glCZ19qtw0CiqxQ
GqJO784LD/wMegvHnerfl2ZOuaPGjt6t83XQYzGQSLHAFztcaDG11Dw1LQo8xQNwqJLCjoqMmgcQ
A6WjubRQRepHf0mRsae96fICtbxa0Yn7ZE1YrzYIzieV0WU63IUmPLZBvRbZpHG0HjIE2nWDF8XJ
d5q5uUnD1LgSmHlGwrwuSHAvGkOiKCGKRav4dzVyZhtJ+1BBSf3cBVQNsH0JgOdcVdOTHpM6UOqU
rxPoD26ibcxOfESy+2naUUA9km3BtriZCu/xlIfFRa2uRN6fyilHa0nWfJK2fMreQMfd6VM6FwB/
8MYSAZZbxT8TU9ZnkP7FADFT3782p7zQmjJEpSVXRCAF4G+7qqYsspjyyVgAHIY+zoPaJ+wfU87p
3BStclRO2ehIWqpijYy5p3okpoxVVGH6PwGc+IurKV8JVBNeYZnWQT1cNrtyuNpVHJfVtyhw+vQi
C9L6I4L5f+ZLP77Q33b7i378tyAL23oTOu9va3/PP7pKfM9dN087wmDkvDUNLWwTNyvdsKZ6C94a
3tePCZI1gwKNKtEukroziSoC6vhulH5rHH78iM8D+uPv/OgBnkfo6Okffwe3bpo2wfsLrMmfGAbE
atDmJiFAhlyddB6+GwagJjbPb2mahKJnUs36XxqGx6xJ62k+ekH2wo9+j375PUPw6govZwJeTVCW
eOGMwCSo8d0Q2B80BoZES8qpBCfV56Ttfc0ECFcHzwTrw1SzNFBqxzyIrYvnfDEMQpq2iTIy/54y
vXe3GpAweb4t/Ay8XfbzXvXHNgXJ0wsYjdrEw3uzGqjN4qoE0pJ8dhqLdzgMtiNflxX+8KaATxkV
Z/J2kMVfX/d3U8FhoiDnbEqmiWYgzfIeV4Rti4NnA3ahU13FMQzjGYT3YkVwRKCqC+FHxwiRf2rv
cRgQ6Tl4Y+AQQM0MTV+gjYYAXPhqGCb6L7xbtkmDX5ssHt7d3sCigKX6e46J+6ckSNGcgBbzWPOg
vwQMLArDpDJmGQS0POjLY8LhU4HsCmcIP8Yp8h73BkwK/4JFAdMGyWg6VPvNgQbSd3uD9YH9QsVe
RVOxRGQrfR7293Vasjc8h3MHnBScllJYKhERBU6mA8/5Yhj4iL3RMQgdbXPfAnx3i4LV/LxWDxgG
84MmOAhMiUAAUeKrKNr8wFGKxQ1xk40AsPEuTwrLcg6eDeYHJAjw7SSNEELXprD8u9ngoJIA+0hD
QgHxU8eYmq7vbjZMu/uhWySzgSnPmWjR/GYUXu8NpFOMAASyqdM9wdDf3zBwcwdvkRMIn0eVBskC
FsnT634xG9DJIPFEFAPNjEkb4z0Og/pXnBSqiU4gr3wfK78Kpu0PbAsAEYSt21AZ9s2rd7coTNbt
4YvCYUWQLOwFFvfx0XezwSaYlrqgxECw/TWseH/DQE/w8GGAfoI5hC2IpokPWGUvhgGbAxsFF0IG
1cBl/j3uDdNLOnwYkEQhzRZIa74Npm3KToQLjk5H19L1vbvuu5sNk8LxocMA2om0SeoG8jG4hkx2
It/NBueDxiDxDVP+jJN6h8Mw3TW3dUD4ZH3A1JsIEZoXGfXrYbCn/JNj2aJ3Tsa9Z3O9v2F465j+
J+oNmiMRmiWJVEkuXoVPJNqGg5SQzWxh0uwLdO9vGFjSh88GlY4zhQS2wYla97IWa38AG0hgQQ1q
r8gr32PcMJWSDx+GqdKIYhVhw56w+GpvUIkXJAgWpoJlvNOTgtjv0GEgmHYIkzXElvFRl8bLsov9
AUgorQtonqaOUsNzmPK+8uxfgdH+ia0BATHiJ4nF1RQfvcyz2SF5eEInycKBD/t18r23YTi8W0W5
ASNVw5h0t1VqDq+HgRycsImtgzjTJMDaT77fNQy/40s/9//mfhA/7Tt/wa76tQbhb33h2yH59vOv
za6pozW1cl58cWoEPv/2L43Bf74o0O0bct99+K1Bt/+dr3/+9QHf/vSL3/r2VN/+5ybYlfflI3iD
fU/y622e3Sf0Dj83vw3M++0O5s+Rwo8v7b0B/E1Y9F+e8R9/fzEC3+0yP7rubys8HnjDz3z2bzf4
tTH5XEs49J5/U7v+wFv+kdfeoZeG4OrdN6+HY38oHjoc11kMsbUpX7Q/6QJTZyU5O/jqP/DTPnBQ
sOq+//LFv2+q3Zt734e8B997/bc1agq/cvUpUTn06ucP3X389Obi4Ab+gmE/C55+/er7wsOht362
ax79f/1nvYu/DcML5MChlz9pHndlunt1bcgvHD+HXnvblPffrvL1pp+7F4deeF3eNw//+q/07Rt9
Lv0dfP34vmyq17e+rzEffOldumvfjMq+in/opVdl8JCxd72+73378NCLz35lljxDeA6+8n21i5WP
SIK8uvHn9u9fc/n5M/bk7S+QgB36C/+R57t03MXx386belcqV372dmI+dy//up/CcPUHP0Ub++Cf
uv+VU/AZo/LjS/9arPYz6uptBPcNTfVrf/YyPJ2+8Rjv7st//jcAAAD//w==</cx:binary>
              </cx:geoCache>
            </cx:geography>
          </cx:layoutPr>
        </cx:series>
      </cx:plotAreaRegion>
    </cx:plotArea>
    <cx:legend pos="r" align="min" overlay="0">
      <cx:spPr>
        <a:noFill/>
      </cx:spPr>
      <cx:txPr>
        <a:bodyPr spcFirstLastPara="1" vertOverflow="ellipsis" horzOverflow="overflow" wrap="square" lIns="0" tIns="0" rIns="0" bIns="0" anchor="ctr" anchorCtr="1"/>
        <a:lstStyle/>
        <a:p>
          <a:pPr algn="ctr" rtl="0">
            <a:defRPr/>
          </a:pPr>
          <a:endParaRPr lang="de-DE" sz="900" b="0" i="0" u="none" strike="noStrike" baseline="0">
            <a:solidFill>
              <a:sysClr val="window" lastClr="FFFFFF">
                <a:lumMod val="9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17640</xdr:rowOff>
    </xdr:from>
    <xdr:to>
      <xdr:col>3</xdr:col>
      <xdr:colOff>0</xdr:colOff>
      <xdr:row>31</xdr:row>
      <xdr:rowOff>0</xdr:rowOff>
    </xdr:to>
    <xdr:graphicFrame macro="">
      <xdr:nvGraphicFramePr>
        <xdr:cNvPr id="2" name="Diagramm 1">
          <a:extLst>
            <a:ext uri="{FF2B5EF4-FFF2-40B4-BE49-F238E27FC236}">
              <a16:creationId xmlns:a16="http://schemas.microsoft.com/office/drawing/2014/main" id="{02FA9ED4-6DA4-498A-9F68-2A7CE6BEB0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2829983</xdr:colOff>
      <xdr:row>4</xdr:row>
      <xdr:rowOff>0</xdr:rowOff>
    </xdr:from>
    <xdr:to>
      <xdr:col>6</xdr:col>
      <xdr:colOff>0</xdr:colOff>
      <xdr:row>30</xdr:row>
      <xdr:rowOff>171449</xdr:rowOff>
    </xdr:to>
    <xdr:graphicFrame macro="">
      <xdr:nvGraphicFramePr>
        <xdr:cNvPr id="3" name="Diagramm 2">
          <a:extLst>
            <a:ext uri="{FF2B5EF4-FFF2-40B4-BE49-F238E27FC236}">
              <a16:creationId xmlns:a16="http://schemas.microsoft.com/office/drawing/2014/main" id="{9A928724-2CDB-4F0A-8A03-9BE64DA11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3</xdr:col>
      <xdr:colOff>12700</xdr:colOff>
      <xdr:row>64</xdr:row>
      <xdr:rowOff>15874</xdr:rowOff>
    </xdr:to>
    <xdr:graphicFrame macro="">
      <xdr:nvGraphicFramePr>
        <xdr:cNvPr id="4" name="Diagramm 3">
          <a:extLst>
            <a:ext uri="{FF2B5EF4-FFF2-40B4-BE49-F238E27FC236}">
              <a16:creationId xmlns:a16="http://schemas.microsoft.com/office/drawing/2014/main" id="{6FD32B1D-6784-4EF3-BB07-816FC517E6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0</xdr:colOff>
      <xdr:row>31</xdr:row>
      <xdr:rowOff>0</xdr:rowOff>
    </xdr:from>
    <xdr:to>
      <xdr:col>6</xdr:col>
      <xdr:colOff>0</xdr:colOff>
      <xdr:row>64</xdr:row>
      <xdr:rowOff>0</xdr:rowOff>
    </xdr:to>
    <xdr:graphicFrame macro="">
      <xdr:nvGraphicFramePr>
        <xdr:cNvPr id="6" name="Diagramm 5">
          <a:extLst>
            <a:ext uri="{FF2B5EF4-FFF2-40B4-BE49-F238E27FC236}">
              <a16:creationId xmlns:a16="http://schemas.microsoft.com/office/drawing/2014/main" id="{7FF892E8-8EBE-43DB-B5FD-F887CB6F79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50800</xdr:colOff>
      <xdr:row>64</xdr:row>
      <xdr:rowOff>44450</xdr:rowOff>
    </xdr:from>
    <xdr:to>
      <xdr:col>2</xdr:col>
      <xdr:colOff>2836332</xdr:colOff>
      <xdr:row>92</xdr:row>
      <xdr:rowOff>0</xdr:rowOff>
    </xdr:to>
    <mc:AlternateContent xmlns:mc="http://schemas.openxmlformats.org/markup-compatibility/2006">
      <mc:Choice xmlns:cx4="http://schemas.microsoft.com/office/drawing/2016/5/10/chartex" Requires="cx4">
        <xdr:graphicFrame macro="">
          <xdr:nvGraphicFramePr>
            <xdr:cNvPr id="7" name="Diagramm 6">
              <a:extLst>
                <a:ext uri="{FF2B5EF4-FFF2-40B4-BE49-F238E27FC236}">
                  <a16:creationId xmlns:a16="http://schemas.microsoft.com/office/drawing/2014/main" id="{62A42521-B531-43E1-AAD5-18CB01A2B0A7}"/>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0800" y="12509500"/>
              <a:ext cx="8462432" cy="511175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twoCellAnchor>
    <xdr:from>
      <xdr:col>3</xdr:col>
      <xdr:colOff>0</xdr:colOff>
      <xdr:row>64</xdr:row>
      <xdr:rowOff>50799</xdr:rowOff>
    </xdr:from>
    <xdr:to>
      <xdr:col>6</xdr:col>
      <xdr:colOff>0</xdr:colOff>
      <xdr:row>92</xdr:row>
      <xdr:rowOff>0</xdr:rowOff>
    </xdr:to>
    <xdr:graphicFrame macro="">
      <xdr:nvGraphicFramePr>
        <xdr:cNvPr id="9" name="Diagramm 8">
          <a:extLst>
            <a:ext uri="{FF2B5EF4-FFF2-40B4-BE49-F238E27FC236}">
              <a16:creationId xmlns:a16="http://schemas.microsoft.com/office/drawing/2014/main" id="{E2219C3F-1071-40E2-A393-283D519623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29</xdr:col>
      <xdr:colOff>476250</xdr:colOff>
      <xdr:row>3</xdr:row>
      <xdr:rowOff>22225</xdr:rowOff>
    </xdr:from>
    <xdr:ext cx="5900654" cy="344453"/>
    <mc:AlternateContent xmlns:mc="http://schemas.openxmlformats.org/markup-compatibility/2006" xmlns:a14="http://schemas.microsoft.com/office/drawing/2010/main">
      <mc:Choice Requires="a14">
        <xdr:sp macro="" textlink="">
          <xdr:nvSpPr>
            <xdr:cNvPr id="2" name="Textfeld 1">
              <a:extLst>
                <a:ext uri="{FF2B5EF4-FFF2-40B4-BE49-F238E27FC236}">
                  <a16:creationId xmlns:a16="http://schemas.microsoft.com/office/drawing/2014/main" id="{30323688-DD7B-4F20-B496-BD83FB94AEE1}"/>
                </a:ext>
              </a:extLst>
            </xdr:cNvPr>
            <xdr:cNvSpPr txBox="1"/>
          </xdr:nvSpPr>
          <xdr:spPr>
            <a:xfrm>
              <a:off x="11410950" y="574675"/>
              <a:ext cx="590065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BEREICH</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VERSCHIEBEN</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Datenbasis</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$1;;;</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a:solidFill>
                          <a:schemeClr val="tx1"/>
                        </a:solidFill>
                        <a:effectLst/>
                        <a:latin typeface="+mn-lt"/>
                        <a:ea typeface="+mn-ea"/>
                        <a:cs typeface="+mn-cs"/>
                      </a:rPr>
                      <m:t>Datenbasis</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a:solidFill>
                          <a:schemeClr val="tx1"/>
                        </a:solidFill>
                        <a:effectLst/>
                        <a:latin typeface="+mn-lt"/>
                        <a:ea typeface="+mn-ea"/>
                        <a:cs typeface="+mn-cs"/>
                      </a:rPr>
                      <m:t>Datenbasis</m:t>
                    </m:r>
                    <m:r>
                      <m:rPr>
                        <m:nor/>
                      </m:rPr>
                      <a:rPr lang="de-CH" sz="1100">
                        <a:solidFill>
                          <a:schemeClr val="tx1"/>
                        </a:solidFill>
                        <a:effectLst/>
                        <a:latin typeface="+mn-lt"/>
                        <a:ea typeface="+mn-ea"/>
                        <a:cs typeface="+mn-cs"/>
                      </a:rPr>
                      <m:t>!$1:$1))</m:t>
                    </m:r>
                  </m:oMath>
                </m:oMathPara>
              </a14:m>
              <a:endParaRPr lang="de-CH">
                <a:effectLst/>
              </a:endParaRPr>
            </a:p>
            <a:p>
              <a:endParaRPr lang="de-CH" sz="1100"/>
            </a:p>
          </xdr:txBody>
        </xdr:sp>
      </mc:Choice>
      <mc:Fallback xmlns="">
        <xdr:sp macro="" textlink="">
          <xdr:nvSpPr>
            <xdr:cNvPr id="2" name="Textfeld 1">
              <a:extLst>
                <a:ext uri="{FF2B5EF4-FFF2-40B4-BE49-F238E27FC236}">
                  <a16:creationId xmlns:a16="http://schemas.microsoft.com/office/drawing/2014/main" id="{30323688-DD7B-4F20-B496-BD83FB94AEE1}"/>
                </a:ext>
              </a:extLst>
            </xdr:cNvPr>
            <xdr:cNvSpPr txBox="1"/>
          </xdr:nvSpPr>
          <xdr:spPr>
            <a:xfrm>
              <a:off x="11410950" y="574675"/>
              <a:ext cx="590065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de-CH" sz="1100" i="0">
                  <a:solidFill>
                    <a:schemeClr val="tx1"/>
                  </a:solidFill>
                  <a:effectLst/>
                  <a:latin typeface="Cambria Math" panose="02040503050406030204" pitchFamily="18" charset="0"/>
                  <a:ea typeface="+mn-ea"/>
                  <a:cs typeface="+mn-cs"/>
                </a:rPr>
                <a:t>"=BEREICH.VERSCHIEBEN(Datenbasis!$A$1;;;ANZAHL2(Datenbasis!$A:$A);ANZAHL2(Datenbasis!$1:$1))</a:t>
              </a:r>
              <a:r>
                <a:rPr lang="de-CH" sz="1100" i="0">
                  <a:solidFill>
                    <a:schemeClr val="tx1"/>
                  </a:solidFill>
                  <a:effectLst/>
                  <a:latin typeface="+mn-lt"/>
                  <a:ea typeface="+mn-ea"/>
                  <a:cs typeface="+mn-cs"/>
                </a:rPr>
                <a:t>"</a:t>
              </a:r>
              <a:endParaRPr lang="de-CH">
                <a:effectLst/>
              </a:endParaRPr>
            </a:p>
            <a:p>
              <a:endParaRPr lang="de-CH" sz="1100"/>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twoCellAnchor>
    <xdr:from>
      <xdr:col>4</xdr:col>
      <xdr:colOff>257174</xdr:colOff>
      <xdr:row>33</xdr:row>
      <xdr:rowOff>171450</xdr:rowOff>
    </xdr:from>
    <xdr:to>
      <xdr:col>20</xdr:col>
      <xdr:colOff>736599</xdr:colOff>
      <xdr:row>80</xdr:row>
      <xdr:rowOff>88900</xdr:rowOff>
    </xdr:to>
    <mc:AlternateContent xmlns:mc="http://schemas.openxmlformats.org/markup-compatibility/2006">
      <mc:Choice xmlns:cx4="http://schemas.microsoft.com/office/drawing/2016/5/10/chartex" Requires="cx4">
        <xdr:graphicFrame macro="">
          <xdr:nvGraphicFramePr>
            <xdr:cNvPr id="2" name="Diagramm 1">
              <a:extLst>
                <a:ext uri="{FF2B5EF4-FFF2-40B4-BE49-F238E27FC236}">
                  <a16:creationId xmlns:a16="http://schemas.microsoft.com/office/drawing/2014/main" id="{9E89ACDE-3CA2-478D-8903-C57ABA1AA07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565524" y="6248400"/>
              <a:ext cx="12671425" cy="8572500"/>
            </a:xfrm>
            <a:prstGeom prst="rect">
              <a:avLst/>
            </a:prstGeom>
            <a:solidFill>
              <a:prstClr val="white"/>
            </a:solidFill>
            <a:ln w="1">
              <a:solidFill>
                <a:prstClr val="green"/>
              </a:solidFill>
            </a:ln>
          </xdr:spPr>
          <xdr:txBody>
            <a:bodyPr vertOverflow="clip" horzOverflow="clip"/>
            <a:lstStyle/>
            <a:p>
              <a:r>
                <a:rPr lang="de-CH" sz="1100"/>
                <a:t>Dieses Diagramm ist in Ihrer Version von Excel nicht verfügbar.
Wenn Sie diese Form bearbeiten oder diese Arbeitsmappe in einem anderen Dateiformat speichern, wird das Diagramm dauerhaft beschädigt.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oneCellAnchor>
    <xdr:from>
      <xdr:col>7</xdr:col>
      <xdr:colOff>561975</xdr:colOff>
      <xdr:row>2</xdr:row>
      <xdr:rowOff>60325</xdr:rowOff>
    </xdr:from>
    <xdr:ext cx="5900654" cy="516680"/>
    <mc:AlternateContent xmlns:mc="http://schemas.openxmlformats.org/markup-compatibility/2006" xmlns:a14="http://schemas.microsoft.com/office/drawing/2010/main">
      <mc:Choice Requires="a14">
        <xdr:sp macro="" textlink="">
          <xdr:nvSpPr>
            <xdr:cNvPr id="2" name="Textfeld 1">
              <a:extLst>
                <a:ext uri="{FF2B5EF4-FFF2-40B4-BE49-F238E27FC236}">
                  <a16:creationId xmlns:a16="http://schemas.microsoft.com/office/drawing/2014/main" id="{8BDF0A94-ED0D-4EC7-8E47-CCA0E41A12AA}"/>
                </a:ext>
              </a:extLst>
            </xdr:cNvPr>
            <xdr:cNvSpPr txBox="1"/>
          </xdr:nvSpPr>
          <xdr:spPr>
            <a:xfrm>
              <a:off x="11204575" y="428625"/>
              <a:ext cx="5900654"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r>
                      <m:rPr>
                        <m:nor/>
                      </m:rPr>
                      <a:rPr lang="de-CH">
                        <a:effectLst/>
                      </a:rPr>
                      <m:t>=</m:t>
                    </m:r>
                    <m:r>
                      <m:rPr>
                        <m:nor/>
                      </m:rPr>
                      <a:rPr lang="de-CH">
                        <a:effectLst/>
                      </a:rPr>
                      <m:t>BEREICH</m:t>
                    </m:r>
                    <m:r>
                      <m:rPr>
                        <m:nor/>
                      </m:rPr>
                      <a:rPr lang="de-CH">
                        <a:effectLst/>
                      </a:rPr>
                      <m:t>.</m:t>
                    </m:r>
                    <m:r>
                      <m:rPr>
                        <m:nor/>
                      </m:rPr>
                      <a:rPr lang="de-CH">
                        <a:effectLst/>
                      </a:rPr>
                      <m:t>VERSCHIEBEN</m:t>
                    </m:r>
                    <m:r>
                      <m:rPr>
                        <m:nor/>
                      </m:rPr>
                      <a:rPr lang="de-CH">
                        <a:effectLst/>
                      </a:rPr>
                      <m:t>(</m:t>
                    </m:r>
                    <m:r>
                      <m:rPr>
                        <m:nor/>
                      </m:rPr>
                      <a:rPr lang="de-CH">
                        <a:effectLst/>
                      </a:rPr>
                      <m:t>Datenbasis</m:t>
                    </m:r>
                    <m:r>
                      <m:rPr>
                        <m:nor/>
                      </m:rPr>
                      <a:rPr lang="de-CH">
                        <a:effectLst/>
                      </a:rPr>
                      <m:t>!$</m:t>
                    </m:r>
                    <m:r>
                      <m:rPr>
                        <m:nor/>
                      </m:rPr>
                      <a:rPr lang="de-CH">
                        <a:effectLst/>
                      </a:rPr>
                      <m:t>A</m:t>
                    </m:r>
                    <m:r>
                      <m:rPr>
                        <m:nor/>
                      </m:rPr>
                      <a:rPr lang="de-CH">
                        <a:effectLst/>
                      </a:rPr>
                      <m:t>$1;;;</m:t>
                    </m:r>
                    <m:r>
                      <m:rPr>
                        <m:nor/>
                      </m:rPr>
                      <a:rPr lang="de-CH">
                        <a:effectLst/>
                      </a:rPr>
                      <m:t>ANZAHL</m:t>
                    </m:r>
                    <m:r>
                      <m:rPr>
                        <m:nor/>
                      </m:rPr>
                      <a:rPr lang="de-CH">
                        <a:effectLst/>
                      </a:rPr>
                      <m:t>2(</m:t>
                    </m:r>
                    <m:r>
                      <m:rPr>
                        <m:nor/>
                      </m:rPr>
                      <a:rPr lang="de-CH">
                        <a:effectLst/>
                      </a:rPr>
                      <m:t>Datenbasis</m:t>
                    </m:r>
                    <m:r>
                      <m:rPr>
                        <m:nor/>
                      </m:rPr>
                      <a:rPr lang="de-CH">
                        <a:effectLst/>
                      </a:rPr>
                      <m:t>!$</m:t>
                    </m:r>
                    <m:r>
                      <m:rPr>
                        <m:nor/>
                      </m:rPr>
                      <a:rPr lang="de-CH">
                        <a:effectLst/>
                      </a:rPr>
                      <m:t>A</m:t>
                    </m:r>
                    <m:r>
                      <m:rPr>
                        <m:nor/>
                      </m:rPr>
                      <a:rPr lang="de-CH">
                        <a:effectLst/>
                      </a:rPr>
                      <m:t>:$</m:t>
                    </m:r>
                    <m:r>
                      <m:rPr>
                        <m:nor/>
                      </m:rPr>
                      <a:rPr lang="de-CH">
                        <a:effectLst/>
                      </a:rPr>
                      <m:t>A</m:t>
                    </m:r>
                    <m:r>
                      <m:rPr>
                        <m:nor/>
                      </m:rPr>
                      <a:rPr lang="de-CH">
                        <a:effectLst/>
                      </a:rPr>
                      <m:t>);</m:t>
                    </m:r>
                    <m:r>
                      <m:rPr>
                        <m:nor/>
                      </m:rPr>
                      <a:rPr lang="de-CH">
                        <a:effectLst/>
                      </a:rPr>
                      <m:t>ANZAHL</m:t>
                    </m:r>
                    <m:r>
                      <m:rPr>
                        <m:nor/>
                      </m:rPr>
                      <a:rPr lang="de-CH">
                        <a:effectLst/>
                      </a:rPr>
                      <m:t>2(</m:t>
                    </m:r>
                    <m:r>
                      <m:rPr>
                        <m:nor/>
                      </m:rPr>
                      <a:rPr lang="de-CH">
                        <a:effectLst/>
                      </a:rPr>
                      <m:t>Datenbasis</m:t>
                    </m:r>
                    <m:r>
                      <m:rPr>
                        <m:nor/>
                      </m:rPr>
                      <a:rPr lang="de-CH">
                        <a:effectLst/>
                      </a:rPr>
                      <m:t>!$1:$1))</m:t>
                    </m:r>
                  </m:oMath>
                </m:oMathPara>
              </a14:m>
              <a:endParaRPr lang="de-CH">
                <a:effectLst/>
              </a:endParaRPr>
            </a:p>
            <a:p>
              <a:br>
                <a:rPr lang="de-CH"/>
              </a:br>
              <a:endParaRPr lang="de-CH" sz="1100"/>
            </a:p>
          </xdr:txBody>
        </xdr:sp>
      </mc:Choice>
      <mc:Fallback xmlns="">
        <xdr:sp macro="" textlink="">
          <xdr:nvSpPr>
            <xdr:cNvPr id="2" name="Textfeld 1">
              <a:extLst>
                <a:ext uri="{FF2B5EF4-FFF2-40B4-BE49-F238E27FC236}">
                  <a16:creationId xmlns:a16="http://schemas.microsoft.com/office/drawing/2014/main" id="{8BDF0A94-ED0D-4EC7-8E47-CCA0E41A12AA}"/>
                </a:ext>
              </a:extLst>
            </xdr:cNvPr>
            <xdr:cNvSpPr txBox="1"/>
          </xdr:nvSpPr>
          <xdr:spPr>
            <a:xfrm>
              <a:off x="11204575" y="428625"/>
              <a:ext cx="5900654" cy="5166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de-CH" i="0">
                  <a:effectLst/>
                  <a:latin typeface="Cambria Math" panose="02040503050406030204" pitchFamily="18" charset="0"/>
                </a:rPr>
                <a:t>"=BEREICH.VERSCHIEBEN(Datenbasis!$A$1;;;ANZAHL2(Datenbasis!$A:$A);ANZAHL2(Datenbasis!$1:$1))</a:t>
              </a:r>
              <a:r>
                <a:rPr lang="de-CH" i="0">
                  <a:effectLst/>
                </a:rPr>
                <a:t>"</a:t>
              </a:r>
              <a:endParaRPr lang="de-CH">
                <a:effectLst/>
              </a:endParaRPr>
            </a:p>
            <a:p>
              <a:br>
                <a:rPr lang="de-CH"/>
              </a:br>
              <a:endParaRPr lang="de-CH" sz="1100"/>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oneCellAnchor>
    <xdr:from>
      <xdr:col>29</xdr:col>
      <xdr:colOff>517525</xdr:colOff>
      <xdr:row>2</xdr:row>
      <xdr:rowOff>34925</xdr:rowOff>
    </xdr:from>
    <xdr:ext cx="5900654" cy="344453"/>
    <mc:AlternateContent xmlns:mc="http://schemas.openxmlformats.org/markup-compatibility/2006" xmlns:a14="http://schemas.microsoft.com/office/drawing/2010/main">
      <mc:Choice Requires="a14">
        <xdr:sp macro="" textlink="">
          <xdr:nvSpPr>
            <xdr:cNvPr id="2" name="Textfeld 1">
              <a:extLst>
                <a:ext uri="{FF2B5EF4-FFF2-40B4-BE49-F238E27FC236}">
                  <a16:creationId xmlns:a16="http://schemas.microsoft.com/office/drawing/2014/main" id="{AB26A23B-EA0F-4049-A062-EC24C7F6F018}"/>
                </a:ext>
              </a:extLst>
            </xdr:cNvPr>
            <xdr:cNvSpPr txBox="1"/>
          </xdr:nvSpPr>
          <xdr:spPr>
            <a:xfrm>
              <a:off x="11242675" y="403225"/>
              <a:ext cx="590065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BEREICH</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VERSCHIEBEN</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Datenbasis</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$1;;;</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a:solidFill>
                          <a:schemeClr val="tx1"/>
                        </a:solidFill>
                        <a:effectLst/>
                        <a:latin typeface="+mn-lt"/>
                        <a:ea typeface="+mn-ea"/>
                        <a:cs typeface="+mn-cs"/>
                      </a:rPr>
                      <m:t>Datenbasis</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a:solidFill>
                          <a:schemeClr val="tx1"/>
                        </a:solidFill>
                        <a:effectLst/>
                        <a:latin typeface="+mn-lt"/>
                        <a:ea typeface="+mn-ea"/>
                        <a:cs typeface="+mn-cs"/>
                      </a:rPr>
                      <m:t>Datenbasis</m:t>
                    </m:r>
                    <m:r>
                      <m:rPr>
                        <m:nor/>
                      </m:rPr>
                      <a:rPr lang="de-CH" sz="1100">
                        <a:solidFill>
                          <a:schemeClr val="tx1"/>
                        </a:solidFill>
                        <a:effectLst/>
                        <a:latin typeface="+mn-lt"/>
                        <a:ea typeface="+mn-ea"/>
                        <a:cs typeface="+mn-cs"/>
                      </a:rPr>
                      <m:t>!$1:$1))</m:t>
                    </m:r>
                  </m:oMath>
                </m:oMathPara>
              </a14:m>
              <a:endParaRPr lang="de-CH">
                <a:effectLst/>
              </a:endParaRPr>
            </a:p>
            <a:p>
              <a:endParaRPr lang="de-CH" sz="1100"/>
            </a:p>
          </xdr:txBody>
        </xdr:sp>
      </mc:Choice>
      <mc:Fallback xmlns="">
        <xdr:sp macro="" textlink="">
          <xdr:nvSpPr>
            <xdr:cNvPr id="2" name="Textfeld 1">
              <a:extLst>
                <a:ext uri="{FF2B5EF4-FFF2-40B4-BE49-F238E27FC236}">
                  <a16:creationId xmlns:a16="http://schemas.microsoft.com/office/drawing/2014/main" id="{AB26A23B-EA0F-4049-A062-EC24C7F6F018}"/>
                </a:ext>
              </a:extLst>
            </xdr:cNvPr>
            <xdr:cNvSpPr txBox="1"/>
          </xdr:nvSpPr>
          <xdr:spPr>
            <a:xfrm>
              <a:off x="11242675" y="403225"/>
              <a:ext cx="590065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de-CH" sz="1100" i="0">
                  <a:solidFill>
                    <a:schemeClr val="tx1"/>
                  </a:solidFill>
                  <a:effectLst/>
                  <a:latin typeface="Cambria Math" panose="02040503050406030204" pitchFamily="18" charset="0"/>
                  <a:ea typeface="+mn-ea"/>
                  <a:cs typeface="+mn-cs"/>
                </a:rPr>
                <a:t>"=BEREICH.VERSCHIEBEN(Datenbasis!$A$1;;;ANZAHL2(Datenbasis!$A:$A);ANZAHL2(Datenbasis!$1:$1))</a:t>
              </a:r>
              <a:r>
                <a:rPr lang="de-CH" sz="1100" i="0">
                  <a:solidFill>
                    <a:schemeClr val="tx1"/>
                  </a:solidFill>
                  <a:effectLst/>
                  <a:latin typeface="+mn-lt"/>
                  <a:ea typeface="+mn-ea"/>
                  <a:cs typeface="+mn-cs"/>
                </a:rPr>
                <a:t>"</a:t>
              </a:r>
              <a:endParaRPr lang="de-CH">
                <a:effectLst/>
              </a:endParaRPr>
            </a:p>
            <a:p>
              <a:endParaRPr lang="de-CH" sz="1100"/>
            </a:p>
          </xdr:txBody>
        </xdr:sp>
      </mc:Fallback>
    </mc:AlternateContent>
    <xdr:clientData/>
  </xdr:oneCellAnchor>
  <xdr:oneCellAnchor>
    <xdr:from>
      <xdr:col>29</xdr:col>
      <xdr:colOff>476250</xdr:colOff>
      <xdr:row>3</xdr:row>
      <xdr:rowOff>22225</xdr:rowOff>
    </xdr:from>
    <xdr:ext cx="5900654" cy="344453"/>
    <mc:AlternateContent xmlns:mc="http://schemas.openxmlformats.org/markup-compatibility/2006" xmlns:a14="http://schemas.microsoft.com/office/drawing/2010/main">
      <mc:Choice Requires="a14">
        <xdr:sp macro="" textlink="">
          <xdr:nvSpPr>
            <xdr:cNvPr id="3" name="Textfeld 2">
              <a:extLst>
                <a:ext uri="{FF2B5EF4-FFF2-40B4-BE49-F238E27FC236}">
                  <a16:creationId xmlns:a16="http://schemas.microsoft.com/office/drawing/2014/main" id="{53890FC0-D07D-4C44-A45E-E57FF44CEDF2}"/>
                </a:ext>
              </a:extLst>
            </xdr:cNvPr>
            <xdr:cNvSpPr txBox="1"/>
          </xdr:nvSpPr>
          <xdr:spPr>
            <a:xfrm>
              <a:off x="11410950" y="574675"/>
              <a:ext cx="590065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BEREICH</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VERSCHIEBEN</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Datenbasis</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$1;;;</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a:solidFill>
                          <a:schemeClr val="tx1"/>
                        </a:solidFill>
                        <a:effectLst/>
                        <a:latin typeface="+mn-lt"/>
                        <a:ea typeface="+mn-ea"/>
                        <a:cs typeface="+mn-cs"/>
                      </a:rPr>
                      <m:t>Datenbasis</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m:t>
                    </m:r>
                    <m:r>
                      <m:rPr>
                        <m:nor/>
                      </m:rPr>
                      <a:rPr lang="de-CH" sz="1100">
                        <a:solidFill>
                          <a:schemeClr val="tx1"/>
                        </a:solidFill>
                        <a:effectLst/>
                        <a:latin typeface="+mn-lt"/>
                        <a:ea typeface="+mn-ea"/>
                        <a:cs typeface="+mn-cs"/>
                      </a:rPr>
                      <m:t>);</m:t>
                    </m:r>
                    <m:r>
                      <m:rPr>
                        <m:nor/>
                      </m:rPr>
                      <a:rPr lang="de-CH" sz="1100">
                        <a:solidFill>
                          <a:schemeClr val="tx1"/>
                        </a:solidFill>
                        <a:effectLst/>
                        <a:latin typeface="+mn-lt"/>
                        <a:ea typeface="+mn-ea"/>
                        <a:cs typeface="+mn-cs"/>
                      </a:rPr>
                      <m:t>ANZAHL</m:t>
                    </m:r>
                    <m:r>
                      <m:rPr>
                        <m:nor/>
                      </m:rPr>
                      <a:rPr lang="de-CH" sz="1100">
                        <a:solidFill>
                          <a:schemeClr val="tx1"/>
                        </a:solidFill>
                        <a:effectLst/>
                        <a:latin typeface="+mn-lt"/>
                        <a:ea typeface="+mn-ea"/>
                        <a:cs typeface="+mn-cs"/>
                      </a:rPr>
                      <m:t>2(</m:t>
                    </m:r>
                    <m:r>
                      <m:rPr>
                        <m:nor/>
                      </m:rPr>
                      <a:rPr lang="de-CH" sz="1100">
                        <a:solidFill>
                          <a:schemeClr val="tx1"/>
                        </a:solidFill>
                        <a:effectLst/>
                        <a:latin typeface="+mn-lt"/>
                        <a:ea typeface="+mn-ea"/>
                        <a:cs typeface="+mn-cs"/>
                      </a:rPr>
                      <m:t>Datenbasis</m:t>
                    </m:r>
                    <m:r>
                      <m:rPr>
                        <m:nor/>
                      </m:rPr>
                      <a:rPr lang="de-CH" sz="1100">
                        <a:solidFill>
                          <a:schemeClr val="tx1"/>
                        </a:solidFill>
                        <a:effectLst/>
                        <a:latin typeface="+mn-lt"/>
                        <a:ea typeface="+mn-ea"/>
                        <a:cs typeface="+mn-cs"/>
                      </a:rPr>
                      <m:t>!$1:$1))</m:t>
                    </m:r>
                  </m:oMath>
                </m:oMathPara>
              </a14:m>
              <a:endParaRPr lang="de-CH">
                <a:effectLst/>
              </a:endParaRPr>
            </a:p>
            <a:p>
              <a:endParaRPr lang="de-CH" sz="1100"/>
            </a:p>
          </xdr:txBody>
        </xdr:sp>
      </mc:Choice>
      <mc:Fallback xmlns="">
        <xdr:sp macro="" textlink="">
          <xdr:nvSpPr>
            <xdr:cNvPr id="3" name="Textfeld 2">
              <a:extLst>
                <a:ext uri="{FF2B5EF4-FFF2-40B4-BE49-F238E27FC236}">
                  <a16:creationId xmlns:a16="http://schemas.microsoft.com/office/drawing/2014/main" id="{53890FC0-D07D-4C44-A45E-E57FF44CEDF2}"/>
                </a:ext>
              </a:extLst>
            </xdr:cNvPr>
            <xdr:cNvSpPr txBox="1"/>
          </xdr:nvSpPr>
          <xdr:spPr>
            <a:xfrm>
              <a:off x="11410950" y="574675"/>
              <a:ext cx="5900654" cy="3444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de-CH" sz="1100" i="0">
                  <a:solidFill>
                    <a:schemeClr val="tx1"/>
                  </a:solidFill>
                  <a:effectLst/>
                  <a:latin typeface="Cambria Math" panose="02040503050406030204" pitchFamily="18" charset="0"/>
                  <a:ea typeface="+mn-ea"/>
                  <a:cs typeface="+mn-cs"/>
                </a:rPr>
                <a:t>"=BEREICH.VERSCHIEBEN(Datenbasis!$A$1;;;ANZAHL2(Datenbasis!$A:$A);ANZAHL2(Datenbasis!$1:$1))</a:t>
              </a:r>
              <a:r>
                <a:rPr lang="de-CH" sz="1100" i="0">
                  <a:solidFill>
                    <a:schemeClr val="tx1"/>
                  </a:solidFill>
                  <a:effectLst/>
                  <a:latin typeface="+mn-lt"/>
                  <a:ea typeface="+mn-ea"/>
                  <a:cs typeface="+mn-cs"/>
                </a:rPr>
                <a:t>"</a:t>
              </a:r>
              <a:endParaRPr lang="de-CH">
                <a:effectLst/>
              </a:endParaRPr>
            </a:p>
            <a:p>
              <a:endParaRPr lang="de-CH" sz="1100"/>
            </a:p>
          </xdr:txBody>
        </xdr:sp>
      </mc:Fallback>
    </mc:AlternateContent>
    <xdr:clientData/>
  </xdr:one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4.617931250003" createdVersion="6" refreshedVersion="6" minRefreshableVersion="3" recordCount="27" xr:uid="{D4EFAB0A-93B6-4940-B02D-DC43079052CE}">
  <cacheSource type="worksheet">
    <worksheetSource name="dd_covid19_openzh_cantons_latest5"/>
  </cacheSource>
  <cacheFields count="31">
    <cacheField name="last_update" numFmtId="22">
      <sharedItems containsSemiMixedTypes="0" containsNonDate="0" containsDate="1" containsString="0" minDate="2020-04-23T12:04:15" maxDate="2020-04-23T12:04:15"/>
    </cacheField>
    <cacheField name="timestamp" numFmtId="22">
      <sharedItems containsSemiMixedTypes="0" containsNonDate="0" containsDate="1" containsString="0" minDate="2020-04-21T01:00:00" maxDate="2020-04-23T11:30:00"/>
    </cacheField>
    <cacheField name="country" numFmtId="0">
      <sharedItems/>
    </cacheField>
    <cacheField name="abbreviation_canton" numFmtId="0">
      <sharedItems count="27">
        <s v="AG"/>
        <s v="AI"/>
        <s v="AR"/>
        <s v="BE"/>
        <s v="BL"/>
        <s v="BS"/>
        <s v="FL"/>
        <s v="FR"/>
        <s v="GE"/>
        <s v="GL"/>
        <s v="GR"/>
        <s v="JU"/>
        <s v="LU"/>
        <s v="NE"/>
        <s v="NW"/>
        <s v="OW"/>
        <s v="SG"/>
        <s v="SH"/>
        <s v="SO"/>
        <s v="SZ"/>
        <s v="TG"/>
        <s v="TI"/>
        <s v="UR"/>
        <s v="VD"/>
        <s v="VS"/>
        <s v="ZG"/>
        <s v="ZH"/>
      </sharedItems>
    </cacheField>
    <cacheField name="name_canton" numFmtId="0">
      <sharedItems/>
    </cacheField>
    <cacheField name="number_canton" numFmtId="0">
      <sharedItems containsSemiMixedTypes="0" containsString="0" containsNumber="1" containsInteger="1" minValue="0" maxValue="26"/>
    </cacheField>
    <cacheField name="lat" numFmtId="0">
      <sharedItems containsSemiMixedTypes="0" containsString="0" containsNumber="1" minValue="46.209567" maxValue="47.713569999999997"/>
    </cacheField>
    <cacheField name="long" numFmtId="0">
      <sharedItems containsSemiMixedTypes="0" containsString="0" containsNumber="1" minValue="6.1329349999999998" maxValue="9.6281979999999994"/>
    </cacheField>
    <cacheField name="tests_performed" numFmtId="0">
      <sharedItems containsString="0" containsBlank="1" containsNumber="1" containsInteger="1" minValue="6" maxValue="22735"/>
    </cacheField>
    <cacheField name="total_currently_positive_cases" numFmtId="0">
      <sharedItems containsSemiMixedTypes="0" containsString="0" containsNumber="1" containsInteger="1" minValue="25" maxValue="5071"/>
    </cacheField>
    <cacheField name="total_positive_cases" numFmtId="0">
      <sharedItems containsSemiMixedTypes="0" containsString="0" containsNumber="1" containsInteger="1" minValue="25" maxValue="5071"/>
    </cacheField>
    <cacheField name="new_hosp" numFmtId="0">
      <sharedItems containsString="0" containsBlank="1" containsNumber="1" containsInteger="1" minValue="-16" maxValue="1"/>
    </cacheField>
    <cacheField name="total_hospitalized" numFmtId="0">
      <sharedItems containsString="0" containsBlank="1" containsNumber="1" containsInteger="1" minValue="0" maxValue="288"/>
    </cacheField>
    <cacheField name="total_currently_positive_per_100k" numFmtId="0">
      <sharedItems containsSemiMixedTypes="0" containsString="0" containsNumber="1" minValue="79.849999999999994" maxValue="951.13"/>
    </cacheField>
    <cacheField name="deaths_per_100k" numFmtId="0">
      <sharedItems containsString="0" containsBlank="1" containsNumber="1" minValue="0" maxValue="84.251999999999995"/>
    </cacheField>
    <cacheField name="released" numFmtId="0">
      <sharedItems containsString="0" containsBlank="1" containsNumber="1" containsInteger="1" minValue="1" maxValue="786"/>
    </cacheField>
    <cacheField name="ncumul_ICU_intub" numFmtId="0">
      <sharedItems containsSemiMixedTypes="0" containsString="0" containsNumber="1" containsInteger="1" minValue="0" maxValue="0"/>
    </cacheField>
    <cacheField name="deaths" numFmtId="0">
      <sharedItems containsString="0" containsBlank="1" containsNumber="1" containsInteger="1" minValue="0" maxValue="324"/>
    </cacheField>
    <cacheField name="intensive_care" numFmtId="0">
      <sharedItems containsString="0" containsBlank="1" containsNumber="1" containsInteger="1" minValue="1" maxValue="44"/>
    </cacheField>
    <cacheField name="ncumul_vent" numFmtId="0">
      <sharedItems containsString="0" containsBlank="1" containsNumber="1" containsInteger="1" minValue="3" maxValue="44"/>
    </cacheField>
    <cacheField name="ncumul_confirmed_non_resident" numFmtId="0">
      <sharedItems containsString="0" containsBlank="1" containsNumber="1" containsInteger="1" minValue="511" maxValue="511"/>
    </cacheField>
    <cacheField name="current_hosp_non_resident" numFmtId="0">
      <sharedItems containsString="0" containsBlank="1" containsNumber="1" containsInteger="1" minValue="16" maxValue="16"/>
    </cacheField>
    <cacheField name="TotalPosTests1" numFmtId="0">
      <sharedItems/>
    </cacheField>
    <cacheField name="ninst_ICU_intub" numFmtId="0">
      <sharedItems/>
    </cacheField>
    <cacheField name="ncumul_ICF" numFmtId="0">
      <sharedItems containsString="0" containsBlank="1" containsNumber="1" containsInteger="1" minValue="18" maxValue="18"/>
    </cacheField>
    <cacheField name="ncumul_deceased_suspect" numFmtId="0">
      <sharedItems/>
    </cacheField>
    <cacheField name="new_positive_cases" numFmtId="0">
      <sharedItems containsSemiMixedTypes="0" containsString="0" containsNumber="1" containsInteger="1" minValue="0" maxValue="40"/>
    </cacheField>
    <cacheField name="new_deaths" numFmtId="0">
      <sharedItems containsString="0" containsBlank="1" containsNumber="1" containsInteger="1" minValue="0" maxValue="3"/>
    </cacheField>
    <cacheField name="doubling_time_total_positive" numFmtId="0">
      <sharedItems containsString="0" containsBlank="1" containsNumber="1" minValue="32.123173999999999" maxValue="321.61718000000002"/>
    </cacheField>
    <cacheField name="doubling_time_fatalities" numFmtId="0">
      <sharedItems containsString="0" containsBlank="1" containsNumber="1" minValue="0" maxValue="192.34313900000001"/>
    </cacheField>
    <cacheField name="sourc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gdbepe4" refreshedDate="43944.617931365741" createdVersion="6" refreshedVersion="6" minRefreshableVersion="3" recordCount="1179" xr:uid="{37EF3B63-EB10-4CD9-B11C-740947B897E2}">
  <cacheSource type="worksheet">
    <worksheetSource name="dd_covid19_openzh_cantons_series4"/>
  </cacheSource>
  <cacheFields count="27">
    <cacheField name="date" numFmtId="14">
      <sharedItems containsSemiMixedTypes="0" containsNonDate="0" containsDate="1" containsString="0" minDate="2020-02-25T00:00:00" maxDate="2020-04-24T00:00:00" count="59">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sharedItems>
      <fieldGroup par="26" base="0">
        <rangePr groupBy="days" startDate="2020-02-25T00:00:00" endDate="2020-04-24T00:00:00"/>
        <groupItems count="368">
          <s v="&lt;25.02.2020"/>
          <s v="01. Jan"/>
          <s v="02. Jan"/>
          <s v="03. Jan"/>
          <s v="04. Jan"/>
          <s v="05. Jan"/>
          <s v="06. Jan"/>
          <s v="07. Jan"/>
          <s v="08. Jan"/>
          <s v="09. Jan"/>
          <s v="10. Jan"/>
          <s v="11. Jan"/>
          <s v="12. Jan"/>
          <s v="13. Jan"/>
          <s v="14. Jan"/>
          <s v="15. Jan"/>
          <s v="16. Jan"/>
          <s v="17. Jan"/>
          <s v="18. Jan"/>
          <s v="19. Jan"/>
          <s v="20. Jan"/>
          <s v="21. Jan"/>
          <s v="22. Jan"/>
          <s v="23. Jan"/>
          <s v="24. Jan"/>
          <s v="25. Jan"/>
          <s v="26. Jan"/>
          <s v="27. Jan"/>
          <s v="28. Jan"/>
          <s v="29. Jan"/>
          <s v="30. Jan"/>
          <s v="31. Jan"/>
          <s v="01. Feb"/>
          <s v="02. Feb"/>
          <s v="03. Feb"/>
          <s v="04. Feb"/>
          <s v="05. Feb"/>
          <s v="06. Feb"/>
          <s v="07. Feb"/>
          <s v="08. Feb"/>
          <s v="09. Feb"/>
          <s v="10. Feb"/>
          <s v="11. Feb"/>
          <s v="12. Feb"/>
          <s v="13. Feb"/>
          <s v="14. Feb"/>
          <s v="15. Feb"/>
          <s v="16. Feb"/>
          <s v="17. Feb"/>
          <s v="18. Feb"/>
          <s v="19. Feb"/>
          <s v="20. Feb"/>
          <s v="21. Feb"/>
          <s v="22. Feb"/>
          <s v="23. Feb"/>
          <s v="24. Feb"/>
          <s v="25. Feb"/>
          <s v="26. Feb"/>
          <s v="27. Feb"/>
          <s v="28. Feb"/>
          <s v="29. Feb"/>
          <s v="01. Mär"/>
          <s v="02. Mär"/>
          <s v="03. Mär"/>
          <s v="04. Mär"/>
          <s v="05. Mär"/>
          <s v="06. Mär"/>
          <s v="07. Mär"/>
          <s v="08. Mär"/>
          <s v="09. Mär"/>
          <s v="10. Mär"/>
          <s v="11. Mär"/>
          <s v="12. Mär"/>
          <s v="13. Mär"/>
          <s v="14. Mär"/>
          <s v="15. Mär"/>
          <s v="16. Mär"/>
          <s v="17. Mär"/>
          <s v="18. Mär"/>
          <s v="19. Mär"/>
          <s v="20. Mär"/>
          <s v="21. Mär"/>
          <s v="22. Mär"/>
          <s v="23. Mär"/>
          <s v="24. Mär"/>
          <s v="25. Mär"/>
          <s v="26. Mär"/>
          <s v="27. Mär"/>
          <s v="28. Mär"/>
          <s v="29. Mär"/>
          <s v="30. Mär"/>
          <s v="31. Mär"/>
          <s v="01. Apr"/>
          <s v="02. Apr"/>
          <s v="03. Apr"/>
          <s v="04. Apr"/>
          <s v="05. Apr"/>
          <s v="06. Apr"/>
          <s v="07. Apr"/>
          <s v="08. Apr"/>
          <s v="09. Apr"/>
          <s v="10. Apr"/>
          <s v="11. Apr"/>
          <s v="12. Apr"/>
          <s v="13. Apr"/>
          <s v="14. Apr"/>
          <s v="15. Apr"/>
          <s v="16. Apr"/>
          <s v="17. Apr"/>
          <s v="18. Apr"/>
          <s v="19. Apr"/>
          <s v="20. Apr"/>
          <s v="21. Apr"/>
          <s v="22. Apr"/>
          <s v="23. Apr"/>
          <s v="24. Apr"/>
          <s v="25. Apr"/>
          <s v="26. Apr"/>
          <s v="27. Apr"/>
          <s v="28. Apr"/>
          <s v="29. Apr"/>
          <s v="30. Apr"/>
          <s v="01. Mai"/>
          <s v="02. Mai"/>
          <s v="03. Mai"/>
          <s v="04. Mai"/>
          <s v="05. Mai"/>
          <s v="06. Mai"/>
          <s v="07. Mai"/>
          <s v="08. Mai"/>
          <s v="09. Mai"/>
          <s v="10. Mai"/>
          <s v="11. Mai"/>
          <s v="12. Mai"/>
          <s v="13. Mai"/>
          <s v="14. Mai"/>
          <s v="15. Mai"/>
          <s v="16. Mai"/>
          <s v="17. Mai"/>
          <s v="18. Mai"/>
          <s v="19. Mai"/>
          <s v="20. Mai"/>
          <s v="21. Mai"/>
          <s v="22. Mai"/>
          <s v="23. Mai"/>
          <s v="24. Mai"/>
          <s v="25. Mai"/>
          <s v="26. Mai"/>
          <s v="27. Mai"/>
          <s v="28. Mai"/>
          <s v="29. Mai"/>
          <s v="30. Mai"/>
          <s v="31. Mai"/>
          <s v="01. Jun"/>
          <s v="02. Jun"/>
          <s v="03. Jun"/>
          <s v="04. Jun"/>
          <s v="05. Jun"/>
          <s v="06. Jun"/>
          <s v="07. Jun"/>
          <s v="08. Jun"/>
          <s v="09. Jun"/>
          <s v="10. Jun"/>
          <s v="11. Jun"/>
          <s v="12. Jun"/>
          <s v="13. Jun"/>
          <s v="14. Jun"/>
          <s v="15. Jun"/>
          <s v="16. Jun"/>
          <s v="17. Jun"/>
          <s v="18. Jun"/>
          <s v="19. Jun"/>
          <s v="20. Jun"/>
          <s v="21. Jun"/>
          <s v="22. Jun"/>
          <s v="23. Jun"/>
          <s v="24. Jun"/>
          <s v="25. Jun"/>
          <s v="26. Jun"/>
          <s v="27. Jun"/>
          <s v="28. Jun"/>
          <s v="29. Jun"/>
          <s v="30. Jun"/>
          <s v="01. Jul"/>
          <s v="02. Jul"/>
          <s v="03. Jul"/>
          <s v="04. Jul"/>
          <s v="05. Jul"/>
          <s v="06. Jul"/>
          <s v="07. Jul"/>
          <s v="08. Jul"/>
          <s v="09. Jul"/>
          <s v="10. Jul"/>
          <s v="11. Jul"/>
          <s v="12. Jul"/>
          <s v="13. Jul"/>
          <s v="14. Jul"/>
          <s v="15. Jul"/>
          <s v="16. Jul"/>
          <s v="17. Jul"/>
          <s v="18. Jul"/>
          <s v="19. Jul"/>
          <s v="20. Jul"/>
          <s v="21. Jul"/>
          <s v="22. Jul"/>
          <s v="23. Jul"/>
          <s v="24. Jul"/>
          <s v="25. Jul"/>
          <s v="26. Jul"/>
          <s v="27. Jul"/>
          <s v="28. Jul"/>
          <s v="29. Jul"/>
          <s v="30. Jul"/>
          <s v="31. Jul"/>
          <s v="01. Aug"/>
          <s v="02. Aug"/>
          <s v="03. Aug"/>
          <s v="04. Aug"/>
          <s v="05. Aug"/>
          <s v="06. Aug"/>
          <s v="07. Aug"/>
          <s v="08. Aug"/>
          <s v="09. Aug"/>
          <s v="10. Aug"/>
          <s v="11. Aug"/>
          <s v="12. Aug"/>
          <s v="13. Aug"/>
          <s v="14. Aug"/>
          <s v="15. Aug"/>
          <s v="16. Aug"/>
          <s v="17. Aug"/>
          <s v="18. Aug"/>
          <s v="19. Aug"/>
          <s v="20. Aug"/>
          <s v="21. Aug"/>
          <s v="22. Aug"/>
          <s v="23. Aug"/>
          <s v="24. Aug"/>
          <s v="25. Aug"/>
          <s v="26. Aug"/>
          <s v="27. Aug"/>
          <s v="28. Aug"/>
          <s v="29. Aug"/>
          <s v="30. Aug"/>
          <s v="31. Aug"/>
          <s v="01. Sep"/>
          <s v="02. Sep"/>
          <s v="03. Sep"/>
          <s v="04. Sep"/>
          <s v="05. Sep"/>
          <s v="06. Sep"/>
          <s v="07. Sep"/>
          <s v="08. Sep"/>
          <s v="09. Sep"/>
          <s v="10. Sep"/>
          <s v="11. Sep"/>
          <s v="12. Sep"/>
          <s v="13. Sep"/>
          <s v="14. Sep"/>
          <s v="15. Sep"/>
          <s v="16. Sep"/>
          <s v="17. Sep"/>
          <s v="18. Sep"/>
          <s v="19. Sep"/>
          <s v="20. Sep"/>
          <s v="21. Sep"/>
          <s v="22. Sep"/>
          <s v="23. Sep"/>
          <s v="24. Sep"/>
          <s v="25. Sep"/>
          <s v="26. Sep"/>
          <s v="27. Sep"/>
          <s v="28. Sep"/>
          <s v="29. Sep"/>
          <s v="30. Sep"/>
          <s v="01. Okt"/>
          <s v="02. Okt"/>
          <s v="03. Okt"/>
          <s v="04. Okt"/>
          <s v="05. Okt"/>
          <s v="06. Okt"/>
          <s v="07. Okt"/>
          <s v="08. Okt"/>
          <s v="09. Okt"/>
          <s v="10. Okt"/>
          <s v="11. Okt"/>
          <s v="12. Okt"/>
          <s v="13. Okt"/>
          <s v="14. Okt"/>
          <s v="15. Okt"/>
          <s v="16. Okt"/>
          <s v="17. Okt"/>
          <s v="18. Okt"/>
          <s v="19. Okt"/>
          <s v="20. Okt"/>
          <s v="21. Okt"/>
          <s v="22. Okt"/>
          <s v="23. Okt"/>
          <s v="24. Okt"/>
          <s v="25. Okt"/>
          <s v="26. Okt"/>
          <s v="27. Okt"/>
          <s v="28. Okt"/>
          <s v="29. Okt"/>
          <s v="30. Okt"/>
          <s v="31. Okt"/>
          <s v="01. Nov"/>
          <s v="02. Nov"/>
          <s v="03. Nov"/>
          <s v="04. Nov"/>
          <s v="05. Nov"/>
          <s v="06. Nov"/>
          <s v="07. Nov"/>
          <s v="08. Nov"/>
          <s v="09. Nov"/>
          <s v="10. Nov"/>
          <s v="11. Nov"/>
          <s v="12. Nov"/>
          <s v="13. Nov"/>
          <s v="14. Nov"/>
          <s v="15. Nov"/>
          <s v="16. Nov"/>
          <s v="17. Nov"/>
          <s v="18. Nov"/>
          <s v="19. Nov"/>
          <s v="20. Nov"/>
          <s v="21. Nov"/>
          <s v="22. Nov"/>
          <s v="23. Nov"/>
          <s v="24. Nov"/>
          <s v="25. Nov"/>
          <s v="26. Nov"/>
          <s v="27. Nov"/>
          <s v="28. Nov"/>
          <s v="29. Nov"/>
          <s v="30. Nov"/>
          <s v="01. Dez"/>
          <s v="02. Dez"/>
          <s v="03. Dez"/>
          <s v="04. Dez"/>
          <s v="05. Dez"/>
          <s v="06. Dez"/>
          <s v="07. Dez"/>
          <s v="08. Dez"/>
          <s v="09. Dez"/>
          <s v="10. Dez"/>
          <s v="11. Dez"/>
          <s v="12. Dez"/>
          <s v="13. Dez"/>
          <s v="14. Dez"/>
          <s v="15. Dez"/>
          <s v="16. Dez"/>
          <s v="17. Dez"/>
          <s v="18. Dez"/>
          <s v="19. Dez"/>
          <s v="20. Dez"/>
          <s v="21. Dez"/>
          <s v="22. Dez"/>
          <s v="23. Dez"/>
          <s v="24. Dez"/>
          <s v="25. Dez"/>
          <s v="26. Dez"/>
          <s v="27. Dez"/>
          <s v="28. Dez"/>
          <s v="29. Dez"/>
          <s v="30. Dez"/>
          <s v="31. Dez"/>
          <s v="&gt;24.04.2020"/>
        </groupItems>
      </fieldGroup>
    </cacheField>
    <cacheField name="time" numFmtId="164">
      <sharedItems containsSemiMixedTypes="0" containsNonDate="0" containsDate="1" containsString="0" minDate="1899-12-30T00:01:00" maxDate="1899-12-30T19:17:00"/>
    </cacheField>
    <cacheField name="abbreviation_canton" numFmtId="0">
      <sharedItems count="27">
        <s v="GE"/>
        <s v="TI"/>
        <s v="BS"/>
        <s v="FL"/>
        <s v="JU"/>
        <s v="ZH"/>
        <s v="AG"/>
        <s v="BE"/>
        <s v="BL"/>
        <s v="VD"/>
        <s v="VS"/>
        <s v="ZG"/>
        <s v="FR"/>
        <s v="GL"/>
        <s v="NE"/>
        <s v="SG"/>
        <s v="SZ"/>
        <s v="LU"/>
        <s v="AR"/>
        <s v="SO"/>
        <s v="NW"/>
        <s v="SH"/>
        <s v="UR"/>
        <s v="OW"/>
        <s v="AI"/>
        <s v="TG"/>
        <s v="GR"/>
      </sharedItems>
    </cacheField>
    <cacheField name="tests_performed" numFmtId="0">
      <sharedItems containsString="0" containsBlank="1" containsNumber="1" containsInteger="1" minValue="1" maxValue="22735"/>
    </cacheField>
    <cacheField name="total_positive_cases" numFmtId="0">
      <sharedItems containsString="0" containsBlank="1" containsNumber="1" containsInteger="1" minValue="0" maxValue="5071"/>
    </cacheField>
    <cacheField name="new_hosp" numFmtId="0">
      <sharedItems containsSemiMixedTypes="0" containsString="0" containsNumber="1" containsInteger="1" minValue="-38" maxValue="62"/>
    </cacheField>
    <cacheField name="total_hospitalized" numFmtId="0">
      <sharedItems containsString="0" containsBlank="1" containsNumber="1" containsInteger="1" minValue="0" maxValue="424"/>
    </cacheField>
    <cacheField name="intensive_care" numFmtId="0">
      <sharedItems containsString="0" containsBlank="1" containsNumber="1" containsInteger="1" minValue="0" maxValue="76"/>
    </cacheField>
    <cacheField name="ncumul_vent" numFmtId="0">
      <sharedItems containsString="0" containsBlank="1" containsNumber="1" containsInteger="1" minValue="0" maxValue="73"/>
    </cacheField>
    <cacheField name="released" numFmtId="0">
      <sharedItems containsString="0" containsBlank="1" containsNumber="1" containsInteger="1" minValue="0" maxValue="786"/>
    </cacheField>
    <cacheField name="deaths" numFmtId="0">
      <sharedItems containsString="0" containsBlank="1" containsNumber="1" containsInteger="1" minValue="0" maxValue="324"/>
    </cacheField>
    <cacheField name="source" numFmtId="0">
      <sharedItems longText="1"/>
    </cacheField>
    <cacheField name="ncumul_confirmed_non_resident" numFmtId="0">
      <sharedItems containsString="0" containsBlank="1" containsNumber="1" containsInteger="1" minValue="1" maxValue="511"/>
    </cacheField>
    <cacheField name="current_hosp_non_resident" numFmtId="0">
      <sharedItems/>
    </cacheField>
    <cacheField name="TotalPosTests1" numFmtId="0">
      <sharedItems containsString="0" containsBlank="1" containsNumber="1" containsInteger="1" minValue="6" maxValue="68"/>
    </cacheField>
    <cacheField name="ninst_ICU_intub" numFmtId="0">
      <sharedItems/>
    </cacheField>
    <cacheField name="ncumul_ICF" numFmtId="0">
      <sharedItems containsString="0" containsBlank="1" containsNumber="1" containsInteger="1" minValue="0" maxValue="27"/>
    </cacheField>
    <cacheField name="ncumul_deceased_suspect" numFmtId="0">
      <sharedItems/>
    </cacheField>
    <cacheField name="lat" numFmtId="0">
      <sharedItems containsSemiMixedTypes="0" containsString="0" containsNumber="1" minValue="46.209567" maxValue="47.713569999999997"/>
    </cacheField>
    <cacheField name="long" numFmtId="0">
      <sharedItems containsSemiMixedTypes="0" containsString="0" containsNumber="1" minValue="6.1329349999999998" maxValue="9.6281979999999994"/>
    </cacheField>
    <cacheField name="name_canton" numFmtId="0">
      <sharedItems/>
    </cacheField>
    <cacheField name="number_canton" numFmtId="0">
      <sharedItems containsSemiMixedTypes="0" containsString="0" containsNumber="1" containsInteger="1" minValue="0" maxValue="26"/>
    </cacheField>
    <cacheField name="new_positive_cases" numFmtId="0">
      <sharedItems containsSemiMixedTypes="0" containsString="0" containsNumber="1" containsInteger="1" minValue="0" maxValue="364"/>
    </cacheField>
    <cacheField name="new_deaths" numFmtId="0">
      <sharedItems containsSemiMixedTypes="0" containsString="0" containsNumber="1" containsInteger="1" minValue="0" maxValue="19"/>
    </cacheField>
    <cacheField name="total_currently_positive_per_100k" numFmtId="0">
      <sharedItems containsString="0" containsBlank="1" containsNumber="1" minValue="0" maxValue="951.13"/>
    </cacheField>
    <cacheField name="deaths_per_100k" numFmtId="0">
      <sharedItems containsString="0" containsBlank="1" containsNumber="1" minValue="0" maxValue="84.251999999999995"/>
    </cacheField>
    <cacheField name="Monate" numFmtId="0" databaseField="0">
      <fieldGroup base="0">
        <rangePr groupBy="months" startDate="2020-02-25T00:00:00" endDate="2020-04-24T00:00:00"/>
        <groupItems count="14">
          <s v="&lt;25.02.2020"/>
          <s v="Jan"/>
          <s v="Feb"/>
          <s v="Mär"/>
          <s v="Apr"/>
          <s v="Mai"/>
          <s v="Jun"/>
          <s v="Jul"/>
          <s v="Aug"/>
          <s v="Sep"/>
          <s v="Okt"/>
          <s v="Nov"/>
          <s v="Dez"/>
          <s v="&gt;24.04.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d v="2020-04-23T12:04:15"/>
    <d v="2020-04-22T12:45:00"/>
    <s v="CH"/>
    <x v="0"/>
    <s v="Aargau"/>
    <n v="1"/>
    <n v="47.409660000000002"/>
    <n v="8.1568799999999992"/>
    <m/>
    <n v="1026"/>
    <n v="1026"/>
    <n v="-6"/>
    <n v="37"/>
    <n v="152.91"/>
    <n v="4.62"/>
    <n v="710"/>
    <n v="0"/>
    <n v="31"/>
    <n v="15"/>
    <n v="15"/>
    <m/>
    <m/>
    <s v=""/>
    <s v=""/>
    <m/>
    <s v=""/>
    <n v="9"/>
    <n v="2"/>
    <n v="52.124369999999999"/>
    <n v="13.541555000000001"/>
    <s v="https://www.ag.ch/media/kanton_aargau/themen_1/coronavirus_1/lagebulletins/200422_KFS_Coronavirus_Lagebulletin_38.pdf"/>
  </r>
  <r>
    <d v="2020-04-23T12:04:15"/>
    <d v="2020-04-23T09:00:00"/>
    <s v="CH"/>
    <x v="1"/>
    <s v="Appenzell Innerrhoden"/>
    <n v="16"/>
    <n v="47.317264000000002"/>
    <n v="9.4167539999999992"/>
    <m/>
    <n v="25"/>
    <n v="25"/>
    <n v="0"/>
    <n v="1"/>
    <n v="155.28"/>
    <m/>
    <m/>
    <n v="0"/>
    <m/>
    <m/>
    <m/>
    <m/>
    <m/>
    <s v=""/>
    <s v=""/>
    <m/>
    <s v=""/>
    <n v="1"/>
    <m/>
    <n v="84.898740000000004"/>
    <n v="0"/>
    <s v="https://www.ai.ch/themen/gesundheit-alter-und-soziales/gesundheitsfoerderung-und-praevention/uebertragbare-krankheiten/coronavirus"/>
  </r>
  <r>
    <d v="2020-04-23T12:04:15"/>
    <d v="2020-04-23T06:00:00"/>
    <s v="CH"/>
    <x v="2"/>
    <s v="Appenzell Ausserrhoden"/>
    <n v="15"/>
    <n v="47.416351999999996"/>
    <n v="9.3679100000000002"/>
    <m/>
    <n v="88"/>
    <n v="88"/>
    <n v="0"/>
    <n v="6"/>
    <n v="159.41999999999999"/>
    <n v="5.4349999999999996"/>
    <m/>
    <n v="0"/>
    <n v="3"/>
    <m/>
    <m/>
    <m/>
    <m/>
    <s v=""/>
    <s v=""/>
    <m/>
    <s v=""/>
    <n v="1"/>
    <n v="0"/>
    <n v="32.123173999999999"/>
    <m/>
    <s v="https://www.ar.ch/verwaltung/departement-gesundheit-und-soziales/amt-fuer-gesundheit/informationsseite-coronavirus/"/>
  </r>
  <r>
    <d v="2020-04-23T12:04:15"/>
    <d v="2020-04-23T06:00:00"/>
    <s v="CH"/>
    <x v="3"/>
    <s v="Bern/Berne"/>
    <n v="2"/>
    <n v="46.823608"/>
    <n v="7.6366670000000001"/>
    <m/>
    <n v="1670"/>
    <n v="1670"/>
    <n v="-1"/>
    <n v="66"/>
    <n v="161.96"/>
    <n v="7.6619999999999999"/>
    <m/>
    <n v="0"/>
    <n v="79"/>
    <n v="11"/>
    <n v="7"/>
    <m/>
    <m/>
    <s v=""/>
    <s v=""/>
    <m/>
    <s v=""/>
    <n v="27"/>
    <n v="2"/>
    <n v="67.154358000000002"/>
    <n v="25.607368999999998"/>
    <s v="https://www.besondere-lage.sites.be.ch/besondere-lage_sites/de/index/corona/index.html"/>
  </r>
  <r>
    <d v="2020-04-23T12:04:15"/>
    <d v="2020-04-22T01:00:00"/>
    <s v="CH"/>
    <x v="4"/>
    <s v="Basel-Landschaft"/>
    <n v="13"/>
    <n v="47.45176"/>
    <n v="7.7024140000000001"/>
    <m/>
    <n v="811"/>
    <n v="811"/>
    <n v="0"/>
    <n v="33"/>
    <n v="282.58"/>
    <n v="9.0589999999999993"/>
    <n v="683"/>
    <n v="0"/>
    <n v="26"/>
    <n v="3"/>
    <n v="3"/>
    <m/>
    <m/>
    <s v=""/>
    <s v=""/>
    <m/>
    <s v=""/>
    <n v="2"/>
    <n v="0"/>
    <n v="163.597003"/>
    <n v="88.364937999999995"/>
    <s v="https://www.baselland.ch/politik-und-behorden/direktionen/volkswirtschafts-und-gesundheitsdirektion/amt-fur-gesundheit/medizinische-dienste/kantonsarztlicher-dienst/aktuelles/covid-19-faelle-kanton-basel-landschaft"/>
  </r>
  <r>
    <d v="2020-04-23T12:04:15"/>
    <d v="2020-04-22T07:45:00"/>
    <s v="CH"/>
    <x v="5"/>
    <s v="Basel-Stadt"/>
    <n v="12"/>
    <n v="47.564869000000002"/>
    <n v="7.615259"/>
    <n v="235"/>
    <n v="933"/>
    <n v="933"/>
    <n v="-5"/>
    <n v="49"/>
    <n v="481.18"/>
    <n v="23.207999999999998"/>
    <n v="786"/>
    <n v="0"/>
    <n v="45"/>
    <n v="7"/>
    <m/>
    <n v="511"/>
    <n v="16"/>
    <s v=""/>
    <s v=""/>
    <m/>
    <s v=""/>
    <n v="0"/>
    <n v="1"/>
    <n v="321.61718000000002"/>
    <n v="17.705399"/>
    <s v="https://www.gd.bs.ch//nm/2020-tagesbulletin-coronavirus-933-bestaetigte-faelle-im-kanton-basel-stadt-gd-3.html"/>
  </r>
  <r>
    <d v="2020-04-23T12:04:15"/>
    <d v="2020-04-22T01:00:00"/>
    <s v="CH"/>
    <x v="6"/>
    <s v="Fürstentum Lichtenstein"/>
    <n v="0"/>
    <n v="47.166666999999997"/>
    <n v="9.509722"/>
    <n v="900"/>
    <n v="81"/>
    <n v="81"/>
    <m/>
    <m/>
    <n v="209.84"/>
    <n v="2.5910000000000002"/>
    <n v="1"/>
    <n v="0"/>
    <n v="1"/>
    <m/>
    <m/>
    <m/>
    <m/>
    <s v=""/>
    <s v=""/>
    <m/>
    <s v=""/>
    <n v="0"/>
    <n v="0"/>
    <m/>
    <m/>
    <s v="https://www.regierung.li/de/mitteilungen/223419/?typ=news"/>
  </r>
  <r>
    <d v="2020-04-23T12:04:15"/>
    <d v="2020-04-23T01:00:00"/>
    <s v="CH"/>
    <x v="7"/>
    <s v="Fribourg"/>
    <n v="10"/>
    <n v="46.718390999999997"/>
    <n v="7.0740080000000001"/>
    <n v="30"/>
    <n v="1014"/>
    <n v="1014"/>
    <n v="0"/>
    <n v="57"/>
    <n v="321.8"/>
    <n v="24.119"/>
    <n v="118"/>
    <n v="0"/>
    <n v="76"/>
    <n v="5"/>
    <m/>
    <m/>
    <m/>
    <s v=""/>
    <s v=""/>
    <m/>
    <s v=""/>
    <n v="8"/>
    <n v="0"/>
    <n v="58.840746000000003"/>
    <n v="35.867218999999999"/>
    <s v="https://www.fr.ch/covid19/sante/covid-19/coronavirus-statistiques-evolution-de-la-situation-dans-le-canton"/>
  </r>
  <r>
    <d v="2020-04-23T12:04:15"/>
    <d v="2020-04-22T10:00:00"/>
    <s v="CH"/>
    <x v="8"/>
    <s v="Genève"/>
    <n v="25"/>
    <n v="46.220528000000002"/>
    <n v="6.1329349999999998"/>
    <n v="22735"/>
    <n v="4710"/>
    <n v="4710"/>
    <n v="-16"/>
    <n v="288"/>
    <n v="951.13"/>
    <n v="41.396999999999998"/>
    <n v="589"/>
    <n v="0"/>
    <n v="205"/>
    <n v="30"/>
    <n v="27"/>
    <m/>
    <m/>
    <s v=""/>
    <s v=""/>
    <n v="18"/>
    <s v=""/>
    <n v="0"/>
    <n v="0"/>
    <n v="153.72363100000001"/>
    <n v="77.195927999999995"/>
    <s v="https://www.ge.ch/document/covid-19-situation-epidemiologique-geneve/telecharger"/>
  </r>
  <r>
    <d v="2020-04-23T12:04:15"/>
    <d v="2020-04-23T11:30:00"/>
    <s v="CH"/>
    <x v="9"/>
    <s v="Glarus"/>
    <n v="8"/>
    <n v="46.931042000000005"/>
    <n v="9.0657510000000006"/>
    <m/>
    <n v="117"/>
    <n v="117"/>
    <n v="0"/>
    <n v="3"/>
    <n v="290.32"/>
    <n v="14.888"/>
    <m/>
    <n v="0"/>
    <n v="6"/>
    <m/>
    <m/>
    <m/>
    <m/>
    <s v=""/>
    <s v=""/>
    <m/>
    <s v=""/>
    <n v="0"/>
    <n v="0"/>
    <n v="35.101447999999998"/>
    <n v="5"/>
    <s v="https://www.gl.ch/verwaltung/finanzen-und-gesundheit/gesundheit/coronavirus.html/4817#Fallzahlen"/>
  </r>
  <r>
    <d v="2020-04-23T12:04:15"/>
    <d v="2020-04-22T01:00:00"/>
    <s v="CH"/>
    <x v="10"/>
    <s v="Graubünden/Grigioni"/>
    <n v="1"/>
    <n v="46.656247999999998"/>
    <n v="9.6281979999999994"/>
    <m/>
    <n v="788"/>
    <n v="788"/>
    <n v="-1"/>
    <n v="26"/>
    <n v="398.18"/>
    <n v="21.728000000000002"/>
    <m/>
    <n v="0"/>
    <n v="43"/>
    <m/>
    <m/>
    <m/>
    <m/>
    <s v=""/>
    <s v=""/>
    <m/>
    <s v=""/>
    <n v="6"/>
    <n v="1"/>
    <n v="63.275120999999999"/>
    <n v="28.036769"/>
    <s v="https://www.gr.ch/DE/institutionen/verwaltung/djsg/ga/coronavirus/info/Seiten/Start.aspx"/>
  </r>
  <r>
    <d v="2020-04-23T12:04:15"/>
    <d v="2020-04-22T14:00:00"/>
    <s v="CH"/>
    <x v="11"/>
    <s v="Jura"/>
    <n v="26"/>
    <n v="47.350743999999999"/>
    <n v="7.1561070000000004"/>
    <m/>
    <n v="196"/>
    <n v="196"/>
    <n v="0"/>
    <n v="12"/>
    <n v="267.39"/>
    <n v="8.1859999999999999"/>
    <m/>
    <n v="0"/>
    <n v="6"/>
    <n v="4"/>
    <m/>
    <m/>
    <m/>
    <s v=""/>
    <s v=""/>
    <m/>
    <s v=""/>
    <n v="1"/>
    <n v="0"/>
    <n v="134.11651599999999"/>
    <n v="5"/>
    <s v="https://www.jura.ch/fr/Autorites/Coronavirus/Chiffres-H-JU/Evolution-des-cas-COVID-19-dans-le-Jura.html"/>
  </r>
  <r>
    <d v="2020-04-23T12:04:15"/>
    <d v="2020-04-23T09:00:00"/>
    <s v="CH"/>
    <x v="12"/>
    <s v="Luzern"/>
    <n v="3"/>
    <n v="47.067762999999999"/>
    <n v="8.1102000000000007"/>
    <m/>
    <n v="654"/>
    <n v="654"/>
    <n v="0"/>
    <n v="35"/>
    <n v="160.88999999999999"/>
    <n v="3.69"/>
    <m/>
    <n v="0"/>
    <n v="15"/>
    <n v="5"/>
    <m/>
    <m/>
    <m/>
    <s v=""/>
    <s v=""/>
    <m/>
    <s v=""/>
    <n v="6"/>
    <n v="0"/>
    <n v="71.368955"/>
    <m/>
    <s v="https://gesundheit.lu.ch/themen/Humanmedizin/Infektionskrankheiten/Coronavirus"/>
  </r>
  <r>
    <d v="2020-04-23T12:04:15"/>
    <d v="2020-04-22T14:00:00"/>
    <s v="CH"/>
    <x v="13"/>
    <s v="Neuchâtel"/>
    <n v="24"/>
    <n v="46.995533999999999"/>
    <n v="6.7801260000000001"/>
    <m/>
    <n v="652"/>
    <n v="652"/>
    <n v="0"/>
    <n v="37"/>
    <n v="366.29"/>
    <n v="31.460999999999999"/>
    <m/>
    <n v="0"/>
    <n v="56"/>
    <n v="6"/>
    <n v="4"/>
    <m/>
    <m/>
    <s v=""/>
    <s v=""/>
    <m/>
    <s v=""/>
    <n v="0"/>
    <n v="0"/>
    <n v="148.90439699999999"/>
    <n v="192.34313900000001"/>
    <s v="https://www.ne.ch/autorites/DFS/SCSP/medecin-cantonal/maladies-vaccinations/Documents/Covid-19-Statistiques/COVID19_PublicationInternet.xlsx"/>
  </r>
  <r>
    <d v="2020-04-23T12:04:15"/>
    <d v="2020-04-21T01:00:00"/>
    <s v="CH"/>
    <x v="14"/>
    <s v="Nidwalden"/>
    <n v="7"/>
    <n v="46.926755"/>
    <n v="8.4053020000000007"/>
    <m/>
    <n v="108"/>
    <n v="108"/>
    <n v="0"/>
    <n v="4"/>
    <n v="251.16"/>
    <n v="6.9770000000000003"/>
    <m/>
    <n v="0"/>
    <n v="3"/>
    <n v="1"/>
    <m/>
    <m/>
    <m/>
    <s v=""/>
    <s v=""/>
    <m/>
    <s v=""/>
    <n v="0"/>
    <n v="0"/>
    <n v="185.411472"/>
    <n v="8.5475560000000002"/>
    <s v="http://www.nw.ch/coronastatistik"/>
  </r>
  <r>
    <d v="2020-04-23T12:04:15"/>
    <d v="2020-04-23T11:00:00"/>
    <s v="CH"/>
    <x v="15"/>
    <s v="Obwalden"/>
    <n v="6"/>
    <n v="46.804527"/>
    <n v="8.1443170000000009"/>
    <n v="6"/>
    <n v="68"/>
    <n v="68"/>
    <n v="0"/>
    <n v="0"/>
    <n v="180.85"/>
    <n v="0"/>
    <n v="1"/>
    <n v="0"/>
    <n v="0"/>
    <m/>
    <m/>
    <m/>
    <m/>
    <s v=""/>
    <s v=""/>
    <m/>
    <s v=""/>
    <n v="1"/>
    <n v="0"/>
    <n v="76.810782000000003"/>
    <n v="0"/>
    <s v="https://www.ow.ch/de/verwaltung/dienstleistungen/?dienst_id=5962"/>
  </r>
  <r>
    <d v="2020-04-23T12:04:15"/>
    <d v="2020-04-23T01:00:00"/>
    <s v="CH"/>
    <x v="16"/>
    <s v="St. Gallen"/>
    <n v="17"/>
    <n v="47.183199999999999"/>
    <n v="9.2747440000000001"/>
    <m/>
    <n v="736"/>
    <n v="736"/>
    <n v="-9"/>
    <n v="43"/>
    <n v="145.83000000000001"/>
    <n v="6.1420000000000003"/>
    <n v="167"/>
    <n v="0"/>
    <n v="31"/>
    <n v="4"/>
    <m/>
    <m/>
    <m/>
    <s v=""/>
    <s v=""/>
    <m/>
    <s v=""/>
    <n v="12"/>
    <n v="2"/>
    <n v="67.192279999999997"/>
    <n v="25.086698999999999"/>
    <s v="https://www.sg.ch/tools/informationen-coronavirus.html"/>
  </r>
  <r>
    <d v="2020-04-23T12:04:15"/>
    <d v="2020-04-23T07:30:00"/>
    <s v="CH"/>
    <x v="17"/>
    <s v="Schaffhausen"/>
    <n v="14"/>
    <n v="47.713569999999997"/>
    <n v="8.5916700000000006"/>
    <m/>
    <n v="65"/>
    <n v="65"/>
    <n v="-2"/>
    <n v="8"/>
    <n v="79.849999999999994"/>
    <n v="3.6859999999999999"/>
    <m/>
    <n v="0"/>
    <n v="3"/>
    <n v="2"/>
    <m/>
    <m/>
    <m/>
    <s v=""/>
    <s v=""/>
    <m/>
    <s v=""/>
    <n v="2"/>
    <n v="0"/>
    <n v="54.566997999999998"/>
    <n v="3.154649"/>
    <s v="https://sh.ch/CMS/Webseite/Kanton-Schaffhausen/Beh-rde/Verwaltung/Departement-des-Innern/Gesundheitsamt-3209198-DE.html"/>
  </r>
  <r>
    <d v="2020-04-23T12:04:15"/>
    <d v="2020-04-23T01:00:00"/>
    <s v="CH"/>
    <x v="18"/>
    <s v="Solothurn"/>
    <n v="11"/>
    <n v="47.304135000000002"/>
    <n v="7.6393880000000003"/>
    <m/>
    <n v="375"/>
    <n v="375"/>
    <n v="-3"/>
    <n v="15"/>
    <n v="138.16999999999999"/>
    <n v="4.4219999999999997"/>
    <m/>
    <n v="0"/>
    <n v="12"/>
    <m/>
    <m/>
    <m/>
    <m/>
    <s v=""/>
    <s v=""/>
    <m/>
    <s v=""/>
    <n v="7"/>
    <n v="1"/>
    <n v="57.324716000000002"/>
    <n v="19.00892"/>
    <s v="https://corona.so.ch/"/>
  </r>
  <r>
    <d v="2020-04-23T12:04:15"/>
    <d v="2020-04-23T06:20:00"/>
    <s v="CH"/>
    <x v="19"/>
    <s v="Schwyz"/>
    <n v="5"/>
    <n v="47.061787000000002"/>
    <n v="8.7565849999999994"/>
    <n v="10"/>
    <n v="282"/>
    <n v="282"/>
    <n v="0"/>
    <n v="1"/>
    <n v="179.28"/>
    <n v="10.172000000000001"/>
    <n v="198"/>
    <n v="0"/>
    <n v="16"/>
    <m/>
    <m/>
    <m/>
    <m/>
    <s v=""/>
    <s v=""/>
    <m/>
    <s v=""/>
    <n v="0"/>
    <n v="0"/>
    <n v="59.333858999999997"/>
    <n v="25.954464999999999"/>
    <s v="https://www.sz.ch/public/upload/assets/46266/COVID-19_Fallzahlen_Kanton_Schwyz.xlsx"/>
  </r>
  <r>
    <d v="2020-04-23T12:04:15"/>
    <d v="2020-04-23T01:00:00"/>
    <s v="CH"/>
    <x v="20"/>
    <s v="Thurgau"/>
    <n v="1"/>
    <n v="47.568714999999997"/>
    <n v="9.0919570000000007"/>
    <n v="276"/>
    <n v="353"/>
    <n v="353"/>
    <n v="-2"/>
    <n v="21"/>
    <n v="128.93"/>
    <n v="5.1130000000000004"/>
    <m/>
    <n v="0"/>
    <n v="14"/>
    <n v="9"/>
    <m/>
    <m/>
    <m/>
    <s v=""/>
    <s v=""/>
    <m/>
    <s v=""/>
    <n v="13"/>
    <n v="0"/>
    <n v="56.506790000000002"/>
    <n v="46.766033"/>
    <s v="https://www.tg.ch/news/fachdossier-coronavirus.html/10552"/>
  </r>
  <r>
    <d v="2020-04-23T12:04:15"/>
    <d v="2020-04-23T06:00:00"/>
    <s v="CH"/>
    <x v="21"/>
    <s v="Ticino"/>
    <n v="21"/>
    <n v="46.295617"/>
    <n v="8.8089239999999993"/>
    <m/>
    <n v="3106"/>
    <n v="3106"/>
    <n v="0"/>
    <n v="213"/>
    <n v="878.15"/>
    <n v="84.251999999999995"/>
    <n v="661"/>
    <n v="0"/>
    <n v="298"/>
    <n v="42"/>
    <n v="32"/>
    <m/>
    <m/>
    <s v=""/>
    <s v=""/>
    <m/>
    <s v=""/>
    <n v="17"/>
    <n v="3"/>
    <n v="94.368808999999999"/>
    <n v="47.426471999999997"/>
    <s v="https://www4.ti.ch/area-media/comunicati/dettaglio-comunicato/?NEWS_ID=187672&amp;tx_tichareamedia_comunicazioni%5Baction%5D=show&amp;tx_tichareamedia_comunicazioni%5Bcontroller%5D=Comunicazioni&amp;cHash=97e1b5c9b1c83ce43bd3c76d46f6aba5"/>
  </r>
  <r>
    <d v="2020-04-23T12:04:15"/>
    <d v="2020-04-22T13:00:00"/>
    <s v="CH"/>
    <x v="22"/>
    <s v="Uri"/>
    <n v="4"/>
    <n v="46.771849000000003"/>
    <n v="8.6285860000000003"/>
    <n v="85"/>
    <n v="78"/>
    <n v="78"/>
    <n v="1"/>
    <n v="3"/>
    <n v="214.88"/>
    <n v="13.773999999999999"/>
    <n v="69"/>
    <n v="0"/>
    <n v="5"/>
    <m/>
    <m/>
    <m/>
    <m/>
    <s v=""/>
    <s v=""/>
    <m/>
    <s v=""/>
    <n v="0"/>
    <n v="0"/>
    <m/>
    <m/>
    <s v="https://www.ur.ch/themen/2962"/>
  </r>
  <r>
    <d v="2020-04-23T12:04:15"/>
    <d v="2020-04-22T01:00:00"/>
    <s v="CH"/>
    <x v="23"/>
    <s v="Vaud"/>
    <n v="22"/>
    <n v="46.570090999999998"/>
    <n v="6.5578090000000007"/>
    <m/>
    <n v="5071"/>
    <n v="5071"/>
    <n v="-12"/>
    <n v="196"/>
    <n v="639.39"/>
    <n v="40.851999999999997"/>
    <n v="225"/>
    <n v="0"/>
    <n v="324"/>
    <n v="44"/>
    <m/>
    <m/>
    <m/>
    <s v=""/>
    <s v=""/>
    <m/>
    <s v=""/>
    <n v="30"/>
    <n v="3"/>
    <n v="109.490565"/>
    <n v="38.344546999999999"/>
    <s v="https://www.vd.ch/toutes-les-actualites/hotline-et-informations-sur-le-coronavirus/point-de-situation-statistique-dans-le-canton-de-vaud/"/>
  </r>
  <r>
    <d v="2020-04-23T12:04:15"/>
    <d v="2020-04-22T13:00:00"/>
    <s v="CH"/>
    <x v="24"/>
    <s v="Valais/Wallis"/>
    <n v="23"/>
    <n v="46.209567"/>
    <n v="7.6046589999999998"/>
    <m/>
    <n v="1792"/>
    <n v="1792"/>
    <n v="0"/>
    <n v="76"/>
    <n v="524.74"/>
    <n v="33.381999999999998"/>
    <n v="210"/>
    <n v="0"/>
    <n v="114"/>
    <n v="15"/>
    <n v="11"/>
    <m/>
    <m/>
    <s v=""/>
    <s v=""/>
    <m/>
    <s v=""/>
    <n v="1"/>
    <n v="1"/>
    <n v="175.70711399999999"/>
    <n v="24.565992999999999"/>
    <s v="https://www.vs.ch/documents/6756452/7008787/2020%2004%2022%20Sit%20Epid%20-%20%C3%89tat%20Stand"/>
  </r>
  <r>
    <d v="2020-04-23T12:04:15"/>
    <d v="2020-04-23T06:00:00"/>
    <s v="CH"/>
    <x v="25"/>
    <s v="Zug"/>
    <n v="9"/>
    <n v="47.157296000000002"/>
    <n v="8.5372939999999993"/>
    <m/>
    <n v="178"/>
    <n v="178"/>
    <n v="0"/>
    <n v="5"/>
    <n v="141.94999999999999"/>
    <n v="6.38"/>
    <n v="133"/>
    <n v="0"/>
    <n v="8"/>
    <n v="3"/>
    <m/>
    <m/>
    <m/>
    <s v=""/>
    <s v=""/>
    <m/>
    <s v=""/>
    <n v="0"/>
    <n v="0"/>
    <n v="203.89588699999999"/>
    <n v="25.954464999999999"/>
    <s v="https://www.zg.ch/behoerden/gesundheitsdirektion/statistikfachstelle/themen/gesundheit/corona"/>
  </r>
  <r>
    <d v="2020-04-23T12:04:15"/>
    <d v="2020-04-22T12:30:00"/>
    <s v="CH"/>
    <x v="26"/>
    <s v="Zürich"/>
    <n v="1"/>
    <n v="47.412750000000003"/>
    <n v="8.6550799999999999"/>
    <m/>
    <n v="3320"/>
    <n v="3320"/>
    <n v="0"/>
    <n v="110"/>
    <n v="220.7"/>
    <n v="7.1790000000000003"/>
    <m/>
    <n v="0"/>
    <n v="108"/>
    <n v="44"/>
    <n v="44"/>
    <m/>
    <m/>
    <s v=""/>
    <s v=""/>
    <m/>
    <s v=""/>
    <n v="40"/>
    <n v="0"/>
    <n v="75.476979999999998"/>
    <n v="35.669021999999998"/>
    <s v="https://gd.zh.ch/internet/gesundheitsdirektion/de/themen/coronavirus.html"/>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79">
  <r>
    <x v="0"/>
    <d v="1899-12-30T03:00:00"/>
    <x v="0"/>
    <n v="72"/>
    <n v="0"/>
    <n v="0"/>
    <n v="0"/>
    <n v="0"/>
    <n v="0"/>
    <m/>
    <n v="0"/>
    <s v="https://www.ge.ch/document/covid-19-situation-epidemiologique-geneve/telecharger"/>
    <m/>
    <s v=""/>
    <m/>
    <s v=""/>
    <n v="0"/>
    <s v=""/>
    <n v="46.220528000000002"/>
    <n v="6.1329349999999998"/>
    <s v="Genève"/>
    <n v="25"/>
    <n v="0"/>
    <n v="0"/>
    <n v="0"/>
    <n v="0"/>
  </r>
  <r>
    <x v="0"/>
    <d v="1899-12-30T03:00:00"/>
    <x v="1"/>
    <m/>
    <n v="1"/>
    <n v="0"/>
    <m/>
    <m/>
    <m/>
    <m/>
    <m/>
    <s v="https://www.srf.ch/news/schweiz/tessiner-patient-erster-coronavirus-fall-in-der-schweiz"/>
    <m/>
    <s v=""/>
    <m/>
    <s v=""/>
    <m/>
    <s v=""/>
    <n v="46.295617"/>
    <n v="8.8089239999999993"/>
    <s v="Ticino"/>
    <n v="21"/>
    <n v="0"/>
    <n v="0"/>
    <n v="0.28000000000000003"/>
    <m/>
  </r>
  <r>
    <x v="1"/>
    <d v="1899-12-30T03:00:00"/>
    <x v="0"/>
    <n v="178"/>
    <n v="1"/>
    <n v="1"/>
    <n v="1"/>
    <n v="0"/>
    <n v="0"/>
    <m/>
    <n v="0"/>
    <s v="https://www.ge.ch/document/covid-19-situation-epidemiologique-geneve/telecharger"/>
    <m/>
    <s v=""/>
    <m/>
    <s v=""/>
    <n v="0"/>
    <s v=""/>
    <n v="46.220528000000002"/>
    <n v="6.1329349999999998"/>
    <s v="Genève"/>
    <n v="25"/>
    <n v="1"/>
    <n v="0"/>
    <n v="0.2"/>
    <n v="0"/>
  </r>
  <r>
    <x v="1"/>
    <d v="1899-12-30T03:00:00"/>
    <x v="1"/>
    <m/>
    <n v="1"/>
    <n v="0"/>
    <m/>
    <m/>
    <m/>
    <m/>
    <m/>
    <s v="https://www.srf.ch/news/schweiz/tessiner-patient-erster-coronavirus-fall-in-der-schweiz"/>
    <m/>
    <s v=""/>
    <m/>
    <s v=""/>
    <m/>
    <s v=""/>
    <n v="46.295617"/>
    <n v="8.8089239999999993"/>
    <s v="Ticino"/>
    <n v="21"/>
    <n v="0"/>
    <n v="0"/>
    <n v="0.28000000000000003"/>
    <m/>
  </r>
  <r>
    <x v="2"/>
    <d v="1899-12-30T19:17:00"/>
    <x v="2"/>
    <m/>
    <n v="1"/>
    <n v="0"/>
    <m/>
    <m/>
    <m/>
    <m/>
    <m/>
    <s v="https://www.coronavirus.bs.ch/nm/2020-coronavirus-erster-positiver-fall-in-basel-stadt-zweiter-positiv-getesteter-ausserkantonaler-fall-gd.html"/>
    <n v="1"/>
    <s v=""/>
    <m/>
    <s v=""/>
    <m/>
    <s v=""/>
    <n v="47.564869000000002"/>
    <n v="7.615259"/>
    <s v="Basel-Stadt"/>
    <n v="12"/>
    <n v="0"/>
    <n v="0"/>
    <n v="0.52"/>
    <m/>
  </r>
  <r>
    <x v="2"/>
    <d v="1899-12-30T03:00:00"/>
    <x v="3"/>
    <n v="3"/>
    <m/>
    <n v="0"/>
    <m/>
    <m/>
    <m/>
    <m/>
    <m/>
    <s v="https://www.regierung.li/media/attachments/83-verdachtsfaelle-negativ-getestet.pdf?t=637202562374055719"/>
    <m/>
    <s v=""/>
    <m/>
    <s v=""/>
    <m/>
    <s v=""/>
    <n v="47.166666999999997"/>
    <n v="9.509722"/>
    <s v="Fürstentum Lichtenstein"/>
    <n v="0"/>
    <n v="0"/>
    <n v="0"/>
    <m/>
    <m/>
  </r>
  <r>
    <x v="2"/>
    <d v="1899-12-30T03:00:00"/>
    <x v="0"/>
    <n v="326"/>
    <n v="1"/>
    <n v="0"/>
    <n v="1"/>
    <n v="0"/>
    <n v="0"/>
    <m/>
    <n v="0"/>
    <s v="https://www.ge.ch/document/covid-19-situation-epidemiologique-geneve/telecharger"/>
    <m/>
    <s v=""/>
    <m/>
    <s v=""/>
    <n v="0"/>
    <s v=""/>
    <n v="46.220528000000002"/>
    <n v="6.1329349999999998"/>
    <s v="Genève"/>
    <n v="25"/>
    <n v="0"/>
    <n v="0"/>
    <n v="0.2"/>
    <n v="0"/>
  </r>
  <r>
    <x v="2"/>
    <d v="1899-12-30T03:00:00"/>
    <x v="4"/>
    <m/>
    <n v="1"/>
    <n v="0"/>
    <n v="1"/>
    <m/>
    <m/>
    <m/>
    <m/>
    <s v="https://www.jura.ch/fr/Autorites/Coronavirus/Chiffres-H-JU/Evolution-des-cas-COVID-19-dans-le-Jura.html"/>
    <m/>
    <s v=""/>
    <m/>
    <s v=""/>
    <m/>
    <s v=""/>
    <n v="47.350743999999999"/>
    <n v="7.1561070000000004"/>
    <s v="Jura"/>
    <n v="26"/>
    <n v="0"/>
    <n v="0"/>
    <n v="1.36"/>
    <m/>
  </r>
  <r>
    <x v="2"/>
    <d v="1899-12-30T03:00:00"/>
    <x v="1"/>
    <m/>
    <n v="1"/>
    <n v="0"/>
    <m/>
    <m/>
    <m/>
    <m/>
    <m/>
    <s v="https://www.srf.ch/news/schweiz/tessiner-patient-erster-coronavirus-fall-in-der-schweiz"/>
    <m/>
    <s v=""/>
    <m/>
    <s v=""/>
    <m/>
    <s v=""/>
    <n v="46.295617"/>
    <n v="8.8089239999999993"/>
    <s v="Ticino"/>
    <n v="21"/>
    <n v="0"/>
    <n v="0"/>
    <n v="0.28000000000000003"/>
    <m/>
  </r>
  <r>
    <x v="2"/>
    <d v="1899-12-30T14:30:00"/>
    <x v="5"/>
    <m/>
    <n v="2"/>
    <n v="0"/>
    <m/>
    <m/>
    <m/>
    <m/>
    <m/>
    <s v="https://gd.zh.ch/internet/gesundheitsdirektion/de/themen/coronavirus.html"/>
    <m/>
    <s v=""/>
    <m/>
    <s v=""/>
    <m/>
    <s v=""/>
    <n v="47.412750000000003"/>
    <n v="8.6550799999999999"/>
    <s v="Zürich"/>
    <n v="1"/>
    <n v="0"/>
    <n v="0"/>
    <n v="0.13"/>
    <m/>
  </r>
  <r>
    <x v="3"/>
    <d v="1899-12-30T15:00:00"/>
    <x v="6"/>
    <m/>
    <n v="1"/>
    <n v="0"/>
    <m/>
    <m/>
    <m/>
    <m/>
    <m/>
    <s v="https://www.ag.ch/media/kanton_aargau/themen_1/coronavirus_1/20200228_KFS_20200106_Coronavirus_Lagebulletin_AG_Unterschrieben.pdf"/>
    <m/>
    <s v=""/>
    <m/>
    <s v=""/>
    <m/>
    <s v=""/>
    <n v="47.409660000000002"/>
    <n v="8.1568799999999992"/>
    <s v="Aargau"/>
    <n v="1"/>
    <n v="0"/>
    <n v="0"/>
    <n v="0.15"/>
    <m/>
  </r>
  <r>
    <x v="3"/>
    <d v="1899-12-30T03:00:00"/>
    <x v="7"/>
    <m/>
    <n v="1"/>
    <n v="0"/>
    <m/>
    <m/>
    <m/>
    <m/>
    <m/>
    <s v="https://www.be.ch/portal/de/index/mediencenter/medienmitteilungen/suche.archiv.meldungNeu.html/portal/de/meldungen/mm/2020/02/20200229_0936_corona.html"/>
    <m/>
    <s v=""/>
    <m/>
    <s v=""/>
    <m/>
    <s v=""/>
    <n v="46.823608"/>
    <n v="7.6366670000000001"/>
    <s v="Bern/Berne"/>
    <n v="2"/>
    <n v="0"/>
    <n v="0"/>
    <n v="0.1"/>
    <m/>
  </r>
  <r>
    <x v="3"/>
    <d v="1899-12-30T03:00:00"/>
    <x v="8"/>
    <m/>
    <n v="1"/>
    <n v="0"/>
    <m/>
    <m/>
    <m/>
    <m/>
    <m/>
    <s v="https://www.baselland.ch/politik-und-behorden/direktionen/volkswirtschafts-und-gesundheitsdirektion/medienmitteilungen/neuer-coronavirus-covid-19-erster-bestaetigter-fall-aus-dem-kanton-basel-landschaft"/>
    <m/>
    <s v=""/>
    <m/>
    <s v=""/>
    <m/>
    <s v=""/>
    <n v="47.45176"/>
    <n v="7.7024140000000001"/>
    <s v="Basel-Landschaft"/>
    <n v="13"/>
    <n v="0"/>
    <n v="0"/>
    <n v="0.35"/>
    <m/>
  </r>
  <r>
    <x v="3"/>
    <d v="1899-12-30T10:15:00"/>
    <x v="2"/>
    <m/>
    <n v="1"/>
    <n v="0"/>
    <m/>
    <m/>
    <m/>
    <m/>
    <m/>
    <s v="https://twitter.com/BR_Sprecher/status/1233316679863631873?s=20"/>
    <n v="1"/>
    <s v=""/>
    <m/>
    <s v=""/>
    <m/>
    <s v=""/>
    <n v="47.564869000000002"/>
    <n v="7.615259"/>
    <s v="Basel-Stadt"/>
    <n v="12"/>
    <n v="0"/>
    <n v="0"/>
    <n v="0.52"/>
    <m/>
  </r>
  <r>
    <x v="3"/>
    <d v="1899-12-30T03:00:00"/>
    <x v="0"/>
    <n v="534"/>
    <n v="4"/>
    <n v="1"/>
    <n v="2"/>
    <n v="0"/>
    <n v="0"/>
    <m/>
    <n v="0"/>
    <s v="https://www.ge.ch/document/covid-19-situation-epidemiologique-geneve/telecharger"/>
    <m/>
    <s v=""/>
    <m/>
    <s v=""/>
    <n v="0"/>
    <s v=""/>
    <n v="46.220528000000002"/>
    <n v="6.1329349999999998"/>
    <s v="Genève"/>
    <n v="25"/>
    <n v="3"/>
    <n v="0"/>
    <n v="0.81"/>
    <n v="0"/>
  </r>
  <r>
    <x v="3"/>
    <d v="1899-12-30T03:00:00"/>
    <x v="4"/>
    <m/>
    <n v="1"/>
    <n v="0"/>
    <n v="1"/>
    <m/>
    <m/>
    <m/>
    <m/>
    <s v="https://www.jura.ch/fr/Autorites/Coronavirus/Chiffres-H-JU/Evolution-des-cas-COVID-19-dans-le-Jura.html"/>
    <m/>
    <s v=""/>
    <m/>
    <s v=""/>
    <m/>
    <s v=""/>
    <n v="47.350743999999999"/>
    <n v="7.1561070000000004"/>
    <s v="Jura"/>
    <n v="26"/>
    <n v="0"/>
    <n v="0"/>
    <n v="1.36"/>
    <m/>
  </r>
  <r>
    <x v="3"/>
    <d v="1899-12-30T03:00:00"/>
    <x v="1"/>
    <m/>
    <n v="1"/>
    <n v="0"/>
    <m/>
    <m/>
    <m/>
    <m/>
    <m/>
    <s v="https://www.srf.ch/news/schweiz/tessiner-patient-erster-coronavirus-fall-in-der-schweiz"/>
    <m/>
    <s v=""/>
    <m/>
    <s v=""/>
    <m/>
    <s v=""/>
    <n v="46.295617"/>
    <n v="8.8089239999999993"/>
    <s v="Ticino"/>
    <n v="21"/>
    <n v="0"/>
    <n v="0"/>
    <n v="0.28000000000000003"/>
    <m/>
  </r>
  <r>
    <x v="3"/>
    <d v="1899-12-30T03:00:00"/>
    <x v="9"/>
    <m/>
    <m/>
    <n v="0"/>
    <n v="4"/>
    <m/>
    <m/>
    <m/>
    <m/>
    <s v="https://www.vd.ch/toutes-les-actualites/hotline-et-informations-sur-le-coronavirus/"/>
    <m/>
    <s v=""/>
    <m/>
    <s v=""/>
    <m/>
    <s v=""/>
    <n v="46.570090999999998"/>
    <n v="6.5578090000000007"/>
    <s v="Vaud"/>
    <n v="22"/>
    <n v="0"/>
    <n v="0"/>
    <m/>
    <m/>
  </r>
  <r>
    <x v="3"/>
    <d v="1899-12-30T03:00:00"/>
    <x v="10"/>
    <m/>
    <n v="1"/>
    <n v="0"/>
    <n v="5"/>
    <n v="0"/>
    <n v="0"/>
    <m/>
    <n v="0"/>
    <s v="https://www.vs.ch/documents/6756452/7008787/2020%2004%2012%20Sit%20Epid%20-%20%C3%89tat%20Stand"/>
    <m/>
    <s v=""/>
    <m/>
    <s v=""/>
    <m/>
    <s v=""/>
    <n v="46.209567"/>
    <n v="7.6046589999999998"/>
    <s v="Valais/Wallis"/>
    <n v="23"/>
    <n v="0"/>
    <n v="0"/>
    <n v="0.28999999999999998"/>
    <n v="0"/>
  </r>
  <r>
    <x v="3"/>
    <d v="1899-12-30T14:30:00"/>
    <x v="5"/>
    <m/>
    <n v="2"/>
    <n v="0"/>
    <m/>
    <m/>
    <m/>
    <m/>
    <m/>
    <s v="https://gd.zh.ch/internet/gesundheitsdirektion/de/themen/coronavirus.html"/>
    <m/>
    <s v=""/>
    <m/>
    <s v=""/>
    <m/>
    <s v=""/>
    <n v="47.412750000000003"/>
    <n v="8.6550799999999999"/>
    <s v="Zürich"/>
    <n v="1"/>
    <n v="0"/>
    <n v="0"/>
    <n v="0.13"/>
    <m/>
  </r>
  <r>
    <x v="4"/>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1"/>
    <n v="0"/>
    <n v="0.7"/>
    <m/>
  </r>
  <r>
    <x v="4"/>
    <d v="1899-12-30T15:23:00"/>
    <x v="2"/>
    <m/>
    <n v="1"/>
    <n v="0"/>
    <m/>
    <m/>
    <m/>
    <m/>
    <m/>
    <s v="https://twitter.com/BAG_OFSP_UFSP/status/1233759578241863681?s=20"/>
    <n v="1"/>
    <s v=""/>
    <m/>
    <s v=""/>
    <m/>
    <s v=""/>
    <n v="47.564869000000002"/>
    <n v="7.615259"/>
    <s v="Basel-Stadt"/>
    <n v="12"/>
    <n v="0"/>
    <n v="0"/>
    <n v="0.52"/>
    <m/>
  </r>
  <r>
    <x v="4"/>
    <d v="1899-12-30T03:00:00"/>
    <x v="0"/>
    <n v="674"/>
    <n v="6"/>
    <n v="1"/>
    <n v="3"/>
    <n v="0"/>
    <n v="0"/>
    <m/>
    <n v="0"/>
    <s v="https://www.ge.ch/document/covid-19-situation-epidemiologique-geneve/telecharger"/>
    <m/>
    <s v=""/>
    <m/>
    <s v=""/>
    <n v="0"/>
    <s v=""/>
    <n v="46.220528000000002"/>
    <n v="6.1329349999999998"/>
    <s v="Genève"/>
    <n v="25"/>
    <n v="2"/>
    <n v="0"/>
    <n v="1.21"/>
    <n v="0"/>
  </r>
  <r>
    <x v="4"/>
    <d v="1899-12-30T03:00:00"/>
    <x v="4"/>
    <m/>
    <n v="1"/>
    <n v="0"/>
    <n v="1"/>
    <m/>
    <m/>
    <m/>
    <m/>
    <s v="https://www.jura.ch/fr/Autorites/Coronavirus/Chiffres-H-JU/Evolution-des-cas-COVID-19-dans-le-Jura.html"/>
    <m/>
    <s v=""/>
    <m/>
    <s v=""/>
    <m/>
    <s v=""/>
    <n v="47.350743999999999"/>
    <n v="7.1561070000000004"/>
    <s v="Jura"/>
    <n v="26"/>
    <n v="0"/>
    <n v="0"/>
    <n v="1.36"/>
    <m/>
  </r>
  <r>
    <x v="4"/>
    <d v="1899-12-30T03:00:00"/>
    <x v="1"/>
    <m/>
    <n v="1"/>
    <n v="0"/>
    <m/>
    <m/>
    <m/>
    <m/>
    <m/>
    <s v="https://www.srf.ch/news/schweiz/tessiner-patient-erster-coronavirus-fall-in-der-schweiz"/>
    <m/>
    <s v=""/>
    <m/>
    <s v=""/>
    <m/>
    <s v=""/>
    <n v="46.295617"/>
    <n v="8.8089239999999993"/>
    <s v="Ticino"/>
    <n v="21"/>
    <n v="0"/>
    <n v="0"/>
    <n v="0.28000000000000003"/>
    <m/>
  </r>
  <r>
    <x v="4"/>
    <d v="1899-12-30T03:00:00"/>
    <x v="9"/>
    <m/>
    <m/>
    <n v="0"/>
    <n v="4"/>
    <m/>
    <m/>
    <m/>
    <m/>
    <s v="https://www.vd.ch/toutes-les-actualites/hotline-et-informations-sur-le-coronavirus/"/>
    <m/>
    <s v=""/>
    <m/>
    <s v=""/>
    <m/>
    <s v=""/>
    <n v="46.570090999999998"/>
    <n v="6.5578090000000007"/>
    <s v="Vaud"/>
    <n v="22"/>
    <n v="0"/>
    <n v="0"/>
    <m/>
    <m/>
  </r>
  <r>
    <x v="4"/>
    <d v="1899-12-30T03:00:00"/>
    <x v="10"/>
    <m/>
    <n v="1"/>
    <n v="0"/>
    <n v="5"/>
    <n v="0"/>
    <n v="0"/>
    <m/>
    <n v="0"/>
    <s v="https://www.vs.ch/documents/6756452/7008787/2020%2004%2012%20Sit%20Epid%20-%20%C3%89tat%20Stand"/>
    <m/>
    <s v=""/>
    <m/>
    <s v=""/>
    <m/>
    <s v=""/>
    <n v="46.209567"/>
    <n v="7.6046589999999998"/>
    <s v="Valais/Wallis"/>
    <n v="23"/>
    <n v="0"/>
    <n v="0"/>
    <n v="0.28999999999999998"/>
    <n v="0"/>
  </r>
  <r>
    <x v="4"/>
    <d v="1899-12-30T08:00:00"/>
    <x v="11"/>
    <m/>
    <n v="0"/>
    <n v="0"/>
    <n v="0"/>
    <n v="0"/>
    <m/>
    <m/>
    <n v="0"/>
    <s v="https://www.zg.ch/behoerden/gesundheitsdirektion/statistikfachstelle/themen/gesundheit/corona"/>
    <m/>
    <s v=""/>
    <m/>
    <s v=""/>
    <m/>
    <s v=""/>
    <n v="47.157296000000002"/>
    <n v="8.5372939999999993"/>
    <s v="Zug"/>
    <n v="9"/>
    <n v="0"/>
    <n v="0"/>
    <n v="0"/>
    <n v="0"/>
  </r>
  <r>
    <x v="4"/>
    <d v="1899-12-30T14:30:00"/>
    <x v="5"/>
    <m/>
    <n v="6"/>
    <n v="0"/>
    <m/>
    <m/>
    <m/>
    <m/>
    <m/>
    <s v="https://gd.zh.ch/internet/gesundheitsdirektion/de/themen/coronavirus.html"/>
    <m/>
    <s v=""/>
    <m/>
    <s v=""/>
    <m/>
    <s v=""/>
    <n v="47.412750000000003"/>
    <n v="8.6550799999999999"/>
    <s v="Zürich"/>
    <n v="1"/>
    <n v="4"/>
    <n v="0"/>
    <n v="0.4"/>
    <m/>
  </r>
  <r>
    <x v="5"/>
    <d v="1899-12-30T03:00:00"/>
    <x v="7"/>
    <m/>
    <n v="2"/>
    <n v="0"/>
    <m/>
    <m/>
    <m/>
    <m/>
    <m/>
    <s v="https://www.be.ch/portal/de/index/mediencenter/medienmitteilungen/suche.meldungNeu.html/portal/de/meldungen/mm/2020/03/20200302_1522_zweiter_bestaetigtercorona-fallinbiel"/>
    <m/>
    <s v=""/>
    <m/>
    <s v=""/>
    <m/>
    <s v=""/>
    <n v="46.823608"/>
    <n v="7.6366670000000001"/>
    <s v="Bern/Berne"/>
    <n v="2"/>
    <n v="1"/>
    <n v="0"/>
    <n v="0.19"/>
    <m/>
  </r>
  <r>
    <x v="5"/>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5"/>
    <d v="1899-12-30T17:29:00"/>
    <x v="2"/>
    <m/>
    <n v="1"/>
    <n v="0"/>
    <m/>
    <m/>
    <m/>
    <m/>
    <m/>
    <s v="https://www.coronavirus.bs.ch/nm/2020-coronavirus-anzahl-der-getesteten-faelle-und-zwischenstand-kita-riehen-gd.html"/>
    <n v="1"/>
    <s v=""/>
    <m/>
    <s v=""/>
    <m/>
    <s v=""/>
    <n v="47.564869000000002"/>
    <n v="7.615259"/>
    <s v="Basel-Stadt"/>
    <n v="12"/>
    <n v="0"/>
    <n v="0"/>
    <n v="0.52"/>
    <m/>
  </r>
  <r>
    <x v="5"/>
    <d v="1899-12-30T03:00:00"/>
    <x v="12"/>
    <n v="30"/>
    <n v="1"/>
    <n v="0"/>
    <m/>
    <m/>
    <m/>
    <m/>
    <m/>
    <s v="https://www.fr.ch/sites/default/files/2020-03/200301_commd_dsas_covid_cas_fr.pdf"/>
    <m/>
    <s v=""/>
    <m/>
    <s v=""/>
    <m/>
    <s v=""/>
    <n v="46.718390999999997"/>
    <n v="7.0740080000000001"/>
    <s v="Fribourg"/>
    <n v="10"/>
    <n v="0"/>
    <n v="0"/>
    <n v="0.32"/>
    <m/>
  </r>
  <r>
    <x v="5"/>
    <d v="1899-12-30T03:00:00"/>
    <x v="0"/>
    <n v="783"/>
    <n v="8"/>
    <n v="0"/>
    <n v="3"/>
    <n v="0"/>
    <n v="0"/>
    <m/>
    <n v="0"/>
    <s v="https://www.ge.ch/document/covid-19-situation-epidemiologique-geneve/telecharger"/>
    <m/>
    <s v=""/>
    <m/>
    <s v=""/>
    <n v="0"/>
    <s v=""/>
    <n v="46.220528000000002"/>
    <n v="6.1329349999999998"/>
    <s v="Genève"/>
    <n v="25"/>
    <n v="2"/>
    <n v="0"/>
    <n v="1.62"/>
    <n v="0"/>
  </r>
  <r>
    <x v="5"/>
    <d v="1899-12-30T03:00:00"/>
    <x v="13"/>
    <m/>
    <n v="0"/>
    <n v="0"/>
    <m/>
    <m/>
    <m/>
    <m/>
    <m/>
    <s v="https://www.suedostschweiz.ch/ereignisse/2020-03-02/kantone-gehen-unterschiedlich-mit-dem-corona-virus-um"/>
    <m/>
    <s v=""/>
    <m/>
    <s v=""/>
    <m/>
    <s v=""/>
    <n v="46.931042000000005"/>
    <n v="9.0657510000000006"/>
    <s v="Glarus"/>
    <n v="8"/>
    <n v="0"/>
    <n v="0"/>
    <n v="0"/>
    <m/>
  </r>
  <r>
    <x v="5"/>
    <d v="1899-12-30T03:00:00"/>
    <x v="4"/>
    <m/>
    <n v="1"/>
    <n v="0"/>
    <n v="1"/>
    <m/>
    <m/>
    <m/>
    <m/>
    <s v="https://www.jura.ch/fr/Autorites/Coronavirus/Chiffres-H-JU/Evolution-des-cas-COVID-19-dans-le-Jura.html"/>
    <m/>
    <s v=""/>
    <m/>
    <s v=""/>
    <m/>
    <s v=""/>
    <n v="47.350743999999999"/>
    <n v="7.1561070000000004"/>
    <s v="Jura"/>
    <n v="26"/>
    <n v="0"/>
    <n v="0"/>
    <n v="1.36"/>
    <m/>
  </r>
  <r>
    <x v="5"/>
    <d v="1899-12-30T03:00:00"/>
    <x v="14"/>
    <m/>
    <n v="1"/>
    <n v="0"/>
    <m/>
    <m/>
    <m/>
    <m/>
    <m/>
    <s v="https://www.ne.ch/autorites/DFS/SCSP/medecin-cantonal/maladies-vaccinations/Documents/Covid-19-Statistiques/COVID19_PublicationInternet.pdf"/>
    <m/>
    <s v=""/>
    <m/>
    <s v=""/>
    <m/>
    <s v=""/>
    <n v="46.995533999999999"/>
    <n v="6.7801260000000001"/>
    <s v="Neuchâtel"/>
    <n v="24"/>
    <n v="0"/>
    <n v="0"/>
    <n v="0.56000000000000005"/>
    <m/>
  </r>
  <r>
    <x v="5"/>
    <d v="1899-12-30T03:00:00"/>
    <x v="1"/>
    <m/>
    <n v="1"/>
    <n v="0"/>
    <m/>
    <m/>
    <m/>
    <m/>
    <m/>
    <s v="https://www.srf.ch/news/schweiz/tessiner-patient-erster-coronavirus-fall-in-der-schweiz"/>
    <m/>
    <s v=""/>
    <m/>
    <s v=""/>
    <m/>
    <s v=""/>
    <n v="46.295617"/>
    <n v="8.8089239999999993"/>
    <s v="Ticino"/>
    <n v="21"/>
    <n v="0"/>
    <n v="0"/>
    <n v="0.28000000000000003"/>
    <m/>
  </r>
  <r>
    <x v="5"/>
    <d v="1899-12-30T03:00:00"/>
    <x v="9"/>
    <m/>
    <m/>
    <n v="0"/>
    <n v="4"/>
    <m/>
    <m/>
    <m/>
    <m/>
    <s v="https://www.vd.ch/toutes-les-actualites/hotline-et-informations-sur-le-coronavirus/"/>
    <m/>
    <s v=""/>
    <m/>
    <s v=""/>
    <m/>
    <s v=""/>
    <n v="46.570090999999998"/>
    <n v="6.5578090000000007"/>
    <s v="Vaud"/>
    <n v="22"/>
    <n v="0"/>
    <n v="0"/>
    <m/>
    <m/>
  </r>
  <r>
    <x v="5"/>
    <d v="1899-12-30T03:00:00"/>
    <x v="10"/>
    <m/>
    <n v="2"/>
    <n v="1"/>
    <n v="6"/>
    <n v="0"/>
    <n v="0"/>
    <m/>
    <n v="0"/>
    <s v="https://www.vs.ch/documents/6756452/7008787/2020%2004%2012%20Sit%20Epid%20-%20%C3%89tat%20Stand"/>
    <m/>
    <s v=""/>
    <m/>
    <s v=""/>
    <m/>
    <s v=""/>
    <n v="46.209567"/>
    <n v="7.6046589999999998"/>
    <s v="Valais/Wallis"/>
    <n v="23"/>
    <n v="1"/>
    <n v="0"/>
    <n v="0.59"/>
    <n v="0"/>
  </r>
  <r>
    <x v="5"/>
    <d v="1899-12-30T08:00:00"/>
    <x v="11"/>
    <m/>
    <n v="0"/>
    <n v="0"/>
    <n v="0"/>
    <n v="0"/>
    <m/>
    <n v="0"/>
    <n v="0"/>
    <s v="https://www.zg.ch/behoerden/gesundheitsdirektion/statistikfachstelle/themen/gesundheit/corona"/>
    <m/>
    <s v=""/>
    <m/>
    <s v=""/>
    <m/>
    <s v=""/>
    <n v="47.157296000000002"/>
    <n v="8.5372939999999993"/>
    <s v="Zug"/>
    <n v="9"/>
    <n v="0"/>
    <n v="0"/>
    <n v="0"/>
    <n v="0"/>
  </r>
  <r>
    <x v="5"/>
    <d v="1899-12-30T14:30:00"/>
    <x v="5"/>
    <m/>
    <n v="7"/>
    <n v="0"/>
    <m/>
    <m/>
    <m/>
    <m/>
    <m/>
    <s v="https://gd.zh.ch/internet/gesundheitsdirektion/de/themen/coronavirus.html"/>
    <m/>
    <s v=""/>
    <m/>
    <s v=""/>
    <m/>
    <s v=""/>
    <n v="47.412750000000003"/>
    <n v="8.6550799999999999"/>
    <s v="Zürich"/>
    <n v="1"/>
    <n v="1"/>
    <n v="0"/>
    <n v="0.47"/>
    <m/>
  </r>
  <r>
    <x v="6"/>
    <d v="1899-12-30T18:00:00"/>
    <x v="6"/>
    <m/>
    <n v="2"/>
    <n v="0"/>
    <m/>
    <m/>
    <m/>
    <m/>
    <m/>
    <s v="https://www.ag.ch/media/kanton_aargau/themen_1/coronavirus_1/200302_KFS_Coronavirus_Lagebulletin_2.pdf"/>
    <m/>
    <s v=""/>
    <m/>
    <s v=""/>
    <m/>
    <s v=""/>
    <n v="47.409660000000002"/>
    <n v="8.1568799999999992"/>
    <s v="Aargau"/>
    <n v="1"/>
    <n v="1"/>
    <n v="0"/>
    <n v="0.3"/>
    <m/>
  </r>
  <r>
    <x v="6"/>
    <d v="1899-12-30T03:00:00"/>
    <x v="7"/>
    <m/>
    <n v="4"/>
    <n v="0"/>
    <m/>
    <m/>
    <m/>
    <m/>
    <m/>
    <s v="https://www.be.ch/portal/de/index/mediencenter/medienmitteilungen/suche.meldungNeu.html/portal/de/meldungen/mm/2020/03/20200303_1333_mann_in_spital_interlakenpositivgetestet"/>
    <m/>
    <s v=""/>
    <m/>
    <s v=""/>
    <m/>
    <s v=""/>
    <n v="46.823608"/>
    <n v="7.6366670000000001"/>
    <s v="Bern/Berne"/>
    <n v="2"/>
    <n v="2"/>
    <n v="0"/>
    <n v="0.39"/>
    <m/>
  </r>
  <r>
    <x v="6"/>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6"/>
    <d v="1899-12-30T17:15:00"/>
    <x v="2"/>
    <n v="235"/>
    <n v="1"/>
    <n v="0"/>
    <m/>
    <m/>
    <m/>
    <m/>
    <m/>
    <s v="https://www.coronavirus.bs.ch/nm/2020-coronavirus-zwei-neue-positive-faelle-in-basel-stadt-gd.html"/>
    <n v="3"/>
    <s v=""/>
    <m/>
    <s v=""/>
    <m/>
    <s v=""/>
    <n v="47.564869000000002"/>
    <n v="7.615259"/>
    <s v="Basel-Stadt"/>
    <n v="12"/>
    <n v="0"/>
    <n v="0"/>
    <n v="0.52"/>
    <m/>
  </r>
  <r>
    <x v="6"/>
    <d v="1899-12-30T03:00:00"/>
    <x v="12"/>
    <n v="30"/>
    <n v="2"/>
    <n v="0"/>
    <m/>
    <m/>
    <m/>
    <m/>
    <m/>
    <s v="https://www.fr.ch/sites/default/files/2020-03/200302_CommD_DSAS_covid_cas%20FR.pdf"/>
    <m/>
    <s v=""/>
    <m/>
    <s v=""/>
    <m/>
    <s v=""/>
    <n v="46.718390999999997"/>
    <n v="7.0740080000000001"/>
    <s v="Fribourg"/>
    <n v="10"/>
    <n v="1"/>
    <n v="0"/>
    <n v="0.63"/>
    <m/>
  </r>
  <r>
    <x v="6"/>
    <d v="1899-12-30T03:00:00"/>
    <x v="0"/>
    <n v="871"/>
    <n v="8"/>
    <n v="0"/>
    <n v="3"/>
    <n v="0"/>
    <n v="0"/>
    <m/>
    <n v="0"/>
    <s v="https://www.ge.ch/document/covid-19-situation-epidemiologique-geneve/telecharger"/>
    <m/>
    <s v=""/>
    <m/>
    <s v=""/>
    <n v="0"/>
    <s v=""/>
    <n v="46.220528000000002"/>
    <n v="6.1329349999999998"/>
    <s v="Genève"/>
    <n v="25"/>
    <n v="0"/>
    <n v="0"/>
    <n v="1.62"/>
    <n v="0"/>
  </r>
  <r>
    <x v="6"/>
    <d v="1899-12-30T03:00:00"/>
    <x v="4"/>
    <m/>
    <n v="1"/>
    <n v="0"/>
    <n v="1"/>
    <m/>
    <m/>
    <m/>
    <m/>
    <s v="https://www.jura.ch/fr/Autorites/Coronavirus/Chiffres-H-JU/Evolution-des-cas-COVID-19-dans-le-Jura.html"/>
    <m/>
    <s v=""/>
    <m/>
    <s v=""/>
    <m/>
    <s v=""/>
    <n v="47.350743999999999"/>
    <n v="7.1561070000000004"/>
    <s v="Jura"/>
    <n v="26"/>
    <n v="0"/>
    <n v="0"/>
    <n v="1.36"/>
    <m/>
  </r>
  <r>
    <x v="6"/>
    <d v="1899-12-30T03:00:00"/>
    <x v="14"/>
    <m/>
    <n v="1"/>
    <n v="0"/>
    <n v="1"/>
    <m/>
    <m/>
    <m/>
    <m/>
    <s v="https://www.ne.ch/autorites/DFS/SCSP/medecin-cantonal/maladies-vaccinations/Documents/Covid-19-Statistiques/COVID19_PublicationInternet.pdf"/>
    <m/>
    <s v=""/>
    <m/>
    <s v=""/>
    <m/>
    <s v=""/>
    <n v="46.995533999999999"/>
    <n v="6.7801260000000001"/>
    <s v="Neuchâtel"/>
    <n v="24"/>
    <n v="0"/>
    <n v="0"/>
    <n v="0.56000000000000005"/>
    <m/>
  </r>
  <r>
    <x v="6"/>
    <d v="1899-12-30T03:00:00"/>
    <x v="15"/>
    <m/>
    <n v="0"/>
    <n v="0"/>
    <m/>
    <m/>
    <m/>
    <m/>
    <m/>
    <s v="https://www.sg.ch/news/sgch_allgemein/2020/03/zwei-personen-in-quarantaene---kein-bestaetigter-fall.html"/>
    <m/>
    <s v=""/>
    <m/>
    <s v=""/>
    <m/>
    <s v=""/>
    <n v="47.183199999999999"/>
    <n v="9.2747440000000001"/>
    <s v="St. Gallen"/>
    <n v="17"/>
    <n v="0"/>
    <n v="0"/>
    <n v="0"/>
    <m/>
  </r>
  <r>
    <x v="6"/>
    <d v="1899-12-30T03:00:00"/>
    <x v="1"/>
    <m/>
    <n v="2"/>
    <n v="0"/>
    <m/>
    <m/>
    <m/>
    <m/>
    <m/>
    <s v="https://www4.ti.ch/area-media/comunicati/dettaglio-comunicato/?NEWS_ID=187352&amp;tx_tichareamedia_comunicazioni%5Baction%5D=show&amp;tx_tichareamedia_comunicazioni%5Bcontroller%5D=Comunicazioni&amp;cHash=ea65dbcabb28d4711459f3b613bbc1b7"/>
    <m/>
    <s v=""/>
    <n v="6"/>
    <s v=""/>
    <m/>
    <s v=""/>
    <n v="46.295617"/>
    <n v="8.8089239999999993"/>
    <s v="Ticino"/>
    <n v="21"/>
    <n v="0"/>
    <n v="0"/>
    <n v="0.56999999999999995"/>
    <m/>
  </r>
  <r>
    <x v="6"/>
    <d v="1899-12-30T03:00:00"/>
    <x v="9"/>
    <m/>
    <m/>
    <n v="2"/>
    <n v="6"/>
    <m/>
    <m/>
    <m/>
    <m/>
    <s v="https://www.vd.ch/toutes-les-actualites/hotline-et-informations-sur-le-coronavirus/"/>
    <m/>
    <s v=""/>
    <m/>
    <s v=""/>
    <m/>
    <s v=""/>
    <n v="46.570090999999998"/>
    <n v="6.5578090000000007"/>
    <s v="Vaud"/>
    <n v="22"/>
    <n v="0"/>
    <n v="0"/>
    <m/>
    <m/>
  </r>
  <r>
    <x v="6"/>
    <d v="1899-12-30T03:00:00"/>
    <x v="10"/>
    <m/>
    <n v="3"/>
    <n v="3"/>
    <n v="9"/>
    <n v="0"/>
    <n v="0"/>
    <m/>
    <n v="0"/>
    <s v="https://www.vs.ch/documents/6756452/7008787/2020%2004%2012%20Sit%20Epid%20-%20%C3%89tat%20Stand"/>
    <m/>
    <s v=""/>
    <m/>
    <s v=""/>
    <m/>
    <s v=""/>
    <n v="46.209567"/>
    <n v="7.6046589999999998"/>
    <s v="Valais/Wallis"/>
    <n v="23"/>
    <n v="1"/>
    <n v="0"/>
    <n v="0.88"/>
    <n v="0"/>
  </r>
  <r>
    <x v="6"/>
    <d v="1899-12-30T08:00:00"/>
    <x v="11"/>
    <m/>
    <n v="1"/>
    <n v="0"/>
    <n v="0"/>
    <n v="0"/>
    <m/>
    <n v="0"/>
    <n v="0"/>
    <s v="https://www.zg.ch/behoerden/gesundheitsdirektion/statistikfachstelle/themen/gesundheit/corona"/>
    <m/>
    <s v=""/>
    <m/>
    <s v=""/>
    <m/>
    <s v=""/>
    <n v="47.157296000000002"/>
    <n v="8.5372939999999993"/>
    <s v="Zug"/>
    <n v="9"/>
    <n v="1"/>
    <n v="0"/>
    <n v="0.8"/>
    <n v="0"/>
  </r>
  <r>
    <x v="6"/>
    <d v="1899-12-30T14:30:00"/>
    <x v="5"/>
    <m/>
    <n v="11"/>
    <n v="0"/>
    <m/>
    <m/>
    <m/>
    <m/>
    <m/>
    <s v="https://gd.zh.ch/internet/gesundheitsdirektion/de/themen/coronavirus.html"/>
    <m/>
    <s v=""/>
    <m/>
    <s v=""/>
    <m/>
    <s v=""/>
    <n v="47.412750000000003"/>
    <n v="8.6550799999999999"/>
    <s v="Zürich"/>
    <n v="1"/>
    <n v="4"/>
    <n v="0"/>
    <n v="0.73"/>
    <m/>
  </r>
  <r>
    <x v="7"/>
    <d v="1899-12-30T15:00:00"/>
    <x v="6"/>
    <m/>
    <n v="6"/>
    <n v="0"/>
    <m/>
    <m/>
    <m/>
    <m/>
    <m/>
    <s v="https://www.ag.ch/media/kanton_aargau/themen_1/coronavirus_1/lagebulletins/200303_KFS_Coronavirus_Lagebulletin_3.pdf"/>
    <m/>
    <s v=""/>
    <m/>
    <s v=""/>
    <m/>
    <s v=""/>
    <n v="47.409660000000002"/>
    <n v="8.1568799999999992"/>
    <s v="Aargau"/>
    <n v="1"/>
    <n v="4"/>
    <n v="0"/>
    <n v="0.89"/>
    <m/>
  </r>
  <r>
    <x v="7"/>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7"/>
    <d v="1899-12-30T17:30:00"/>
    <x v="2"/>
    <n v="235"/>
    <n v="3"/>
    <n v="0"/>
    <m/>
    <m/>
    <m/>
    <m/>
    <m/>
    <s v="https://twitter.com/BAG_OFSP_UFSP/status/1234880556095213569?s=20"/>
    <n v="3"/>
    <s v=""/>
    <m/>
    <s v=""/>
    <m/>
    <s v=""/>
    <n v="47.564869000000002"/>
    <n v="7.615259"/>
    <s v="Basel-Stadt"/>
    <n v="12"/>
    <n v="2"/>
    <n v="0"/>
    <n v="1.55"/>
    <m/>
  </r>
  <r>
    <x v="7"/>
    <d v="1899-12-30T03:00:00"/>
    <x v="3"/>
    <n v="14"/>
    <m/>
    <n v="0"/>
    <m/>
    <m/>
    <m/>
    <m/>
    <m/>
    <s v="https://www.regierung.li/media/attachments/90-coronavirus.pdf?t=637202562374055719"/>
    <m/>
    <s v=""/>
    <m/>
    <s v=""/>
    <m/>
    <s v=""/>
    <n v="47.166666999999997"/>
    <n v="9.509722"/>
    <s v="Fürstentum Lichtenstein"/>
    <n v="0"/>
    <n v="0"/>
    <n v="0"/>
    <m/>
    <m/>
  </r>
  <r>
    <x v="7"/>
    <d v="1899-12-30T03:00:00"/>
    <x v="0"/>
    <n v="980"/>
    <n v="11"/>
    <n v="1"/>
    <n v="4"/>
    <n v="0"/>
    <n v="0"/>
    <m/>
    <n v="0"/>
    <s v="https://www.ge.ch/document/covid-19-situation-epidemiologique-geneve/telecharger"/>
    <m/>
    <s v=""/>
    <m/>
    <s v=""/>
    <n v="0"/>
    <s v=""/>
    <n v="46.220528000000002"/>
    <n v="6.1329349999999998"/>
    <s v="Genève"/>
    <n v="25"/>
    <n v="3"/>
    <n v="0"/>
    <n v="2.2200000000000002"/>
    <n v="0"/>
  </r>
  <r>
    <x v="7"/>
    <d v="1899-12-30T03:00:00"/>
    <x v="4"/>
    <m/>
    <n v="2"/>
    <n v="0"/>
    <n v="1"/>
    <m/>
    <m/>
    <m/>
    <m/>
    <s v="https://www.jura.ch/fr/Autorites/Coronavirus/Chiffres-H-JU/Evolution-des-cas-COVID-19-dans-le-Jura.html"/>
    <m/>
    <s v=""/>
    <m/>
    <s v=""/>
    <m/>
    <s v=""/>
    <n v="47.350743999999999"/>
    <n v="7.1561070000000004"/>
    <s v="Jura"/>
    <n v="26"/>
    <n v="1"/>
    <n v="0"/>
    <n v="2.73"/>
    <m/>
  </r>
  <r>
    <x v="7"/>
    <d v="1899-12-30T03:00:00"/>
    <x v="14"/>
    <m/>
    <n v="1"/>
    <n v="0"/>
    <n v="1"/>
    <m/>
    <m/>
    <m/>
    <m/>
    <s v="https://www.ne.ch/autorites/DFS/SCSP/medecin-cantonal/maladies-vaccinations/Documents/Covid-19-Statistiques/COVID19_PublicationInternet.pdf"/>
    <m/>
    <s v=""/>
    <m/>
    <s v=""/>
    <m/>
    <s v=""/>
    <n v="46.995533999999999"/>
    <n v="6.7801260000000001"/>
    <s v="Neuchâtel"/>
    <n v="24"/>
    <n v="0"/>
    <n v="0"/>
    <n v="0.56000000000000005"/>
    <m/>
  </r>
  <r>
    <x v="7"/>
    <d v="1899-12-30T03:00:00"/>
    <x v="16"/>
    <n v="1"/>
    <n v="1"/>
    <n v="0"/>
    <m/>
    <m/>
    <m/>
    <m/>
    <m/>
    <s v="https://www.sz.ch/public/upload/assets/45351/MM_Coronavirus_4_3_2020.pdf"/>
    <m/>
    <s v=""/>
    <m/>
    <s v=""/>
    <m/>
    <s v=""/>
    <n v="47.061787000000002"/>
    <n v="8.7565849999999994"/>
    <s v="Schwyz"/>
    <n v="5"/>
    <n v="0"/>
    <n v="0"/>
    <n v="0.64"/>
    <m/>
  </r>
  <r>
    <x v="7"/>
    <d v="1899-12-30T03:00:00"/>
    <x v="1"/>
    <m/>
    <n v="4"/>
    <n v="0"/>
    <m/>
    <m/>
    <m/>
    <m/>
    <m/>
    <s v="https://www4.ti.ch/area-media/comunicati/dettaglio-comunicato/?NEWS_ID=187363&amp;tx_tichareamedia_comunicazioni%5Baction%5D=show&amp;tx_tichareamedia_comunicazioni%5Bcontroller%5D=Comunicazioni&amp;cHash=b34e82602a39cad67a7f8d54150dcf70   https://www4.ti.ch/area-media/comunicati/dettaglio-comunicato/?NEWS_ID=187369&amp;tx_tichareamedia_comunicazioni%5Baction%5D=show&amp;tx_tichareamedia_comunicazioni%5Bcontroller%5D=Comunicazioni&amp;cHash=3154d18e72821fc23d7b3c5cdfe9f9a3"/>
    <m/>
    <s v=""/>
    <m/>
    <s v=""/>
    <m/>
    <s v=""/>
    <n v="46.295617"/>
    <n v="8.8089239999999993"/>
    <s v="Ticino"/>
    <n v="21"/>
    <n v="2"/>
    <n v="0"/>
    <n v="1.1299999999999999"/>
    <m/>
  </r>
  <r>
    <x v="7"/>
    <d v="1899-12-30T03:00:00"/>
    <x v="9"/>
    <m/>
    <m/>
    <n v="2"/>
    <n v="8"/>
    <m/>
    <m/>
    <m/>
    <m/>
    <s v="https://www.vd.ch/toutes-les-actualites/hotline-et-informations-sur-le-coronavirus/"/>
    <m/>
    <s v=""/>
    <m/>
    <s v=""/>
    <m/>
    <s v=""/>
    <n v="46.570090999999998"/>
    <n v="6.5578090000000007"/>
    <s v="Vaud"/>
    <n v="22"/>
    <n v="0"/>
    <n v="0"/>
    <m/>
    <m/>
  </r>
  <r>
    <x v="7"/>
    <d v="1899-12-30T03:00:00"/>
    <x v="10"/>
    <m/>
    <n v="3"/>
    <n v="2"/>
    <n v="11"/>
    <n v="0"/>
    <n v="0"/>
    <m/>
    <n v="0"/>
    <s v="https://www.vs.ch/documents/6756452/7008787/2020%2004%2012%20Sit%20Epid%20-%20%C3%89tat%20Stand"/>
    <m/>
    <s v=""/>
    <m/>
    <s v=""/>
    <m/>
    <s v=""/>
    <n v="46.209567"/>
    <n v="7.6046589999999998"/>
    <s v="Valais/Wallis"/>
    <n v="23"/>
    <n v="0"/>
    <n v="0"/>
    <n v="0.88"/>
    <n v="0"/>
  </r>
  <r>
    <x v="7"/>
    <d v="1899-12-30T08:00:00"/>
    <x v="11"/>
    <m/>
    <n v="1"/>
    <n v="0"/>
    <n v="0"/>
    <n v="0"/>
    <m/>
    <n v="0"/>
    <n v="0"/>
    <s v="https://www.zg.ch/behoerden/gesundheitsdirektion/statistikfachstelle/themen/gesundheit/corona"/>
    <m/>
    <s v=""/>
    <m/>
    <s v=""/>
    <m/>
    <s v=""/>
    <n v="47.157296000000002"/>
    <n v="8.5372939999999993"/>
    <s v="Zug"/>
    <n v="9"/>
    <n v="0"/>
    <n v="0"/>
    <n v="0.8"/>
    <n v="0"/>
  </r>
  <r>
    <x v="7"/>
    <d v="1899-12-30T14:30:00"/>
    <x v="5"/>
    <m/>
    <n v="14"/>
    <n v="0"/>
    <m/>
    <m/>
    <m/>
    <m/>
    <m/>
    <s v="https://gd.zh.ch/internet/gesundheitsdirektion/de/themen/coronavirus.html"/>
    <m/>
    <s v=""/>
    <m/>
    <s v=""/>
    <m/>
    <s v=""/>
    <n v="47.412750000000003"/>
    <n v="8.6550799999999999"/>
    <s v="Zürich"/>
    <n v="1"/>
    <n v="3"/>
    <n v="0"/>
    <n v="0.93"/>
    <m/>
  </r>
  <r>
    <x v="8"/>
    <d v="1899-12-30T15:00:00"/>
    <x v="6"/>
    <m/>
    <n v="7"/>
    <n v="0"/>
    <m/>
    <m/>
    <m/>
    <m/>
    <m/>
    <s v="https://www.ag.ch/media/kanton_aargau/themen_1/coronavirus_1/lagebulletins/200304_KFS_Coronavirus_Lagebulletin_4.pdf"/>
    <m/>
    <s v=""/>
    <m/>
    <s v=""/>
    <m/>
    <s v=""/>
    <n v="47.409660000000002"/>
    <n v="8.1568799999999992"/>
    <s v="Aargau"/>
    <n v="1"/>
    <n v="1"/>
    <n v="0"/>
    <n v="1.04"/>
    <m/>
  </r>
  <r>
    <x v="8"/>
    <d v="1899-12-30T03:00:00"/>
    <x v="7"/>
    <m/>
    <n v="6"/>
    <n v="0"/>
    <m/>
    <m/>
    <m/>
    <m/>
    <m/>
    <s v="https://www.be.ch/portal/de/index/mediencenter/medienmitteilungen/suche.meldungNeu.html/portal/de/meldungen/mm/2020/03/20200304_1443_corona-4-3-2020"/>
    <m/>
    <s v=""/>
    <m/>
    <s v=""/>
    <m/>
    <s v=""/>
    <n v="46.823608"/>
    <n v="7.6366670000000001"/>
    <s v="Bern/Berne"/>
    <n v="2"/>
    <n v="2"/>
    <n v="0"/>
    <n v="0.57999999999999996"/>
    <m/>
  </r>
  <r>
    <x v="8"/>
    <d v="1899-12-30T03:00:00"/>
    <x v="8"/>
    <m/>
    <n v="2"/>
    <n v="0"/>
    <n v="1"/>
    <m/>
    <m/>
    <m/>
    <m/>
    <s v="https://www.baselland.ch/politik-und-behorden/direktionen/volkswirtschafts-und-gesundheitsdirektion/medienmitteilungen/weiterer-bestaetigter-fall-aus-dem-kanton-basel-landschaft"/>
    <m/>
    <s v=""/>
    <m/>
    <s v=""/>
    <m/>
    <s v=""/>
    <n v="47.45176"/>
    <n v="7.7024140000000001"/>
    <s v="Basel-Landschaft"/>
    <n v="13"/>
    <n v="0"/>
    <n v="0"/>
    <n v="0.7"/>
    <m/>
  </r>
  <r>
    <x v="8"/>
    <d v="1899-12-30T17:20:00"/>
    <x v="2"/>
    <n v="235"/>
    <n v="3"/>
    <n v="0"/>
    <m/>
    <m/>
    <m/>
    <m/>
    <m/>
    <s v="https://twitter.com/BAG_OFSP_UFSP/status/1235240377134862336?s=20"/>
    <n v="3"/>
    <s v=""/>
    <m/>
    <s v=""/>
    <m/>
    <s v=""/>
    <n v="47.564869000000002"/>
    <n v="7.615259"/>
    <s v="Basel-Stadt"/>
    <n v="12"/>
    <n v="0"/>
    <n v="0"/>
    <n v="1.55"/>
    <m/>
  </r>
  <r>
    <x v="8"/>
    <d v="1899-12-30T03:00:00"/>
    <x v="3"/>
    <n v="16"/>
    <n v="1"/>
    <n v="0"/>
    <m/>
    <m/>
    <m/>
    <m/>
    <m/>
    <s v="https://www.regierung.li/media/attachments/97-coronavirus.pdf?t=637202562374055719"/>
    <m/>
    <s v=""/>
    <m/>
    <s v=""/>
    <m/>
    <s v=""/>
    <n v="47.166666999999997"/>
    <n v="9.509722"/>
    <s v="Fürstentum Lichtenstein"/>
    <n v="0"/>
    <n v="0"/>
    <n v="0"/>
    <n v="2.59"/>
    <m/>
  </r>
  <r>
    <x v="8"/>
    <d v="1899-12-30T03:00:00"/>
    <x v="12"/>
    <n v="30"/>
    <n v="4"/>
    <n v="0"/>
    <m/>
    <m/>
    <m/>
    <m/>
    <m/>
    <s v="https://www.fr.ch/sites/default/files/2020-03/200304_CommD_DSAS_covid_cas%20FR.pdf"/>
    <m/>
    <s v=""/>
    <m/>
    <s v=""/>
    <m/>
    <s v=""/>
    <n v="46.718390999999997"/>
    <n v="7.0740080000000001"/>
    <s v="Fribourg"/>
    <n v="10"/>
    <n v="2"/>
    <n v="0"/>
    <n v="1.27"/>
    <m/>
  </r>
  <r>
    <x v="8"/>
    <d v="1899-12-30T03:00:00"/>
    <x v="0"/>
    <n v="1087"/>
    <n v="11"/>
    <n v="0"/>
    <n v="4"/>
    <n v="0"/>
    <n v="0"/>
    <m/>
    <n v="0"/>
    <s v="https://www.ge.ch/document/covid-19-situation-epidemiologique-geneve/telecharger"/>
    <m/>
    <s v=""/>
    <m/>
    <s v=""/>
    <n v="0"/>
    <s v=""/>
    <n v="46.220528000000002"/>
    <n v="6.1329349999999998"/>
    <s v="Genève"/>
    <n v="25"/>
    <n v="0"/>
    <n v="0"/>
    <n v="2.2200000000000002"/>
    <n v="0"/>
  </r>
  <r>
    <x v="8"/>
    <d v="1899-12-30T03:00:00"/>
    <x v="4"/>
    <m/>
    <n v="2"/>
    <n v="0"/>
    <n v="1"/>
    <m/>
    <m/>
    <m/>
    <m/>
    <s v="https://www.jura.ch/fr/Autorites/Coronavirus/Chiffres-H-JU/Evolution-des-cas-COVID-19-dans-le-Jura.html"/>
    <m/>
    <s v=""/>
    <m/>
    <s v=""/>
    <m/>
    <s v=""/>
    <n v="47.350743999999999"/>
    <n v="7.1561070000000004"/>
    <s v="Jura"/>
    <n v="26"/>
    <n v="0"/>
    <n v="0"/>
    <n v="2.73"/>
    <m/>
  </r>
  <r>
    <x v="8"/>
    <d v="1899-12-30T18:00:00"/>
    <x v="17"/>
    <m/>
    <n v="0"/>
    <n v="0"/>
    <m/>
    <m/>
    <m/>
    <m/>
    <m/>
    <s v="https://web.archive.org/web/20200304173939/https://gesundheit.lu.ch/themen/Humanmedizin/Infektionskrankheiten/Coronavirus"/>
    <m/>
    <s v=""/>
    <m/>
    <s v=""/>
    <m/>
    <s v=""/>
    <n v="47.067762999999999"/>
    <n v="8.1102000000000007"/>
    <s v="Luzern"/>
    <n v="3"/>
    <n v="0"/>
    <n v="0"/>
    <n v="0"/>
    <m/>
  </r>
  <r>
    <x v="8"/>
    <d v="1899-12-30T03:00:00"/>
    <x v="14"/>
    <m/>
    <n v="8"/>
    <n v="3"/>
    <n v="4"/>
    <m/>
    <m/>
    <m/>
    <m/>
    <s v="https://www.ne.ch/autorites/DFS/SCSP/medecin-cantonal/maladies-vaccinations/Documents/Covid-19-Statistiques/COVID19_PublicationInternet.pdf"/>
    <m/>
    <s v=""/>
    <m/>
    <s v=""/>
    <m/>
    <s v=""/>
    <n v="46.995533999999999"/>
    <n v="6.7801260000000001"/>
    <s v="Neuchâtel"/>
    <n v="24"/>
    <n v="0"/>
    <n v="0"/>
    <n v="4.49"/>
    <m/>
  </r>
  <r>
    <x v="8"/>
    <d v="1899-12-30T06:35:00"/>
    <x v="15"/>
    <m/>
    <n v="1"/>
    <n v="0"/>
    <m/>
    <m/>
    <m/>
    <m/>
    <m/>
    <s v="https://www.sg.ch/news/sgch_allgemein/2020/03/erster-bestaetigter-corona-fall-im-kanton-.html"/>
    <m/>
    <s v=""/>
    <m/>
    <s v=""/>
    <m/>
    <s v=""/>
    <n v="47.183199999999999"/>
    <n v="9.2747440000000001"/>
    <s v="St. Gallen"/>
    <n v="17"/>
    <n v="1"/>
    <n v="0"/>
    <n v="0.2"/>
    <m/>
  </r>
  <r>
    <x v="8"/>
    <d v="1899-12-30T03:00:00"/>
    <x v="16"/>
    <n v="3"/>
    <n v="3"/>
    <n v="0"/>
    <n v="1"/>
    <m/>
    <m/>
    <m/>
    <m/>
    <s v="https://www.sz.ch/public/upload/assets/45351/MM_Coronavirus_4_3_2020.pdf"/>
    <m/>
    <s v=""/>
    <m/>
    <s v=""/>
    <m/>
    <s v=""/>
    <n v="47.061787000000002"/>
    <n v="8.7565849999999994"/>
    <s v="Schwyz"/>
    <n v="5"/>
    <n v="2"/>
    <n v="0"/>
    <n v="1.91"/>
    <m/>
  </r>
  <r>
    <x v="8"/>
    <d v="1899-12-30T03:00:00"/>
    <x v="1"/>
    <m/>
    <n v="5"/>
    <n v="0"/>
    <m/>
    <m/>
    <m/>
    <m/>
    <m/>
    <s v="https://www4.ti.ch/area-media/comunicati/dettaglio-comunicato/?NEWS_ID=187371&amp;tx_tichareamedia_comunicazioni%5Baction%5D=show&amp;tx_tichareamedia_comunicazioni%5Bcontroller%5D=Comunicazioni&amp;cHash=174f2d754f3b657af79f343c92fc5c89"/>
    <m/>
    <s v=""/>
    <n v="18"/>
    <s v=""/>
    <m/>
    <s v=""/>
    <n v="46.295617"/>
    <n v="8.8089239999999993"/>
    <s v="Ticino"/>
    <n v="21"/>
    <n v="1"/>
    <n v="0"/>
    <n v="1.41"/>
    <m/>
  </r>
  <r>
    <x v="8"/>
    <d v="1899-12-30T03:00:00"/>
    <x v="9"/>
    <m/>
    <m/>
    <n v="3"/>
    <n v="11"/>
    <n v="1"/>
    <m/>
    <m/>
    <m/>
    <s v="https://www.vd.ch/toutes-les-actualites/hotline-et-informations-sur-le-coronavirus/"/>
    <m/>
    <s v=""/>
    <m/>
    <s v=""/>
    <m/>
    <s v=""/>
    <n v="46.570090999999998"/>
    <n v="6.5578090000000007"/>
    <s v="Vaud"/>
    <n v="22"/>
    <n v="0"/>
    <n v="0"/>
    <m/>
    <m/>
  </r>
  <r>
    <x v="8"/>
    <d v="1899-12-30T03:00:00"/>
    <x v="10"/>
    <m/>
    <n v="4"/>
    <n v="1"/>
    <n v="12"/>
    <n v="0"/>
    <n v="0"/>
    <m/>
    <n v="0"/>
    <s v="https://www.vs.ch/documents/6756452/7008787/2020%2004%2012%20Sit%20Epid%20-%20%C3%89tat%20Stand"/>
    <m/>
    <s v=""/>
    <m/>
    <s v=""/>
    <m/>
    <s v=""/>
    <n v="46.209567"/>
    <n v="7.6046589999999998"/>
    <s v="Valais/Wallis"/>
    <n v="23"/>
    <n v="1"/>
    <n v="0"/>
    <n v="1.17"/>
    <n v="0"/>
  </r>
  <r>
    <x v="8"/>
    <d v="1899-12-30T08:00:00"/>
    <x v="11"/>
    <m/>
    <n v="2"/>
    <n v="0"/>
    <n v="0"/>
    <n v="0"/>
    <m/>
    <n v="0"/>
    <n v="0"/>
    <s v="https://www.zg.ch/behoerden/gesundheitsdirektion/statistikfachstelle/themen/gesundheit/corona"/>
    <m/>
    <s v=""/>
    <m/>
    <s v=""/>
    <m/>
    <s v=""/>
    <n v="47.157296000000002"/>
    <n v="8.5372939999999993"/>
    <s v="Zug"/>
    <n v="9"/>
    <n v="1"/>
    <n v="0"/>
    <n v="1.59"/>
    <n v="0"/>
  </r>
  <r>
    <x v="8"/>
    <d v="1899-12-30T14:30:00"/>
    <x v="5"/>
    <m/>
    <n v="16"/>
    <n v="0"/>
    <m/>
    <m/>
    <m/>
    <m/>
    <m/>
    <s v="https://gd.zh.ch/internet/gesundheitsdirektion/de/themen/coronavirus.html"/>
    <m/>
    <s v=""/>
    <m/>
    <s v=""/>
    <m/>
    <s v=""/>
    <n v="47.412750000000003"/>
    <n v="8.6550799999999999"/>
    <s v="Zürich"/>
    <n v="1"/>
    <n v="2"/>
    <n v="0"/>
    <n v="1.06"/>
    <m/>
  </r>
  <r>
    <x v="9"/>
    <d v="1899-12-30T15:00:00"/>
    <x v="6"/>
    <m/>
    <n v="9"/>
    <n v="0"/>
    <m/>
    <m/>
    <m/>
    <m/>
    <m/>
    <s v="https://www.ag.ch/media/kanton_aargau/themen_1/coronavirus_1/lagebulletins/200305_KFS_Coronavirus_Lagebulletin_5.pdf"/>
    <m/>
    <s v=""/>
    <m/>
    <s v=""/>
    <m/>
    <s v=""/>
    <n v="47.409660000000002"/>
    <n v="8.1568799999999992"/>
    <s v="Aargau"/>
    <n v="1"/>
    <n v="2"/>
    <n v="0"/>
    <n v="1.34"/>
    <m/>
  </r>
  <r>
    <x v="9"/>
    <d v="1899-12-30T03:00:00"/>
    <x v="18"/>
    <m/>
    <n v="1"/>
    <n v="0"/>
    <m/>
    <m/>
    <m/>
    <m/>
    <m/>
    <s v="https://www.ar.ch/verwaltung/departement-gesundheit-und-soziales/news-aus-dem-departement/detail/news/coronavirusersterfallinappenzellausserrhoden/?tx_news_pi1[controller]=News&amp;tx_news_pi1[action]=detail&amp;cHash=fb1a9cf08108cdc7b82780b9239b009d"/>
    <m/>
    <s v=""/>
    <m/>
    <s v=""/>
    <m/>
    <s v=""/>
    <n v="47.416351999999996"/>
    <n v="9.3679100000000002"/>
    <s v="Appenzell Ausserrhoden"/>
    <n v="15"/>
    <n v="0"/>
    <n v="0"/>
    <n v="1.81"/>
    <m/>
  </r>
  <r>
    <x v="9"/>
    <d v="1899-12-30T03:00:00"/>
    <x v="8"/>
    <m/>
    <n v="6"/>
    <n v="0"/>
    <n v="1"/>
    <m/>
    <m/>
    <m/>
    <m/>
    <s v="https://www.baselland.ch/politik-und-behorden/direktionen/volkswirtschafts-und-gesundheitsdirektion/medienmitteilungen/neuer-coronavirus-covid-19-sechs-bestaetigte-faelle-im-kanton-basel-landschaft"/>
    <m/>
    <s v=""/>
    <m/>
    <s v=""/>
    <m/>
    <s v=""/>
    <n v="47.45176"/>
    <n v="7.7024140000000001"/>
    <s v="Basel-Landschaft"/>
    <n v="13"/>
    <n v="4"/>
    <n v="0"/>
    <n v="2.09"/>
    <m/>
  </r>
  <r>
    <x v="9"/>
    <d v="1899-12-30T17:15:00"/>
    <x v="2"/>
    <n v="235"/>
    <n v="8"/>
    <n v="0"/>
    <n v="1"/>
    <m/>
    <m/>
    <m/>
    <m/>
    <s v="https://www.coronavirus.bs.ch/nm/2020-coronavirus-fuenf-neue-positive-faelle-in-basel-stadt-gd.html"/>
    <n v="3"/>
    <s v=""/>
    <m/>
    <s v=""/>
    <m/>
    <s v=""/>
    <n v="47.564869000000002"/>
    <n v="7.615259"/>
    <s v="Basel-Stadt"/>
    <n v="12"/>
    <n v="5"/>
    <n v="0"/>
    <n v="4.13"/>
    <m/>
  </r>
  <r>
    <x v="9"/>
    <d v="1899-12-30T03:00:00"/>
    <x v="3"/>
    <n v="18"/>
    <n v="1"/>
    <n v="0"/>
    <m/>
    <m/>
    <m/>
    <m/>
    <m/>
    <s v="https://www.regierung.li/media/attachments/100-coronavirus-18-verdachtsfaelle-0305.pdf?t=637202562374055719"/>
    <m/>
    <s v=""/>
    <m/>
    <s v=""/>
    <m/>
    <s v=""/>
    <n v="47.166666999999997"/>
    <n v="9.509722"/>
    <s v="Fürstentum Lichtenstein"/>
    <n v="0"/>
    <n v="0"/>
    <n v="0"/>
    <n v="2.59"/>
    <m/>
  </r>
  <r>
    <x v="9"/>
    <d v="1899-12-30T03:00:00"/>
    <x v="12"/>
    <n v="30"/>
    <n v="6"/>
    <n v="0"/>
    <m/>
    <m/>
    <m/>
    <m/>
    <m/>
    <s v="https://www.fr.ch/de/covid19/gesundheit/covid-19/coronavirus-entwicklungen-der-situation"/>
    <m/>
    <s v=""/>
    <m/>
    <s v=""/>
    <m/>
    <s v=""/>
    <n v="46.718390999999997"/>
    <n v="7.0740080000000001"/>
    <s v="Fribourg"/>
    <n v="10"/>
    <n v="2"/>
    <n v="0"/>
    <n v="1.9"/>
    <m/>
  </r>
  <r>
    <x v="9"/>
    <d v="1899-12-30T03:00:00"/>
    <x v="0"/>
    <n v="1153"/>
    <n v="15"/>
    <n v="1"/>
    <n v="5"/>
    <n v="0"/>
    <n v="0"/>
    <m/>
    <n v="0"/>
    <s v="https://www.ge.ch/document/covid-19-situation-epidemiologique-geneve/telecharger"/>
    <m/>
    <s v=""/>
    <m/>
    <s v=""/>
    <n v="0"/>
    <s v=""/>
    <n v="46.220528000000002"/>
    <n v="6.1329349999999998"/>
    <s v="Genève"/>
    <n v="25"/>
    <n v="4"/>
    <n v="0"/>
    <n v="3.03"/>
    <n v="0"/>
  </r>
  <r>
    <x v="9"/>
    <d v="1899-12-30T03:00:00"/>
    <x v="4"/>
    <m/>
    <n v="4"/>
    <n v="1"/>
    <n v="2"/>
    <m/>
    <m/>
    <m/>
    <m/>
    <s v="https://www.jura.ch/fr/Autorites/Coronavirus/Chiffres-H-JU/Evolution-des-cas-COVID-19-dans-le-Jura.html"/>
    <m/>
    <s v=""/>
    <m/>
    <s v=""/>
    <m/>
    <s v=""/>
    <n v="47.350743999999999"/>
    <n v="7.1561070000000004"/>
    <s v="Jura"/>
    <n v="26"/>
    <n v="2"/>
    <n v="0"/>
    <n v="5.46"/>
    <m/>
  </r>
  <r>
    <x v="9"/>
    <d v="1899-12-30T03:00:00"/>
    <x v="14"/>
    <m/>
    <n v="9"/>
    <n v="0"/>
    <n v="4"/>
    <m/>
    <m/>
    <m/>
    <m/>
    <s v="https://www.ne.ch/autorites/DFS/SCSP/medecin-cantonal/maladies-vaccinations/Documents/Covid-19-Statistiques/COVID19_PublicationInternet.pdf"/>
    <m/>
    <s v=""/>
    <m/>
    <s v=""/>
    <m/>
    <s v=""/>
    <n v="46.995533999999999"/>
    <n v="6.7801260000000001"/>
    <s v="Neuchâtel"/>
    <n v="24"/>
    <n v="1"/>
    <n v="0"/>
    <n v="5.0599999999999996"/>
    <m/>
  </r>
  <r>
    <x v="9"/>
    <d v="1899-12-30T03:00:00"/>
    <x v="1"/>
    <m/>
    <n v="18"/>
    <n v="0"/>
    <m/>
    <m/>
    <m/>
    <m/>
    <m/>
    <s v="https://www4.ti.ch/area-media/comunicati/dettaglio-comunicato/?NEWS_ID=187385&amp;tx_tichareamedia_comunicazioni%5Baction%5D=show&amp;tx_tichareamedia_comunicazioni%5Bcontroller%5D=Comunicazioni&amp;cHash=a9ddddfae2c7446e5b856451e178a61a"/>
    <m/>
    <s v=""/>
    <m/>
    <s v=""/>
    <m/>
    <s v=""/>
    <n v="46.295617"/>
    <n v="8.8089239999999993"/>
    <s v="Ticino"/>
    <n v="21"/>
    <n v="13"/>
    <n v="0"/>
    <n v="5.09"/>
    <m/>
  </r>
  <r>
    <x v="9"/>
    <d v="1899-12-30T03:00:00"/>
    <x v="9"/>
    <m/>
    <m/>
    <n v="3"/>
    <n v="14"/>
    <n v="1"/>
    <m/>
    <m/>
    <m/>
    <s v="https://www.vd.ch/toutes-les-actualites/hotline-et-informations-sur-le-coronavirus/"/>
    <m/>
    <s v=""/>
    <m/>
    <s v=""/>
    <m/>
    <s v=""/>
    <n v="46.570090999999998"/>
    <n v="6.5578090000000007"/>
    <s v="Vaud"/>
    <n v="22"/>
    <n v="0"/>
    <n v="0"/>
    <m/>
    <m/>
  </r>
  <r>
    <x v="9"/>
    <d v="1899-12-30T03:00:00"/>
    <x v="10"/>
    <m/>
    <n v="5"/>
    <n v="-2"/>
    <n v="10"/>
    <n v="0"/>
    <n v="0"/>
    <m/>
    <n v="0"/>
    <s v="https://www.vs.ch/documents/6756452/7008787/2020%2004%2012%20Sit%20Epid%20-%20%C3%89tat%20Stand"/>
    <m/>
    <s v=""/>
    <m/>
    <s v=""/>
    <m/>
    <s v=""/>
    <n v="46.209567"/>
    <n v="7.6046589999999998"/>
    <s v="Valais/Wallis"/>
    <n v="23"/>
    <n v="1"/>
    <n v="0"/>
    <n v="1.46"/>
    <n v="0"/>
  </r>
  <r>
    <x v="9"/>
    <d v="1899-12-30T08:00:00"/>
    <x v="11"/>
    <m/>
    <n v="3"/>
    <n v="0"/>
    <n v="0"/>
    <n v="0"/>
    <m/>
    <n v="0"/>
    <n v="0"/>
    <s v="https://www.zg.ch/behoerden/gesundheitsdirektion/statistikfachstelle/themen/gesundheit/corona"/>
    <m/>
    <s v=""/>
    <m/>
    <s v=""/>
    <m/>
    <s v=""/>
    <n v="47.157296000000002"/>
    <n v="8.5372939999999993"/>
    <s v="Zug"/>
    <n v="9"/>
    <n v="1"/>
    <n v="0"/>
    <n v="2.39"/>
    <n v="0"/>
  </r>
  <r>
    <x v="9"/>
    <d v="1899-12-30T14:30:00"/>
    <x v="5"/>
    <m/>
    <n v="24"/>
    <n v="0"/>
    <m/>
    <m/>
    <m/>
    <m/>
    <m/>
    <s v="https://gd.zh.ch/internet/gesundheitsdirektion/de/themen/coronavirus.html"/>
    <m/>
    <s v=""/>
    <m/>
    <s v=""/>
    <m/>
    <s v=""/>
    <n v="47.412750000000003"/>
    <n v="8.6550799999999999"/>
    <s v="Zürich"/>
    <n v="1"/>
    <n v="8"/>
    <n v="0"/>
    <n v="1.6"/>
    <m/>
  </r>
  <r>
    <x v="10"/>
    <d v="1899-12-30T15:00:00"/>
    <x v="6"/>
    <m/>
    <n v="12"/>
    <n v="0"/>
    <m/>
    <m/>
    <m/>
    <n v="1"/>
    <m/>
    <s v="https://www.ag.ch/media/kanton_aargau/themen_1/coronavirus_1/lagebulletins/200305_KFS_Coronavirus_Lagebulletin_6.pdf"/>
    <m/>
    <s v=""/>
    <m/>
    <s v=""/>
    <m/>
    <s v=""/>
    <n v="47.409660000000002"/>
    <n v="8.1568799999999992"/>
    <s v="Aargau"/>
    <n v="1"/>
    <n v="3"/>
    <n v="0"/>
    <n v="1.79"/>
    <m/>
  </r>
  <r>
    <x v="10"/>
    <d v="1899-12-30T03:00:00"/>
    <x v="7"/>
    <m/>
    <n v="17"/>
    <n v="0"/>
    <m/>
    <m/>
    <m/>
    <m/>
    <m/>
    <s v="https://www.be.ch/portal/de/index/mediencenter/medienmitteilungen/suche.meldungNeu.html/portal/de/meldungen/mm/2020/03/20200306_1343_corona6-3"/>
    <m/>
    <s v=""/>
    <m/>
    <s v=""/>
    <m/>
    <s v=""/>
    <n v="46.823608"/>
    <n v="7.6366670000000001"/>
    <s v="Bern/Berne"/>
    <n v="2"/>
    <n v="11"/>
    <n v="0"/>
    <n v="1.65"/>
    <m/>
  </r>
  <r>
    <x v="10"/>
    <d v="1899-12-30T03:00:00"/>
    <x v="8"/>
    <m/>
    <n v="6"/>
    <n v="3"/>
    <n v="4"/>
    <n v="2"/>
    <m/>
    <m/>
    <m/>
    <s v="https://www.baselland.ch/politik-und-behorden/direktionen/volkswirtschafts-und-gesundheitsdirektion/medienmitteilungen/neuer-coronavirus-covid-19-sechs-bestaetigte-faelle-im-kanton-basel-landschaft"/>
    <m/>
    <s v=""/>
    <m/>
    <s v=""/>
    <m/>
    <s v=""/>
    <n v="47.45176"/>
    <n v="7.7024140000000001"/>
    <s v="Basel-Landschaft"/>
    <n v="13"/>
    <n v="0"/>
    <n v="0"/>
    <n v="2.09"/>
    <m/>
  </r>
  <r>
    <x v="10"/>
    <d v="1899-12-30T14:00:00"/>
    <x v="2"/>
    <n v="235"/>
    <n v="15"/>
    <n v="0"/>
    <n v="1"/>
    <m/>
    <m/>
    <m/>
    <m/>
    <s v="https://twitter.com/BAG_OFSP_UFSP/status/1235934884167852035?s=20"/>
    <n v="3"/>
    <s v=""/>
    <m/>
    <s v=""/>
    <m/>
    <s v=""/>
    <n v="47.564869000000002"/>
    <n v="7.615259"/>
    <s v="Basel-Stadt"/>
    <n v="12"/>
    <n v="7"/>
    <n v="0"/>
    <n v="7.74"/>
    <m/>
  </r>
  <r>
    <x v="10"/>
    <d v="1899-12-30T03:00:00"/>
    <x v="3"/>
    <n v="22"/>
    <n v="1"/>
    <n v="0"/>
    <m/>
    <m/>
    <m/>
    <m/>
    <m/>
    <s v="https://www.regierung.li/media/attachments/104-coronavirus-vorsicht.pdf?t=637202562374055719"/>
    <m/>
    <s v=""/>
    <m/>
    <s v=""/>
    <m/>
    <s v=""/>
    <n v="47.166666999999997"/>
    <n v="9.509722"/>
    <s v="Fürstentum Lichtenstein"/>
    <n v="0"/>
    <n v="0"/>
    <n v="0"/>
    <n v="2.59"/>
    <m/>
  </r>
  <r>
    <x v="10"/>
    <d v="1899-12-30T03:00:00"/>
    <x v="0"/>
    <n v="1251"/>
    <n v="19"/>
    <n v="2"/>
    <n v="7"/>
    <n v="0"/>
    <n v="0"/>
    <m/>
    <n v="0"/>
    <s v="https://www.ge.ch/document/covid-19-situation-epidemiologique-geneve/telecharger"/>
    <m/>
    <s v=""/>
    <m/>
    <s v=""/>
    <n v="0"/>
    <s v=""/>
    <n v="46.220528000000002"/>
    <n v="6.1329349999999998"/>
    <s v="Genève"/>
    <n v="25"/>
    <n v="4"/>
    <n v="0"/>
    <n v="3.84"/>
    <n v="0"/>
  </r>
  <r>
    <x v="10"/>
    <d v="1899-12-30T03:00:00"/>
    <x v="4"/>
    <m/>
    <n v="4"/>
    <n v="3"/>
    <n v="5"/>
    <m/>
    <m/>
    <m/>
    <m/>
    <s v="https://www.jura.ch/fr/Autorites/Coronavirus/Chiffres-H-JU/Evolution-des-cas-COVID-19-dans-le-Jura.html"/>
    <m/>
    <s v=""/>
    <m/>
    <s v=""/>
    <m/>
    <s v=""/>
    <n v="47.350743999999999"/>
    <n v="7.1561070000000004"/>
    <s v="Jura"/>
    <n v="26"/>
    <n v="0"/>
    <n v="0"/>
    <n v="5.46"/>
    <m/>
  </r>
  <r>
    <x v="10"/>
    <d v="1899-12-30T03:00:00"/>
    <x v="14"/>
    <m/>
    <n v="13"/>
    <n v="-2"/>
    <n v="2"/>
    <m/>
    <m/>
    <m/>
    <m/>
    <s v="https://www.ne.ch/autorites/DFS/SCSP/medecin-cantonal/maladies-vaccinations/Documents/Covid-19-Statistiques/COVID19_PublicationInternet.pdf"/>
    <m/>
    <s v=""/>
    <m/>
    <s v=""/>
    <m/>
    <s v=""/>
    <n v="46.995533999999999"/>
    <n v="6.7801260000000001"/>
    <s v="Neuchâtel"/>
    <n v="24"/>
    <n v="4"/>
    <n v="0"/>
    <n v="7.3"/>
    <m/>
  </r>
  <r>
    <x v="10"/>
    <d v="1899-12-30T15:38:00"/>
    <x v="15"/>
    <m/>
    <n v="2"/>
    <n v="0"/>
    <m/>
    <m/>
    <m/>
    <m/>
    <m/>
    <s v="https://www.sg.ch/news/sgch_allgemein/2020/03/zweiter-bestaetigter-fall-einer-corona-patientin.html"/>
    <m/>
    <s v=""/>
    <m/>
    <s v=""/>
    <m/>
    <s v=""/>
    <n v="47.183199999999999"/>
    <n v="9.2747440000000001"/>
    <s v="St. Gallen"/>
    <n v="17"/>
    <n v="1"/>
    <n v="0"/>
    <n v="0.4"/>
    <m/>
  </r>
  <r>
    <x v="10"/>
    <d v="1899-12-30T12:00:00"/>
    <x v="19"/>
    <m/>
    <n v="1"/>
    <n v="0"/>
    <m/>
    <m/>
    <m/>
    <m/>
    <m/>
    <s v="https://so.ch/startseite/aktuell/news/erster-laborbestaetigter-covid-19-fall-im-kanton-solothurn/?tx_news_pi1%5Bcontroller%5D=News&amp;tx_news_pi1%5Baction%5D=detail&amp;cHash=3074bbdc8f0fcdcb9f1e11a21fc05e73"/>
    <m/>
    <s v=""/>
    <m/>
    <s v=""/>
    <m/>
    <s v=""/>
    <n v="47.304135000000002"/>
    <n v="7.6393880000000003"/>
    <s v="Solothurn"/>
    <n v="11"/>
    <n v="0"/>
    <n v="0"/>
    <n v="0.37"/>
    <m/>
  </r>
  <r>
    <x v="10"/>
    <d v="1899-12-30T03:00:00"/>
    <x v="16"/>
    <n v="6"/>
    <n v="6"/>
    <n v="0"/>
    <n v="1"/>
    <m/>
    <m/>
    <m/>
    <m/>
    <s v="https://www.sz.ch/public/upload/assets/45417/MM_Coronavirus_6_3_2020.pdf"/>
    <m/>
    <s v=""/>
    <m/>
    <s v=""/>
    <m/>
    <s v=""/>
    <n v="47.061787000000002"/>
    <n v="8.7565849999999994"/>
    <s v="Schwyz"/>
    <n v="5"/>
    <n v="3"/>
    <n v="0"/>
    <n v="3.81"/>
    <m/>
  </r>
  <r>
    <x v="10"/>
    <d v="1899-12-30T03:00:00"/>
    <x v="1"/>
    <m/>
    <n v="18"/>
    <n v="0"/>
    <m/>
    <m/>
    <m/>
    <m/>
    <m/>
    <s v="https://www4.ti.ch/area-media/comunicati/dettaglio-comunicato/?NEWS_ID=187385&amp;tx_tichareamedia_comunicazioni%5Baction%5D=show&amp;tx_tichareamedia_comunicazioni%5Bcontroller%5D=Comunicazioni&amp;cHash=a9ddddfae2c7446e5b856451e178a61a"/>
    <m/>
    <s v=""/>
    <n v="45"/>
    <s v=""/>
    <m/>
    <s v=""/>
    <n v="46.295617"/>
    <n v="8.8089239999999993"/>
    <s v="Ticino"/>
    <n v="21"/>
    <n v="0"/>
    <n v="0"/>
    <n v="5.09"/>
    <m/>
  </r>
  <r>
    <x v="10"/>
    <d v="1899-12-30T03:00:00"/>
    <x v="9"/>
    <m/>
    <n v="23"/>
    <n v="1"/>
    <n v="15"/>
    <n v="2"/>
    <m/>
    <m/>
    <n v="1"/>
    <s v="https://www.vd.ch/toutes-les-actualites/hotline-et-informations-sur-le-coronavirus/"/>
    <m/>
    <s v=""/>
    <m/>
    <s v=""/>
    <m/>
    <s v=""/>
    <n v="46.570090999999998"/>
    <n v="6.5578090000000007"/>
    <s v="Vaud"/>
    <n v="22"/>
    <n v="0"/>
    <n v="0"/>
    <n v="2.9"/>
    <n v="0.126"/>
  </r>
  <r>
    <x v="10"/>
    <d v="1899-12-30T03:00:00"/>
    <x v="10"/>
    <m/>
    <n v="6"/>
    <n v="1"/>
    <n v="11"/>
    <n v="0"/>
    <n v="0"/>
    <m/>
    <n v="0"/>
    <s v="https://www.vs.ch/documents/6756452/7008787/2020%2004%2012%20Sit%20Epid%20-%20%C3%89tat%20Stand"/>
    <m/>
    <s v=""/>
    <m/>
    <s v=""/>
    <m/>
    <s v=""/>
    <n v="46.209567"/>
    <n v="7.6046589999999998"/>
    <s v="Valais/Wallis"/>
    <n v="23"/>
    <n v="1"/>
    <n v="0"/>
    <n v="1.76"/>
    <n v="0"/>
  </r>
  <r>
    <x v="10"/>
    <d v="1899-12-30T08:00:00"/>
    <x v="11"/>
    <m/>
    <n v="3"/>
    <n v="0"/>
    <n v="0"/>
    <n v="0"/>
    <m/>
    <n v="0"/>
    <n v="0"/>
    <s v="https://www.zg.ch/behoerden/gesundheitsdirektion/statistikfachstelle/themen/gesundheit/corona"/>
    <m/>
    <s v=""/>
    <m/>
    <s v=""/>
    <m/>
    <s v=""/>
    <n v="47.157296000000002"/>
    <n v="8.5372939999999993"/>
    <s v="Zug"/>
    <n v="9"/>
    <n v="0"/>
    <n v="0"/>
    <n v="2.39"/>
    <n v="0"/>
  </r>
  <r>
    <x v="10"/>
    <d v="1899-12-30T14:30:00"/>
    <x v="5"/>
    <m/>
    <n v="30"/>
    <n v="0"/>
    <m/>
    <m/>
    <m/>
    <m/>
    <m/>
    <s v="https://gd.zh.ch/internet/gesundheitsdirektion/de/themen/coronavirus.html"/>
    <m/>
    <s v=""/>
    <m/>
    <s v=""/>
    <m/>
    <s v=""/>
    <n v="47.412750000000003"/>
    <n v="8.6550799999999999"/>
    <s v="Zürich"/>
    <n v="1"/>
    <n v="6"/>
    <n v="0"/>
    <n v="1.99"/>
    <m/>
  </r>
  <r>
    <x v="11"/>
    <d v="1899-12-30T03:00:00"/>
    <x v="8"/>
    <m/>
    <n v="15"/>
    <n v="0"/>
    <n v="4"/>
    <n v="2"/>
    <m/>
    <m/>
    <m/>
    <s v="https://www.baselland.ch/politik-und-behorden/direktionen/volkswirtschafts-und-gesundheitsdirektion/medienmitteilungen/update-15-bestaetigte-faelle-in-basel-landschaft"/>
    <m/>
    <s v=""/>
    <m/>
    <s v=""/>
    <m/>
    <s v=""/>
    <n v="47.45176"/>
    <n v="7.7024140000000001"/>
    <s v="Basel-Landschaft"/>
    <n v="13"/>
    <n v="9"/>
    <n v="0"/>
    <n v="5.23"/>
    <m/>
  </r>
  <r>
    <x v="11"/>
    <d v="1899-12-30T12:00:00"/>
    <x v="2"/>
    <n v="235"/>
    <n v="21"/>
    <n v="0"/>
    <n v="1"/>
    <m/>
    <m/>
    <m/>
    <m/>
    <s v="https://twitter.com/BAG_OFSP_UFSP/status/1236249864473894914?s=20"/>
    <n v="3"/>
    <s v=""/>
    <m/>
    <s v=""/>
    <m/>
    <s v=""/>
    <n v="47.564869000000002"/>
    <n v="7.615259"/>
    <s v="Basel-Stadt"/>
    <n v="12"/>
    <n v="6"/>
    <n v="0"/>
    <n v="10.83"/>
    <m/>
  </r>
  <r>
    <x v="11"/>
    <d v="1899-12-30T03:00:00"/>
    <x v="0"/>
    <n v="1327"/>
    <n v="30"/>
    <n v="0"/>
    <n v="7"/>
    <n v="0"/>
    <n v="0"/>
    <m/>
    <n v="0"/>
    <s v="https://www.ge.ch/document/covid-19-situation-epidemiologique-geneve/telecharger"/>
    <m/>
    <s v=""/>
    <m/>
    <s v=""/>
    <n v="0"/>
    <s v=""/>
    <n v="46.220528000000002"/>
    <n v="6.1329349999999998"/>
    <s v="Genève"/>
    <n v="25"/>
    <n v="11"/>
    <n v="0"/>
    <n v="6.06"/>
    <n v="0"/>
  </r>
  <r>
    <x v="11"/>
    <d v="1899-12-30T03:00:00"/>
    <x v="4"/>
    <m/>
    <n v="5"/>
    <n v="0"/>
    <n v="5"/>
    <m/>
    <m/>
    <m/>
    <m/>
    <s v="https://www.jura.ch/fr/Autorites/Coronavirus/Chiffres-H-JU/Evolution-des-cas-COVID-19-dans-le-Jura.html"/>
    <m/>
    <s v=""/>
    <m/>
    <s v=""/>
    <m/>
    <s v=""/>
    <n v="47.350743999999999"/>
    <n v="7.1561070000000004"/>
    <s v="Jura"/>
    <n v="26"/>
    <n v="1"/>
    <n v="0"/>
    <n v="6.82"/>
    <m/>
  </r>
  <r>
    <x v="11"/>
    <d v="1899-12-30T03:00:00"/>
    <x v="14"/>
    <m/>
    <n v="18"/>
    <n v="0"/>
    <n v="2"/>
    <m/>
    <m/>
    <m/>
    <m/>
    <s v="https://www.ne.ch/autorites/DFS/SCSP/medecin-cantonal/maladies-vaccinations/Documents/Covid-19-Statistiques/COVID19_PublicationInternet.pdf"/>
    <m/>
    <s v=""/>
    <m/>
    <s v=""/>
    <m/>
    <s v=""/>
    <n v="46.995533999999999"/>
    <n v="6.7801260000000001"/>
    <s v="Neuchâtel"/>
    <n v="24"/>
    <n v="5"/>
    <n v="0"/>
    <n v="10.11"/>
    <m/>
  </r>
  <r>
    <x v="11"/>
    <d v="1899-12-30T03:00:00"/>
    <x v="1"/>
    <m/>
    <n v="45"/>
    <n v="0"/>
    <m/>
    <m/>
    <m/>
    <m/>
    <m/>
    <s v="https://www4.ti.ch/area-media/comunicati/dettaglio-comunicato/?NEWS_ID=187406&amp;tx_tichareamedia_comunicazioni%5Baction%5D=show&amp;tx_tichareamedia_comunicazioni%5Bcontroller%5D=Comunicazioni&amp;cHash=e553d0b42db2ead87a7d05e499fac4db"/>
    <m/>
    <s v=""/>
    <n v="58"/>
    <s v=""/>
    <m/>
    <s v=""/>
    <n v="46.295617"/>
    <n v="8.8089239999999993"/>
    <s v="Ticino"/>
    <n v="21"/>
    <n v="0"/>
    <n v="0"/>
    <n v="12.72"/>
    <m/>
  </r>
  <r>
    <x v="11"/>
    <d v="1899-12-30T03:00:00"/>
    <x v="9"/>
    <m/>
    <n v="30"/>
    <n v="1"/>
    <n v="16"/>
    <n v="4"/>
    <m/>
    <m/>
    <n v="1"/>
    <s v="https://www.vd.ch/toutes-les-actualites/hotline-et-informations-sur-le-coronavirus/"/>
    <m/>
    <s v=""/>
    <m/>
    <s v=""/>
    <m/>
    <s v=""/>
    <n v="46.570090999999998"/>
    <n v="6.5578090000000007"/>
    <s v="Vaud"/>
    <n v="22"/>
    <n v="7"/>
    <n v="0"/>
    <n v="3.78"/>
    <n v="0.126"/>
  </r>
  <r>
    <x v="11"/>
    <d v="1899-12-30T03:00:00"/>
    <x v="10"/>
    <m/>
    <n v="7"/>
    <n v="0"/>
    <n v="11"/>
    <n v="0"/>
    <n v="0"/>
    <m/>
    <n v="0"/>
    <s v="https://www.vs.ch/documents/6756452/7008787/2020%2004%2012%20Sit%20Epid%20-%20%C3%89tat%20Stand"/>
    <m/>
    <s v=""/>
    <m/>
    <s v=""/>
    <m/>
    <s v=""/>
    <n v="46.209567"/>
    <n v="7.6046589999999998"/>
    <s v="Valais/Wallis"/>
    <n v="23"/>
    <n v="1"/>
    <n v="0"/>
    <n v="2.0499999999999998"/>
    <n v="0"/>
  </r>
  <r>
    <x v="11"/>
    <d v="1899-12-30T08:00:00"/>
    <x v="11"/>
    <m/>
    <n v="3"/>
    <n v="0"/>
    <n v="0"/>
    <n v="0"/>
    <m/>
    <n v="0"/>
    <n v="0"/>
    <s v="https://www.zg.ch/behoerden/gesundheitsdirektion/statistikfachstelle/themen/gesundheit/corona"/>
    <m/>
    <s v=""/>
    <m/>
    <s v=""/>
    <m/>
    <s v=""/>
    <n v="47.157296000000002"/>
    <n v="8.5372939999999993"/>
    <s v="Zug"/>
    <n v="9"/>
    <n v="0"/>
    <n v="0"/>
    <n v="2.39"/>
    <n v="0"/>
  </r>
  <r>
    <x v="11"/>
    <d v="1899-12-30T14:30:00"/>
    <x v="5"/>
    <m/>
    <n v="35"/>
    <n v="0"/>
    <m/>
    <m/>
    <m/>
    <m/>
    <m/>
    <s v="https://gd.zh.ch/internet/gesundheitsdirektion/de/themen/coronavirus.html"/>
    <m/>
    <s v=""/>
    <m/>
    <s v=""/>
    <m/>
    <s v=""/>
    <n v="47.412750000000003"/>
    <n v="8.6550799999999999"/>
    <s v="Zürich"/>
    <n v="1"/>
    <n v="5"/>
    <n v="0"/>
    <n v="2.33"/>
    <m/>
  </r>
  <r>
    <x v="12"/>
    <d v="1899-12-30T03:00:00"/>
    <x v="8"/>
    <m/>
    <n v="19"/>
    <n v="0"/>
    <n v="4"/>
    <n v="2"/>
    <m/>
    <m/>
    <n v="1"/>
    <s v="https://www.baselland.ch/politik-und-behorden/direktionen/volkswirtschafts-und-gesundheitsdirektion/medienmitteilungen/patient-im-kantonsspital-baselland-stirbt-an-den-folgen-einer-coronavirus-infektion"/>
    <m/>
    <s v=""/>
    <m/>
    <s v=""/>
    <m/>
    <s v=""/>
    <n v="47.45176"/>
    <n v="7.7024140000000001"/>
    <s v="Basel-Landschaft"/>
    <n v="13"/>
    <n v="4"/>
    <n v="0"/>
    <n v="6.62"/>
    <n v="0.34799999999999998"/>
  </r>
  <r>
    <x v="12"/>
    <d v="1899-12-30T12:00:00"/>
    <x v="2"/>
    <n v="235"/>
    <n v="24"/>
    <n v="0"/>
    <n v="1"/>
    <m/>
    <m/>
    <m/>
    <m/>
    <s v="https://twitter.com/BAG_OFSP_UFSP/status/1236609191831384064?s=20"/>
    <n v="3"/>
    <s v=""/>
    <m/>
    <s v=""/>
    <m/>
    <s v=""/>
    <n v="47.564869000000002"/>
    <n v="7.615259"/>
    <s v="Basel-Stadt"/>
    <n v="12"/>
    <n v="3"/>
    <n v="0"/>
    <n v="12.38"/>
    <m/>
  </r>
  <r>
    <x v="12"/>
    <d v="1899-12-30T03:00:00"/>
    <x v="12"/>
    <n v="30"/>
    <n v="8"/>
    <n v="0"/>
    <m/>
    <m/>
    <m/>
    <m/>
    <m/>
    <s v="https://www.fr.ch/de/covid19/gesundheit/covid-19/coronavirus-entwicklungen-der-situation"/>
    <m/>
    <s v=""/>
    <m/>
    <s v=""/>
    <m/>
    <s v=""/>
    <n v="46.718390999999997"/>
    <n v="7.0740080000000001"/>
    <s v="Fribourg"/>
    <n v="10"/>
    <n v="2"/>
    <n v="0"/>
    <n v="2.54"/>
    <m/>
  </r>
  <r>
    <x v="12"/>
    <d v="1899-12-30T03:00:00"/>
    <x v="0"/>
    <n v="1398"/>
    <n v="38"/>
    <n v="2"/>
    <n v="9"/>
    <n v="0"/>
    <n v="0"/>
    <m/>
    <n v="0"/>
    <s v="https://www.ge.ch/document/covid-19-situation-epidemiologique-geneve/telecharger"/>
    <m/>
    <s v=""/>
    <m/>
    <s v=""/>
    <n v="0"/>
    <s v=""/>
    <n v="46.220528000000002"/>
    <n v="6.1329349999999998"/>
    <s v="Genève"/>
    <n v="25"/>
    <n v="8"/>
    <n v="0"/>
    <n v="7.67"/>
    <n v="0"/>
  </r>
  <r>
    <x v="12"/>
    <d v="1899-12-30T03:00:00"/>
    <x v="4"/>
    <m/>
    <n v="5"/>
    <n v="0"/>
    <n v="5"/>
    <m/>
    <m/>
    <m/>
    <m/>
    <s v="https://www.jura.ch/fr/Autorites/Coronavirus/Chiffres-H-JU/Evolution-des-cas-COVID-19-dans-le-Jura.html"/>
    <m/>
    <s v=""/>
    <m/>
    <s v=""/>
    <m/>
    <s v=""/>
    <n v="47.350743999999999"/>
    <n v="7.1561070000000004"/>
    <s v="Jura"/>
    <n v="26"/>
    <n v="0"/>
    <n v="0"/>
    <n v="6.82"/>
    <m/>
  </r>
  <r>
    <x v="12"/>
    <d v="1899-12-30T03:00:00"/>
    <x v="14"/>
    <m/>
    <n v="24"/>
    <n v="1"/>
    <n v="3"/>
    <m/>
    <m/>
    <m/>
    <m/>
    <s v="https://www.ne.ch/autorites/DFS/SCSP/medecin-cantonal/maladies-vaccinations/Documents/Covid-19-Statistiques/COVID19_PublicationInternet.pdf"/>
    <m/>
    <s v=""/>
    <m/>
    <s v=""/>
    <m/>
    <s v=""/>
    <n v="46.995533999999999"/>
    <n v="6.7801260000000001"/>
    <s v="Neuchâtel"/>
    <n v="24"/>
    <n v="6"/>
    <n v="0"/>
    <n v="13.48"/>
    <m/>
  </r>
  <r>
    <x v="12"/>
    <d v="1899-12-30T03:00:00"/>
    <x v="1"/>
    <m/>
    <n v="58"/>
    <n v="0"/>
    <m/>
    <m/>
    <m/>
    <m/>
    <m/>
    <s v="https://www4.ti.ch/area-media/comunicati/dettaglio-comunicato/?NEWS_ID=187407&amp;tx_tichareamedia_comunicazioni%5Baction%5D=show&amp;tx_tichareamedia_comunicazioni%5Bcontroller%5D=Comunicazioni&amp;cHash=8d1ff4bf2a674892913340827de952ea"/>
    <m/>
    <s v=""/>
    <n v="68"/>
    <s v=""/>
    <m/>
    <s v=""/>
    <n v="46.295617"/>
    <n v="8.8089239999999993"/>
    <s v="Ticino"/>
    <n v="21"/>
    <n v="13"/>
    <n v="0"/>
    <n v="16.399999999999999"/>
    <m/>
  </r>
  <r>
    <x v="12"/>
    <d v="1899-12-30T03:00:00"/>
    <x v="9"/>
    <m/>
    <n v="40"/>
    <n v="6"/>
    <n v="22"/>
    <n v="3"/>
    <m/>
    <m/>
    <n v="1"/>
    <s v="https://www.vd.ch/toutes-les-actualites/hotline-et-informations-sur-le-coronavirus/"/>
    <m/>
    <s v=""/>
    <m/>
    <s v=""/>
    <m/>
    <s v=""/>
    <n v="46.570090999999998"/>
    <n v="6.5578090000000007"/>
    <s v="Vaud"/>
    <n v="22"/>
    <n v="10"/>
    <n v="0"/>
    <n v="5.04"/>
    <n v="0.126"/>
  </r>
  <r>
    <x v="12"/>
    <d v="1899-12-30T03:00:00"/>
    <x v="10"/>
    <m/>
    <n v="12"/>
    <n v="4"/>
    <n v="15"/>
    <n v="1"/>
    <n v="1"/>
    <m/>
    <n v="0"/>
    <s v="https://www.vs.ch/documents/6756452/7008787/2020%2004%2012%20Sit%20Epid%20-%20%C3%89tat%20Stand"/>
    <m/>
    <s v=""/>
    <m/>
    <s v=""/>
    <m/>
    <s v=""/>
    <n v="46.209567"/>
    <n v="7.6046589999999998"/>
    <s v="Valais/Wallis"/>
    <n v="23"/>
    <n v="5"/>
    <n v="0"/>
    <n v="3.51"/>
    <n v="0"/>
  </r>
  <r>
    <x v="12"/>
    <d v="1899-12-30T08:00:00"/>
    <x v="11"/>
    <m/>
    <n v="10"/>
    <n v="0"/>
    <n v="0"/>
    <n v="0"/>
    <m/>
    <n v="0"/>
    <n v="0"/>
    <s v="https://www.zg.ch/behoerden/gesundheitsdirektion/statistikfachstelle/themen/gesundheit/corona"/>
    <m/>
    <s v=""/>
    <m/>
    <s v=""/>
    <m/>
    <s v=""/>
    <n v="47.157296000000002"/>
    <n v="8.5372939999999993"/>
    <s v="Zug"/>
    <n v="9"/>
    <n v="7"/>
    <n v="0"/>
    <n v="7.97"/>
    <n v="0"/>
  </r>
  <r>
    <x v="12"/>
    <d v="1899-12-30T14:30:00"/>
    <x v="5"/>
    <m/>
    <n v="41"/>
    <n v="0"/>
    <m/>
    <m/>
    <m/>
    <m/>
    <m/>
    <s v="https://gd.zh.ch/internet/gesundheitsdirektion/de/themen/coronavirus.html"/>
    <m/>
    <s v=""/>
    <m/>
    <s v=""/>
    <m/>
    <s v=""/>
    <n v="47.412750000000003"/>
    <n v="8.6550799999999999"/>
    <s v="Zürich"/>
    <n v="1"/>
    <n v="6"/>
    <n v="0"/>
    <n v="2.73"/>
    <m/>
  </r>
  <r>
    <x v="13"/>
    <d v="1899-12-30T15:00:00"/>
    <x v="6"/>
    <m/>
    <n v="14"/>
    <n v="0"/>
    <m/>
    <m/>
    <m/>
    <n v="2"/>
    <m/>
    <s v="https://www.ag.ch/media/kanton_aargau/themen_1/coronavirus_1/lagebulletins/200309_KFS_Coronavirus_Lagebulletin_7.pdf"/>
    <m/>
    <s v=""/>
    <m/>
    <s v=""/>
    <m/>
    <s v=""/>
    <n v="47.409660000000002"/>
    <n v="8.1568799999999992"/>
    <s v="Aargau"/>
    <n v="1"/>
    <n v="2"/>
    <n v="0"/>
    <n v="2.09"/>
    <m/>
  </r>
  <r>
    <x v="13"/>
    <d v="1899-12-30T03:00:00"/>
    <x v="18"/>
    <m/>
    <n v="2"/>
    <n v="0"/>
    <m/>
    <m/>
    <m/>
    <m/>
    <m/>
    <s v="https://www.ar.ch/schnellzugriff/medienmitteilungen-der-kantonalen-verwaltung/detail/news/zweiter-coronafall-in-appenzell-ausserrhoden/?tx_news_pi1[controller]=News&amp;tx_news_pi1[action]=detail&amp;cHash=de7ec38198b5e60b6dce8fccc7735501"/>
    <m/>
    <s v=""/>
    <m/>
    <s v=""/>
    <m/>
    <s v=""/>
    <n v="47.416351999999996"/>
    <n v="9.3679100000000002"/>
    <s v="Appenzell Ausserrhoden"/>
    <n v="15"/>
    <n v="1"/>
    <n v="0"/>
    <n v="3.62"/>
    <m/>
  </r>
  <r>
    <x v="13"/>
    <d v="1899-12-30T03:00:00"/>
    <x v="7"/>
    <m/>
    <n v="34"/>
    <n v="0"/>
    <m/>
    <m/>
    <m/>
    <m/>
    <m/>
    <s v="https://www.be.ch/portal/de/index/mediencenter/medienmitteilungen/suche.meldungNeu.html/portal/de/meldungen/mm/2020/03/20200309_1545_corona-9-3"/>
    <m/>
    <s v=""/>
    <m/>
    <s v=""/>
    <m/>
    <s v=""/>
    <n v="46.823608"/>
    <n v="7.6366670000000001"/>
    <s v="Bern/Berne"/>
    <n v="2"/>
    <n v="17"/>
    <n v="0"/>
    <n v="3.3"/>
    <m/>
  </r>
  <r>
    <x v="13"/>
    <d v="1899-12-30T03:00:00"/>
    <x v="8"/>
    <m/>
    <n v="20"/>
    <n v="0"/>
    <n v="4"/>
    <n v="4"/>
    <m/>
    <n v="1"/>
    <n v="1"/>
    <s v="https://www.baselland.ch/politik-und-behorden/direktionen/volkswirtschafts-und-gesundheitsdirektion/medienmitteilungen/update-xx-bestaetigte-faelle-in-basel-landschaft"/>
    <m/>
    <s v=""/>
    <m/>
    <s v=""/>
    <m/>
    <s v=""/>
    <n v="47.45176"/>
    <n v="7.7024140000000001"/>
    <s v="Basel-Landschaft"/>
    <n v="13"/>
    <n v="1"/>
    <n v="0"/>
    <n v="6.97"/>
    <n v="0.34799999999999998"/>
  </r>
  <r>
    <x v="13"/>
    <d v="1899-12-30T12:00:00"/>
    <x v="2"/>
    <n v="235"/>
    <n v="28"/>
    <n v="0"/>
    <n v="1"/>
    <m/>
    <m/>
    <m/>
    <m/>
    <s v="https://twitter.com/BAG_OFSP_UFSP/status/1236973685602426881?s=20"/>
    <n v="3"/>
    <s v=""/>
    <m/>
    <s v=""/>
    <m/>
    <s v=""/>
    <n v="47.564869000000002"/>
    <n v="7.615259"/>
    <s v="Basel-Stadt"/>
    <n v="12"/>
    <n v="4"/>
    <n v="0"/>
    <n v="14.44"/>
    <m/>
  </r>
  <r>
    <x v="13"/>
    <d v="1899-12-30T03:00:00"/>
    <x v="3"/>
    <n v="24"/>
    <n v="1"/>
    <n v="0"/>
    <m/>
    <m/>
    <m/>
    <m/>
    <m/>
    <s v="https://www.regierung.li/media/attachments/106-coronavirus-anpassung-massnahmen.pdf?t=637202562374055719"/>
    <m/>
    <s v=""/>
    <m/>
    <s v=""/>
    <m/>
    <s v=""/>
    <n v="47.166666999999997"/>
    <n v="9.509722"/>
    <s v="Fürstentum Lichtenstein"/>
    <n v="0"/>
    <n v="0"/>
    <n v="0"/>
    <n v="2.59"/>
    <m/>
  </r>
  <r>
    <x v="13"/>
    <d v="1899-12-30T03:00:00"/>
    <x v="12"/>
    <n v="30"/>
    <n v="11"/>
    <n v="0"/>
    <m/>
    <m/>
    <m/>
    <m/>
    <m/>
    <s v="https://www.fr.ch/de/covid19/gesundheit/covid-19/coronavirus-entwicklungen-der-situation"/>
    <m/>
    <s v=""/>
    <m/>
    <s v=""/>
    <m/>
    <s v=""/>
    <n v="46.718390999999997"/>
    <n v="7.0740080000000001"/>
    <s v="Fribourg"/>
    <n v="10"/>
    <n v="3"/>
    <n v="0"/>
    <n v="3.49"/>
    <m/>
  </r>
  <r>
    <x v="13"/>
    <d v="1899-12-30T03:00:00"/>
    <x v="0"/>
    <n v="1511"/>
    <n v="47"/>
    <n v="4"/>
    <n v="13"/>
    <n v="3"/>
    <n v="1"/>
    <m/>
    <n v="0"/>
    <s v="https://www.ge.ch/document/covid-19-situation-epidemiologique-geneve/telecharger"/>
    <m/>
    <s v=""/>
    <m/>
    <s v=""/>
    <n v="0"/>
    <s v=""/>
    <n v="46.220528000000002"/>
    <n v="6.1329349999999998"/>
    <s v="Genève"/>
    <n v="25"/>
    <n v="9"/>
    <n v="0"/>
    <n v="9.49"/>
    <n v="0"/>
  </r>
  <r>
    <x v="13"/>
    <d v="1899-12-30T03:00:00"/>
    <x v="4"/>
    <m/>
    <n v="7"/>
    <n v="0"/>
    <n v="5"/>
    <m/>
    <m/>
    <m/>
    <m/>
    <s v="https://www.jura.ch/fr/Autorites/Coronavirus/Chiffres-H-JU/Evolution-des-cas-COVID-19-dans-le-Jura.html"/>
    <m/>
    <s v=""/>
    <m/>
    <s v=""/>
    <m/>
    <s v=""/>
    <n v="47.350743999999999"/>
    <n v="7.1561070000000004"/>
    <s v="Jura"/>
    <n v="26"/>
    <n v="2"/>
    <n v="0"/>
    <n v="9.5500000000000007"/>
    <m/>
  </r>
  <r>
    <x v="13"/>
    <d v="1899-12-30T03:00:00"/>
    <x v="14"/>
    <m/>
    <n v="27"/>
    <n v="1"/>
    <n v="4"/>
    <m/>
    <m/>
    <m/>
    <m/>
    <s v="https://www.ne.ch/autorites/DFS/SCSP/medecin-cantonal/maladies-vaccinations/Documents/Covid-19-Statistiques/COVID19_PublicationInternet.pdf"/>
    <m/>
    <s v=""/>
    <m/>
    <s v=""/>
    <m/>
    <s v=""/>
    <n v="46.995533999999999"/>
    <n v="6.7801260000000001"/>
    <s v="Neuchâtel"/>
    <n v="24"/>
    <n v="3"/>
    <n v="0"/>
    <n v="15.17"/>
    <m/>
  </r>
  <r>
    <x v="13"/>
    <d v="1899-12-30T03:00:00"/>
    <x v="1"/>
    <m/>
    <n v="68"/>
    <n v="0"/>
    <m/>
    <m/>
    <m/>
    <m/>
    <m/>
    <s v="https://www4.ti.ch/area-media/comunicati/dettaglio-comunicato/?NEWS_ID=187417&amp;tx_tichareamedia_comunicazioni%5Baction%5D=show&amp;tx_tichareamedia_comunicazioni%5Bcontroller%5D=Comunicazioni&amp;cHash=20e9b76118246e98781581881b459523"/>
    <m/>
    <s v=""/>
    <m/>
    <s v=""/>
    <m/>
    <s v=""/>
    <n v="46.295617"/>
    <n v="8.8089239999999993"/>
    <s v="Ticino"/>
    <n v="21"/>
    <n v="10"/>
    <n v="0"/>
    <n v="19.23"/>
    <m/>
  </r>
  <r>
    <x v="13"/>
    <d v="1899-12-30T03:00:00"/>
    <x v="9"/>
    <m/>
    <n v="51"/>
    <n v="7"/>
    <n v="29"/>
    <n v="5"/>
    <m/>
    <m/>
    <n v="1"/>
    <s v="https://www.vd.ch/toutes-les-actualites/hotline-et-informations-sur-le-coronavirus/"/>
    <m/>
    <s v=""/>
    <m/>
    <s v=""/>
    <m/>
    <s v=""/>
    <n v="46.570090999999998"/>
    <n v="6.5578090000000007"/>
    <s v="Vaud"/>
    <n v="22"/>
    <n v="11"/>
    <n v="0"/>
    <n v="6.43"/>
    <n v="0.126"/>
  </r>
  <r>
    <x v="13"/>
    <d v="1899-12-30T03:00:00"/>
    <x v="10"/>
    <m/>
    <n v="17"/>
    <n v="1"/>
    <n v="16"/>
    <n v="1"/>
    <n v="1"/>
    <m/>
    <n v="0"/>
    <s v="https://www.vs.ch/documents/6756452/7008787/2020%2004%2012%20Sit%20Epid%20-%20%C3%89tat%20Stand"/>
    <m/>
    <s v=""/>
    <m/>
    <s v=""/>
    <m/>
    <s v=""/>
    <n v="46.209567"/>
    <n v="7.6046589999999998"/>
    <s v="Valais/Wallis"/>
    <n v="23"/>
    <n v="5"/>
    <n v="0"/>
    <n v="4.9800000000000004"/>
    <n v="0"/>
  </r>
  <r>
    <x v="13"/>
    <d v="1899-12-30T08:00:00"/>
    <x v="11"/>
    <m/>
    <n v="10"/>
    <n v="0"/>
    <n v="0"/>
    <n v="0"/>
    <m/>
    <n v="0"/>
    <n v="0"/>
    <s v="https://www.zg.ch/behoerden/gesundheitsdirektion/statistikfachstelle/themen/gesundheit/corona"/>
    <m/>
    <s v=""/>
    <m/>
    <s v=""/>
    <m/>
    <s v=""/>
    <n v="47.157296000000002"/>
    <n v="8.5372939999999993"/>
    <s v="Zug"/>
    <n v="9"/>
    <n v="0"/>
    <n v="0"/>
    <n v="7.97"/>
    <n v="0"/>
  </r>
  <r>
    <x v="13"/>
    <d v="1899-12-30T14:30:00"/>
    <x v="5"/>
    <m/>
    <n v="50"/>
    <n v="0"/>
    <m/>
    <m/>
    <m/>
    <m/>
    <m/>
    <s v="https://gd.zh.ch/internet/gesundheitsdirektion/de/themen/coronavirus.html"/>
    <m/>
    <s v=""/>
    <m/>
    <s v=""/>
    <m/>
    <s v=""/>
    <n v="47.412750000000003"/>
    <n v="8.6550799999999999"/>
    <s v="Zürich"/>
    <n v="1"/>
    <n v="9"/>
    <n v="0"/>
    <n v="3.32"/>
    <m/>
  </r>
  <r>
    <x v="14"/>
    <d v="1899-12-30T15:00:00"/>
    <x v="6"/>
    <m/>
    <n v="17"/>
    <n v="0"/>
    <m/>
    <m/>
    <m/>
    <n v="2"/>
    <m/>
    <s v="https://www.ag.ch/media/kanton_aargau/themen_1/coronavirus_1/lagebulletins/200310_KFS_Coronavirus_Lagebulletin_8.pdf"/>
    <m/>
    <s v=""/>
    <m/>
    <s v=""/>
    <m/>
    <s v=""/>
    <n v="47.409660000000002"/>
    <n v="8.1568799999999992"/>
    <s v="Aargau"/>
    <n v="1"/>
    <n v="3"/>
    <n v="0"/>
    <n v="2.5299999999999998"/>
    <m/>
  </r>
  <r>
    <x v="14"/>
    <d v="1899-12-30T03:00:00"/>
    <x v="8"/>
    <m/>
    <n v="22"/>
    <n v="1"/>
    <n v="5"/>
    <n v="1"/>
    <m/>
    <n v="2"/>
    <n v="1"/>
    <s v="https://www.baselland.ch/politik-und-behorden/direktionen/volkswirtschafts-und-gesundheitsdirektion/medienmitteilungen/update"/>
    <m/>
    <s v=""/>
    <m/>
    <s v=""/>
    <m/>
    <s v=""/>
    <n v="47.45176"/>
    <n v="7.7024140000000001"/>
    <s v="Basel-Landschaft"/>
    <n v="13"/>
    <n v="2"/>
    <n v="0"/>
    <n v="7.67"/>
    <n v="0.34799999999999998"/>
  </r>
  <r>
    <x v="14"/>
    <d v="1899-12-30T12:00:00"/>
    <x v="2"/>
    <n v="235"/>
    <n v="33"/>
    <n v="0"/>
    <n v="1"/>
    <m/>
    <m/>
    <m/>
    <m/>
    <s v="https://twitter.com/BAG_OFSP_UFSP/status/1237336196772175873?s=20"/>
    <n v="3"/>
    <s v=""/>
    <m/>
    <s v=""/>
    <m/>
    <s v=""/>
    <n v="47.564869000000002"/>
    <n v="7.615259"/>
    <s v="Basel-Stadt"/>
    <n v="12"/>
    <n v="5"/>
    <n v="0"/>
    <n v="17.02"/>
    <m/>
  </r>
  <r>
    <x v="14"/>
    <d v="1899-12-30T03:00:00"/>
    <x v="3"/>
    <n v="37"/>
    <n v="1"/>
    <n v="0"/>
    <m/>
    <m/>
    <m/>
    <m/>
    <m/>
    <s v="https://www.regierung.li/media/attachments/110-corona-0310.pdf?t=637202562374055719"/>
    <m/>
    <s v=""/>
    <m/>
    <s v=""/>
    <m/>
    <s v=""/>
    <n v="47.166666999999997"/>
    <n v="9.509722"/>
    <s v="Fürstentum Lichtenstein"/>
    <n v="0"/>
    <n v="0"/>
    <n v="0"/>
    <n v="2.59"/>
    <m/>
  </r>
  <r>
    <x v="14"/>
    <d v="1899-12-30T03:00:00"/>
    <x v="0"/>
    <n v="1721"/>
    <n v="73"/>
    <n v="5"/>
    <n v="18"/>
    <n v="4"/>
    <n v="1"/>
    <m/>
    <n v="1"/>
    <s v="https://www.ge.ch/document/covid-19-situation-epidemiologique-geneve/telecharger"/>
    <m/>
    <s v=""/>
    <m/>
    <s v=""/>
    <n v="0"/>
    <s v=""/>
    <n v="46.220528000000002"/>
    <n v="6.1329349999999998"/>
    <s v="Genève"/>
    <n v="25"/>
    <n v="26"/>
    <n v="1"/>
    <n v="14.74"/>
    <n v="0.20200000000000001"/>
  </r>
  <r>
    <x v="14"/>
    <d v="1899-12-30T03:00:00"/>
    <x v="4"/>
    <m/>
    <n v="7"/>
    <n v="0"/>
    <n v="5"/>
    <m/>
    <m/>
    <m/>
    <m/>
    <s v="https://www.jura.ch/fr/Autorites/Coronavirus/Chiffres-H-JU/Evolution-des-cas-COVID-19-dans-le-Jura.html"/>
    <m/>
    <s v=""/>
    <m/>
    <s v=""/>
    <m/>
    <s v=""/>
    <n v="47.350743999999999"/>
    <n v="7.1561070000000004"/>
    <s v="Jura"/>
    <n v="26"/>
    <n v="0"/>
    <n v="0"/>
    <n v="9.5500000000000007"/>
    <m/>
  </r>
  <r>
    <x v="14"/>
    <d v="1899-12-30T03:00:00"/>
    <x v="14"/>
    <m/>
    <n v="31"/>
    <n v="0"/>
    <n v="4"/>
    <n v="1"/>
    <m/>
    <m/>
    <m/>
    <s v="https://www.ne.ch/autorites/DFS/SCSP/medecin-cantonal/maladies-vaccinations/Documents/Covid-19-Statistiques/COVID19_PublicationInternet.pdf"/>
    <m/>
    <s v=""/>
    <m/>
    <s v=""/>
    <m/>
    <s v=""/>
    <n v="46.995533999999999"/>
    <n v="6.7801260000000001"/>
    <s v="Neuchâtel"/>
    <n v="24"/>
    <n v="4"/>
    <n v="0"/>
    <n v="17.420000000000002"/>
    <m/>
  </r>
  <r>
    <x v="14"/>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4"/>
    <d v="1899-12-30T03:00:00"/>
    <x v="9"/>
    <m/>
    <n v="72"/>
    <n v="19"/>
    <n v="48"/>
    <n v="8"/>
    <m/>
    <n v="5"/>
    <n v="1"/>
    <s v="https://www.vd.ch/toutes-les-actualites/hotline-et-informations-sur-le-coronavirus/point-de-situation-statistique-dans-le-canton-de-vaud/"/>
    <m/>
    <s v=""/>
    <m/>
    <s v=""/>
    <m/>
    <s v=""/>
    <n v="46.570090999999998"/>
    <n v="6.5578090000000007"/>
    <s v="Vaud"/>
    <n v="22"/>
    <n v="21"/>
    <n v="0"/>
    <n v="9.08"/>
    <n v="0.126"/>
  </r>
  <r>
    <x v="14"/>
    <d v="1899-12-30T03:00:00"/>
    <x v="10"/>
    <m/>
    <n v="22"/>
    <n v="3"/>
    <n v="19"/>
    <n v="1"/>
    <n v="1"/>
    <n v="3"/>
    <n v="0"/>
    <s v="https://www.vs.ch/documents/6756452/7008787/2020%2004%2012%20Sit%20Epid%20-%20%C3%89tat%20Stand"/>
    <m/>
    <s v=""/>
    <m/>
    <s v=""/>
    <m/>
    <s v=""/>
    <n v="46.209567"/>
    <n v="7.6046589999999998"/>
    <s v="Valais/Wallis"/>
    <n v="23"/>
    <n v="5"/>
    <n v="0"/>
    <n v="6.44"/>
    <n v="0"/>
  </r>
  <r>
    <x v="14"/>
    <d v="1899-12-30T08:00:00"/>
    <x v="11"/>
    <m/>
    <n v="11"/>
    <n v="0"/>
    <n v="0"/>
    <n v="0"/>
    <m/>
    <n v="0"/>
    <n v="0"/>
    <s v="https://www.zg.ch/behoerden/gesundheitsdirektion/statistikfachstelle/themen/gesundheit/corona"/>
    <m/>
    <s v=""/>
    <m/>
    <s v=""/>
    <m/>
    <s v=""/>
    <n v="47.157296000000002"/>
    <n v="8.5372939999999993"/>
    <s v="Zug"/>
    <n v="9"/>
    <n v="1"/>
    <n v="0"/>
    <n v="8.77"/>
    <n v="0"/>
  </r>
  <r>
    <x v="14"/>
    <d v="1899-12-30T14:30:00"/>
    <x v="5"/>
    <m/>
    <n v="63"/>
    <n v="0"/>
    <m/>
    <m/>
    <m/>
    <m/>
    <m/>
    <s v="https://gd.zh.ch/internet/gesundheitsdirektion/de/themen/coronavirus.html"/>
    <m/>
    <s v=""/>
    <m/>
    <s v=""/>
    <m/>
    <s v=""/>
    <n v="47.412750000000003"/>
    <n v="8.6550799999999999"/>
    <s v="Zürich"/>
    <n v="1"/>
    <n v="13"/>
    <n v="0"/>
    <n v="4.1900000000000004"/>
    <m/>
  </r>
  <r>
    <x v="15"/>
    <d v="1899-12-30T15:00:00"/>
    <x v="6"/>
    <m/>
    <n v="18"/>
    <n v="0"/>
    <m/>
    <m/>
    <m/>
    <n v="2"/>
    <m/>
    <s v="https://www.ag.ch/media/kanton_aargau/themen_1/coronavirus_1/lagebulletins/200311_KFS_Coronavirus_Lagebulletin_9.pdf"/>
    <m/>
    <s v=""/>
    <m/>
    <s v=""/>
    <m/>
    <s v=""/>
    <n v="47.409660000000002"/>
    <n v="8.1568799999999992"/>
    <s v="Aargau"/>
    <n v="1"/>
    <n v="1"/>
    <n v="0"/>
    <n v="2.68"/>
    <m/>
  </r>
  <r>
    <x v="15"/>
    <d v="1899-12-30T03:00:00"/>
    <x v="8"/>
    <m/>
    <n v="26"/>
    <n v="-2"/>
    <n v="3"/>
    <n v="1"/>
    <m/>
    <n v="2"/>
    <n v="2"/>
    <s v="https://www.baselland.ch/politik-und-behorden/direktionen/volkswirtschafts-und-gesundheitsdirektion/medienmitteilungen/update-26-bestaetigte-faelle-in-basel-landschaft-1"/>
    <m/>
    <s v=""/>
    <m/>
    <s v=""/>
    <m/>
    <s v=""/>
    <n v="47.45176"/>
    <n v="7.7024140000000001"/>
    <s v="Basel-Landschaft"/>
    <n v="13"/>
    <n v="4"/>
    <n v="1"/>
    <n v="9.06"/>
    <n v="0.69699999999999995"/>
  </r>
  <r>
    <x v="15"/>
    <d v="1899-12-30T12:00:00"/>
    <x v="2"/>
    <n v="235"/>
    <n v="49"/>
    <n v="12"/>
    <n v="13"/>
    <n v="2"/>
    <m/>
    <n v="4"/>
    <m/>
    <s v="https://www.coronavirus.bs.ch/nm/2020-coronavirus-ende-der-quarantaenemassnahmen-im-fall-kita-riehen-gd.html"/>
    <n v="3"/>
    <s v=""/>
    <m/>
    <s v=""/>
    <m/>
    <s v=""/>
    <n v="47.564869000000002"/>
    <n v="7.615259"/>
    <s v="Basel-Stadt"/>
    <n v="12"/>
    <n v="16"/>
    <n v="0"/>
    <n v="25.27"/>
    <m/>
  </r>
  <r>
    <x v="15"/>
    <d v="1899-12-30T03:00:00"/>
    <x v="3"/>
    <n v="50"/>
    <n v="3"/>
    <n v="0"/>
    <m/>
    <m/>
    <m/>
    <n v="1"/>
    <m/>
    <s v="https://www.regierung.li/media/attachments/112-drei-personen-infiziert.pdf?t=637202562374055719"/>
    <m/>
    <s v=""/>
    <m/>
    <s v=""/>
    <m/>
    <s v=""/>
    <n v="47.166666999999997"/>
    <n v="9.509722"/>
    <s v="Fürstentum Lichtenstein"/>
    <n v="0"/>
    <n v="2"/>
    <n v="0"/>
    <n v="7.77"/>
    <m/>
  </r>
  <r>
    <x v="15"/>
    <d v="1899-12-30T03:00:00"/>
    <x v="12"/>
    <n v="30"/>
    <n v="16"/>
    <n v="0"/>
    <m/>
    <m/>
    <m/>
    <m/>
    <m/>
    <s v="https://www.fr.ch/covid19/sante/covid-19/coronavirus-statistiques-evolution-de-la-situation-dans-le-canton"/>
    <m/>
    <s v=""/>
    <m/>
    <s v=""/>
    <m/>
    <s v=""/>
    <n v="46.718390999999997"/>
    <n v="7.0740080000000001"/>
    <s v="Fribourg"/>
    <n v="10"/>
    <n v="5"/>
    <n v="0"/>
    <n v="5.08"/>
    <m/>
  </r>
  <r>
    <x v="15"/>
    <d v="1899-12-30T03:00:00"/>
    <x v="0"/>
    <n v="1972"/>
    <n v="84"/>
    <n v="2"/>
    <n v="20"/>
    <n v="6"/>
    <n v="4"/>
    <m/>
    <n v="1"/>
    <s v="https://www.ge.ch/document/covid-19-situation-epidemiologique-geneve/telecharger"/>
    <m/>
    <s v=""/>
    <m/>
    <s v=""/>
    <n v="0"/>
    <s v=""/>
    <n v="46.220528000000002"/>
    <n v="6.1329349999999998"/>
    <s v="Genève"/>
    <n v="25"/>
    <n v="11"/>
    <n v="0"/>
    <n v="16.96"/>
    <n v="0.20200000000000001"/>
  </r>
  <r>
    <x v="15"/>
    <d v="1899-12-30T03:00:00"/>
    <x v="4"/>
    <m/>
    <n v="7"/>
    <n v="1"/>
    <n v="6"/>
    <m/>
    <m/>
    <m/>
    <m/>
    <s v="https://www.jura.ch/fr/Autorites/Coronavirus/Chiffres-H-JU/Evolution-des-cas-COVID-19-dans-le-Jura.html"/>
    <m/>
    <s v=""/>
    <m/>
    <s v=""/>
    <m/>
    <s v=""/>
    <n v="47.350743999999999"/>
    <n v="7.1561070000000004"/>
    <s v="Jura"/>
    <n v="26"/>
    <n v="0"/>
    <n v="0"/>
    <n v="9.5500000000000007"/>
    <m/>
  </r>
  <r>
    <x v="15"/>
    <d v="1899-12-30T03:00:00"/>
    <x v="14"/>
    <m/>
    <n v="37"/>
    <n v="2"/>
    <n v="6"/>
    <n v="1"/>
    <m/>
    <m/>
    <m/>
    <s v="https://www.ne.ch/autorites/DFS/SCSP/medecin-cantonal/maladies-vaccinations/Documents/Covid-19-Statistiques/COVID19_PublicationInternet.pdf"/>
    <m/>
    <s v=""/>
    <m/>
    <s v=""/>
    <m/>
    <s v=""/>
    <n v="46.995533999999999"/>
    <n v="6.7801260000000001"/>
    <s v="Neuchâtel"/>
    <n v="24"/>
    <n v="6"/>
    <n v="0"/>
    <n v="20.79"/>
    <m/>
  </r>
  <r>
    <x v="15"/>
    <d v="1899-12-30T03:00:00"/>
    <x v="20"/>
    <m/>
    <n v="4"/>
    <n v="0"/>
    <m/>
    <m/>
    <m/>
    <m/>
    <m/>
    <s v="https://www.nw.ch/aktuellesinformationen/63359"/>
    <m/>
    <s v=""/>
    <m/>
    <s v=""/>
    <m/>
    <s v=""/>
    <n v="46.926755"/>
    <n v="8.4053020000000007"/>
    <s v="Nidwalden"/>
    <n v="7"/>
    <n v="0"/>
    <n v="0"/>
    <n v="9.3000000000000007"/>
    <m/>
  </r>
  <r>
    <x v="15"/>
    <d v="1899-12-30T03:00:00"/>
    <x v="21"/>
    <m/>
    <n v="1"/>
    <n v="0"/>
    <m/>
    <m/>
    <m/>
    <m/>
    <n v="0"/>
    <s v="https://sh.ch/CMS/Webseite/Kanton-Schaffhausen/Beh-rde/Verwaltung/Departement-des-Innern/Gesundheitsamt-3209198-DE.html"/>
    <m/>
    <s v=""/>
    <m/>
    <s v=""/>
    <m/>
    <s v=""/>
    <n v="47.713569999999997"/>
    <n v="8.5916700000000006"/>
    <s v="Schaffhausen"/>
    <n v="14"/>
    <n v="0"/>
    <n v="0"/>
    <n v="1.23"/>
    <n v="0"/>
  </r>
  <r>
    <x v="15"/>
    <d v="1899-12-30T03:00:00"/>
    <x v="1"/>
    <m/>
    <n v="68"/>
    <n v="0"/>
    <m/>
    <m/>
    <m/>
    <m/>
    <n v="1"/>
    <s v="https://www4.ti.ch/area-media/comunicati/dettaglio-comunicato/?NEWS_ID=187422&amp;tx_tichareamedia_comunicazioni%5Baction%5D=show&amp;tx_tichareamedia_comunicazioni%5Bcontroller%5D=Comunicazioni&amp;cHash=24aa247e65de88fdd1551a61fcc407d9"/>
    <m/>
    <s v=""/>
    <m/>
    <s v=""/>
    <m/>
    <s v=""/>
    <n v="46.295617"/>
    <n v="8.8089239999999993"/>
    <s v="Ticino"/>
    <n v="21"/>
    <n v="0"/>
    <n v="0"/>
    <n v="19.23"/>
    <n v="0.28299999999999997"/>
  </r>
  <r>
    <x v="15"/>
    <d v="1899-12-30T03:00:00"/>
    <x v="9"/>
    <m/>
    <n v="115"/>
    <n v="4"/>
    <n v="52"/>
    <n v="7"/>
    <m/>
    <n v="5"/>
    <n v="1"/>
    <s v="https://www.vd.ch/toutes-les-actualites/hotline-et-informations-sur-le-coronavirus/point-de-situation-statistique-dans-le-canton-de-vaud/"/>
    <m/>
    <s v=""/>
    <m/>
    <s v=""/>
    <m/>
    <s v=""/>
    <n v="46.570090999999998"/>
    <n v="6.5578090000000007"/>
    <s v="Vaud"/>
    <n v="22"/>
    <n v="43"/>
    <n v="0"/>
    <n v="14.5"/>
    <n v="0.126"/>
  </r>
  <r>
    <x v="15"/>
    <d v="1899-12-30T03:00:00"/>
    <x v="10"/>
    <m/>
    <n v="30"/>
    <n v="1"/>
    <n v="20"/>
    <n v="1"/>
    <n v="1"/>
    <n v="3"/>
    <n v="0"/>
    <s v="https://www.vs.ch/documents/6756452/7008787/2020%2004%2012%20Sit%20Epid%20-%20%C3%89tat%20Stand"/>
    <m/>
    <s v=""/>
    <m/>
    <s v=""/>
    <m/>
    <s v=""/>
    <n v="46.209567"/>
    <n v="7.6046589999999998"/>
    <s v="Valais/Wallis"/>
    <n v="23"/>
    <n v="8"/>
    <n v="0"/>
    <n v="8.7799999999999994"/>
    <n v="0"/>
  </r>
  <r>
    <x v="15"/>
    <d v="1899-12-30T08:00:00"/>
    <x v="11"/>
    <m/>
    <n v="11"/>
    <n v="0"/>
    <n v="0"/>
    <n v="0"/>
    <m/>
    <n v="0"/>
    <n v="0"/>
    <s v="https://www.zg.ch/behoerden/gesundheitsdirektion/statistikfachstelle/themen/gesundheit/corona"/>
    <m/>
    <s v=""/>
    <m/>
    <s v=""/>
    <m/>
    <s v=""/>
    <n v="47.157296000000002"/>
    <n v="8.5372939999999993"/>
    <s v="Zug"/>
    <n v="9"/>
    <n v="0"/>
    <n v="0"/>
    <n v="8.77"/>
    <n v="0"/>
  </r>
  <r>
    <x v="15"/>
    <d v="1899-12-30T14:30:00"/>
    <x v="5"/>
    <m/>
    <n v="102"/>
    <n v="0"/>
    <m/>
    <m/>
    <m/>
    <m/>
    <m/>
    <s v="https://gd.zh.ch/internet/gesundheitsdirektion/de/themen/coronavirus.html"/>
    <m/>
    <s v=""/>
    <m/>
    <s v=""/>
    <m/>
    <s v=""/>
    <n v="47.412750000000003"/>
    <n v="8.6550799999999999"/>
    <s v="Zürich"/>
    <n v="1"/>
    <n v="39"/>
    <n v="0"/>
    <n v="6.78"/>
    <m/>
  </r>
  <r>
    <x v="16"/>
    <d v="1899-12-30T15:00:00"/>
    <x v="6"/>
    <m/>
    <n v="27"/>
    <n v="0"/>
    <n v="1"/>
    <m/>
    <m/>
    <n v="3"/>
    <m/>
    <s v="https://www.ag.ch/media/kanton_aargau/themen_1/coronavirus_1/lagebulletins/200312_KFS_Coronavirus_Lagebulletin_10.pdf"/>
    <m/>
    <s v=""/>
    <m/>
    <s v=""/>
    <m/>
    <s v=""/>
    <n v="47.409660000000002"/>
    <n v="8.1568799999999992"/>
    <s v="Aargau"/>
    <n v="1"/>
    <n v="9"/>
    <n v="0"/>
    <n v="4.0199999999999996"/>
    <m/>
  </r>
  <r>
    <x v="16"/>
    <d v="1899-12-30T03:00:00"/>
    <x v="18"/>
    <m/>
    <n v="5"/>
    <n v="0"/>
    <m/>
    <m/>
    <m/>
    <m/>
    <m/>
    <s v="https://www.ar.ch/schnellzugriff/medienmitteilungen-der-kantonalen-verwaltung/detail/news/coronavirus-drei-neue-faelle-in-appenzell-ausserrhoden/?tx_news_pi1[controller]=News&amp;tx_news_pi1[action]=detail&amp;cHash=272411484066c8fb971dcc838aa96ef9"/>
    <m/>
    <s v=""/>
    <m/>
    <s v=""/>
    <m/>
    <s v=""/>
    <n v="47.416351999999996"/>
    <n v="9.3679100000000002"/>
    <s v="Appenzell Ausserrhoden"/>
    <n v="15"/>
    <n v="3"/>
    <n v="0"/>
    <n v="9.06"/>
    <m/>
  </r>
  <r>
    <x v="16"/>
    <d v="1899-12-30T03:00:00"/>
    <x v="8"/>
    <m/>
    <n v="26"/>
    <n v="6"/>
    <n v="9"/>
    <n v="3"/>
    <m/>
    <n v="2"/>
    <n v="2"/>
    <s v="https://www.baselland.ch/politik-und-behorden/direktionen/volkswirtschafts-und-gesundheitsdirektion/medienmitteilungen/update-26-bestaetigte-faelle-in-basel-landschaft-1"/>
    <m/>
    <s v=""/>
    <m/>
    <s v=""/>
    <m/>
    <s v=""/>
    <n v="47.45176"/>
    <n v="7.7024140000000001"/>
    <s v="Basel-Landschaft"/>
    <n v="13"/>
    <n v="0"/>
    <n v="0"/>
    <n v="9.06"/>
    <n v="0.69699999999999995"/>
  </r>
  <r>
    <x v="16"/>
    <d v="1899-12-30T12:00:00"/>
    <x v="2"/>
    <n v="235"/>
    <n v="73"/>
    <n v="0"/>
    <n v="13"/>
    <n v="2"/>
    <m/>
    <n v="4"/>
    <n v="1"/>
    <s v="https://twitter.com/BAG_OFSP_UFSP/status/1238073089902235648?s=20 https://www.coronavirus.bs.ch/nm/2020-coronavirus-erster-todesfall-im-kanton-basel-stadt-gd.html"/>
    <n v="3"/>
    <s v=""/>
    <m/>
    <s v=""/>
    <m/>
    <s v=""/>
    <n v="47.564869000000002"/>
    <n v="7.615259"/>
    <s v="Basel-Stadt"/>
    <n v="12"/>
    <n v="24"/>
    <n v="0"/>
    <n v="37.65"/>
    <n v="0.51600000000000001"/>
  </r>
  <r>
    <x v="16"/>
    <d v="1899-12-30T03:00:00"/>
    <x v="3"/>
    <n v="57"/>
    <n v="3"/>
    <n v="0"/>
    <m/>
    <m/>
    <m/>
    <n v="1"/>
    <m/>
    <s v="https://www.regierung.li/media/attachments/114-hallenbaeder-geschlossen-0312.pdf?t=637202562374055719"/>
    <m/>
    <s v=""/>
    <m/>
    <s v=""/>
    <m/>
    <s v=""/>
    <n v="47.166666999999997"/>
    <n v="9.509722"/>
    <s v="Fürstentum Lichtenstein"/>
    <n v="0"/>
    <n v="0"/>
    <n v="0"/>
    <n v="7.77"/>
    <m/>
  </r>
  <r>
    <x v="16"/>
    <d v="1899-12-30T03:00:00"/>
    <x v="12"/>
    <n v="30"/>
    <n v="22"/>
    <n v="0"/>
    <m/>
    <m/>
    <m/>
    <m/>
    <m/>
    <s v="https://www.fr.ch/covid19/sante/covid-19/coronavirus-statistiques-evolution-de-la-situation-dans-le-canton"/>
    <m/>
    <s v=""/>
    <m/>
    <s v=""/>
    <m/>
    <s v=""/>
    <n v="46.718390999999997"/>
    <n v="7.0740080000000001"/>
    <s v="Fribourg"/>
    <n v="10"/>
    <n v="6"/>
    <n v="0"/>
    <n v="6.98"/>
    <m/>
  </r>
  <r>
    <x v="16"/>
    <d v="1899-12-30T03:00:00"/>
    <x v="0"/>
    <n v="2345"/>
    <n v="114"/>
    <n v="3"/>
    <n v="23"/>
    <n v="6"/>
    <n v="4"/>
    <m/>
    <n v="1"/>
    <s v="https://www.ge.ch/document/covid-19-situation-epidemiologique-geneve/telecharger"/>
    <m/>
    <s v=""/>
    <m/>
    <s v=""/>
    <n v="0"/>
    <s v=""/>
    <n v="46.220528000000002"/>
    <n v="6.1329349999999998"/>
    <s v="Genève"/>
    <n v="25"/>
    <n v="30"/>
    <n v="0"/>
    <n v="23.02"/>
    <n v="0.20200000000000001"/>
  </r>
  <r>
    <x v="16"/>
    <d v="1899-12-30T03:00:00"/>
    <x v="4"/>
    <m/>
    <n v="12"/>
    <n v="0"/>
    <n v="6"/>
    <m/>
    <m/>
    <m/>
    <m/>
    <s v="https://www.jura.ch/fr/Autorites/Coronavirus/Chiffres-H-JU/Evolution-des-cas-COVID-19-dans-le-Jura.html"/>
    <m/>
    <s v=""/>
    <m/>
    <s v=""/>
    <m/>
    <s v=""/>
    <n v="47.350743999999999"/>
    <n v="7.1561070000000004"/>
    <s v="Jura"/>
    <n v="26"/>
    <n v="5"/>
    <n v="0"/>
    <n v="16.37"/>
    <m/>
  </r>
  <r>
    <x v="16"/>
    <d v="1899-12-30T03:00:00"/>
    <x v="14"/>
    <m/>
    <n v="46"/>
    <n v="0"/>
    <n v="6"/>
    <n v="1"/>
    <m/>
    <m/>
    <m/>
    <s v="https://www.ne.ch/autorites/DFS/SCSP/medecin-cantonal/maladies-vaccinations/Documents/Covid-19-Statistiques/COVID19_PublicationInternet.pdf"/>
    <m/>
    <s v=""/>
    <m/>
    <s v=""/>
    <m/>
    <s v=""/>
    <n v="46.995533999999999"/>
    <n v="6.7801260000000001"/>
    <s v="Neuchâtel"/>
    <n v="24"/>
    <n v="9"/>
    <n v="0"/>
    <n v="25.84"/>
    <m/>
  </r>
  <r>
    <x v="16"/>
    <d v="1899-12-30T03:00:00"/>
    <x v="15"/>
    <m/>
    <n v="15"/>
    <n v="0"/>
    <m/>
    <m/>
    <m/>
    <m/>
    <m/>
    <s v="https://www.sg.ch/tools/informationen-coronavirus.html"/>
    <m/>
    <s v=""/>
    <m/>
    <s v=""/>
    <m/>
    <s v=""/>
    <n v="47.183199999999999"/>
    <n v="9.2747440000000001"/>
    <s v="St. Gallen"/>
    <n v="17"/>
    <n v="13"/>
    <n v="0"/>
    <n v="2.97"/>
    <m/>
  </r>
  <r>
    <x v="16"/>
    <d v="1899-12-30T03:00:00"/>
    <x v="21"/>
    <m/>
    <n v="1"/>
    <n v="0"/>
    <m/>
    <m/>
    <m/>
    <m/>
    <n v="0"/>
    <s v="https://sh.ch/CMS/Webseite/Kanton-Schaffhausen/Beh-rde/Verwaltung/Departement-des-Innern/Gesundheitsamt-3209198-DE.html"/>
    <m/>
    <s v=""/>
    <m/>
    <s v=""/>
    <m/>
    <s v=""/>
    <n v="47.713569999999997"/>
    <n v="8.5916700000000006"/>
    <s v="Schaffhausen"/>
    <n v="14"/>
    <n v="0"/>
    <n v="0"/>
    <n v="1.23"/>
    <n v="0"/>
  </r>
  <r>
    <x v="16"/>
    <d v="1899-12-30T03:00:00"/>
    <x v="1"/>
    <m/>
    <n v="180"/>
    <n v="0"/>
    <m/>
    <m/>
    <m/>
    <m/>
    <n v="1"/>
    <s v="https://www4.ti.ch/area-media/comunicati/dettaglio-comunicato/?NEWS_ID=187437&amp;tx_tichareamedia_comunicazioni%5Baction%5D=show&amp;tx_tichareamedia_comunicazioni%5Bcontroller%5D=Comunicazioni&amp;cHash=59cf6112c82abed490acd8901f5a0bb2"/>
    <m/>
    <s v=""/>
    <m/>
    <s v=""/>
    <m/>
    <s v=""/>
    <n v="46.295617"/>
    <n v="8.8089239999999993"/>
    <s v="Ticino"/>
    <n v="21"/>
    <n v="0"/>
    <n v="0"/>
    <n v="50.89"/>
    <n v="0.28299999999999997"/>
  </r>
  <r>
    <x v="16"/>
    <d v="1899-12-30T03:00:00"/>
    <x v="22"/>
    <m/>
    <n v="2"/>
    <n v="0"/>
    <m/>
    <m/>
    <m/>
    <m/>
    <m/>
    <s v=""/>
    <m/>
    <s v=""/>
    <m/>
    <s v=""/>
    <m/>
    <s v=""/>
    <n v="46.771849000000003"/>
    <n v="8.6285860000000003"/>
    <s v="Uri"/>
    <n v="4"/>
    <n v="0"/>
    <n v="0"/>
    <n v="5.51"/>
    <m/>
  </r>
  <r>
    <x v="16"/>
    <d v="1899-12-30T03:00:00"/>
    <x v="9"/>
    <m/>
    <n v="187"/>
    <n v="4"/>
    <n v="56"/>
    <n v="6"/>
    <m/>
    <n v="5"/>
    <n v="3"/>
    <s v="https://www.vd.ch/toutes-les-actualites/hotline-et-informations-sur-le-coronavirus/point-de-situation-statistique-dans-le-canton-de-vaud/"/>
    <m/>
    <s v=""/>
    <m/>
    <s v=""/>
    <m/>
    <s v=""/>
    <n v="46.570090999999998"/>
    <n v="6.5578090000000007"/>
    <s v="Vaud"/>
    <n v="22"/>
    <n v="72"/>
    <n v="2"/>
    <n v="23.58"/>
    <n v="0.378"/>
  </r>
  <r>
    <x v="16"/>
    <d v="1899-12-30T03:00:00"/>
    <x v="10"/>
    <m/>
    <n v="53"/>
    <n v="7"/>
    <n v="27"/>
    <n v="1"/>
    <n v="1"/>
    <n v="3"/>
    <n v="0"/>
    <s v="https://www.vs.ch/documents/6756452/7008787/2020%2004%2012%20Sit%20Epid%20-%20%C3%89tat%20Stand"/>
    <m/>
    <s v=""/>
    <m/>
    <s v=""/>
    <m/>
    <s v=""/>
    <n v="46.209567"/>
    <n v="7.6046589999999998"/>
    <s v="Valais/Wallis"/>
    <n v="23"/>
    <n v="23"/>
    <n v="0"/>
    <n v="15.52"/>
    <n v="0"/>
  </r>
  <r>
    <x v="16"/>
    <d v="1899-12-30T08:00:00"/>
    <x v="11"/>
    <m/>
    <n v="11"/>
    <n v="0"/>
    <n v="0"/>
    <n v="0"/>
    <m/>
    <n v="0"/>
    <n v="0"/>
    <s v="https://www.zg.ch/behoerden/gesundheitsdirektion/statistikfachstelle/themen/gesundheit/corona"/>
    <m/>
    <s v=""/>
    <m/>
    <s v=""/>
    <m/>
    <s v=""/>
    <n v="47.157296000000002"/>
    <n v="8.5372939999999993"/>
    <s v="Zug"/>
    <n v="9"/>
    <n v="0"/>
    <n v="0"/>
    <n v="8.77"/>
    <n v="0"/>
  </r>
  <r>
    <x v="16"/>
    <d v="1899-12-30T14:30:00"/>
    <x v="5"/>
    <m/>
    <n v="141"/>
    <n v="0"/>
    <m/>
    <m/>
    <m/>
    <m/>
    <m/>
    <s v="https://gd.zh.ch/internet/gesundheitsdirektion/de/themen/coronavirus.html"/>
    <m/>
    <s v=""/>
    <m/>
    <s v=""/>
    <m/>
    <s v=""/>
    <n v="47.412750000000003"/>
    <n v="8.6550799999999999"/>
    <s v="Zürich"/>
    <n v="1"/>
    <n v="39"/>
    <n v="0"/>
    <n v="9.3699999999999992"/>
    <m/>
  </r>
  <r>
    <x v="17"/>
    <d v="1899-12-30T13:00:00"/>
    <x v="6"/>
    <m/>
    <n v="32"/>
    <n v="0"/>
    <n v="1"/>
    <m/>
    <m/>
    <n v="3"/>
    <m/>
    <s v="https://www.ag.ch/media/kanton_aargau/themen_1/coronavirus_1/lagebulletins/200313_KFS_Coronavirus_Lagebulletin_11.pdf"/>
    <m/>
    <s v=""/>
    <m/>
    <s v=""/>
    <m/>
    <s v=""/>
    <n v="47.409660000000002"/>
    <n v="8.1568799999999992"/>
    <s v="Aargau"/>
    <n v="1"/>
    <n v="5"/>
    <n v="0"/>
    <n v="4.7699999999999996"/>
    <m/>
  </r>
  <r>
    <x v="17"/>
    <d v="1899-12-30T03:00:00"/>
    <x v="8"/>
    <m/>
    <n v="42"/>
    <n v="3"/>
    <n v="12"/>
    <n v="3"/>
    <m/>
    <n v="2"/>
    <n v="2"/>
    <s v="https://www.baselland.ch/politik-und-behorden/direktionen/volkswirtschafts-und-gesundheitsdirektion/medienmitteilungen/update-26-bestaetigte-faelle-in-basel-landschaft-2"/>
    <m/>
    <s v=""/>
    <m/>
    <s v=""/>
    <m/>
    <s v=""/>
    <n v="47.45176"/>
    <n v="7.7024140000000001"/>
    <s v="Basel-Landschaft"/>
    <n v="13"/>
    <n v="16"/>
    <n v="0"/>
    <n v="14.63"/>
    <n v="0.69699999999999995"/>
  </r>
  <r>
    <x v="17"/>
    <d v="1899-12-30T12:30:00"/>
    <x v="2"/>
    <n v="235"/>
    <n v="92"/>
    <n v="0"/>
    <n v="13"/>
    <n v="2"/>
    <m/>
    <n v="4"/>
    <n v="1"/>
    <s v="https://twitter.com/BAG_OFSP_UFSP/status/1238430659762364417?s=20"/>
    <n v="3"/>
    <s v=""/>
    <m/>
    <s v=""/>
    <m/>
    <s v=""/>
    <n v="47.564869000000002"/>
    <n v="7.615259"/>
    <s v="Basel-Stadt"/>
    <n v="12"/>
    <n v="19"/>
    <n v="0"/>
    <n v="47.45"/>
    <n v="0.51600000000000001"/>
  </r>
  <r>
    <x v="17"/>
    <d v="1899-12-30T03:00:00"/>
    <x v="12"/>
    <n v="30"/>
    <n v="29"/>
    <n v="0"/>
    <m/>
    <m/>
    <m/>
    <m/>
    <m/>
    <s v="https://www.fr.ch/covid19/sante/covid-19/coronavirus-statistiques-evolution-de-la-situation-dans-le-canton"/>
    <m/>
    <s v=""/>
    <m/>
    <s v=""/>
    <m/>
    <s v=""/>
    <n v="46.718390999999997"/>
    <n v="7.0740080000000001"/>
    <s v="Fribourg"/>
    <n v="10"/>
    <n v="7"/>
    <n v="0"/>
    <n v="9.1999999999999993"/>
    <m/>
  </r>
  <r>
    <x v="17"/>
    <d v="1899-12-30T03:00:00"/>
    <x v="0"/>
    <n v="2817"/>
    <n v="178"/>
    <n v="10"/>
    <n v="33"/>
    <n v="7"/>
    <n v="5"/>
    <m/>
    <n v="1"/>
    <s v="https://www.ge.ch/document/covid-19-situation-epidemiologique-geneve/telecharger"/>
    <m/>
    <s v=""/>
    <m/>
    <s v=""/>
    <n v="0"/>
    <s v=""/>
    <n v="46.220528000000002"/>
    <n v="6.1329349999999998"/>
    <s v="Genève"/>
    <n v="25"/>
    <n v="64"/>
    <n v="0"/>
    <n v="35.950000000000003"/>
    <n v="0.20200000000000001"/>
  </r>
  <r>
    <x v="17"/>
    <d v="1899-12-30T03:00:00"/>
    <x v="4"/>
    <m/>
    <n v="17"/>
    <n v="2"/>
    <n v="8"/>
    <m/>
    <m/>
    <m/>
    <m/>
    <s v="https://www.jura.ch/fr/Autorites/Coronavirus/Chiffres-H-JU/Evolution-des-cas-COVID-19-dans-le-Jura.html"/>
    <m/>
    <s v=""/>
    <m/>
    <s v=""/>
    <m/>
    <s v=""/>
    <n v="47.350743999999999"/>
    <n v="7.1561070000000004"/>
    <s v="Jura"/>
    <n v="26"/>
    <n v="5"/>
    <n v="0"/>
    <n v="23.19"/>
    <m/>
  </r>
  <r>
    <x v="17"/>
    <d v="1899-12-30T03:00:00"/>
    <x v="14"/>
    <m/>
    <n v="59"/>
    <n v="3"/>
    <n v="9"/>
    <n v="1"/>
    <m/>
    <m/>
    <m/>
    <s v="https://www.ne.ch/autorites/DFS/SCSP/medecin-cantonal/maladies-vaccinations/Documents/Covid-19-Statistiques/COVID19_PublicationInternet.pdf"/>
    <m/>
    <s v=""/>
    <m/>
    <s v=""/>
    <m/>
    <s v=""/>
    <n v="46.995533999999999"/>
    <n v="6.7801260000000001"/>
    <s v="Neuchâtel"/>
    <n v="24"/>
    <n v="13"/>
    <n v="0"/>
    <n v="33.15"/>
    <m/>
  </r>
  <r>
    <x v="17"/>
    <d v="1899-12-30T12:00:00"/>
    <x v="23"/>
    <n v="6"/>
    <n v="1"/>
    <n v="0"/>
    <m/>
    <m/>
    <m/>
    <m/>
    <m/>
    <s v="https://www.ow.ch/de/aktuelles/aktuellesinformationen/amtsmitteilungen/welcome.php?action=showinfo&amp;info_id=63566&amp;ls=0&amp;sq=&amp;kategorie_id=&amp;date_from=&amp;date_to="/>
    <m/>
    <s v=""/>
    <m/>
    <s v=""/>
    <m/>
    <s v=""/>
    <n v="46.804527"/>
    <n v="8.1443170000000009"/>
    <s v="Obwalden"/>
    <n v="6"/>
    <n v="0"/>
    <n v="0"/>
    <n v="2.66"/>
    <m/>
  </r>
  <r>
    <x v="17"/>
    <d v="1899-12-30T03:00:00"/>
    <x v="21"/>
    <m/>
    <n v="1"/>
    <n v="0"/>
    <m/>
    <m/>
    <m/>
    <m/>
    <n v="0"/>
    <s v="https://sh.ch/CMS/Webseite/Kanton-Schaffhausen/Beh-rde/Verwaltung/Departement-des-Innern/Gesundheitsamt-3209198-DE.html"/>
    <m/>
    <s v=""/>
    <m/>
    <s v=""/>
    <m/>
    <s v=""/>
    <n v="47.713569999999997"/>
    <n v="8.5916700000000006"/>
    <s v="Schaffhausen"/>
    <n v="14"/>
    <n v="0"/>
    <n v="0"/>
    <n v="1.23"/>
    <n v="0"/>
  </r>
  <r>
    <x v="17"/>
    <d v="1899-12-30T12:00:00"/>
    <x v="16"/>
    <n v="10"/>
    <n v="9"/>
    <n v="0"/>
    <n v="1"/>
    <m/>
    <m/>
    <m/>
    <m/>
    <s v="https://www.sz.ch/public/upload/assets/45585/MM_Coronavirus_13_03_2020.pdf"/>
    <m/>
    <s v=""/>
    <m/>
    <s v=""/>
    <m/>
    <s v=""/>
    <n v="47.061787000000002"/>
    <n v="8.7565849999999994"/>
    <s v="Schwyz"/>
    <n v="5"/>
    <n v="3"/>
    <n v="0"/>
    <n v="5.72"/>
    <m/>
  </r>
  <r>
    <x v="17"/>
    <d v="1899-12-30T03:00:00"/>
    <x v="1"/>
    <m/>
    <n v="258"/>
    <n v="0"/>
    <n v="65"/>
    <n v="13"/>
    <m/>
    <m/>
    <n v="1"/>
    <s v="https://www.youtube.com/watch?v=_x_yQ6uwGAQ"/>
    <m/>
    <s v=""/>
    <m/>
    <s v=""/>
    <m/>
    <s v=""/>
    <n v="46.295617"/>
    <n v="8.8089239999999993"/>
    <s v="Ticino"/>
    <n v="21"/>
    <n v="78"/>
    <n v="0"/>
    <n v="72.94"/>
    <n v="0.28299999999999997"/>
  </r>
  <r>
    <x v="17"/>
    <d v="1899-12-30T03:00:00"/>
    <x v="9"/>
    <m/>
    <n v="257"/>
    <n v="6"/>
    <n v="62"/>
    <n v="7"/>
    <m/>
    <n v="5"/>
    <n v="3"/>
    <s v="https://www.vd.ch/toutes-les-actualites/hotline-et-informations-sur-le-coronavirus/point-de-situation-statistique-dans-le-canton-de-vaud/"/>
    <m/>
    <s v=""/>
    <m/>
    <s v=""/>
    <m/>
    <s v=""/>
    <n v="46.570090999999998"/>
    <n v="6.5578090000000007"/>
    <s v="Vaud"/>
    <n v="22"/>
    <n v="70"/>
    <n v="0"/>
    <n v="32.4"/>
    <n v="0.378"/>
  </r>
  <r>
    <x v="17"/>
    <d v="1899-12-30T03:00:00"/>
    <x v="10"/>
    <m/>
    <n v="76"/>
    <n v="2"/>
    <n v="29"/>
    <n v="1"/>
    <n v="1"/>
    <n v="3"/>
    <n v="1"/>
    <s v="https://www.vs.ch/documents/6756452/7008787/2020%2004%2012%20Sit%20Epid%20-%20%C3%89tat%20Stand"/>
    <m/>
    <s v=""/>
    <m/>
    <s v=""/>
    <m/>
    <s v=""/>
    <n v="46.209567"/>
    <n v="7.6046589999999998"/>
    <s v="Valais/Wallis"/>
    <n v="23"/>
    <n v="23"/>
    <n v="1"/>
    <n v="22.25"/>
    <n v="0.29299999999999998"/>
  </r>
  <r>
    <x v="17"/>
    <d v="1899-12-30T08:00:00"/>
    <x v="11"/>
    <m/>
    <n v="13"/>
    <n v="0"/>
    <n v="0"/>
    <n v="0"/>
    <m/>
    <n v="0"/>
    <n v="0"/>
    <s v="https://www.zg.ch/behoerden/gesundheitsdirektion/statistikfachstelle/themen/gesundheit/corona"/>
    <m/>
    <s v=""/>
    <m/>
    <s v=""/>
    <m/>
    <s v=""/>
    <n v="47.157296000000002"/>
    <n v="8.5372939999999993"/>
    <s v="Zug"/>
    <n v="9"/>
    <n v="2"/>
    <n v="0"/>
    <n v="10.37"/>
    <n v="0"/>
  </r>
  <r>
    <x v="17"/>
    <d v="1899-12-30T14:30:00"/>
    <x v="5"/>
    <m/>
    <n v="164"/>
    <n v="0"/>
    <m/>
    <m/>
    <m/>
    <m/>
    <m/>
    <s v="https://gd.zh.ch/internet/gesundheitsdirektion/de/themen/coronavirus.html"/>
    <m/>
    <s v=""/>
    <m/>
    <s v=""/>
    <m/>
    <s v=""/>
    <n v="47.412750000000003"/>
    <n v="8.6550799999999999"/>
    <s v="Zürich"/>
    <n v="1"/>
    <n v="23"/>
    <n v="0"/>
    <n v="10.9"/>
    <m/>
  </r>
  <r>
    <x v="18"/>
    <d v="1899-12-30T03:00:00"/>
    <x v="24"/>
    <m/>
    <n v="2"/>
    <n v="0"/>
    <m/>
    <m/>
    <m/>
    <m/>
    <m/>
    <s v="https://www.ai.ch/themen/gesundheit-alter-und-soziales/gesundheitsfoerderung-und-praevention/aktuelles/erste-bestaetigte-coronavirus-faelle-auch-in-innerrhoden"/>
    <m/>
    <s v=""/>
    <m/>
    <s v=""/>
    <m/>
    <s v=""/>
    <n v="47.317264000000002"/>
    <n v="9.4167539999999992"/>
    <s v="Appenzell Innerrhoden"/>
    <n v="16"/>
    <n v="0"/>
    <n v="0"/>
    <n v="12.42"/>
    <m/>
  </r>
  <r>
    <x v="18"/>
    <d v="1899-12-30T03:00:00"/>
    <x v="8"/>
    <m/>
    <n v="47"/>
    <n v="-4"/>
    <n v="8"/>
    <n v="2"/>
    <m/>
    <n v="2"/>
    <n v="2"/>
    <s v="https://www.baselland.ch/politik-und-behorden/direktionen/volkswirtschafts-und-gesundheitsdirektion/medienmitteilungen/update-47-bestaetigte-faelle-in-basel-landschaft"/>
    <m/>
    <s v=""/>
    <m/>
    <s v=""/>
    <m/>
    <s v=""/>
    <n v="47.45176"/>
    <n v="7.7024140000000001"/>
    <s v="Basel-Landschaft"/>
    <n v="13"/>
    <n v="5"/>
    <n v="0"/>
    <n v="16.38"/>
    <n v="0.69699999999999995"/>
  </r>
  <r>
    <x v="18"/>
    <d v="1899-12-30T11:27:00"/>
    <x v="2"/>
    <n v="235"/>
    <n v="100"/>
    <n v="0"/>
    <n v="13"/>
    <n v="2"/>
    <m/>
    <n v="4"/>
    <n v="1"/>
    <s v="https://twitter.com/BAG_OFSP_UFSP/status/1238773726423941127?s=20"/>
    <n v="3"/>
    <s v=""/>
    <m/>
    <s v=""/>
    <m/>
    <s v=""/>
    <n v="47.564869000000002"/>
    <n v="7.615259"/>
    <s v="Basel-Stadt"/>
    <n v="12"/>
    <n v="8"/>
    <n v="0"/>
    <n v="51.57"/>
    <n v="0.51600000000000001"/>
  </r>
  <r>
    <x v="18"/>
    <d v="1899-12-30T03:00:00"/>
    <x v="3"/>
    <n v="99"/>
    <n v="3"/>
    <n v="0"/>
    <m/>
    <m/>
    <m/>
    <n v="1"/>
    <m/>
    <s v="https://www.regierung.li/media/attachments/118-corona-rueckkehrer-skiferien-0314.pdf?t=637202562374055719"/>
    <m/>
    <s v=""/>
    <m/>
    <s v=""/>
    <m/>
    <s v=""/>
    <n v="47.166666999999997"/>
    <n v="9.509722"/>
    <s v="Fürstentum Lichtenstein"/>
    <n v="0"/>
    <n v="0"/>
    <n v="0"/>
    <n v="7.77"/>
    <m/>
  </r>
  <r>
    <x v="18"/>
    <d v="1899-12-30T03:00:00"/>
    <x v="12"/>
    <n v="30"/>
    <n v="36"/>
    <n v="0"/>
    <m/>
    <m/>
    <m/>
    <m/>
    <m/>
    <s v="https://www.fr.ch/covid19/sante/covid-19/coronavirus-statistiques-evolution-de-la-situation-dans-le-canton"/>
    <m/>
    <s v=""/>
    <m/>
    <s v=""/>
    <m/>
    <s v=""/>
    <n v="46.718390999999997"/>
    <n v="7.0740080000000001"/>
    <s v="Fribourg"/>
    <n v="10"/>
    <n v="7"/>
    <n v="0"/>
    <n v="11.42"/>
    <m/>
  </r>
  <r>
    <x v="18"/>
    <d v="1899-12-30T03:00:00"/>
    <x v="0"/>
    <n v="3461"/>
    <n v="281"/>
    <n v="10"/>
    <n v="43"/>
    <n v="8"/>
    <n v="5"/>
    <m/>
    <n v="1"/>
    <s v="https://www.ge.ch/document/covid-19-situation-epidemiologique-geneve/telecharger"/>
    <m/>
    <s v=""/>
    <m/>
    <s v=""/>
    <n v="2"/>
    <s v=""/>
    <n v="46.220528000000002"/>
    <n v="6.1329349999999998"/>
    <s v="Genève"/>
    <n v="25"/>
    <n v="103"/>
    <n v="0"/>
    <n v="56.74"/>
    <n v="0.20200000000000001"/>
  </r>
  <r>
    <x v="18"/>
    <d v="1899-12-30T03:00:00"/>
    <x v="4"/>
    <m/>
    <n v="18"/>
    <n v="0"/>
    <n v="8"/>
    <m/>
    <m/>
    <m/>
    <m/>
    <s v="https://www.jura.ch/fr/Autorites/Coronavirus/Chiffres-H-JU/Evolution-des-cas-COVID-19-dans-le-Jura.html"/>
    <m/>
    <s v=""/>
    <m/>
    <s v=""/>
    <m/>
    <s v=""/>
    <n v="47.350743999999999"/>
    <n v="7.1561070000000004"/>
    <s v="Jura"/>
    <n v="26"/>
    <n v="1"/>
    <n v="0"/>
    <n v="24.56"/>
    <m/>
  </r>
  <r>
    <x v="18"/>
    <d v="1899-12-30T03:00:00"/>
    <x v="14"/>
    <m/>
    <n v="68"/>
    <n v="1"/>
    <n v="10"/>
    <n v="1"/>
    <m/>
    <m/>
    <m/>
    <s v="https://www.ne.ch/autorites/DFS/SCSP/medecin-cantonal/maladies-vaccinations/Documents/Covid-19-Statistiques/COVID19_PublicationInternet.pdf"/>
    <m/>
    <s v=""/>
    <m/>
    <s v=""/>
    <m/>
    <s v=""/>
    <n v="46.995533999999999"/>
    <n v="6.7801260000000001"/>
    <s v="Neuchâtel"/>
    <n v="24"/>
    <n v="9"/>
    <n v="0"/>
    <n v="38.200000000000003"/>
    <m/>
  </r>
  <r>
    <x v="18"/>
    <d v="1899-12-30T03:00:00"/>
    <x v="21"/>
    <m/>
    <n v="1"/>
    <n v="0"/>
    <m/>
    <m/>
    <m/>
    <m/>
    <n v="0"/>
    <s v="https://sh.ch/CMS/Webseite/Kanton-Schaffhausen/Beh-rde/Verwaltung/Departement-des-Innern/Gesundheitsamt-3209198-DE.html"/>
    <m/>
    <s v=""/>
    <m/>
    <s v=""/>
    <m/>
    <s v=""/>
    <n v="47.713569999999997"/>
    <n v="8.5916700000000006"/>
    <s v="Schaffhausen"/>
    <n v="14"/>
    <n v="0"/>
    <n v="0"/>
    <n v="1.23"/>
    <n v="0"/>
  </r>
  <r>
    <x v="18"/>
    <d v="1899-12-30T03:03:00"/>
    <x v="16"/>
    <n v="10"/>
    <n v="12"/>
    <n v="0"/>
    <n v="1"/>
    <m/>
    <m/>
    <m/>
    <m/>
    <s v="https://www.bote.ch/nachrichten/schwyz/schwyz_bdu/coronavirus-einsatz-fuer-spitalbataillon-5;art146989,1229758"/>
    <m/>
    <s v=""/>
    <m/>
    <s v=""/>
    <m/>
    <s v=""/>
    <n v="47.061787000000002"/>
    <n v="8.7565849999999994"/>
    <s v="Schwyz"/>
    <n v="5"/>
    <n v="3"/>
    <n v="0"/>
    <n v="7.63"/>
    <m/>
  </r>
  <r>
    <x v="18"/>
    <d v="1899-12-30T03:00:00"/>
    <x v="1"/>
    <m/>
    <n v="265"/>
    <n v="0"/>
    <n v="65"/>
    <n v="13"/>
    <m/>
    <m/>
    <n v="3"/>
    <s v="https://www4.ti.ch/area-media/comunicati/dettaglio-comunicato/?NEWS_ID=187466&amp;tx_tichareamedia_comunicazioni%5Baction%5D=show&amp;tx_tichareamedia_comunicazioni%5Bcontroller%5D=Comunicazioni&amp;cHash=1b10e6e8117296766155edcf9c317a4c"/>
    <m/>
    <s v=""/>
    <m/>
    <s v=""/>
    <m/>
    <s v=""/>
    <n v="46.295617"/>
    <n v="8.8089239999999993"/>
    <s v="Ticino"/>
    <n v="21"/>
    <n v="7"/>
    <n v="0"/>
    <n v="74.92"/>
    <n v="0.84799999999999998"/>
  </r>
  <r>
    <x v="18"/>
    <d v="1899-12-30T03:00:00"/>
    <x v="9"/>
    <m/>
    <n v="311"/>
    <n v="14"/>
    <n v="76"/>
    <n v="10"/>
    <m/>
    <n v="5"/>
    <n v="4"/>
    <s v="https://www.vd.ch/toutes-les-actualites/hotline-et-informations-sur-le-coronavirus/point-de-situation-statistique-dans-le-canton-de-vaud/"/>
    <m/>
    <s v=""/>
    <m/>
    <s v=""/>
    <m/>
    <s v=""/>
    <n v="46.570090999999998"/>
    <n v="6.5578090000000007"/>
    <s v="Vaud"/>
    <n v="22"/>
    <n v="54"/>
    <n v="1"/>
    <n v="39.21"/>
    <n v="0.504"/>
  </r>
  <r>
    <x v="18"/>
    <d v="1899-12-30T03:00:00"/>
    <x v="10"/>
    <m/>
    <n v="98"/>
    <n v="4"/>
    <n v="33"/>
    <n v="1"/>
    <n v="1"/>
    <n v="3"/>
    <n v="1"/>
    <s v="https://www.vs.ch/documents/6756452/7008787/2020%2004%2012%20Sit%20Epid%20-%20%C3%89tat%20Stand"/>
    <m/>
    <s v=""/>
    <m/>
    <s v=""/>
    <m/>
    <s v=""/>
    <n v="46.209567"/>
    <n v="7.6046589999999998"/>
    <s v="Valais/Wallis"/>
    <n v="23"/>
    <n v="22"/>
    <n v="0"/>
    <n v="28.7"/>
    <n v="0.29299999999999998"/>
  </r>
  <r>
    <x v="18"/>
    <d v="1899-12-30T08:00:00"/>
    <x v="11"/>
    <m/>
    <n v="13"/>
    <n v="0"/>
    <n v="0"/>
    <n v="0"/>
    <m/>
    <n v="0"/>
    <n v="0"/>
    <s v="https://www.zg.ch/behoerden/gesundheitsdirektion/statistikfachstelle/themen/gesundheit/corona"/>
    <m/>
    <s v=""/>
    <m/>
    <s v=""/>
    <m/>
    <s v=""/>
    <n v="47.157296000000002"/>
    <n v="8.5372939999999993"/>
    <s v="Zug"/>
    <n v="9"/>
    <n v="0"/>
    <n v="0"/>
    <n v="10.37"/>
    <n v="0"/>
  </r>
  <r>
    <x v="18"/>
    <d v="1899-12-30T14:30:00"/>
    <x v="5"/>
    <m/>
    <n v="219"/>
    <n v="0"/>
    <m/>
    <m/>
    <m/>
    <m/>
    <m/>
    <s v="https://gd.zh.ch/internet/gesundheitsdirektion/de/themen/coronavirus.html"/>
    <m/>
    <s v=""/>
    <m/>
    <s v=""/>
    <m/>
    <s v=""/>
    <n v="47.412750000000003"/>
    <n v="8.6550799999999999"/>
    <s v="Zürich"/>
    <n v="1"/>
    <n v="55"/>
    <n v="0"/>
    <n v="14.56"/>
    <m/>
  </r>
  <r>
    <x v="19"/>
    <d v="1899-12-30T03:00:00"/>
    <x v="8"/>
    <m/>
    <n v="54"/>
    <n v="4"/>
    <n v="12"/>
    <n v="2"/>
    <m/>
    <n v="5"/>
    <n v="2"/>
    <s v="https://www.baselland.ch/politik-und-behorden/direktionen/volkswirtschafts-und-gesundheitsdirektion/medienmitteilungen/update-54-bestaetigte-faelle-in-basel-landschaft"/>
    <m/>
    <s v=""/>
    <m/>
    <s v=""/>
    <m/>
    <s v=""/>
    <n v="47.45176"/>
    <n v="7.7024140000000001"/>
    <s v="Basel-Landschaft"/>
    <n v="13"/>
    <n v="7"/>
    <n v="0"/>
    <n v="18.82"/>
    <n v="0.69699999999999995"/>
  </r>
  <r>
    <x v="19"/>
    <d v="1899-12-30T03:00:00"/>
    <x v="3"/>
    <n v="99"/>
    <n v="7"/>
    <n v="0"/>
    <m/>
    <m/>
    <m/>
    <n v="1"/>
    <m/>
    <s v="https://www.regierung.li/media/attachments/119-corona-massnahmen-verschaerft-0315.pdf?t=637202562374055719"/>
    <m/>
    <s v=""/>
    <m/>
    <s v=""/>
    <m/>
    <s v=""/>
    <n v="47.166666999999997"/>
    <n v="9.509722"/>
    <s v="Fürstentum Lichtenstein"/>
    <n v="0"/>
    <n v="4"/>
    <n v="0"/>
    <n v="18.13"/>
    <m/>
  </r>
  <r>
    <x v="19"/>
    <d v="1899-12-30T03:00:00"/>
    <x v="12"/>
    <n v="30"/>
    <n v="40"/>
    <n v="0"/>
    <m/>
    <m/>
    <m/>
    <m/>
    <m/>
    <s v="https://www.fr.ch/covid19/sante/covid-19/coronavirus-statistiques-evolution-de-la-situation-dans-le-canton"/>
    <m/>
    <s v=""/>
    <m/>
    <s v=""/>
    <m/>
    <s v=""/>
    <n v="46.718390999999997"/>
    <n v="7.0740080000000001"/>
    <s v="Fribourg"/>
    <n v="10"/>
    <n v="4"/>
    <n v="0"/>
    <n v="12.69"/>
    <m/>
  </r>
  <r>
    <x v="19"/>
    <d v="1899-12-30T03:00:00"/>
    <x v="0"/>
    <n v="3896"/>
    <n v="374"/>
    <n v="3"/>
    <n v="46"/>
    <n v="12"/>
    <n v="8"/>
    <m/>
    <n v="3"/>
    <s v="https://www.ge.ch/document/covid-19-situation-epidemiologique-geneve/telecharger"/>
    <m/>
    <s v=""/>
    <m/>
    <s v=""/>
    <n v="2"/>
    <s v=""/>
    <n v="46.220528000000002"/>
    <n v="6.1329349999999998"/>
    <s v="Genève"/>
    <n v="25"/>
    <n v="93"/>
    <n v="2"/>
    <n v="75.53"/>
    <n v="0.60599999999999998"/>
  </r>
  <r>
    <x v="19"/>
    <d v="1899-12-30T03:00:00"/>
    <x v="4"/>
    <m/>
    <n v="19"/>
    <n v="1"/>
    <n v="9"/>
    <m/>
    <m/>
    <m/>
    <m/>
    <s v="https://www.jura.ch/fr/Autorites/Coronavirus/Chiffres-H-JU/Evolution-des-cas-COVID-19-dans-le-Jura.html"/>
    <m/>
    <s v=""/>
    <m/>
    <s v=""/>
    <m/>
    <s v=""/>
    <n v="47.350743999999999"/>
    <n v="7.1561070000000004"/>
    <s v="Jura"/>
    <n v="26"/>
    <n v="1"/>
    <n v="0"/>
    <n v="25.92"/>
    <m/>
  </r>
  <r>
    <x v="19"/>
    <d v="1899-12-30T03:00:00"/>
    <x v="14"/>
    <m/>
    <n v="74"/>
    <n v="-1"/>
    <n v="9"/>
    <n v="1"/>
    <m/>
    <m/>
    <m/>
    <s v="https://www.ne.ch/autorites/DFS/SCSP/medecin-cantonal/maladies-vaccinations/Documents/Covid-19-Statistiques/COVID19_PublicationInternet.pdf"/>
    <m/>
    <s v=""/>
    <m/>
    <s v=""/>
    <m/>
    <s v=""/>
    <n v="46.995533999999999"/>
    <n v="6.7801260000000001"/>
    <s v="Neuchâtel"/>
    <n v="24"/>
    <n v="6"/>
    <n v="0"/>
    <n v="41.57"/>
    <m/>
  </r>
  <r>
    <x v="19"/>
    <d v="1899-12-30T03:00:00"/>
    <x v="21"/>
    <m/>
    <n v="1"/>
    <n v="0"/>
    <m/>
    <m/>
    <m/>
    <m/>
    <n v="0"/>
    <s v="https://sh.ch/CMS/Webseite/Kanton-Schaffhausen/Beh-rde/Verwaltung/Departement-des-Innern/Gesundheitsamt-3209198-DE.html"/>
    <m/>
    <s v=""/>
    <m/>
    <s v=""/>
    <m/>
    <s v=""/>
    <n v="47.713569999999997"/>
    <n v="8.5916700000000006"/>
    <s v="Schaffhausen"/>
    <n v="14"/>
    <n v="0"/>
    <n v="0"/>
    <n v="1.23"/>
    <n v="0"/>
  </r>
  <r>
    <x v="19"/>
    <d v="1899-12-30T03:00:00"/>
    <x v="16"/>
    <n v="10"/>
    <n v="13"/>
    <n v="0"/>
    <n v="1"/>
    <m/>
    <m/>
    <m/>
    <m/>
    <s v="https://www.sz.ch/public/upload/assets/45590/MM_Coronavirus_15_3_2020.pdf"/>
    <m/>
    <s v=""/>
    <m/>
    <s v=""/>
    <m/>
    <s v=""/>
    <n v="47.061787000000002"/>
    <n v="8.7565849999999994"/>
    <s v="Schwyz"/>
    <n v="5"/>
    <n v="1"/>
    <n v="0"/>
    <n v="8.26"/>
    <m/>
  </r>
  <r>
    <x v="19"/>
    <d v="1899-12-30T03:00:00"/>
    <x v="1"/>
    <m/>
    <n v="291"/>
    <n v="0"/>
    <n v="65"/>
    <n v="13"/>
    <m/>
    <m/>
    <n v="6"/>
    <s v="https://www4.ti.ch/area-media/comunicati/dettaglio-comunicato/?NEWS_ID=187467&amp;tx_tichareamedia_comunicazioni%5Baction%5D=show&amp;tx_tichareamedia_comunicazioni%5Bcontroller%5D=Comunicazioni&amp;cHash=af5473066754ef4d1272e156056acc07"/>
    <m/>
    <s v=""/>
    <m/>
    <s v=""/>
    <m/>
    <s v=""/>
    <n v="46.295617"/>
    <n v="8.8089239999999993"/>
    <s v="Ticino"/>
    <n v="21"/>
    <n v="26"/>
    <n v="3"/>
    <n v="82.27"/>
    <n v="1.696"/>
  </r>
  <r>
    <x v="19"/>
    <d v="1899-12-30T03:00:00"/>
    <x v="9"/>
    <m/>
    <n v="410"/>
    <n v="15"/>
    <n v="91"/>
    <n v="10"/>
    <m/>
    <n v="5"/>
    <n v="5"/>
    <s v="https://www.vd.ch/toutes-les-actualites/hotline-et-informations-sur-le-coronavirus/point-de-situation-statistique-dans-le-canton-de-vaud/"/>
    <m/>
    <s v=""/>
    <m/>
    <s v=""/>
    <m/>
    <s v=""/>
    <n v="46.570090999999998"/>
    <n v="6.5578090000000007"/>
    <s v="Vaud"/>
    <n v="22"/>
    <n v="99"/>
    <n v="1"/>
    <n v="51.7"/>
    <n v="0.63"/>
  </r>
  <r>
    <x v="19"/>
    <d v="1899-12-30T03:00:00"/>
    <x v="10"/>
    <m/>
    <n v="115"/>
    <n v="2"/>
    <n v="35"/>
    <n v="1"/>
    <n v="1"/>
    <n v="3"/>
    <n v="2"/>
    <s v="https://www.vs.ch/documents/6756452/7008787/2020%2004%2012%20Sit%20Epid%20-%20%C3%89tat%20Stand"/>
    <m/>
    <s v=""/>
    <m/>
    <s v=""/>
    <m/>
    <s v=""/>
    <n v="46.209567"/>
    <n v="7.6046589999999998"/>
    <s v="Valais/Wallis"/>
    <n v="23"/>
    <n v="17"/>
    <n v="1"/>
    <n v="33.67"/>
    <n v="0.58599999999999997"/>
  </r>
  <r>
    <x v="19"/>
    <d v="1899-12-30T08:00:00"/>
    <x v="11"/>
    <m/>
    <n v="20"/>
    <n v="0"/>
    <n v="0"/>
    <n v="0"/>
    <m/>
    <n v="0"/>
    <n v="0"/>
    <s v="https://www.zg.ch/behoerden/gesundheitsdirektion/statistikfachstelle/themen/gesundheit/corona"/>
    <m/>
    <s v=""/>
    <m/>
    <s v=""/>
    <m/>
    <s v=""/>
    <n v="47.157296000000002"/>
    <n v="8.5372939999999993"/>
    <s v="Zug"/>
    <n v="9"/>
    <n v="7"/>
    <n v="0"/>
    <n v="15.95"/>
    <n v="0"/>
  </r>
  <r>
    <x v="19"/>
    <d v="1899-12-30T14:30:00"/>
    <x v="5"/>
    <m/>
    <n v="251"/>
    <n v="0"/>
    <m/>
    <m/>
    <m/>
    <m/>
    <n v="1"/>
    <s v="https://gd.zh.ch/internet/gesundheitsdirektion/de/themen/coronavirus.html"/>
    <m/>
    <s v=""/>
    <m/>
    <s v=""/>
    <m/>
    <s v=""/>
    <n v="47.412750000000003"/>
    <n v="8.6550799999999999"/>
    <s v="Zürich"/>
    <n v="1"/>
    <n v="32"/>
    <n v="0"/>
    <n v="16.690000000000001"/>
    <n v="6.6000000000000003E-2"/>
  </r>
  <r>
    <x v="20"/>
    <d v="1899-12-30T15:00:00"/>
    <x v="6"/>
    <m/>
    <n v="52"/>
    <n v="0"/>
    <n v="2"/>
    <m/>
    <m/>
    <n v="4"/>
    <m/>
    <s v="https://www.ag.ch/media/kanton_aargau/themen_1/coronavirus_1/lagebulletins/200316_KFS_Coronavirus_Lagebulletin_12.pdf"/>
    <m/>
    <s v=""/>
    <m/>
    <s v=""/>
    <m/>
    <s v=""/>
    <n v="47.409660000000002"/>
    <n v="8.1568799999999992"/>
    <s v="Aargau"/>
    <n v="1"/>
    <n v="20"/>
    <n v="0"/>
    <n v="7.75"/>
    <m/>
  </r>
  <r>
    <x v="20"/>
    <d v="1899-12-30T03:00:00"/>
    <x v="24"/>
    <m/>
    <n v="4"/>
    <n v="0"/>
    <m/>
    <m/>
    <m/>
    <m/>
    <m/>
    <s v="Kantonaler Führungsstab Appenzell Innerrhoden"/>
    <m/>
    <s v=""/>
    <m/>
    <s v=""/>
    <m/>
    <s v=""/>
    <n v="47.317264000000002"/>
    <n v="9.4167539999999992"/>
    <s v="Appenzell Innerrhoden"/>
    <n v="16"/>
    <n v="2"/>
    <n v="0"/>
    <n v="24.84"/>
    <m/>
  </r>
  <r>
    <x v="20"/>
    <d v="1899-12-30T03:00:00"/>
    <x v="7"/>
    <m/>
    <n v="123"/>
    <n v="0"/>
    <m/>
    <m/>
    <m/>
    <m/>
    <n v="1"/>
    <s v="https://www.besondere-lage.sites.be.ch/besondere-lage_sites/de/index/corona/index.html"/>
    <m/>
    <s v=""/>
    <m/>
    <s v=""/>
    <m/>
    <s v=""/>
    <n v="46.823608"/>
    <n v="7.6366670000000001"/>
    <s v="Bern/Berne"/>
    <n v="2"/>
    <n v="89"/>
    <n v="0"/>
    <n v="11.93"/>
    <n v="9.7000000000000003E-2"/>
  </r>
  <r>
    <x v="20"/>
    <d v="1899-12-30T03:00:00"/>
    <x v="8"/>
    <m/>
    <n v="76"/>
    <n v="5"/>
    <n v="17"/>
    <n v="4"/>
    <m/>
    <n v="5"/>
    <n v="2"/>
    <s v="https://www.baselland.ch/politik-und-behorden/direktionen/volkswirtschafts-und-gesundheitsdirektion/medienmitteilungen/update-67-bestaetigte-faelle-in-basel-landschaft"/>
    <m/>
    <s v=""/>
    <m/>
    <s v=""/>
    <m/>
    <s v=""/>
    <n v="47.45176"/>
    <n v="7.7024140000000001"/>
    <s v="Basel-Landschaft"/>
    <n v="13"/>
    <n v="22"/>
    <n v="0"/>
    <n v="26.48"/>
    <n v="0.69699999999999995"/>
  </r>
  <r>
    <x v="20"/>
    <d v="1899-12-30T12:00:00"/>
    <x v="2"/>
    <n v="235"/>
    <n v="144"/>
    <n v="0"/>
    <n v="13"/>
    <n v="2"/>
    <m/>
    <n v="4"/>
    <n v="4"/>
    <s v="https://www.coronavirus.bs.ch/nm/2020-tagesbulletin-coronavirus-144-bestaetigte-faelle-im-kanton-basel-stadt-gd.html"/>
    <n v="126"/>
    <s v=""/>
    <m/>
    <s v=""/>
    <m/>
    <s v=""/>
    <n v="47.564869000000002"/>
    <n v="7.615259"/>
    <s v="Basel-Stadt"/>
    <n v="12"/>
    <n v="44"/>
    <n v="3"/>
    <n v="74.27"/>
    <n v="2.0630000000000002"/>
  </r>
  <r>
    <x v="20"/>
    <d v="1899-12-30T03:00:00"/>
    <x v="12"/>
    <n v="30"/>
    <n v="45"/>
    <n v="0"/>
    <m/>
    <m/>
    <m/>
    <m/>
    <m/>
    <s v="https://www.fr.ch/covid19/sante/covid-19/coronavirus-statistiques-evolution-de-la-situation-dans-le-canton"/>
    <m/>
    <s v=""/>
    <m/>
    <s v=""/>
    <m/>
    <s v=""/>
    <n v="46.718390999999997"/>
    <n v="7.0740080000000001"/>
    <s v="Fribourg"/>
    <n v="10"/>
    <n v="5"/>
    <n v="0"/>
    <n v="14.28"/>
    <m/>
  </r>
  <r>
    <x v="20"/>
    <d v="1899-12-30T03:00:00"/>
    <x v="0"/>
    <n v="4347"/>
    <n v="461"/>
    <n v="20"/>
    <n v="66"/>
    <n v="10"/>
    <n v="9"/>
    <m/>
    <n v="3"/>
    <s v="https://www.ge.ch/document/covid-19-situation-epidemiologique-geneve/telecharger"/>
    <m/>
    <s v=""/>
    <m/>
    <s v=""/>
    <n v="4"/>
    <s v=""/>
    <n v="46.220528000000002"/>
    <n v="6.1329349999999998"/>
    <s v="Genève"/>
    <n v="25"/>
    <n v="87"/>
    <n v="0"/>
    <n v="93.09"/>
    <n v="0.60599999999999998"/>
  </r>
  <r>
    <x v="20"/>
    <d v="1899-12-30T03:00:00"/>
    <x v="4"/>
    <m/>
    <n v="25"/>
    <n v="0"/>
    <n v="9"/>
    <m/>
    <m/>
    <m/>
    <m/>
    <s v="https://www.jura.ch/fr/Autorites/Coronavirus/Chiffres-H-JU/Evolution-des-cas-COVID-19-dans-le-Jura.html"/>
    <m/>
    <s v=""/>
    <m/>
    <s v=""/>
    <m/>
    <s v=""/>
    <n v="47.350743999999999"/>
    <n v="7.1561070000000004"/>
    <s v="Jura"/>
    <n v="26"/>
    <n v="6"/>
    <n v="0"/>
    <n v="34.11"/>
    <m/>
  </r>
  <r>
    <x v="20"/>
    <d v="1899-12-30T03:00:00"/>
    <x v="14"/>
    <m/>
    <n v="93"/>
    <n v="4"/>
    <n v="13"/>
    <n v="2"/>
    <m/>
    <m/>
    <m/>
    <s v="https://www.ne.ch/autorites/DFS/SCSP/medecin-cantonal/maladies-vaccinations/Documents/Covid-19-Statistiques/COVID19_PublicationInternet.pdf"/>
    <m/>
    <s v=""/>
    <m/>
    <s v=""/>
    <m/>
    <s v=""/>
    <n v="46.995533999999999"/>
    <n v="6.7801260000000001"/>
    <s v="Neuchâtel"/>
    <n v="24"/>
    <n v="19"/>
    <n v="0"/>
    <n v="52.25"/>
    <m/>
  </r>
  <r>
    <x v="20"/>
    <d v="1899-12-30T03:00:00"/>
    <x v="21"/>
    <m/>
    <n v="2"/>
    <n v="0"/>
    <m/>
    <m/>
    <m/>
    <m/>
    <n v="0"/>
    <s v="https://sh.ch/CMS/Webseite/Kanton-Schaffhausen/Beh-rde/Verwaltung/Departement-des-Innern/Gesundheitsamt-3209198-DE.html"/>
    <m/>
    <s v=""/>
    <m/>
    <s v=""/>
    <m/>
    <s v=""/>
    <n v="47.713569999999997"/>
    <n v="8.5916700000000006"/>
    <s v="Schaffhausen"/>
    <n v="14"/>
    <n v="1"/>
    <n v="0"/>
    <n v="2.46"/>
    <n v="0"/>
  </r>
  <r>
    <x v="20"/>
    <d v="1899-12-30T03:00:00"/>
    <x v="25"/>
    <n v="246"/>
    <n v="17"/>
    <n v="0"/>
    <m/>
    <m/>
    <m/>
    <m/>
    <m/>
    <s v=""/>
    <m/>
    <s v=""/>
    <m/>
    <s v=""/>
    <m/>
    <s v=""/>
    <n v="47.568714999999997"/>
    <n v="9.0919570000000007"/>
    <s v="Thurgau"/>
    <n v="1"/>
    <n v="0"/>
    <n v="0"/>
    <n v="6.21"/>
    <m/>
  </r>
  <r>
    <x v="20"/>
    <d v="1899-12-30T03:00:00"/>
    <x v="1"/>
    <m/>
    <n v="330"/>
    <n v="0"/>
    <n v="65"/>
    <n v="13"/>
    <m/>
    <m/>
    <n v="8"/>
    <s v="https://www4.ti.ch/area-media/comunicati/dettaglio-comunicato/?NEWS_ID=187475&amp;tx_tichareamedia_comunicazioni%5Baction%5D=show&amp;tx_tichareamedia_comunicazioni%5Bcontroller%5D=Comunicazioni&amp;cHash=dee4a529abd4e9300e116c7ff4db5774"/>
    <m/>
    <s v=""/>
    <m/>
    <s v=""/>
    <m/>
    <s v=""/>
    <n v="46.295617"/>
    <n v="8.8089239999999993"/>
    <s v="Ticino"/>
    <n v="21"/>
    <n v="39"/>
    <n v="2"/>
    <n v="93.3"/>
    <n v="2.262"/>
  </r>
  <r>
    <x v="20"/>
    <d v="1899-12-30T03:00:00"/>
    <x v="9"/>
    <m/>
    <n v="492"/>
    <n v="36"/>
    <n v="127"/>
    <n v="20"/>
    <m/>
    <n v="5"/>
    <n v="7"/>
    <s v="https://www.vd.ch/toutes-les-actualites/hotline-et-informations-sur-le-coronavirus/point-de-situation-statistique-dans-le-canton-de-vaud/"/>
    <m/>
    <s v=""/>
    <m/>
    <s v=""/>
    <m/>
    <s v=""/>
    <n v="46.570090999999998"/>
    <n v="6.5578090000000007"/>
    <s v="Vaud"/>
    <n v="22"/>
    <n v="82"/>
    <n v="2"/>
    <n v="62.04"/>
    <n v="0.88300000000000001"/>
  </r>
  <r>
    <x v="20"/>
    <d v="1899-12-30T03:00:00"/>
    <x v="10"/>
    <m/>
    <n v="172"/>
    <n v="6"/>
    <n v="41"/>
    <n v="2"/>
    <n v="1"/>
    <n v="3"/>
    <n v="3"/>
    <s v="https://www.vs.ch/documents/6756452/7008787/2020%2004%2012%20Sit%20Epid%20-%20%C3%89tat%20Stand"/>
    <m/>
    <s v=""/>
    <m/>
    <s v=""/>
    <m/>
    <s v=""/>
    <n v="46.209567"/>
    <n v="7.6046589999999998"/>
    <s v="Valais/Wallis"/>
    <n v="23"/>
    <n v="57"/>
    <n v="1"/>
    <n v="50.37"/>
    <n v="0.878"/>
  </r>
  <r>
    <x v="20"/>
    <d v="1899-12-30T08:00:00"/>
    <x v="11"/>
    <m/>
    <n v="29"/>
    <n v="0"/>
    <n v="0"/>
    <n v="0"/>
    <m/>
    <n v="0"/>
    <n v="0"/>
    <s v="https://www.zg.ch/behoerden/gesundheitsdirektion/statistikfachstelle/themen/gesundheit/corona"/>
    <m/>
    <s v=""/>
    <m/>
    <s v=""/>
    <m/>
    <s v=""/>
    <n v="47.157296000000002"/>
    <n v="8.5372939999999993"/>
    <s v="Zug"/>
    <n v="9"/>
    <n v="9"/>
    <n v="0"/>
    <n v="23.13"/>
    <n v="0"/>
  </r>
  <r>
    <x v="20"/>
    <d v="1899-12-30T14:30:00"/>
    <x v="5"/>
    <m/>
    <n v="327"/>
    <n v="0"/>
    <m/>
    <m/>
    <m/>
    <m/>
    <n v="1"/>
    <s v="https://gd.zh.ch/internet/gesundheitsdirektion/de/themen/coronavirus.html"/>
    <m/>
    <s v=""/>
    <m/>
    <s v=""/>
    <m/>
    <s v=""/>
    <n v="47.412750000000003"/>
    <n v="8.6550799999999999"/>
    <s v="Zürich"/>
    <n v="1"/>
    <n v="76"/>
    <n v="0"/>
    <n v="21.74"/>
    <n v="6.6000000000000003E-2"/>
  </r>
  <r>
    <x v="21"/>
    <d v="1899-12-30T16:00:00"/>
    <x v="6"/>
    <m/>
    <n v="67"/>
    <n v="0"/>
    <n v="2"/>
    <m/>
    <m/>
    <n v="4"/>
    <m/>
    <s v="https://www.ag.ch/media/kanton_aargau/themen_1/coronavirus_1/lagebulletins/200317_KFS_Coronavirus_Lagebulletin_13.pdf"/>
    <m/>
    <s v=""/>
    <m/>
    <s v=""/>
    <m/>
    <s v=""/>
    <n v="47.409660000000002"/>
    <n v="8.1568799999999992"/>
    <s v="Aargau"/>
    <n v="1"/>
    <n v="15"/>
    <n v="0"/>
    <n v="9.99"/>
    <m/>
  </r>
  <r>
    <x v="21"/>
    <d v="1899-12-30T03:00:00"/>
    <x v="24"/>
    <m/>
    <n v="5"/>
    <n v="0"/>
    <m/>
    <m/>
    <m/>
    <m/>
    <m/>
    <s v="Kantonaler Führungsstab Appenzell Innerrhoden"/>
    <m/>
    <s v=""/>
    <m/>
    <s v=""/>
    <m/>
    <s v=""/>
    <n v="47.317264000000002"/>
    <n v="9.4167539999999992"/>
    <s v="Appenzell Innerrhoden"/>
    <n v="16"/>
    <n v="1"/>
    <n v="0"/>
    <n v="31.06"/>
    <m/>
  </r>
  <r>
    <x v="21"/>
    <d v="1899-12-30T03:00:00"/>
    <x v="8"/>
    <m/>
    <n v="89"/>
    <n v="9"/>
    <n v="26"/>
    <n v="5"/>
    <m/>
    <n v="13"/>
    <n v="2"/>
    <s v="https://www.baselland.ch/politik-und-behorden/direktionen/volkswirtschafts-und-gesundheitsdirektion/medienmitteilungen/update-89-bestaetigte-faelle-in-basel-landschaft"/>
    <m/>
    <s v=""/>
    <m/>
    <s v=""/>
    <m/>
    <s v=""/>
    <n v="47.45176"/>
    <n v="7.7024140000000001"/>
    <s v="Basel-Landschaft"/>
    <n v="13"/>
    <n v="13"/>
    <n v="0"/>
    <n v="31.01"/>
    <n v="0.69699999999999995"/>
  </r>
  <r>
    <x v="21"/>
    <d v="1899-12-30T12:00:00"/>
    <x v="2"/>
    <n v="235"/>
    <n v="165"/>
    <n v="17"/>
    <n v="30"/>
    <n v="2"/>
    <m/>
    <n v="25"/>
    <n v="4"/>
    <s v="https://www.coronavirus.bs.ch/nm/2020-tagesbulletin-coronavirus-165-bestaetigte-faelle-im-kanton-basel-stadt-gd.html"/>
    <n v="145"/>
    <s v=""/>
    <m/>
    <s v=""/>
    <m/>
    <s v=""/>
    <n v="47.564869000000002"/>
    <n v="7.615259"/>
    <s v="Basel-Stadt"/>
    <n v="12"/>
    <n v="21"/>
    <n v="0"/>
    <n v="85.1"/>
    <n v="2.0630000000000002"/>
  </r>
  <r>
    <x v="21"/>
    <d v="1899-12-30T03:00:00"/>
    <x v="3"/>
    <n v="99"/>
    <n v="19"/>
    <n v="0"/>
    <m/>
    <m/>
    <m/>
    <n v="1"/>
    <m/>
    <s v="https://www.regierung.li/media/attachments/126-corona-generelles-veranstaltungsverbot-weitere-schliessungen.pdf?t=637202562374055719"/>
    <m/>
    <s v=""/>
    <m/>
    <s v=""/>
    <m/>
    <s v=""/>
    <n v="47.166666999999997"/>
    <n v="9.509722"/>
    <s v="Fürstentum Lichtenstein"/>
    <n v="0"/>
    <n v="12"/>
    <n v="0"/>
    <n v="49.22"/>
    <m/>
  </r>
  <r>
    <x v="21"/>
    <d v="1899-12-30T03:00:00"/>
    <x v="12"/>
    <n v="30"/>
    <n v="59"/>
    <n v="0"/>
    <m/>
    <m/>
    <m/>
    <m/>
    <m/>
    <s v="https://www.fr.ch/covid19/sante/covid-19/coronavirus-statistiques-evolution-de-la-situation-dans-le-canton"/>
    <m/>
    <s v=""/>
    <m/>
    <s v=""/>
    <m/>
    <s v=""/>
    <n v="46.718390999999997"/>
    <n v="7.0740080000000001"/>
    <s v="Fribourg"/>
    <n v="10"/>
    <n v="14"/>
    <n v="0"/>
    <n v="18.72"/>
    <m/>
  </r>
  <r>
    <x v="21"/>
    <d v="1899-12-30T03:00:00"/>
    <x v="0"/>
    <n v="4949"/>
    <n v="588"/>
    <n v="9"/>
    <n v="75"/>
    <n v="19"/>
    <n v="17"/>
    <m/>
    <n v="4"/>
    <s v="https://www.ge.ch/document/covid-19-situation-epidemiologique-geneve/telecharger"/>
    <m/>
    <s v=""/>
    <m/>
    <s v=""/>
    <n v="2"/>
    <s v=""/>
    <n v="46.220528000000002"/>
    <n v="6.1329349999999998"/>
    <s v="Genève"/>
    <n v="25"/>
    <n v="127"/>
    <n v="1"/>
    <n v="118.74"/>
    <n v="0.80800000000000005"/>
  </r>
  <r>
    <x v="21"/>
    <d v="1899-12-30T03:00:00"/>
    <x v="13"/>
    <m/>
    <n v="10"/>
    <n v="0"/>
    <m/>
    <m/>
    <m/>
    <m/>
    <m/>
    <s v="https://www.suedostschweiz.ch/ereignisse/2020-03-20/die-zahl-der-corona-faelle-im-glarnerland-steigt-stark-an"/>
    <m/>
    <s v=""/>
    <m/>
    <s v=""/>
    <m/>
    <s v=""/>
    <n v="46.931042000000005"/>
    <n v="9.0657510000000006"/>
    <s v="Glarus"/>
    <n v="8"/>
    <n v="10"/>
    <n v="0"/>
    <n v="24.81"/>
    <m/>
  </r>
  <r>
    <x v="21"/>
    <d v="1899-12-30T03:00:00"/>
    <x v="4"/>
    <m/>
    <n v="29"/>
    <n v="2"/>
    <n v="11"/>
    <m/>
    <m/>
    <m/>
    <m/>
    <s v="https://www.jura.ch/fr/Autorites/Coronavirus/Chiffres-H-JU/Evolution-des-cas-COVID-19-dans-le-Jura.html"/>
    <m/>
    <s v=""/>
    <m/>
    <s v=""/>
    <m/>
    <s v=""/>
    <n v="47.350743999999999"/>
    <n v="7.1561070000000004"/>
    <s v="Jura"/>
    <n v="26"/>
    <n v="4"/>
    <n v="0"/>
    <n v="39.56"/>
    <m/>
  </r>
  <r>
    <x v="21"/>
    <d v="1899-12-30T03:00:00"/>
    <x v="14"/>
    <m/>
    <n v="114"/>
    <n v="3"/>
    <n v="16"/>
    <n v="4"/>
    <m/>
    <m/>
    <n v="1"/>
    <s v="https://www.ne.ch/autorites/DFS/SCSP/medecin-cantonal/maladies-vaccinations/Documents/Covid-19-Statistiques/COVID19_PublicationInternet.pdf"/>
    <m/>
    <s v=""/>
    <m/>
    <s v=""/>
    <m/>
    <s v=""/>
    <n v="46.995533999999999"/>
    <n v="6.7801260000000001"/>
    <s v="Neuchâtel"/>
    <n v="24"/>
    <n v="21"/>
    <n v="0"/>
    <n v="64.040000000000006"/>
    <n v="0.56200000000000006"/>
  </r>
  <r>
    <x v="21"/>
    <d v="1899-12-30T03:00:00"/>
    <x v="15"/>
    <m/>
    <n v="47"/>
    <n v="0"/>
    <m/>
    <m/>
    <m/>
    <m/>
    <m/>
    <s v="https://www.sg.ch/tools/informationen-coronavirus.html"/>
    <m/>
    <s v=""/>
    <m/>
    <s v=""/>
    <m/>
    <s v=""/>
    <n v="47.183199999999999"/>
    <n v="9.2747440000000001"/>
    <s v="St. Gallen"/>
    <n v="17"/>
    <n v="32"/>
    <n v="0"/>
    <n v="9.31"/>
    <m/>
  </r>
  <r>
    <x v="21"/>
    <d v="1899-12-30T03:00:00"/>
    <x v="21"/>
    <m/>
    <n v="2"/>
    <n v="0"/>
    <m/>
    <m/>
    <m/>
    <m/>
    <n v="0"/>
    <s v="https://sh.ch/CMS/Webseite/Kanton-Schaffhausen/Beh-rde/Verwaltung/Departement-des-Innern/Gesundheitsamt-3209198-DE.html"/>
    <m/>
    <s v=""/>
    <m/>
    <s v=""/>
    <m/>
    <s v=""/>
    <n v="47.713569999999997"/>
    <n v="8.5916700000000006"/>
    <s v="Schaffhausen"/>
    <n v="14"/>
    <n v="0"/>
    <n v="0"/>
    <n v="2.46"/>
    <n v="0"/>
  </r>
  <r>
    <x v="21"/>
    <d v="1899-12-30T03:00:00"/>
    <x v="25"/>
    <n v="276"/>
    <n v="23"/>
    <n v="0"/>
    <m/>
    <m/>
    <m/>
    <m/>
    <m/>
    <s v=""/>
    <m/>
    <s v=""/>
    <m/>
    <s v=""/>
    <m/>
    <s v=""/>
    <n v="47.568714999999997"/>
    <n v="9.0919570000000007"/>
    <s v="Thurgau"/>
    <n v="1"/>
    <n v="6"/>
    <n v="0"/>
    <n v="8.4"/>
    <m/>
  </r>
  <r>
    <x v="21"/>
    <d v="1899-12-30T03:00:00"/>
    <x v="1"/>
    <m/>
    <n v="422"/>
    <n v="0"/>
    <n v="65"/>
    <n v="13"/>
    <m/>
    <m/>
    <n v="10"/>
    <s v="https://www4.ti.ch/area-media/comunicati/dettaglio-comunicato/?NEWS_ID=187486&amp;tx_tichareamedia_comunicazioni%5Baction%5D=show&amp;tx_tichareamedia_comunicazioni%5Bcontroller%5D=Comunicazioni&amp;cHash=d106aab74491da09b294ff13ffadd02f"/>
    <m/>
    <s v=""/>
    <m/>
    <s v=""/>
    <m/>
    <s v=""/>
    <n v="46.295617"/>
    <n v="8.8089239999999993"/>
    <s v="Ticino"/>
    <n v="21"/>
    <n v="92"/>
    <n v="2"/>
    <n v="119.31"/>
    <n v="2.827"/>
  </r>
  <r>
    <x v="21"/>
    <d v="1899-12-30T03:00:00"/>
    <x v="9"/>
    <m/>
    <n v="656"/>
    <n v="14"/>
    <n v="141"/>
    <n v="24"/>
    <m/>
    <n v="9"/>
    <n v="9"/>
    <s v="https://www.vd.ch/toutes-les-actualites/hotline-et-informations-sur-le-coronavirus/point-de-situation-statistique-dans-le-canton-de-vaud/"/>
    <m/>
    <s v=""/>
    <m/>
    <s v=""/>
    <m/>
    <s v=""/>
    <n v="46.570090999999998"/>
    <n v="6.5578090000000007"/>
    <s v="Vaud"/>
    <n v="22"/>
    <n v="164"/>
    <n v="2"/>
    <n v="82.71"/>
    <n v="1.135"/>
  </r>
  <r>
    <x v="21"/>
    <d v="1899-12-30T03:00:00"/>
    <x v="10"/>
    <m/>
    <n v="225"/>
    <n v="5"/>
    <n v="46"/>
    <n v="2"/>
    <n v="2"/>
    <n v="3"/>
    <n v="3"/>
    <s v="https://www.vs.ch/documents/6756452/7008787/2020%2004%2012%20Sit%20Epid%20-%20%C3%89tat%20Stand"/>
    <m/>
    <s v=""/>
    <m/>
    <s v=""/>
    <m/>
    <s v=""/>
    <n v="46.209567"/>
    <n v="7.6046589999999998"/>
    <s v="Valais/Wallis"/>
    <n v="23"/>
    <n v="53"/>
    <n v="0"/>
    <n v="65.89"/>
    <n v="0.878"/>
  </r>
  <r>
    <x v="21"/>
    <d v="1899-12-30T08:00:00"/>
    <x v="11"/>
    <m/>
    <n v="33"/>
    <n v="0"/>
    <n v="0"/>
    <n v="0"/>
    <m/>
    <n v="1"/>
    <n v="0"/>
    <s v="https://www.zg.ch/behoerden/gesundheitsdirektion/statistikfachstelle/themen/gesundheit/corona"/>
    <m/>
    <s v=""/>
    <m/>
    <s v=""/>
    <m/>
    <s v=""/>
    <n v="47.157296000000002"/>
    <n v="8.5372939999999993"/>
    <s v="Zug"/>
    <n v="9"/>
    <n v="4"/>
    <n v="0"/>
    <n v="26.32"/>
    <n v="0"/>
  </r>
  <r>
    <x v="21"/>
    <d v="1899-12-30T14:30:00"/>
    <x v="5"/>
    <m/>
    <n v="430"/>
    <n v="0"/>
    <m/>
    <m/>
    <m/>
    <m/>
    <n v="1"/>
    <s v="https://gd.zh.ch/internet/gesundheitsdirektion/de/themen/coronavirus.html"/>
    <m/>
    <s v=""/>
    <m/>
    <s v=""/>
    <m/>
    <s v=""/>
    <n v="47.412750000000003"/>
    <n v="8.6550799999999999"/>
    <s v="Zürich"/>
    <n v="1"/>
    <n v="103"/>
    <n v="0"/>
    <n v="28.58"/>
    <n v="6.6000000000000003E-2"/>
  </r>
  <r>
    <x v="22"/>
    <d v="1899-12-30T16:00:00"/>
    <x v="6"/>
    <m/>
    <n v="101"/>
    <n v="4"/>
    <n v="6"/>
    <m/>
    <m/>
    <n v="4"/>
    <m/>
    <s v="https://www.ag.ch/media/kanton_aargau/themen_1/coronavirus_1/lagebulletins/200318_KFS_Coronavirus_Lagebulletin_14.pdf"/>
    <m/>
    <s v=""/>
    <m/>
    <s v=""/>
    <m/>
    <s v=""/>
    <n v="47.409660000000002"/>
    <n v="8.1568799999999992"/>
    <s v="Aargau"/>
    <n v="1"/>
    <n v="34"/>
    <n v="0"/>
    <n v="15.05"/>
    <m/>
  </r>
  <r>
    <x v="22"/>
    <d v="1899-12-30T03:00:00"/>
    <x v="18"/>
    <m/>
    <n v="11"/>
    <n v="0"/>
    <n v="3"/>
    <m/>
    <m/>
    <m/>
    <m/>
    <s v="https://www.ar.ch/schnellzugriff/medienmitteilungen-der-kantonalen-verwaltung/detail/news/coronavirus-bevoelkerung-und-alle-spitaeler-machen-bei-der-gesundheitsversorgung-mit/?tx_news_pi1%5Bcontroller%5D=News&amp;tx_news_pi1%5Baction%5D=detail&amp;cHash=3d2a0733446b5fc7cdad0f48f61c28fd"/>
    <m/>
    <s v=""/>
    <m/>
    <s v=""/>
    <m/>
    <s v=""/>
    <n v="47.416351999999996"/>
    <n v="9.3679100000000002"/>
    <s v="Appenzell Ausserrhoden"/>
    <n v="15"/>
    <n v="6"/>
    <n v="0"/>
    <n v="19.93"/>
    <m/>
  </r>
  <r>
    <x v="22"/>
    <d v="1899-12-30T03:00:00"/>
    <x v="7"/>
    <m/>
    <n v="193"/>
    <n v="0"/>
    <m/>
    <m/>
    <m/>
    <m/>
    <n v="1"/>
    <s v="https://www.besondere-lage.sites.be.ch/besondere-lage_sites/de/index/corona/index.html"/>
    <m/>
    <s v=""/>
    <m/>
    <s v=""/>
    <m/>
    <s v=""/>
    <n v="46.823608"/>
    <n v="7.6366670000000001"/>
    <s v="Bern/Berne"/>
    <n v="2"/>
    <n v="70"/>
    <n v="0"/>
    <n v="18.72"/>
    <n v="9.7000000000000003E-2"/>
  </r>
  <r>
    <x v="22"/>
    <d v="1899-12-30T03:00:00"/>
    <x v="8"/>
    <m/>
    <n v="116"/>
    <n v="1"/>
    <n v="27"/>
    <n v="2"/>
    <m/>
    <n v="16"/>
    <n v="2"/>
    <s v="https://www.baselland.ch/politik-und-behorden/direktionen/volkswirtschafts-und-gesundheitsdirektion/medienmitteilungen/update-116-bestaetigte-faelle-in-basel-landschaft"/>
    <m/>
    <s v=""/>
    <m/>
    <s v=""/>
    <m/>
    <s v=""/>
    <n v="47.45176"/>
    <n v="7.7024140000000001"/>
    <s v="Basel-Landschaft"/>
    <n v="13"/>
    <n v="27"/>
    <n v="0"/>
    <n v="40.42"/>
    <n v="0.69699999999999995"/>
  </r>
  <r>
    <x v="22"/>
    <d v="1899-12-30T11:15:00"/>
    <x v="2"/>
    <n v="235"/>
    <n v="182"/>
    <n v="10"/>
    <n v="40"/>
    <n v="2"/>
    <m/>
    <n v="36"/>
    <n v="4"/>
    <s v="https://www.coronavirus.bs.ch/nm/2020-tagesbulletin-coronavirus-182-bestaetigte-faelle-im-kanton-basel-stadt-treffen-mit-allen-spitaelern-gd.html"/>
    <n v="164"/>
    <s v=""/>
    <m/>
    <s v=""/>
    <m/>
    <s v=""/>
    <n v="47.564869000000002"/>
    <n v="7.615259"/>
    <s v="Basel-Stadt"/>
    <n v="12"/>
    <n v="17"/>
    <n v="0"/>
    <n v="93.86"/>
    <n v="2.0630000000000002"/>
  </r>
  <r>
    <x v="22"/>
    <d v="1899-12-30T03:00:00"/>
    <x v="3"/>
    <n v="99"/>
    <n v="28"/>
    <n v="0"/>
    <m/>
    <m/>
    <m/>
    <n v="1"/>
    <m/>
    <s v="https://www.regierung.li/media/attachments/131-corona-hotline-0318.pdf?t=637202562374055719"/>
    <m/>
    <s v=""/>
    <m/>
    <s v=""/>
    <m/>
    <s v=""/>
    <n v="47.166666999999997"/>
    <n v="9.509722"/>
    <s v="Fürstentum Lichtenstein"/>
    <n v="0"/>
    <n v="9"/>
    <n v="0"/>
    <n v="72.540000000000006"/>
    <m/>
  </r>
  <r>
    <x v="22"/>
    <d v="1899-12-30T17:00:00"/>
    <x v="12"/>
    <n v="30"/>
    <n v="86"/>
    <n v="0"/>
    <n v="11"/>
    <n v="5"/>
    <m/>
    <m/>
    <n v="1"/>
    <s v="https://www.fr.ch/de/sr/gesundheit/covid-19/covid-19-im-kanton-freiburg-ist-ein-erster-todesfall-zu-beklagen"/>
    <m/>
    <s v=""/>
    <m/>
    <s v=""/>
    <m/>
    <s v=""/>
    <n v="46.718390999999997"/>
    <n v="7.0740080000000001"/>
    <s v="Fribourg"/>
    <n v="10"/>
    <n v="27"/>
    <n v="0"/>
    <n v="27.29"/>
    <n v="0.317"/>
  </r>
  <r>
    <x v="22"/>
    <d v="1899-12-30T03:00:00"/>
    <x v="0"/>
    <n v="5657"/>
    <n v="786"/>
    <n v="3"/>
    <n v="78"/>
    <n v="20"/>
    <n v="17"/>
    <m/>
    <n v="5"/>
    <s v="https://www.ge.ch/document/covid-19-situation-epidemiologique-geneve/telecharger"/>
    <m/>
    <s v=""/>
    <m/>
    <s v=""/>
    <n v="2"/>
    <s v=""/>
    <n v="46.220528000000002"/>
    <n v="6.1329349999999998"/>
    <s v="Genève"/>
    <n v="25"/>
    <n v="198"/>
    <n v="1"/>
    <n v="158.72"/>
    <n v="1.01"/>
  </r>
  <r>
    <x v="22"/>
    <d v="1899-12-30T03:00:00"/>
    <x v="26"/>
    <m/>
    <n v="116"/>
    <n v="0"/>
    <n v="13"/>
    <m/>
    <m/>
    <m/>
    <n v="1"/>
    <s v="https://www.gr.ch/DE/institutionen/verwaltung/djsg/ga/coronavirus/info/Seiten/Start.aspx"/>
    <m/>
    <s v=""/>
    <m/>
    <s v=""/>
    <m/>
    <s v=""/>
    <n v="46.656247999999998"/>
    <n v="9.6281979999999994"/>
    <s v="Graubünden/Grigioni"/>
    <n v="1"/>
    <n v="0"/>
    <n v="0"/>
    <n v="58.62"/>
    <n v="0.505"/>
  </r>
  <r>
    <x v="22"/>
    <d v="1899-12-30T03:00:00"/>
    <x v="4"/>
    <m/>
    <n v="32"/>
    <n v="0"/>
    <n v="11"/>
    <m/>
    <m/>
    <m/>
    <m/>
    <s v="https://www.jura.ch/fr/Autorites/Coronavirus/Chiffres-H-JU/Evolution-des-cas-COVID-19-dans-le-Jura.html"/>
    <m/>
    <s v=""/>
    <m/>
    <s v=""/>
    <m/>
    <s v=""/>
    <n v="47.350743999999999"/>
    <n v="7.1561070000000004"/>
    <s v="Jura"/>
    <n v="26"/>
    <n v="3"/>
    <n v="0"/>
    <n v="43.66"/>
    <m/>
  </r>
  <r>
    <x v="22"/>
    <d v="1899-12-30T16:00:00"/>
    <x v="17"/>
    <m/>
    <n v="65"/>
    <n v="0"/>
    <m/>
    <m/>
    <m/>
    <m/>
    <m/>
    <s v="https://web.archive.org/web/20200318191404/https://gesundheit.lu.ch/themen/Humanmedizin/Infektionskrankheiten/Coronavirus"/>
    <m/>
    <s v=""/>
    <m/>
    <s v=""/>
    <m/>
    <s v=""/>
    <n v="47.067762999999999"/>
    <n v="8.1102000000000007"/>
    <s v="Luzern"/>
    <n v="3"/>
    <n v="65"/>
    <n v="0"/>
    <n v="15.99"/>
    <m/>
  </r>
  <r>
    <x v="22"/>
    <d v="1899-12-30T03:00:00"/>
    <x v="14"/>
    <m/>
    <n v="146"/>
    <n v="2"/>
    <n v="18"/>
    <n v="3"/>
    <m/>
    <m/>
    <n v="2"/>
    <s v="https://www.ne.ch/autorites/DFS/SCSP/medecin-cantonal/maladies-vaccinations/Documents/Covid-19-Statistiques/COVID19_PublicationInternet.pdf"/>
    <m/>
    <s v=""/>
    <m/>
    <s v=""/>
    <m/>
    <s v=""/>
    <n v="46.995533999999999"/>
    <n v="6.7801260000000001"/>
    <s v="Neuchâtel"/>
    <n v="24"/>
    <n v="32"/>
    <n v="1"/>
    <n v="82.02"/>
    <n v="1.1240000000000001"/>
  </r>
  <r>
    <x v="22"/>
    <d v="1899-12-30T03:00:00"/>
    <x v="15"/>
    <m/>
    <n v="61"/>
    <n v="0"/>
    <m/>
    <m/>
    <m/>
    <m/>
    <m/>
    <s v="https://www.sg.ch/tools/informationen-coronavirus.html"/>
    <m/>
    <s v=""/>
    <m/>
    <s v=""/>
    <m/>
    <s v=""/>
    <n v="47.183199999999999"/>
    <n v="9.2747440000000001"/>
    <s v="St. Gallen"/>
    <n v="17"/>
    <n v="14"/>
    <n v="0"/>
    <n v="12.09"/>
    <m/>
  </r>
  <r>
    <x v="22"/>
    <d v="1899-12-30T03:00:00"/>
    <x v="21"/>
    <m/>
    <n v="8"/>
    <n v="0"/>
    <m/>
    <m/>
    <m/>
    <m/>
    <n v="0"/>
    <s v="https://sh.ch/CMS/Webseite/Kanton-Schaffhausen/Beh-rde/Verwaltung/Departement-des-Innern/Gesundheitsamt-3209198-DE.html"/>
    <m/>
    <s v=""/>
    <m/>
    <s v=""/>
    <m/>
    <s v=""/>
    <n v="47.713569999999997"/>
    <n v="8.5916700000000006"/>
    <s v="Schaffhausen"/>
    <n v="14"/>
    <n v="6"/>
    <n v="0"/>
    <n v="9.83"/>
    <n v="0"/>
  </r>
  <r>
    <x v="22"/>
    <d v="1899-12-30T03:00:00"/>
    <x v="19"/>
    <m/>
    <n v="43"/>
    <n v="0"/>
    <m/>
    <m/>
    <m/>
    <m/>
    <m/>
    <s v="https://www.oltnertagblatt.ch/solothurn/kanton-solothurn/zivilschuetzer-kontrollieren-wer-in-die-solothurner-spitaeler-rein-will-137174885"/>
    <m/>
    <s v=""/>
    <m/>
    <s v=""/>
    <m/>
    <s v=""/>
    <n v="47.304135000000002"/>
    <n v="7.6393880000000003"/>
    <s v="Solothurn"/>
    <n v="11"/>
    <n v="42"/>
    <n v="0"/>
    <n v="15.84"/>
    <m/>
  </r>
  <r>
    <x v="22"/>
    <d v="1899-12-30T03:00:00"/>
    <x v="25"/>
    <n v="276"/>
    <n v="32"/>
    <n v="0"/>
    <m/>
    <m/>
    <m/>
    <m/>
    <m/>
    <s v="https://www.tg.ch/news/fachdossier-coronavirus.html/10552"/>
    <m/>
    <s v=""/>
    <m/>
    <s v=""/>
    <m/>
    <s v=""/>
    <n v="47.568714999999997"/>
    <n v="9.0919570000000007"/>
    <s v="Thurgau"/>
    <n v="1"/>
    <n v="9"/>
    <n v="0"/>
    <n v="11.69"/>
    <m/>
  </r>
  <r>
    <x v="22"/>
    <d v="1899-12-30T03:00:00"/>
    <x v="1"/>
    <m/>
    <n v="511"/>
    <n v="0"/>
    <n v="65"/>
    <n v="13"/>
    <m/>
    <m/>
    <n v="14"/>
    <s v="https://www4.ti.ch/area-media/comunicati/dettaglio-comunicato/?NEWS_ID=187493&amp;tx_tichareamedia_comunicazioni%5Baction%5D=show&amp;tx_tichareamedia_comunicazioni%5Bcontroller%5D=Comunicazioni&amp;cHash=7803bbc03dd49ef2e421dfd6b12dd239"/>
    <m/>
    <s v=""/>
    <m/>
    <s v=""/>
    <m/>
    <s v=""/>
    <n v="46.295617"/>
    <n v="8.8089239999999993"/>
    <s v="Ticino"/>
    <n v="21"/>
    <n v="89"/>
    <n v="4"/>
    <n v="144.47"/>
    <n v="3.9580000000000002"/>
  </r>
  <r>
    <x v="22"/>
    <d v="1899-12-30T03:00:00"/>
    <x v="22"/>
    <n v="85"/>
    <n v="5"/>
    <n v="0"/>
    <m/>
    <m/>
    <m/>
    <m/>
    <m/>
    <s v="https://www.ur.ch/mmdirektionen/63802"/>
    <m/>
    <s v=""/>
    <m/>
    <s v=""/>
    <m/>
    <s v=""/>
    <n v="46.771849000000003"/>
    <n v="8.6285860000000003"/>
    <s v="Uri"/>
    <n v="4"/>
    <n v="3"/>
    <n v="0"/>
    <n v="13.77"/>
    <m/>
  </r>
  <r>
    <x v="22"/>
    <d v="1899-12-30T03:00:00"/>
    <x v="9"/>
    <m/>
    <n v="843"/>
    <n v="13"/>
    <n v="154"/>
    <n v="24"/>
    <m/>
    <n v="16"/>
    <n v="12"/>
    <s v="https://www.vd.ch/toutes-les-actualites/hotline-et-informations-sur-le-coronavirus/point-de-situation-statistique-dans-le-canton-de-vaud/"/>
    <m/>
    <s v=""/>
    <m/>
    <s v=""/>
    <m/>
    <s v=""/>
    <n v="46.570090999999998"/>
    <n v="6.5578090000000007"/>
    <s v="Vaud"/>
    <n v="22"/>
    <n v="187"/>
    <n v="3"/>
    <n v="106.29"/>
    <n v="1.5129999999999999"/>
  </r>
  <r>
    <x v="22"/>
    <d v="1899-12-30T03:00:00"/>
    <x v="10"/>
    <m/>
    <n v="312"/>
    <n v="12"/>
    <n v="58"/>
    <n v="2"/>
    <n v="2"/>
    <n v="3"/>
    <n v="4"/>
    <s v="https://www.vs.ch/documents/6756452/7008787/2020%2004%2012%20Sit%20Epid%20-%20%C3%89tat%20Stand"/>
    <m/>
    <s v=""/>
    <m/>
    <s v=""/>
    <m/>
    <s v=""/>
    <n v="46.209567"/>
    <n v="7.6046589999999998"/>
    <s v="Valais/Wallis"/>
    <n v="23"/>
    <n v="87"/>
    <n v="1"/>
    <n v="91.36"/>
    <n v="1.171"/>
  </r>
  <r>
    <x v="22"/>
    <d v="1899-12-30T08:00:00"/>
    <x v="11"/>
    <m/>
    <n v="37"/>
    <n v="1"/>
    <n v="1"/>
    <n v="0"/>
    <m/>
    <n v="5"/>
    <n v="0"/>
    <s v="https://www.zg.ch/behoerden/gesundheitsdirektion/statistikfachstelle/themen/gesundheit/corona"/>
    <m/>
    <s v=""/>
    <m/>
    <s v=""/>
    <m/>
    <s v=""/>
    <n v="47.157296000000002"/>
    <n v="8.5372939999999993"/>
    <s v="Zug"/>
    <n v="9"/>
    <n v="4"/>
    <n v="0"/>
    <n v="29.51"/>
    <n v="0"/>
  </r>
  <r>
    <x v="22"/>
    <d v="1899-12-30T14:30:00"/>
    <x v="5"/>
    <m/>
    <n v="569"/>
    <n v="0"/>
    <m/>
    <m/>
    <m/>
    <m/>
    <n v="2"/>
    <s v="https://gd.zh.ch/internet/gesundheitsdirektion/de/themen/coronavirus.html"/>
    <m/>
    <s v=""/>
    <m/>
    <s v=""/>
    <m/>
    <s v=""/>
    <n v="47.412750000000003"/>
    <n v="8.6550799999999999"/>
    <s v="Zürich"/>
    <n v="1"/>
    <n v="139"/>
    <n v="1"/>
    <n v="37.82"/>
    <n v="0.13300000000000001"/>
  </r>
  <r>
    <x v="23"/>
    <d v="1899-12-30T15:00:00"/>
    <x v="6"/>
    <m/>
    <n v="118"/>
    <n v="11"/>
    <n v="17"/>
    <n v="6"/>
    <n v="3"/>
    <n v="4"/>
    <m/>
    <s v="https://www.ag.ch/media/kanton_aargau/themen_1/coronavirus_1/lagebulletins/200319_KFS_Coronavirus_Lagebulletin_15.pdf"/>
    <m/>
    <s v=""/>
    <m/>
    <s v=""/>
    <m/>
    <s v=""/>
    <n v="47.409660000000002"/>
    <n v="8.1568799999999992"/>
    <s v="Aargau"/>
    <n v="1"/>
    <n v="17"/>
    <n v="0"/>
    <n v="17.59"/>
    <m/>
  </r>
  <r>
    <x v="23"/>
    <d v="1899-12-30T03:00:00"/>
    <x v="24"/>
    <m/>
    <n v="6"/>
    <n v="0"/>
    <n v="1"/>
    <m/>
    <m/>
    <m/>
    <m/>
    <s v="Kantonaler Führungsstab Appenzell Innerrhoden"/>
    <m/>
    <s v=""/>
    <m/>
    <s v=""/>
    <m/>
    <s v=""/>
    <n v="47.317264000000002"/>
    <n v="9.4167539999999992"/>
    <s v="Appenzell Innerrhoden"/>
    <n v="16"/>
    <n v="1"/>
    <n v="0"/>
    <n v="37.270000000000003"/>
    <m/>
  </r>
  <r>
    <x v="23"/>
    <d v="1899-12-30T03:00:00"/>
    <x v="7"/>
    <m/>
    <n v="282"/>
    <n v="0"/>
    <m/>
    <m/>
    <m/>
    <m/>
    <n v="1"/>
    <s v="https://www.besondere-lage.sites.be.ch/besondere-lage_sites/de/index/corona/index.html"/>
    <m/>
    <s v=""/>
    <m/>
    <s v=""/>
    <m/>
    <s v=""/>
    <n v="46.823608"/>
    <n v="7.6366670000000001"/>
    <s v="Bern/Berne"/>
    <n v="2"/>
    <n v="89"/>
    <n v="0"/>
    <n v="27.35"/>
    <n v="9.7000000000000003E-2"/>
  </r>
  <r>
    <x v="23"/>
    <d v="1899-12-30T03:00:00"/>
    <x v="8"/>
    <m/>
    <n v="134"/>
    <n v="-8"/>
    <n v="19"/>
    <n v="2"/>
    <m/>
    <n v="16"/>
    <n v="2"/>
    <s v="https://www.baselland.ch/politik-und-behorden/direktionen/volkswirtschafts-und-gesundheitsdirektion/medienmitteilungen/update-131-bestaetigte-faelle-in-basel-landschaft"/>
    <m/>
    <s v=""/>
    <m/>
    <s v=""/>
    <m/>
    <s v=""/>
    <n v="47.45176"/>
    <n v="7.7024140000000001"/>
    <s v="Basel-Landschaft"/>
    <n v="13"/>
    <n v="18"/>
    <n v="0"/>
    <n v="46.69"/>
    <n v="0.69699999999999995"/>
  </r>
  <r>
    <x v="23"/>
    <d v="1899-12-30T11:00:00"/>
    <x v="2"/>
    <n v="235"/>
    <n v="222"/>
    <n v="0"/>
    <n v="40"/>
    <n v="2"/>
    <m/>
    <n v="44"/>
    <n v="4"/>
    <s v="https://www.coronavirus.bs.ch/nm/2020-tagesbulletin-coronavirus-222-bestaetigte-faelle-basel-stadt-trifft-gemeinsam-mit-den-spitaelern-vorkehrungen-fuer-intensiv--und-beatmungskapazitaeten-gd.html"/>
    <n v="199"/>
    <s v=""/>
    <m/>
    <s v=""/>
    <m/>
    <s v=""/>
    <n v="47.564869000000002"/>
    <n v="7.615259"/>
    <s v="Basel-Stadt"/>
    <n v="12"/>
    <n v="40"/>
    <n v="0"/>
    <n v="114.49"/>
    <n v="2.0630000000000002"/>
  </r>
  <r>
    <x v="23"/>
    <d v="1899-12-30T03:00:00"/>
    <x v="12"/>
    <n v="30"/>
    <n v="111"/>
    <n v="1"/>
    <n v="12"/>
    <n v="5"/>
    <m/>
    <m/>
    <n v="1"/>
    <s v="https://www.fr.ch/covid19/sante/covid-19/coronavirus-statistiques-evolution-de-la-situation-dans-le-canton"/>
    <m/>
    <s v=""/>
    <m/>
    <s v=""/>
    <m/>
    <s v=""/>
    <n v="46.718390999999997"/>
    <n v="7.0740080000000001"/>
    <s v="Fribourg"/>
    <n v="10"/>
    <n v="25"/>
    <n v="0"/>
    <n v="35.229999999999997"/>
    <n v="0.317"/>
  </r>
  <r>
    <x v="23"/>
    <d v="1899-12-30T03:00:00"/>
    <x v="0"/>
    <n v="6252"/>
    <n v="1026"/>
    <n v="14"/>
    <n v="92"/>
    <n v="19"/>
    <n v="18"/>
    <m/>
    <n v="6"/>
    <s v="https://www.ge.ch/document/covid-19-situation-epidemiologique-geneve/telecharger"/>
    <m/>
    <s v=""/>
    <m/>
    <s v=""/>
    <n v="5"/>
    <s v=""/>
    <n v="46.220528000000002"/>
    <n v="6.1329349999999998"/>
    <s v="Genève"/>
    <n v="25"/>
    <n v="240"/>
    <n v="1"/>
    <n v="207.19"/>
    <n v="1.212"/>
  </r>
  <r>
    <x v="23"/>
    <d v="1899-12-30T03:00:00"/>
    <x v="13"/>
    <m/>
    <n v="17"/>
    <n v="0"/>
    <m/>
    <m/>
    <m/>
    <m/>
    <m/>
    <s v="https://www.suedostschweiz.ch/ereignisse/2020-03-20/die-zahl-der-corona-faelle-im-glarnerland-steigt-stark-an"/>
    <m/>
    <s v=""/>
    <m/>
    <s v=""/>
    <m/>
    <s v=""/>
    <n v="46.931042000000005"/>
    <n v="9.0657510000000006"/>
    <s v="Glarus"/>
    <n v="8"/>
    <n v="7"/>
    <n v="0"/>
    <n v="42.18"/>
    <m/>
  </r>
  <r>
    <x v="23"/>
    <d v="1899-12-30T03:00:00"/>
    <x v="26"/>
    <m/>
    <n v="145"/>
    <n v="5"/>
    <n v="18"/>
    <m/>
    <m/>
    <m/>
    <n v="1"/>
    <s v="https://www.gr.ch/DE/institutionen/verwaltung/djsg/ga/coronavirus/info/Seiten/Start.aspx"/>
    <m/>
    <s v=""/>
    <m/>
    <s v=""/>
    <m/>
    <s v=""/>
    <n v="46.656247999999998"/>
    <n v="9.6281979999999994"/>
    <s v="Graubünden/Grigioni"/>
    <n v="1"/>
    <n v="29"/>
    <n v="0"/>
    <n v="73.27"/>
    <n v="0.505"/>
  </r>
  <r>
    <x v="23"/>
    <d v="1899-12-30T16:00:00"/>
    <x v="4"/>
    <m/>
    <n v="36"/>
    <n v="1"/>
    <n v="12"/>
    <m/>
    <m/>
    <m/>
    <m/>
    <s v="https://www.jura.ch/fr/Autorites/Coronavirus/Chiffres-H-JU/Evolution-des-cas-COVID-19-dans-le-Jura.html"/>
    <m/>
    <s v=""/>
    <m/>
    <s v=""/>
    <m/>
    <s v=""/>
    <n v="47.350743999999999"/>
    <n v="7.1561070000000004"/>
    <s v="Jura"/>
    <n v="26"/>
    <n v="4"/>
    <n v="0"/>
    <n v="49.11"/>
    <m/>
  </r>
  <r>
    <x v="23"/>
    <d v="1899-12-30T03:00:00"/>
    <x v="14"/>
    <m/>
    <n v="175"/>
    <n v="1"/>
    <n v="19"/>
    <n v="3"/>
    <m/>
    <m/>
    <n v="3"/>
    <s v="https://www.ne.ch/autorites/DFS/SCSP/medecin-cantonal/maladies-vaccinations/Documents/Covid-19-Statistiques/COVID19_PublicationInternet.pdf"/>
    <m/>
    <s v=""/>
    <m/>
    <s v=""/>
    <m/>
    <s v=""/>
    <n v="46.995533999999999"/>
    <n v="6.7801260000000001"/>
    <s v="Neuchâtel"/>
    <n v="24"/>
    <n v="29"/>
    <n v="1"/>
    <n v="98.31"/>
    <n v="1.6850000000000001"/>
  </r>
  <r>
    <x v="23"/>
    <d v="1899-12-30T03:00:00"/>
    <x v="20"/>
    <m/>
    <n v="25"/>
    <n v="0"/>
    <m/>
    <m/>
    <m/>
    <m/>
    <m/>
    <s v="https://www.nw.ch/gesundheitsamtdienste/6044"/>
    <m/>
    <s v=""/>
    <m/>
    <s v=""/>
    <m/>
    <s v=""/>
    <n v="46.926755"/>
    <n v="8.4053020000000007"/>
    <s v="Nidwalden"/>
    <n v="7"/>
    <n v="21"/>
    <n v="0"/>
    <n v="58.14"/>
    <m/>
  </r>
  <r>
    <x v="23"/>
    <d v="1899-12-30T03:00:00"/>
    <x v="15"/>
    <m/>
    <n v="85"/>
    <n v="0"/>
    <m/>
    <m/>
    <m/>
    <m/>
    <m/>
    <s v="https://www.sg.ch/tools/informationen-coronavirus.html"/>
    <m/>
    <s v=""/>
    <m/>
    <s v=""/>
    <m/>
    <s v=""/>
    <n v="47.183199999999999"/>
    <n v="9.2747440000000001"/>
    <s v="St. Gallen"/>
    <n v="17"/>
    <n v="24"/>
    <n v="0"/>
    <n v="16.84"/>
    <m/>
  </r>
  <r>
    <x v="23"/>
    <d v="1899-12-30T03:00:00"/>
    <x v="21"/>
    <m/>
    <n v="12"/>
    <n v="0"/>
    <m/>
    <m/>
    <m/>
    <m/>
    <n v="0"/>
    <s v="https://sh.ch/CMS/Webseite/Kanton-Schaffhausen/Beh-rde/Verwaltung/Departement-des-Innern/Gesundheitsamt-3209198-DE.html"/>
    <m/>
    <s v=""/>
    <m/>
    <s v=""/>
    <m/>
    <s v=""/>
    <n v="47.713569999999997"/>
    <n v="8.5916700000000006"/>
    <s v="Schaffhausen"/>
    <n v="14"/>
    <n v="4"/>
    <n v="0"/>
    <n v="14.74"/>
    <n v="0"/>
  </r>
  <r>
    <x v="23"/>
    <d v="1899-12-30T03:00:00"/>
    <x v="25"/>
    <n v="276"/>
    <n v="36"/>
    <n v="0"/>
    <m/>
    <m/>
    <m/>
    <m/>
    <m/>
    <s v="https://www.tg.ch/news/fachdossier-coronavirus.html/10552"/>
    <m/>
    <s v=""/>
    <m/>
    <s v=""/>
    <m/>
    <s v=""/>
    <n v="47.568714999999997"/>
    <n v="9.0919570000000007"/>
    <s v="Thurgau"/>
    <n v="1"/>
    <n v="4"/>
    <n v="0"/>
    <n v="13.15"/>
    <m/>
  </r>
  <r>
    <x v="23"/>
    <d v="1899-12-30T03:00:00"/>
    <x v="1"/>
    <m/>
    <n v="638"/>
    <n v="0"/>
    <n v="155"/>
    <n v="33"/>
    <m/>
    <m/>
    <n v="15"/>
    <s v="https://www4.ti.ch/area-media/comunicati/dettaglio-comunicato/?NEWS_ID=187499&amp;tx_tichareamedia_comunicazioni%5Baction%5D=show&amp;tx_tichareamedia_comunicazioni%5Bcontroller%5D=Comunicazioni&amp;cHash=634a783514bdcbb426c005f1ea916268 https://www.youtube.com/watch?v=34RQ7OOWYoI"/>
    <m/>
    <s v=""/>
    <m/>
    <s v=""/>
    <m/>
    <s v=""/>
    <n v="46.295617"/>
    <n v="8.8089239999999993"/>
    <s v="Ticino"/>
    <n v="21"/>
    <n v="127"/>
    <n v="1"/>
    <n v="180.38"/>
    <n v="4.2409999999999997"/>
  </r>
  <r>
    <x v="23"/>
    <d v="1899-12-30T03:00:00"/>
    <x v="22"/>
    <n v="85"/>
    <n v="7"/>
    <n v="0"/>
    <m/>
    <m/>
    <m/>
    <m/>
    <m/>
    <s v="https://www.ur.ch/mmdirektionen/63841"/>
    <m/>
    <s v=""/>
    <m/>
    <s v=""/>
    <m/>
    <s v=""/>
    <n v="46.771849000000003"/>
    <n v="8.6285860000000003"/>
    <s v="Uri"/>
    <n v="4"/>
    <n v="2"/>
    <n v="0"/>
    <n v="19.28"/>
    <m/>
  </r>
  <r>
    <x v="23"/>
    <d v="1899-12-30T03:00:00"/>
    <x v="9"/>
    <m/>
    <n v="1156"/>
    <n v="17"/>
    <n v="171"/>
    <n v="23"/>
    <m/>
    <n v="52"/>
    <n v="13"/>
    <s v="https://www.vd.ch/toutes-les-actualites/hotline-et-informations-sur-le-coronavirus/point-de-situation-statistique-dans-le-canton-de-vaud/"/>
    <m/>
    <s v=""/>
    <m/>
    <s v=""/>
    <m/>
    <s v=""/>
    <n v="46.570090999999998"/>
    <n v="6.5578090000000007"/>
    <s v="Vaud"/>
    <n v="22"/>
    <n v="313"/>
    <n v="1"/>
    <n v="145.76"/>
    <n v="1.639"/>
  </r>
  <r>
    <x v="23"/>
    <d v="1899-12-30T03:00:00"/>
    <x v="10"/>
    <m/>
    <n v="349"/>
    <n v="6"/>
    <n v="64"/>
    <n v="5"/>
    <n v="5"/>
    <n v="3"/>
    <n v="6"/>
    <s v="https://www.vs.ch/documents/6756452/7008787/2020%2004%2012%20Sit%20Epid%20-%20%C3%89tat%20Stand"/>
    <m/>
    <s v=""/>
    <m/>
    <s v=""/>
    <m/>
    <s v=""/>
    <n v="46.209567"/>
    <n v="7.6046589999999998"/>
    <s v="Valais/Wallis"/>
    <n v="23"/>
    <n v="37"/>
    <n v="2"/>
    <n v="102.2"/>
    <n v="1.7569999999999999"/>
  </r>
  <r>
    <x v="23"/>
    <d v="1899-12-30T08:00:00"/>
    <x v="11"/>
    <m/>
    <n v="48"/>
    <n v="0"/>
    <n v="1"/>
    <n v="0"/>
    <m/>
    <n v="5"/>
    <n v="0"/>
    <s v="https://www.zg.ch/behoerden/gesundheitsdirektion/statistikfachstelle/themen/gesundheit/corona"/>
    <m/>
    <s v=""/>
    <m/>
    <s v=""/>
    <m/>
    <s v=""/>
    <n v="47.157296000000002"/>
    <n v="8.5372939999999993"/>
    <s v="Zug"/>
    <n v="9"/>
    <n v="11"/>
    <n v="0"/>
    <n v="38.28"/>
    <n v="0"/>
  </r>
  <r>
    <x v="23"/>
    <d v="1899-12-30T14:30:00"/>
    <x v="5"/>
    <m/>
    <n v="680"/>
    <n v="0"/>
    <n v="60"/>
    <m/>
    <n v="12"/>
    <m/>
    <n v="3"/>
    <s v="https://gd.zh.ch/internet/gesundheitsdirektion/de/themen/coronavirus.html"/>
    <m/>
    <s v=""/>
    <m/>
    <s v=""/>
    <m/>
    <s v=""/>
    <n v="47.412750000000003"/>
    <n v="8.6550799999999999"/>
    <s v="Zürich"/>
    <n v="1"/>
    <n v="111"/>
    <n v="1"/>
    <n v="45.2"/>
    <n v="0.19900000000000001"/>
  </r>
  <r>
    <x v="24"/>
    <d v="1899-12-30T15:00:00"/>
    <x v="6"/>
    <m/>
    <n v="168"/>
    <n v="8"/>
    <n v="25"/>
    <n v="4"/>
    <n v="2"/>
    <n v="4"/>
    <n v="1"/>
    <s v="https://www.ag.ch/media/kanton_aargau/themen_1/coronavirus_1/lagebulletins/200320_KFS_Coronavirus_Lagebulletin_16.pdf"/>
    <m/>
    <s v=""/>
    <m/>
    <s v=""/>
    <m/>
    <s v=""/>
    <n v="47.409660000000002"/>
    <n v="8.1568799999999992"/>
    <s v="Aargau"/>
    <n v="1"/>
    <n v="50"/>
    <n v="0"/>
    <n v="25.04"/>
    <n v="0.14899999999999999"/>
  </r>
  <r>
    <x v="24"/>
    <d v="1899-12-30T03:00:00"/>
    <x v="7"/>
    <m/>
    <n v="377"/>
    <n v="0"/>
    <m/>
    <m/>
    <m/>
    <m/>
    <n v="2"/>
    <s v="https://www.besondere-lage.sites.be.ch/besondere-lage_sites/de/index/corona/index.html"/>
    <m/>
    <s v=""/>
    <m/>
    <s v=""/>
    <m/>
    <s v=""/>
    <n v="46.823608"/>
    <n v="7.6366670000000001"/>
    <s v="Bern/Berne"/>
    <n v="2"/>
    <n v="95"/>
    <n v="1"/>
    <n v="36.56"/>
    <n v="0.19400000000000001"/>
  </r>
  <r>
    <x v="24"/>
    <d v="1899-12-30T03:00:00"/>
    <x v="8"/>
    <m/>
    <n v="184"/>
    <n v="8"/>
    <n v="27"/>
    <n v="2"/>
    <m/>
    <n v="18"/>
    <n v="3"/>
    <s v="https://www.baselland.ch/politik-und-behorden/direktionen/volkswirtschafts-und-gesundheitsdirektion/medienmitteilungen/update-170-bestaetigte-faelle-in-basel-landschaft"/>
    <m/>
    <s v=""/>
    <m/>
    <s v=""/>
    <m/>
    <s v=""/>
    <n v="47.45176"/>
    <n v="7.7024140000000001"/>
    <s v="Basel-Landschaft"/>
    <n v="13"/>
    <n v="50"/>
    <n v="1"/>
    <n v="64.11"/>
    <n v="1.0449999999999999"/>
  </r>
  <r>
    <x v="24"/>
    <d v="1899-12-30T10:00:00"/>
    <x v="2"/>
    <n v="235"/>
    <n v="272"/>
    <n v="5"/>
    <n v="45"/>
    <n v="2"/>
    <m/>
    <n v="46"/>
    <n v="4"/>
    <s v="https://www.coronavirus.bs.ch/nm/2020-tagesbulletin-coronavirus-272-bestaetigte-faelle-im-kanton-basel-stadt-gd.html"/>
    <n v="232"/>
    <s v=""/>
    <m/>
    <s v=""/>
    <m/>
    <s v=""/>
    <n v="47.564869000000002"/>
    <n v="7.615259"/>
    <s v="Basel-Stadt"/>
    <n v="12"/>
    <n v="50"/>
    <n v="0"/>
    <n v="140.28"/>
    <n v="2.0630000000000002"/>
  </r>
  <r>
    <x v="24"/>
    <d v="1899-12-30T03:00:00"/>
    <x v="3"/>
    <n v="99"/>
    <n v="37"/>
    <n v="0"/>
    <m/>
    <m/>
    <m/>
    <n v="1"/>
    <m/>
    <s v="https://www.regierung.li/media/attachments/136-soziale-kontakte-reduktion-corona.pdf?t=637203388043363286"/>
    <m/>
    <s v=""/>
    <m/>
    <s v=""/>
    <m/>
    <s v=""/>
    <n v="47.166666999999997"/>
    <n v="9.509722"/>
    <s v="Fürstentum Lichtenstein"/>
    <n v="0"/>
    <n v="9"/>
    <n v="0"/>
    <n v="95.85"/>
    <m/>
  </r>
  <r>
    <x v="24"/>
    <d v="1899-12-30T03:00:00"/>
    <x v="12"/>
    <n v="30"/>
    <n v="145"/>
    <n v="8"/>
    <n v="20"/>
    <n v="6"/>
    <m/>
    <m/>
    <n v="1"/>
    <s v="https://www.fr.ch/covid19/sante/covid-19/coronavirus-statistiques-evolution-de-la-situation-dans-le-canton"/>
    <m/>
    <s v=""/>
    <m/>
    <s v=""/>
    <m/>
    <s v=""/>
    <n v="46.718390999999997"/>
    <n v="7.0740080000000001"/>
    <s v="Fribourg"/>
    <n v="10"/>
    <n v="34"/>
    <n v="0"/>
    <n v="46.02"/>
    <n v="0.317"/>
  </r>
  <r>
    <x v="24"/>
    <d v="1899-12-30T03:00:00"/>
    <x v="0"/>
    <n v="6659"/>
    <n v="1152"/>
    <n v="17"/>
    <n v="109"/>
    <n v="22"/>
    <n v="21"/>
    <m/>
    <n v="8"/>
    <s v="https://www.ge.ch/document/covid-19-situation-epidemiologique-geneve/telecharger"/>
    <m/>
    <s v=""/>
    <m/>
    <s v=""/>
    <n v="5"/>
    <s v=""/>
    <n v="46.220528000000002"/>
    <n v="6.1329349999999998"/>
    <s v="Genève"/>
    <n v="25"/>
    <n v="126"/>
    <n v="2"/>
    <n v="232.63"/>
    <n v="1.6160000000000001"/>
  </r>
  <r>
    <x v="24"/>
    <d v="1899-12-30T03:00:00"/>
    <x v="26"/>
    <m/>
    <n v="213"/>
    <n v="6"/>
    <n v="24"/>
    <m/>
    <m/>
    <m/>
    <n v="3"/>
    <s v="https://www.gr.ch/DE/institutionen/verwaltung/djsg/ga/coronavirus/info/Seiten/Start.aspx"/>
    <m/>
    <s v=""/>
    <m/>
    <s v=""/>
    <m/>
    <s v=""/>
    <n v="46.656247999999998"/>
    <n v="9.6281979999999994"/>
    <s v="Graubünden/Grigioni"/>
    <n v="1"/>
    <n v="68"/>
    <n v="2"/>
    <n v="107.63"/>
    <n v="1.516"/>
  </r>
  <r>
    <x v="24"/>
    <d v="1899-12-30T16:00:00"/>
    <x v="4"/>
    <m/>
    <n v="44"/>
    <n v="2"/>
    <n v="14"/>
    <n v="1"/>
    <m/>
    <m/>
    <m/>
    <s v="https://www.jura.ch/fr/Autorites/Coronavirus/Chiffres-H-JU/Evolution-des-cas-COVID-19-dans-le-Jura.html"/>
    <m/>
    <s v=""/>
    <m/>
    <s v=""/>
    <m/>
    <s v=""/>
    <n v="47.350743999999999"/>
    <n v="7.1561070000000004"/>
    <s v="Jura"/>
    <n v="26"/>
    <n v="8"/>
    <n v="0"/>
    <n v="60.03"/>
    <m/>
  </r>
  <r>
    <x v="24"/>
    <d v="1899-12-30T09:40:00"/>
    <x v="17"/>
    <m/>
    <n v="92"/>
    <n v="0"/>
    <m/>
    <m/>
    <m/>
    <m/>
    <m/>
    <s v="https://gesundheit.lu.ch/themen/Humanmedizin/Infektionskrankheiten/Coronavirus"/>
    <m/>
    <s v=""/>
    <m/>
    <s v=""/>
    <m/>
    <s v=""/>
    <n v="47.067762999999999"/>
    <n v="8.1102000000000007"/>
    <s v="Luzern"/>
    <n v="3"/>
    <n v="27"/>
    <n v="0"/>
    <n v="22.63"/>
    <m/>
  </r>
  <r>
    <x v="24"/>
    <d v="1899-12-30T16:00:00"/>
    <x v="14"/>
    <m/>
    <n v="189"/>
    <n v="2"/>
    <n v="21"/>
    <n v="4"/>
    <m/>
    <m/>
    <n v="3"/>
    <s v="https://www.ne.ch/autorites/DFS/SCSP/medecin-cantonal/maladies-vaccinations/Documents/Covid-19-Statistiques/COVID19_PublicationInternet.pdf"/>
    <m/>
    <s v=""/>
    <m/>
    <s v=""/>
    <m/>
    <s v=""/>
    <n v="46.995533999999999"/>
    <n v="6.7801260000000001"/>
    <s v="Neuchâtel"/>
    <n v="24"/>
    <n v="14"/>
    <n v="0"/>
    <n v="106.18"/>
    <n v="1.6850000000000001"/>
  </r>
  <r>
    <x v="24"/>
    <d v="1899-12-30T15:20:00"/>
    <x v="20"/>
    <m/>
    <n v="28"/>
    <n v="0"/>
    <m/>
    <m/>
    <m/>
    <m/>
    <m/>
    <s v="https://www.nw.ch/gesundheitsamtdienste/6044"/>
    <m/>
    <s v=""/>
    <m/>
    <s v=""/>
    <m/>
    <s v=""/>
    <n v="46.926755"/>
    <n v="8.4053020000000007"/>
    <s v="Nidwalden"/>
    <n v="7"/>
    <n v="3"/>
    <n v="0"/>
    <n v="65.12"/>
    <m/>
  </r>
  <r>
    <x v="24"/>
    <d v="1899-12-30T03:00:00"/>
    <x v="15"/>
    <m/>
    <n v="98"/>
    <n v="0"/>
    <m/>
    <m/>
    <m/>
    <m/>
    <m/>
    <s v="https://www.sg.ch/tools/informationen-coronavirus.html"/>
    <m/>
    <s v=""/>
    <m/>
    <s v=""/>
    <m/>
    <s v=""/>
    <n v="47.183199999999999"/>
    <n v="9.2747440000000001"/>
    <s v="St. Gallen"/>
    <n v="17"/>
    <n v="13"/>
    <n v="0"/>
    <n v="19.420000000000002"/>
    <m/>
  </r>
  <r>
    <x v="24"/>
    <d v="1899-12-30T03:00:00"/>
    <x v="21"/>
    <m/>
    <n v="17"/>
    <n v="0"/>
    <m/>
    <m/>
    <m/>
    <m/>
    <n v="0"/>
    <s v="https://sh.ch/CMS/Webseite/Kanton-Schaffhausen/Beh-rde/Verwaltung/Departement-des-Innern/Gesundheitsamt-3209198-DE.html"/>
    <m/>
    <s v=""/>
    <m/>
    <s v=""/>
    <m/>
    <s v=""/>
    <n v="47.713569999999997"/>
    <n v="8.5916700000000006"/>
    <s v="Schaffhausen"/>
    <n v="14"/>
    <n v="5"/>
    <n v="0"/>
    <n v="20.88"/>
    <n v="0"/>
  </r>
  <r>
    <x v="24"/>
    <d v="1899-12-30T17:37:00"/>
    <x v="19"/>
    <m/>
    <n v="66"/>
    <n v="0"/>
    <m/>
    <m/>
    <m/>
    <m/>
    <m/>
    <s v="https://twitter.com/KantonSolothurn/status/1241041303024041989?p=p"/>
    <m/>
    <s v=""/>
    <m/>
    <s v=""/>
    <m/>
    <s v=""/>
    <n v="47.304135000000002"/>
    <n v="7.6393880000000003"/>
    <s v="Solothurn"/>
    <n v="11"/>
    <n v="23"/>
    <n v="0"/>
    <n v="24.32"/>
    <m/>
  </r>
  <r>
    <x v="24"/>
    <d v="1899-12-30T03:00:00"/>
    <x v="25"/>
    <n v="276"/>
    <n v="49"/>
    <n v="0"/>
    <m/>
    <m/>
    <m/>
    <m/>
    <m/>
    <s v="https://www.tg.ch/news/fachdossier-coronavirus.html/10552"/>
    <m/>
    <s v=""/>
    <m/>
    <s v=""/>
    <m/>
    <s v=""/>
    <n v="47.568714999999997"/>
    <n v="9.0919570000000007"/>
    <s v="Thurgau"/>
    <n v="1"/>
    <n v="13"/>
    <n v="0"/>
    <n v="17.899999999999999"/>
    <m/>
  </r>
  <r>
    <x v="24"/>
    <d v="1899-12-30T08:00:00"/>
    <x v="1"/>
    <m/>
    <n v="834"/>
    <n v="13"/>
    <n v="168"/>
    <n v="35"/>
    <m/>
    <m/>
    <n v="22"/>
    <s v="https://www4.ti.ch/dss/dsp/covid19/home/ https://www.youtube.com/watch?v=34RQ7OOWYoI"/>
    <m/>
    <s v=""/>
    <m/>
    <s v=""/>
    <m/>
    <s v=""/>
    <n v="46.295617"/>
    <n v="8.8089239999999993"/>
    <s v="Ticino"/>
    <n v="21"/>
    <n v="196"/>
    <n v="7"/>
    <n v="235.79"/>
    <n v="6.22"/>
  </r>
  <r>
    <x v="24"/>
    <d v="1899-12-30T12:00:00"/>
    <x v="22"/>
    <n v="85"/>
    <n v="7"/>
    <n v="0"/>
    <m/>
    <m/>
    <m/>
    <m/>
    <m/>
    <s v="https://www.ur.ch/themen/2920"/>
    <m/>
    <s v=""/>
    <m/>
    <s v=""/>
    <m/>
    <s v=""/>
    <n v="46.771849000000003"/>
    <n v="8.6285860000000003"/>
    <s v="Uri"/>
    <n v="4"/>
    <n v="0"/>
    <n v="0"/>
    <n v="19.28"/>
    <m/>
  </r>
  <r>
    <x v="24"/>
    <d v="1899-12-30T03:00:00"/>
    <x v="9"/>
    <m/>
    <n v="1398"/>
    <n v="12"/>
    <n v="183"/>
    <n v="23"/>
    <m/>
    <n v="62"/>
    <n v="19"/>
    <s v="https://www.vd.ch/toutes-les-actualites/hotline-et-informations-sur-le-coronavirus/point-de-situation-statistique-dans-le-canton-de-vaud/"/>
    <m/>
    <s v=""/>
    <m/>
    <s v=""/>
    <m/>
    <s v=""/>
    <n v="46.570090999999998"/>
    <n v="6.5578090000000007"/>
    <s v="Vaud"/>
    <n v="22"/>
    <n v="242"/>
    <n v="6"/>
    <n v="176.27"/>
    <n v="2.3959999999999999"/>
  </r>
  <r>
    <x v="24"/>
    <d v="1899-12-30T03:00:00"/>
    <x v="10"/>
    <m/>
    <n v="436"/>
    <n v="9"/>
    <n v="73"/>
    <n v="6"/>
    <n v="5"/>
    <n v="3"/>
    <n v="7"/>
    <s v="https://www.vs.ch/documents/6756452/7008787/2020%2004%2012%20Sit%20Epid%20-%20%C3%89tat%20Stand"/>
    <m/>
    <s v=""/>
    <m/>
    <s v=""/>
    <m/>
    <s v=""/>
    <n v="46.209567"/>
    <n v="7.6046589999999998"/>
    <s v="Valais/Wallis"/>
    <n v="23"/>
    <n v="87"/>
    <n v="1"/>
    <n v="127.67"/>
    <n v="2.0499999999999998"/>
  </r>
  <r>
    <x v="24"/>
    <d v="1899-12-30T08:00:00"/>
    <x v="11"/>
    <m/>
    <n v="53"/>
    <n v="2"/>
    <n v="3"/>
    <n v="0"/>
    <m/>
    <n v="5"/>
    <n v="0"/>
    <s v="https://www.zg.ch/behoerden/gesundheitsdirektion/statistikfachstelle/themen/gesundheit/corona"/>
    <m/>
    <s v=""/>
    <m/>
    <s v=""/>
    <m/>
    <s v=""/>
    <n v="47.157296000000002"/>
    <n v="8.5372939999999993"/>
    <s v="Zug"/>
    <n v="9"/>
    <n v="5"/>
    <n v="0"/>
    <n v="42.26"/>
    <n v="0"/>
  </r>
  <r>
    <x v="24"/>
    <d v="1899-12-30T14:30:00"/>
    <x v="5"/>
    <m/>
    <n v="712"/>
    <n v="18"/>
    <n v="78"/>
    <m/>
    <n v="15"/>
    <m/>
    <n v="4"/>
    <s v="https://gd.zh.ch/internet/gesundheitsdirektion/de/themen/coronavirus.html"/>
    <m/>
    <s v=""/>
    <m/>
    <s v=""/>
    <m/>
    <s v=""/>
    <n v="47.412750000000003"/>
    <n v="8.6550799999999999"/>
    <s v="Zürich"/>
    <n v="1"/>
    <n v="32"/>
    <n v="1"/>
    <n v="47.33"/>
    <n v="0.26600000000000001"/>
  </r>
  <r>
    <x v="25"/>
    <d v="1899-12-30T03:00:00"/>
    <x v="18"/>
    <m/>
    <n v="11"/>
    <n v="0"/>
    <n v="3"/>
    <m/>
    <m/>
    <m/>
    <n v="1"/>
    <s v="https://www.ar.ch/schnellzugriff/medienmitteilungen-der-kantonalen-verwaltung/detail/news/coronavirus-erster-todesfall-in-appenzell-ausserrhoden/?tx_news_pi1%5Bcontroller%5D=News&amp;tx_news_pi1%5Baction%5D=detail&amp;cHash=a88f209df29c38474f9c5f9e1c5dd53f"/>
    <m/>
    <s v=""/>
    <m/>
    <s v=""/>
    <m/>
    <s v=""/>
    <n v="47.416351999999996"/>
    <n v="9.3679100000000002"/>
    <s v="Appenzell Ausserrhoden"/>
    <n v="15"/>
    <n v="0"/>
    <n v="0"/>
    <n v="19.93"/>
    <n v="1.8120000000000001"/>
  </r>
  <r>
    <x v="25"/>
    <d v="1899-12-30T03:00:00"/>
    <x v="7"/>
    <m/>
    <n v="418"/>
    <n v="0"/>
    <m/>
    <m/>
    <m/>
    <m/>
    <n v="3"/>
    <s v="https://www.besondere-lage.sites.be.ch/besondere-lage_sites/de/index/corona/index.html"/>
    <m/>
    <s v=""/>
    <m/>
    <s v=""/>
    <m/>
    <s v=""/>
    <n v="46.823608"/>
    <n v="7.6366670000000001"/>
    <s v="Bern/Berne"/>
    <n v="2"/>
    <n v="41"/>
    <n v="1"/>
    <n v="40.54"/>
    <n v="0.29099999999999998"/>
  </r>
  <r>
    <x v="25"/>
    <d v="1899-12-30T03:00:00"/>
    <x v="8"/>
    <m/>
    <n v="282"/>
    <n v="3"/>
    <n v="30"/>
    <n v="4"/>
    <m/>
    <n v="21"/>
    <n v="3"/>
    <s v="https://www.baselland.ch/politik-und-behorden/direktionen/volkswirtschafts-und-gesundheitsdirektion/medienmitteilungen/update-282-bestaetigte-faelle-in-basel-landschaft"/>
    <m/>
    <s v=""/>
    <m/>
    <s v=""/>
    <m/>
    <s v=""/>
    <n v="47.45176"/>
    <n v="7.7024140000000001"/>
    <s v="Basel-Landschaft"/>
    <n v="13"/>
    <n v="98"/>
    <n v="0"/>
    <n v="98.26"/>
    <n v="1.0449999999999999"/>
  </r>
  <r>
    <x v="25"/>
    <d v="1899-12-30T10:00:00"/>
    <x v="2"/>
    <n v="235"/>
    <n v="299"/>
    <n v="1"/>
    <n v="46"/>
    <n v="2"/>
    <m/>
    <n v="57"/>
    <n v="5"/>
    <s v="https://www.coronavirus.bs.ch/nm/2020-tagesbulletin-coronavirus-299-bestaetigte-faelle-im-kanton-basel-stadt-gd.html"/>
    <n v="242"/>
    <s v=""/>
    <m/>
    <s v=""/>
    <m/>
    <s v=""/>
    <n v="47.564869000000002"/>
    <n v="7.615259"/>
    <s v="Basel-Stadt"/>
    <n v="12"/>
    <n v="27"/>
    <n v="1"/>
    <n v="154.19999999999999"/>
    <n v="2.5790000000000002"/>
  </r>
  <r>
    <x v="25"/>
    <d v="1899-12-30T03:00:00"/>
    <x v="3"/>
    <n v="99"/>
    <n v="44"/>
    <n v="0"/>
    <m/>
    <m/>
    <m/>
    <n v="1"/>
    <m/>
    <s v="https://www.regierung.li/media/attachments/138-corona-starke-zunahme-0321.pdf?t=637204593432337675"/>
    <m/>
    <s v=""/>
    <m/>
    <s v=""/>
    <m/>
    <s v=""/>
    <n v="47.166666999999997"/>
    <n v="9.509722"/>
    <s v="Fürstentum Lichtenstein"/>
    <n v="0"/>
    <n v="7"/>
    <n v="0"/>
    <n v="113.99"/>
    <m/>
  </r>
  <r>
    <x v="25"/>
    <d v="1899-12-30T03:00:00"/>
    <x v="12"/>
    <n v="30"/>
    <n v="167"/>
    <n v="8"/>
    <n v="28"/>
    <n v="6"/>
    <m/>
    <m/>
    <n v="2"/>
    <s v="https://www.fr.ch/covid19/sante/covid-19/coronavirus-statistiques-evolution-de-la-situation-dans-le-canton"/>
    <m/>
    <s v=""/>
    <m/>
    <s v=""/>
    <m/>
    <s v=""/>
    <n v="46.718390999999997"/>
    <n v="7.0740080000000001"/>
    <s v="Fribourg"/>
    <n v="10"/>
    <n v="22"/>
    <n v="1"/>
    <n v="53"/>
    <n v="0.63500000000000001"/>
  </r>
  <r>
    <x v="25"/>
    <d v="1899-12-30T03:00:00"/>
    <x v="0"/>
    <n v="7027"/>
    <n v="1281"/>
    <n v="36"/>
    <n v="145"/>
    <n v="25"/>
    <n v="24"/>
    <m/>
    <n v="8"/>
    <s v="https://www.ge.ch/document/covid-19-situation-epidemiologique-geneve/telecharger"/>
    <m/>
    <s v=""/>
    <m/>
    <s v=""/>
    <n v="13"/>
    <s v=""/>
    <n v="46.220528000000002"/>
    <n v="6.1329349999999998"/>
    <s v="Genève"/>
    <n v="25"/>
    <n v="129"/>
    <n v="0"/>
    <n v="258.68"/>
    <n v="1.6160000000000001"/>
  </r>
  <r>
    <x v="25"/>
    <d v="1899-12-30T03:00:00"/>
    <x v="26"/>
    <m/>
    <n v="239"/>
    <n v="0"/>
    <n v="24"/>
    <m/>
    <m/>
    <m/>
    <n v="3"/>
    <s v="https://www.gr.ch/DE/institutionen/verwaltung/djsg/ga/coronavirus/info/Seiten/Start.aspx"/>
    <m/>
    <s v=""/>
    <m/>
    <s v=""/>
    <m/>
    <s v=""/>
    <n v="46.656247999999998"/>
    <n v="9.6281979999999994"/>
    <s v="Graubünden/Grigioni"/>
    <n v="1"/>
    <n v="26"/>
    <n v="0"/>
    <n v="120.77"/>
    <n v="1.516"/>
  </r>
  <r>
    <x v="25"/>
    <d v="1899-12-30T18:00:00"/>
    <x v="4"/>
    <m/>
    <n v="54"/>
    <n v="-1"/>
    <n v="13"/>
    <n v="1"/>
    <m/>
    <m/>
    <m/>
    <s v="https://www.jura.ch/fr/Autorites/Coronavirus/Chiffres-H-JU/Evolution-des-cas-COVID-19-dans-le-Jura.html"/>
    <m/>
    <s v=""/>
    <m/>
    <s v=""/>
    <m/>
    <s v=""/>
    <n v="47.350743999999999"/>
    <n v="7.1561070000000004"/>
    <s v="Jura"/>
    <n v="26"/>
    <n v="10"/>
    <n v="0"/>
    <n v="73.67"/>
    <m/>
  </r>
  <r>
    <x v="25"/>
    <d v="1899-12-30T11:00:00"/>
    <x v="17"/>
    <m/>
    <n v="109"/>
    <n v="0"/>
    <m/>
    <m/>
    <m/>
    <m/>
    <n v="1"/>
    <s v="https://gesundheit.lu.ch/themen/Humanmedizin/Infektionskrankheiten/Coronavirus;https://newsletter.lu.ch/inxmail/html_mail.jsp?params=7UGt4J1Fx6OIONHlV9upAAuOzkQ6ZmQA%2FxRrLjJkeDWZdweUdKfwhAE94i2Apium%2F6rIvcF2Z5MaTtV52A77W2jrwVmrkZ8UhFPVmHC4iuI%3D"/>
    <m/>
    <s v=""/>
    <m/>
    <s v=""/>
    <m/>
    <s v=""/>
    <n v="47.067762999999999"/>
    <n v="8.1102000000000007"/>
    <s v="Luzern"/>
    <n v="3"/>
    <n v="17"/>
    <n v="0"/>
    <n v="26.81"/>
    <n v="0.246"/>
  </r>
  <r>
    <x v="25"/>
    <d v="1899-12-30T15:30:00"/>
    <x v="14"/>
    <m/>
    <n v="200"/>
    <n v="-1"/>
    <n v="20"/>
    <n v="5"/>
    <m/>
    <m/>
    <n v="4"/>
    <s v="https://www.ne.ch/autorites/DFS/SCSP/medecin-cantonal/maladies-vaccinations/Documents/Covid-19-Statistiques/COVID19_PublicationInternet.pdf"/>
    <m/>
    <s v=""/>
    <m/>
    <s v=""/>
    <m/>
    <s v=""/>
    <n v="46.995533999999999"/>
    <n v="6.7801260000000001"/>
    <s v="Neuchâtel"/>
    <n v="24"/>
    <n v="11"/>
    <n v="1"/>
    <n v="112.36"/>
    <n v="2.2469999999999999"/>
  </r>
  <r>
    <x v="25"/>
    <d v="1899-12-30T18:15:00"/>
    <x v="20"/>
    <m/>
    <n v="33"/>
    <n v="0"/>
    <m/>
    <m/>
    <m/>
    <m/>
    <m/>
    <s v="https://www.nw.ch/gesundheitsamtdienste/6044"/>
    <m/>
    <s v=""/>
    <m/>
    <s v=""/>
    <m/>
    <s v=""/>
    <n v="46.926755"/>
    <n v="8.4053020000000007"/>
    <s v="Nidwalden"/>
    <n v="7"/>
    <n v="5"/>
    <n v="0"/>
    <n v="76.739999999999995"/>
    <m/>
  </r>
  <r>
    <x v="25"/>
    <d v="1899-12-30T03:00:00"/>
    <x v="21"/>
    <m/>
    <n v="28"/>
    <n v="0"/>
    <m/>
    <m/>
    <m/>
    <m/>
    <n v="0"/>
    <s v="https://sh.ch/CMS/Webseite/Kanton-Schaffhausen/Beh-rde/Verwaltung/Departement-des-Innern/Gesundheitsamt-3209198-DE.html"/>
    <m/>
    <s v=""/>
    <m/>
    <s v=""/>
    <m/>
    <s v=""/>
    <n v="47.713569999999997"/>
    <n v="8.5916700000000006"/>
    <s v="Schaffhausen"/>
    <n v="14"/>
    <n v="11"/>
    <n v="0"/>
    <n v="34.4"/>
    <n v="0"/>
  </r>
  <r>
    <x v="25"/>
    <d v="1899-12-30T03:00:00"/>
    <x v="25"/>
    <n v="276"/>
    <n v="56"/>
    <n v="0"/>
    <m/>
    <m/>
    <m/>
    <m/>
    <m/>
    <s v="https://www.tg.ch/news/fachdossier-coronavirus.html/10552"/>
    <m/>
    <s v=""/>
    <m/>
    <s v=""/>
    <m/>
    <s v=""/>
    <n v="47.568714999999997"/>
    <n v="9.0919570000000007"/>
    <s v="Thurgau"/>
    <n v="1"/>
    <n v="7"/>
    <n v="0"/>
    <n v="20.45"/>
    <m/>
  </r>
  <r>
    <x v="25"/>
    <d v="1899-12-30T08:00:00"/>
    <x v="1"/>
    <m/>
    <n v="918"/>
    <n v="16"/>
    <n v="184"/>
    <n v="40"/>
    <n v="37"/>
    <m/>
    <n v="28"/>
    <s v="https://www4.ti.ch/dss/dsp/covid19/home/ https://www.youtube.com/watch?v=7g2sALU9bQM"/>
    <m/>
    <s v=""/>
    <m/>
    <s v="37.0"/>
    <m/>
    <s v=""/>
    <n v="46.295617"/>
    <n v="8.8089239999999993"/>
    <s v="Ticino"/>
    <n v="21"/>
    <n v="84"/>
    <n v="6"/>
    <n v="259.54000000000002"/>
    <n v="7.9160000000000004"/>
  </r>
  <r>
    <x v="25"/>
    <d v="1899-12-30T08:00:00"/>
    <x v="22"/>
    <n v="85"/>
    <n v="12"/>
    <n v="0"/>
    <m/>
    <m/>
    <m/>
    <m/>
    <m/>
    <s v="https://www.ur.ch/themen/2920"/>
    <m/>
    <s v=""/>
    <m/>
    <s v=""/>
    <m/>
    <s v=""/>
    <n v="46.771849000000003"/>
    <n v="8.6285860000000003"/>
    <s v="Uri"/>
    <n v="4"/>
    <n v="5"/>
    <n v="0"/>
    <n v="33.06"/>
    <m/>
  </r>
  <r>
    <x v="25"/>
    <d v="1899-12-30T03:00:00"/>
    <x v="9"/>
    <m/>
    <n v="1572"/>
    <n v="28"/>
    <n v="211"/>
    <n v="24"/>
    <m/>
    <n v="70"/>
    <n v="22"/>
    <s v="https://www.vd.ch/toutes-les-actualites/hotline-et-informations-sur-le-coronavirus/point-de-situation-statistique-dans-le-canton-de-vaud/"/>
    <m/>
    <s v=""/>
    <m/>
    <s v=""/>
    <m/>
    <s v=""/>
    <n v="46.570090999999998"/>
    <n v="6.5578090000000007"/>
    <s v="Vaud"/>
    <n v="22"/>
    <n v="174"/>
    <n v="3"/>
    <n v="198.21"/>
    <n v="2.774"/>
  </r>
  <r>
    <x v="25"/>
    <d v="1899-12-30T03:00:00"/>
    <x v="10"/>
    <m/>
    <n v="498"/>
    <n v="10"/>
    <n v="83"/>
    <n v="8"/>
    <n v="6"/>
    <n v="3"/>
    <n v="10"/>
    <s v="https://www.vs.ch/documents/6756452/7008787/2020%2004%2012%20Sit%20Epid%20-%20%C3%89tat%20Stand"/>
    <m/>
    <s v=""/>
    <m/>
    <s v=""/>
    <m/>
    <s v=""/>
    <n v="46.209567"/>
    <n v="7.6046589999999998"/>
    <s v="Valais/Wallis"/>
    <n v="23"/>
    <n v="62"/>
    <n v="3"/>
    <n v="145.83000000000001"/>
    <n v="2.9279999999999999"/>
  </r>
  <r>
    <x v="25"/>
    <d v="1899-12-30T08:00:00"/>
    <x v="11"/>
    <m/>
    <n v="53"/>
    <n v="0"/>
    <n v="3"/>
    <n v="0"/>
    <m/>
    <n v="5"/>
    <n v="0"/>
    <s v="https://www.zg.ch/behoerden/gesundheitsdirektion/statistikfachstelle/themen/gesundheit/corona"/>
    <m/>
    <s v=""/>
    <m/>
    <s v=""/>
    <m/>
    <s v=""/>
    <n v="47.157296000000002"/>
    <n v="8.5372939999999993"/>
    <s v="Zug"/>
    <n v="9"/>
    <n v="0"/>
    <n v="0"/>
    <n v="42.26"/>
    <n v="0"/>
  </r>
  <r>
    <x v="25"/>
    <d v="1899-12-30T14:30:00"/>
    <x v="5"/>
    <m/>
    <n v="712"/>
    <n v="5"/>
    <n v="83"/>
    <m/>
    <n v="23"/>
    <m/>
    <n v="5"/>
    <s v="https://gd.zh.ch/internet/gesundheitsdirektion/de/themen/coronavirus.html"/>
    <m/>
    <s v=""/>
    <m/>
    <s v=""/>
    <m/>
    <s v=""/>
    <n v="47.412750000000003"/>
    <n v="8.6550799999999999"/>
    <s v="Zürich"/>
    <n v="1"/>
    <n v="0"/>
    <n v="1"/>
    <n v="47.33"/>
    <n v="0.33200000000000002"/>
  </r>
  <r>
    <x v="26"/>
    <d v="1899-12-30T12:00:00"/>
    <x v="6"/>
    <m/>
    <n v="232"/>
    <n v="0"/>
    <n v="25"/>
    <n v="4"/>
    <n v="2"/>
    <n v="4"/>
    <n v="1"/>
    <s v="https://www.ag.ch/de/aktuelles/medienportal/medienmitteilung/medienmitteilungen/mediendetails_139237.jsp"/>
    <m/>
    <s v=""/>
    <m/>
    <s v=""/>
    <m/>
    <s v=""/>
    <n v="47.409660000000002"/>
    <n v="8.1568799999999992"/>
    <s v="Aargau"/>
    <n v="1"/>
    <n v="64"/>
    <n v="0"/>
    <n v="34.58"/>
    <n v="0.14899999999999999"/>
  </r>
  <r>
    <x v="26"/>
    <d v="1899-12-30T03:00:00"/>
    <x v="8"/>
    <m/>
    <n v="289"/>
    <n v="10"/>
    <n v="40"/>
    <n v="7"/>
    <m/>
    <n v="21"/>
    <n v="3"/>
    <s v="https://www.baselland.ch/politik-und-behorden/direktionen/volkswirtschafts-und-gesundheitsdirektion/medienmitteilungen/update-289-bestaetigte-faelle-in-basel-landschaft"/>
    <m/>
    <s v=""/>
    <m/>
    <s v=""/>
    <m/>
    <s v=""/>
    <n v="47.45176"/>
    <n v="7.7024140000000001"/>
    <s v="Basel-Landschaft"/>
    <n v="13"/>
    <n v="7"/>
    <n v="0"/>
    <n v="100.7"/>
    <n v="1.0449999999999999"/>
  </r>
  <r>
    <x v="26"/>
    <d v="1899-12-30T10:30:00"/>
    <x v="2"/>
    <n v="235"/>
    <n v="358"/>
    <n v="4"/>
    <n v="50"/>
    <n v="2"/>
    <m/>
    <n v="73"/>
    <n v="5"/>
    <s v="https://www.coronavirus.bs.ch/nm/2020-tagesbulletin-coronavirus-358-bestaetigte-faelle-im-kanton-basel-stadt-gd.html"/>
    <n v="265"/>
    <s v=""/>
    <m/>
    <s v=""/>
    <m/>
    <s v=""/>
    <n v="47.564869000000002"/>
    <n v="7.615259"/>
    <s v="Basel-Stadt"/>
    <n v="12"/>
    <n v="59"/>
    <n v="0"/>
    <n v="184.63"/>
    <n v="2.5790000000000002"/>
  </r>
  <r>
    <x v="26"/>
    <d v="1899-12-30T03:00:00"/>
    <x v="3"/>
    <n v="99"/>
    <n v="46"/>
    <n v="0"/>
    <m/>
    <m/>
    <m/>
    <n v="1"/>
    <m/>
    <s v="https://www.regierung.li/media/attachments/139-46-faelle-0322.pdf?t=637204971345932209"/>
    <m/>
    <s v=""/>
    <m/>
    <s v=""/>
    <m/>
    <s v=""/>
    <n v="47.166666999999997"/>
    <n v="9.509722"/>
    <s v="Fürstentum Lichtenstein"/>
    <n v="0"/>
    <n v="2"/>
    <n v="0"/>
    <n v="119.17"/>
    <m/>
  </r>
  <r>
    <x v="26"/>
    <d v="1899-12-30T03:00:00"/>
    <x v="12"/>
    <n v="30"/>
    <n v="202"/>
    <n v="4"/>
    <n v="32"/>
    <n v="8"/>
    <m/>
    <m/>
    <n v="3"/>
    <s v="https://www.fr.ch/covid19/sante/covid-19/coronavirus-statistiques-evolution-de-la-situation-dans-le-canton"/>
    <m/>
    <s v=""/>
    <m/>
    <s v=""/>
    <m/>
    <s v=""/>
    <n v="46.718390999999997"/>
    <n v="7.0740080000000001"/>
    <s v="Fribourg"/>
    <n v="10"/>
    <n v="35"/>
    <n v="1"/>
    <n v="64.11"/>
    <n v="0.95199999999999996"/>
  </r>
  <r>
    <x v="26"/>
    <d v="1899-12-30T03:00:00"/>
    <x v="0"/>
    <n v="7268"/>
    <n v="1424"/>
    <n v="34"/>
    <n v="179"/>
    <n v="36"/>
    <n v="36"/>
    <m/>
    <n v="9"/>
    <s v="https://www.ge.ch/document/covid-19-situation-epidemiologique-geneve/telecharger"/>
    <m/>
    <s v=""/>
    <m/>
    <s v=""/>
    <n v="6"/>
    <s v="4.0"/>
    <n v="46.220528000000002"/>
    <n v="6.1329349999999998"/>
    <s v="Genève"/>
    <n v="25"/>
    <n v="143"/>
    <n v="1"/>
    <n v="287.56"/>
    <n v="1.8169999999999999"/>
  </r>
  <r>
    <x v="26"/>
    <d v="1899-12-30T13:30:00"/>
    <x v="13"/>
    <m/>
    <n v="31"/>
    <n v="0"/>
    <n v="3"/>
    <m/>
    <m/>
    <m/>
    <m/>
    <s v="https://www.gl.ch/verwaltung/finanzen-und-gesundheit/gesundheit/coronavirus.html/4817#Fallzahlen"/>
    <m/>
    <s v=""/>
    <m/>
    <s v=""/>
    <m/>
    <s v=""/>
    <n v="46.931042000000005"/>
    <n v="9.0657510000000006"/>
    <s v="Glarus"/>
    <n v="8"/>
    <n v="14"/>
    <n v="0"/>
    <n v="76.92"/>
    <m/>
  </r>
  <r>
    <x v="26"/>
    <d v="1899-12-30T03:00:00"/>
    <x v="26"/>
    <m/>
    <n v="266"/>
    <n v="3"/>
    <n v="27"/>
    <m/>
    <m/>
    <m/>
    <n v="6"/>
    <s v="https://www.gr.ch/DE/institutionen/verwaltung/djsg/ga/coronavirus/info/Seiten/Start.aspx"/>
    <m/>
    <s v=""/>
    <m/>
    <s v=""/>
    <m/>
    <s v=""/>
    <n v="46.656247999999998"/>
    <n v="9.6281979999999994"/>
    <s v="Graubünden/Grigioni"/>
    <n v="1"/>
    <n v="27"/>
    <n v="3"/>
    <n v="134.41"/>
    <n v="3.032"/>
  </r>
  <r>
    <x v="26"/>
    <d v="1899-12-30T17:00:00"/>
    <x v="4"/>
    <m/>
    <n v="61"/>
    <n v="5"/>
    <n v="18"/>
    <n v="2"/>
    <m/>
    <m/>
    <m/>
    <s v="https://www.jura.ch/fr/Autorites/Coronavirus/Chiffres-H-JU/Evolution-des-cas-COVID-19-dans-le-Jura.html"/>
    <m/>
    <s v=""/>
    <m/>
    <s v=""/>
    <m/>
    <s v=""/>
    <n v="47.350743999999999"/>
    <n v="7.1561070000000004"/>
    <s v="Jura"/>
    <n v="26"/>
    <n v="7"/>
    <n v="0"/>
    <n v="83.22"/>
    <m/>
  </r>
  <r>
    <x v="26"/>
    <d v="1899-12-30T11:00:00"/>
    <x v="17"/>
    <m/>
    <n v="131"/>
    <n v="0"/>
    <m/>
    <m/>
    <m/>
    <m/>
    <n v="1"/>
    <s v="https://gesundheit.lu.ch/themen/Humanmedizin/Infektionskrankheiten/Coronavirus"/>
    <m/>
    <s v=""/>
    <m/>
    <s v=""/>
    <m/>
    <s v=""/>
    <n v="47.067762999999999"/>
    <n v="8.1102000000000007"/>
    <s v="Luzern"/>
    <n v="3"/>
    <n v="22"/>
    <n v="0"/>
    <n v="32.229999999999997"/>
    <n v="0.246"/>
  </r>
  <r>
    <x v="26"/>
    <d v="1899-12-30T15:00:00"/>
    <x v="14"/>
    <m/>
    <n v="216"/>
    <n v="8"/>
    <n v="28"/>
    <n v="6"/>
    <m/>
    <m/>
    <n v="4"/>
    <s v="https://www.ne.ch/autorites/DFS/SCSP/medecin-cantonal/maladies-vaccinations/Documents/Covid-19-Statistiques/COVID19_PublicationInternet.pdf"/>
    <m/>
    <s v=""/>
    <m/>
    <s v=""/>
    <m/>
    <s v=""/>
    <n v="46.995533999999999"/>
    <n v="6.7801260000000001"/>
    <s v="Neuchâtel"/>
    <n v="24"/>
    <n v="16"/>
    <n v="0"/>
    <n v="121.35"/>
    <n v="2.2469999999999999"/>
  </r>
  <r>
    <x v="26"/>
    <d v="1899-12-30T16:25:00"/>
    <x v="20"/>
    <m/>
    <n v="36"/>
    <n v="0"/>
    <m/>
    <m/>
    <m/>
    <m/>
    <m/>
    <s v="https://www.nw.ch/gesundheitsamtdienste/6044"/>
    <m/>
    <s v=""/>
    <m/>
    <s v=""/>
    <m/>
    <s v=""/>
    <n v="46.926755"/>
    <n v="8.4053020000000007"/>
    <s v="Nidwalden"/>
    <n v="7"/>
    <n v="3"/>
    <n v="0"/>
    <n v="83.72"/>
    <m/>
  </r>
  <r>
    <x v="26"/>
    <d v="1899-12-30T03:00:00"/>
    <x v="21"/>
    <m/>
    <n v="30"/>
    <n v="0"/>
    <m/>
    <m/>
    <m/>
    <m/>
    <n v="0"/>
    <s v="https://sh.ch/CMS/Webseite/Kanton-Schaffhausen/Beh-rde/Verwaltung/Departement-des-Innern/Gesundheitsamt-3209198-DE.html"/>
    <m/>
    <s v=""/>
    <m/>
    <s v=""/>
    <m/>
    <s v=""/>
    <n v="47.713569999999997"/>
    <n v="8.5916700000000006"/>
    <s v="Schaffhausen"/>
    <n v="14"/>
    <n v="2"/>
    <n v="0"/>
    <n v="36.86"/>
    <n v="0"/>
  </r>
  <r>
    <x v="26"/>
    <d v="1899-12-30T03:00:00"/>
    <x v="25"/>
    <n v="276"/>
    <n v="75"/>
    <n v="0"/>
    <m/>
    <m/>
    <m/>
    <m/>
    <m/>
    <s v="https://www.tg.ch/news/fachdossier-coronavirus.html/10552"/>
    <m/>
    <s v=""/>
    <m/>
    <s v=""/>
    <m/>
    <s v=""/>
    <n v="47.568714999999997"/>
    <n v="9.0919570000000007"/>
    <s v="Thurgau"/>
    <n v="1"/>
    <n v="19"/>
    <n v="0"/>
    <n v="27.39"/>
    <m/>
  </r>
  <r>
    <x v="26"/>
    <d v="1899-12-30T08:00:00"/>
    <x v="1"/>
    <m/>
    <n v="939"/>
    <n v="62"/>
    <n v="246"/>
    <n v="46"/>
    <n v="43"/>
    <m/>
    <n v="37"/>
    <s v="https://web.archive.org/web/20200322153528/https://www4.ti.ch/dss/dsp/covid19/home/"/>
    <m/>
    <s v=""/>
    <m/>
    <s v="43.0"/>
    <m/>
    <s v=""/>
    <n v="46.295617"/>
    <n v="8.8089239999999993"/>
    <s v="Ticino"/>
    <n v="21"/>
    <n v="21"/>
    <n v="9"/>
    <n v="265.48"/>
    <n v="10.461"/>
  </r>
  <r>
    <x v="26"/>
    <d v="1899-12-30T03:00:00"/>
    <x v="9"/>
    <m/>
    <n v="1799"/>
    <n v="20"/>
    <n v="231"/>
    <n v="31"/>
    <m/>
    <n v="75"/>
    <n v="24"/>
    <s v="https://www.vd.ch/toutes-les-actualites/hotline-et-informations-sur-le-coronavirus/point-de-situation-statistique-dans-le-canton-de-vaud/"/>
    <m/>
    <s v=""/>
    <m/>
    <s v=""/>
    <m/>
    <s v=""/>
    <n v="46.570090999999998"/>
    <n v="6.5578090000000007"/>
    <s v="Vaud"/>
    <n v="22"/>
    <n v="227"/>
    <n v="2"/>
    <n v="226.83"/>
    <n v="3.0259999999999998"/>
  </r>
  <r>
    <x v="26"/>
    <d v="1899-12-30T03:00:00"/>
    <x v="10"/>
    <m/>
    <n v="535"/>
    <n v="9"/>
    <n v="92"/>
    <n v="11"/>
    <n v="7"/>
    <n v="3"/>
    <n v="11"/>
    <s v="https://www.vs.ch/documents/6756452/7008787/2020%2004%2012%20Sit%20Epid%20-%20%C3%89tat%20Stand"/>
    <m/>
    <s v=""/>
    <m/>
    <s v=""/>
    <m/>
    <s v=""/>
    <n v="46.209567"/>
    <n v="7.6046589999999998"/>
    <s v="Valais/Wallis"/>
    <n v="23"/>
    <n v="37"/>
    <n v="1"/>
    <n v="156.66"/>
    <n v="3.2210000000000001"/>
  </r>
  <r>
    <x v="26"/>
    <d v="1899-12-30T08:00:00"/>
    <x v="11"/>
    <m/>
    <n v="53"/>
    <n v="0"/>
    <n v="3"/>
    <n v="0"/>
    <m/>
    <n v="5"/>
    <n v="0"/>
    <s v="https://www.zg.ch/behoerden/gesundheitsdirektion/statistikfachstelle/themen/gesundheit/corona"/>
    <m/>
    <s v=""/>
    <m/>
    <s v=""/>
    <m/>
    <s v=""/>
    <n v="47.157296000000002"/>
    <n v="8.5372939999999993"/>
    <s v="Zug"/>
    <n v="9"/>
    <n v="0"/>
    <n v="0"/>
    <n v="42.26"/>
    <n v="0"/>
  </r>
  <r>
    <x v="26"/>
    <d v="1899-12-30T14:30:00"/>
    <x v="5"/>
    <m/>
    <n v="712"/>
    <n v="27"/>
    <n v="110"/>
    <m/>
    <n v="22"/>
    <m/>
    <n v="6"/>
    <s v="https://gd.zh.ch/internet/gesundheitsdirektion/de/themen/coronavirus.html"/>
    <m/>
    <s v=""/>
    <m/>
    <s v=""/>
    <m/>
    <s v=""/>
    <n v="47.412750000000003"/>
    <n v="8.6550799999999999"/>
    <s v="Zürich"/>
    <n v="1"/>
    <n v="0"/>
    <n v="1"/>
    <n v="47.33"/>
    <n v="0.39900000000000002"/>
  </r>
  <r>
    <x v="27"/>
    <d v="1899-12-30T15:00:00"/>
    <x v="6"/>
    <m/>
    <n v="241"/>
    <n v="0"/>
    <n v="10"/>
    <n v="3"/>
    <n v="2"/>
    <n v="4"/>
    <n v="1"/>
    <s v="https://www.ag.ch/media/kanton_aargau/themen_1/coronavirus_1/lagebulletins/200323_KFS_Coronavirus_Lagebulletin_17.pdf"/>
    <m/>
    <s v=""/>
    <m/>
    <s v=""/>
    <m/>
    <s v=""/>
    <n v="47.409660000000002"/>
    <n v="8.1568799999999992"/>
    <s v="Aargau"/>
    <n v="1"/>
    <n v="9"/>
    <n v="0"/>
    <n v="35.92"/>
    <n v="0.14899999999999999"/>
  </r>
  <r>
    <x v="27"/>
    <d v="1899-12-30T10:00:00"/>
    <x v="18"/>
    <m/>
    <n v="30"/>
    <n v="0"/>
    <n v="7"/>
    <m/>
    <m/>
    <m/>
    <n v="1"/>
    <s v="https://www.ar.ch/verwaltung/departement-gesundheit-und-soziales/amt-fuer-gesundheit/informationsseite-coronavirus/"/>
    <m/>
    <s v=""/>
    <m/>
    <s v=""/>
    <m/>
    <s v=""/>
    <n v="47.416351999999996"/>
    <n v="9.3679100000000002"/>
    <s v="Appenzell Ausserrhoden"/>
    <n v="15"/>
    <n v="0"/>
    <n v="0"/>
    <n v="54.35"/>
    <n v="1.8120000000000001"/>
  </r>
  <r>
    <x v="27"/>
    <d v="1899-12-30T03:00:00"/>
    <x v="7"/>
    <m/>
    <n v="470"/>
    <n v="0"/>
    <m/>
    <m/>
    <m/>
    <m/>
    <n v="5"/>
    <s v="https://www.besondere-lage.sites.be.ch/besondere-lage_sites/de/index/corona/index.html"/>
    <m/>
    <s v=""/>
    <m/>
    <s v=""/>
    <m/>
    <s v=""/>
    <n v="46.823608"/>
    <n v="7.6366670000000001"/>
    <s v="Bern/Berne"/>
    <n v="2"/>
    <n v="52"/>
    <n v="2"/>
    <n v="45.58"/>
    <n v="0.48499999999999999"/>
  </r>
  <r>
    <x v="27"/>
    <d v="1899-12-30T03:00:00"/>
    <x v="8"/>
    <m/>
    <n v="302"/>
    <n v="11"/>
    <n v="51"/>
    <n v="10"/>
    <m/>
    <n v="35"/>
    <n v="3"/>
    <s v="https://www.baselland.ch/politik-und-behorden/direktionen/volkswirtschafts-und-gesundheitsdirektion/medienmitteilungen/update-289-bestaetigte-faelle-in-basel-landschaft-1"/>
    <m/>
    <s v=""/>
    <m/>
    <s v=""/>
    <m/>
    <s v=""/>
    <n v="47.45176"/>
    <n v="7.7024140000000001"/>
    <s v="Basel-Landschaft"/>
    <n v="13"/>
    <n v="13"/>
    <n v="0"/>
    <n v="105.23"/>
    <n v="1.0449999999999999"/>
  </r>
  <r>
    <x v="27"/>
    <d v="1899-12-30T10:00:00"/>
    <x v="2"/>
    <n v="235"/>
    <n v="376"/>
    <n v="6"/>
    <n v="56"/>
    <n v="2"/>
    <m/>
    <n v="78"/>
    <n v="5"/>
    <s v="https://www.coronavirus.bs.ch/nm/2020-tagesbulletin-coronavirus-376-bestaetigte-faelle-im-kanton-basel-stadt-gd.html"/>
    <n v="276"/>
    <s v=""/>
    <m/>
    <s v=""/>
    <m/>
    <s v=""/>
    <n v="47.564869000000002"/>
    <n v="7.615259"/>
    <s v="Basel-Stadt"/>
    <n v="12"/>
    <n v="18"/>
    <n v="0"/>
    <n v="193.91"/>
    <n v="2.5790000000000002"/>
  </r>
  <r>
    <x v="27"/>
    <d v="1899-12-30T18:00:00"/>
    <x v="3"/>
    <n v="99"/>
    <n v="51"/>
    <n v="0"/>
    <m/>
    <m/>
    <m/>
    <n v="1"/>
    <m/>
    <s v="https://www.regierung.li/media/attachments/140-corona-regierung-0323.pdf?t=637205847493377066"/>
    <m/>
    <s v=""/>
    <m/>
    <s v=""/>
    <m/>
    <s v=""/>
    <n v="47.166666999999997"/>
    <n v="9.509722"/>
    <s v="Fürstentum Lichtenstein"/>
    <n v="0"/>
    <n v="5"/>
    <n v="0"/>
    <n v="132.12"/>
    <m/>
  </r>
  <r>
    <x v="27"/>
    <d v="1899-12-30T03:00:00"/>
    <x v="12"/>
    <n v="30"/>
    <n v="226"/>
    <n v="3"/>
    <n v="35"/>
    <n v="7"/>
    <m/>
    <m/>
    <n v="4"/>
    <s v="https://www.fr.ch/covid19/sante/covid-19/coronavirus-statistiques-evolution-de-la-situation-dans-le-canton"/>
    <m/>
    <s v=""/>
    <m/>
    <s v=""/>
    <m/>
    <s v=""/>
    <n v="46.718390999999997"/>
    <n v="7.0740080000000001"/>
    <s v="Fribourg"/>
    <n v="10"/>
    <n v="24"/>
    <n v="1"/>
    <n v="71.72"/>
    <n v="1.2689999999999999"/>
  </r>
  <r>
    <x v="27"/>
    <d v="1899-12-30T03:00:00"/>
    <x v="0"/>
    <n v="7664"/>
    <n v="1571"/>
    <n v="35"/>
    <n v="214"/>
    <n v="43"/>
    <n v="41"/>
    <m/>
    <n v="14"/>
    <s v="https://www.ge.ch/document/covid-19-situation-epidemiologique-geneve/telecharger"/>
    <m/>
    <s v=""/>
    <m/>
    <s v=""/>
    <n v="11"/>
    <s v=""/>
    <n v="46.220528000000002"/>
    <n v="6.1329349999999998"/>
    <s v="Genève"/>
    <n v="25"/>
    <n v="147"/>
    <n v="5"/>
    <n v="317.25"/>
    <n v="2.827"/>
  </r>
  <r>
    <x v="27"/>
    <d v="1899-12-30T18:00:00"/>
    <x v="4"/>
    <m/>
    <n v="69"/>
    <n v="0"/>
    <n v="18"/>
    <n v="3"/>
    <m/>
    <m/>
    <m/>
    <s v="https://www.jura.ch/fr/Autorites/Coronavirus/Chiffres-H-JU/Evolution-des-cas-COVID-19-dans-le-Jura.html"/>
    <m/>
    <s v=""/>
    <m/>
    <s v=""/>
    <m/>
    <s v=""/>
    <n v="47.350743999999999"/>
    <n v="7.1561070000000004"/>
    <s v="Jura"/>
    <n v="26"/>
    <n v="8"/>
    <n v="0"/>
    <n v="94.13"/>
    <m/>
  </r>
  <r>
    <x v="27"/>
    <d v="1899-12-30T11:00:00"/>
    <x v="17"/>
    <m/>
    <n v="156"/>
    <n v="0"/>
    <m/>
    <m/>
    <m/>
    <m/>
    <n v="1"/>
    <s v="https://gesundheit.lu.ch/themen/Humanmedizin/Infektionskrankheiten/Coronavirus"/>
    <m/>
    <s v=""/>
    <m/>
    <s v=""/>
    <m/>
    <s v=""/>
    <n v="47.067762999999999"/>
    <n v="8.1102000000000007"/>
    <s v="Luzern"/>
    <n v="3"/>
    <n v="25"/>
    <n v="0"/>
    <n v="38.380000000000003"/>
    <n v="0.246"/>
  </r>
  <r>
    <x v="27"/>
    <d v="1899-12-30T15:00:00"/>
    <x v="14"/>
    <m/>
    <n v="247"/>
    <n v="5"/>
    <n v="33"/>
    <n v="11"/>
    <n v="6"/>
    <m/>
    <n v="5"/>
    <s v="https://www.ne.ch/autorites/DFS/SCSP/medecin-cantonal/maladies-vaccinations/Documents/Covid-19-Statistiques/COVID19_PublicationInternet.pdf"/>
    <m/>
    <s v=""/>
    <m/>
    <s v=""/>
    <m/>
    <s v=""/>
    <n v="46.995533999999999"/>
    <n v="6.7801260000000001"/>
    <s v="Neuchâtel"/>
    <n v="24"/>
    <n v="31"/>
    <n v="1"/>
    <n v="138.76"/>
    <n v="2.8090000000000002"/>
  </r>
  <r>
    <x v="27"/>
    <d v="1899-12-30T19:00:00"/>
    <x v="20"/>
    <m/>
    <n v="39"/>
    <n v="0"/>
    <m/>
    <m/>
    <m/>
    <m/>
    <m/>
    <s v="https://www.nw.ch/gesundheitsamtdienste/6044"/>
    <m/>
    <s v=""/>
    <m/>
    <s v=""/>
    <m/>
    <s v=""/>
    <n v="46.926755"/>
    <n v="8.4053020000000007"/>
    <s v="Nidwalden"/>
    <n v="7"/>
    <n v="3"/>
    <n v="0"/>
    <n v="90.7"/>
    <m/>
  </r>
  <r>
    <x v="27"/>
    <d v="1899-12-30T03:00:00"/>
    <x v="23"/>
    <n v="6"/>
    <n v="25"/>
    <n v="0"/>
    <m/>
    <m/>
    <m/>
    <m/>
    <m/>
    <s v="https://www.ow.ch/de/verwaltung/dienstleistungen/?dienst_id=5962"/>
    <m/>
    <s v=""/>
    <m/>
    <s v=""/>
    <m/>
    <s v=""/>
    <n v="46.804527"/>
    <n v="8.1443170000000009"/>
    <s v="Obwalden"/>
    <n v="6"/>
    <n v="24"/>
    <n v="0"/>
    <n v="66.489999999999995"/>
    <m/>
  </r>
  <r>
    <x v="27"/>
    <d v="1899-12-30T03:00:00"/>
    <x v="15"/>
    <m/>
    <n v="228"/>
    <n v="0"/>
    <m/>
    <m/>
    <m/>
    <m/>
    <n v="1"/>
    <s v="https://www.sg.ch/tools/informationen-coronavirus.html"/>
    <m/>
    <s v=""/>
    <m/>
    <s v=""/>
    <m/>
    <s v=""/>
    <n v="47.183199999999999"/>
    <n v="9.2747440000000001"/>
    <s v="St. Gallen"/>
    <n v="17"/>
    <n v="130"/>
    <n v="0"/>
    <n v="45.18"/>
    <n v="0.19800000000000001"/>
  </r>
  <r>
    <x v="27"/>
    <d v="1899-12-30T03:00:00"/>
    <x v="21"/>
    <m/>
    <n v="32"/>
    <n v="0"/>
    <m/>
    <m/>
    <m/>
    <m/>
    <n v="0"/>
    <s v="https://sh.ch/CMS/Webseite/Kanton-Schaffhausen/Beh-rde/Verwaltung/Departement-des-Innern/Gesundheitsamt-3209198-DE.html"/>
    <m/>
    <s v=""/>
    <m/>
    <s v=""/>
    <m/>
    <s v=""/>
    <n v="47.713569999999997"/>
    <n v="8.5916700000000006"/>
    <s v="Schaffhausen"/>
    <n v="14"/>
    <n v="2"/>
    <n v="0"/>
    <n v="39.31"/>
    <n v="0"/>
  </r>
  <r>
    <x v="27"/>
    <d v="1899-12-30T12:00:00"/>
    <x v="19"/>
    <m/>
    <n v="95"/>
    <n v="0"/>
    <m/>
    <m/>
    <m/>
    <m/>
    <n v="1"/>
    <s v="https://corona.so.ch/"/>
    <m/>
    <s v=""/>
    <m/>
    <s v=""/>
    <m/>
    <s v=""/>
    <n v="47.304135000000002"/>
    <n v="7.6393880000000003"/>
    <s v="Solothurn"/>
    <n v="11"/>
    <n v="29"/>
    <n v="0"/>
    <n v="35"/>
    <n v="0.36799999999999999"/>
  </r>
  <r>
    <x v="27"/>
    <d v="1899-12-30T03:00:00"/>
    <x v="25"/>
    <n v="276"/>
    <n v="81"/>
    <n v="0"/>
    <m/>
    <m/>
    <m/>
    <m/>
    <m/>
    <s v="https://www.tg.ch/news/fachdossier-coronavirus.html/10552"/>
    <m/>
    <s v=""/>
    <m/>
    <s v=""/>
    <m/>
    <s v=""/>
    <n v="47.568714999999997"/>
    <n v="9.0919570000000007"/>
    <s v="Thurgau"/>
    <n v="1"/>
    <n v="6"/>
    <n v="0"/>
    <n v="29.58"/>
    <m/>
  </r>
  <r>
    <x v="27"/>
    <d v="1899-12-30T08:00:00"/>
    <x v="1"/>
    <m/>
    <n v="1165"/>
    <n v="15"/>
    <n v="261"/>
    <n v="45"/>
    <n v="43"/>
    <m/>
    <n v="48"/>
    <s v="https://www4.ti.ch/area-media/comunicati/dettaglio-comunicato/?NEWS_ID=187510&amp;tx_tichareamedia_comunicazioni%5Baction%5D=show&amp;tx_tichareamedia_comunicazioni%5Bcontroller%5D=Comunicazioni&amp;cHash=0120f665ab49651b9d66c876ef272a91"/>
    <m/>
    <s v=""/>
    <m/>
    <s v="43.0"/>
    <m/>
    <s v=""/>
    <n v="46.295617"/>
    <n v="8.8089239999999993"/>
    <s v="Ticino"/>
    <n v="21"/>
    <n v="226"/>
    <n v="11"/>
    <n v="329.38"/>
    <n v="13.571"/>
  </r>
  <r>
    <x v="27"/>
    <d v="1899-12-30T03:00:00"/>
    <x v="22"/>
    <n v="85"/>
    <n v="22"/>
    <n v="0"/>
    <n v="1"/>
    <m/>
    <m/>
    <n v="1"/>
    <m/>
    <s v="https://www.ur.ch/themen/2920"/>
    <m/>
    <s v=""/>
    <m/>
    <s v=""/>
    <m/>
    <s v=""/>
    <n v="46.771849000000003"/>
    <n v="8.6285860000000003"/>
    <s v="Uri"/>
    <n v="4"/>
    <n v="10"/>
    <n v="0"/>
    <n v="60.61"/>
    <m/>
  </r>
  <r>
    <x v="27"/>
    <d v="1899-12-30T03:00:00"/>
    <x v="9"/>
    <m/>
    <n v="1845"/>
    <n v="18"/>
    <n v="249"/>
    <n v="40"/>
    <m/>
    <n v="91"/>
    <n v="28"/>
    <s v="https://www.vd.ch/toutes-les-actualites/hotline-et-informations-sur-le-coronavirus/point-de-situation-statistique-dans-le-canton-de-vaud/"/>
    <m/>
    <s v=""/>
    <m/>
    <s v=""/>
    <m/>
    <s v=""/>
    <n v="46.570090999999998"/>
    <n v="6.5578090000000007"/>
    <s v="Vaud"/>
    <n v="22"/>
    <n v="46"/>
    <n v="4"/>
    <n v="232.63"/>
    <n v="3.53"/>
  </r>
  <r>
    <x v="27"/>
    <d v="1899-12-30T03:00:00"/>
    <x v="10"/>
    <m/>
    <n v="628"/>
    <n v="12"/>
    <n v="104"/>
    <n v="12"/>
    <n v="9"/>
    <n v="3"/>
    <n v="13"/>
    <s v="https://www.vs.ch/documents/6756452/7008787/2020%2004%2012%20Sit%20Epid%20-%20%C3%89tat%20Stand"/>
    <m/>
    <s v=""/>
    <m/>
    <s v=""/>
    <m/>
    <s v=""/>
    <n v="46.209567"/>
    <n v="7.6046589999999998"/>
    <s v="Valais/Wallis"/>
    <n v="23"/>
    <n v="93"/>
    <n v="2"/>
    <n v="183.89"/>
    <n v="3.8069999999999999"/>
  </r>
  <r>
    <x v="27"/>
    <d v="1899-12-30T08:00:00"/>
    <x v="11"/>
    <m/>
    <n v="72"/>
    <n v="3"/>
    <n v="6"/>
    <n v="0"/>
    <m/>
    <n v="5"/>
    <n v="0"/>
    <s v="https://www.zg.ch/behoerden/gesundheitsdirektion/statistikfachstelle/themen/gesundheit/corona"/>
    <m/>
    <s v=""/>
    <m/>
    <s v=""/>
    <m/>
    <s v=""/>
    <n v="47.157296000000002"/>
    <n v="8.5372939999999993"/>
    <s v="Zug"/>
    <n v="9"/>
    <n v="19"/>
    <n v="0"/>
    <n v="57.42"/>
    <n v="0"/>
  </r>
  <r>
    <x v="27"/>
    <d v="1899-12-30T14:30:00"/>
    <x v="5"/>
    <m/>
    <n v="1076"/>
    <n v="17"/>
    <n v="127"/>
    <m/>
    <n v="27"/>
    <m/>
    <n v="6"/>
    <s v="https://gd.zh.ch/internet/gesundheitsdirektion/de/themen/coronavirus.html"/>
    <m/>
    <s v=""/>
    <m/>
    <s v=""/>
    <m/>
    <s v=""/>
    <n v="47.412750000000003"/>
    <n v="8.6550799999999999"/>
    <s v="Zürich"/>
    <n v="1"/>
    <n v="364"/>
    <n v="0"/>
    <n v="71.53"/>
    <n v="0.39900000000000002"/>
  </r>
  <r>
    <x v="28"/>
    <d v="1899-12-30T15:00:00"/>
    <x v="6"/>
    <m/>
    <n v="266"/>
    <n v="14"/>
    <n v="24"/>
    <n v="2"/>
    <n v="2"/>
    <n v="4"/>
    <n v="2"/>
    <s v="https://www.ag.ch/media/kanton_aargau/themen_1/coronavirus_1/lagebulletins/200324_KFS_Coronavirus_Lagebulletin_18.pdf"/>
    <m/>
    <s v=""/>
    <m/>
    <s v=""/>
    <m/>
    <s v=""/>
    <n v="47.409660000000002"/>
    <n v="8.1568799999999992"/>
    <s v="Aargau"/>
    <n v="1"/>
    <n v="25"/>
    <n v="1"/>
    <n v="39.64"/>
    <n v="0.29799999999999999"/>
  </r>
  <r>
    <x v="28"/>
    <d v="1899-12-30T17:00:00"/>
    <x v="24"/>
    <m/>
    <n v="8"/>
    <n v="0"/>
    <n v="1"/>
    <m/>
    <m/>
    <m/>
    <m/>
    <s v="https://www.ai.ch/themen/gesundheit-alter-und-soziales/gesundheitsfoerderung-und-praevention/uebertragbare-krankheiten/coronavirus"/>
    <m/>
    <s v=""/>
    <m/>
    <s v=""/>
    <m/>
    <s v=""/>
    <n v="47.317264000000002"/>
    <n v="9.4167539999999992"/>
    <s v="Appenzell Innerrhoden"/>
    <n v="16"/>
    <n v="2"/>
    <n v="0"/>
    <n v="49.69"/>
    <m/>
  </r>
  <r>
    <x v="28"/>
    <d v="1899-12-30T10:00:00"/>
    <x v="18"/>
    <m/>
    <n v="33"/>
    <n v="-1"/>
    <n v="6"/>
    <m/>
    <m/>
    <m/>
    <n v="2"/>
    <s v="https://www.ar.ch/verwaltung/departement-gesundheit-und-soziales/amt-fuer-gesundheit/informationsseite-coronavirus/"/>
    <m/>
    <s v=""/>
    <m/>
    <s v=""/>
    <m/>
    <s v=""/>
    <n v="47.416351999999996"/>
    <n v="9.3679100000000002"/>
    <s v="Appenzell Ausserrhoden"/>
    <n v="15"/>
    <n v="3"/>
    <n v="1"/>
    <n v="59.78"/>
    <n v="3.6230000000000002"/>
  </r>
  <r>
    <x v="28"/>
    <d v="1899-12-30T03:00:00"/>
    <x v="7"/>
    <m/>
    <n v="532"/>
    <n v="0"/>
    <m/>
    <m/>
    <m/>
    <m/>
    <n v="6"/>
    <s v="https://www.besondere-lage.sites.be.ch/besondere-lage_sites/de/index/corona/index.html"/>
    <m/>
    <s v=""/>
    <m/>
    <s v=""/>
    <m/>
    <s v=""/>
    <n v="46.823608"/>
    <n v="7.6366670000000001"/>
    <s v="Bern/Berne"/>
    <n v="2"/>
    <n v="62"/>
    <n v="1"/>
    <n v="51.6"/>
    <n v="0.58199999999999996"/>
  </r>
  <r>
    <x v="28"/>
    <d v="1899-12-30T03:00:00"/>
    <x v="8"/>
    <m/>
    <n v="306"/>
    <n v="15"/>
    <n v="66"/>
    <n v="11"/>
    <m/>
    <n v="40"/>
    <n v="4"/>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106.62"/>
    <n v="1.3939999999999999"/>
  </r>
  <r>
    <x v="28"/>
    <d v="1899-12-30T09:00:00"/>
    <x v="2"/>
    <n v="235"/>
    <n v="414"/>
    <n v="2"/>
    <n v="58"/>
    <n v="2"/>
    <m/>
    <n v="105"/>
    <n v="5"/>
    <s v="https://www.coronavirus.bs.ch/nm/2020-tagesbulletin-coronavirus-414-bestaetigte-faelle-im-kanton-basel-stadt-gd.html"/>
    <n v="291"/>
    <s v=""/>
    <m/>
    <s v=""/>
    <m/>
    <s v=""/>
    <n v="47.564869000000002"/>
    <n v="7.615259"/>
    <s v="Basel-Stadt"/>
    <n v="12"/>
    <n v="38"/>
    <n v="0"/>
    <n v="213.51"/>
    <n v="2.5790000000000002"/>
  </r>
  <r>
    <x v="28"/>
    <d v="1899-12-30T03:00:00"/>
    <x v="3"/>
    <n v="99"/>
    <n v="51"/>
    <n v="0"/>
    <m/>
    <m/>
    <m/>
    <n v="1"/>
    <m/>
    <s v="https://www.regierung.li/media/attachments/143-coronavirus-praesenz-fernunterricht.pdf?t=637207680400073990"/>
    <m/>
    <s v=""/>
    <m/>
    <s v=""/>
    <m/>
    <s v=""/>
    <n v="47.166666999999997"/>
    <n v="9.509722"/>
    <s v="Fürstentum Lichtenstein"/>
    <n v="0"/>
    <n v="0"/>
    <n v="0"/>
    <n v="132.12"/>
    <m/>
  </r>
  <r>
    <x v="28"/>
    <d v="1899-12-30T03:00:00"/>
    <x v="12"/>
    <n v="30"/>
    <n v="255"/>
    <n v="0"/>
    <n v="35"/>
    <n v="7"/>
    <m/>
    <m/>
    <n v="5"/>
    <s v="https://www.fr.ch/covid19/sante/covid-19/coronavirus-statistiques-evolution-de-la-situation-dans-le-canton"/>
    <m/>
    <s v=""/>
    <m/>
    <s v=""/>
    <m/>
    <s v=""/>
    <n v="46.718390999999997"/>
    <n v="7.0740080000000001"/>
    <s v="Fribourg"/>
    <n v="10"/>
    <n v="29"/>
    <n v="1"/>
    <n v="80.930000000000007"/>
    <n v="1.587"/>
  </r>
  <r>
    <x v="28"/>
    <d v="1899-12-30T03:00:00"/>
    <x v="0"/>
    <n v="8012"/>
    <n v="1673"/>
    <n v="24"/>
    <n v="238"/>
    <n v="41"/>
    <n v="41"/>
    <n v="103"/>
    <n v="15"/>
    <s v="https://www.ge.ch/document/covid-19-situation-epidemiologique-geneve/telecharger"/>
    <m/>
    <s v=""/>
    <m/>
    <s v=""/>
    <n v="21"/>
    <s v=""/>
    <n v="46.220528000000002"/>
    <n v="6.1329349999999998"/>
    <s v="Genève"/>
    <n v="25"/>
    <n v="102"/>
    <n v="1"/>
    <n v="337.84"/>
    <n v="3.0289999999999999"/>
  </r>
  <r>
    <x v="28"/>
    <d v="1899-12-30T13:30:00"/>
    <x v="13"/>
    <m/>
    <n v="33"/>
    <n v="0"/>
    <n v="3"/>
    <m/>
    <m/>
    <m/>
    <m/>
    <s v="https://www.gl.ch/verwaltung/finanzen-und-gesundheit/gesundheit/coronavirus.html/4817#Fallzahlen"/>
    <m/>
    <s v=""/>
    <m/>
    <s v=""/>
    <m/>
    <s v=""/>
    <n v="46.931042000000005"/>
    <n v="9.0657510000000006"/>
    <s v="Glarus"/>
    <n v="8"/>
    <n v="2"/>
    <n v="0"/>
    <n v="81.89"/>
    <m/>
  </r>
  <r>
    <x v="28"/>
    <d v="1899-12-30T03:00:00"/>
    <x v="26"/>
    <m/>
    <n v="276"/>
    <n v="2"/>
    <n v="29"/>
    <m/>
    <m/>
    <m/>
    <n v="6"/>
    <s v="https://www.gr.ch/DE/institutionen/verwaltung/djsg/ga/coronavirus/info/Seiten/Start.aspx"/>
    <m/>
    <s v=""/>
    <m/>
    <s v=""/>
    <m/>
    <s v=""/>
    <n v="46.656247999999998"/>
    <n v="9.6281979999999994"/>
    <s v="Graubünden/Grigioni"/>
    <n v="1"/>
    <n v="10"/>
    <n v="0"/>
    <n v="139.46"/>
    <n v="3.032"/>
  </r>
  <r>
    <x v="28"/>
    <d v="1899-12-30T17:00:00"/>
    <x v="4"/>
    <m/>
    <n v="82"/>
    <n v="4"/>
    <n v="22"/>
    <n v="4"/>
    <m/>
    <m/>
    <m/>
    <s v="https://www.jura.ch/fr/Autorites/Coronavirus/Chiffres-H-JU/Evolution-des-cas-COVID-19-dans-le-Jura.html"/>
    <m/>
    <s v=""/>
    <m/>
    <s v=""/>
    <m/>
    <s v=""/>
    <n v="47.350743999999999"/>
    <n v="7.1561070000000004"/>
    <s v="Jura"/>
    <n v="26"/>
    <n v="13"/>
    <n v="0"/>
    <n v="111.87"/>
    <m/>
  </r>
  <r>
    <x v="28"/>
    <d v="1899-12-30T11:00:00"/>
    <x v="17"/>
    <m/>
    <n v="205"/>
    <n v="0"/>
    <m/>
    <m/>
    <m/>
    <m/>
    <n v="2"/>
    <s v="https://gesundheit.lu.ch/themen/Humanmedizin/Infektionskrankheiten/Coronavirus"/>
    <m/>
    <s v=""/>
    <m/>
    <s v=""/>
    <m/>
    <s v=""/>
    <n v="47.067762999999999"/>
    <n v="8.1102000000000007"/>
    <s v="Luzern"/>
    <n v="3"/>
    <n v="49"/>
    <n v="1"/>
    <n v="50.43"/>
    <n v="0.49199999999999999"/>
  </r>
  <r>
    <x v="28"/>
    <d v="1899-12-30T15:00:00"/>
    <x v="14"/>
    <m/>
    <n v="265"/>
    <n v="-1"/>
    <n v="32"/>
    <n v="8"/>
    <n v="6"/>
    <m/>
    <n v="6"/>
    <s v="https://www.ne.ch/autorites/DFS/SCSP/medecin-cantonal/maladies-vaccinations/Documents/Covid-19-Statistiques/COVID19_PublicationInternet.pdf"/>
    <m/>
    <s v=""/>
    <m/>
    <s v=""/>
    <m/>
    <s v=""/>
    <n v="46.995533999999999"/>
    <n v="6.7801260000000001"/>
    <s v="Neuchâtel"/>
    <n v="24"/>
    <n v="18"/>
    <n v="1"/>
    <n v="148.88"/>
    <n v="3.371"/>
  </r>
  <r>
    <x v="28"/>
    <d v="1899-12-30T15:15:00"/>
    <x v="20"/>
    <m/>
    <n v="42"/>
    <n v="0"/>
    <m/>
    <m/>
    <m/>
    <m/>
    <m/>
    <s v="https://www.nw.ch/gesundheitsamtdienste/6044"/>
    <m/>
    <s v=""/>
    <m/>
    <s v=""/>
    <m/>
    <s v=""/>
    <n v="46.926755"/>
    <n v="8.4053020000000007"/>
    <s v="Nidwalden"/>
    <n v="7"/>
    <n v="3"/>
    <n v="0"/>
    <n v="97.67"/>
    <m/>
  </r>
  <r>
    <x v="28"/>
    <d v="1899-12-30T03:00:00"/>
    <x v="23"/>
    <n v="6"/>
    <n v="25"/>
    <n v="0"/>
    <m/>
    <m/>
    <m/>
    <m/>
    <m/>
    <s v="https://www.ow.ch/de/verwaltung/dienstleistungen/?dienst_id=5962"/>
    <m/>
    <s v=""/>
    <m/>
    <s v=""/>
    <m/>
    <s v=""/>
    <n v="46.804527"/>
    <n v="8.1443170000000009"/>
    <s v="Obwalden"/>
    <n v="6"/>
    <n v="0"/>
    <n v="0"/>
    <n v="66.489999999999995"/>
    <m/>
  </r>
  <r>
    <x v="28"/>
    <d v="1899-12-30T03:00:00"/>
    <x v="21"/>
    <m/>
    <n v="34"/>
    <n v="0"/>
    <m/>
    <m/>
    <m/>
    <m/>
    <n v="0"/>
    <s v="https://sh.ch/CMS/Webseite/Kanton-Schaffhausen/Beh-rde/Verwaltung/Departement-des-Innern/Gesundheitsamt-3209198-DE.html"/>
    <m/>
    <s v=""/>
    <m/>
    <s v=""/>
    <m/>
    <s v=""/>
    <n v="47.713569999999997"/>
    <n v="8.5916700000000006"/>
    <s v="Schaffhausen"/>
    <n v="14"/>
    <n v="2"/>
    <n v="0"/>
    <n v="41.77"/>
    <n v="0"/>
  </r>
  <r>
    <x v="28"/>
    <d v="1899-12-30T03:00:00"/>
    <x v="19"/>
    <m/>
    <n v="104"/>
    <n v="0"/>
    <m/>
    <m/>
    <m/>
    <m/>
    <n v="1"/>
    <s v="https://corona.so.ch/"/>
    <m/>
    <s v=""/>
    <m/>
    <s v=""/>
    <m/>
    <s v=""/>
    <n v="47.304135000000002"/>
    <n v="7.6393880000000003"/>
    <s v="Solothurn"/>
    <n v="11"/>
    <n v="9"/>
    <n v="0"/>
    <n v="38.32"/>
    <n v="0.36799999999999999"/>
  </r>
  <r>
    <x v="28"/>
    <d v="1899-12-30T03:00:00"/>
    <x v="25"/>
    <n v="276"/>
    <n v="87"/>
    <n v="0"/>
    <m/>
    <m/>
    <m/>
    <m/>
    <n v="1"/>
    <s v="https://www.tg.ch/news/fachdossier-coronavirus.html/10552 &amp; https://www.tg.ch/news/news-detailseite.html/485/news/44925"/>
    <m/>
    <s v=""/>
    <m/>
    <s v=""/>
    <m/>
    <s v=""/>
    <n v="47.568714999999997"/>
    <n v="9.0919570000000007"/>
    <s v="Thurgau"/>
    <n v="1"/>
    <n v="6"/>
    <n v="0"/>
    <n v="31.78"/>
    <n v="0.36499999999999999"/>
  </r>
  <r>
    <x v="28"/>
    <d v="1899-12-30T08:00:00"/>
    <x v="1"/>
    <m/>
    <n v="1211"/>
    <n v="24"/>
    <n v="285"/>
    <n v="50"/>
    <n v="48"/>
    <m/>
    <n v="53"/>
    <s v="https://www4.ti.ch/area-media/comunicati/dettaglio-comunicato/?NEWS_ID=187520&amp;tx_tichareamedia_comunicazioni%5Baction%5D=show&amp;tx_tichareamedia_comunicazioni%5Bcontroller%5D=Comunicazioni&amp;cHash=4d581f57e92de04937175bab9e5b0f14"/>
    <m/>
    <s v=""/>
    <m/>
    <s v="48.0"/>
    <m/>
    <s v=""/>
    <n v="46.295617"/>
    <n v="8.8089239999999993"/>
    <s v="Ticino"/>
    <n v="21"/>
    <n v="46"/>
    <n v="5"/>
    <n v="342.38"/>
    <n v="14.984"/>
  </r>
  <r>
    <x v="28"/>
    <d v="1899-12-30T12:00:00"/>
    <x v="22"/>
    <n v="85"/>
    <n v="25"/>
    <n v="0"/>
    <n v="1"/>
    <m/>
    <m/>
    <n v="1"/>
    <m/>
    <s v="https://www.ur.ch/themen/2920"/>
    <m/>
    <s v=""/>
    <m/>
    <s v=""/>
    <m/>
    <s v=""/>
    <n v="46.771849000000003"/>
    <n v="8.6285860000000003"/>
    <s v="Uri"/>
    <n v="4"/>
    <n v="3"/>
    <n v="0"/>
    <n v="68.87"/>
    <m/>
  </r>
  <r>
    <x v="28"/>
    <d v="1899-12-30T03:00:00"/>
    <x v="9"/>
    <m/>
    <n v="2112"/>
    <n v="36"/>
    <n v="285"/>
    <n v="41"/>
    <m/>
    <n v="100"/>
    <n v="32"/>
    <s v="https://www.vd.ch/toutes-les-actualites/hotline-et-informations-sur-le-coronavirus/point-de-situation-statistique-dans-le-canton-de-vaud/"/>
    <m/>
    <s v=""/>
    <m/>
    <s v=""/>
    <m/>
    <s v=""/>
    <n v="46.570090999999998"/>
    <n v="6.5578090000000007"/>
    <s v="Vaud"/>
    <n v="22"/>
    <n v="267"/>
    <n v="4"/>
    <n v="266.3"/>
    <n v="4.0350000000000001"/>
  </r>
  <r>
    <x v="28"/>
    <d v="1899-12-30T16:00:00"/>
    <x v="10"/>
    <m/>
    <n v="728"/>
    <n v="13"/>
    <n v="117"/>
    <n v="13"/>
    <n v="12"/>
    <n v="3"/>
    <n v="14"/>
    <s v="https://www.vs.ch/documents/6756452/7008787/2020%2004%2012%20Sit%20Epid%20-%20%C3%89tat%20Stand"/>
    <m/>
    <s v=""/>
    <m/>
    <s v=""/>
    <m/>
    <s v=""/>
    <n v="46.209567"/>
    <n v="7.6046589999999998"/>
    <s v="Valais/Wallis"/>
    <n v="23"/>
    <n v="100"/>
    <n v="1"/>
    <n v="213.18"/>
    <n v="4.0999999999999996"/>
  </r>
  <r>
    <x v="28"/>
    <d v="1899-12-30T08:00:00"/>
    <x v="11"/>
    <m/>
    <n v="80"/>
    <n v="3"/>
    <n v="9"/>
    <n v="1"/>
    <m/>
    <n v="12"/>
    <n v="0"/>
    <s v="https://www.zg.ch/behoerden/gesundheitsdirektion/statistikfachstelle/themen/gesundheit/corona"/>
    <m/>
    <s v=""/>
    <m/>
    <s v=""/>
    <m/>
    <s v=""/>
    <n v="47.157296000000002"/>
    <n v="8.5372939999999993"/>
    <s v="Zug"/>
    <n v="9"/>
    <n v="8"/>
    <n v="0"/>
    <n v="63.8"/>
    <n v="0"/>
  </r>
  <r>
    <x v="28"/>
    <d v="1899-12-30T14:30:00"/>
    <x v="5"/>
    <m/>
    <n v="1224"/>
    <n v="11"/>
    <n v="138"/>
    <m/>
    <n v="26"/>
    <m/>
    <n v="8"/>
    <s v="https://gd.zh.ch/internet/gesundheitsdirektion/de/themen/coronavirus.html"/>
    <m/>
    <s v=""/>
    <m/>
    <s v=""/>
    <m/>
    <s v=""/>
    <n v="47.412750000000003"/>
    <n v="8.6550799999999999"/>
    <s v="Zürich"/>
    <n v="1"/>
    <n v="148"/>
    <n v="2"/>
    <n v="81.37"/>
    <n v="0.53200000000000003"/>
  </r>
  <r>
    <x v="29"/>
    <d v="1899-12-30T15:00:00"/>
    <x v="6"/>
    <m/>
    <n v="319"/>
    <n v="-8"/>
    <n v="16"/>
    <n v="5"/>
    <n v="5"/>
    <n v="4"/>
    <n v="2"/>
    <s v="https://www.ag.ch/media/kanton_aargau/themen_1/coronavirus_1/lagebulletins/200325_KFS_Coronavirus_Lagebulletin_19.pdf"/>
    <m/>
    <s v=""/>
    <m/>
    <s v=""/>
    <m/>
    <s v=""/>
    <n v="47.409660000000002"/>
    <n v="8.1568799999999992"/>
    <s v="Aargau"/>
    <n v="1"/>
    <n v="53"/>
    <n v="0"/>
    <n v="47.54"/>
    <n v="0.29799999999999999"/>
  </r>
  <r>
    <x v="29"/>
    <d v="1899-12-30T17:00:00"/>
    <x v="24"/>
    <m/>
    <n v="9"/>
    <n v="0"/>
    <n v="1"/>
    <m/>
    <m/>
    <m/>
    <m/>
    <s v="https://www.ai.ch/themen/gesundheit-alter-und-soziales/gesundheitsfoerderung-und-praevention/uebertragbare-krankheiten/coronavirus"/>
    <m/>
    <s v=""/>
    <m/>
    <s v=""/>
    <m/>
    <s v=""/>
    <n v="47.317264000000002"/>
    <n v="9.4167539999999992"/>
    <s v="Appenzell Innerrhoden"/>
    <n v="16"/>
    <n v="1"/>
    <n v="0"/>
    <n v="55.9"/>
    <m/>
  </r>
  <r>
    <x v="29"/>
    <d v="1899-12-30T08:00:00"/>
    <x v="18"/>
    <m/>
    <n v="34"/>
    <n v="0"/>
    <n v="6"/>
    <m/>
    <m/>
    <m/>
    <n v="2"/>
    <s v="https://www.ar.ch/verwaltung/departement-gesundheit-und-soziales/amt-fuer-gesundheit/informationsseite-coronavirus/"/>
    <m/>
    <s v=""/>
    <m/>
    <s v=""/>
    <m/>
    <s v=""/>
    <n v="47.416351999999996"/>
    <n v="9.3679100000000002"/>
    <s v="Appenzell Ausserrhoden"/>
    <n v="15"/>
    <n v="1"/>
    <n v="0"/>
    <n v="61.59"/>
    <n v="3.6230000000000002"/>
  </r>
  <r>
    <x v="29"/>
    <d v="1899-12-30T03:00:00"/>
    <x v="7"/>
    <m/>
    <n v="624"/>
    <n v="0"/>
    <m/>
    <m/>
    <m/>
    <m/>
    <n v="6"/>
    <s v="https://www.besondere-lage.sites.be.ch/besondere-lage_sites/de/index/corona/index.html"/>
    <m/>
    <s v=""/>
    <m/>
    <s v=""/>
    <m/>
    <s v=""/>
    <n v="46.823608"/>
    <n v="7.6366670000000001"/>
    <s v="Bern/Berne"/>
    <n v="2"/>
    <n v="92"/>
    <n v="0"/>
    <n v="60.52"/>
    <n v="0.58199999999999996"/>
  </r>
  <r>
    <x v="29"/>
    <d v="1899-12-30T03:00:00"/>
    <x v="8"/>
    <m/>
    <n v="341"/>
    <n v="2"/>
    <n v="68"/>
    <n v="8"/>
    <m/>
    <n v="46"/>
    <n v="5"/>
    <s v="https://www.baselland.ch/politik-und-behorden/direktionen/volkswirtschafts-und-gesundheitsdirektion/amt-fur-gesundheit/medizinische-dienste/kantonsarztlicher-dienst/aktuelles/covid-19-faelle-kanton-basel-landschaft"/>
    <m/>
    <s v=""/>
    <m/>
    <s v=""/>
    <m/>
    <s v=""/>
    <n v="47.45176"/>
    <n v="7.7024140000000001"/>
    <s v="Basel-Landschaft"/>
    <n v="13"/>
    <n v="35"/>
    <n v="1"/>
    <n v="118.82"/>
    <n v="1.742"/>
  </r>
  <r>
    <x v="29"/>
    <d v="1899-12-30T10:00:00"/>
    <x v="2"/>
    <n v="235"/>
    <n v="466"/>
    <n v="0"/>
    <n v="58"/>
    <n v="2"/>
    <m/>
    <n v="128"/>
    <n v="8"/>
    <s v="https://www.coronavirus.bs.ch/nm/2020-tagesbulletin-coronavirus-466-bestaetigte-faelle-im-kanton-basel-stadt-gd.html"/>
    <n v="307"/>
    <s v=""/>
    <m/>
    <s v=""/>
    <m/>
    <s v=""/>
    <n v="47.564869000000002"/>
    <n v="7.615259"/>
    <s v="Basel-Stadt"/>
    <n v="12"/>
    <n v="52"/>
    <n v="3"/>
    <n v="240.33"/>
    <n v="4.1260000000000003"/>
  </r>
  <r>
    <x v="29"/>
    <d v="1899-12-30T03:00:00"/>
    <x v="3"/>
    <n v="99"/>
    <n v="53"/>
    <n v="0"/>
    <m/>
    <m/>
    <m/>
    <n v="1"/>
    <m/>
    <s v="https://www.regierung.li/media/attachments/145-drive-trouhg-anlage-corona.pdf?t=637207634421649200"/>
    <m/>
    <s v=""/>
    <m/>
    <s v=""/>
    <m/>
    <s v=""/>
    <n v="47.166666999999997"/>
    <n v="9.509722"/>
    <s v="Fürstentum Lichtenstein"/>
    <n v="0"/>
    <n v="2"/>
    <n v="0"/>
    <n v="137.31"/>
    <m/>
  </r>
  <r>
    <x v="29"/>
    <d v="1899-12-30T03:00:00"/>
    <x v="12"/>
    <n v="30"/>
    <n v="293"/>
    <n v="4"/>
    <n v="39"/>
    <n v="7"/>
    <m/>
    <m/>
    <n v="6"/>
    <s v="https://www.fr.ch/covid19/sante/covid-19/coronavirus-statistiques-evolution-de-la-situation-dans-le-canton"/>
    <m/>
    <s v=""/>
    <m/>
    <s v=""/>
    <m/>
    <s v=""/>
    <n v="46.718390999999997"/>
    <n v="7.0740080000000001"/>
    <s v="Fribourg"/>
    <n v="10"/>
    <n v="38"/>
    <n v="1"/>
    <n v="92.99"/>
    <n v="1.9039999999999999"/>
  </r>
  <r>
    <x v="29"/>
    <d v="1899-12-30T03:00:00"/>
    <x v="0"/>
    <n v="8445"/>
    <n v="1796"/>
    <n v="20"/>
    <n v="258"/>
    <n v="50"/>
    <n v="48"/>
    <n v="122"/>
    <n v="22"/>
    <s v="https://www.ge.ch/document/covid-19-situation-epidemiologique-geneve/telecharger"/>
    <m/>
    <s v=""/>
    <m/>
    <s v=""/>
    <n v="18"/>
    <s v=""/>
    <n v="46.220528000000002"/>
    <n v="6.1329349999999998"/>
    <s v="Genève"/>
    <n v="25"/>
    <n v="123"/>
    <n v="7"/>
    <n v="362.68"/>
    <n v="4.4429999999999996"/>
  </r>
  <r>
    <x v="29"/>
    <d v="1899-12-30T13:30:00"/>
    <x v="13"/>
    <m/>
    <n v="40"/>
    <n v="-1"/>
    <n v="2"/>
    <m/>
    <m/>
    <m/>
    <m/>
    <s v="https://www.gl.ch/verwaltung/finanzen-und-gesundheit/gesundheit/coronavirus.html/4817#Fallzahlen"/>
    <m/>
    <s v=""/>
    <m/>
    <s v=""/>
    <m/>
    <s v=""/>
    <n v="46.931042000000005"/>
    <n v="9.0657510000000006"/>
    <s v="Glarus"/>
    <n v="8"/>
    <n v="7"/>
    <n v="0"/>
    <n v="99.26"/>
    <m/>
  </r>
  <r>
    <x v="29"/>
    <d v="1899-12-30T03:00:00"/>
    <x v="26"/>
    <m/>
    <n v="322"/>
    <n v="14"/>
    <n v="43"/>
    <m/>
    <m/>
    <m/>
    <n v="6"/>
    <s v="https://www.gr.ch/DE/institutionen/verwaltung/djsg/ga/coronavirus/info/Seiten/Start.aspx"/>
    <m/>
    <s v=""/>
    <m/>
    <s v=""/>
    <m/>
    <s v=""/>
    <n v="46.656247999999998"/>
    <n v="9.6281979999999994"/>
    <s v="Graubünden/Grigioni"/>
    <n v="1"/>
    <n v="46"/>
    <n v="0"/>
    <n v="162.71"/>
    <n v="3.032"/>
  </r>
  <r>
    <x v="29"/>
    <d v="1899-12-30T18:00:00"/>
    <x v="4"/>
    <m/>
    <n v="92"/>
    <n v="1"/>
    <n v="23"/>
    <n v="4"/>
    <m/>
    <m/>
    <m/>
    <s v="https://www.jura.ch/fr/Autorites/Coronavirus/Chiffres-H-JU/Evolution-des-cas-COVID-19-dans-le-Jura.html"/>
    <m/>
    <s v=""/>
    <m/>
    <s v=""/>
    <m/>
    <s v=""/>
    <n v="47.350743999999999"/>
    <n v="7.1561070000000004"/>
    <s v="Jura"/>
    <n v="26"/>
    <n v="10"/>
    <n v="0"/>
    <n v="125.51"/>
    <m/>
  </r>
  <r>
    <x v="29"/>
    <d v="1899-12-30T11:00:00"/>
    <x v="17"/>
    <m/>
    <n v="228"/>
    <n v="0"/>
    <m/>
    <m/>
    <m/>
    <m/>
    <n v="2"/>
    <s v="https://gesundheit.lu.ch/themen/Humanmedizin/Infektionskrankheiten/Coronavirus"/>
    <m/>
    <s v=""/>
    <m/>
    <s v=""/>
    <m/>
    <s v=""/>
    <n v="47.067762999999999"/>
    <n v="8.1102000000000007"/>
    <s v="Luzern"/>
    <n v="3"/>
    <n v="23"/>
    <n v="0"/>
    <n v="56.09"/>
    <n v="0.49199999999999999"/>
  </r>
  <r>
    <x v="29"/>
    <d v="1899-12-30T14:00:00"/>
    <x v="14"/>
    <m/>
    <n v="280"/>
    <n v="9"/>
    <n v="41"/>
    <n v="10"/>
    <n v="7"/>
    <m/>
    <n v="9"/>
    <s v="https://www.ne.ch/autorites/DFS/SCSP/medecin-cantonal/maladies-vaccinations/Documents/Covid-19-Statistiques/COVID19_PublicationInternet.pdf"/>
    <m/>
    <s v=""/>
    <m/>
    <s v=""/>
    <m/>
    <s v=""/>
    <n v="46.995533999999999"/>
    <n v="6.7801260000000001"/>
    <s v="Neuchâtel"/>
    <n v="24"/>
    <n v="15"/>
    <n v="3"/>
    <n v="157.30000000000001"/>
    <n v="5.056"/>
  </r>
  <r>
    <x v="29"/>
    <d v="1899-12-30T15:30:00"/>
    <x v="20"/>
    <m/>
    <n v="44"/>
    <n v="0"/>
    <m/>
    <m/>
    <m/>
    <m/>
    <m/>
    <s v="https://www.nw.ch/gesundheitsamtdienste/6044"/>
    <m/>
    <s v=""/>
    <m/>
    <s v=""/>
    <m/>
    <s v=""/>
    <n v="46.926755"/>
    <n v="8.4053020000000007"/>
    <s v="Nidwalden"/>
    <n v="7"/>
    <n v="2"/>
    <n v="0"/>
    <n v="102.33"/>
    <m/>
  </r>
  <r>
    <x v="29"/>
    <d v="1899-12-30T03:00:00"/>
    <x v="23"/>
    <n v="6"/>
    <n v="27"/>
    <n v="0"/>
    <m/>
    <m/>
    <m/>
    <m/>
    <m/>
    <s v="https://www.ow.ch/de/verwaltung/dienstleistungen/?dienst_id=5962"/>
    <m/>
    <s v=""/>
    <m/>
    <s v=""/>
    <m/>
    <s v=""/>
    <n v="46.804527"/>
    <n v="8.1443170000000009"/>
    <s v="Obwalden"/>
    <n v="6"/>
    <n v="2"/>
    <n v="0"/>
    <n v="71.81"/>
    <m/>
  </r>
  <r>
    <x v="29"/>
    <d v="1899-12-30T03:00:00"/>
    <x v="15"/>
    <m/>
    <n v="228"/>
    <n v="0"/>
    <m/>
    <m/>
    <m/>
    <m/>
    <n v="1"/>
    <s v="https://www.sg.ch/tools/informationen-coronavirus.html"/>
    <m/>
    <s v=""/>
    <m/>
    <s v=""/>
    <m/>
    <s v=""/>
    <n v="47.183199999999999"/>
    <n v="9.2747440000000001"/>
    <s v="St. Gallen"/>
    <n v="17"/>
    <n v="0"/>
    <n v="0"/>
    <n v="45.18"/>
    <n v="0.19800000000000001"/>
  </r>
  <r>
    <x v="29"/>
    <d v="1899-12-30T03:00:00"/>
    <x v="21"/>
    <m/>
    <n v="35"/>
    <n v="0"/>
    <n v="10"/>
    <n v="1"/>
    <m/>
    <m/>
    <n v="0"/>
    <s v="https://sh.ch/CMS/Webseite/Kanton-Schaffhausen/Beh-rde/Verwaltung/Departement-des-Innern/Gesundheitsamt-3209198-DE.html"/>
    <m/>
    <s v=""/>
    <m/>
    <s v=""/>
    <m/>
    <s v=""/>
    <n v="47.713569999999997"/>
    <n v="8.5916700000000006"/>
    <s v="Schaffhausen"/>
    <n v="14"/>
    <n v="1"/>
    <n v="0"/>
    <n v="43"/>
    <n v="0"/>
  </r>
  <r>
    <x v="29"/>
    <d v="1899-12-30T03:00:00"/>
    <x v="19"/>
    <m/>
    <n v="129"/>
    <n v="0"/>
    <m/>
    <m/>
    <m/>
    <m/>
    <n v="1"/>
    <s v="https://corona.so.ch/"/>
    <m/>
    <s v=""/>
    <m/>
    <s v=""/>
    <m/>
    <s v=""/>
    <n v="47.304135000000002"/>
    <n v="7.6393880000000003"/>
    <s v="Solothurn"/>
    <n v="11"/>
    <n v="25"/>
    <n v="0"/>
    <n v="47.53"/>
    <n v="0.36799999999999999"/>
  </r>
  <r>
    <x v="29"/>
    <d v="1899-12-30T03:00:00"/>
    <x v="16"/>
    <n v="10"/>
    <n v="99"/>
    <n v="0"/>
    <n v="1"/>
    <m/>
    <m/>
    <n v="10"/>
    <m/>
    <s v="https://www.sz.ch/behoerden/information-medien/medienmitteilungen/coronavirus.html/72-416-412-1379-6948"/>
    <m/>
    <s v=""/>
    <m/>
    <s v=""/>
    <m/>
    <s v=""/>
    <n v="47.061787000000002"/>
    <n v="8.7565849999999994"/>
    <s v="Schwyz"/>
    <n v="5"/>
    <n v="86"/>
    <n v="0"/>
    <n v="62.94"/>
    <m/>
  </r>
  <r>
    <x v="29"/>
    <d v="1899-12-30T03:00:00"/>
    <x v="25"/>
    <n v="276"/>
    <n v="96"/>
    <n v="0"/>
    <m/>
    <m/>
    <m/>
    <m/>
    <n v="1"/>
    <s v="https://www.tg.ch/news/fachdossier-coronavirus.html/10552"/>
    <m/>
    <s v=""/>
    <m/>
    <s v=""/>
    <m/>
    <s v=""/>
    <n v="47.568714999999997"/>
    <n v="9.0919570000000007"/>
    <s v="Thurgau"/>
    <n v="1"/>
    <n v="9"/>
    <n v="0"/>
    <n v="35.06"/>
    <n v="0.36499999999999999"/>
  </r>
  <r>
    <x v="29"/>
    <d v="1899-12-30T08:00:00"/>
    <x v="1"/>
    <m/>
    <n v="1354"/>
    <n v="21"/>
    <n v="306"/>
    <n v="57"/>
    <n v="55"/>
    <m/>
    <n v="60"/>
    <s v="https://www4.ti.ch/area-media/comunicati/dettaglio-comunicato/?NEWS_ID=187523&amp;tx_tichareamedia_comunicazioni%5Baction%5D=show&amp;tx_tichareamedia_comunicazioni%5Bcontroller%5D=Comunicazioni&amp;cHash=982795a2c13394282accc3a8506c9ba0"/>
    <m/>
    <s v=""/>
    <m/>
    <s v="55.0"/>
    <m/>
    <s v=""/>
    <n v="46.295617"/>
    <n v="8.8089239999999993"/>
    <s v="Ticino"/>
    <n v="21"/>
    <n v="143"/>
    <n v="7"/>
    <n v="382.81"/>
    <n v="16.963999999999999"/>
  </r>
  <r>
    <x v="29"/>
    <d v="1899-12-30T03:00:00"/>
    <x v="9"/>
    <m/>
    <n v="2302"/>
    <n v="28"/>
    <n v="313"/>
    <n v="52"/>
    <m/>
    <n v="117"/>
    <n v="40"/>
    <s v="https://www.vd.ch/toutes-les-actualites/hotline-et-informations-sur-le-coronavirus/point-de-situation-statistique-dans-le-canton-de-vaud/"/>
    <m/>
    <s v=""/>
    <m/>
    <s v=""/>
    <m/>
    <s v=""/>
    <n v="46.570090999999998"/>
    <n v="6.5578090000000007"/>
    <s v="Vaud"/>
    <n v="22"/>
    <n v="190"/>
    <n v="8"/>
    <n v="290.25"/>
    <n v="5.0439999999999996"/>
  </r>
  <r>
    <x v="29"/>
    <d v="1899-12-30T15:00:00"/>
    <x v="10"/>
    <m/>
    <n v="794"/>
    <n v="1"/>
    <n v="118"/>
    <n v="15"/>
    <n v="14"/>
    <n v="3"/>
    <n v="15"/>
    <s v="https://www.vs.ch/documents/6756452/7008787/2020%2004%2012%20Sit%20Epid%20-%20%C3%89tat%20Stand"/>
    <m/>
    <s v=""/>
    <m/>
    <s v=""/>
    <m/>
    <s v=""/>
    <n v="46.209567"/>
    <n v="7.6046589999999998"/>
    <s v="Valais/Wallis"/>
    <n v="23"/>
    <n v="66"/>
    <n v="1"/>
    <n v="232.5"/>
    <n v="4.3920000000000003"/>
  </r>
  <r>
    <x v="29"/>
    <d v="1899-12-30T08:00:00"/>
    <x v="11"/>
    <m/>
    <n v="87"/>
    <n v="1"/>
    <n v="10"/>
    <n v="1"/>
    <m/>
    <n v="12"/>
    <n v="0"/>
    <s v="https://www.zg.ch/behoerden/gesundheitsdirektion/statistikfachstelle/themen/gesundheit/corona"/>
    <m/>
    <s v=""/>
    <m/>
    <s v=""/>
    <m/>
    <s v=""/>
    <n v="47.157296000000002"/>
    <n v="8.5372939999999993"/>
    <s v="Zug"/>
    <n v="9"/>
    <n v="7"/>
    <n v="0"/>
    <n v="69.38"/>
    <n v="0"/>
  </r>
  <r>
    <x v="29"/>
    <d v="1899-12-30T14:30:00"/>
    <x v="5"/>
    <m/>
    <n v="1371"/>
    <n v="8"/>
    <n v="146"/>
    <m/>
    <n v="28"/>
    <m/>
    <n v="10"/>
    <s v="https://gd.zh.ch/internet/gesundheitsdirektion/de/themen/coronavirus.html"/>
    <m/>
    <s v=""/>
    <m/>
    <s v=""/>
    <m/>
    <s v=""/>
    <n v="47.412750000000003"/>
    <n v="8.6550799999999999"/>
    <s v="Zürich"/>
    <n v="1"/>
    <n v="147"/>
    <n v="2"/>
    <n v="91.14"/>
    <n v="0.66500000000000004"/>
  </r>
  <r>
    <x v="30"/>
    <d v="1899-12-30T15:00:00"/>
    <x v="6"/>
    <m/>
    <n v="349"/>
    <n v="22"/>
    <n v="38"/>
    <n v="10"/>
    <n v="9"/>
    <n v="4"/>
    <n v="2"/>
    <s v="https://www.ag.ch/media/kanton_aargau/themen_1/coronavirus_1/lagebulletins/200326_KFS_Coronavirus_Lagebulletin_20.pdf"/>
    <m/>
    <s v=""/>
    <m/>
    <s v=""/>
    <m/>
    <s v=""/>
    <n v="47.409660000000002"/>
    <n v="8.1568799999999992"/>
    <s v="Aargau"/>
    <n v="1"/>
    <n v="30"/>
    <n v="0"/>
    <n v="52.01"/>
    <n v="0.29799999999999999"/>
  </r>
  <r>
    <x v="30"/>
    <d v="1899-12-30T18:00:00"/>
    <x v="24"/>
    <m/>
    <n v="11"/>
    <n v="0"/>
    <n v="1"/>
    <m/>
    <m/>
    <m/>
    <m/>
    <s v="https://www.ai.ch/themen/gesundheit-alter-und-soziales/gesundheitsfoerderung-und-praevention/uebertragbare-krankheiten/coronavirus"/>
    <m/>
    <s v=""/>
    <m/>
    <s v=""/>
    <m/>
    <s v=""/>
    <n v="47.317264000000002"/>
    <n v="9.4167539999999992"/>
    <s v="Appenzell Innerrhoden"/>
    <n v="16"/>
    <n v="2"/>
    <n v="0"/>
    <n v="68.319999999999993"/>
    <m/>
  </r>
  <r>
    <x v="30"/>
    <d v="1899-12-30T16:00:00"/>
    <x v="18"/>
    <m/>
    <n v="42"/>
    <n v="0"/>
    <n v="6"/>
    <m/>
    <m/>
    <m/>
    <n v="2"/>
    <s v="https://www.ar.ch/verwaltung/departement-gesundheit-und-soziales/amt-fuer-gesundheit/informationsseite-coronavirus/"/>
    <m/>
    <s v=""/>
    <m/>
    <s v=""/>
    <m/>
    <s v=""/>
    <n v="47.416351999999996"/>
    <n v="9.3679100000000002"/>
    <s v="Appenzell Ausserrhoden"/>
    <n v="15"/>
    <n v="8"/>
    <n v="0"/>
    <n v="76.09"/>
    <n v="3.6230000000000002"/>
  </r>
  <r>
    <x v="30"/>
    <d v="1899-12-30T03:00:00"/>
    <x v="7"/>
    <m/>
    <n v="660"/>
    <n v="0"/>
    <m/>
    <m/>
    <m/>
    <m/>
    <n v="7"/>
    <s v="https://www.besondere-lage.sites.be.ch/besondere-lage_sites/de/index/corona/index.html"/>
    <m/>
    <s v=""/>
    <m/>
    <s v=""/>
    <m/>
    <s v=""/>
    <n v="46.823608"/>
    <n v="7.6366670000000001"/>
    <s v="Bern/Berne"/>
    <n v="2"/>
    <n v="36"/>
    <n v="1"/>
    <n v="64.010000000000005"/>
    <n v="0.67900000000000005"/>
  </r>
  <r>
    <x v="30"/>
    <d v="1899-12-30T03:00:00"/>
    <x v="8"/>
    <m/>
    <n v="422"/>
    <n v="0"/>
    <n v="68"/>
    <n v="9"/>
    <m/>
    <n v="65"/>
    <n v="5"/>
    <s v="https://www.baselland.ch/politik-und-behorden/direktionen/volkswirtschafts-und-gesundheitsdirektion/amt-fur-gesundheit/medizinische-dienste/kantonsarztlicher-dienst/aktuelles/covid-19-faelle-kanton-basel-landschaft"/>
    <m/>
    <s v=""/>
    <m/>
    <s v=""/>
    <m/>
    <s v=""/>
    <n v="47.45176"/>
    <n v="7.7024140000000001"/>
    <s v="Basel-Landschaft"/>
    <n v="13"/>
    <n v="81"/>
    <n v="0"/>
    <n v="147.04"/>
    <n v="1.742"/>
  </r>
  <r>
    <x v="30"/>
    <d v="1899-12-30T10:30:00"/>
    <x v="2"/>
    <n v="235"/>
    <n v="505"/>
    <n v="16"/>
    <n v="74"/>
    <n v="8"/>
    <m/>
    <n v="155"/>
    <n v="12"/>
    <s v="https://www.coronavirus.bs.ch/nm/2020-tagesbulletin-coronavirus-505-bestaetigte-faelle-im-kanton-basel-stadt-gd.html"/>
    <n v="326"/>
    <s v="20.0"/>
    <m/>
    <s v=""/>
    <m/>
    <s v=""/>
    <n v="47.564869000000002"/>
    <n v="7.615259"/>
    <s v="Basel-Stadt"/>
    <n v="12"/>
    <n v="39"/>
    <n v="4"/>
    <n v="260.44"/>
    <n v="6.1890000000000001"/>
  </r>
  <r>
    <x v="30"/>
    <d v="1899-12-30T03:00:00"/>
    <x v="3"/>
    <n v="900"/>
    <n v="56"/>
    <n v="0"/>
    <m/>
    <m/>
    <m/>
    <n v="1"/>
    <m/>
    <s v="https://www.regierung.li/media/attachments/151-900-personen-getestet.pdf?t=637208497707275503"/>
    <m/>
    <s v=""/>
    <m/>
    <s v=""/>
    <m/>
    <s v=""/>
    <n v="47.166666999999997"/>
    <n v="9.509722"/>
    <s v="Fürstentum Lichtenstein"/>
    <n v="0"/>
    <n v="3"/>
    <n v="0"/>
    <n v="145.08000000000001"/>
    <m/>
  </r>
  <r>
    <x v="30"/>
    <d v="1899-12-30T03:00:00"/>
    <x v="12"/>
    <n v="30"/>
    <n v="309"/>
    <n v="5"/>
    <n v="44"/>
    <n v="5"/>
    <m/>
    <m/>
    <n v="11"/>
    <s v="https://www.fr.ch/covid19/sante/covid-19/coronavirus-statistiques-evolution-de-la-situation-dans-le-canton"/>
    <m/>
    <s v=""/>
    <m/>
    <s v=""/>
    <m/>
    <s v=""/>
    <n v="46.718390999999997"/>
    <n v="7.0740080000000001"/>
    <s v="Fribourg"/>
    <n v="10"/>
    <n v="16"/>
    <n v="5"/>
    <n v="98.06"/>
    <n v="3.4910000000000001"/>
  </r>
  <r>
    <x v="30"/>
    <d v="1899-12-30T03:00:00"/>
    <x v="0"/>
    <n v="8958"/>
    <n v="2021"/>
    <n v="14"/>
    <n v="272"/>
    <n v="52"/>
    <n v="48"/>
    <n v="144"/>
    <n v="24"/>
    <s v="https://www.ge.ch/document/covid-19-situation-epidemiologique-geneve/telecharger"/>
    <m/>
    <s v=""/>
    <m/>
    <s v=""/>
    <n v="18"/>
    <s v=""/>
    <n v="46.220528000000002"/>
    <n v="6.1329349999999998"/>
    <s v="Genève"/>
    <n v="25"/>
    <n v="225"/>
    <n v="2"/>
    <n v="408.12"/>
    <n v="4.8470000000000004"/>
  </r>
  <r>
    <x v="30"/>
    <d v="1899-12-30T13:30:00"/>
    <x v="13"/>
    <m/>
    <n v="43"/>
    <n v="0"/>
    <n v="2"/>
    <m/>
    <m/>
    <m/>
    <m/>
    <s v="https://www.gl.ch/verwaltung/finanzen-und-gesundheit/gesundheit/coronavirus.html/4817#Fallzahlen"/>
    <m/>
    <s v=""/>
    <m/>
    <s v=""/>
    <m/>
    <s v=""/>
    <n v="46.931042000000005"/>
    <n v="9.0657510000000006"/>
    <s v="Glarus"/>
    <n v="8"/>
    <n v="3"/>
    <n v="0"/>
    <n v="106.7"/>
    <m/>
  </r>
  <r>
    <x v="30"/>
    <d v="1899-12-30T03:00:00"/>
    <x v="26"/>
    <m/>
    <n v="373"/>
    <n v="2"/>
    <n v="45"/>
    <m/>
    <m/>
    <m/>
    <n v="9"/>
    <s v="https://www.gr.ch/DE/institutionen/verwaltung/djsg/ga/coronavirus/info/Seiten/Start.aspx"/>
    <m/>
    <s v=""/>
    <m/>
    <s v=""/>
    <m/>
    <s v=""/>
    <n v="46.656247999999998"/>
    <n v="9.6281979999999994"/>
    <s v="Graubünden/Grigioni"/>
    <n v="1"/>
    <n v="51"/>
    <n v="3"/>
    <n v="188.48"/>
    <n v="4.548"/>
  </r>
  <r>
    <x v="30"/>
    <d v="1899-12-30T16:00:00"/>
    <x v="4"/>
    <m/>
    <n v="100"/>
    <n v="-1"/>
    <n v="22"/>
    <n v="4"/>
    <m/>
    <m/>
    <m/>
    <s v="https://www.jura.ch/fr/Autorites/Coronavirus/Chiffres-H-JU/Evolution-des-cas-COVID-19-dans-le-Jura.html"/>
    <m/>
    <s v=""/>
    <m/>
    <s v=""/>
    <m/>
    <s v=""/>
    <n v="47.350743999999999"/>
    <n v="7.1561070000000004"/>
    <s v="Jura"/>
    <n v="26"/>
    <n v="8"/>
    <n v="0"/>
    <n v="136.43"/>
    <m/>
  </r>
  <r>
    <x v="30"/>
    <d v="1899-12-30T11:00:00"/>
    <x v="17"/>
    <m/>
    <n v="253"/>
    <n v="0"/>
    <m/>
    <m/>
    <m/>
    <m/>
    <n v="3"/>
    <s v="https://gesundheit.lu.ch/themen/Humanmedizin/Infektionskrankheiten/Coronavirus"/>
    <m/>
    <s v=""/>
    <m/>
    <s v=""/>
    <m/>
    <s v=""/>
    <n v="47.067762999999999"/>
    <n v="8.1102000000000007"/>
    <s v="Luzern"/>
    <n v="3"/>
    <n v="25"/>
    <n v="1"/>
    <n v="62.24"/>
    <n v="0.73799999999999999"/>
  </r>
  <r>
    <x v="30"/>
    <d v="1899-12-30T14:30:00"/>
    <x v="14"/>
    <m/>
    <n v="299"/>
    <n v="1"/>
    <n v="42"/>
    <n v="9"/>
    <n v="7"/>
    <m/>
    <n v="12"/>
    <s v="https://www.ne.ch/autorites/DFS/SCSP/medecin-cantonal/maladies-vaccinations/Documents/Covid-19-Statistiques/COVID19_PublicationInternet.pdf"/>
    <m/>
    <s v=""/>
    <m/>
    <s v=""/>
    <m/>
    <s v=""/>
    <n v="46.995533999999999"/>
    <n v="6.7801260000000001"/>
    <s v="Neuchâtel"/>
    <n v="24"/>
    <n v="19"/>
    <n v="3"/>
    <n v="167.98"/>
    <n v="6.742"/>
  </r>
  <r>
    <x v="30"/>
    <d v="1899-12-30T16:00:00"/>
    <x v="20"/>
    <m/>
    <n v="48"/>
    <n v="0"/>
    <m/>
    <m/>
    <m/>
    <m/>
    <m/>
    <s v="https://www.nw.ch/gesundheitsamtdienste/6044"/>
    <m/>
    <s v=""/>
    <m/>
    <s v=""/>
    <m/>
    <s v=""/>
    <n v="46.926755"/>
    <n v="8.4053020000000007"/>
    <s v="Nidwalden"/>
    <n v="7"/>
    <n v="4"/>
    <n v="0"/>
    <n v="111.63"/>
    <m/>
  </r>
  <r>
    <x v="30"/>
    <d v="1899-12-30T03:00:00"/>
    <x v="23"/>
    <n v="6"/>
    <n v="30"/>
    <n v="0"/>
    <m/>
    <m/>
    <m/>
    <m/>
    <m/>
    <s v="https://www.ow.ch/de/verwaltung/dienstleistungen/?dienst_id=5962"/>
    <m/>
    <s v=""/>
    <m/>
    <s v=""/>
    <m/>
    <s v=""/>
    <n v="46.804527"/>
    <n v="8.1443170000000009"/>
    <s v="Obwalden"/>
    <n v="6"/>
    <n v="3"/>
    <n v="0"/>
    <n v="79.790000000000006"/>
    <m/>
  </r>
  <r>
    <x v="30"/>
    <d v="1899-12-30T03:00:00"/>
    <x v="15"/>
    <m/>
    <n v="306"/>
    <n v="0"/>
    <m/>
    <m/>
    <m/>
    <m/>
    <n v="2"/>
    <s v="https://www.sg.ch/tools/informationen-coronavirus.html"/>
    <m/>
    <s v=""/>
    <m/>
    <s v=""/>
    <m/>
    <s v=""/>
    <n v="47.183199999999999"/>
    <n v="9.2747440000000001"/>
    <s v="St. Gallen"/>
    <n v="17"/>
    <n v="78"/>
    <n v="1"/>
    <n v="60.63"/>
    <n v="0.39600000000000002"/>
  </r>
  <r>
    <x v="30"/>
    <d v="1899-12-30T03:00:00"/>
    <x v="21"/>
    <m/>
    <n v="36"/>
    <n v="-4"/>
    <n v="6"/>
    <n v="1"/>
    <m/>
    <m/>
    <n v="0"/>
    <s v="https://sh.ch/CMS/Webseite/Kanton-Schaffhausen/Beh-rde/Verwaltung/Departement-des-Innern/Gesundheitsamt-3209198-DE.html"/>
    <m/>
    <s v=""/>
    <m/>
    <s v=""/>
    <m/>
    <s v=""/>
    <n v="47.713569999999997"/>
    <n v="8.5916700000000006"/>
    <s v="Schaffhausen"/>
    <n v="14"/>
    <n v="1"/>
    <n v="0"/>
    <n v="44.23"/>
    <n v="0"/>
  </r>
  <r>
    <x v="30"/>
    <d v="1899-12-30T03:00:00"/>
    <x v="19"/>
    <m/>
    <n v="141"/>
    <n v="0"/>
    <m/>
    <m/>
    <m/>
    <m/>
    <n v="1"/>
    <s v="https://corona.so.ch/"/>
    <m/>
    <s v=""/>
    <m/>
    <s v=""/>
    <m/>
    <s v=""/>
    <n v="47.304135000000002"/>
    <n v="7.6393880000000003"/>
    <s v="Solothurn"/>
    <n v="11"/>
    <n v="12"/>
    <n v="0"/>
    <n v="51.95"/>
    <n v="0.36799999999999999"/>
  </r>
  <r>
    <x v="30"/>
    <d v="1899-12-30T03:00:00"/>
    <x v="16"/>
    <n v="10"/>
    <n v="99"/>
    <n v="0"/>
    <n v="1"/>
    <m/>
    <m/>
    <n v="10"/>
    <n v="1"/>
    <s v="https://www.sz.ch/behoerden/information-medien/medienmitteilungen/coronavirus.html/72-416-412-1379-6948"/>
    <m/>
    <s v=""/>
    <m/>
    <s v=""/>
    <m/>
    <s v=""/>
    <n v="47.061787000000002"/>
    <n v="8.7565849999999994"/>
    <s v="Schwyz"/>
    <n v="5"/>
    <n v="0"/>
    <n v="0"/>
    <n v="62.94"/>
    <n v="0.63600000000000001"/>
  </r>
  <r>
    <x v="30"/>
    <d v="1899-12-30T03:00:00"/>
    <x v="25"/>
    <n v="276"/>
    <n v="110"/>
    <n v="0"/>
    <m/>
    <m/>
    <m/>
    <m/>
    <n v="1"/>
    <s v="https://www.tg.ch/news/fachdossier-coronavirus.html/10552"/>
    <m/>
    <s v=""/>
    <m/>
    <s v=""/>
    <m/>
    <s v=""/>
    <n v="47.568714999999997"/>
    <n v="9.0919570000000007"/>
    <s v="Thurgau"/>
    <n v="1"/>
    <n v="14"/>
    <n v="0"/>
    <n v="40.18"/>
    <n v="0.36499999999999999"/>
  </r>
  <r>
    <x v="30"/>
    <d v="1899-12-30T08:00:00"/>
    <x v="1"/>
    <m/>
    <n v="1401"/>
    <n v="52"/>
    <n v="358"/>
    <n v="60"/>
    <n v="56"/>
    <m/>
    <n v="67"/>
    <s v="https://www4.ti.ch/area-media/comunicati/dettaglio-comunicato/?NEWS_ID=187529&amp;tx_tichareamedia_comunicazioni%5Baction%5D=show&amp;tx_tichareamedia_comunicazioni%5Bcontroller%5D=Comunicazioni&amp;cHash=8ce8f2f412a3bb9022fb4a28c9ad7fa4"/>
    <m/>
    <s v=""/>
    <m/>
    <s v="56.0"/>
    <m/>
    <s v=""/>
    <n v="46.295617"/>
    <n v="8.8089239999999993"/>
    <s v="Ticino"/>
    <n v="21"/>
    <n v="47"/>
    <n v="7"/>
    <n v="396.1"/>
    <n v="18.943000000000001"/>
  </r>
  <r>
    <x v="30"/>
    <d v="1899-12-30T03:00:00"/>
    <x v="22"/>
    <n v="85"/>
    <n v="38"/>
    <n v="3"/>
    <n v="4"/>
    <m/>
    <m/>
    <n v="2"/>
    <m/>
    <s v="https://www.ur.ch/themen/2920"/>
    <m/>
    <s v=""/>
    <m/>
    <s v=""/>
    <m/>
    <s v=""/>
    <n v="46.771849000000003"/>
    <n v="8.6285860000000003"/>
    <s v="Uri"/>
    <n v="4"/>
    <n v="13"/>
    <n v="0"/>
    <n v="104.68"/>
    <m/>
  </r>
  <r>
    <x v="30"/>
    <d v="1899-12-30T03:00:00"/>
    <x v="9"/>
    <m/>
    <n v="2604"/>
    <n v="13"/>
    <n v="326"/>
    <n v="57"/>
    <m/>
    <n v="148"/>
    <n v="57"/>
    <s v="https://www.vd.ch/toutes-les-actualites/hotline-et-informations-sur-le-coronavirus/point-de-situation-statistique-dans-le-canton-de-vaud/"/>
    <m/>
    <s v=""/>
    <m/>
    <s v=""/>
    <m/>
    <s v=""/>
    <n v="46.570090999999998"/>
    <n v="6.5578090000000007"/>
    <s v="Vaud"/>
    <n v="22"/>
    <n v="302"/>
    <n v="17"/>
    <n v="328.33"/>
    <n v="7.1870000000000003"/>
  </r>
  <r>
    <x v="30"/>
    <d v="1899-12-30T15:00:00"/>
    <x v="10"/>
    <m/>
    <n v="875"/>
    <n v="10"/>
    <n v="128"/>
    <n v="19"/>
    <n v="17"/>
    <n v="3"/>
    <n v="17"/>
    <s v="https://www.vs.ch/documents/6756452/7008787/2020%2004%2012%20Sit%20Epid%20-%20%C3%89tat%20Stand"/>
    <m/>
    <s v=""/>
    <m/>
    <s v=""/>
    <m/>
    <s v=""/>
    <n v="46.209567"/>
    <n v="7.6046589999999998"/>
    <s v="Valais/Wallis"/>
    <n v="23"/>
    <n v="81"/>
    <n v="2"/>
    <n v="256.22000000000003"/>
    <n v="4.9779999999999998"/>
  </r>
  <r>
    <x v="30"/>
    <d v="1899-12-30T08:00:00"/>
    <x v="11"/>
    <m/>
    <n v="94"/>
    <n v="2"/>
    <n v="12"/>
    <n v="5"/>
    <m/>
    <n v="15"/>
    <n v="0"/>
    <s v="https://www.zg.ch/behoerden/gesundheitsdirektion/statistikfachstelle/themen/gesundheit/corona"/>
    <m/>
    <s v=""/>
    <m/>
    <s v=""/>
    <m/>
    <s v=""/>
    <n v="47.157296000000002"/>
    <n v="8.5372939999999993"/>
    <s v="Zug"/>
    <n v="9"/>
    <n v="7"/>
    <n v="0"/>
    <n v="74.959999999999994"/>
    <n v="0"/>
  </r>
  <r>
    <x v="30"/>
    <d v="1899-12-30T14:30:00"/>
    <x v="5"/>
    <m/>
    <n v="1503"/>
    <n v="10"/>
    <n v="156"/>
    <m/>
    <n v="35"/>
    <m/>
    <n v="13"/>
    <s v="https://gd.zh.ch/internet/gesundheitsdirektion/de/themen/coronavirus.html"/>
    <m/>
    <s v=""/>
    <m/>
    <s v=""/>
    <m/>
    <s v=""/>
    <n v="47.412750000000003"/>
    <n v="8.6550799999999999"/>
    <s v="Zürich"/>
    <n v="1"/>
    <n v="132"/>
    <n v="3"/>
    <n v="99.91"/>
    <n v="0.86399999999999999"/>
  </r>
  <r>
    <x v="31"/>
    <d v="1899-12-30T15:00:00"/>
    <x v="6"/>
    <m/>
    <n v="364"/>
    <n v="12"/>
    <n v="50"/>
    <n v="12"/>
    <n v="10"/>
    <n v="4"/>
    <n v="3"/>
    <s v="https://www.ag.ch/media/kanton_aargau/themen_1/coronavirus_1/lagebulletins/200327_KFS_Coronavirus_Lagebulletin_21.pdf"/>
    <m/>
    <s v=""/>
    <m/>
    <s v=""/>
    <m/>
    <s v=""/>
    <n v="47.409660000000002"/>
    <n v="8.1568799999999992"/>
    <s v="Aargau"/>
    <n v="1"/>
    <n v="15"/>
    <n v="1"/>
    <n v="54.25"/>
    <n v="0.44700000000000001"/>
  </r>
  <r>
    <x v="31"/>
    <d v="1899-12-30T18:00:00"/>
    <x v="24"/>
    <m/>
    <n v="12"/>
    <n v="0"/>
    <n v="1"/>
    <m/>
    <m/>
    <m/>
    <m/>
    <s v="https://www.ai.ch/themen/gesundheit-alter-und-soziales/gesundheitsfoerderung-und-praevention/uebertragbare-krankheiten/coronavirus"/>
    <m/>
    <s v=""/>
    <m/>
    <s v=""/>
    <m/>
    <s v=""/>
    <n v="47.317264000000002"/>
    <n v="9.4167539999999992"/>
    <s v="Appenzell Innerrhoden"/>
    <n v="16"/>
    <n v="1"/>
    <n v="0"/>
    <n v="74.53"/>
    <m/>
  </r>
  <r>
    <x v="31"/>
    <d v="1899-12-30T13:00:00"/>
    <x v="18"/>
    <m/>
    <n v="44"/>
    <n v="0"/>
    <n v="6"/>
    <m/>
    <m/>
    <m/>
    <n v="2"/>
    <s v="https://www.ar.ch/verwaltung/departement-gesundheit-und-soziales/amt-fuer-gesundheit/informationsseite-coronavirus/"/>
    <m/>
    <s v=""/>
    <m/>
    <s v=""/>
    <m/>
    <s v=""/>
    <n v="47.416351999999996"/>
    <n v="9.3679100000000002"/>
    <s v="Appenzell Ausserrhoden"/>
    <n v="15"/>
    <n v="2"/>
    <n v="0"/>
    <n v="79.709999999999994"/>
    <n v="3.6230000000000002"/>
  </r>
  <r>
    <x v="31"/>
    <d v="1899-12-30T03:00:00"/>
    <x v="7"/>
    <m/>
    <n v="718"/>
    <n v="0"/>
    <m/>
    <m/>
    <m/>
    <m/>
    <n v="8"/>
    <s v="https://www.besondere-lage.sites.be.ch/besondere-lage_sites/de/index/corona/index.html"/>
    <m/>
    <s v=""/>
    <m/>
    <s v=""/>
    <m/>
    <s v=""/>
    <n v="46.823608"/>
    <n v="7.6366670000000001"/>
    <s v="Bern/Berne"/>
    <n v="2"/>
    <n v="58"/>
    <n v="1"/>
    <n v="69.63"/>
    <n v="0.77600000000000002"/>
  </r>
  <r>
    <x v="31"/>
    <d v="1899-12-30T03:00:00"/>
    <x v="8"/>
    <m/>
    <n v="466"/>
    <n v="11"/>
    <n v="79"/>
    <n v="11"/>
    <m/>
    <n v="76"/>
    <n v="5"/>
    <s v="https://www.baselland.ch/politik-und-behorden/direktionen/volkswirtschafts-und-gesundheitsdirektion/amt-fur-gesundheit/medizinische-dienste/kantonsarztlicher-dienst/aktuelles/covid-19-faelle-kanton-basel-landschaft"/>
    <m/>
    <s v=""/>
    <m/>
    <s v=""/>
    <m/>
    <s v=""/>
    <n v="47.45176"/>
    <n v="7.7024140000000001"/>
    <s v="Basel-Landschaft"/>
    <n v="13"/>
    <n v="44"/>
    <n v="0"/>
    <n v="162.37"/>
    <n v="1.742"/>
  </r>
  <r>
    <x v="31"/>
    <d v="1899-12-30T10:00:00"/>
    <x v="2"/>
    <n v="235"/>
    <n v="534"/>
    <n v="2"/>
    <n v="76"/>
    <n v="8"/>
    <m/>
    <n v="191"/>
    <n v="13"/>
    <s v="https://www.coronavirus.bs.ch/nm/2020-tagesbulletin-coronavirus-534-bestaetigte-faelle-im-kanton-basel-stadt-gd.html"/>
    <n v="343"/>
    <s v="19.0"/>
    <m/>
    <s v=""/>
    <m/>
    <s v=""/>
    <n v="47.564869000000002"/>
    <n v="7.615259"/>
    <s v="Basel-Stadt"/>
    <n v="12"/>
    <n v="29"/>
    <n v="1"/>
    <n v="275.39999999999998"/>
    <n v="6.7039999999999997"/>
  </r>
  <r>
    <x v="31"/>
    <d v="1899-12-30T03:00:00"/>
    <x v="3"/>
    <n v="900"/>
    <n v="60"/>
    <n v="0"/>
    <m/>
    <m/>
    <m/>
    <n v="1"/>
    <m/>
    <s v="https://www.regierung.li/media/attachments/152-regierung-bedankt-sich.pdf?t=637209361840426241"/>
    <m/>
    <s v=""/>
    <m/>
    <s v=""/>
    <m/>
    <s v=""/>
    <n v="47.166666999999997"/>
    <n v="9.509722"/>
    <s v="Fürstentum Lichtenstein"/>
    <n v="0"/>
    <n v="4"/>
    <n v="0"/>
    <n v="155.44"/>
    <m/>
  </r>
  <r>
    <x v="31"/>
    <d v="1899-12-30T03:00:00"/>
    <x v="12"/>
    <n v="30"/>
    <n v="369"/>
    <n v="6"/>
    <n v="50"/>
    <n v="8"/>
    <m/>
    <m/>
    <n v="15"/>
    <s v="https://www.fr.ch/covid19/sante/covid-19/coronavirus-statistiques-evolution-de-la-situation-dans-le-canton"/>
    <m/>
    <s v=""/>
    <m/>
    <s v=""/>
    <m/>
    <s v=""/>
    <n v="46.718390999999997"/>
    <n v="7.0740080000000001"/>
    <s v="Fribourg"/>
    <n v="10"/>
    <n v="60"/>
    <n v="4"/>
    <n v="117.11"/>
    <n v="4.76"/>
  </r>
  <r>
    <x v="31"/>
    <d v="1899-12-30T03:00:00"/>
    <x v="0"/>
    <n v="9450"/>
    <n v="2209"/>
    <n v="41"/>
    <n v="313"/>
    <n v="54"/>
    <n v="54"/>
    <n v="153"/>
    <n v="31"/>
    <s v="https://www.ge.ch/document/covid-19-situation-epidemiologique-geneve/telecharger"/>
    <m/>
    <s v=""/>
    <m/>
    <s v=""/>
    <n v="23"/>
    <s v=""/>
    <n v="46.220528000000002"/>
    <n v="6.1329349999999998"/>
    <s v="Genève"/>
    <n v="25"/>
    <n v="188"/>
    <n v="7"/>
    <n v="446.08"/>
    <n v="6.26"/>
  </r>
  <r>
    <x v="31"/>
    <d v="1899-12-30T13:30:00"/>
    <x v="13"/>
    <m/>
    <n v="44"/>
    <n v="1"/>
    <n v="3"/>
    <m/>
    <m/>
    <m/>
    <m/>
    <s v="https://www.gl.ch/verwaltung/finanzen-und-gesundheit/gesundheit/coronavirus.html/4817#Fallzahlen"/>
    <m/>
    <s v=""/>
    <m/>
    <s v=""/>
    <m/>
    <s v=""/>
    <n v="46.931042000000005"/>
    <n v="9.0657510000000006"/>
    <s v="Glarus"/>
    <n v="8"/>
    <n v="1"/>
    <n v="0"/>
    <n v="109.18"/>
    <m/>
  </r>
  <r>
    <x v="31"/>
    <d v="1899-12-30T03:00:00"/>
    <x v="26"/>
    <m/>
    <n v="409"/>
    <n v="7"/>
    <n v="52"/>
    <m/>
    <m/>
    <m/>
    <n v="9"/>
    <s v="https://www.gr.ch/DE/institutionen/verwaltung/djsg/ga/coronavirus/info/Seiten/Start.aspx"/>
    <m/>
    <s v=""/>
    <m/>
    <s v=""/>
    <m/>
    <s v=""/>
    <n v="46.656247999999998"/>
    <n v="9.6281979999999994"/>
    <s v="Graubünden/Grigioni"/>
    <n v="1"/>
    <n v="36"/>
    <n v="0"/>
    <n v="206.67"/>
    <n v="4.548"/>
  </r>
  <r>
    <x v="31"/>
    <d v="1899-12-30T16:00:00"/>
    <x v="4"/>
    <m/>
    <n v="114"/>
    <n v="3"/>
    <n v="25"/>
    <n v="6"/>
    <m/>
    <m/>
    <m/>
    <s v="https://www.jura.ch/fr/Autorites/Coronavirus/Chiffres-H-JU/Evolution-des-cas-COVID-19-dans-le-Jura.html"/>
    <m/>
    <s v=""/>
    <m/>
    <s v=""/>
    <m/>
    <s v=""/>
    <n v="47.350743999999999"/>
    <n v="7.1561070000000004"/>
    <s v="Jura"/>
    <n v="26"/>
    <n v="14"/>
    <n v="0"/>
    <n v="155.53"/>
    <m/>
  </r>
  <r>
    <x v="31"/>
    <d v="1899-12-30T11:00:00"/>
    <x v="17"/>
    <m/>
    <n v="287"/>
    <n v="0"/>
    <m/>
    <m/>
    <m/>
    <m/>
    <n v="3"/>
    <s v="https://gesundheit.lu.ch/themen/Humanmedizin/Infektionskrankheiten/Coronavirus"/>
    <m/>
    <s v=""/>
    <m/>
    <s v=""/>
    <m/>
    <s v=""/>
    <n v="47.067762999999999"/>
    <n v="8.1102000000000007"/>
    <s v="Luzern"/>
    <n v="3"/>
    <n v="34"/>
    <n v="0"/>
    <n v="70.599999999999994"/>
    <n v="0.73799999999999999"/>
  </r>
  <r>
    <x v="31"/>
    <d v="1899-12-30T14:00:00"/>
    <x v="14"/>
    <m/>
    <n v="316"/>
    <n v="3"/>
    <n v="45"/>
    <n v="9"/>
    <n v="7"/>
    <m/>
    <n v="13"/>
    <s v="https://www.ne.ch/autorites/DFS/SCSP/medecin-cantonal/maladies-vaccinations/Documents/Covid-19-Statistiques/COVID19_PublicationInternet.pdf"/>
    <m/>
    <s v=""/>
    <m/>
    <s v=""/>
    <m/>
    <s v=""/>
    <n v="46.995533999999999"/>
    <n v="6.7801260000000001"/>
    <s v="Neuchâtel"/>
    <n v="24"/>
    <n v="17"/>
    <n v="1"/>
    <n v="177.53"/>
    <n v="7.3029999999999999"/>
  </r>
  <r>
    <x v="31"/>
    <d v="1899-12-30T15:15:00"/>
    <x v="20"/>
    <m/>
    <n v="54"/>
    <n v="0"/>
    <m/>
    <m/>
    <m/>
    <m/>
    <m/>
    <s v="https://www.nw.ch/gesundheitsamtdienste/6044"/>
    <m/>
    <s v=""/>
    <m/>
    <s v=""/>
    <m/>
    <s v=""/>
    <n v="46.926755"/>
    <n v="8.4053020000000007"/>
    <s v="Nidwalden"/>
    <n v="7"/>
    <n v="6"/>
    <n v="0"/>
    <n v="125.58"/>
    <m/>
  </r>
  <r>
    <x v="31"/>
    <d v="1899-12-30T03:00:00"/>
    <x v="23"/>
    <n v="6"/>
    <n v="37"/>
    <n v="0"/>
    <m/>
    <m/>
    <m/>
    <m/>
    <m/>
    <s v="https://www.ow.ch/de/verwaltung/dienstleistungen/?dienst_id=5962"/>
    <m/>
    <s v=""/>
    <m/>
    <s v=""/>
    <m/>
    <s v=""/>
    <n v="46.804527"/>
    <n v="8.1443170000000009"/>
    <s v="Obwalden"/>
    <n v="6"/>
    <n v="7"/>
    <n v="0"/>
    <n v="98.4"/>
    <m/>
  </r>
  <r>
    <x v="31"/>
    <d v="1899-12-30T03:00:00"/>
    <x v="21"/>
    <m/>
    <n v="37"/>
    <n v="4"/>
    <n v="10"/>
    <n v="1"/>
    <m/>
    <m/>
    <n v="0"/>
    <s v="https://sh.ch/CMS/Webseite/Kanton-Schaffhausen/Beh-rde/Verwaltung/Departement-des-Innern/Gesundheitsamt-3209198-DE.html"/>
    <m/>
    <s v=""/>
    <m/>
    <s v=""/>
    <m/>
    <s v=""/>
    <n v="47.713569999999997"/>
    <n v="8.5916700000000006"/>
    <s v="Schaffhausen"/>
    <n v="14"/>
    <n v="1"/>
    <n v="0"/>
    <n v="45.45"/>
    <n v="0"/>
  </r>
  <r>
    <x v="31"/>
    <d v="1899-12-30T03:00:00"/>
    <x v="19"/>
    <m/>
    <n v="157"/>
    <n v="0"/>
    <m/>
    <m/>
    <m/>
    <m/>
    <n v="1"/>
    <s v="https://corona.so.ch/"/>
    <m/>
    <s v=""/>
    <m/>
    <s v=""/>
    <m/>
    <s v=""/>
    <n v="47.304135000000002"/>
    <n v="7.6393880000000003"/>
    <s v="Solothurn"/>
    <n v="11"/>
    <n v="16"/>
    <n v="0"/>
    <n v="57.85"/>
    <n v="0.36799999999999999"/>
  </r>
  <r>
    <x v="31"/>
    <d v="1899-12-30T03:00:00"/>
    <x v="16"/>
    <n v="10"/>
    <n v="119"/>
    <n v="0"/>
    <n v="1"/>
    <m/>
    <m/>
    <n v="32"/>
    <n v="1"/>
    <s v="https://www.sz.ch/behoerden/information-medien/medienmitteilungen/coronavirus.html/72-416-412-1379-6948"/>
    <m/>
    <s v=""/>
    <m/>
    <s v=""/>
    <m/>
    <s v=""/>
    <n v="47.061787000000002"/>
    <n v="8.7565849999999994"/>
    <s v="Schwyz"/>
    <n v="5"/>
    <n v="20"/>
    <n v="0"/>
    <n v="75.650000000000006"/>
    <n v="0.63600000000000001"/>
  </r>
  <r>
    <x v="31"/>
    <d v="1899-12-30T03:00:00"/>
    <x v="25"/>
    <n v="276"/>
    <n v="117"/>
    <n v="0"/>
    <m/>
    <m/>
    <m/>
    <m/>
    <n v="2"/>
    <s v="https://www.tg.ch/news/fachdossier-coronavirus.html/10552 &amp; email der Staatskanzlei des Kanton Thurgau"/>
    <m/>
    <s v=""/>
    <m/>
    <s v=""/>
    <m/>
    <s v=""/>
    <n v="47.568714999999997"/>
    <n v="9.0919570000000007"/>
    <s v="Thurgau"/>
    <n v="1"/>
    <n v="7"/>
    <n v="1"/>
    <n v="42.73"/>
    <n v="0.73"/>
  </r>
  <r>
    <x v="31"/>
    <d v="1899-12-30T08:00:00"/>
    <x v="1"/>
    <m/>
    <n v="1688"/>
    <n v="28"/>
    <n v="386"/>
    <n v="61"/>
    <n v="51"/>
    <m/>
    <n v="76"/>
    <s v="https://www4.ti.ch/area-media/comunicati/dettaglio-comunicato/?NEWS_ID=187533&amp;tx_tichareamedia_comunicazioni%5Baction%5D=show&amp;tx_tichareamedia_comunicazioni%5Bcontroller%5D=Comunicazioni&amp;cHash=0f01b9fd5e63dbb0f6f5cec02aa32b40"/>
    <m/>
    <s v=""/>
    <m/>
    <s v="51.0"/>
    <m/>
    <s v=""/>
    <n v="46.295617"/>
    <n v="8.8089239999999993"/>
    <s v="Ticino"/>
    <n v="21"/>
    <n v="287"/>
    <n v="9"/>
    <n v="477.24"/>
    <n v="21.486999999999998"/>
  </r>
  <r>
    <x v="31"/>
    <d v="1899-12-30T03:00:00"/>
    <x v="22"/>
    <n v="85"/>
    <n v="40"/>
    <n v="3"/>
    <n v="7"/>
    <m/>
    <m/>
    <n v="3"/>
    <m/>
    <s v="https://www.ur.ch/themen/2920"/>
    <m/>
    <s v=""/>
    <m/>
    <s v=""/>
    <m/>
    <s v=""/>
    <n v="46.771849000000003"/>
    <n v="8.6285860000000003"/>
    <s v="Uri"/>
    <n v="4"/>
    <n v="2"/>
    <n v="0"/>
    <n v="110.19"/>
    <m/>
  </r>
  <r>
    <x v="31"/>
    <d v="1899-12-30T03:00:00"/>
    <x v="9"/>
    <m/>
    <n v="2817"/>
    <n v="35"/>
    <n v="361"/>
    <n v="61"/>
    <m/>
    <n v="174"/>
    <n v="61"/>
    <s v="https://www.vd.ch/toutes-les-actualites/hotline-et-informations-sur-le-coronavirus/point-de-situation-statistique-dans-le-canton-de-vaud/"/>
    <m/>
    <s v=""/>
    <m/>
    <s v=""/>
    <m/>
    <s v=""/>
    <n v="46.570090999999998"/>
    <n v="6.5578090000000007"/>
    <s v="Vaud"/>
    <n v="22"/>
    <n v="213"/>
    <n v="4"/>
    <n v="355.19"/>
    <n v="7.6909999999999998"/>
  </r>
  <r>
    <x v="31"/>
    <d v="1899-12-30T15:00:00"/>
    <x v="10"/>
    <m/>
    <n v="969"/>
    <n v="10"/>
    <n v="138"/>
    <n v="20"/>
    <n v="16"/>
    <n v="3"/>
    <n v="21"/>
    <s v="https://www.vs.ch/documents/6756452/7008787/2020%2004%2012%20Sit%20Epid%20-%20%C3%89tat%20Stand"/>
    <m/>
    <s v=""/>
    <m/>
    <s v=""/>
    <m/>
    <s v=""/>
    <n v="46.209567"/>
    <n v="7.6046589999999998"/>
    <s v="Valais/Wallis"/>
    <n v="23"/>
    <n v="94"/>
    <n v="4"/>
    <n v="283.75"/>
    <n v="6.149"/>
  </r>
  <r>
    <x v="31"/>
    <d v="1899-12-30T08:00:00"/>
    <x v="11"/>
    <m/>
    <n v="101"/>
    <n v="0"/>
    <n v="12"/>
    <n v="5"/>
    <m/>
    <n v="18"/>
    <n v="1"/>
    <s v="https://www.zg.ch/behoerden/gesundheitsdirektion/statistikfachstelle/themen/gesundheit/corona"/>
    <m/>
    <s v=""/>
    <m/>
    <s v=""/>
    <m/>
    <s v=""/>
    <n v="47.157296000000002"/>
    <n v="8.5372939999999993"/>
    <s v="Zug"/>
    <n v="9"/>
    <n v="7"/>
    <n v="1"/>
    <n v="80.540000000000006"/>
    <n v="0.79700000000000004"/>
  </r>
  <r>
    <x v="31"/>
    <d v="1899-12-30T14:30:00"/>
    <x v="5"/>
    <m/>
    <n v="1630"/>
    <n v="15"/>
    <n v="171"/>
    <m/>
    <n v="38"/>
    <m/>
    <n v="15"/>
    <s v="https://gd.zh.ch/internet/gesundheitsdirektion/de/themen/coronavirus.html"/>
    <m/>
    <s v=""/>
    <m/>
    <s v=""/>
    <m/>
    <s v=""/>
    <n v="47.412750000000003"/>
    <n v="8.6550799999999999"/>
    <s v="Zürich"/>
    <n v="1"/>
    <n v="127"/>
    <n v="2"/>
    <n v="108.36"/>
    <n v="0.997"/>
  </r>
  <r>
    <x v="32"/>
    <d v="1899-12-30T18:00:00"/>
    <x v="24"/>
    <m/>
    <n v="13"/>
    <n v="0"/>
    <n v="1"/>
    <m/>
    <m/>
    <m/>
    <m/>
    <s v="https://www.ai.ch/themen/gesundheit-alter-und-soziales/gesundheitsfoerderung-und-praevention/uebertragbare-krankheiten/coronavirus"/>
    <m/>
    <s v=""/>
    <m/>
    <s v=""/>
    <m/>
    <s v=""/>
    <n v="47.317264000000002"/>
    <n v="9.4167539999999992"/>
    <s v="Appenzell Innerrhoden"/>
    <n v="16"/>
    <n v="1"/>
    <n v="0"/>
    <n v="80.75"/>
    <m/>
  </r>
  <r>
    <x v="32"/>
    <d v="1899-12-30T08:00:00"/>
    <x v="18"/>
    <m/>
    <n v="45"/>
    <n v="0"/>
    <n v="6"/>
    <m/>
    <m/>
    <m/>
    <n v="2"/>
    <s v="https://www.ar.ch/verwaltung/departement-gesundheit-und-soziales/amt-fuer-gesundheit/informationsseite-coronavirus/"/>
    <m/>
    <s v=""/>
    <m/>
    <s v=""/>
    <m/>
    <s v=""/>
    <n v="47.416351999999996"/>
    <n v="9.3679100000000002"/>
    <s v="Appenzell Ausserrhoden"/>
    <n v="15"/>
    <n v="1"/>
    <n v="0"/>
    <n v="81.52"/>
    <n v="3.6230000000000002"/>
  </r>
  <r>
    <x v="32"/>
    <d v="1899-12-30T03:00:00"/>
    <x v="7"/>
    <m/>
    <n v="767"/>
    <n v="0"/>
    <m/>
    <m/>
    <m/>
    <m/>
    <n v="9"/>
    <s v="https://www.besondere-lage.sites.be.ch/besondere-lage_sites/de/index/corona/index.html"/>
    <m/>
    <s v=""/>
    <m/>
    <s v=""/>
    <m/>
    <s v=""/>
    <n v="46.823608"/>
    <n v="7.6366670000000001"/>
    <s v="Bern/Berne"/>
    <n v="2"/>
    <n v="49"/>
    <n v="1"/>
    <n v="74.39"/>
    <n v="0.873"/>
  </r>
  <r>
    <x v="32"/>
    <d v="1899-12-30T03:00:00"/>
    <x v="8"/>
    <m/>
    <n v="502"/>
    <n v="-4"/>
    <n v="75"/>
    <n v="14"/>
    <n v="13"/>
    <n v="100"/>
    <n v="6"/>
    <s v="https://www.baselland.ch/politik-und-behorden/direktionen/volkswirtschafts-und-gesundheitsdirektion/amt-fur-gesundheit/medizinische-dienste/kantonsarztlicher-dienst/aktuelles/covid-19-faelle-kanton-basel-landschaft"/>
    <m/>
    <s v=""/>
    <m/>
    <s v=""/>
    <m/>
    <s v=""/>
    <n v="47.45176"/>
    <n v="7.7024140000000001"/>
    <s v="Basel-Landschaft"/>
    <n v="13"/>
    <n v="36"/>
    <n v="1"/>
    <n v="174.91"/>
    <n v="2.0910000000000002"/>
  </r>
  <r>
    <x v="32"/>
    <d v="1899-12-30T10:00:00"/>
    <x v="2"/>
    <n v="235"/>
    <n v="573"/>
    <n v="3"/>
    <n v="79"/>
    <n v="11"/>
    <m/>
    <n v="211"/>
    <n v="13"/>
    <s v="https://www.coronavirus.bs.ch/nm/2020-tagesbulletin-coronavirus-573-bestaetigte-faelle-im-kanton-basel-stadt-gd.html"/>
    <n v="365"/>
    <s v="20.0"/>
    <m/>
    <s v=""/>
    <m/>
    <s v=""/>
    <n v="47.564869000000002"/>
    <n v="7.615259"/>
    <s v="Basel-Stadt"/>
    <n v="12"/>
    <n v="39"/>
    <n v="0"/>
    <n v="295.51"/>
    <n v="6.7039999999999997"/>
  </r>
  <r>
    <x v="32"/>
    <d v="1899-12-30T03:00:00"/>
    <x v="3"/>
    <n v="900"/>
    <n v="61"/>
    <n v="0"/>
    <m/>
    <m/>
    <m/>
    <n v="1"/>
    <m/>
    <s v="https://www.regierung.li/de/mitteilungen/223346/?typ=news"/>
    <m/>
    <s v=""/>
    <m/>
    <s v=""/>
    <m/>
    <s v=""/>
    <n v="47.166666999999997"/>
    <n v="9.509722"/>
    <s v="Fürstentum Lichtenstein"/>
    <n v="0"/>
    <n v="1"/>
    <n v="0"/>
    <n v="158.03"/>
    <m/>
  </r>
  <r>
    <x v="32"/>
    <d v="1899-12-30T03:00:00"/>
    <x v="12"/>
    <n v="30"/>
    <n v="421"/>
    <n v="17"/>
    <n v="67"/>
    <n v="12"/>
    <m/>
    <m/>
    <n v="15"/>
    <s v="https://www.fr.ch/covid19/sante/covid-19/coronavirus-statistiques-evolution-de-la-situation-dans-le-canton"/>
    <m/>
    <s v=""/>
    <m/>
    <s v=""/>
    <m/>
    <s v=""/>
    <n v="46.718390999999997"/>
    <n v="7.0740080000000001"/>
    <s v="Fribourg"/>
    <n v="10"/>
    <n v="52"/>
    <n v="0"/>
    <n v="133.61000000000001"/>
    <n v="4.76"/>
  </r>
  <r>
    <x v="32"/>
    <d v="1899-12-30T03:00:00"/>
    <x v="0"/>
    <n v="10057"/>
    <n v="2405"/>
    <n v="26"/>
    <n v="339"/>
    <n v="59"/>
    <n v="54"/>
    <n v="175"/>
    <n v="39"/>
    <s v="https://www.ge.ch/document/covid-19-situation-epidemiologique-geneve/telecharger"/>
    <m/>
    <s v=""/>
    <m/>
    <s v=""/>
    <n v="24"/>
    <s v=""/>
    <n v="46.220528000000002"/>
    <n v="6.1329349999999998"/>
    <s v="Genève"/>
    <n v="25"/>
    <n v="196"/>
    <n v="8"/>
    <n v="485.66"/>
    <n v="7.8760000000000003"/>
  </r>
  <r>
    <x v="32"/>
    <d v="1899-12-30T13:30:00"/>
    <x v="13"/>
    <m/>
    <n v="47"/>
    <n v="0"/>
    <n v="3"/>
    <m/>
    <m/>
    <m/>
    <n v="1"/>
    <s v="https://www.gl.ch/verwaltung/finanzen-und-gesundheit/gesundheit/coronavirus.html/4817#Fallzahlen"/>
    <m/>
    <s v=""/>
    <m/>
    <s v=""/>
    <m/>
    <s v=""/>
    <n v="46.931042000000005"/>
    <n v="9.0657510000000006"/>
    <s v="Glarus"/>
    <n v="8"/>
    <n v="3"/>
    <n v="0"/>
    <n v="116.63"/>
    <n v="2.4809999999999999"/>
  </r>
  <r>
    <x v="32"/>
    <d v="1899-12-30T16:00:00"/>
    <x v="4"/>
    <m/>
    <n v="119"/>
    <n v="2"/>
    <n v="27"/>
    <n v="5"/>
    <m/>
    <m/>
    <m/>
    <s v="https://www.jura.ch/fr/Autorites/Coronavirus/Chiffres-H-JU/Evolution-des-cas-COVID-19-dans-le-Jura.html"/>
    <m/>
    <s v=""/>
    <m/>
    <s v=""/>
    <m/>
    <s v=""/>
    <n v="47.350743999999999"/>
    <n v="7.1561070000000004"/>
    <s v="Jura"/>
    <n v="26"/>
    <n v="5"/>
    <n v="0"/>
    <n v="162.35"/>
    <m/>
  </r>
  <r>
    <x v="32"/>
    <d v="1899-12-30T11:00:00"/>
    <x v="17"/>
    <m/>
    <n v="317"/>
    <n v="0"/>
    <m/>
    <m/>
    <m/>
    <m/>
    <n v="4"/>
    <s v="https://gesundheit.lu.ch/themen/Humanmedizin/Infektionskrankheiten/Coronavirus"/>
    <m/>
    <s v=""/>
    <m/>
    <s v=""/>
    <m/>
    <s v=""/>
    <n v="47.067762999999999"/>
    <n v="8.1102000000000007"/>
    <s v="Luzern"/>
    <n v="3"/>
    <n v="30"/>
    <n v="1"/>
    <n v="77.98"/>
    <n v="0.98399999999999999"/>
  </r>
  <r>
    <x v="32"/>
    <d v="1899-12-30T14:00:00"/>
    <x v="14"/>
    <m/>
    <n v="337"/>
    <n v="5"/>
    <n v="50"/>
    <n v="11"/>
    <n v="8"/>
    <m/>
    <n v="15"/>
    <s v="https://www.ne.ch/autorites/DFS/SCSP/medecin-cantonal/maladies-vaccinations/Documents/Covid-19-Statistiques/COVID19_PublicationInternet.pdf"/>
    <m/>
    <s v=""/>
    <m/>
    <s v=""/>
    <m/>
    <s v=""/>
    <n v="46.995533999999999"/>
    <n v="6.7801260000000001"/>
    <s v="Neuchâtel"/>
    <n v="24"/>
    <n v="21"/>
    <n v="2"/>
    <n v="189.33"/>
    <n v="8.4269999999999996"/>
  </r>
  <r>
    <x v="32"/>
    <d v="1899-12-30T15:30:00"/>
    <x v="20"/>
    <m/>
    <n v="55"/>
    <n v="0"/>
    <m/>
    <m/>
    <m/>
    <m/>
    <m/>
    <s v="https://www.nw.ch/gesundheitsamtdienste/6044"/>
    <m/>
    <s v=""/>
    <m/>
    <s v=""/>
    <m/>
    <s v=""/>
    <n v="46.926755"/>
    <n v="8.4053020000000007"/>
    <s v="Nidwalden"/>
    <n v="7"/>
    <n v="1"/>
    <n v="0"/>
    <n v="127.91"/>
    <m/>
  </r>
  <r>
    <x v="32"/>
    <d v="1899-12-30T03:00:00"/>
    <x v="15"/>
    <m/>
    <n v="339"/>
    <n v="0"/>
    <m/>
    <m/>
    <m/>
    <m/>
    <n v="5"/>
    <s v="https://www.sg.ch/tools/informationen-coronavirus.html"/>
    <m/>
    <s v=""/>
    <m/>
    <s v=""/>
    <m/>
    <s v=""/>
    <n v="47.183199999999999"/>
    <n v="9.2747440000000001"/>
    <s v="St. Gallen"/>
    <n v="17"/>
    <n v="33"/>
    <n v="3"/>
    <n v="67.17"/>
    <n v="0.99099999999999999"/>
  </r>
  <r>
    <x v="32"/>
    <d v="1899-12-30T03:00:00"/>
    <x v="21"/>
    <m/>
    <n v="40"/>
    <n v="4"/>
    <n v="14"/>
    <n v="1"/>
    <m/>
    <m/>
    <n v="0"/>
    <s v="https://sh.ch/CMS/Webseite/Kanton-Schaffhausen/Beh-rde/Verwaltung/Departement-des-Innern/Gesundheitsamt-3209198-DE.html"/>
    <m/>
    <s v=""/>
    <m/>
    <s v=""/>
    <m/>
    <s v=""/>
    <n v="47.713569999999997"/>
    <n v="8.5916700000000006"/>
    <s v="Schaffhausen"/>
    <n v="14"/>
    <n v="3"/>
    <n v="0"/>
    <n v="49.14"/>
    <n v="0"/>
  </r>
  <r>
    <x v="32"/>
    <d v="1899-12-30T03:00:00"/>
    <x v="19"/>
    <m/>
    <n v="173"/>
    <n v="0"/>
    <m/>
    <m/>
    <m/>
    <m/>
    <n v="1"/>
    <s v="https://corona.so.ch/"/>
    <m/>
    <s v=""/>
    <m/>
    <s v=""/>
    <m/>
    <s v=""/>
    <n v="47.304135000000002"/>
    <n v="7.6393880000000003"/>
    <s v="Solothurn"/>
    <n v="11"/>
    <n v="16"/>
    <n v="0"/>
    <n v="63.74"/>
    <n v="0.36799999999999999"/>
  </r>
  <r>
    <x v="32"/>
    <d v="1899-12-30T03:00:00"/>
    <x v="16"/>
    <n v="10"/>
    <n v="122"/>
    <n v="0"/>
    <n v="1"/>
    <m/>
    <m/>
    <n v="33"/>
    <n v="2"/>
    <s v="https://www.sz.ch/behoerden/information-medien/medienmitteilungen/coronavirus.html/72-416-412-1379-6948"/>
    <m/>
    <s v=""/>
    <m/>
    <s v=""/>
    <m/>
    <s v=""/>
    <n v="47.061787000000002"/>
    <n v="8.7565849999999994"/>
    <s v="Schwyz"/>
    <n v="5"/>
    <n v="3"/>
    <n v="1"/>
    <n v="77.56"/>
    <n v="1.2709999999999999"/>
  </r>
  <r>
    <x v="32"/>
    <d v="1899-12-30T03:00:00"/>
    <x v="25"/>
    <n v="276"/>
    <n v="134"/>
    <n v="0"/>
    <m/>
    <m/>
    <m/>
    <m/>
    <n v="2"/>
    <s v="https://www.tg.ch/news/fachdossier-coronavirus.html/10552"/>
    <m/>
    <s v=""/>
    <m/>
    <s v=""/>
    <m/>
    <s v=""/>
    <n v="47.568714999999997"/>
    <n v="9.0919570000000007"/>
    <s v="Thurgau"/>
    <n v="1"/>
    <n v="17"/>
    <n v="0"/>
    <n v="48.94"/>
    <n v="0.73"/>
  </r>
  <r>
    <x v="32"/>
    <d v="1899-12-30T08:00:00"/>
    <x v="1"/>
    <m/>
    <n v="1727"/>
    <n v="-1"/>
    <n v="385"/>
    <n v="69"/>
    <n v="60"/>
    <m/>
    <n v="87"/>
    <s v="https://www4.ti.ch/area-media/comunicati/dettaglio-comunicato/?NEWS_ID=187538&amp;tx_tichareamedia_comunicazioni%5Baction%5D=show&amp;tx_tichareamedia_comunicazioni%5Bcontroller%5D=Comunicazioni&amp;cHash=736a7f1a780ed9bdb1d8e45f8a0326ff"/>
    <m/>
    <s v=""/>
    <m/>
    <s v="60.0"/>
    <m/>
    <s v=""/>
    <n v="46.295617"/>
    <n v="8.8089239999999993"/>
    <s v="Ticino"/>
    <n v="21"/>
    <n v="39"/>
    <n v="11"/>
    <n v="488.27"/>
    <n v="24.597000000000001"/>
  </r>
  <r>
    <x v="32"/>
    <d v="1899-12-30T03:00:00"/>
    <x v="22"/>
    <n v="85"/>
    <n v="48"/>
    <n v="0"/>
    <n v="7"/>
    <m/>
    <m/>
    <n v="3"/>
    <m/>
    <s v="https://www.ur.ch/themen/2920"/>
    <m/>
    <s v=""/>
    <m/>
    <s v=""/>
    <m/>
    <s v=""/>
    <n v="46.771849000000003"/>
    <n v="8.6285860000000003"/>
    <s v="Uri"/>
    <n v="4"/>
    <n v="8"/>
    <n v="0"/>
    <n v="132.22999999999999"/>
    <m/>
  </r>
  <r>
    <x v="32"/>
    <d v="1899-12-30T03:00:00"/>
    <x v="9"/>
    <m/>
    <n v="3002"/>
    <n v="9"/>
    <n v="370"/>
    <n v="63"/>
    <m/>
    <n v="187"/>
    <n v="72"/>
    <s v="https://www.vd.ch/toutes-les-actualites/hotline-et-informations-sur-le-coronavirus/point-de-situation-statistique-dans-le-canton-de-vaud/"/>
    <m/>
    <s v=""/>
    <m/>
    <s v=""/>
    <m/>
    <s v=""/>
    <n v="46.570090999999998"/>
    <n v="6.5578090000000007"/>
    <s v="Vaud"/>
    <n v="22"/>
    <n v="185"/>
    <n v="11"/>
    <n v="378.51"/>
    <n v="9.0779999999999994"/>
  </r>
  <r>
    <x v="32"/>
    <d v="1899-12-30T15:00:00"/>
    <x v="10"/>
    <m/>
    <n v="1018"/>
    <n v="5"/>
    <n v="143"/>
    <n v="21"/>
    <n v="19"/>
    <n v="3"/>
    <n v="25"/>
    <s v="https://www.vs.ch/documents/6756452/7008787/2020%2004%2012%20Sit%20Epid%20-%20%C3%89tat%20Stand"/>
    <m/>
    <s v=""/>
    <m/>
    <s v=""/>
    <m/>
    <s v=""/>
    <n v="46.209567"/>
    <n v="7.6046589999999998"/>
    <s v="Valais/Wallis"/>
    <n v="23"/>
    <n v="49"/>
    <n v="4"/>
    <n v="298.10000000000002"/>
    <n v="7.3209999999999997"/>
  </r>
  <r>
    <x v="32"/>
    <d v="1899-12-30T08:00:00"/>
    <x v="11"/>
    <m/>
    <n v="101"/>
    <n v="0"/>
    <n v="12"/>
    <n v="5"/>
    <m/>
    <n v="21"/>
    <n v="1"/>
    <s v="https://www.zg.ch/behoerden/gesundheitsdirektion/statistikfachstelle/themen/gesundheit/corona"/>
    <m/>
    <s v=""/>
    <m/>
    <s v=""/>
    <m/>
    <s v=""/>
    <n v="47.157296000000002"/>
    <n v="8.5372939999999993"/>
    <s v="Zug"/>
    <n v="9"/>
    <n v="0"/>
    <n v="0"/>
    <n v="80.540000000000006"/>
    <n v="0.79700000000000004"/>
  </r>
  <r>
    <x v="32"/>
    <d v="1899-12-30T14:30:00"/>
    <x v="5"/>
    <m/>
    <n v="1704"/>
    <n v="16"/>
    <n v="187"/>
    <m/>
    <n v="42"/>
    <m/>
    <n v="19"/>
    <s v="https://gd.zh.ch/internet/gesundheitsdirektion/de/themen/coronavirus.html"/>
    <m/>
    <s v=""/>
    <m/>
    <s v=""/>
    <m/>
    <s v=""/>
    <n v="47.412750000000003"/>
    <n v="8.6550799999999999"/>
    <s v="Zürich"/>
    <n v="1"/>
    <n v="74"/>
    <n v="4"/>
    <n v="113.28"/>
    <n v="1.2629999999999999"/>
  </r>
  <r>
    <x v="33"/>
    <d v="1899-12-30T08:00:00"/>
    <x v="18"/>
    <m/>
    <n v="48"/>
    <n v="0"/>
    <n v="6"/>
    <m/>
    <m/>
    <m/>
    <n v="2"/>
    <s v="https://www.ar.ch/verwaltung/departement-gesundheit-und-soziales/amt-fuer-gesundheit/informationsseite-coronavirus/"/>
    <m/>
    <s v=""/>
    <m/>
    <s v=""/>
    <m/>
    <s v=""/>
    <n v="47.416351999999996"/>
    <n v="9.3679100000000002"/>
    <s v="Appenzell Ausserrhoden"/>
    <n v="15"/>
    <n v="3"/>
    <n v="0"/>
    <n v="86.96"/>
    <n v="3.6230000000000002"/>
  </r>
  <r>
    <x v="33"/>
    <d v="1899-12-30T03:00:00"/>
    <x v="7"/>
    <m/>
    <n v="798"/>
    <n v="0"/>
    <m/>
    <m/>
    <m/>
    <m/>
    <n v="10"/>
    <s v="https://www.besondere-lage.sites.be.ch/besondere-lage_sites/de/index/corona/index.html"/>
    <m/>
    <s v=""/>
    <m/>
    <s v=""/>
    <m/>
    <s v=""/>
    <n v="46.823608"/>
    <n v="7.6366670000000001"/>
    <s v="Bern/Berne"/>
    <n v="2"/>
    <n v="31"/>
    <n v="1"/>
    <n v="77.39"/>
    <n v="0.97"/>
  </r>
  <r>
    <x v="33"/>
    <d v="1899-12-30T03:00:00"/>
    <x v="8"/>
    <m/>
    <n v="511"/>
    <n v="24"/>
    <n v="99"/>
    <n v="15"/>
    <n v="14"/>
    <n v="115"/>
    <n v="6"/>
    <s v="https://www.baselland.ch/politik-und-behorden/direktionen/volkswirtschafts-und-gesundheitsdirektion/amt-fur-gesundheit/medizinische-dienste/kantonsarztlicher-dienst/aktuelles/covid-19-faelle-kanton-basel-landschaft"/>
    <m/>
    <s v=""/>
    <m/>
    <s v=""/>
    <m/>
    <s v=""/>
    <n v="47.45176"/>
    <n v="7.7024140000000001"/>
    <s v="Basel-Landschaft"/>
    <n v="13"/>
    <n v="9"/>
    <n v="0"/>
    <n v="178.05"/>
    <n v="2.0910000000000002"/>
  </r>
  <r>
    <x v="33"/>
    <d v="1899-12-30T10:00:00"/>
    <x v="2"/>
    <n v="235"/>
    <n v="609"/>
    <n v="8"/>
    <n v="87"/>
    <n v="12"/>
    <m/>
    <n v="228"/>
    <n v="15"/>
    <s v="https://www.coronavirus.bs.ch/nm/2020-tagesbulletin-coronavirus-609-bestaetigte-faelle-im-kanton-basel-stadt-gd.html"/>
    <n v="373"/>
    <s v="22.0"/>
    <m/>
    <s v=""/>
    <m/>
    <s v=""/>
    <n v="47.564869000000002"/>
    <n v="7.615259"/>
    <s v="Basel-Stadt"/>
    <n v="12"/>
    <n v="36"/>
    <n v="2"/>
    <n v="314.08"/>
    <n v="7.7359999999999998"/>
  </r>
  <r>
    <x v="33"/>
    <d v="1899-12-30T03:00:00"/>
    <x v="3"/>
    <n v="900"/>
    <n v="62"/>
    <n v="0"/>
    <m/>
    <m/>
    <m/>
    <n v="1"/>
    <m/>
    <s v="https://www.regierung.li/de/mitteilungen/223347/?typ=news"/>
    <m/>
    <s v=""/>
    <m/>
    <s v=""/>
    <m/>
    <s v=""/>
    <n v="47.166666999999997"/>
    <n v="9.509722"/>
    <s v="Fürstentum Lichtenstein"/>
    <n v="0"/>
    <n v="1"/>
    <n v="0"/>
    <n v="160.62"/>
    <m/>
  </r>
  <r>
    <x v="33"/>
    <d v="1899-12-30T03:00:00"/>
    <x v="12"/>
    <n v="30"/>
    <n v="442"/>
    <n v="9"/>
    <n v="76"/>
    <n v="13"/>
    <m/>
    <m/>
    <n v="16"/>
    <s v="https://www.fr.ch/covid19/sante/covid-19/coronavirus-statistiques-evolution-de-la-situation-dans-le-canton"/>
    <m/>
    <s v=""/>
    <m/>
    <s v=""/>
    <m/>
    <s v=""/>
    <n v="46.718390999999997"/>
    <n v="7.0740080000000001"/>
    <s v="Fribourg"/>
    <n v="10"/>
    <n v="21"/>
    <n v="1"/>
    <n v="140.27000000000001"/>
    <n v="5.0780000000000003"/>
  </r>
  <r>
    <x v="33"/>
    <d v="1899-12-30T03:00:00"/>
    <x v="0"/>
    <n v="10366"/>
    <n v="2511"/>
    <n v="26"/>
    <n v="365"/>
    <n v="59"/>
    <n v="55"/>
    <n v="193"/>
    <n v="46"/>
    <s v="https://www.ge.ch/document/covid-19-situation-epidemiologique-geneve/telecharger"/>
    <m/>
    <s v=""/>
    <m/>
    <s v=""/>
    <n v="27"/>
    <s v=""/>
    <n v="46.220528000000002"/>
    <n v="6.1329349999999998"/>
    <s v="Genève"/>
    <n v="25"/>
    <n v="106"/>
    <n v="7"/>
    <n v="507.07"/>
    <n v="9.2889999999999997"/>
  </r>
  <r>
    <x v="33"/>
    <d v="1899-12-30T16:00:00"/>
    <x v="4"/>
    <m/>
    <n v="127"/>
    <n v="1"/>
    <n v="28"/>
    <n v="5"/>
    <m/>
    <m/>
    <m/>
    <s v="https://www.jura.ch/fr/Autorites/Coronavirus/Chiffres-H-JU/Evolution-des-cas-COVID-19-dans-le-Jura.html"/>
    <m/>
    <s v=""/>
    <m/>
    <s v=""/>
    <m/>
    <s v=""/>
    <n v="47.350743999999999"/>
    <n v="7.1561070000000004"/>
    <s v="Jura"/>
    <n v="26"/>
    <n v="8"/>
    <n v="0"/>
    <n v="173.26"/>
    <m/>
  </r>
  <r>
    <x v="33"/>
    <d v="1899-12-30T11:00:00"/>
    <x v="17"/>
    <m/>
    <n v="339"/>
    <n v="0"/>
    <m/>
    <m/>
    <m/>
    <m/>
    <n v="5"/>
    <s v="https://gesundheit.lu.ch/themen/Humanmedizin/Infektionskrankheiten/Coronavirus"/>
    <m/>
    <s v=""/>
    <m/>
    <s v=""/>
    <m/>
    <s v=""/>
    <n v="47.067762999999999"/>
    <n v="8.1102000000000007"/>
    <s v="Luzern"/>
    <n v="3"/>
    <n v="22"/>
    <n v="1"/>
    <n v="83.39"/>
    <n v="1.23"/>
  </r>
  <r>
    <x v="33"/>
    <d v="1899-12-30T14:00:00"/>
    <x v="14"/>
    <m/>
    <n v="346"/>
    <n v="10"/>
    <n v="60"/>
    <n v="16"/>
    <n v="6"/>
    <m/>
    <n v="18"/>
    <s v="https://www.ne.ch/autorites/DFS/SCSP/medecin-cantonal/maladies-vaccinations/Documents/Covid-19-Statistiques/COVID19_PublicationInternet.pdf"/>
    <m/>
    <s v=""/>
    <m/>
    <s v=""/>
    <m/>
    <s v=""/>
    <n v="46.995533999999999"/>
    <n v="6.7801260000000001"/>
    <s v="Neuchâtel"/>
    <n v="24"/>
    <n v="9"/>
    <n v="3"/>
    <n v="194.38"/>
    <n v="10.112"/>
  </r>
  <r>
    <x v="33"/>
    <d v="1899-12-30T16:15:00"/>
    <x v="20"/>
    <m/>
    <n v="59"/>
    <n v="0"/>
    <m/>
    <m/>
    <m/>
    <m/>
    <m/>
    <s v="https://www.nw.ch/gesundheitsamtdienste/6044"/>
    <m/>
    <s v=""/>
    <m/>
    <s v=""/>
    <m/>
    <s v=""/>
    <n v="46.926755"/>
    <n v="8.4053020000000007"/>
    <s v="Nidwalden"/>
    <n v="7"/>
    <n v="4"/>
    <n v="0"/>
    <n v="137.21"/>
    <m/>
  </r>
  <r>
    <x v="33"/>
    <d v="1899-12-30T03:00:00"/>
    <x v="15"/>
    <m/>
    <n v="365"/>
    <n v="0"/>
    <m/>
    <m/>
    <m/>
    <m/>
    <n v="5"/>
    <s v="https://www.sg.ch/tools/informationen-coronavirus.html"/>
    <m/>
    <s v=""/>
    <m/>
    <s v=""/>
    <m/>
    <s v=""/>
    <n v="47.183199999999999"/>
    <n v="9.2747440000000001"/>
    <s v="St. Gallen"/>
    <n v="17"/>
    <n v="26"/>
    <n v="0"/>
    <n v="72.319999999999993"/>
    <n v="0.99099999999999999"/>
  </r>
  <r>
    <x v="33"/>
    <d v="1899-12-30T03:00:00"/>
    <x v="21"/>
    <m/>
    <n v="41"/>
    <n v="1"/>
    <n v="15"/>
    <n v="1"/>
    <m/>
    <m/>
    <n v="0"/>
    <s v="https://sh.ch/CMS/Webseite/Kanton-Schaffhausen/Beh-rde/Verwaltung/Departement-des-Innern/Gesundheitsamt-3209198-DE.html"/>
    <m/>
    <s v=""/>
    <m/>
    <s v=""/>
    <m/>
    <s v=""/>
    <n v="47.713569999999997"/>
    <n v="8.5916700000000006"/>
    <s v="Schaffhausen"/>
    <n v="14"/>
    <n v="1"/>
    <n v="0"/>
    <n v="50.37"/>
    <n v="0"/>
  </r>
  <r>
    <x v="33"/>
    <d v="1899-12-30T03:00:00"/>
    <x v="19"/>
    <m/>
    <n v="190"/>
    <n v="0"/>
    <m/>
    <m/>
    <m/>
    <m/>
    <n v="2"/>
    <s v="https://corona.so.ch/"/>
    <m/>
    <s v=""/>
    <m/>
    <s v=""/>
    <m/>
    <s v=""/>
    <n v="47.304135000000002"/>
    <n v="7.6393880000000003"/>
    <s v="Solothurn"/>
    <n v="11"/>
    <n v="17"/>
    <n v="1"/>
    <n v="70.010000000000005"/>
    <n v="0.73699999999999999"/>
  </r>
  <r>
    <x v="33"/>
    <d v="1899-12-30T03:00:00"/>
    <x v="16"/>
    <n v="10"/>
    <n v="128"/>
    <n v="0"/>
    <n v="1"/>
    <m/>
    <m/>
    <n v="33"/>
    <n v="2"/>
    <s v="https://www.sz.ch/behoerden/information-medien/medienmitteilungen/coronavirus.html/72-416-412-1379-6948"/>
    <m/>
    <s v=""/>
    <m/>
    <s v=""/>
    <m/>
    <s v=""/>
    <n v="47.061787000000002"/>
    <n v="8.7565849999999994"/>
    <s v="Schwyz"/>
    <n v="5"/>
    <n v="6"/>
    <n v="0"/>
    <n v="81.37"/>
    <n v="1.2709999999999999"/>
  </r>
  <r>
    <x v="33"/>
    <d v="1899-12-30T03:00:00"/>
    <x v="25"/>
    <n v="276"/>
    <n v="138"/>
    <n v="0"/>
    <m/>
    <m/>
    <m/>
    <m/>
    <n v="2"/>
    <s v="https://www.tg.ch/news/fachdossier-coronavirus.html/10552"/>
    <m/>
    <s v=""/>
    <m/>
    <s v=""/>
    <m/>
    <s v=""/>
    <n v="47.568714999999997"/>
    <n v="9.0919570000000007"/>
    <s v="Thurgau"/>
    <n v="1"/>
    <n v="4"/>
    <n v="0"/>
    <n v="50.4"/>
    <n v="0.73"/>
  </r>
  <r>
    <x v="33"/>
    <d v="1899-12-30T08:00:00"/>
    <x v="1"/>
    <m/>
    <n v="1837"/>
    <n v="17"/>
    <n v="402"/>
    <n v="69"/>
    <n v="59"/>
    <m/>
    <n v="93"/>
    <s v="https://www4.ti.ch/area-media/comunicati/dettaglio-comunicato/?NEWS_ID=187540&amp;tx_tichareamedia_comunicazioni%5Baction%5D=show&amp;tx_tichareamedia_comunicazioni%5Bcontroller%5D=Comunicazioni&amp;cHash=ae32268e60ac2b59add1b9d55de51cbf"/>
    <m/>
    <s v=""/>
    <m/>
    <s v="59.0"/>
    <m/>
    <s v=""/>
    <n v="46.295617"/>
    <n v="8.8089239999999993"/>
    <s v="Ticino"/>
    <n v="21"/>
    <n v="110"/>
    <n v="6"/>
    <n v="519.37"/>
    <n v="26.292999999999999"/>
  </r>
  <r>
    <x v="33"/>
    <d v="1899-12-30T03:00:00"/>
    <x v="22"/>
    <n v="85"/>
    <n v="50"/>
    <n v="0"/>
    <n v="7"/>
    <m/>
    <m/>
    <n v="3"/>
    <m/>
    <s v="https://www.ur.ch/themen/2920"/>
    <m/>
    <s v=""/>
    <m/>
    <s v=""/>
    <m/>
    <s v=""/>
    <n v="46.771849000000003"/>
    <n v="8.6285860000000003"/>
    <s v="Uri"/>
    <n v="4"/>
    <n v="2"/>
    <n v="0"/>
    <n v="137.74"/>
    <m/>
  </r>
  <r>
    <x v="33"/>
    <d v="1899-12-30T03:00:00"/>
    <x v="9"/>
    <m/>
    <n v="3246"/>
    <n v="3"/>
    <n v="373"/>
    <n v="65"/>
    <m/>
    <n v="203"/>
    <n v="81"/>
    <s v="https://www.vd.ch/toutes-les-actualites/hotline-et-informations-sur-le-coronavirus/point-de-situation-statistique-dans-le-canton-de-vaud/"/>
    <m/>
    <s v=""/>
    <m/>
    <s v=""/>
    <m/>
    <s v=""/>
    <n v="46.570090999999998"/>
    <n v="6.5578090000000007"/>
    <s v="Vaud"/>
    <n v="22"/>
    <n v="244"/>
    <n v="9"/>
    <n v="409.28"/>
    <n v="10.212999999999999"/>
  </r>
  <r>
    <x v="33"/>
    <d v="1899-12-30T15:00:00"/>
    <x v="10"/>
    <m/>
    <n v="1056"/>
    <n v="10"/>
    <n v="153"/>
    <n v="22"/>
    <n v="21"/>
    <n v="3"/>
    <n v="31"/>
    <s v="https://www.vs.ch/documents/6756452/7008787/2020%2004%2012%20Sit%20Epid%20-%20%C3%89tat%20Stand"/>
    <m/>
    <s v=""/>
    <m/>
    <s v=""/>
    <m/>
    <s v=""/>
    <n v="46.209567"/>
    <n v="7.6046589999999998"/>
    <s v="Valais/Wallis"/>
    <n v="23"/>
    <n v="38"/>
    <n v="6"/>
    <n v="309.22000000000003"/>
    <n v="9.0779999999999994"/>
  </r>
  <r>
    <x v="33"/>
    <d v="1899-12-30T08:00:00"/>
    <x v="11"/>
    <m/>
    <n v="112"/>
    <n v="1"/>
    <n v="13"/>
    <n v="5"/>
    <m/>
    <n v="21"/>
    <n v="1"/>
    <s v="https://www.zg.ch/behoerden/gesundheitsdirektion/statistikfachstelle/themen/gesundheit/corona"/>
    <m/>
    <s v=""/>
    <m/>
    <s v=""/>
    <m/>
    <s v=""/>
    <n v="47.157296000000002"/>
    <n v="8.5372939999999993"/>
    <s v="Zug"/>
    <n v="9"/>
    <n v="11"/>
    <n v="0"/>
    <n v="89.31"/>
    <n v="0.79700000000000004"/>
  </r>
  <r>
    <x v="33"/>
    <d v="1899-12-30T14:30:00"/>
    <x v="5"/>
    <m/>
    <n v="1736"/>
    <n v="7"/>
    <n v="194"/>
    <m/>
    <n v="46"/>
    <m/>
    <n v="22"/>
    <s v="https://gd.zh.ch/internet/gesundheitsdirektion/de/themen/coronavirus.html"/>
    <m/>
    <s v=""/>
    <m/>
    <s v=""/>
    <m/>
    <s v=""/>
    <n v="47.412750000000003"/>
    <n v="8.6550799999999999"/>
    <s v="Zürich"/>
    <n v="1"/>
    <n v="32"/>
    <n v="3"/>
    <n v="115.4"/>
    <n v="1.462"/>
  </r>
  <r>
    <x v="34"/>
    <d v="1899-12-30T15:00:00"/>
    <x v="6"/>
    <m/>
    <n v="481"/>
    <n v="44"/>
    <n v="94"/>
    <n v="25"/>
    <n v="23"/>
    <n v="4"/>
    <n v="8"/>
    <s v="https://www.ag.ch/media/kanton_aargau/themen_1/coronavirus_1/lagebulletins/200330_KFS_Coronavirus_Lagebulletin_22.pdf"/>
    <m/>
    <s v=""/>
    <m/>
    <s v=""/>
    <m/>
    <s v=""/>
    <n v="47.409660000000002"/>
    <n v="8.1568799999999992"/>
    <s v="Aargau"/>
    <n v="1"/>
    <n v="117"/>
    <n v="5"/>
    <n v="71.680000000000007"/>
    <n v="1.1919999999999999"/>
  </r>
  <r>
    <x v="34"/>
    <d v="1899-12-30T12:00:00"/>
    <x v="24"/>
    <m/>
    <n v="14"/>
    <n v="0"/>
    <n v="1"/>
    <m/>
    <m/>
    <m/>
    <m/>
    <s v="https://www.ai.ch/themen/gesundheit-alter-und-soziales/gesundheitsfoerderung-und-praevention/uebertragbare-krankheiten/coronavirus"/>
    <m/>
    <s v=""/>
    <m/>
    <s v=""/>
    <m/>
    <s v=""/>
    <n v="47.317264000000002"/>
    <n v="9.4167539999999992"/>
    <s v="Appenzell Innerrhoden"/>
    <n v="16"/>
    <n v="1"/>
    <n v="0"/>
    <n v="86.96"/>
    <m/>
  </r>
  <r>
    <x v="34"/>
    <d v="1899-12-30T18:00:00"/>
    <x v="18"/>
    <m/>
    <n v="50"/>
    <n v="0"/>
    <n v="6"/>
    <m/>
    <m/>
    <m/>
    <n v="2"/>
    <s v="https://www.ar.ch/verwaltung/departement-gesundheit-und-soziales/amt-fuer-gesundheit/informationsseite-coronavirus/"/>
    <m/>
    <s v=""/>
    <m/>
    <s v=""/>
    <m/>
    <s v=""/>
    <n v="47.416351999999996"/>
    <n v="9.3679100000000002"/>
    <s v="Appenzell Ausserrhoden"/>
    <n v="15"/>
    <n v="2"/>
    <n v="0"/>
    <n v="90.58"/>
    <n v="3.6230000000000002"/>
  </r>
  <r>
    <x v="34"/>
    <d v="1899-12-30T07:00:00"/>
    <x v="7"/>
    <m/>
    <n v="826"/>
    <n v="0"/>
    <n v="112"/>
    <n v="21"/>
    <n v="17"/>
    <m/>
    <n v="13"/>
    <s v="https://www.besondere-lage.sites.be.ch/besondere-lage_sites/de/index/corona/index.html"/>
    <m/>
    <s v=""/>
    <m/>
    <s v=""/>
    <m/>
    <s v=""/>
    <n v="46.823608"/>
    <n v="7.6366670000000001"/>
    <s v="Bern/Berne"/>
    <n v="2"/>
    <n v="28"/>
    <n v="3"/>
    <n v="80.11"/>
    <n v="1.2609999999999999"/>
  </r>
  <r>
    <x v="34"/>
    <d v="1899-12-30T03:00:00"/>
    <x v="8"/>
    <m/>
    <n v="539"/>
    <n v="-13"/>
    <n v="86"/>
    <n v="17"/>
    <n v="16"/>
    <n v="158"/>
    <n v="7"/>
    <s v="https://www.baselland.ch/politik-und-behorden/direktionen/volkswirtschafts-und-gesundheitsdirektion/amt-fur-gesundheit/medizinische-dienste/kantonsarztlicher-dienst/aktuelles/covid-19-faelle-kanton-basel-landschaft"/>
    <m/>
    <s v=""/>
    <m/>
    <s v=""/>
    <m/>
    <s v=""/>
    <n v="47.45176"/>
    <n v="7.7024140000000001"/>
    <s v="Basel-Landschaft"/>
    <n v="13"/>
    <n v="28"/>
    <n v="1"/>
    <n v="187.8"/>
    <n v="2.4390000000000001"/>
  </r>
  <r>
    <x v="34"/>
    <d v="1899-12-30T10:00:00"/>
    <x v="2"/>
    <n v="235"/>
    <n v="621"/>
    <n v="3"/>
    <n v="90"/>
    <n v="12"/>
    <m/>
    <n v="263"/>
    <n v="15"/>
    <s v="https://www.coronavirus.bs.ch/nm/2020-tagesbulletin-coronavirus-621-bestaetigte-faelle-im-kanton-basel-stadt-gd.html"/>
    <n v="376"/>
    <s v="20.0"/>
    <m/>
    <s v=""/>
    <m/>
    <s v=""/>
    <n v="47.564869000000002"/>
    <n v="7.615259"/>
    <s v="Basel-Stadt"/>
    <n v="12"/>
    <n v="12"/>
    <n v="0"/>
    <n v="320.27"/>
    <n v="7.7359999999999998"/>
  </r>
  <r>
    <x v="34"/>
    <d v="1899-12-30T03:00:00"/>
    <x v="3"/>
    <n v="900"/>
    <n v="64"/>
    <n v="0"/>
    <m/>
    <m/>
    <m/>
    <n v="1"/>
    <m/>
    <s v="https://www.regierung.li/de/mitteilungen/223349/?typ=newss"/>
    <m/>
    <s v=""/>
    <m/>
    <s v=""/>
    <m/>
    <s v=""/>
    <n v="47.166666999999997"/>
    <n v="9.509722"/>
    <s v="Fürstentum Lichtenstein"/>
    <n v="0"/>
    <n v="2"/>
    <n v="0"/>
    <n v="165.8"/>
    <m/>
  </r>
  <r>
    <x v="34"/>
    <d v="1899-12-30T03:00:00"/>
    <x v="12"/>
    <n v="30"/>
    <n v="477"/>
    <n v="1"/>
    <n v="77"/>
    <n v="16"/>
    <m/>
    <m/>
    <n v="17"/>
    <s v="https://www.fr.ch/covid19/sante/covid-19/coronavirus-statistiques-evolution-de-la-situation-dans-le-canton"/>
    <m/>
    <s v=""/>
    <m/>
    <s v=""/>
    <m/>
    <s v=""/>
    <n v="46.718390999999997"/>
    <n v="7.0740080000000001"/>
    <s v="Fribourg"/>
    <n v="10"/>
    <n v="35"/>
    <n v="1"/>
    <n v="151.38"/>
    <n v="5.3949999999999996"/>
  </r>
  <r>
    <x v="34"/>
    <d v="1899-12-30T03:00:00"/>
    <x v="0"/>
    <n v="11026"/>
    <n v="2718"/>
    <n v="17"/>
    <n v="382"/>
    <n v="57"/>
    <n v="54"/>
    <n v="216"/>
    <n v="55"/>
    <s v="https://www.ge.ch/document/covid-19-situation-epidemiologique-geneve/telecharger"/>
    <m/>
    <s v=""/>
    <m/>
    <s v=""/>
    <n v="24"/>
    <s v=""/>
    <n v="46.220528000000002"/>
    <n v="6.1329349999999998"/>
    <s v="Genève"/>
    <n v="25"/>
    <n v="207"/>
    <n v="9"/>
    <n v="548.87"/>
    <n v="11.106999999999999"/>
  </r>
  <r>
    <x v="34"/>
    <d v="1899-12-30T13:30:00"/>
    <x v="13"/>
    <m/>
    <n v="50"/>
    <n v="-2"/>
    <n v="1"/>
    <m/>
    <m/>
    <m/>
    <n v="1"/>
    <s v="https://www.gl.ch/verwaltung/finanzen-und-gesundheit/gesundheit/coronavirus.html/4817#Fallzahlen"/>
    <m/>
    <s v=""/>
    <m/>
    <s v=""/>
    <m/>
    <s v=""/>
    <n v="46.931042000000005"/>
    <n v="9.0657510000000006"/>
    <s v="Glarus"/>
    <n v="8"/>
    <n v="3"/>
    <n v="0"/>
    <n v="124.07"/>
    <n v="2.4809999999999999"/>
  </r>
  <r>
    <x v="34"/>
    <d v="1899-12-30T03:00:00"/>
    <x v="26"/>
    <m/>
    <n v="497"/>
    <n v="11"/>
    <n v="63"/>
    <m/>
    <m/>
    <m/>
    <n v="12"/>
    <s v="https://www.gr.ch/DE/institutionen/verwaltung/djsg/ga/coronavirus/info/Seiten/Start.aspx"/>
    <m/>
    <s v=""/>
    <m/>
    <s v=""/>
    <m/>
    <s v=""/>
    <n v="46.656247999999998"/>
    <n v="9.6281979999999994"/>
    <s v="Graubünden/Grigioni"/>
    <n v="1"/>
    <n v="88"/>
    <n v="3"/>
    <n v="251.14"/>
    <n v="6.0640000000000001"/>
  </r>
  <r>
    <x v="34"/>
    <d v="1899-12-30T16:00:00"/>
    <x v="4"/>
    <m/>
    <n v="128"/>
    <n v="0"/>
    <n v="28"/>
    <n v="5"/>
    <m/>
    <m/>
    <m/>
    <s v="https://www.jura.ch/fr/Autorites/Coronavirus/Chiffres-H-JU/Evolution-des-cas-COVID-19-dans-le-Jura.html"/>
    <m/>
    <s v=""/>
    <m/>
    <s v=""/>
    <m/>
    <s v=""/>
    <n v="47.350743999999999"/>
    <n v="7.1561070000000004"/>
    <s v="Jura"/>
    <n v="26"/>
    <n v="1"/>
    <n v="0"/>
    <n v="174.62"/>
    <m/>
  </r>
  <r>
    <x v="34"/>
    <d v="1899-12-30T11:00:00"/>
    <x v="17"/>
    <m/>
    <n v="351"/>
    <n v="0"/>
    <m/>
    <m/>
    <m/>
    <m/>
    <n v="6"/>
    <s v="https://gesundheit.lu.ch/themen/Humanmedizin/Infektionskrankheiten/Coronavirus"/>
    <m/>
    <s v=""/>
    <m/>
    <s v=""/>
    <m/>
    <s v=""/>
    <n v="47.067762999999999"/>
    <n v="8.1102000000000007"/>
    <s v="Luzern"/>
    <n v="3"/>
    <n v="12"/>
    <n v="1"/>
    <n v="86.35"/>
    <n v="1.476"/>
  </r>
  <r>
    <x v="34"/>
    <d v="1899-12-30T14:00:00"/>
    <x v="14"/>
    <m/>
    <n v="378"/>
    <n v="-3"/>
    <n v="57"/>
    <n v="12"/>
    <n v="6"/>
    <m/>
    <n v="21"/>
    <s v="https://www.ne.ch/autorites/DFS/SCSP/medecin-cantonal/maladies-vaccinations/Documents/Covid-19-Statistiques/COVID19_PublicationInternet.pdf"/>
    <m/>
    <s v=""/>
    <m/>
    <s v=""/>
    <m/>
    <s v=""/>
    <n v="46.995533999999999"/>
    <n v="6.7801260000000001"/>
    <s v="Neuchâtel"/>
    <n v="24"/>
    <n v="32"/>
    <n v="3"/>
    <n v="212.36"/>
    <n v="11.798"/>
  </r>
  <r>
    <x v="34"/>
    <d v="1899-12-30T17:15:00"/>
    <x v="20"/>
    <m/>
    <n v="63"/>
    <n v="0"/>
    <m/>
    <m/>
    <m/>
    <m/>
    <m/>
    <s v="https://www.nw.ch/gesundheitsamtdienste/6044"/>
    <m/>
    <s v=""/>
    <m/>
    <s v=""/>
    <m/>
    <s v=""/>
    <n v="46.926755"/>
    <n v="8.4053020000000007"/>
    <s v="Nidwalden"/>
    <n v="7"/>
    <n v="4"/>
    <n v="0"/>
    <n v="146.51"/>
    <m/>
  </r>
  <r>
    <x v="34"/>
    <d v="1899-12-30T03:00:00"/>
    <x v="23"/>
    <n v="6"/>
    <n v="46"/>
    <n v="0"/>
    <m/>
    <m/>
    <m/>
    <m/>
    <m/>
    <s v="https://www.ow.ch/de/verwaltung/dienstleistungen/?dienst_id=5962"/>
    <m/>
    <s v=""/>
    <m/>
    <s v=""/>
    <m/>
    <s v=""/>
    <n v="46.804527"/>
    <n v="8.1443170000000009"/>
    <s v="Obwalden"/>
    <n v="6"/>
    <n v="9"/>
    <n v="0"/>
    <n v="122.34"/>
    <m/>
  </r>
  <r>
    <x v="34"/>
    <d v="1899-12-30T03:00:00"/>
    <x v="15"/>
    <m/>
    <n v="389"/>
    <n v="0"/>
    <m/>
    <m/>
    <m/>
    <m/>
    <n v="5"/>
    <s v="https://www.sg.ch/tools/informationen-coronavirus.html"/>
    <m/>
    <s v=""/>
    <m/>
    <s v=""/>
    <m/>
    <s v=""/>
    <n v="47.183199999999999"/>
    <n v="9.2747440000000001"/>
    <s v="St. Gallen"/>
    <n v="17"/>
    <n v="24"/>
    <n v="0"/>
    <n v="77.08"/>
    <n v="0.99099999999999999"/>
  </r>
  <r>
    <x v="34"/>
    <d v="1899-12-30T03:00:00"/>
    <x v="21"/>
    <m/>
    <n v="42"/>
    <n v="4"/>
    <n v="19"/>
    <n v="3"/>
    <m/>
    <m/>
    <n v="0"/>
    <s v="https://sh.ch/CMS/Webseite/Kanton-Schaffhausen/Beh-rde/Verwaltung/Departement-des-Innern/Gesundheitsamt-3209198-DE.html"/>
    <m/>
    <s v=""/>
    <m/>
    <s v=""/>
    <m/>
    <s v=""/>
    <n v="47.713569999999997"/>
    <n v="8.5916700000000006"/>
    <s v="Schaffhausen"/>
    <n v="14"/>
    <n v="1"/>
    <n v="0"/>
    <n v="51.6"/>
    <n v="0"/>
  </r>
  <r>
    <x v="34"/>
    <d v="1899-12-30T03:00:00"/>
    <x v="16"/>
    <n v="10"/>
    <n v="135"/>
    <n v="0"/>
    <n v="1"/>
    <m/>
    <m/>
    <n v="33"/>
    <n v="2"/>
    <s v="https://www.sz.ch/behoerden/information-medien/medienmitteilungen/coronavirus.html/72-416-412-1379-6948"/>
    <m/>
    <s v=""/>
    <m/>
    <s v=""/>
    <m/>
    <s v=""/>
    <n v="47.061787000000002"/>
    <n v="8.7565849999999994"/>
    <s v="Schwyz"/>
    <n v="5"/>
    <n v="7"/>
    <n v="0"/>
    <n v="85.82"/>
    <n v="1.2709999999999999"/>
  </r>
  <r>
    <x v="34"/>
    <d v="1899-12-30T03:00:00"/>
    <x v="25"/>
    <n v="276"/>
    <n v="148"/>
    <n v="0"/>
    <m/>
    <m/>
    <m/>
    <m/>
    <n v="2"/>
    <s v="https://www.tg.ch/news/fachdossier-coronavirus.html/10552"/>
    <m/>
    <s v=""/>
    <m/>
    <s v=""/>
    <m/>
    <s v=""/>
    <n v="47.568714999999997"/>
    <n v="9.0919570000000007"/>
    <s v="Thurgau"/>
    <n v="1"/>
    <n v="10"/>
    <n v="0"/>
    <n v="54.05"/>
    <n v="0.73"/>
  </r>
  <r>
    <x v="34"/>
    <d v="1899-12-30T08:00:00"/>
    <x v="1"/>
    <m/>
    <n v="1962"/>
    <n v="13"/>
    <n v="415"/>
    <n v="75"/>
    <n v="61"/>
    <m/>
    <n v="105"/>
    <s v="https://www4.ti.ch/area-media/comunicati/dettaglio-comunicato/?NEWS_ID=187546&amp;tx_tichareamedia_comunicazioni%5Baction%5D=show&amp;tx_tichareamedia_comunicazioni%5Bcontroller%5D=Comunicazioni&amp;cHash=1465eace9ac68357130a7327d0c9b8f9"/>
    <m/>
    <s v=""/>
    <m/>
    <s v="61.0"/>
    <m/>
    <s v=""/>
    <n v="46.295617"/>
    <n v="8.8089239999999993"/>
    <s v="Ticino"/>
    <n v="21"/>
    <n v="125"/>
    <n v="12"/>
    <n v="554.71"/>
    <n v="29.686"/>
  </r>
  <r>
    <x v="34"/>
    <d v="1899-12-30T03:00:00"/>
    <x v="22"/>
    <n v="85"/>
    <n v="53"/>
    <n v="0"/>
    <n v="7"/>
    <m/>
    <m/>
    <n v="9"/>
    <m/>
    <s v="https://www.ur.ch/themen/2920"/>
    <m/>
    <s v=""/>
    <m/>
    <s v=""/>
    <m/>
    <s v=""/>
    <n v="46.771849000000003"/>
    <n v="8.6285860000000003"/>
    <s v="Uri"/>
    <n v="4"/>
    <n v="3"/>
    <n v="0"/>
    <n v="146.01"/>
    <m/>
  </r>
  <r>
    <x v="34"/>
    <d v="1899-12-30T03:00:00"/>
    <x v="9"/>
    <m/>
    <n v="3351"/>
    <n v="3"/>
    <n v="376"/>
    <n v="68"/>
    <m/>
    <n v="223"/>
    <n v="92"/>
    <s v="https://www.vd.ch/toutes-les-actualites/hotline-et-informations-sur-le-coronavirus/point-de-situation-statistique-dans-le-canton-de-vaud/"/>
    <m/>
    <s v=""/>
    <m/>
    <s v=""/>
    <m/>
    <s v=""/>
    <n v="46.570090999999998"/>
    <n v="6.5578090000000007"/>
    <s v="Vaud"/>
    <n v="22"/>
    <n v="105"/>
    <n v="11"/>
    <n v="422.52"/>
    <n v="11.6"/>
  </r>
  <r>
    <x v="34"/>
    <d v="1899-12-30T15:00:00"/>
    <x v="10"/>
    <m/>
    <n v="1145"/>
    <n v="0"/>
    <n v="153"/>
    <n v="25"/>
    <n v="23"/>
    <n v="3"/>
    <n v="35"/>
    <s v="https://www.vs.ch/documents/6756452/7008787/2020%2004%2012%20Sit%20Epid%20-%20%C3%89tat%20Stand"/>
    <m/>
    <s v=""/>
    <m/>
    <s v=""/>
    <m/>
    <s v=""/>
    <n v="46.209567"/>
    <n v="7.6046589999999998"/>
    <s v="Valais/Wallis"/>
    <n v="23"/>
    <n v="89"/>
    <n v="4"/>
    <n v="335.29"/>
    <n v="10.249000000000001"/>
  </r>
  <r>
    <x v="34"/>
    <d v="1899-12-30T08:00:00"/>
    <x v="11"/>
    <m/>
    <n v="114"/>
    <n v="1"/>
    <n v="14"/>
    <n v="6"/>
    <m/>
    <n v="29"/>
    <n v="1"/>
    <s v="https://www.zg.ch/behoerden/gesundheitsdirektion/statistikfachstelle/themen/gesundheit/corona"/>
    <m/>
    <s v=""/>
    <m/>
    <s v=""/>
    <m/>
    <s v=""/>
    <n v="47.157296000000002"/>
    <n v="8.5372939999999993"/>
    <s v="Zug"/>
    <n v="9"/>
    <n v="2"/>
    <n v="0"/>
    <n v="90.91"/>
    <n v="0.79700000000000004"/>
  </r>
  <r>
    <x v="34"/>
    <d v="1899-12-30T14:30:00"/>
    <x v="5"/>
    <m/>
    <n v="1862"/>
    <n v="3"/>
    <n v="197"/>
    <m/>
    <n v="46"/>
    <m/>
    <n v="24"/>
    <s v="https://gd.zh.ch/internet/gesundheitsdirektion/de/themen/coronavirus.html"/>
    <m/>
    <s v=""/>
    <m/>
    <s v=""/>
    <m/>
    <s v=""/>
    <n v="47.412750000000003"/>
    <n v="8.6550799999999999"/>
    <s v="Zürich"/>
    <n v="1"/>
    <n v="126"/>
    <n v="2"/>
    <n v="123.78"/>
    <n v="1.595"/>
  </r>
  <r>
    <x v="35"/>
    <d v="1899-12-30T15:00:00"/>
    <x v="6"/>
    <m/>
    <n v="499"/>
    <n v="-9"/>
    <n v="85"/>
    <n v="25"/>
    <n v="25"/>
    <n v="4"/>
    <n v="11"/>
    <s v="https://www.ag.ch/media/kanton_aargau/themen_1/coronavirus_1/lagebulletins/200331_KFS_Coronavirus_Lagebulletin_23.pdf"/>
    <m/>
    <s v=""/>
    <m/>
    <s v=""/>
    <m/>
    <s v=""/>
    <n v="47.409660000000002"/>
    <n v="8.1568799999999992"/>
    <s v="Aargau"/>
    <n v="1"/>
    <n v="18"/>
    <n v="3"/>
    <n v="74.37"/>
    <n v="1.639"/>
  </r>
  <r>
    <x v="35"/>
    <d v="1899-12-30T12:00:00"/>
    <x v="24"/>
    <m/>
    <n v="14"/>
    <n v="0"/>
    <n v="1"/>
    <m/>
    <m/>
    <m/>
    <m/>
    <s v="https://www.ai.ch/themen/gesundheit-alter-und-soziales/gesundheitsfoerderung-und-praevention/uebertragbare-krankheiten/coronavirus"/>
    <m/>
    <s v=""/>
    <m/>
    <s v=""/>
    <m/>
    <s v=""/>
    <n v="47.317264000000002"/>
    <n v="9.4167539999999992"/>
    <s v="Appenzell Innerrhoden"/>
    <n v="16"/>
    <n v="0"/>
    <n v="0"/>
    <n v="86.96"/>
    <m/>
  </r>
  <r>
    <x v="35"/>
    <d v="1899-12-30T16:00:00"/>
    <x v="18"/>
    <m/>
    <n v="58"/>
    <n v="0"/>
    <n v="6"/>
    <m/>
    <m/>
    <m/>
    <n v="2"/>
    <s v="https://www.ar.ch/verwaltung/departement-gesundheit-und-soziales/amt-fuer-gesundheit/informationsseite-coronavirus/"/>
    <m/>
    <s v=""/>
    <m/>
    <s v=""/>
    <m/>
    <s v=""/>
    <n v="47.416351999999996"/>
    <n v="9.3679100000000002"/>
    <s v="Appenzell Ausserrhoden"/>
    <n v="15"/>
    <n v="8"/>
    <n v="0"/>
    <n v="105.07"/>
    <n v="3.6230000000000002"/>
  </r>
  <r>
    <x v="35"/>
    <d v="1899-12-30T08:00:00"/>
    <x v="7"/>
    <m/>
    <n v="856"/>
    <n v="-1"/>
    <n v="111"/>
    <n v="23"/>
    <n v="18"/>
    <m/>
    <n v="16"/>
    <s v="https://www.besondere-lage.sites.be.ch/besondere-lage_sites/de/index/corona/index.html"/>
    <m/>
    <s v=""/>
    <m/>
    <s v=""/>
    <m/>
    <s v=""/>
    <n v="46.823608"/>
    <n v="7.6366670000000001"/>
    <s v="Bern/Berne"/>
    <n v="2"/>
    <n v="30"/>
    <n v="3"/>
    <n v="83.02"/>
    <n v="1.552"/>
  </r>
  <r>
    <x v="35"/>
    <d v="1899-12-30T03:00:00"/>
    <x v="8"/>
    <m/>
    <n v="561"/>
    <n v="2"/>
    <n v="88"/>
    <n v="18"/>
    <n v="16"/>
    <n v="242"/>
    <n v="10"/>
    <s v="https://www.baselland.ch/politik-und-behorden/direktionen/volkswirtschafts-und-gesundheitsdirektion/amt-fur-gesundheit/medizinische-dienste/kantonsarztlicher-dienst/aktuelles/covid-19-faelle-kanton-basel-landschaft"/>
    <m/>
    <s v=""/>
    <m/>
    <s v=""/>
    <m/>
    <s v=""/>
    <n v="47.45176"/>
    <n v="7.7024140000000001"/>
    <s v="Basel-Landschaft"/>
    <n v="13"/>
    <n v="22"/>
    <n v="3"/>
    <n v="195.47"/>
    <n v="3.484"/>
  </r>
  <r>
    <x v="35"/>
    <d v="1899-12-30T10:00:00"/>
    <x v="2"/>
    <n v="235"/>
    <n v="657"/>
    <n v="15"/>
    <n v="105"/>
    <n v="15"/>
    <m/>
    <n v="292"/>
    <n v="16"/>
    <s v="https://www.coronavirus.bs.ch/nm/2020-tagesbulletin-coronavirus-628-bestaetigte-faelle-im-kanton-basel-stadt-gd.html https://www.coronavirus.bs.ch/nm/2020-tagesbulletin-coronavirus-691-bestaetigte-faelle-im-kanton-basel-stadt-gd.html"/>
    <n v="381"/>
    <s v="23.0"/>
    <m/>
    <s v=""/>
    <m/>
    <s v=""/>
    <n v="47.564869000000002"/>
    <n v="7.615259"/>
    <s v="Basel-Stadt"/>
    <n v="12"/>
    <n v="36"/>
    <n v="1"/>
    <n v="338.83"/>
    <n v="8.2520000000000007"/>
  </r>
  <r>
    <x v="35"/>
    <d v="1899-12-30T03:00:00"/>
    <x v="3"/>
    <n v="900"/>
    <n v="68"/>
    <n v="0"/>
    <m/>
    <m/>
    <m/>
    <n v="1"/>
    <m/>
    <s v="https://www.regierung.li/media/attachments/160-coronavirus-68-personen-positiv.pdf?t=637212737830081294"/>
    <m/>
    <s v=""/>
    <m/>
    <s v=""/>
    <m/>
    <s v=""/>
    <n v="47.166666999999997"/>
    <n v="9.509722"/>
    <s v="Fürstentum Lichtenstein"/>
    <n v="0"/>
    <n v="4"/>
    <n v="0"/>
    <n v="176.17"/>
    <m/>
  </r>
  <r>
    <x v="35"/>
    <d v="1899-12-30T03:00:00"/>
    <x v="12"/>
    <n v="30"/>
    <n v="491"/>
    <n v="0"/>
    <n v="77"/>
    <n v="20"/>
    <m/>
    <m/>
    <n v="20"/>
    <s v="https://www.fr.ch/covid19/sante/covid-19/coronavirus-statistiques-evolution-de-la-situation-dans-le-canton"/>
    <m/>
    <s v=""/>
    <m/>
    <s v=""/>
    <m/>
    <s v=""/>
    <n v="46.718390999999997"/>
    <n v="7.0740080000000001"/>
    <s v="Fribourg"/>
    <n v="10"/>
    <n v="14"/>
    <n v="3"/>
    <n v="155.82"/>
    <n v="6.3470000000000004"/>
  </r>
  <r>
    <x v="35"/>
    <d v="1899-12-30T03:00:00"/>
    <x v="0"/>
    <n v="11784"/>
    <n v="2948"/>
    <n v="23"/>
    <n v="405"/>
    <n v="64"/>
    <n v="49"/>
    <n v="241"/>
    <n v="63"/>
    <s v="https://www.ge.ch/document/covid-19-situation-epidemiologique-geneve/telecharger"/>
    <m/>
    <s v=""/>
    <m/>
    <s v=""/>
    <n v="20"/>
    <s v=""/>
    <n v="46.220528000000002"/>
    <n v="6.1329349999999998"/>
    <s v="Genève"/>
    <n v="25"/>
    <n v="230"/>
    <n v="8"/>
    <n v="595.32000000000005"/>
    <n v="12.722"/>
  </r>
  <r>
    <x v="35"/>
    <d v="1899-12-30T13:30:00"/>
    <x v="13"/>
    <m/>
    <n v="53"/>
    <n v="4"/>
    <n v="5"/>
    <m/>
    <m/>
    <m/>
    <n v="2"/>
    <s v="https://www.gl.ch/verwaltung/finanzen-und-gesundheit/gesundheit/coronavirus.html/4817#Fallzahlen"/>
    <m/>
    <s v=""/>
    <m/>
    <s v=""/>
    <m/>
    <s v=""/>
    <n v="46.931042000000005"/>
    <n v="9.0657510000000006"/>
    <s v="Glarus"/>
    <n v="8"/>
    <n v="3"/>
    <n v="1"/>
    <n v="131.51"/>
    <n v="4.9630000000000001"/>
  </r>
  <r>
    <x v="35"/>
    <d v="1899-12-30T03:00:00"/>
    <x v="26"/>
    <m/>
    <n v="513"/>
    <n v="-5"/>
    <n v="58"/>
    <m/>
    <m/>
    <m/>
    <n v="19"/>
    <s v="https://www.gr.ch/DE/institutionen/verwaltung/djsg/ga/coronavirus/info/Seiten/Start.aspx"/>
    <m/>
    <s v=""/>
    <m/>
    <s v=""/>
    <m/>
    <s v=""/>
    <n v="46.656247999999998"/>
    <n v="9.6281979999999994"/>
    <s v="Graubünden/Grigioni"/>
    <n v="1"/>
    <n v="16"/>
    <n v="7"/>
    <n v="259.22000000000003"/>
    <n v="9.6010000000000009"/>
  </r>
  <r>
    <x v="35"/>
    <d v="1899-12-30T16:00:00"/>
    <x v="4"/>
    <m/>
    <n v="140"/>
    <n v="1"/>
    <n v="29"/>
    <n v="5"/>
    <m/>
    <m/>
    <m/>
    <s v="https://www.jura.ch/fr/Autorites/Coronavirus/Chiffres-H-JU/Evolution-des-cas-COVID-19-dans-le-Jura.html"/>
    <m/>
    <s v=""/>
    <m/>
    <s v=""/>
    <m/>
    <s v=""/>
    <n v="47.350743999999999"/>
    <n v="7.1561070000000004"/>
    <s v="Jura"/>
    <n v="26"/>
    <n v="12"/>
    <n v="0"/>
    <n v="191"/>
    <m/>
  </r>
  <r>
    <x v="35"/>
    <d v="1899-12-30T11:00:00"/>
    <x v="17"/>
    <m/>
    <n v="375"/>
    <n v="0"/>
    <m/>
    <m/>
    <m/>
    <m/>
    <n v="7"/>
    <s v="https://gesundheit.lu.ch/themen/Humanmedizin/Infektionskrankheiten/Coronavirus"/>
    <m/>
    <s v=""/>
    <m/>
    <s v=""/>
    <m/>
    <s v=""/>
    <n v="47.067762999999999"/>
    <n v="8.1102000000000007"/>
    <s v="Luzern"/>
    <n v="3"/>
    <n v="24"/>
    <n v="1"/>
    <n v="92.25"/>
    <n v="1.722"/>
  </r>
  <r>
    <x v="35"/>
    <d v="1899-12-30T16:00:00"/>
    <x v="14"/>
    <m/>
    <n v="402"/>
    <n v="2"/>
    <n v="59"/>
    <n v="14"/>
    <n v="8"/>
    <m/>
    <n v="23"/>
    <s v="https://www.ne.ch/autorites/DFS/SCSP/medecin-cantonal/maladies-vaccinations/Documents/Covid-19-Statistiques/COVID19_PublicationInternet.pdf"/>
    <m/>
    <s v=""/>
    <m/>
    <s v=""/>
    <m/>
    <s v=""/>
    <n v="46.995533999999999"/>
    <n v="6.7801260000000001"/>
    <s v="Neuchâtel"/>
    <n v="24"/>
    <n v="24"/>
    <n v="2"/>
    <n v="225.84"/>
    <n v="12.920999999999999"/>
  </r>
  <r>
    <x v="35"/>
    <d v="1899-12-30T15:30:00"/>
    <x v="20"/>
    <m/>
    <n v="70"/>
    <n v="0"/>
    <m/>
    <m/>
    <m/>
    <m/>
    <m/>
    <s v="https://www.nw.ch/gesundheitsamtdienste/6044"/>
    <m/>
    <s v=""/>
    <m/>
    <s v=""/>
    <m/>
    <s v=""/>
    <n v="46.926755"/>
    <n v="8.4053020000000007"/>
    <s v="Nidwalden"/>
    <n v="7"/>
    <n v="7"/>
    <n v="0"/>
    <n v="162.79"/>
    <m/>
  </r>
  <r>
    <x v="35"/>
    <d v="1899-12-30T03:00:00"/>
    <x v="23"/>
    <n v="6"/>
    <n v="46"/>
    <n v="0"/>
    <m/>
    <m/>
    <m/>
    <m/>
    <m/>
    <s v="https://www.ow.ch/de/verwaltung/dienstleistungen/?dienst_id=5962"/>
    <m/>
    <s v=""/>
    <m/>
    <s v=""/>
    <m/>
    <s v=""/>
    <n v="46.804527"/>
    <n v="8.1443170000000009"/>
    <s v="Obwalden"/>
    <n v="6"/>
    <n v="0"/>
    <n v="0"/>
    <n v="122.34"/>
    <m/>
  </r>
  <r>
    <x v="35"/>
    <d v="1899-12-30T03:00:00"/>
    <x v="15"/>
    <m/>
    <n v="414"/>
    <n v="0"/>
    <m/>
    <m/>
    <m/>
    <m/>
    <n v="7"/>
    <s v="https://www.sg.ch/tools/informationen-coronavirus.html"/>
    <m/>
    <s v=""/>
    <m/>
    <s v=""/>
    <m/>
    <s v=""/>
    <n v="47.183199999999999"/>
    <n v="9.2747440000000001"/>
    <s v="St. Gallen"/>
    <n v="17"/>
    <n v="25"/>
    <n v="2"/>
    <n v="82.03"/>
    <n v="1.387"/>
  </r>
  <r>
    <x v="35"/>
    <d v="1899-12-30T03:00:00"/>
    <x v="21"/>
    <m/>
    <n v="44"/>
    <n v="-1"/>
    <n v="18"/>
    <n v="3"/>
    <m/>
    <m/>
    <n v="1"/>
    <s v="https://sh.ch/CMS/Webseite/Kanton-Schaffhausen/Beh-rde/Verwaltung/Departement-des-Innern/Gesundheitsamt-3209198-DE.html"/>
    <m/>
    <s v=""/>
    <m/>
    <s v=""/>
    <m/>
    <s v=""/>
    <n v="47.713569999999997"/>
    <n v="8.5916700000000006"/>
    <s v="Schaffhausen"/>
    <n v="14"/>
    <n v="2"/>
    <n v="1"/>
    <n v="54.05"/>
    <n v="1.2290000000000001"/>
  </r>
  <r>
    <x v="35"/>
    <d v="1899-12-30T03:00:00"/>
    <x v="19"/>
    <m/>
    <n v="196"/>
    <n v="0"/>
    <m/>
    <m/>
    <m/>
    <m/>
    <n v="2"/>
    <s v="https://corona.so.ch/"/>
    <m/>
    <s v=""/>
    <m/>
    <s v=""/>
    <m/>
    <s v=""/>
    <n v="47.304135000000002"/>
    <n v="7.6393880000000003"/>
    <s v="Solothurn"/>
    <n v="11"/>
    <n v="6"/>
    <n v="0"/>
    <n v="72.22"/>
    <n v="0.73699999999999999"/>
  </r>
  <r>
    <x v="35"/>
    <d v="1899-12-30T03:00:00"/>
    <x v="16"/>
    <n v="10"/>
    <n v="141"/>
    <n v="0"/>
    <n v="1"/>
    <m/>
    <m/>
    <n v="48"/>
    <n v="4"/>
    <s v="https://www.sz.ch/behoerden/information-medien/medienmitteilungen/coronavirus.html/72-416-412-1379-6948"/>
    <m/>
    <s v=""/>
    <m/>
    <s v=""/>
    <m/>
    <s v=""/>
    <n v="47.061787000000002"/>
    <n v="8.7565849999999994"/>
    <s v="Schwyz"/>
    <n v="5"/>
    <n v="6"/>
    <n v="2"/>
    <n v="89.64"/>
    <n v="2.5430000000000001"/>
  </r>
  <r>
    <x v="35"/>
    <d v="1899-12-30T03:00:00"/>
    <x v="25"/>
    <n v="276"/>
    <n v="154"/>
    <n v="0"/>
    <m/>
    <m/>
    <m/>
    <m/>
    <n v="3"/>
    <s v="https://www.tg.ch/news/fachdossier-coronavirus.html/10552"/>
    <m/>
    <s v=""/>
    <m/>
    <s v=""/>
    <m/>
    <s v=""/>
    <n v="47.568714999999997"/>
    <n v="9.0919570000000007"/>
    <s v="Thurgau"/>
    <n v="1"/>
    <n v="6"/>
    <n v="1"/>
    <n v="56.25"/>
    <n v="1.0960000000000001"/>
  </r>
  <r>
    <x v="35"/>
    <d v="1899-12-30T08:00:00"/>
    <x v="1"/>
    <m/>
    <n v="2091"/>
    <n v="-14"/>
    <n v="401"/>
    <n v="74"/>
    <n v="67"/>
    <n v="202"/>
    <n v="120"/>
    <s v="https://www4.ti.ch/area-media/comunicati/dettaglio-comunicato/?NEWS_ID=187550&amp;tx_tichareamedia_comunicazioni%5Baction%5D=show&amp;tx_tichareamedia_comunicazioni%5Bcontroller%5D=Comunicazioni&amp;cHash=007dc1182450e5b85ee4f533dfdcd6e3"/>
    <m/>
    <s v=""/>
    <m/>
    <s v="67.0"/>
    <m/>
    <s v=""/>
    <n v="46.295617"/>
    <n v="8.8089239999999993"/>
    <s v="Ticino"/>
    <n v="21"/>
    <n v="129"/>
    <n v="15"/>
    <n v="591.17999999999995"/>
    <n v="33.927"/>
  </r>
  <r>
    <x v="35"/>
    <d v="1899-12-30T03:00:00"/>
    <x v="22"/>
    <n v="85"/>
    <n v="57"/>
    <n v="2"/>
    <n v="9"/>
    <m/>
    <m/>
    <n v="11"/>
    <m/>
    <s v="https://www.ur.ch/themen/2920"/>
    <m/>
    <s v=""/>
    <m/>
    <s v=""/>
    <m/>
    <s v=""/>
    <n v="46.771849000000003"/>
    <n v="8.6285860000000003"/>
    <s v="Uri"/>
    <n v="4"/>
    <n v="4"/>
    <n v="0"/>
    <n v="157.02000000000001"/>
    <m/>
  </r>
  <r>
    <x v="35"/>
    <d v="1899-12-30T03:00:00"/>
    <x v="9"/>
    <m/>
    <n v="3548"/>
    <n v="8"/>
    <n v="384"/>
    <n v="71"/>
    <m/>
    <n v="225"/>
    <n v="104"/>
    <s v="https://www.vd.ch/toutes-les-actualites/hotline-et-informations-sur-le-coronavirus/point-de-situation-statistique-dans-le-canton-de-vaud/"/>
    <m/>
    <s v=""/>
    <m/>
    <s v=""/>
    <m/>
    <s v=""/>
    <n v="46.570090999999998"/>
    <n v="6.5578090000000007"/>
    <s v="Vaud"/>
    <n v="22"/>
    <n v="197"/>
    <n v="12"/>
    <n v="447.36"/>
    <n v="13.113"/>
  </r>
  <r>
    <x v="35"/>
    <d v="1899-12-30T15:00:00"/>
    <x v="10"/>
    <m/>
    <n v="1212"/>
    <n v="-1"/>
    <n v="152"/>
    <n v="24"/>
    <n v="23"/>
    <n v="3"/>
    <n v="37"/>
    <s v="https://www.vs.ch/documents/6756452/7008787/2020%2004%2012%20Sit%20Epid%20-%20%C3%89tat%20Stand"/>
    <m/>
    <s v=""/>
    <m/>
    <s v=""/>
    <m/>
    <s v=""/>
    <n v="46.209567"/>
    <n v="7.6046589999999998"/>
    <s v="Valais/Wallis"/>
    <n v="23"/>
    <n v="67"/>
    <n v="2"/>
    <n v="354.9"/>
    <n v="10.835000000000001"/>
  </r>
  <r>
    <x v="35"/>
    <d v="1899-12-30T08:00:00"/>
    <x v="11"/>
    <m/>
    <n v="125"/>
    <n v="-1"/>
    <n v="13"/>
    <n v="5"/>
    <m/>
    <n v="39"/>
    <n v="1"/>
    <s v="https://www.zg.ch/behoerden/gesundheitsdirektion/statistikfachstelle/themen/gesundheit/corona"/>
    <m/>
    <s v=""/>
    <m/>
    <s v=""/>
    <m/>
    <s v=""/>
    <n v="47.157296000000002"/>
    <n v="8.5372939999999993"/>
    <s v="Zug"/>
    <n v="9"/>
    <n v="11"/>
    <n v="0"/>
    <n v="99.68"/>
    <n v="0.79700000000000004"/>
  </r>
  <r>
    <x v="35"/>
    <d v="1899-12-30T14:30:00"/>
    <x v="5"/>
    <m/>
    <n v="1953"/>
    <n v="-1"/>
    <n v="196"/>
    <m/>
    <n v="50"/>
    <m/>
    <n v="27"/>
    <s v="https://gd.zh.ch/internet/gesundheitsdirektion/de/themen/coronavirus.html"/>
    <m/>
    <s v=""/>
    <m/>
    <s v=""/>
    <m/>
    <s v=""/>
    <n v="47.412750000000003"/>
    <n v="8.6550799999999999"/>
    <s v="Zürich"/>
    <n v="1"/>
    <n v="91"/>
    <n v="3"/>
    <n v="129.83000000000001"/>
    <n v="1.7949999999999999"/>
  </r>
  <r>
    <x v="36"/>
    <d v="1899-12-30T15:00:00"/>
    <x v="6"/>
    <m/>
    <n v="549"/>
    <n v="9"/>
    <n v="94"/>
    <n v="27"/>
    <n v="27"/>
    <n v="4"/>
    <n v="11"/>
    <s v="https://www.ag.ch/media/kanton_aargau/themen_1/coronavirus_1/lagebulletins/200401_KFS_Coronavirus_Lagebulletin_24.pdf"/>
    <m/>
    <s v=""/>
    <m/>
    <s v=""/>
    <m/>
    <s v=""/>
    <n v="47.409660000000002"/>
    <n v="8.1568799999999992"/>
    <s v="Aargau"/>
    <n v="1"/>
    <n v="50"/>
    <n v="0"/>
    <n v="81.819999999999993"/>
    <n v="1.639"/>
  </r>
  <r>
    <x v="36"/>
    <d v="1899-12-30T17:00:00"/>
    <x v="18"/>
    <m/>
    <n v="61"/>
    <n v="0"/>
    <n v="6"/>
    <m/>
    <m/>
    <m/>
    <n v="3"/>
    <s v="https://www.ar.ch/verwaltung/departement-gesundheit-und-soziales/amt-fuer-gesundheit/informationsseite-coronavirus/"/>
    <m/>
    <s v=""/>
    <m/>
    <s v=""/>
    <m/>
    <s v=""/>
    <n v="47.416351999999996"/>
    <n v="9.3679100000000002"/>
    <s v="Appenzell Ausserrhoden"/>
    <n v="15"/>
    <n v="3"/>
    <n v="1"/>
    <n v="110.51"/>
    <n v="5.4349999999999996"/>
  </r>
  <r>
    <x v="36"/>
    <d v="1899-12-30T08:00:00"/>
    <x v="7"/>
    <m/>
    <n v="909"/>
    <n v="4"/>
    <n v="115"/>
    <n v="26"/>
    <n v="21"/>
    <m/>
    <n v="20"/>
    <s v="https://www.besondere-lage.sites.be.ch/besondere-lage_sites/de/index/corona/index.html"/>
    <m/>
    <s v=""/>
    <m/>
    <s v=""/>
    <m/>
    <s v=""/>
    <n v="46.823608"/>
    <n v="7.6366670000000001"/>
    <s v="Bern/Berne"/>
    <n v="2"/>
    <n v="53"/>
    <n v="4"/>
    <n v="88.16"/>
    <n v="1.94"/>
  </r>
  <r>
    <x v="36"/>
    <d v="1899-12-30T03:00:00"/>
    <x v="8"/>
    <m/>
    <n v="588"/>
    <n v="-2"/>
    <n v="86"/>
    <n v="17"/>
    <n v="17"/>
    <n v="249"/>
    <n v="11"/>
    <s v="https://www.baselland.ch/politik-und-behorden/direktionen/volkswirtschafts-und-gesundheitsdirektion/amt-fur-gesundheit/medizinische-dienste/kantonsarztlicher-dienst/aktuelles/covid-19-faelle-kanton-basel-landschaft"/>
    <m/>
    <s v=""/>
    <m/>
    <s v=""/>
    <m/>
    <s v=""/>
    <n v="47.45176"/>
    <n v="7.7024140000000001"/>
    <s v="Basel-Landschaft"/>
    <n v="13"/>
    <n v="27"/>
    <n v="1"/>
    <n v="204.88"/>
    <n v="3.8330000000000002"/>
  </r>
  <r>
    <x v="36"/>
    <d v="1899-12-30T10:00:00"/>
    <x v="2"/>
    <n v="235"/>
    <n v="691"/>
    <n v="3"/>
    <n v="108"/>
    <n v="16"/>
    <m/>
    <n v="323"/>
    <n v="18"/>
    <s v="https://www.coronavirus.bs.ch/nm/2020-tagesbulletin-coronavirus-691-bestaetigte-faelle-im-kanton-basel-stadt-gd.html"/>
    <n v="404"/>
    <s v="20.0"/>
    <m/>
    <s v=""/>
    <m/>
    <s v=""/>
    <n v="47.564869000000002"/>
    <n v="7.615259"/>
    <s v="Basel-Stadt"/>
    <n v="12"/>
    <n v="34"/>
    <n v="2"/>
    <n v="356.37"/>
    <n v="9.2829999999999995"/>
  </r>
  <r>
    <x v="36"/>
    <d v="1899-12-30T03:00:00"/>
    <x v="3"/>
    <n v="900"/>
    <n v="72"/>
    <n v="0"/>
    <m/>
    <m/>
    <m/>
    <n v="1"/>
    <m/>
    <s v="https://www.regierung.li/media/attachments/164-corona-schweizer-sanitaetssoldaten-0401.pdf?t=637213766824962451"/>
    <m/>
    <s v=""/>
    <m/>
    <s v=""/>
    <m/>
    <s v=""/>
    <n v="47.166666999999997"/>
    <n v="9.509722"/>
    <s v="Fürstentum Lichtenstein"/>
    <n v="0"/>
    <n v="4"/>
    <n v="0"/>
    <n v="186.53"/>
    <m/>
  </r>
  <r>
    <x v="36"/>
    <d v="1899-12-30T03:00:00"/>
    <x v="12"/>
    <n v="30"/>
    <n v="525"/>
    <n v="4"/>
    <n v="81"/>
    <n v="23"/>
    <m/>
    <m/>
    <n v="23"/>
    <s v="https://www.fr.ch/covid19/sante/covid-19/coronavirus-statistiques-evolution-de-la-situation-dans-le-canton"/>
    <m/>
    <s v=""/>
    <m/>
    <s v=""/>
    <m/>
    <s v=""/>
    <n v="46.718390999999997"/>
    <n v="7.0740080000000001"/>
    <s v="Fribourg"/>
    <n v="10"/>
    <n v="34"/>
    <n v="3"/>
    <n v="166.61"/>
    <n v="7.2990000000000004"/>
  </r>
  <r>
    <x v="36"/>
    <d v="1899-12-30T03:00:00"/>
    <x v="0"/>
    <n v="12449"/>
    <n v="3105"/>
    <n v="1"/>
    <n v="406"/>
    <n v="64"/>
    <n v="58"/>
    <n v="260"/>
    <n v="71"/>
    <s v="https://www.ge.ch/document/covid-19-situation-epidemiologique-geneve/telecharger"/>
    <m/>
    <s v=""/>
    <m/>
    <s v=""/>
    <n v="24"/>
    <s v=""/>
    <n v="46.220528000000002"/>
    <n v="6.1329349999999998"/>
    <s v="Genève"/>
    <n v="25"/>
    <n v="157"/>
    <n v="8"/>
    <n v="627.02"/>
    <n v="14.337999999999999"/>
  </r>
  <r>
    <x v="36"/>
    <d v="1899-12-30T13:30:00"/>
    <x v="13"/>
    <m/>
    <n v="56"/>
    <n v="0"/>
    <n v="5"/>
    <m/>
    <m/>
    <m/>
    <n v="2"/>
    <s v="https://www.gl.ch/verwaltung/finanzen-und-gesundheit/gesundheit/coronavirus.html/4817#Fallzahlen"/>
    <m/>
    <s v=""/>
    <m/>
    <s v=""/>
    <m/>
    <s v=""/>
    <n v="46.931042000000005"/>
    <n v="9.0657510000000006"/>
    <s v="Glarus"/>
    <n v="8"/>
    <n v="3"/>
    <n v="0"/>
    <n v="138.96"/>
    <n v="4.9630000000000001"/>
  </r>
  <r>
    <x v="36"/>
    <d v="1899-12-30T03:00:00"/>
    <x v="26"/>
    <m/>
    <n v="521"/>
    <n v="0"/>
    <n v="58"/>
    <m/>
    <m/>
    <m/>
    <n v="21"/>
    <s v="https://www.gr.ch/DE/institutionen/verwaltung/djsg/ga/coronavirus/info/Seiten/Start.aspx"/>
    <m/>
    <s v=""/>
    <m/>
    <s v=""/>
    <m/>
    <s v=""/>
    <n v="46.656247999999998"/>
    <n v="9.6281979999999994"/>
    <s v="Graubünden/Grigioni"/>
    <n v="1"/>
    <n v="8"/>
    <n v="2"/>
    <n v="263.26"/>
    <n v="10.611000000000001"/>
  </r>
  <r>
    <x v="36"/>
    <d v="1899-12-30T16:00:00"/>
    <x v="4"/>
    <m/>
    <n v="145"/>
    <n v="0"/>
    <n v="29"/>
    <n v="5"/>
    <m/>
    <m/>
    <m/>
    <s v="https://www.jura.ch/fr/Autorites/Coronavirus/Chiffres-H-JU/Evolution-des-cas-COVID-19-dans-le-Jura.html"/>
    <m/>
    <s v=""/>
    <m/>
    <s v=""/>
    <m/>
    <s v=""/>
    <n v="47.350743999999999"/>
    <n v="7.1561070000000004"/>
    <s v="Jura"/>
    <n v="26"/>
    <n v="5"/>
    <n v="0"/>
    <n v="197.82"/>
    <m/>
  </r>
  <r>
    <x v="36"/>
    <d v="1899-12-30T11:00:00"/>
    <x v="17"/>
    <m/>
    <n v="401"/>
    <n v="0"/>
    <n v="57"/>
    <n v="12"/>
    <m/>
    <m/>
    <n v="7"/>
    <s v="https://gesundheit.lu.ch/themen/Humanmedizin/Infektionskrankheiten/Coronavirus"/>
    <m/>
    <s v=""/>
    <m/>
    <s v=""/>
    <m/>
    <s v=""/>
    <n v="47.067762999999999"/>
    <n v="8.1102000000000007"/>
    <s v="Luzern"/>
    <n v="3"/>
    <n v="26"/>
    <n v="0"/>
    <n v="98.65"/>
    <n v="1.722"/>
  </r>
  <r>
    <x v="36"/>
    <d v="1899-12-30T06:00:00"/>
    <x v="14"/>
    <m/>
    <n v="420"/>
    <n v="7"/>
    <n v="66"/>
    <n v="14"/>
    <n v="8"/>
    <m/>
    <n v="25"/>
    <s v="https://www.ne.ch/autorites/DFS/SCSP/medecin-cantonal/maladies-vaccinations/Documents/Covid-19-Statistiques/COVID19_PublicationInternet.pdf"/>
    <m/>
    <s v=""/>
    <m/>
    <s v=""/>
    <m/>
    <s v=""/>
    <n v="46.995533999999999"/>
    <n v="6.7801260000000001"/>
    <s v="Neuchâtel"/>
    <n v="24"/>
    <n v="18"/>
    <n v="2"/>
    <n v="235.96"/>
    <n v="14.045"/>
  </r>
  <r>
    <x v="36"/>
    <d v="1899-12-30T18:15:00"/>
    <x v="20"/>
    <m/>
    <n v="70"/>
    <n v="0"/>
    <m/>
    <m/>
    <m/>
    <m/>
    <m/>
    <s v="https://www.nw.ch/gesundheitsamtdienste/6044"/>
    <m/>
    <s v=""/>
    <m/>
    <s v=""/>
    <m/>
    <s v=""/>
    <n v="46.926755"/>
    <n v="8.4053020000000007"/>
    <s v="Nidwalden"/>
    <n v="7"/>
    <n v="0"/>
    <n v="0"/>
    <n v="162.79"/>
    <m/>
  </r>
  <r>
    <x v="36"/>
    <d v="1899-12-30T03:00:00"/>
    <x v="23"/>
    <n v="6"/>
    <n v="48"/>
    <n v="0"/>
    <m/>
    <m/>
    <m/>
    <m/>
    <m/>
    <s v="https://www.ow.ch/de/verwaltung/dienstleistungen/?dienst_id=5962"/>
    <m/>
    <s v=""/>
    <m/>
    <s v=""/>
    <m/>
    <s v=""/>
    <n v="46.804527"/>
    <n v="8.1443170000000009"/>
    <s v="Obwalden"/>
    <n v="6"/>
    <n v="2"/>
    <n v="0"/>
    <n v="127.66"/>
    <m/>
  </r>
  <r>
    <x v="36"/>
    <d v="1899-12-30T03:00:00"/>
    <x v="15"/>
    <m/>
    <n v="414"/>
    <n v="0"/>
    <m/>
    <m/>
    <m/>
    <m/>
    <n v="7"/>
    <s v="https://www.sg.ch/tools/informationen-coronavirus.html"/>
    <m/>
    <s v=""/>
    <m/>
    <s v=""/>
    <m/>
    <s v=""/>
    <n v="47.183199999999999"/>
    <n v="9.2747440000000001"/>
    <s v="St. Gallen"/>
    <n v="17"/>
    <n v="0"/>
    <n v="0"/>
    <n v="82.03"/>
    <n v="1.387"/>
  </r>
  <r>
    <x v="36"/>
    <d v="1899-12-30T03:00:00"/>
    <x v="21"/>
    <m/>
    <n v="44"/>
    <n v="-8"/>
    <n v="10"/>
    <n v="3"/>
    <m/>
    <m/>
    <n v="1"/>
    <s v="https://sh.ch/CMS/Webseite/Kanton-Schaffhausen/Beh-rde/Verwaltung/Departement-des-Innern/Gesundheitsamt-3209198-DE.html"/>
    <m/>
    <s v=""/>
    <m/>
    <s v=""/>
    <m/>
    <s v=""/>
    <n v="47.713569999999997"/>
    <n v="8.5916700000000006"/>
    <s v="Schaffhausen"/>
    <n v="14"/>
    <n v="0"/>
    <n v="0"/>
    <n v="54.05"/>
    <n v="1.2290000000000001"/>
  </r>
  <r>
    <x v="36"/>
    <d v="1899-12-30T03:00:00"/>
    <x v="19"/>
    <m/>
    <n v="216"/>
    <n v="0"/>
    <m/>
    <m/>
    <m/>
    <m/>
    <n v="3"/>
    <s v="https://corona.so.ch/"/>
    <m/>
    <s v=""/>
    <m/>
    <s v=""/>
    <m/>
    <s v=""/>
    <n v="47.304135000000002"/>
    <n v="7.6393880000000003"/>
    <s v="Solothurn"/>
    <n v="11"/>
    <n v="20"/>
    <n v="1"/>
    <n v="79.59"/>
    <n v="1.105"/>
  </r>
  <r>
    <x v="36"/>
    <d v="1899-12-30T03:00:00"/>
    <x v="16"/>
    <n v="10"/>
    <n v="146"/>
    <n v="0"/>
    <n v="1"/>
    <m/>
    <m/>
    <n v="65"/>
    <n v="4"/>
    <s v="https://www.sz.ch/behoerden/information-medien/medienmitteilungen/coronavirus.html/72-416-412-1379-6948"/>
    <m/>
    <s v=""/>
    <m/>
    <s v=""/>
    <m/>
    <s v=""/>
    <n v="47.061787000000002"/>
    <n v="8.7565849999999994"/>
    <s v="Schwyz"/>
    <n v="5"/>
    <n v="5"/>
    <n v="0"/>
    <n v="92.82"/>
    <n v="2.5430000000000001"/>
  </r>
  <r>
    <x v="36"/>
    <d v="1899-12-30T03:00:00"/>
    <x v="25"/>
    <n v="276"/>
    <n v="166"/>
    <n v="0"/>
    <m/>
    <m/>
    <m/>
    <m/>
    <n v="4"/>
    <s v="https://www.tg.ch/news/fachdossier-coronavirus.html/10552"/>
    <m/>
    <s v=""/>
    <m/>
    <s v=""/>
    <m/>
    <s v=""/>
    <n v="47.568714999999997"/>
    <n v="9.0919570000000007"/>
    <s v="Thurgau"/>
    <n v="1"/>
    <n v="12"/>
    <n v="1"/>
    <n v="60.63"/>
    <n v="1.4610000000000001"/>
  </r>
  <r>
    <x v="36"/>
    <d v="1899-12-30T08:00:00"/>
    <x v="1"/>
    <m/>
    <n v="2195"/>
    <n v="-5"/>
    <n v="396"/>
    <n v="76"/>
    <n v="72"/>
    <n v="229"/>
    <n v="132"/>
    <s v="https://www4.ti.ch/area-media/comunicati/dettaglio-comunicato/?NEWS_ID=187555&amp;tx_tichareamedia_comunicazioni%5Baction%5D=show&amp;tx_tichareamedia_comunicazioni%5Bcontroller%5D=Comunicazioni&amp;cHash=843d72993004667ab731d64142591372"/>
    <m/>
    <s v=""/>
    <m/>
    <s v="72.0"/>
    <m/>
    <s v=""/>
    <n v="46.295617"/>
    <n v="8.8089239999999993"/>
    <s v="Ticino"/>
    <n v="21"/>
    <n v="104"/>
    <n v="12"/>
    <n v="620.58000000000004"/>
    <n v="37.32"/>
  </r>
  <r>
    <x v="36"/>
    <d v="1899-12-30T03:00:00"/>
    <x v="22"/>
    <n v="85"/>
    <n v="59"/>
    <n v="1"/>
    <n v="10"/>
    <m/>
    <m/>
    <n v="13"/>
    <n v="1"/>
    <s v="https://www.ur.ch/themen/2920"/>
    <m/>
    <s v=""/>
    <m/>
    <s v=""/>
    <m/>
    <s v=""/>
    <n v="46.771849000000003"/>
    <n v="8.6285860000000003"/>
    <s v="Uri"/>
    <n v="4"/>
    <n v="2"/>
    <n v="0"/>
    <n v="162.53"/>
    <n v="2.7549999999999999"/>
  </r>
  <r>
    <x v="36"/>
    <d v="1899-12-30T03:00:00"/>
    <x v="9"/>
    <m/>
    <n v="3721"/>
    <n v="6"/>
    <n v="390"/>
    <n v="74"/>
    <m/>
    <n v="225"/>
    <n v="115"/>
    <s v="https://www.vd.ch/toutes-les-actualites/hotline-et-informations-sur-le-coronavirus/point-de-situation-statistique-dans-le-canton-de-vaud/"/>
    <m/>
    <s v=""/>
    <m/>
    <s v=""/>
    <m/>
    <s v=""/>
    <n v="46.570090999999998"/>
    <n v="6.5578090000000007"/>
    <s v="Vaud"/>
    <n v="22"/>
    <n v="173"/>
    <n v="11"/>
    <n v="469.17"/>
    <n v="14.5"/>
  </r>
  <r>
    <x v="36"/>
    <d v="1899-12-30T15:00:00"/>
    <x v="10"/>
    <m/>
    <n v="1282"/>
    <n v="-5"/>
    <n v="147"/>
    <n v="26"/>
    <n v="25"/>
    <n v="70"/>
    <n v="40"/>
    <s v="https://www.vs.ch/documents/6756452/7008787/2020%2004%2012%20Sit%20Epid%20-%20%C3%89tat%20Stand"/>
    <m/>
    <s v=""/>
    <m/>
    <s v=""/>
    <m/>
    <s v=""/>
    <n v="46.209567"/>
    <n v="7.6046589999999998"/>
    <s v="Valais/Wallis"/>
    <n v="23"/>
    <n v="70"/>
    <n v="3"/>
    <n v="375.4"/>
    <n v="11.712999999999999"/>
  </r>
  <r>
    <x v="36"/>
    <d v="1899-12-30T08:00:00"/>
    <x v="11"/>
    <m/>
    <n v="131"/>
    <n v="1"/>
    <n v="14"/>
    <n v="5"/>
    <m/>
    <n v="40"/>
    <n v="1"/>
    <s v="https://www.zg.ch/behoerden/gesundheitsdirektion/statistikfachstelle/themen/gesundheit/corona"/>
    <m/>
    <s v=""/>
    <m/>
    <s v=""/>
    <m/>
    <s v=""/>
    <n v="47.157296000000002"/>
    <n v="8.5372939999999993"/>
    <s v="Zug"/>
    <n v="9"/>
    <n v="6"/>
    <n v="0"/>
    <n v="104.47"/>
    <n v="0.79700000000000004"/>
  </r>
  <r>
    <x v="36"/>
    <d v="1899-12-30T14:30:00"/>
    <x v="5"/>
    <m/>
    <n v="2142"/>
    <n v="7"/>
    <n v="203"/>
    <m/>
    <n v="54"/>
    <m/>
    <n v="36"/>
    <s v="https://gd.zh.ch/internet/gesundheitsdirektion/de/themen/coronavirus.html"/>
    <m/>
    <s v=""/>
    <m/>
    <s v=""/>
    <m/>
    <s v=""/>
    <n v="47.412750000000003"/>
    <n v="8.6550799999999999"/>
    <s v="Zürich"/>
    <n v="1"/>
    <n v="189"/>
    <n v="9"/>
    <n v="142.38999999999999"/>
    <n v="2.3929999999999998"/>
  </r>
  <r>
    <x v="37"/>
    <d v="1899-12-30T15:00:00"/>
    <x v="6"/>
    <m/>
    <n v="592"/>
    <n v="0"/>
    <n v="94"/>
    <n v="27"/>
    <n v="27"/>
    <n v="4"/>
    <n v="12"/>
    <s v="https://www.ag.ch/media/kanton_aargau/themen_1/coronavirus_1/lagebulletins/200402_KFS_Coronavirus_Lagebulletin_25.pdf"/>
    <m/>
    <s v=""/>
    <m/>
    <s v=""/>
    <m/>
    <s v=""/>
    <n v="47.409660000000002"/>
    <n v="8.1568799999999992"/>
    <s v="Aargau"/>
    <n v="1"/>
    <n v="43"/>
    <n v="1"/>
    <n v="88.23"/>
    <n v="1.788"/>
  </r>
  <r>
    <x v="37"/>
    <d v="1899-12-30T17:00:00"/>
    <x v="24"/>
    <m/>
    <n v="20"/>
    <n v="0"/>
    <n v="1"/>
    <m/>
    <m/>
    <m/>
    <m/>
    <s v="https://www.ai.ch/themen/gesundheit-alter-und-soziales/gesundheitsfoerderung-und-praevention/uebertragbare-krankheiten/coronavirus"/>
    <m/>
    <s v=""/>
    <m/>
    <s v=""/>
    <m/>
    <s v=""/>
    <n v="47.317264000000002"/>
    <n v="9.4167539999999992"/>
    <s v="Appenzell Innerrhoden"/>
    <n v="16"/>
    <n v="6"/>
    <n v="0"/>
    <n v="124.22"/>
    <m/>
  </r>
  <r>
    <x v="37"/>
    <d v="1899-12-30T12:00:00"/>
    <x v="18"/>
    <m/>
    <n v="64"/>
    <n v="0"/>
    <n v="6"/>
    <m/>
    <m/>
    <m/>
    <n v="3"/>
    <s v="https://www.ar.ch/verwaltung/departement-gesundheit-und-soziales/amt-fuer-gesundheit/informationsseite-coronavirus/"/>
    <m/>
    <s v=""/>
    <m/>
    <s v=""/>
    <m/>
    <s v=""/>
    <n v="47.416351999999996"/>
    <n v="9.3679100000000002"/>
    <s v="Appenzell Ausserrhoden"/>
    <n v="15"/>
    <n v="3"/>
    <n v="0"/>
    <n v="115.94"/>
    <n v="5.4349999999999996"/>
  </r>
  <r>
    <x v="37"/>
    <d v="1899-12-30T08:00:00"/>
    <x v="7"/>
    <m/>
    <n v="1003"/>
    <n v="-11"/>
    <n v="104"/>
    <n v="24"/>
    <n v="20"/>
    <m/>
    <n v="23"/>
    <s v="https://www.besondere-lage.sites.be.ch/besondere-lage_sites/de/index/corona/index.html"/>
    <m/>
    <s v=""/>
    <m/>
    <s v=""/>
    <m/>
    <s v=""/>
    <n v="46.823608"/>
    <n v="7.6366670000000001"/>
    <s v="Bern/Berne"/>
    <n v="2"/>
    <n v="94"/>
    <n v="3"/>
    <n v="97.27"/>
    <n v="2.2309999999999999"/>
  </r>
  <r>
    <x v="37"/>
    <d v="1899-12-30T03:00:00"/>
    <x v="8"/>
    <m/>
    <n v="610"/>
    <n v="-5"/>
    <n v="81"/>
    <n v="18"/>
    <n v="18"/>
    <n v="262"/>
    <n v="12"/>
    <s v="https://www.baselland.ch/politik-und-behorden/direktionen/volkswirtschafts-und-gesundheitsdirektion/amt-fur-gesundheit/medizinische-dienste/kantonsarztlicher-dienst/aktuelles/covid-19-faelle-kanton-basel-landschaft"/>
    <m/>
    <s v=""/>
    <m/>
    <s v=""/>
    <m/>
    <s v=""/>
    <n v="47.45176"/>
    <n v="7.7024140000000001"/>
    <s v="Basel-Landschaft"/>
    <n v="13"/>
    <n v="22"/>
    <n v="1"/>
    <n v="212.54"/>
    <n v="4.181"/>
  </r>
  <r>
    <x v="37"/>
    <d v="1899-12-30T10:00:00"/>
    <x v="2"/>
    <n v="235"/>
    <n v="718"/>
    <n v="11"/>
    <n v="119"/>
    <n v="17"/>
    <m/>
    <n v="350"/>
    <n v="19"/>
    <s v="https://www.gd.bs.ch//nm/2020-tagesbulletin-coronavirus-718-bestaetigte-faelle-im-kanton-basel-stadt-gd.html"/>
    <n v="409"/>
    <s v="24.0"/>
    <m/>
    <s v=""/>
    <m/>
    <s v=""/>
    <n v="47.564869000000002"/>
    <n v="7.615259"/>
    <s v="Basel-Stadt"/>
    <n v="12"/>
    <n v="27"/>
    <n v="1"/>
    <n v="370.29"/>
    <n v="9.7989999999999995"/>
  </r>
  <r>
    <x v="37"/>
    <d v="1899-12-30T03:00:00"/>
    <x v="3"/>
    <n v="900"/>
    <n v="75"/>
    <n v="0"/>
    <m/>
    <m/>
    <m/>
    <n v="1"/>
    <m/>
    <s v="https://www.regierung.li/media/attachments/166-massnahmen-weiter-einhalten-0402.pdf?t=637214501732587547"/>
    <m/>
    <s v=""/>
    <m/>
    <s v=""/>
    <m/>
    <s v=""/>
    <n v="47.166666999999997"/>
    <n v="9.509722"/>
    <s v="Fürstentum Lichtenstein"/>
    <n v="0"/>
    <n v="3"/>
    <n v="0"/>
    <n v="194.3"/>
    <m/>
  </r>
  <r>
    <x v="37"/>
    <d v="1899-12-30T03:00:00"/>
    <x v="12"/>
    <n v="30"/>
    <n v="550"/>
    <n v="-1"/>
    <n v="80"/>
    <n v="23"/>
    <m/>
    <m/>
    <n v="26"/>
    <s v="https://www.fr.ch/covid19/sante/covid-19/coronavirus-statistiques-evolution-de-la-situation-dans-le-canton"/>
    <m/>
    <s v=""/>
    <m/>
    <s v=""/>
    <m/>
    <s v=""/>
    <n v="46.718390999999997"/>
    <n v="7.0740080000000001"/>
    <s v="Fribourg"/>
    <n v="10"/>
    <n v="25"/>
    <n v="3"/>
    <n v="174.55"/>
    <n v="8.2509999999999994"/>
  </r>
  <r>
    <x v="37"/>
    <d v="1899-12-30T03:00:00"/>
    <x v="0"/>
    <n v="13401"/>
    <n v="3316"/>
    <n v="18"/>
    <n v="424"/>
    <n v="62"/>
    <n v="54"/>
    <n v="283"/>
    <n v="79"/>
    <s v="https://www.ge.ch/document/covid-19-situation-epidemiologique-geneve/telecharger"/>
    <m/>
    <s v=""/>
    <m/>
    <s v=""/>
    <n v="24"/>
    <s v=""/>
    <n v="46.220528000000002"/>
    <n v="6.1329349999999998"/>
    <s v="Genève"/>
    <n v="25"/>
    <n v="211"/>
    <n v="8"/>
    <n v="669.63"/>
    <n v="15.952999999999999"/>
  </r>
  <r>
    <x v="37"/>
    <d v="1899-12-30T13:00:00"/>
    <x v="13"/>
    <m/>
    <n v="58"/>
    <n v="0"/>
    <n v="5"/>
    <m/>
    <m/>
    <m/>
    <n v="2"/>
    <s v="https://www.gl.ch/verwaltung/finanzen-und-gesundheit/gesundheit/coronavirus.html/4817#Fallzahlen"/>
    <m/>
    <s v=""/>
    <m/>
    <s v=""/>
    <m/>
    <s v=""/>
    <n v="46.931042000000005"/>
    <n v="9.0657510000000006"/>
    <s v="Glarus"/>
    <n v="8"/>
    <n v="2"/>
    <n v="0"/>
    <n v="143.91999999999999"/>
    <n v="4.9630000000000001"/>
  </r>
  <r>
    <x v="37"/>
    <d v="1899-12-30T03:00:00"/>
    <x v="26"/>
    <m/>
    <n v="569"/>
    <n v="1"/>
    <n v="59"/>
    <m/>
    <m/>
    <m/>
    <n v="23"/>
    <s v="https://www.gr.ch/DE/institutionen/verwaltung/djsg/ga/coronavirus/info/Seiten/Start.aspx"/>
    <m/>
    <s v=""/>
    <m/>
    <s v=""/>
    <m/>
    <s v=""/>
    <n v="46.656247999999998"/>
    <n v="9.6281979999999994"/>
    <s v="Graubünden/Grigioni"/>
    <n v="1"/>
    <n v="48"/>
    <n v="2"/>
    <n v="287.52"/>
    <n v="11.622"/>
  </r>
  <r>
    <x v="37"/>
    <d v="1899-12-30T16:00:00"/>
    <x v="4"/>
    <m/>
    <n v="149"/>
    <n v="0"/>
    <n v="29"/>
    <n v="3"/>
    <m/>
    <m/>
    <m/>
    <s v="https://www.jura.ch/fr/Autorites/Coronavirus/Chiffres-H-JU/Evolution-des-cas-COVID-19-dans-le-Jura.html"/>
    <m/>
    <s v=""/>
    <m/>
    <s v=""/>
    <m/>
    <s v=""/>
    <n v="47.350743999999999"/>
    <n v="7.1561070000000004"/>
    <s v="Jura"/>
    <n v="26"/>
    <n v="4"/>
    <n v="0"/>
    <n v="203.27"/>
    <m/>
  </r>
  <r>
    <x v="37"/>
    <d v="1899-12-30T11:00:00"/>
    <x v="17"/>
    <m/>
    <n v="422"/>
    <n v="9"/>
    <n v="66"/>
    <n v="11"/>
    <m/>
    <m/>
    <n v="7"/>
    <s v="https://gesundheit.lu.ch/themen/Humanmedizin/Infektionskrankheiten/Coronavirus"/>
    <m/>
    <s v=""/>
    <m/>
    <s v=""/>
    <m/>
    <s v=""/>
    <n v="47.067762999999999"/>
    <n v="8.1102000000000007"/>
    <s v="Luzern"/>
    <n v="3"/>
    <n v="21"/>
    <n v="0"/>
    <n v="103.81"/>
    <n v="1.722"/>
  </r>
  <r>
    <x v="37"/>
    <d v="1899-12-30T12:00:00"/>
    <x v="14"/>
    <m/>
    <n v="430"/>
    <n v="-5"/>
    <n v="61"/>
    <n v="12"/>
    <n v="10"/>
    <m/>
    <n v="28"/>
    <s v="https://www.ne.ch/autorites/DFS/SCSP/medecin-cantonal/maladies-vaccinations/Documents/Covid-19-Statistiques/COVID19_PublicationInternet.pdf"/>
    <m/>
    <s v=""/>
    <m/>
    <s v=""/>
    <m/>
    <s v=""/>
    <n v="46.995533999999999"/>
    <n v="6.7801260000000001"/>
    <s v="Neuchâtel"/>
    <n v="24"/>
    <n v="10"/>
    <n v="3"/>
    <n v="241.57"/>
    <n v="15.73"/>
  </r>
  <r>
    <x v="37"/>
    <d v="1899-12-30T16:00:00"/>
    <x v="20"/>
    <m/>
    <n v="76"/>
    <n v="0"/>
    <m/>
    <m/>
    <m/>
    <m/>
    <m/>
    <s v="https://www.nw.ch/gesundheitsamtdienste/6044"/>
    <m/>
    <s v=""/>
    <m/>
    <s v=""/>
    <m/>
    <s v=""/>
    <n v="46.926755"/>
    <n v="8.4053020000000007"/>
    <s v="Nidwalden"/>
    <n v="7"/>
    <n v="6"/>
    <n v="0"/>
    <n v="176.74"/>
    <m/>
  </r>
  <r>
    <x v="37"/>
    <d v="1899-12-30T03:00:00"/>
    <x v="23"/>
    <n v="6"/>
    <n v="51"/>
    <n v="0"/>
    <m/>
    <m/>
    <m/>
    <m/>
    <m/>
    <s v="https://www.ow.ch/de/verwaltung/dienstleistungen/?dienst_id=5962"/>
    <m/>
    <s v=""/>
    <m/>
    <s v=""/>
    <m/>
    <s v=""/>
    <n v="46.804527"/>
    <n v="8.1443170000000009"/>
    <s v="Obwalden"/>
    <n v="6"/>
    <n v="3"/>
    <n v="0"/>
    <n v="135.63999999999999"/>
    <m/>
  </r>
  <r>
    <x v="37"/>
    <d v="1899-12-30T03:00:00"/>
    <x v="15"/>
    <m/>
    <n v="480"/>
    <n v="0"/>
    <n v="64"/>
    <n v="11"/>
    <m/>
    <n v="49"/>
    <n v="8"/>
    <s v="https://www.sg.ch/tools/informationen-coronavirus.html"/>
    <m/>
    <s v=""/>
    <m/>
    <s v=""/>
    <m/>
    <s v=""/>
    <n v="47.183199999999999"/>
    <n v="9.2747440000000001"/>
    <s v="St. Gallen"/>
    <n v="17"/>
    <n v="66"/>
    <n v="1"/>
    <n v="95.11"/>
    <n v="1.585"/>
  </r>
  <r>
    <x v="37"/>
    <d v="1899-12-30T03:00:00"/>
    <x v="21"/>
    <m/>
    <n v="47"/>
    <n v="8"/>
    <n v="18"/>
    <n v="3"/>
    <m/>
    <m/>
    <n v="1"/>
    <s v="https://sh.ch/CMS/Webseite/Kanton-Schaffhausen/Beh-rde/Verwaltung/Departement-des-Innern/Gesundheitsamt-3209198-DE.html"/>
    <m/>
    <s v=""/>
    <m/>
    <s v=""/>
    <m/>
    <s v=""/>
    <n v="47.713569999999997"/>
    <n v="8.5916700000000006"/>
    <s v="Schaffhausen"/>
    <n v="14"/>
    <n v="3"/>
    <n v="0"/>
    <n v="57.74"/>
    <n v="1.2290000000000001"/>
  </r>
  <r>
    <x v="37"/>
    <d v="1899-12-30T03:00:00"/>
    <x v="19"/>
    <m/>
    <n v="227"/>
    <n v="0"/>
    <n v="14"/>
    <m/>
    <m/>
    <m/>
    <n v="3"/>
    <s v="https://corona.so.ch/"/>
    <m/>
    <s v=""/>
    <m/>
    <s v=""/>
    <m/>
    <s v=""/>
    <n v="47.304135000000002"/>
    <n v="7.6393880000000003"/>
    <s v="Solothurn"/>
    <n v="11"/>
    <n v="11"/>
    <n v="0"/>
    <n v="83.64"/>
    <n v="1.105"/>
  </r>
  <r>
    <x v="37"/>
    <d v="1899-12-30T03:00:00"/>
    <x v="16"/>
    <n v="10"/>
    <n v="155"/>
    <n v="0"/>
    <n v="1"/>
    <m/>
    <m/>
    <n v="65"/>
    <n v="4"/>
    <s v="https://www.sz.ch/behoerden/information-medien/medienmitteilungen/coronavirus.html/72-416-412-1379-6948"/>
    <m/>
    <s v=""/>
    <m/>
    <s v=""/>
    <m/>
    <s v=""/>
    <n v="47.061787000000002"/>
    <n v="8.7565849999999994"/>
    <s v="Schwyz"/>
    <n v="5"/>
    <n v="9"/>
    <n v="0"/>
    <n v="98.54"/>
    <n v="2.5430000000000001"/>
  </r>
  <r>
    <x v="37"/>
    <d v="1899-12-30T03:00:00"/>
    <x v="25"/>
    <n v="276"/>
    <n v="179"/>
    <n v="0"/>
    <m/>
    <m/>
    <m/>
    <m/>
    <n v="4"/>
    <s v="https://www.tg.ch/news/fachdossier-coronavirus.html/10552"/>
    <m/>
    <s v=""/>
    <m/>
    <s v=""/>
    <m/>
    <s v=""/>
    <n v="47.568714999999997"/>
    <n v="9.0919570000000007"/>
    <s v="Thurgau"/>
    <n v="1"/>
    <n v="13"/>
    <n v="0"/>
    <n v="65.38"/>
    <n v="1.4610000000000001"/>
  </r>
  <r>
    <x v="37"/>
    <d v="1899-12-30T08:00:00"/>
    <x v="1"/>
    <m/>
    <n v="2271"/>
    <n v="-22"/>
    <n v="374"/>
    <n v="75"/>
    <n v="73"/>
    <n v="263"/>
    <n v="141"/>
    <s v="https://www4.ti.ch/area-media/comunicati/dettaglio-comunicato/?NEWS_ID=187564&amp;tx_tichareamedia_comunicazioni%5Baction%5D=show&amp;tx_tichareamedia_comunicazioni%5Bcontroller%5D=Comunicazioni&amp;cHash=6abbcb9cd18b83f8ce260e2748b9a326"/>
    <m/>
    <s v=""/>
    <m/>
    <s v="73.0"/>
    <m/>
    <s v=""/>
    <n v="46.295617"/>
    <n v="8.8089239999999993"/>
    <s v="Ticino"/>
    <n v="21"/>
    <n v="76"/>
    <n v="9"/>
    <n v="642.07000000000005"/>
    <n v="39.863999999999997"/>
  </r>
  <r>
    <x v="37"/>
    <d v="1899-12-30T14:00:00"/>
    <x v="22"/>
    <n v="85"/>
    <n v="60"/>
    <n v="-6"/>
    <n v="4"/>
    <m/>
    <m/>
    <n v="13"/>
    <n v="1"/>
    <s v="https://www.ur.ch/themen/2920"/>
    <m/>
    <s v=""/>
    <m/>
    <s v=""/>
    <m/>
    <s v=""/>
    <n v="46.771849000000003"/>
    <n v="8.6285860000000003"/>
    <s v="Uri"/>
    <n v="4"/>
    <n v="1"/>
    <n v="0"/>
    <n v="165.29"/>
    <n v="2.7549999999999999"/>
  </r>
  <r>
    <x v="37"/>
    <d v="1899-12-30T03:00:00"/>
    <x v="9"/>
    <m/>
    <n v="3874"/>
    <n v="-9"/>
    <n v="381"/>
    <n v="75"/>
    <m/>
    <n v="225"/>
    <n v="134"/>
    <s v="https://www.vd.ch/toutes-les-actualites/hotline-et-informations-sur-le-coronavirus/point-de-situation-statistique-dans-le-canton-de-vaud/"/>
    <m/>
    <s v=""/>
    <m/>
    <s v=""/>
    <m/>
    <s v=""/>
    <n v="46.570090999999998"/>
    <n v="6.5578090000000007"/>
    <s v="Vaud"/>
    <n v="22"/>
    <n v="153"/>
    <n v="19"/>
    <n v="488.46"/>
    <n v="16.896000000000001"/>
  </r>
  <r>
    <x v="37"/>
    <d v="1899-12-30T15:00:00"/>
    <x v="10"/>
    <m/>
    <n v="1334"/>
    <n v="0"/>
    <n v="147"/>
    <n v="28"/>
    <n v="24"/>
    <n v="88"/>
    <n v="47"/>
    <s v="https://www.vs.ch/documents/6756452/7008787/2020%2004%2012%20Sit%20Epid%20-%20%C3%89tat%20Stand"/>
    <m/>
    <s v=""/>
    <m/>
    <s v=""/>
    <m/>
    <s v=""/>
    <n v="46.209567"/>
    <n v="7.6046589999999998"/>
    <s v="Valais/Wallis"/>
    <n v="23"/>
    <n v="52"/>
    <n v="7"/>
    <n v="390.63"/>
    <n v="13.763"/>
  </r>
  <r>
    <x v="37"/>
    <d v="1899-12-30T08:00:00"/>
    <x v="11"/>
    <m/>
    <n v="138"/>
    <n v="1"/>
    <n v="15"/>
    <n v="7"/>
    <m/>
    <n v="41"/>
    <n v="1"/>
    <s v="https://www.zg.ch/behoerden/gesundheitsdirektion/statistikfachstelle/themen/gesundheit/corona"/>
    <m/>
    <s v=""/>
    <m/>
    <s v=""/>
    <m/>
    <s v=""/>
    <n v="47.157296000000002"/>
    <n v="8.5372939999999993"/>
    <s v="Zug"/>
    <n v="9"/>
    <n v="7"/>
    <n v="0"/>
    <n v="110.05"/>
    <n v="0.79700000000000004"/>
  </r>
  <r>
    <x v="37"/>
    <d v="1899-12-30T14:30:00"/>
    <x v="5"/>
    <m/>
    <n v="2306"/>
    <n v="-3"/>
    <n v="200"/>
    <m/>
    <n v="53"/>
    <m/>
    <n v="39"/>
    <s v="https://gd.zh.ch/internet/gesundheitsdirektion/de/themen/coronavirus.html"/>
    <m/>
    <s v=""/>
    <m/>
    <s v=""/>
    <m/>
    <s v=""/>
    <n v="47.412750000000003"/>
    <n v="8.6550799999999999"/>
    <s v="Zürich"/>
    <n v="1"/>
    <n v="164"/>
    <n v="3"/>
    <n v="153.29"/>
    <n v="2.593"/>
  </r>
  <r>
    <x v="38"/>
    <d v="1899-12-30T15:00:00"/>
    <x v="6"/>
    <m/>
    <n v="626"/>
    <n v="6"/>
    <n v="100"/>
    <n v="27"/>
    <n v="26"/>
    <n v="4"/>
    <n v="12"/>
    <s v="https://www.ag.ch/media/kanton_aargau/themen_1/coronavirus_1/lagebulletins/200403_KFS_Coronavirus_Lagebulletin_26.pdf"/>
    <m/>
    <s v=""/>
    <m/>
    <s v=""/>
    <m/>
    <s v=""/>
    <n v="47.409660000000002"/>
    <n v="8.1568799999999992"/>
    <s v="Aargau"/>
    <n v="1"/>
    <n v="34"/>
    <n v="0"/>
    <n v="93.29"/>
    <n v="1.788"/>
  </r>
  <r>
    <x v="38"/>
    <d v="1899-12-30T11:00:00"/>
    <x v="24"/>
    <m/>
    <n v="20"/>
    <n v="0"/>
    <n v="1"/>
    <m/>
    <m/>
    <m/>
    <m/>
    <s v="https://www.ai.ch/themen/gesundheit-alter-und-soziales/gesundheitsfoerderung-und-praevention/uebertragbare-krankheiten/coronavirus"/>
    <m/>
    <s v=""/>
    <m/>
    <s v=""/>
    <m/>
    <s v=""/>
    <n v="47.317264000000002"/>
    <n v="9.4167539999999992"/>
    <s v="Appenzell Innerrhoden"/>
    <n v="16"/>
    <n v="0"/>
    <n v="0"/>
    <n v="124.22"/>
    <m/>
  </r>
  <r>
    <x v="38"/>
    <d v="1899-12-30T08:00:00"/>
    <x v="18"/>
    <m/>
    <n v="65"/>
    <n v="0"/>
    <n v="6"/>
    <m/>
    <m/>
    <m/>
    <n v="3"/>
    <s v="https://www.ar.ch/verwaltung/departement-gesundheit-und-soziales/amt-fuer-gesundheit/informationsseite-coronavirus/"/>
    <m/>
    <s v=""/>
    <m/>
    <s v=""/>
    <m/>
    <s v=""/>
    <n v="47.416351999999996"/>
    <n v="9.3679100000000002"/>
    <s v="Appenzell Ausserrhoden"/>
    <n v="15"/>
    <n v="1"/>
    <n v="0"/>
    <n v="117.75"/>
    <n v="5.4349999999999996"/>
  </r>
  <r>
    <x v="38"/>
    <d v="1899-12-30T08:00:00"/>
    <x v="7"/>
    <m/>
    <n v="1073"/>
    <n v="5"/>
    <n v="109"/>
    <n v="30"/>
    <n v="26"/>
    <m/>
    <n v="26"/>
    <s v="https://www.besondere-lage.sites.be.ch/besondere-lage_sites/de/index/corona/index.html"/>
    <m/>
    <s v=""/>
    <m/>
    <s v=""/>
    <m/>
    <s v=""/>
    <n v="46.823608"/>
    <n v="7.6366670000000001"/>
    <s v="Bern/Berne"/>
    <n v="2"/>
    <n v="70"/>
    <n v="3"/>
    <n v="104.06"/>
    <n v="2.5219999999999998"/>
  </r>
  <r>
    <x v="38"/>
    <d v="1899-12-30T03:00:00"/>
    <x v="8"/>
    <m/>
    <n v="625"/>
    <n v="1"/>
    <n v="82"/>
    <n v="18"/>
    <n v="18"/>
    <n v="266"/>
    <n v="14"/>
    <s v="https://www.baselland.ch/politik-und-behorden/direktionen/volkswirtschafts-und-gesundheitsdirektion/amt-fur-gesundheit/medizinische-dienste/kantonsarztlicher-dienst/aktuelles/covid-19-faelle-kanton-basel-landschaft"/>
    <m/>
    <s v=""/>
    <m/>
    <s v=""/>
    <m/>
    <s v=""/>
    <n v="47.45176"/>
    <n v="7.7024140000000001"/>
    <s v="Basel-Landschaft"/>
    <n v="13"/>
    <n v="15"/>
    <n v="2"/>
    <n v="217.77"/>
    <n v="4.8780000000000001"/>
  </r>
  <r>
    <x v="38"/>
    <d v="1899-12-30T08:30:00"/>
    <x v="2"/>
    <n v="235"/>
    <n v="758"/>
    <n v="-4"/>
    <n v="115"/>
    <n v="17"/>
    <m/>
    <n v="397"/>
    <n v="21"/>
    <s v="https://www.gd.bs.ch/nm/2020-tagesbulletin-coronavirus-748-bestaetigte-faelle-im-kanton-basel-stadt-gd.html https://www.coronavirus.bs.ch/nm/2020-tagesbulletin-coronavirus-771-bestaetigte-faelle-im-kanton-basel-stadt-gd.html"/>
    <n v="420"/>
    <s v="22.0"/>
    <m/>
    <s v=""/>
    <m/>
    <s v=""/>
    <n v="47.564869000000002"/>
    <n v="7.615259"/>
    <s v="Basel-Stadt"/>
    <n v="12"/>
    <n v="40"/>
    <n v="2"/>
    <n v="390.92"/>
    <n v="10.83"/>
  </r>
  <r>
    <x v="38"/>
    <d v="1899-12-30T03:00:00"/>
    <x v="3"/>
    <n v="900"/>
    <n v="76"/>
    <n v="0"/>
    <m/>
    <m/>
    <m/>
    <n v="1"/>
    <m/>
    <s v="https://www.regierung.li/media/attachments/166-massnahmen-weiter-einhalten-0402.pdf?t=637214501732587547"/>
    <m/>
    <s v=""/>
    <m/>
    <s v=""/>
    <m/>
    <s v=""/>
    <n v="47.166666999999997"/>
    <n v="9.509722"/>
    <s v="Fürstentum Lichtenstein"/>
    <n v="0"/>
    <n v="1"/>
    <n v="0"/>
    <n v="196.89"/>
    <m/>
  </r>
  <r>
    <x v="38"/>
    <d v="1899-12-30T03:00:00"/>
    <x v="12"/>
    <n v="30"/>
    <n v="588"/>
    <n v="-3"/>
    <n v="77"/>
    <n v="21"/>
    <m/>
    <n v="46"/>
    <n v="31"/>
    <s v="https://www.fr.ch/covid19/sante/covid-19/coronavirus-statistiques-evolution-de-la-situation-dans-le-canton"/>
    <m/>
    <s v=""/>
    <m/>
    <s v=""/>
    <m/>
    <s v=""/>
    <n v="46.718390999999997"/>
    <n v="7.0740080000000001"/>
    <s v="Fribourg"/>
    <n v="10"/>
    <n v="38"/>
    <n v="5"/>
    <n v="186.61"/>
    <n v="9.8379999999999992"/>
  </r>
  <r>
    <x v="38"/>
    <d v="1899-12-30T03:00:00"/>
    <x v="0"/>
    <n v="14239"/>
    <n v="3503"/>
    <n v="0"/>
    <n v="424"/>
    <n v="65"/>
    <n v="58"/>
    <n v="284"/>
    <n v="85"/>
    <s v="https://www.ge.ch/document/covid-19-situation-epidemiologique-geneve/telecharger"/>
    <m/>
    <s v=""/>
    <m/>
    <s v=""/>
    <n v="25"/>
    <s v=""/>
    <n v="46.220528000000002"/>
    <n v="6.1329349999999998"/>
    <s v="Genève"/>
    <n v="25"/>
    <n v="187"/>
    <n v="6"/>
    <n v="707.39"/>
    <n v="17.164999999999999"/>
  </r>
  <r>
    <x v="38"/>
    <d v="1899-12-30T13:30:00"/>
    <x v="13"/>
    <m/>
    <n v="59"/>
    <n v="0"/>
    <n v="5"/>
    <m/>
    <m/>
    <m/>
    <n v="2"/>
    <s v="https://www.gl.ch/verwaltung/finanzen-und-gesundheit/gesundheit/coronavirus.html/4817#Fallzahlen"/>
    <m/>
    <s v=""/>
    <m/>
    <s v=""/>
    <m/>
    <s v=""/>
    <n v="46.931042000000005"/>
    <n v="9.0657510000000006"/>
    <s v="Glarus"/>
    <n v="8"/>
    <n v="1"/>
    <n v="0"/>
    <n v="146.4"/>
    <n v="4.9630000000000001"/>
  </r>
  <r>
    <x v="38"/>
    <d v="1899-12-30T03:00:00"/>
    <x v="26"/>
    <m/>
    <n v="598"/>
    <n v="1"/>
    <n v="60"/>
    <m/>
    <m/>
    <m/>
    <n v="27"/>
    <s v="https://www.gr.ch/DE/institutionen/verwaltung/djsg/ga/coronavirus/info/Seiten/Start.aspx"/>
    <m/>
    <s v=""/>
    <m/>
    <s v=""/>
    <m/>
    <s v=""/>
    <n v="46.656247999999998"/>
    <n v="9.6281979999999994"/>
    <s v="Graubünden/Grigioni"/>
    <n v="1"/>
    <n v="29"/>
    <n v="4"/>
    <n v="302.17"/>
    <n v="13.643000000000001"/>
  </r>
  <r>
    <x v="38"/>
    <d v="1899-12-30T16:00:00"/>
    <x v="4"/>
    <m/>
    <n v="149"/>
    <n v="-1"/>
    <n v="28"/>
    <n v="3"/>
    <m/>
    <m/>
    <m/>
    <s v="https://www.jura.ch/fr/Autorites/Coronavirus/Chiffres-H-JU/Evolution-des-cas-COVID-19-dans-le-Jura.html"/>
    <m/>
    <s v=""/>
    <m/>
    <s v=""/>
    <m/>
    <s v=""/>
    <n v="47.350743999999999"/>
    <n v="7.1561070000000004"/>
    <s v="Jura"/>
    <n v="26"/>
    <n v="0"/>
    <n v="0"/>
    <n v="203.27"/>
    <m/>
  </r>
  <r>
    <x v="38"/>
    <d v="1899-12-30T11:00:00"/>
    <x v="17"/>
    <m/>
    <n v="449"/>
    <n v="-17"/>
    <n v="49"/>
    <n v="12"/>
    <m/>
    <m/>
    <n v="7"/>
    <s v="https://gesundheit.lu.ch/themen/Humanmedizin/Infektionskrankheiten/Coronavirus"/>
    <m/>
    <s v=""/>
    <m/>
    <s v=""/>
    <m/>
    <s v=""/>
    <n v="47.067762999999999"/>
    <n v="8.1102000000000007"/>
    <s v="Luzern"/>
    <n v="3"/>
    <n v="27"/>
    <n v="0"/>
    <n v="110.46"/>
    <n v="1.722"/>
  </r>
  <r>
    <x v="38"/>
    <d v="1899-12-30T16:00:00"/>
    <x v="14"/>
    <m/>
    <n v="444"/>
    <n v="0"/>
    <n v="61"/>
    <n v="11"/>
    <n v="9"/>
    <m/>
    <n v="29"/>
    <s v="https://www.ne.ch/autorites/DFS/SCSP/medecin-cantonal/maladies-vaccinations/Documents/Covid-19-Statistiques/COVID19_PublicationInternet.pdf"/>
    <m/>
    <s v=""/>
    <m/>
    <s v=""/>
    <m/>
    <s v=""/>
    <n v="46.995533999999999"/>
    <n v="6.7801260000000001"/>
    <s v="Neuchâtel"/>
    <n v="24"/>
    <n v="14"/>
    <n v="1"/>
    <n v="249.44"/>
    <n v="16.292000000000002"/>
  </r>
  <r>
    <x v="38"/>
    <d v="1899-12-30T15:50:00"/>
    <x v="20"/>
    <m/>
    <n v="79"/>
    <n v="0"/>
    <m/>
    <m/>
    <m/>
    <m/>
    <m/>
    <s v="https://www.nw.ch/gesundheitsamtdienste/6044"/>
    <m/>
    <s v=""/>
    <m/>
    <s v=""/>
    <m/>
    <s v=""/>
    <n v="46.926755"/>
    <n v="8.4053020000000007"/>
    <s v="Nidwalden"/>
    <n v="7"/>
    <n v="3"/>
    <n v="0"/>
    <n v="183.72"/>
    <m/>
  </r>
  <r>
    <x v="38"/>
    <d v="1899-12-30T03:00:00"/>
    <x v="23"/>
    <n v="6"/>
    <n v="56"/>
    <n v="0"/>
    <m/>
    <m/>
    <m/>
    <m/>
    <m/>
    <s v="https://www.ow.ch/de/verwaltung/dienstleistungen/?dienst_id=5962"/>
    <m/>
    <s v=""/>
    <m/>
    <s v=""/>
    <m/>
    <s v=""/>
    <n v="46.804527"/>
    <n v="8.1443170000000009"/>
    <s v="Obwalden"/>
    <n v="6"/>
    <n v="5"/>
    <n v="0"/>
    <n v="148.94"/>
    <m/>
  </r>
  <r>
    <x v="38"/>
    <d v="1899-12-30T03:00:00"/>
    <x v="15"/>
    <m/>
    <n v="480"/>
    <n v="11"/>
    <n v="75"/>
    <n v="12"/>
    <m/>
    <n v="50"/>
    <n v="8"/>
    <s v="https://www.sg.ch/tools/informationen-coronavirus.html"/>
    <m/>
    <s v=""/>
    <m/>
    <s v=""/>
    <m/>
    <s v=""/>
    <n v="47.183199999999999"/>
    <n v="9.2747440000000001"/>
    <s v="St. Gallen"/>
    <n v="17"/>
    <n v="0"/>
    <n v="0"/>
    <n v="95.11"/>
    <n v="1.585"/>
  </r>
  <r>
    <x v="38"/>
    <d v="1899-12-30T03:00:00"/>
    <x v="21"/>
    <m/>
    <n v="47"/>
    <n v="-9"/>
    <n v="9"/>
    <n v="3"/>
    <m/>
    <m/>
    <n v="1"/>
    <s v="https://sh.ch/CMS/Webseite/Kanton-Schaffhausen/Beh-rde/Verwaltung/Departement-des-Innern/Gesundheitsamt-3209198-DE.html"/>
    <m/>
    <s v=""/>
    <m/>
    <s v=""/>
    <m/>
    <s v=""/>
    <n v="47.713569999999997"/>
    <n v="8.5916700000000006"/>
    <s v="Schaffhausen"/>
    <n v="14"/>
    <n v="0"/>
    <n v="0"/>
    <n v="57.74"/>
    <n v="1.2290000000000001"/>
  </r>
  <r>
    <x v="38"/>
    <d v="1899-12-30T03:00:00"/>
    <x v="19"/>
    <m/>
    <n v="237"/>
    <n v="3"/>
    <n v="17"/>
    <m/>
    <m/>
    <m/>
    <n v="3"/>
    <s v="https://corona.so.ch/"/>
    <m/>
    <s v=""/>
    <m/>
    <s v=""/>
    <m/>
    <s v=""/>
    <n v="47.304135000000002"/>
    <n v="7.6393880000000003"/>
    <s v="Solothurn"/>
    <n v="11"/>
    <n v="10"/>
    <n v="0"/>
    <n v="87.32"/>
    <n v="1.105"/>
  </r>
  <r>
    <x v="38"/>
    <d v="1899-12-30T03:00:00"/>
    <x v="16"/>
    <n v="10"/>
    <n v="164"/>
    <n v="0"/>
    <n v="1"/>
    <m/>
    <m/>
    <n v="75"/>
    <n v="4"/>
    <s v="https://www.sz.ch/behoerden/information-medien/medienmitteilungen/coronavirus.html/72-416-412-1379-6948"/>
    <m/>
    <s v=""/>
    <m/>
    <s v=""/>
    <m/>
    <s v=""/>
    <n v="47.061787000000002"/>
    <n v="8.7565849999999994"/>
    <s v="Schwyz"/>
    <n v="5"/>
    <n v="9"/>
    <n v="0"/>
    <n v="104.26"/>
    <n v="2.5430000000000001"/>
  </r>
  <r>
    <x v="38"/>
    <d v="1899-12-30T03:00:00"/>
    <x v="25"/>
    <n v="276"/>
    <n v="198"/>
    <n v="0"/>
    <m/>
    <m/>
    <m/>
    <m/>
    <n v="5"/>
    <s v="https://www.tg.ch/news/fachdossier-coronavirus.html/10552"/>
    <m/>
    <s v=""/>
    <m/>
    <s v=""/>
    <m/>
    <s v=""/>
    <n v="47.568714999999997"/>
    <n v="9.0919570000000007"/>
    <s v="Thurgau"/>
    <n v="1"/>
    <n v="19"/>
    <n v="1"/>
    <n v="72.319999999999993"/>
    <n v="1.8260000000000001"/>
  </r>
  <r>
    <x v="38"/>
    <d v="1899-12-30T08:00:00"/>
    <x v="1"/>
    <m/>
    <n v="2377"/>
    <n v="-4"/>
    <n v="370"/>
    <n v="75"/>
    <n v="67"/>
    <n v="287"/>
    <n v="155"/>
    <s v="https://www4.ti.ch/area-media/comunicati/dettaglio-comunicato/?NEWS_ID=187570&amp;tx_tichareamedia_comunicazioni%5Baction%5D=show&amp;tx_tichareamedia_comunicazioni%5Bcontroller%5D=Comunicazioni&amp;cHash=bf727072887350e7700586450c3cf957"/>
    <m/>
    <s v=""/>
    <m/>
    <s v="67.0"/>
    <m/>
    <s v=""/>
    <n v="46.295617"/>
    <n v="8.8089239999999993"/>
    <s v="Ticino"/>
    <n v="21"/>
    <n v="106"/>
    <n v="14"/>
    <n v="672.04"/>
    <n v="43.822000000000003"/>
  </r>
  <r>
    <x v="38"/>
    <d v="1899-12-30T14:00:00"/>
    <x v="22"/>
    <n v="85"/>
    <n v="62"/>
    <n v="2"/>
    <n v="6"/>
    <m/>
    <m/>
    <n v="26"/>
    <n v="1"/>
    <s v="https://www.ur.ch/themen/2920"/>
    <m/>
    <s v=""/>
    <m/>
    <s v=""/>
    <m/>
    <s v=""/>
    <n v="46.771849000000003"/>
    <n v="8.6285860000000003"/>
    <s v="Uri"/>
    <n v="4"/>
    <n v="2"/>
    <n v="0"/>
    <n v="170.8"/>
    <n v="2.7549999999999999"/>
  </r>
  <r>
    <x v="38"/>
    <d v="1899-12-30T03:00:00"/>
    <x v="9"/>
    <m/>
    <n v="4000"/>
    <n v="-10"/>
    <n v="371"/>
    <n v="72"/>
    <m/>
    <n v="225"/>
    <n v="152"/>
    <s v="https://www.vd.ch/toutes-les-actualites/hotline-et-informations-sur-le-coronavirus/point-de-situation-statistique-dans-le-canton-de-vaud/"/>
    <m/>
    <s v=""/>
    <m/>
    <s v=""/>
    <m/>
    <s v=""/>
    <n v="46.570090999999998"/>
    <n v="6.5578090000000007"/>
    <s v="Vaud"/>
    <n v="22"/>
    <n v="126"/>
    <n v="18"/>
    <n v="504.35"/>
    <n v="19.164999999999999"/>
  </r>
  <r>
    <x v="38"/>
    <d v="1899-12-30T15:00:00"/>
    <x v="10"/>
    <m/>
    <n v="1383"/>
    <n v="0"/>
    <n v="147"/>
    <n v="26"/>
    <n v="23"/>
    <n v="91"/>
    <n v="51"/>
    <s v="https://www.vs.ch/documents/6756452/7008787/2020%2004%2012%20Sit%20Epid%20-%20%C3%89tat%20Stand"/>
    <m/>
    <s v=""/>
    <m/>
    <s v=""/>
    <m/>
    <s v=""/>
    <n v="46.209567"/>
    <n v="7.6046589999999998"/>
    <s v="Valais/Wallis"/>
    <n v="23"/>
    <n v="49"/>
    <n v="4"/>
    <n v="404.98"/>
    <n v="14.933999999999999"/>
  </r>
  <r>
    <x v="38"/>
    <d v="1899-12-30T08:00:00"/>
    <x v="11"/>
    <m/>
    <n v="146"/>
    <n v="-1"/>
    <n v="14"/>
    <n v="7"/>
    <m/>
    <n v="44"/>
    <n v="2"/>
    <s v="https://www.zg.ch/behoerden/gesundheitsdirektion/statistikfachstelle/themen/gesundheit/corona"/>
    <m/>
    <s v=""/>
    <m/>
    <s v=""/>
    <m/>
    <s v=""/>
    <n v="47.157296000000002"/>
    <n v="8.5372939999999993"/>
    <s v="Zug"/>
    <n v="9"/>
    <n v="8"/>
    <n v="1"/>
    <n v="116.43"/>
    <n v="1.595"/>
  </r>
  <r>
    <x v="38"/>
    <d v="1899-12-30T14:30:00"/>
    <x v="5"/>
    <m/>
    <n v="2434"/>
    <n v="7"/>
    <n v="207"/>
    <m/>
    <n v="57"/>
    <m/>
    <n v="41"/>
    <s v="https://gd.zh.ch/internet/gesundheitsdirektion/de/themen/coronavirus.html"/>
    <m/>
    <s v=""/>
    <m/>
    <s v=""/>
    <m/>
    <s v=""/>
    <n v="47.412750000000003"/>
    <n v="8.6550799999999999"/>
    <s v="Zürich"/>
    <n v="1"/>
    <n v="128"/>
    <n v="2"/>
    <n v="161.80000000000001"/>
    <n v="2.726"/>
  </r>
  <r>
    <x v="39"/>
    <d v="1899-12-30T11:00:00"/>
    <x v="24"/>
    <m/>
    <n v="21"/>
    <n v="0"/>
    <n v="1"/>
    <m/>
    <m/>
    <m/>
    <m/>
    <s v="https://www.ai.ch/themen/gesundheit-alter-und-soziales/gesundheitsfoerderung-und-praevention/uebertragbare-krankheiten/coronavirus"/>
    <m/>
    <s v=""/>
    <m/>
    <s v=""/>
    <m/>
    <s v=""/>
    <n v="47.317264000000002"/>
    <n v="9.4167539999999992"/>
    <s v="Appenzell Innerrhoden"/>
    <n v="16"/>
    <n v="1"/>
    <n v="0"/>
    <n v="130.43"/>
    <m/>
  </r>
  <r>
    <x v="39"/>
    <d v="1899-12-30T13:00:00"/>
    <x v="18"/>
    <m/>
    <n v="66"/>
    <n v="0"/>
    <n v="6"/>
    <m/>
    <m/>
    <m/>
    <n v="3"/>
    <s v="https://www.ar.ch/verwaltung/departement-gesundheit-und-soziales/amt-fuer-gesundheit/informationsseite-coronavirus/"/>
    <m/>
    <s v=""/>
    <m/>
    <s v=""/>
    <m/>
    <s v=""/>
    <n v="47.416351999999996"/>
    <n v="9.3679100000000002"/>
    <s v="Appenzell Ausserrhoden"/>
    <n v="15"/>
    <n v="1"/>
    <n v="0"/>
    <n v="119.57"/>
    <n v="5.4349999999999996"/>
  </r>
  <r>
    <x v="39"/>
    <d v="1899-12-30T08:00:00"/>
    <x v="7"/>
    <m/>
    <n v="1106"/>
    <n v="4"/>
    <n v="113"/>
    <n v="35"/>
    <n v="28"/>
    <m/>
    <n v="28"/>
    <s v="https://www.besondere-lage.sites.be.ch/besondere-lage_sites/de/index/corona/index.html"/>
    <m/>
    <s v=""/>
    <m/>
    <s v=""/>
    <m/>
    <s v=""/>
    <n v="46.823608"/>
    <n v="7.6366670000000001"/>
    <s v="Bern/Berne"/>
    <n v="2"/>
    <n v="33"/>
    <n v="2"/>
    <n v="107.26"/>
    <n v="2.7160000000000002"/>
  </r>
  <r>
    <x v="39"/>
    <d v="1899-12-30T03:00:00"/>
    <x v="8"/>
    <m/>
    <n v="656"/>
    <n v="-9"/>
    <n v="73"/>
    <n v="19"/>
    <n v="17"/>
    <n v="298"/>
    <n v="19"/>
    <s v="https://www.baselland.ch/politik-und-behorden/direktionen/volkswirtschafts-und-gesundheitsdirektion/amt-fur-gesundheit/medizinische-dienste/kantonsarztlicher-dienst/aktuelles/covid-19-faelle-kanton-basel-landschaft"/>
    <m/>
    <s v=""/>
    <m/>
    <s v=""/>
    <m/>
    <s v=""/>
    <n v="47.45176"/>
    <n v="7.7024140000000001"/>
    <s v="Basel-Landschaft"/>
    <n v="13"/>
    <n v="31"/>
    <n v="5"/>
    <n v="228.57"/>
    <n v="6.62"/>
  </r>
  <r>
    <x v="39"/>
    <d v="1899-12-30T10:15:00"/>
    <x v="2"/>
    <n v="235"/>
    <n v="771"/>
    <n v="-3"/>
    <n v="112"/>
    <n v="16"/>
    <m/>
    <n v="434"/>
    <n v="24"/>
    <s v="https://www.gd.bs.ch//nm/2020-tagesbulletin-coronavirus-771-bestaetigte-faelle-im-kanton-basel-stadt-gd.html"/>
    <n v="425"/>
    <s v="21.0"/>
    <m/>
    <s v=""/>
    <m/>
    <s v=""/>
    <n v="47.564869000000002"/>
    <n v="7.615259"/>
    <s v="Basel-Stadt"/>
    <n v="12"/>
    <n v="13"/>
    <n v="3"/>
    <n v="397.63"/>
    <n v="12.378"/>
  </r>
  <r>
    <x v="39"/>
    <d v="1899-12-30T03:00:00"/>
    <x v="3"/>
    <n v="900"/>
    <n v="77"/>
    <n v="0"/>
    <m/>
    <m/>
    <m/>
    <n v="1"/>
    <n v="1"/>
    <s v="https://www.regierung.li/media/attachments/168-corona-person-verstorben-0404.pdf?t=637216219078826521"/>
    <m/>
    <s v=""/>
    <m/>
    <s v=""/>
    <m/>
    <s v=""/>
    <n v="47.166666999999997"/>
    <n v="9.509722"/>
    <s v="Fürstentum Lichtenstein"/>
    <n v="0"/>
    <n v="1"/>
    <n v="0"/>
    <n v="199.48"/>
    <n v="2.5910000000000002"/>
  </r>
  <r>
    <x v="39"/>
    <d v="1899-12-30T03:00:00"/>
    <x v="12"/>
    <n v="30"/>
    <n v="638"/>
    <n v="12"/>
    <n v="89"/>
    <n v="21"/>
    <m/>
    <n v="49"/>
    <n v="37"/>
    <s v="https://www.fr.ch/covid19/sante/covid-19/coronavirus-statistiques-evolution-de-la-situation-dans-le-canton"/>
    <m/>
    <s v=""/>
    <m/>
    <s v=""/>
    <m/>
    <s v=""/>
    <n v="46.718390999999997"/>
    <n v="7.0740080000000001"/>
    <s v="Fribourg"/>
    <n v="10"/>
    <n v="50"/>
    <n v="6"/>
    <n v="202.48"/>
    <n v="11.742000000000001"/>
  </r>
  <r>
    <x v="39"/>
    <d v="1899-12-30T03:00:00"/>
    <x v="0"/>
    <n v="14833"/>
    <n v="3630"/>
    <n v="-3"/>
    <n v="421"/>
    <n v="61"/>
    <n v="51"/>
    <n v="305"/>
    <n v="98"/>
    <s v="https://www.ge.ch/document/covid-19-situation-epidemiologique-geneve/telecharger"/>
    <m/>
    <s v=""/>
    <m/>
    <s v=""/>
    <n v="22"/>
    <s v=""/>
    <n v="46.220528000000002"/>
    <n v="6.1329349999999998"/>
    <s v="Genève"/>
    <n v="25"/>
    <n v="127"/>
    <n v="13"/>
    <n v="733.04"/>
    <n v="19.79"/>
  </r>
  <r>
    <x v="39"/>
    <d v="1899-12-30T16:00:00"/>
    <x v="4"/>
    <m/>
    <n v="154"/>
    <n v="-1"/>
    <n v="27"/>
    <n v="3"/>
    <m/>
    <m/>
    <m/>
    <s v="https://www.jura.ch/fr/Autorites/Coronavirus/Chiffres-H-JU/Evolution-des-cas-COVID-19-dans-le-Jura.html"/>
    <m/>
    <s v=""/>
    <m/>
    <s v=""/>
    <m/>
    <s v=""/>
    <n v="47.350743999999999"/>
    <n v="7.1561070000000004"/>
    <s v="Jura"/>
    <n v="26"/>
    <n v="5"/>
    <n v="0"/>
    <n v="210.1"/>
    <m/>
  </r>
  <r>
    <x v="39"/>
    <d v="1899-12-30T11:00:00"/>
    <x v="17"/>
    <m/>
    <n v="469"/>
    <n v="0"/>
    <n v="49"/>
    <n v="12"/>
    <m/>
    <m/>
    <n v="7"/>
    <s v="https://gesundheit.lu.ch/themen/Humanmedizin/Infektionskrankheiten/Coronavirus"/>
    <m/>
    <s v=""/>
    <m/>
    <s v=""/>
    <m/>
    <s v=""/>
    <n v="47.067762999999999"/>
    <n v="8.1102000000000007"/>
    <s v="Luzern"/>
    <n v="3"/>
    <n v="20"/>
    <n v="0"/>
    <n v="115.38"/>
    <n v="1.722"/>
  </r>
  <r>
    <x v="39"/>
    <d v="1899-12-30T16:00:00"/>
    <x v="14"/>
    <m/>
    <n v="452"/>
    <n v="-2"/>
    <n v="59"/>
    <n v="10"/>
    <n v="9"/>
    <m/>
    <n v="31"/>
    <s v="https://www.ne.ch/autorites/DFS/SCSP/medecin-cantonal/maladies-vaccinations/Documents/Covid-19-Statistiques/COVID19_PublicationInternet.pdf"/>
    <m/>
    <s v=""/>
    <m/>
    <s v=""/>
    <m/>
    <s v=""/>
    <n v="46.995533999999999"/>
    <n v="6.7801260000000001"/>
    <s v="Neuchâtel"/>
    <n v="24"/>
    <n v="8"/>
    <n v="2"/>
    <n v="253.93"/>
    <n v="17.416"/>
  </r>
  <r>
    <x v="39"/>
    <d v="1899-12-30T16:15:00"/>
    <x v="20"/>
    <m/>
    <n v="80"/>
    <n v="0"/>
    <m/>
    <m/>
    <m/>
    <m/>
    <n v="0"/>
    <s v="https://www.nw.ch/gesundheitsamtdienste/6044"/>
    <m/>
    <s v=""/>
    <m/>
    <s v=""/>
    <m/>
    <s v=""/>
    <n v="46.926755"/>
    <n v="8.4053020000000007"/>
    <s v="Nidwalden"/>
    <n v="7"/>
    <n v="1"/>
    <n v="0"/>
    <n v="186.05"/>
    <n v="0"/>
  </r>
  <r>
    <x v="39"/>
    <d v="1899-12-30T03:00:00"/>
    <x v="15"/>
    <m/>
    <n v="504"/>
    <n v="4"/>
    <n v="79"/>
    <n v="13"/>
    <m/>
    <n v="62"/>
    <n v="9"/>
    <s v="https://www.sg.ch/tools/informationen-coronavirus.html"/>
    <m/>
    <s v=""/>
    <m/>
    <s v=""/>
    <m/>
    <s v=""/>
    <n v="47.183199999999999"/>
    <n v="9.2747440000000001"/>
    <s v="St. Gallen"/>
    <n v="17"/>
    <n v="24"/>
    <n v="1"/>
    <n v="99.86"/>
    <n v="1.7829999999999999"/>
  </r>
  <r>
    <x v="39"/>
    <d v="1899-12-30T03:00:00"/>
    <x v="21"/>
    <m/>
    <n v="47"/>
    <n v="3"/>
    <n v="12"/>
    <n v="3"/>
    <m/>
    <m/>
    <n v="1"/>
    <s v="https://sh.ch/CMS/Webseite/Kanton-Schaffhausen/Beh-rde/Verwaltung/Departement-des-Innern/Gesundheitsamt-3209198-DE.html"/>
    <m/>
    <s v=""/>
    <m/>
    <s v=""/>
    <m/>
    <s v=""/>
    <n v="47.713569999999997"/>
    <n v="8.5916700000000006"/>
    <s v="Schaffhausen"/>
    <n v="14"/>
    <n v="0"/>
    <n v="0"/>
    <n v="57.74"/>
    <n v="1.2290000000000001"/>
  </r>
  <r>
    <x v="39"/>
    <d v="1899-12-30T03:00:00"/>
    <x v="19"/>
    <m/>
    <n v="250"/>
    <n v="0"/>
    <n v="17"/>
    <m/>
    <m/>
    <m/>
    <n v="3"/>
    <s v="https://corona.so.ch/"/>
    <m/>
    <s v=""/>
    <m/>
    <s v=""/>
    <m/>
    <s v=""/>
    <n v="47.304135000000002"/>
    <n v="7.6393880000000003"/>
    <s v="Solothurn"/>
    <n v="11"/>
    <n v="13"/>
    <n v="0"/>
    <n v="92.11"/>
    <n v="1.105"/>
  </r>
  <r>
    <x v="39"/>
    <d v="1899-12-30T03:00:00"/>
    <x v="16"/>
    <n v="10"/>
    <n v="168"/>
    <n v="0"/>
    <n v="1"/>
    <m/>
    <m/>
    <n v="92"/>
    <n v="5"/>
    <s v="https://www.sz.ch/behoerden/information-medien/medienmitteilungen/coronavirus.html/72-416-412-1379-6948"/>
    <m/>
    <s v=""/>
    <m/>
    <s v=""/>
    <m/>
    <s v=""/>
    <n v="47.061787000000002"/>
    <n v="8.7565849999999994"/>
    <s v="Schwyz"/>
    <n v="5"/>
    <n v="4"/>
    <n v="1"/>
    <n v="106.8"/>
    <n v="3.1789999999999998"/>
  </r>
  <r>
    <x v="39"/>
    <d v="1899-12-30T03:00:00"/>
    <x v="25"/>
    <n v="276"/>
    <n v="208"/>
    <n v="0"/>
    <m/>
    <m/>
    <m/>
    <m/>
    <n v="5"/>
    <s v="https://www.tg.ch/news/fachdossier-coronavirus.html/10552"/>
    <m/>
    <s v=""/>
    <m/>
    <s v=""/>
    <m/>
    <s v=""/>
    <n v="47.568714999999997"/>
    <n v="9.0919570000000007"/>
    <s v="Thurgau"/>
    <n v="1"/>
    <n v="10"/>
    <n v="0"/>
    <n v="75.97"/>
    <n v="1.8260000000000001"/>
  </r>
  <r>
    <x v="39"/>
    <d v="1899-12-30T08:00:00"/>
    <x v="1"/>
    <m/>
    <n v="2442"/>
    <n v="-7"/>
    <n v="363"/>
    <n v="72"/>
    <n v="67"/>
    <n v="314"/>
    <n v="165"/>
    <s v="https://www4.ti.ch/area-media/comunicati/dettaglio-comunicato/?NEWS_ID=187575&amp;tx_tichareamedia_comunicazioni%5Baction%5D=show&amp;tx_tichareamedia_comunicazioni%5Bcontroller%5D=Comunicazioni&amp;cHash=4b3f64139a9dd36b9fd30a1ace23654a"/>
    <m/>
    <s v=""/>
    <m/>
    <s v="67.0"/>
    <m/>
    <s v=""/>
    <n v="46.295617"/>
    <n v="8.8089239999999993"/>
    <s v="Ticino"/>
    <n v="21"/>
    <n v="65"/>
    <n v="10"/>
    <n v="690.42"/>
    <n v="46.65"/>
  </r>
  <r>
    <x v="39"/>
    <d v="1899-12-30T17:00:00"/>
    <x v="22"/>
    <n v="85"/>
    <n v="66"/>
    <n v="0"/>
    <n v="6"/>
    <m/>
    <m/>
    <n v="26"/>
    <n v="1"/>
    <s v="https://www.ur.ch/themen/2920"/>
    <m/>
    <s v=""/>
    <m/>
    <s v=""/>
    <m/>
    <s v=""/>
    <n v="46.771849000000003"/>
    <n v="8.6285860000000003"/>
    <s v="Uri"/>
    <n v="4"/>
    <n v="4"/>
    <n v="0"/>
    <n v="181.82"/>
    <n v="2.7549999999999999"/>
  </r>
  <r>
    <x v="39"/>
    <d v="1899-12-30T03:00:00"/>
    <x v="9"/>
    <m/>
    <n v="4130"/>
    <n v="0"/>
    <n v="371"/>
    <n v="72"/>
    <m/>
    <n v="225"/>
    <n v="162"/>
    <s v="https://www.vd.ch/toutes-les-actualites/hotline-et-informations-sur-le-coronavirus/point-de-situation-statistique-dans-le-canton-de-vaud/"/>
    <m/>
    <s v=""/>
    <m/>
    <s v=""/>
    <m/>
    <s v=""/>
    <n v="46.570090999999998"/>
    <n v="6.5578090000000007"/>
    <s v="Vaud"/>
    <n v="22"/>
    <n v="130"/>
    <n v="10"/>
    <n v="520.74"/>
    <n v="20.425999999999998"/>
  </r>
  <r>
    <x v="39"/>
    <d v="1899-12-30T15:00:00"/>
    <x v="10"/>
    <m/>
    <n v="1416"/>
    <n v="3"/>
    <n v="150"/>
    <n v="28"/>
    <n v="23"/>
    <n v="95"/>
    <n v="53"/>
    <s v="https://www.vs.ch/documents/6756452/7008787/2020%2004%2012%20Sit%20Epid%20-%20%C3%89tat%20Stand"/>
    <m/>
    <s v=""/>
    <m/>
    <s v=""/>
    <m/>
    <s v=""/>
    <n v="46.209567"/>
    <n v="7.6046589999999998"/>
    <s v="Valais/Wallis"/>
    <n v="23"/>
    <n v="33"/>
    <n v="2"/>
    <n v="414.64"/>
    <n v="15.52"/>
  </r>
  <r>
    <x v="39"/>
    <d v="1899-12-30T08:00:00"/>
    <x v="11"/>
    <m/>
    <n v="146"/>
    <n v="0"/>
    <n v="14"/>
    <n v="7"/>
    <m/>
    <n v="46"/>
    <n v="2"/>
    <s v="https://www.zg.ch/behoerden/gesundheitsdirektion/statistikfachstelle/themen/gesundheit/corona"/>
    <m/>
    <s v=""/>
    <m/>
    <s v=""/>
    <m/>
    <s v=""/>
    <n v="47.157296000000002"/>
    <n v="8.5372939999999993"/>
    <s v="Zug"/>
    <n v="9"/>
    <n v="0"/>
    <n v="0"/>
    <n v="116.43"/>
    <n v="1.595"/>
  </r>
  <r>
    <x v="39"/>
    <d v="1899-12-30T14:30:00"/>
    <x v="5"/>
    <m/>
    <n v="2467"/>
    <n v="-13"/>
    <n v="194"/>
    <m/>
    <n v="59"/>
    <m/>
    <n v="49"/>
    <s v="https://gd.zh.ch/internet/gesundheitsdirektion/de/themen/coronavirus.html"/>
    <m/>
    <s v=""/>
    <m/>
    <s v=""/>
    <m/>
    <s v=""/>
    <n v="47.412750000000003"/>
    <n v="8.6550799999999999"/>
    <s v="Zürich"/>
    <n v="1"/>
    <n v="33"/>
    <n v="8"/>
    <n v="164"/>
    <n v="3.2570000000000001"/>
  </r>
  <r>
    <x v="40"/>
    <d v="1899-12-30T13:00:00"/>
    <x v="18"/>
    <m/>
    <n v="67"/>
    <n v="0"/>
    <n v="6"/>
    <m/>
    <m/>
    <m/>
    <n v="3"/>
    <s v="https://www.ar.ch/verwaltung/departement-gesundheit-und-soziales/amt-fuer-gesundheit/informationsseite-coronavirus/"/>
    <m/>
    <s v=""/>
    <m/>
    <s v=""/>
    <m/>
    <s v=""/>
    <n v="47.416351999999996"/>
    <n v="9.3679100000000002"/>
    <s v="Appenzell Ausserrhoden"/>
    <n v="15"/>
    <n v="1"/>
    <n v="0"/>
    <n v="121.38"/>
    <n v="5.4349999999999996"/>
  </r>
  <r>
    <x v="40"/>
    <d v="1899-12-30T08:00:00"/>
    <x v="7"/>
    <m/>
    <n v="1137"/>
    <n v="-3"/>
    <n v="110"/>
    <n v="30"/>
    <n v="25"/>
    <m/>
    <n v="28"/>
    <s v="https://www.besondere-lage.sites.be.ch/besondere-lage_sites/de/index/corona/index.html"/>
    <m/>
    <s v=""/>
    <m/>
    <s v=""/>
    <m/>
    <s v=""/>
    <n v="46.823608"/>
    <n v="7.6366670000000001"/>
    <s v="Bern/Berne"/>
    <n v="2"/>
    <n v="31"/>
    <n v="0"/>
    <n v="110.27"/>
    <n v="2.7160000000000002"/>
  </r>
  <r>
    <x v="40"/>
    <d v="1899-12-30T03:00:00"/>
    <x v="8"/>
    <m/>
    <n v="670"/>
    <n v="0"/>
    <n v="73"/>
    <n v="19"/>
    <n v="17"/>
    <n v="369"/>
    <n v="19"/>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33.45"/>
    <n v="6.62"/>
  </r>
  <r>
    <x v="40"/>
    <d v="1899-12-30T10:15:00"/>
    <x v="2"/>
    <n v="235"/>
    <n v="794"/>
    <n v="-6"/>
    <n v="106"/>
    <n v="15"/>
    <m/>
    <n v="460"/>
    <n v="26"/>
    <s v="https://www.gd.bs.ch//nm/2020-tagesbulletin-coronavirus-794-bestaetigte-faelle-im-kanton-basel-stadt-gd.html"/>
    <n v="436"/>
    <s v="22.0"/>
    <m/>
    <s v=""/>
    <m/>
    <s v=""/>
    <n v="47.564869000000002"/>
    <n v="7.615259"/>
    <s v="Basel-Stadt"/>
    <n v="12"/>
    <n v="23"/>
    <n v="2"/>
    <n v="409.49"/>
    <n v="13.409000000000001"/>
  </r>
  <r>
    <x v="40"/>
    <d v="1899-12-30T03:00:00"/>
    <x v="3"/>
    <n v="900"/>
    <n v="77"/>
    <n v="0"/>
    <m/>
    <m/>
    <m/>
    <n v="1"/>
    <n v="1"/>
    <s v="https://www.regierung.li/de/mitteilungen/223366/?typ=news"/>
    <m/>
    <s v=""/>
    <m/>
    <s v=""/>
    <m/>
    <s v=""/>
    <n v="47.166666999999997"/>
    <n v="9.509722"/>
    <s v="Fürstentum Lichtenstein"/>
    <n v="0"/>
    <n v="0"/>
    <n v="0"/>
    <n v="199.48"/>
    <n v="2.5910000000000002"/>
  </r>
  <r>
    <x v="40"/>
    <d v="1899-12-30T03:00:00"/>
    <x v="12"/>
    <n v="30"/>
    <n v="669"/>
    <n v="-2"/>
    <n v="87"/>
    <n v="20"/>
    <m/>
    <n v="55"/>
    <n v="40"/>
    <s v="https://www.fr.ch/covid19/sante/covid-19/coronavirus-statistiques-evolution-de-la-situation-dans-le-canton"/>
    <m/>
    <s v=""/>
    <m/>
    <s v=""/>
    <m/>
    <s v=""/>
    <n v="46.718390999999997"/>
    <n v="7.0740080000000001"/>
    <s v="Fribourg"/>
    <n v="10"/>
    <n v="31"/>
    <n v="3"/>
    <n v="212.31"/>
    <n v="12.694000000000001"/>
  </r>
  <r>
    <x v="40"/>
    <d v="1899-12-30T03:00:00"/>
    <x v="0"/>
    <n v="15137"/>
    <n v="3695"/>
    <n v="3"/>
    <n v="424"/>
    <n v="56"/>
    <n v="50"/>
    <n v="327"/>
    <n v="105"/>
    <s v="https://www.ge.ch/document/covid-19-situation-epidemiologique-geneve/telecharger"/>
    <m/>
    <s v=""/>
    <m/>
    <s v=""/>
    <n v="26"/>
    <s v=""/>
    <n v="46.220528000000002"/>
    <n v="6.1329349999999998"/>
    <s v="Genève"/>
    <n v="25"/>
    <n v="65"/>
    <n v="7"/>
    <n v="746.16"/>
    <n v="21.204000000000001"/>
  </r>
  <r>
    <x v="40"/>
    <d v="1899-12-30T03:00:00"/>
    <x v="26"/>
    <m/>
    <n v="646"/>
    <n v="-11"/>
    <n v="49"/>
    <m/>
    <m/>
    <m/>
    <n v="30"/>
    <s v="https://www.gr.ch/DE/institutionen/verwaltung/djsg/ga/coronavirus/info/Seiten/Start.aspx"/>
    <m/>
    <s v=""/>
    <m/>
    <s v=""/>
    <m/>
    <s v=""/>
    <n v="46.656247999999998"/>
    <n v="9.6281979999999994"/>
    <s v="Graubünden/Grigioni"/>
    <n v="1"/>
    <n v="48"/>
    <n v="3"/>
    <n v="326.43"/>
    <n v="15.159000000000001"/>
  </r>
  <r>
    <x v="40"/>
    <d v="1899-12-30T16:00:00"/>
    <x v="4"/>
    <m/>
    <n v="160"/>
    <n v="2"/>
    <n v="29"/>
    <n v="4"/>
    <m/>
    <m/>
    <m/>
    <s v="https://www.jura.ch/fr/Autorites/Coronavirus/Chiffres-H-JU/Evolution-des-cas-COVID-19-dans-le-Jura.html"/>
    <m/>
    <s v=""/>
    <m/>
    <s v=""/>
    <m/>
    <s v=""/>
    <n v="47.350743999999999"/>
    <n v="7.1561070000000004"/>
    <s v="Jura"/>
    <n v="26"/>
    <n v="6"/>
    <n v="0"/>
    <n v="218.28"/>
    <m/>
  </r>
  <r>
    <x v="40"/>
    <d v="1899-12-30T11:00:00"/>
    <x v="17"/>
    <m/>
    <n v="478"/>
    <n v="0"/>
    <n v="49"/>
    <n v="12"/>
    <m/>
    <m/>
    <n v="9"/>
    <s v="https://gesundheit.lu.ch/themen/Humanmedizin/Infektionskrankheiten/Coronavirus"/>
    <m/>
    <s v=""/>
    <m/>
    <s v=""/>
    <m/>
    <s v=""/>
    <n v="47.067762999999999"/>
    <n v="8.1102000000000007"/>
    <s v="Luzern"/>
    <n v="3"/>
    <n v="9"/>
    <n v="2"/>
    <n v="117.59"/>
    <n v="2.214"/>
  </r>
  <r>
    <x v="40"/>
    <d v="1899-12-30T16:00:00"/>
    <x v="14"/>
    <m/>
    <n v="464"/>
    <n v="-1"/>
    <n v="58"/>
    <n v="12"/>
    <n v="8"/>
    <m/>
    <n v="31"/>
    <s v="https://www.ne.ch/autorites/DFS/SCSP/medecin-cantonal/maladies-vaccinations/Documents/Covid-19-Statistiques/COVID19_PublicationInternet.pdf"/>
    <m/>
    <s v=""/>
    <m/>
    <s v=""/>
    <m/>
    <s v=""/>
    <n v="46.995533999999999"/>
    <n v="6.7801260000000001"/>
    <s v="Neuchâtel"/>
    <n v="24"/>
    <n v="12"/>
    <n v="0"/>
    <n v="260.67"/>
    <n v="17.416"/>
  </r>
  <r>
    <x v="40"/>
    <d v="1899-12-30T15:55:00"/>
    <x v="20"/>
    <m/>
    <n v="80"/>
    <n v="0"/>
    <m/>
    <m/>
    <m/>
    <m/>
    <n v="0"/>
    <s v="https://www.nw.ch/gesundheitsamtdienste/6044"/>
    <m/>
    <s v=""/>
    <m/>
    <s v=""/>
    <m/>
    <s v=""/>
    <n v="46.926755"/>
    <n v="8.4053020000000007"/>
    <s v="Nidwalden"/>
    <n v="7"/>
    <n v="0"/>
    <n v="0"/>
    <n v="186.05"/>
    <n v="0"/>
  </r>
  <r>
    <x v="40"/>
    <d v="1899-12-30T03:00:00"/>
    <x v="15"/>
    <m/>
    <n v="515"/>
    <n v="-9"/>
    <n v="70"/>
    <n v="13"/>
    <m/>
    <n v="70"/>
    <n v="9"/>
    <s v="https://www.sg.ch/tools/informationen-coronavirus.html"/>
    <m/>
    <s v=""/>
    <m/>
    <s v=""/>
    <m/>
    <s v=""/>
    <n v="47.183199999999999"/>
    <n v="9.2747440000000001"/>
    <s v="St. Gallen"/>
    <n v="17"/>
    <n v="11"/>
    <n v="0"/>
    <n v="102.04"/>
    <n v="1.7829999999999999"/>
  </r>
  <r>
    <x v="40"/>
    <d v="1899-12-30T03:00:00"/>
    <x v="21"/>
    <m/>
    <n v="49"/>
    <n v="0"/>
    <n v="12"/>
    <n v="3"/>
    <m/>
    <m/>
    <n v="1"/>
    <s v="https://sh.ch/CMS/Webseite/Kanton-Schaffhausen/Beh-rde/Verwaltung/Departement-des-Innern/Gesundheitsamt-3209198-DE.html"/>
    <m/>
    <s v=""/>
    <m/>
    <s v=""/>
    <m/>
    <s v=""/>
    <n v="47.713569999999997"/>
    <n v="8.5916700000000006"/>
    <s v="Schaffhausen"/>
    <n v="14"/>
    <n v="2"/>
    <n v="0"/>
    <n v="60.2"/>
    <n v="1.2290000000000001"/>
  </r>
  <r>
    <x v="40"/>
    <d v="1899-12-30T03:00:00"/>
    <x v="19"/>
    <m/>
    <n v="258"/>
    <n v="0"/>
    <n v="16"/>
    <m/>
    <m/>
    <m/>
    <n v="3"/>
    <s v="https://corona.so.ch/"/>
    <m/>
    <s v=""/>
    <m/>
    <s v=""/>
    <m/>
    <s v=""/>
    <n v="47.304135000000002"/>
    <n v="7.6393880000000003"/>
    <s v="Solothurn"/>
    <n v="11"/>
    <n v="8"/>
    <n v="0"/>
    <n v="95.06"/>
    <n v="1.105"/>
  </r>
  <r>
    <x v="40"/>
    <d v="1899-12-30T03:00:00"/>
    <x v="16"/>
    <n v="10"/>
    <n v="170"/>
    <n v="0"/>
    <n v="1"/>
    <m/>
    <m/>
    <n v="93"/>
    <n v="5"/>
    <s v="https://www.sz.ch/behoerden/information-medien/medienmitteilungen/coronavirus.html/72-416-412-1379-6948"/>
    <m/>
    <s v=""/>
    <m/>
    <s v=""/>
    <m/>
    <s v=""/>
    <n v="47.061787000000002"/>
    <n v="8.7565849999999994"/>
    <s v="Schwyz"/>
    <n v="5"/>
    <n v="2"/>
    <n v="0"/>
    <n v="108.07"/>
    <n v="3.1789999999999998"/>
  </r>
  <r>
    <x v="40"/>
    <d v="1899-12-30T03:00:00"/>
    <x v="25"/>
    <n v="276"/>
    <n v="213"/>
    <n v="0"/>
    <m/>
    <m/>
    <m/>
    <m/>
    <n v="7"/>
    <s v="https://www.tg.ch/news/fachdossier-coronavirus.html/10552"/>
    <m/>
    <s v=""/>
    <m/>
    <s v=""/>
    <m/>
    <s v=""/>
    <n v="47.568714999999997"/>
    <n v="9.0919570000000007"/>
    <s v="Thurgau"/>
    <n v="1"/>
    <n v="5"/>
    <n v="2"/>
    <n v="77.790000000000006"/>
    <n v="2.5569999999999999"/>
  </r>
  <r>
    <x v="40"/>
    <d v="1899-12-30T08:00:00"/>
    <x v="1"/>
    <m/>
    <n v="2508"/>
    <n v="-1"/>
    <n v="362"/>
    <n v="74"/>
    <n v="61"/>
    <n v="340"/>
    <n v="177"/>
    <s v="https://www4.ti.ch/area-media/comunicati/dettaglio-comunicato/?NEWS_ID=187576&amp;tx_tichareamedia_comunicazioni%5Baction%5D=show&amp;tx_tichareamedia_comunicazioni%5Bcontroller%5D=Comunicazioni&amp;cHash=7486178287491dbfa00376059224e150"/>
    <m/>
    <s v=""/>
    <m/>
    <s v="61.0"/>
    <m/>
    <s v=""/>
    <n v="46.295617"/>
    <n v="8.8089239999999993"/>
    <s v="Ticino"/>
    <n v="21"/>
    <n v="66"/>
    <n v="12"/>
    <n v="709.08"/>
    <n v="50.042000000000002"/>
  </r>
  <r>
    <x v="40"/>
    <d v="1899-12-30T17:00:00"/>
    <x v="22"/>
    <n v="85"/>
    <n v="67"/>
    <n v="-1"/>
    <n v="5"/>
    <m/>
    <m/>
    <n v="26"/>
    <n v="2"/>
    <s v="https://www.ur.ch/themen/2920"/>
    <m/>
    <s v=""/>
    <m/>
    <s v=""/>
    <m/>
    <s v=""/>
    <n v="46.771849000000003"/>
    <n v="8.6285860000000003"/>
    <s v="Uri"/>
    <n v="4"/>
    <n v="1"/>
    <n v="1"/>
    <n v="184.57"/>
    <n v="5.51"/>
  </r>
  <r>
    <x v="40"/>
    <d v="1899-12-30T03:00:00"/>
    <x v="9"/>
    <m/>
    <n v="4202"/>
    <n v="11"/>
    <n v="382"/>
    <n v="70"/>
    <m/>
    <n v="225"/>
    <n v="174"/>
    <s v="https://www.vd.ch/toutes-les-actualites/hotline-et-informations-sur-le-coronavirus/point-de-situation-statistique-dans-le-canton-de-vaud/"/>
    <m/>
    <s v=""/>
    <m/>
    <s v=""/>
    <m/>
    <s v=""/>
    <n v="46.570090999999998"/>
    <n v="6.5578090000000007"/>
    <s v="Vaud"/>
    <n v="22"/>
    <n v="72"/>
    <n v="12"/>
    <n v="529.82000000000005"/>
    <n v="21.939"/>
  </r>
  <r>
    <x v="40"/>
    <d v="1899-12-30T15:00:00"/>
    <x v="10"/>
    <m/>
    <n v="1431"/>
    <n v="-3"/>
    <n v="147"/>
    <n v="26"/>
    <n v="23"/>
    <n v="95"/>
    <n v="57"/>
    <s v="https://www.vs.ch/documents/6756452/7008787/2020%2004%2012%20Sit%20Epid%20-%20%C3%89tat%20Stand"/>
    <m/>
    <s v=""/>
    <m/>
    <s v=""/>
    <m/>
    <s v=""/>
    <n v="46.209567"/>
    <n v="7.6046589999999998"/>
    <s v="Valais/Wallis"/>
    <n v="23"/>
    <n v="15"/>
    <n v="4"/>
    <n v="419.03"/>
    <n v="16.690999999999999"/>
  </r>
  <r>
    <x v="40"/>
    <d v="1899-12-30T08:00:00"/>
    <x v="11"/>
    <m/>
    <n v="152"/>
    <n v="0"/>
    <n v="14"/>
    <n v="8"/>
    <m/>
    <n v="46"/>
    <n v="3"/>
    <s v="https://www.zg.ch/behoerden/gesundheitsdirektion/statistikfachstelle/themen/gesundheit/corona"/>
    <m/>
    <s v=""/>
    <m/>
    <s v=""/>
    <m/>
    <s v=""/>
    <n v="47.157296000000002"/>
    <n v="8.5372939999999993"/>
    <s v="Zug"/>
    <n v="9"/>
    <n v="6"/>
    <n v="1"/>
    <n v="121.21"/>
    <n v="2.3919999999999999"/>
  </r>
  <r>
    <x v="40"/>
    <d v="1899-12-30T14:30:00"/>
    <x v="5"/>
    <m/>
    <n v="2497"/>
    <n v="0"/>
    <n v="194"/>
    <m/>
    <n v="59"/>
    <m/>
    <n v="53"/>
    <s v="https://gd.zh.ch/internet/gesundheitsdirektion/de/themen/coronavirus.html"/>
    <m/>
    <s v=""/>
    <m/>
    <s v=""/>
    <m/>
    <s v=""/>
    <n v="47.412750000000003"/>
    <n v="8.6550799999999999"/>
    <s v="Zürich"/>
    <n v="1"/>
    <n v="30"/>
    <n v="4"/>
    <n v="165.99"/>
    <n v="3.5230000000000001"/>
  </r>
  <r>
    <x v="41"/>
    <d v="1899-12-30T15:00:00"/>
    <x v="6"/>
    <m/>
    <n v="727"/>
    <n v="-18"/>
    <n v="82"/>
    <n v="25"/>
    <n v="24"/>
    <n v="4"/>
    <n v="13"/>
    <s v="https://www.ag.ch/media/kanton_aargau/themen_1/coronavirus_1/lagebulletins/200406_KFS_Coronavirus_Lagebulletin_27.pdf"/>
    <m/>
    <s v=""/>
    <m/>
    <s v=""/>
    <m/>
    <s v=""/>
    <n v="47.409660000000002"/>
    <n v="8.1568799999999992"/>
    <s v="Aargau"/>
    <n v="1"/>
    <n v="101"/>
    <n v="1"/>
    <n v="108.35"/>
    <n v="1.9370000000000001"/>
  </r>
  <r>
    <x v="41"/>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1"/>
    <d v="1899-12-30T08:00:00"/>
    <x v="18"/>
    <m/>
    <n v="69"/>
    <n v="0"/>
    <n v="6"/>
    <m/>
    <m/>
    <m/>
    <n v="3"/>
    <s v="https://www.ar.ch/verwaltung/departement-gesundheit-und-soziales/amt-fuer-gesundheit/informationsseite-coronavirus/"/>
    <m/>
    <s v=""/>
    <m/>
    <s v=""/>
    <m/>
    <s v=""/>
    <n v="47.416351999999996"/>
    <n v="9.3679100000000002"/>
    <s v="Appenzell Ausserrhoden"/>
    <n v="15"/>
    <n v="2"/>
    <n v="0"/>
    <n v="125"/>
    <n v="5.4349999999999996"/>
  </r>
  <r>
    <x v="41"/>
    <d v="1899-12-30T08:00:00"/>
    <x v="7"/>
    <m/>
    <n v="1173"/>
    <n v="7"/>
    <n v="117"/>
    <n v="35"/>
    <n v="30"/>
    <m/>
    <n v="31"/>
    <s v="https://www.besondere-lage.sites.be.ch/besondere-lage_sites/de/index/corona/index.html"/>
    <m/>
    <s v=""/>
    <m/>
    <s v=""/>
    <m/>
    <s v=""/>
    <n v="46.823608"/>
    <n v="7.6366670000000001"/>
    <s v="Bern/Berne"/>
    <n v="2"/>
    <n v="36"/>
    <n v="3"/>
    <n v="113.76"/>
    <n v="3.0059999999999998"/>
  </r>
  <r>
    <x v="41"/>
    <d v="1899-12-30T03:00:00"/>
    <x v="8"/>
    <m/>
    <n v="682"/>
    <n v="-6"/>
    <n v="67"/>
    <n v="17"/>
    <n v="17"/>
    <n v="412"/>
    <n v="19"/>
    <s v="https://www.baselland.ch/politik-und-behorden/direktionen/volkswirtschafts-und-gesundheitsdirektion/amt-fur-gesundheit/medizinische-dienste/kantonsarztlicher-dienst/aktuelles/covid-19-faelle-kanton-basel-landschaft"/>
    <m/>
    <s v=""/>
    <m/>
    <s v=""/>
    <m/>
    <s v=""/>
    <n v="47.45176"/>
    <n v="7.7024140000000001"/>
    <s v="Basel-Landschaft"/>
    <n v="13"/>
    <n v="12"/>
    <n v="0"/>
    <n v="237.63"/>
    <n v="6.62"/>
  </r>
  <r>
    <x v="41"/>
    <d v="1899-12-30T09:45:00"/>
    <x v="2"/>
    <n v="235"/>
    <n v="803"/>
    <n v="-7"/>
    <n v="99"/>
    <n v="13"/>
    <m/>
    <n v="481"/>
    <n v="26"/>
    <s v="https://www.coronavirus.bs.ch/nm/2020-tagesbulletin-coronavirus-803-bestaetigte-faelle-im-kanton-basel-stadt-gd.html"/>
    <n v="438"/>
    <s v="21.0"/>
    <m/>
    <s v=""/>
    <m/>
    <s v=""/>
    <n v="47.564869000000002"/>
    <n v="7.615259"/>
    <s v="Basel-Stadt"/>
    <n v="12"/>
    <n v="9"/>
    <n v="0"/>
    <n v="414.13"/>
    <n v="13.409000000000001"/>
  </r>
  <r>
    <x v="41"/>
    <d v="1899-12-30T03:00:00"/>
    <x v="12"/>
    <n v="30"/>
    <n v="689"/>
    <n v="0"/>
    <n v="87"/>
    <n v="19"/>
    <m/>
    <n v="56"/>
    <n v="41"/>
    <s v="https://www.fr.ch/covid19/sante/covid-19/coronavirus-statistiques-evolution-de-la-situation-dans-le-canton"/>
    <m/>
    <s v=""/>
    <m/>
    <s v=""/>
    <m/>
    <s v=""/>
    <n v="46.718390999999997"/>
    <n v="7.0740080000000001"/>
    <s v="Fribourg"/>
    <n v="10"/>
    <n v="20"/>
    <n v="1"/>
    <n v="218.66"/>
    <n v="13.012"/>
  </r>
  <r>
    <x v="41"/>
    <d v="1899-12-30T03:00:00"/>
    <x v="0"/>
    <n v="15792"/>
    <n v="3814"/>
    <n v="-6"/>
    <n v="418"/>
    <n v="56"/>
    <n v="50"/>
    <n v="345"/>
    <n v="116"/>
    <s v="https://www.ge.ch/document/covid-19-situation-epidemiologique-geneve/telecharger"/>
    <m/>
    <s v=""/>
    <m/>
    <s v=""/>
    <n v="24"/>
    <s v=""/>
    <n v="46.220528000000002"/>
    <n v="6.1329349999999998"/>
    <s v="Genève"/>
    <n v="25"/>
    <n v="119"/>
    <n v="11"/>
    <n v="770.19"/>
    <n v="23.425000000000001"/>
  </r>
  <r>
    <x v="41"/>
    <d v="1899-12-30T13:30:00"/>
    <x v="13"/>
    <m/>
    <n v="63"/>
    <n v="-3"/>
    <n v="2"/>
    <m/>
    <m/>
    <m/>
    <n v="2"/>
    <s v="https://www.gl.ch/verwaltung/finanzen-und-gesundheit/gesundheit/coronavirus.html/4817#Fallzahlen"/>
    <m/>
    <s v=""/>
    <m/>
    <s v=""/>
    <m/>
    <s v=""/>
    <n v="46.931042000000005"/>
    <n v="9.0657510000000006"/>
    <s v="Glarus"/>
    <n v="8"/>
    <n v="4"/>
    <n v="0"/>
    <n v="156.33000000000001"/>
    <n v="4.9630000000000001"/>
  </r>
  <r>
    <x v="41"/>
    <d v="1899-12-30T03:00:00"/>
    <x v="26"/>
    <m/>
    <n v="657"/>
    <n v="3"/>
    <n v="52"/>
    <m/>
    <m/>
    <m/>
    <n v="31"/>
    <s v="https://www.gr.ch/DE/institutionen/verwaltung/djsg/ga/coronavirus/info/Seiten/Start.aspx"/>
    <m/>
    <s v=""/>
    <m/>
    <s v=""/>
    <m/>
    <s v=""/>
    <n v="46.656247999999998"/>
    <n v="9.6281979999999994"/>
    <s v="Graubünden/Grigioni"/>
    <n v="1"/>
    <n v="11"/>
    <n v="1"/>
    <n v="331.99"/>
    <n v="15.664"/>
  </r>
  <r>
    <x v="41"/>
    <d v="1899-12-30T16:00:00"/>
    <x v="4"/>
    <m/>
    <n v="164"/>
    <n v="-2"/>
    <n v="27"/>
    <n v="4"/>
    <m/>
    <m/>
    <m/>
    <s v="https://www.jura.ch/fr/Autorites/Coronavirus/Chiffres-H-JU/Evolution-des-cas-COVID-19-dans-le-Jura.html"/>
    <m/>
    <s v=""/>
    <m/>
    <s v=""/>
    <m/>
    <s v=""/>
    <n v="47.350743999999999"/>
    <n v="7.1561070000000004"/>
    <s v="Jura"/>
    <n v="26"/>
    <n v="4"/>
    <n v="0"/>
    <n v="223.74"/>
    <m/>
  </r>
  <r>
    <x v="41"/>
    <d v="1899-12-30T11:00:00"/>
    <x v="17"/>
    <m/>
    <n v="497"/>
    <n v="12"/>
    <n v="61"/>
    <n v="6"/>
    <m/>
    <m/>
    <n v="9"/>
    <s v="https://gesundheit.lu.ch/themen/Humanmedizin/Infektionskrankheiten/Coronavirus"/>
    <m/>
    <s v=""/>
    <m/>
    <s v=""/>
    <m/>
    <s v=""/>
    <n v="47.067762999999999"/>
    <n v="8.1102000000000007"/>
    <s v="Luzern"/>
    <n v="3"/>
    <n v="19"/>
    <n v="0"/>
    <n v="122.26"/>
    <n v="2.214"/>
  </r>
  <r>
    <x v="41"/>
    <d v="1899-12-30T16:00:00"/>
    <x v="14"/>
    <m/>
    <n v="488"/>
    <n v="1"/>
    <n v="59"/>
    <n v="10"/>
    <n v="8"/>
    <m/>
    <n v="34"/>
    <s v="https://www.ne.ch/autorites/DFS/SCSP/medecin-cantonal/maladies-vaccinations/Documents/Covid-19-Statistiques/COVID19_PublicationInternet.pdf"/>
    <m/>
    <s v=""/>
    <m/>
    <s v=""/>
    <m/>
    <s v=""/>
    <n v="46.995533999999999"/>
    <n v="6.7801260000000001"/>
    <s v="Neuchâtel"/>
    <n v="24"/>
    <n v="24"/>
    <n v="3"/>
    <n v="274.16000000000003"/>
    <n v="19.100999999999999"/>
  </r>
  <r>
    <x v="41"/>
    <d v="1899-12-30T15:15:00"/>
    <x v="20"/>
    <m/>
    <n v="86"/>
    <n v="0"/>
    <n v="9"/>
    <n v="2"/>
    <m/>
    <m/>
    <n v="0"/>
    <s v="https://www.nw.ch/gesundheitsamtdienste/6044"/>
    <m/>
    <s v=""/>
    <m/>
    <s v=""/>
    <m/>
    <s v=""/>
    <n v="46.926755"/>
    <n v="8.4053020000000007"/>
    <s v="Nidwalden"/>
    <n v="7"/>
    <n v="6"/>
    <n v="0"/>
    <n v="200"/>
    <n v="0"/>
  </r>
  <r>
    <x v="41"/>
    <d v="1899-12-30T15:00:00"/>
    <x v="23"/>
    <n v="6"/>
    <n v="60"/>
    <n v="0"/>
    <m/>
    <m/>
    <m/>
    <n v="1"/>
    <n v="0"/>
    <s v="https://www.ow.ch/de/verwaltung/dienstleistungen/?dienst_id=5962"/>
    <m/>
    <s v=""/>
    <m/>
    <s v=""/>
    <m/>
    <s v=""/>
    <n v="46.804527"/>
    <n v="8.1443170000000009"/>
    <s v="Obwalden"/>
    <n v="6"/>
    <n v="4"/>
    <n v="0"/>
    <n v="159.57"/>
    <n v="0"/>
  </r>
  <r>
    <x v="41"/>
    <d v="1899-12-30T03:00:00"/>
    <x v="15"/>
    <m/>
    <n v="532"/>
    <n v="0"/>
    <n v="70"/>
    <n v="12"/>
    <m/>
    <n v="75"/>
    <n v="11"/>
    <s v="https://www.sg.ch/tools/informationen-coronavirus.html"/>
    <m/>
    <s v=""/>
    <m/>
    <s v=""/>
    <m/>
    <s v=""/>
    <n v="47.183199999999999"/>
    <n v="9.2747440000000001"/>
    <s v="St. Gallen"/>
    <n v="17"/>
    <n v="17"/>
    <n v="2"/>
    <n v="105.41"/>
    <n v="2.1800000000000002"/>
  </r>
  <r>
    <x v="41"/>
    <d v="1899-12-30T03:00:00"/>
    <x v="21"/>
    <m/>
    <n v="50"/>
    <n v="3"/>
    <n v="15"/>
    <n v="3"/>
    <m/>
    <m/>
    <n v="1"/>
    <s v="https://sh.ch/CMS/Webseite/Kanton-Schaffhausen/Beh-rde/Verwaltung/Departement-des-Innern/Gesundheitsamt-3209198-DE.html"/>
    <m/>
    <s v=""/>
    <m/>
    <s v=""/>
    <m/>
    <s v=""/>
    <n v="47.713569999999997"/>
    <n v="8.5916700000000006"/>
    <s v="Schaffhausen"/>
    <n v="14"/>
    <n v="1"/>
    <n v="0"/>
    <n v="61.43"/>
    <n v="1.2290000000000001"/>
  </r>
  <r>
    <x v="41"/>
    <d v="1899-12-30T03:00:00"/>
    <x v="19"/>
    <m/>
    <n v="261"/>
    <n v="10"/>
    <n v="26"/>
    <m/>
    <m/>
    <m/>
    <n v="3"/>
    <s v="https://corona.so.ch/"/>
    <m/>
    <s v=""/>
    <m/>
    <s v=""/>
    <m/>
    <s v=""/>
    <n v="47.304135000000002"/>
    <n v="7.6393880000000003"/>
    <s v="Solothurn"/>
    <n v="11"/>
    <n v="3"/>
    <n v="0"/>
    <n v="96.17"/>
    <n v="1.105"/>
  </r>
  <r>
    <x v="41"/>
    <d v="1899-12-30T03:00:00"/>
    <x v="16"/>
    <n v="10"/>
    <n v="178"/>
    <n v="0"/>
    <n v="1"/>
    <m/>
    <m/>
    <n v="93"/>
    <n v="6"/>
    <s v="https://www.sz.ch/behoerden/information-medien/medienmitteilungen/coronavirus.html/72-416-412-1379-6948"/>
    <m/>
    <s v=""/>
    <m/>
    <s v=""/>
    <m/>
    <s v=""/>
    <n v="47.061787000000002"/>
    <n v="8.7565849999999994"/>
    <s v="Schwyz"/>
    <n v="5"/>
    <n v="8"/>
    <n v="1"/>
    <n v="113.16"/>
    <n v="3.8140000000000001"/>
  </r>
  <r>
    <x v="41"/>
    <d v="1899-12-30T03:00:00"/>
    <x v="25"/>
    <n v="276"/>
    <n v="219"/>
    <n v="0"/>
    <n v="34"/>
    <n v="14"/>
    <m/>
    <m/>
    <n v="7"/>
    <s v="https://www.tg.ch/news/fachdossier-coronavirus.html/10552"/>
    <m/>
    <s v=""/>
    <m/>
    <s v=""/>
    <m/>
    <s v=""/>
    <n v="47.568714999999997"/>
    <n v="9.0919570000000007"/>
    <s v="Thurgau"/>
    <n v="1"/>
    <n v="6"/>
    <n v="0"/>
    <n v="79.989999999999995"/>
    <n v="2.5569999999999999"/>
  </r>
  <r>
    <x v="41"/>
    <d v="1899-12-30T08:00:00"/>
    <x v="1"/>
    <m/>
    <n v="2546"/>
    <n v="-5"/>
    <n v="357"/>
    <n v="72"/>
    <n v="62"/>
    <n v="350"/>
    <n v="189"/>
    <s v="https://www4.ti.ch/area-media/comunicati/dettaglio-comunicato/?NEWS_ID=187585&amp;cHash=71dae3c15afd6b09d15f28f43d415af1"/>
    <m/>
    <s v=""/>
    <m/>
    <s v="62.0"/>
    <m/>
    <s v=""/>
    <n v="46.295617"/>
    <n v="8.8089239999999993"/>
    <s v="Ticino"/>
    <n v="21"/>
    <n v="38"/>
    <n v="12"/>
    <n v="719.82"/>
    <n v="53.435000000000002"/>
  </r>
  <r>
    <x v="41"/>
    <d v="1899-12-30T14:00:00"/>
    <x v="22"/>
    <n v="85"/>
    <n v="67"/>
    <n v="4"/>
    <n v="9"/>
    <m/>
    <m/>
    <n v="34"/>
    <n v="2"/>
    <s v="https://www.ur.ch/themen/2920"/>
    <m/>
    <s v=""/>
    <m/>
    <s v=""/>
    <m/>
    <s v=""/>
    <n v="46.771849000000003"/>
    <n v="8.6285860000000003"/>
    <s v="Uri"/>
    <n v="4"/>
    <n v="0"/>
    <n v="0"/>
    <n v="184.57"/>
    <n v="5.51"/>
  </r>
  <r>
    <x v="41"/>
    <d v="1899-12-30T03:00:00"/>
    <x v="9"/>
    <m/>
    <n v="4233"/>
    <n v="-16"/>
    <n v="366"/>
    <n v="68"/>
    <m/>
    <n v="225"/>
    <n v="190"/>
    <s v="https://www.vd.ch/toutes-les-actualites/hotline-et-informations-sur-le-coronavirus/point-de-situation-statistique-dans-le-canton-de-vaud/"/>
    <m/>
    <s v=""/>
    <m/>
    <s v=""/>
    <m/>
    <s v=""/>
    <n v="46.570090999999998"/>
    <n v="6.5578090000000007"/>
    <s v="Vaud"/>
    <n v="22"/>
    <n v="31"/>
    <n v="16"/>
    <n v="533.73"/>
    <n v="23.957000000000001"/>
  </r>
  <r>
    <x v="41"/>
    <d v="1899-12-30T15:00:00"/>
    <x v="10"/>
    <m/>
    <n v="1497"/>
    <n v="-13"/>
    <n v="134"/>
    <n v="26"/>
    <n v="22"/>
    <n v="105"/>
    <n v="60"/>
    <s v="https://www.vs.ch/documents/6756452/7008787/2020%2004%2012%20Sit%20Epid%20-%20%C3%89tat%20Stand"/>
    <m/>
    <s v=""/>
    <m/>
    <s v=""/>
    <m/>
    <s v=""/>
    <n v="46.209567"/>
    <n v="7.6046589999999998"/>
    <s v="Valais/Wallis"/>
    <n v="23"/>
    <n v="66"/>
    <n v="3"/>
    <n v="438.36"/>
    <n v="17.57"/>
  </r>
  <r>
    <x v="41"/>
    <d v="1899-12-30T08:00:00"/>
    <x v="11"/>
    <m/>
    <n v="157"/>
    <n v="1"/>
    <n v="15"/>
    <n v="8"/>
    <m/>
    <n v="52"/>
    <n v="3"/>
    <s v="https://www.zg.ch/behoerden/gesundheitsdirektion/statistikfachstelle/themen/gesundheit/corona"/>
    <m/>
    <s v=""/>
    <m/>
    <s v=""/>
    <m/>
    <s v=""/>
    <n v="47.157296000000002"/>
    <n v="8.5372939999999993"/>
    <s v="Zug"/>
    <n v="9"/>
    <n v="5"/>
    <n v="0"/>
    <n v="125.2"/>
    <n v="2.3919999999999999"/>
  </r>
  <r>
    <x v="41"/>
    <d v="1899-12-30T14:30:00"/>
    <x v="5"/>
    <m/>
    <n v="2611"/>
    <n v="4"/>
    <n v="198"/>
    <m/>
    <n v="58"/>
    <m/>
    <n v="55"/>
    <s v="https://gd.zh.ch/internet/gesundheitsdirektion/de/themen/coronavirus.html"/>
    <m/>
    <s v=""/>
    <m/>
    <s v=""/>
    <m/>
    <s v=""/>
    <n v="47.412750000000003"/>
    <n v="8.6550799999999999"/>
    <s v="Zürich"/>
    <n v="1"/>
    <n v="114"/>
    <n v="2"/>
    <n v="173.57"/>
    <n v="3.6560000000000001"/>
  </r>
  <r>
    <x v="42"/>
    <d v="1899-12-30T14:45:00"/>
    <x v="6"/>
    <m/>
    <n v="760"/>
    <n v="2"/>
    <n v="84"/>
    <n v="25"/>
    <n v="25"/>
    <n v="170"/>
    <n v="16"/>
    <s v="https://www.ag.ch/media/kanton_aargau/themen_1/coronavirus_1/lagebulletins/200407_KFS_Coronavirus_Lagebulletin_28.pdf"/>
    <m/>
    <s v=""/>
    <m/>
    <s v=""/>
    <m/>
    <s v=""/>
    <n v="47.409660000000002"/>
    <n v="8.1568799999999992"/>
    <s v="Aargau"/>
    <n v="1"/>
    <n v="33"/>
    <n v="3"/>
    <n v="113.26"/>
    <n v="2.3849999999999998"/>
  </r>
  <r>
    <x v="42"/>
    <d v="1899-12-30T11:00:00"/>
    <x v="24"/>
    <m/>
    <n v="21"/>
    <n v="0"/>
    <n v="1"/>
    <m/>
    <m/>
    <m/>
    <m/>
    <s v="https://www.ai.ch/themen/gesundheit-alter-und-soziales/gesundheitsfoerderung-und-praevention/uebertragbare-krankheiten/coronavirus"/>
    <m/>
    <s v=""/>
    <m/>
    <s v=""/>
    <m/>
    <s v=""/>
    <n v="47.317264000000002"/>
    <n v="9.4167539999999992"/>
    <s v="Appenzell Innerrhoden"/>
    <n v="16"/>
    <n v="0"/>
    <n v="0"/>
    <n v="130.43"/>
    <m/>
  </r>
  <r>
    <x v="42"/>
    <d v="1899-12-30T08:00:00"/>
    <x v="18"/>
    <m/>
    <n v="69"/>
    <n v="0"/>
    <n v="6"/>
    <m/>
    <m/>
    <m/>
    <n v="3"/>
    <s v="https://www.ar.ch/verwaltung/departement-gesundheit-und-soziales/amt-fuer-gesundheit/informationsseite-coronavirus/"/>
    <m/>
    <s v=""/>
    <m/>
    <s v=""/>
    <m/>
    <s v=""/>
    <n v="47.416351999999996"/>
    <n v="9.3679100000000002"/>
    <s v="Appenzell Ausserrhoden"/>
    <n v="15"/>
    <n v="0"/>
    <n v="0"/>
    <n v="125"/>
    <n v="5.4349999999999996"/>
  </r>
  <r>
    <x v="42"/>
    <d v="1899-12-30T08:00:00"/>
    <x v="7"/>
    <m/>
    <n v="1228"/>
    <n v="5"/>
    <n v="122"/>
    <n v="34"/>
    <n v="26"/>
    <m/>
    <n v="33"/>
    <s v="https://www.besondere-lage.sites.be.ch/besondere-lage_sites/de/index/corona/index.html"/>
    <m/>
    <s v=""/>
    <m/>
    <s v=""/>
    <m/>
    <s v=""/>
    <n v="46.823608"/>
    <n v="7.6366670000000001"/>
    <s v="Bern/Berne"/>
    <n v="2"/>
    <n v="55"/>
    <n v="2"/>
    <n v="119.1"/>
    <n v="3.2"/>
  </r>
  <r>
    <x v="42"/>
    <d v="1899-12-30T03:00:00"/>
    <x v="8"/>
    <m/>
    <n v="690"/>
    <n v="-1"/>
    <n v="66"/>
    <n v="18"/>
    <n v="17"/>
    <n v="452"/>
    <n v="19"/>
    <s v="https://www.baselland.ch/politik-und-behorden/direktionen/volkswirtschafts-und-gesundheitsdirektion/amt-fur-gesundheit/medizinische-dienste/kantonsarztlicher-dienst/aktuelles/covid-19-faelle-kanton-basel-landschaft"/>
    <m/>
    <s v=""/>
    <m/>
    <s v=""/>
    <m/>
    <s v=""/>
    <n v="47.45176"/>
    <n v="7.7024140000000001"/>
    <s v="Basel-Landschaft"/>
    <n v="13"/>
    <n v="8"/>
    <n v="0"/>
    <n v="240.42"/>
    <n v="6.62"/>
  </r>
  <r>
    <x v="42"/>
    <d v="1899-12-30T09:30:00"/>
    <x v="2"/>
    <n v="235"/>
    <n v="813"/>
    <n v="2"/>
    <n v="101"/>
    <n v="13"/>
    <m/>
    <n v="508"/>
    <n v="28"/>
    <s v="https://www.gd.bs.ch//nm/2020-tagesbulletin-coronavirus-813-bestaetigte-faelle-im-kanton-basel-stadt-gd.html"/>
    <n v="442"/>
    <s v="18.0"/>
    <m/>
    <s v=""/>
    <m/>
    <s v=""/>
    <n v="47.564869000000002"/>
    <n v="7.615259"/>
    <s v="Basel-Stadt"/>
    <n v="12"/>
    <n v="10"/>
    <n v="2"/>
    <n v="419.29"/>
    <n v="14.44"/>
  </r>
  <r>
    <x v="42"/>
    <d v="1899-12-30T03:00:00"/>
    <x v="3"/>
    <n v="900"/>
    <n v="78"/>
    <n v="0"/>
    <m/>
    <m/>
    <m/>
    <n v="1"/>
    <n v="1"/>
    <s v="https://www.liechtenstein.li/news-detail/article/aktuelle-informationen-zum-coronavirus/"/>
    <m/>
    <s v=""/>
    <m/>
    <s v=""/>
    <m/>
    <s v=""/>
    <n v="47.166666999999997"/>
    <n v="9.509722"/>
    <s v="Fürstentum Lichtenstein"/>
    <n v="0"/>
    <n v="1"/>
    <n v="0"/>
    <n v="202.07"/>
    <n v="2.5910000000000002"/>
  </r>
  <r>
    <x v="42"/>
    <d v="1899-12-30T03:00:00"/>
    <x v="12"/>
    <n v="30"/>
    <n v="729"/>
    <n v="-9"/>
    <n v="78"/>
    <n v="22"/>
    <m/>
    <n v="73"/>
    <n v="44"/>
    <s v="https://www.fr.ch/covid19/sante/covid-19/coronavirus-statistiques-evolution-de-la-situation-dans-le-canton"/>
    <m/>
    <s v=""/>
    <m/>
    <s v=""/>
    <m/>
    <s v=""/>
    <n v="46.718390999999997"/>
    <n v="7.0740080000000001"/>
    <s v="Fribourg"/>
    <n v="10"/>
    <n v="40"/>
    <n v="3"/>
    <n v="231.36"/>
    <n v="13.964"/>
  </r>
  <r>
    <x v="42"/>
    <d v="1899-12-30T03:00:00"/>
    <x v="0"/>
    <n v="16643"/>
    <n v="3974"/>
    <n v="-6"/>
    <n v="412"/>
    <n v="51"/>
    <n v="48"/>
    <n v="374"/>
    <n v="127"/>
    <s v="https://www.ge.ch/document/covid-19-situation-epidemiologique-geneve/telecharger"/>
    <m/>
    <s v=""/>
    <m/>
    <s v=""/>
    <n v="21"/>
    <s v=""/>
    <n v="46.220528000000002"/>
    <n v="6.1329349999999998"/>
    <s v="Genève"/>
    <n v="25"/>
    <n v="160"/>
    <n v="11"/>
    <n v="802.5"/>
    <n v="25.646000000000001"/>
  </r>
  <r>
    <x v="42"/>
    <d v="1899-12-30T13:00:00"/>
    <x v="13"/>
    <m/>
    <n v="63"/>
    <n v="0"/>
    <n v="2"/>
    <m/>
    <m/>
    <m/>
    <n v="2"/>
    <s v="https://www.gl.ch/verwaltung/finanzen-und-gesundheit/gesundheit/coronavirus.html/4817#Fallzahlen"/>
    <m/>
    <s v=""/>
    <m/>
    <s v=""/>
    <m/>
    <s v=""/>
    <n v="46.931042000000005"/>
    <n v="9.0657510000000006"/>
    <s v="Glarus"/>
    <n v="8"/>
    <n v="0"/>
    <n v="0"/>
    <n v="156.33000000000001"/>
    <n v="4.9630000000000001"/>
  </r>
  <r>
    <x v="42"/>
    <d v="1899-12-30T03:00:00"/>
    <x v="26"/>
    <m/>
    <n v="668"/>
    <n v="-3"/>
    <n v="49"/>
    <m/>
    <m/>
    <m/>
    <n v="34"/>
    <s v="https://www.gr.ch/DE/institutionen/verwaltung/djsg/ga/coronavirus/info/Seiten/Start.aspx"/>
    <m/>
    <s v=""/>
    <m/>
    <s v=""/>
    <m/>
    <s v=""/>
    <n v="46.656247999999998"/>
    <n v="9.6281979999999994"/>
    <s v="Graubünden/Grigioni"/>
    <n v="1"/>
    <n v="11"/>
    <n v="3"/>
    <n v="337.54"/>
    <n v="17.18"/>
  </r>
  <r>
    <x v="42"/>
    <d v="1899-12-30T16:00:00"/>
    <x v="4"/>
    <m/>
    <n v="171"/>
    <n v="1"/>
    <n v="28"/>
    <n v="4"/>
    <m/>
    <m/>
    <m/>
    <s v="https://www.jura.ch/fr/Autorites/Coronavirus/Chiffres-H-JU/Evolution-des-cas-COVID-19-dans-le-Jura.html"/>
    <m/>
    <s v=""/>
    <m/>
    <s v=""/>
    <m/>
    <s v=""/>
    <n v="47.350743999999999"/>
    <n v="7.1561070000000004"/>
    <s v="Jura"/>
    <n v="26"/>
    <n v="7"/>
    <n v="0"/>
    <n v="233.29"/>
    <m/>
  </r>
  <r>
    <x v="42"/>
    <d v="1899-12-30T11:00:00"/>
    <x v="17"/>
    <m/>
    <n v="509"/>
    <n v="-4"/>
    <n v="57"/>
    <n v="6"/>
    <m/>
    <m/>
    <n v="9"/>
    <s v="https://gesundheit.lu.ch/themen/Humanmedizin/Infektionskrankheiten/Coronavirus"/>
    <m/>
    <s v=""/>
    <m/>
    <s v=""/>
    <m/>
    <s v=""/>
    <n v="47.067762999999999"/>
    <n v="8.1102000000000007"/>
    <s v="Luzern"/>
    <n v="3"/>
    <n v="12"/>
    <n v="0"/>
    <n v="125.22"/>
    <n v="2.214"/>
  </r>
  <r>
    <x v="42"/>
    <d v="1899-12-30T16:00:00"/>
    <x v="14"/>
    <m/>
    <n v="513"/>
    <n v="5"/>
    <n v="64"/>
    <n v="10"/>
    <n v="5"/>
    <m/>
    <n v="36"/>
    <s v="https://www.ne.ch/autorites/DFS/SCSP/medecin-cantonal/maladies-vaccinations/Documents/Covid-19-Statistiques/COVID19_PublicationInternet.pdf"/>
    <m/>
    <s v=""/>
    <m/>
    <s v=""/>
    <m/>
    <s v=""/>
    <n v="46.995533999999999"/>
    <n v="6.7801260000000001"/>
    <s v="Neuchâtel"/>
    <n v="24"/>
    <n v="25"/>
    <n v="2"/>
    <n v="288.2"/>
    <n v="20.225000000000001"/>
  </r>
  <r>
    <x v="42"/>
    <d v="1899-12-30T15:45:00"/>
    <x v="20"/>
    <m/>
    <n v="87"/>
    <n v="1"/>
    <n v="10"/>
    <n v="2"/>
    <m/>
    <m/>
    <n v="0"/>
    <s v="https://www.nw.ch/gesundheitsamtdienste/6044"/>
    <m/>
    <s v=""/>
    <m/>
    <s v=""/>
    <m/>
    <s v=""/>
    <n v="46.926755"/>
    <n v="8.4053020000000007"/>
    <s v="Nidwalden"/>
    <n v="7"/>
    <n v="1"/>
    <n v="0"/>
    <n v="202.33"/>
    <n v="0"/>
  </r>
  <r>
    <x v="42"/>
    <d v="1899-12-30T14:30:00"/>
    <x v="23"/>
    <n v="6"/>
    <n v="60"/>
    <n v="0"/>
    <n v="2"/>
    <m/>
    <m/>
    <n v="1"/>
    <n v="0"/>
    <s v="https://www.ow.ch/de/verwaltung/dienstleistungen/?dienst_id=5962"/>
    <m/>
    <s v=""/>
    <m/>
    <s v=""/>
    <m/>
    <s v=""/>
    <n v="46.804527"/>
    <n v="8.1443170000000009"/>
    <s v="Obwalden"/>
    <n v="6"/>
    <n v="0"/>
    <n v="0"/>
    <n v="159.57"/>
    <n v="0"/>
  </r>
  <r>
    <x v="42"/>
    <d v="1899-12-30T03:00:00"/>
    <x v="15"/>
    <m/>
    <n v="557"/>
    <n v="-5"/>
    <n v="65"/>
    <n v="9"/>
    <m/>
    <n v="79"/>
    <n v="13"/>
    <s v="https://www.sg.ch/tools/informationen-coronavirus.html"/>
    <m/>
    <s v=""/>
    <m/>
    <s v=""/>
    <m/>
    <s v=""/>
    <n v="47.183199999999999"/>
    <n v="9.2747440000000001"/>
    <s v="St. Gallen"/>
    <n v="17"/>
    <n v="25"/>
    <n v="2"/>
    <n v="110.36"/>
    <n v="2.5760000000000001"/>
  </r>
  <r>
    <x v="42"/>
    <d v="1899-12-30T09:30:00"/>
    <x v="21"/>
    <m/>
    <n v="50"/>
    <n v="-1"/>
    <n v="14"/>
    <n v="3"/>
    <m/>
    <m/>
    <n v="1"/>
    <s v="https://sh.ch/CMS/Webseite/Kanton-Schaffhausen/Beh-rde/Verwaltung/Departement-des-Innern/Gesundheitsamt-3209198-DE.html"/>
    <m/>
    <s v=""/>
    <m/>
    <s v=""/>
    <m/>
    <s v=""/>
    <n v="47.713569999999997"/>
    <n v="8.5916700000000006"/>
    <s v="Schaffhausen"/>
    <n v="14"/>
    <n v="0"/>
    <n v="0"/>
    <n v="61.43"/>
    <n v="1.2290000000000001"/>
  </r>
  <r>
    <x v="42"/>
    <d v="1899-12-30T03:00:00"/>
    <x v="19"/>
    <m/>
    <n v="264"/>
    <n v="3"/>
    <n v="29"/>
    <m/>
    <m/>
    <m/>
    <n v="3"/>
    <s v="https://corona.so.ch/"/>
    <m/>
    <s v=""/>
    <m/>
    <s v=""/>
    <m/>
    <s v=""/>
    <n v="47.304135000000002"/>
    <n v="7.6393880000000003"/>
    <s v="Solothurn"/>
    <n v="11"/>
    <n v="3"/>
    <n v="0"/>
    <n v="97.27"/>
    <n v="1.105"/>
  </r>
  <r>
    <x v="42"/>
    <d v="1899-12-30T03:00:00"/>
    <x v="16"/>
    <n v="10"/>
    <n v="185"/>
    <n v="0"/>
    <n v="1"/>
    <m/>
    <m/>
    <n v="105"/>
    <n v="7"/>
    <s v="https://www.sz.ch/behoerden/information-medien/medienmitteilungen/coronavirus.html/72-416-412-1379-6948"/>
    <m/>
    <s v=""/>
    <m/>
    <s v=""/>
    <m/>
    <s v=""/>
    <n v="47.061787000000002"/>
    <n v="8.7565849999999994"/>
    <s v="Schwyz"/>
    <n v="5"/>
    <n v="7"/>
    <n v="1"/>
    <n v="117.61"/>
    <n v="4.45"/>
  </r>
  <r>
    <x v="42"/>
    <d v="1899-12-30T03:00:00"/>
    <x v="25"/>
    <n v="276"/>
    <n v="221"/>
    <n v="-1"/>
    <n v="33"/>
    <n v="13"/>
    <m/>
    <m/>
    <n v="8"/>
    <s v="https://www.tg.ch/news/fachdossier-coronavirus.html/10552"/>
    <m/>
    <s v=""/>
    <m/>
    <s v=""/>
    <m/>
    <s v=""/>
    <n v="47.568714999999997"/>
    <n v="9.0919570000000007"/>
    <s v="Thurgau"/>
    <n v="1"/>
    <n v="2"/>
    <n v="1"/>
    <n v="80.72"/>
    <n v="2.9220000000000002"/>
  </r>
  <r>
    <x v="42"/>
    <d v="1899-12-30T08:00:00"/>
    <x v="1"/>
    <m/>
    <n v="2599"/>
    <n v="0"/>
    <n v="357"/>
    <n v="72"/>
    <n v="62"/>
    <n v="350"/>
    <n v="198"/>
    <s v="https://www4.ti.ch/area-media/comunicati/dettaglio-comunicato/?NEWS_ID=187585&amp;tx_tichareamedia_comunicazioni%5Baction%5D=show&amp;tx_tichareamedia_comunicazioni%5Bcontroller%5D=Comunicazioni&amp;cHash=4bf78e02dc8ee0d240e06c4603f5605c"/>
    <m/>
    <s v=""/>
    <m/>
    <s v=""/>
    <m/>
    <s v=""/>
    <n v="46.295617"/>
    <n v="8.8089239999999993"/>
    <s v="Ticino"/>
    <n v="21"/>
    <n v="53"/>
    <n v="9"/>
    <n v="734.8"/>
    <n v="55.98"/>
  </r>
  <r>
    <x v="42"/>
    <d v="1899-12-30T14:00:00"/>
    <x v="22"/>
    <n v="85"/>
    <n v="68"/>
    <n v="-2"/>
    <n v="7"/>
    <m/>
    <m/>
    <n v="42"/>
    <n v="2"/>
    <s v="https://www.ur.ch/themen/2920"/>
    <m/>
    <s v=""/>
    <m/>
    <s v=""/>
    <m/>
    <s v=""/>
    <n v="46.771849000000003"/>
    <n v="8.6285860000000003"/>
    <s v="Uri"/>
    <n v="4"/>
    <n v="1"/>
    <n v="0"/>
    <n v="187.33"/>
    <n v="5.51"/>
  </r>
  <r>
    <x v="42"/>
    <d v="1899-12-30T03:00:00"/>
    <x v="9"/>
    <m/>
    <n v="4308"/>
    <n v="-26"/>
    <n v="340"/>
    <n v="68"/>
    <m/>
    <n v="225"/>
    <n v="202"/>
    <s v="https://www.vd.ch/toutes-les-actualites/hotline-et-informations-sur-le-coronavirus/point-de-situation-statistique-dans-le-canton-de-vaud/"/>
    <m/>
    <s v=""/>
    <m/>
    <s v=""/>
    <m/>
    <s v=""/>
    <n v="46.570090999999998"/>
    <n v="6.5578090000000007"/>
    <s v="Vaud"/>
    <n v="22"/>
    <n v="75"/>
    <n v="12"/>
    <n v="543.17999999999995"/>
    <n v="25.47"/>
  </r>
  <r>
    <x v="42"/>
    <d v="1899-12-30T15:00:00"/>
    <x v="10"/>
    <m/>
    <n v="1536"/>
    <n v="-3"/>
    <n v="131"/>
    <n v="25"/>
    <n v="20"/>
    <n v="123"/>
    <n v="68"/>
    <s v="https://www.vs.ch/documents/6756452/7008787/2020%2004%2012%20Sit%20Epid%20-%20%C3%89tat%20Stand"/>
    <m/>
    <s v=""/>
    <m/>
    <s v=""/>
    <m/>
    <s v=""/>
    <n v="46.209567"/>
    <n v="7.6046589999999998"/>
    <s v="Valais/Wallis"/>
    <n v="23"/>
    <n v="39"/>
    <n v="8"/>
    <n v="449.78"/>
    <n v="19.911999999999999"/>
  </r>
  <r>
    <x v="42"/>
    <d v="1899-12-30T08:00:00"/>
    <x v="11"/>
    <m/>
    <n v="162"/>
    <n v="-3"/>
    <n v="12"/>
    <n v="9"/>
    <m/>
    <n v="54"/>
    <n v="3"/>
    <s v="https://www.zg.ch/behoerden/gesundheitsdirektion/statistikfachstelle/themen/gesundheit/corona"/>
    <m/>
    <s v=""/>
    <m/>
    <s v=""/>
    <m/>
    <s v=""/>
    <n v="47.157296000000002"/>
    <n v="8.5372939999999993"/>
    <s v="Zug"/>
    <n v="9"/>
    <n v="5"/>
    <n v="0"/>
    <n v="129.19"/>
    <n v="2.3919999999999999"/>
  </r>
  <r>
    <x v="42"/>
    <d v="1899-12-30T14:30:00"/>
    <x v="5"/>
    <m/>
    <n v="2695"/>
    <n v="-17"/>
    <n v="181"/>
    <m/>
    <n v="60"/>
    <m/>
    <n v="57"/>
    <s v="https://gd.zh.ch/internet/gesundheitsdirektion/de/themen/coronavirus.html"/>
    <m/>
    <s v=""/>
    <m/>
    <s v=""/>
    <m/>
    <s v=""/>
    <n v="47.412750000000003"/>
    <n v="8.6550799999999999"/>
    <s v="Zürich"/>
    <n v="1"/>
    <n v="84"/>
    <n v="2"/>
    <n v="179.15"/>
    <n v="3.7890000000000001"/>
  </r>
  <r>
    <x v="43"/>
    <d v="1899-12-30T14:45:00"/>
    <x v="6"/>
    <m/>
    <n v="788"/>
    <n v="-5"/>
    <n v="79"/>
    <n v="23"/>
    <n v="23"/>
    <n v="220"/>
    <n v="16"/>
    <s v="https://www.ag.ch/media/kanton_aargau/themen_1/coronavirus_1/lagebulletins/200408_KFS_Coronavirus_Lagebulletin_29.pdf"/>
    <m/>
    <s v=""/>
    <m/>
    <s v=""/>
    <m/>
    <s v=""/>
    <n v="47.409660000000002"/>
    <n v="8.1568799999999992"/>
    <s v="Aargau"/>
    <n v="1"/>
    <n v="28"/>
    <n v="0"/>
    <n v="117.44"/>
    <n v="2.3849999999999998"/>
  </r>
  <r>
    <x v="43"/>
    <d v="1899-12-30T11:00:00"/>
    <x v="24"/>
    <m/>
    <n v="23"/>
    <n v="0"/>
    <n v="1"/>
    <m/>
    <m/>
    <m/>
    <m/>
    <s v="https://www.ai.ch/themen/gesundheit-alter-und-soziales/gesundheitsfoerderung-und-praevention/uebertragbare-krankheiten/coronavirus"/>
    <m/>
    <s v=""/>
    <m/>
    <s v=""/>
    <m/>
    <s v=""/>
    <n v="47.317264000000002"/>
    <n v="9.4167539999999992"/>
    <s v="Appenzell Innerrhoden"/>
    <n v="16"/>
    <n v="2"/>
    <n v="0"/>
    <n v="142.86000000000001"/>
    <m/>
  </r>
  <r>
    <x v="43"/>
    <d v="1899-12-30T08:00:00"/>
    <x v="18"/>
    <m/>
    <n v="72"/>
    <n v="0"/>
    <n v="6"/>
    <m/>
    <m/>
    <m/>
    <n v="3"/>
    <s v="https://www.ar.ch/verwaltung/departement-gesundheit-und-soziales/amt-fuer-gesundheit/informationsseite-coronavirus/"/>
    <m/>
    <s v=""/>
    <m/>
    <s v=""/>
    <m/>
    <s v=""/>
    <n v="47.416351999999996"/>
    <n v="9.3679100000000002"/>
    <s v="Appenzell Ausserrhoden"/>
    <n v="15"/>
    <n v="3"/>
    <n v="0"/>
    <n v="130.43"/>
    <n v="5.4349999999999996"/>
  </r>
  <r>
    <x v="43"/>
    <d v="1899-12-30T08:00:00"/>
    <x v="7"/>
    <m/>
    <n v="1286"/>
    <n v="5"/>
    <n v="127"/>
    <n v="35"/>
    <n v="27"/>
    <m/>
    <n v="37"/>
    <s v="https://www.besondere-lage.sites.be.ch/besondere-lage_sites/de/index/corona/index.html"/>
    <m/>
    <s v=""/>
    <m/>
    <s v=""/>
    <m/>
    <s v=""/>
    <n v="46.823608"/>
    <n v="7.6366670000000001"/>
    <s v="Bern/Berne"/>
    <n v="2"/>
    <n v="58"/>
    <n v="4"/>
    <n v="124.72"/>
    <n v="3.5880000000000001"/>
  </r>
  <r>
    <x v="43"/>
    <d v="1899-12-30T03:00:00"/>
    <x v="8"/>
    <m/>
    <n v="694"/>
    <n v="-1"/>
    <n v="65"/>
    <n v="18"/>
    <n v="17"/>
    <n v="461"/>
    <n v="21"/>
    <s v="https://www.baselland.ch/politik-und-behorden/direktionen/volkswirtschafts-und-gesundheitsdirektion/amt-fur-gesundheit/medizinische-dienste/kantonsarztlicher-dienst/aktuelles/covid-19-faelle-kanton-basel-landschaft"/>
    <m/>
    <s v=""/>
    <m/>
    <s v=""/>
    <m/>
    <s v=""/>
    <n v="47.45176"/>
    <n v="7.7024140000000001"/>
    <s v="Basel-Landschaft"/>
    <n v="13"/>
    <n v="4"/>
    <n v="2"/>
    <n v="241.81"/>
    <n v="7.3170000000000002"/>
  </r>
  <r>
    <x v="43"/>
    <d v="1899-12-30T10:00:00"/>
    <x v="2"/>
    <n v="235"/>
    <n v="834"/>
    <n v="-2"/>
    <n v="99"/>
    <n v="14"/>
    <m/>
    <n v="535"/>
    <n v="31"/>
    <s v="https://www.gd.bs.ch//nm/2020-tagesbulletin-coronavirus-834-bestaetigte-faelle-im-kanton-basel-stadt-gd.html"/>
    <n v="459"/>
    <s v="16.0"/>
    <m/>
    <s v=""/>
    <m/>
    <s v=""/>
    <n v="47.564869000000002"/>
    <n v="7.615259"/>
    <s v="Basel-Stadt"/>
    <n v="12"/>
    <n v="21"/>
    <n v="3"/>
    <n v="430.12"/>
    <n v="15.988"/>
  </r>
  <r>
    <x v="43"/>
    <d v="1899-12-30T03:00:00"/>
    <x v="12"/>
    <n v="30"/>
    <n v="756"/>
    <n v="2"/>
    <n v="80"/>
    <n v="22"/>
    <m/>
    <n v="78"/>
    <n v="45"/>
    <s v="https://www.fr.ch/covid19/sante/covid-19/coronavirus-statistiques-evolution-de-la-situation-dans-le-canton"/>
    <m/>
    <s v=""/>
    <m/>
    <s v=""/>
    <m/>
    <s v=""/>
    <n v="46.718390999999997"/>
    <n v="7.0740080000000001"/>
    <s v="Fribourg"/>
    <n v="10"/>
    <n v="27"/>
    <n v="1"/>
    <n v="239.92"/>
    <n v="14.281000000000001"/>
  </r>
  <r>
    <x v="43"/>
    <d v="1899-12-30T03:00:00"/>
    <x v="0"/>
    <n v="17464"/>
    <n v="4105"/>
    <n v="-10"/>
    <n v="402"/>
    <n v="49"/>
    <n v="47"/>
    <n v="442"/>
    <n v="140"/>
    <s v="https://www.ge.ch/document/covid-19-situation-epidemiologique-geneve/telecharger"/>
    <m/>
    <s v=""/>
    <m/>
    <s v=""/>
    <n v="21"/>
    <s v=""/>
    <n v="46.220528000000002"/>
    <n v="6.1329349999999998"/>
    <s v="Genève"/>
    <n v="25"/>
    <n v="131"/>
    <n v="13"/>
    <n v="828.96"/>
    <n v="28.271000000000001"/>
  </r>
  <r>
    <x v="43"/>
    <d v="1899-12-30T13:00:00"/>
    <x v="13"/>
    <m/>
    <n v="64"/>
    <n v="0"/>
    <n v="2"/>
    <m/>
    <m/>
    <m/>
    <n v="2"/>
    <s v="https://www.gl.ch/verwaltung/finanzen-und-gesundheit/gesundheit/coronavirus.html/4817#Fallzahlen"/>
    <m/>
    <s v=""/>
    <m/>
    <s v=""/>
    <m/>
    <s v=""/>
    <n v="46.931042000000005"/>
    <n v="9.0657510000000006"/>
    <s v="Glarus"/>
    <n v="8"/>
    <n v="1"/>
    <n v="0"/>
    <n v="158.81"/>
    <n v="4.9630000000000001"/>
  </r>
  <r>
    <x v="43"/>
    <d v="1899-12-30T03:00:00"/>
    <x v="26"/>
    <m/>
    <n v="680"/>
    <n v="-11"/>
    <n v="38"/>
    <m/>
    <m/>
    <m/>
    <n v="35"/>
    <s v="https://www.gr.ch/DE/institutionen/verwaltung/djsg/ga/coronavirus/info/Seiten/Start.aspx"/>
    <m/>
    <s v=""/>
    <m/>
    <s v=""/>
    <m/>
    <s v=""/>
    <n v="46.656247999999998"/>
    <n v="9.6281979999999994"/>
    <s v="Graubünden/Grigioni"/>
    <n v="1"/>
    <n v="12"/>
    <n v="1"/>
    <n v="343.61"/>
    <n v="17.686"/>
  </r>
  <r>
    <x v="43"/>
    <d v="1899-12-30T16:00:00"/>
    <x v="4"/>
    <m/>
    <n v="174"/>
    <n v="3"/>
    <n v="31"/>
    <n v="4"/>
    <m/>
    <m/>
    <n v="1"/>
    <s v="https://www.jura.ch/fr/Autorites/Coronavirus/Chiffres-H-JU/Evolution-des-cas-COVID-19-dans-le-Jura.html"/>
    <m/>
    <s v=""/>
    <m/>
    <s v=""/>
    <m/>
    <s v=""/>
    <n v="47.350743999999999"/>
    <n v="7.1561070000000004"/>
    <s v="Jura"/>
    <n v="26"/>
    <n v="3"/>
    <n v="0"/>
    <n v="237.38"/>
    <n v="1.3640000000000001"/>
  </r>
  <r>
    <x v="43"/>
    <d v="1899-12-30T11:00:00"/>
    <x v="17"/>
    <m/>
    <n v="527"/>
    <n v="0"/>
    <n v="57"/>
    <n v="6"/>
    <m/>
    <m/>
    <n v="9"/>
    <s v="https://gesundheit.lu.ch/themen/Humanmedizin/Infektionskrankheiten/Coronavirus"/>
    <m/>
    <s v=""/>
    <m/>
    <s v=""/>
    <m/>
    <s v=""/>
    <n v="47.067762999999999"/>
    <n v="8.1102000000000007"/>
    <s v="Luzern"/>
    <n v="3"/>
    <n v="18"/>
    <n v="0"/>
    <n v="129.63999999999999"/>
    <n v="2.214"/>
  </r>
  <r>
    <x v="43"/>
    <d v="1899-12-30T16:00:00"/>
    <x v="14"/>
    <m/>
    <n v="518"/>
    <n v="-1"/>
    <n v="63"/>
    <n v="10"/>
    <n v="7"/>
    <m/>
    <n v="39"/>
    <s v="https://www.ne.ch/autorites/DFS/SCSP/medecin-cantonal/maladies-vaccinations/Documents/Covid-19-Statistiques/COVID19_PublicationInternet.pdf"/>
    <m/>
    <s v=""/>
    <m/>
    <s v=""/>
    <m/>
    <s v=""/>
    <n v="46.995533999999999"/>
    <n v="6.7801260000000001"/>
    <s v="Neuchâtel"/>
    <n v="24"/>
    <n v="5"/>
    <n v="3"/>
    <n v="291.01"/>
    <n v="21.91"/>
  </r>
  <r>
    <x v="43"/>
    <d v="1899-12-30T17:50:00"/>
    <x v="20"/>
    <m/>
    <n v="93"/>
    <n v="-3"/>
    <n v="7"/>
    <n v="1"/>
    <m/>
    <m/>
    <n v="0"/>
    <s v="https://www.nw.ch/gesundheitsamtdienste/6044"/>
    <m/>
    <s v=""/>
    <m/>
    <s v=""/>
    <m/>
    <s v=""/>
    <n v="46.926755"/>
    <n v="8.4053020000000007"/>
    <s v="Nidwalden"/>
    <n v="7"/>
    <n v="6"/>
    <n v="0"/>
    <n v="216.28"/>
    <n v="0"/>
  </r>
  <r>
    <x v="43"/>
    <d v="1899-12-30T15:00:00"/>
    <x v="23"/>
    <n v="6"/>
    <n v="61"/>
    <n v="0"/>
    <n v="2"/>
    <m/>
    <m/>
    <n v="1"/>
    <n v="0"/>
    <s v="https://www.ow.ch/de/verwaltung/dienstleistungen/?dienst_id=5962"/>
    <m/>
    <s v=""/>
    <m/>
    <s v=""/>
    <m/>
    <s v=""/>
    <n v="46.804527"/>
    <n v="8.1443170000000009"/>
    <s v="Obwalden"/>
    <n v="6"/>
    <n v="1"/>
    <n v="0"/>
    <n v="162.22999999999999"/>
    <n v="0"/>
  </r>
  <r>
    <x v="43"/>
    <d v="1899-12-30T03:00:00"/>
    <x v="15"/>
    <m/>
    <n v="578"/>
    <n v="-13"/>
    <n v="52"/>
    <n v="12"/>
    <m/>
    <n v="89"/>
    <n v="15"/>
    <s v="https://www.sg.ch/tools/informationen-coronavirus.html"/>
    <m/>
    <s v=""/>
    <m/>
    <s v=""/>
    <m/>
    <s v=""/>
    <n v="47.183199999999999"/>
    <n v="9.2747440000000001"/>
    <s v="St. Gallen"/>
    <n v="17"/>
    <n v="21"/>
    <n v="2"/>
    <n v="114.52"/>
    <n v="2.972"/>
  </r>
  <r>
    <x v="43"/>
    <d v="1899-12-30T09:30:00"/>
    <x v="21"/>
    <m/>
    <n v="50"/>
    <n v="1"/>
    <n v="15"/>
    <n v="2"/>
    <m/>
    <m/>
    <n v="1"/>
    <s v="https://sh.ch/CMS/Webseite/Kanton-Schaffhausen/Beh-rde/Verwaltung/Departement-des-Innern/Gesundheitsamt-3209198-DE.html"/>
    <m/>
    <s v=""/>
    <m/>
    <s v=""/>
    <m/>
    <s v=""/>
    <n v="47.713569999999997"/>
    <n v="8.5916700000000006"/>
    <s v="Schaffhausen"/>
    <n v="14"/>
    <n v="0"/>
    <n v="0"/>
    <n v="61.43"/>
    <n v="1.2290000000000001"/>
  </r>
  <r>
    <x v="43"/>
    <d v="1899-12-30T03:00:00"/>
    <x v="19"/>
    <m/>
    <n v="276"/>
    <n v="-7"/>
    <n v="22"/>
    <m/>
    <m/>
    <m/>
    <n v="3"/>
    <s v="https://corona.so.ch/"/>
    <m/>
    <s v=""/>
    <m/>
    <s v=""/>
    <m/>
    <s v=""/>
    <n v="47.304135000000002"/>
    <n v="7.6393880000000003"/>
    <s v="Solothurn"/>
    <n v="11"/>
    <n v="12"/>
    <n v="0"/>
    <n v="101.69"/>
    <n v="1.105"/>
  </r>
  <r>
    <x v="43"/>
    <d v="1899-12-30T03:00:00"/>
    <x v="16"/>
    <n v="10"/>
    <n v="196"/>
    <n v="0"/>
    <n v="1"/>
    <m/>
    <m/>
    <n v="107"/>
    <n v="7"/>
    <s v="https://www.sz.ch/behoerden/information-medien/medienmitteilungen/coronavirus.html/72-416-412-1379-6948"/>
    <m/>
    <s v=""/>
    <m/>
    <s v=""/>
    <m/>
    <s v=""/>
    <n v="47.061787000000002"/>
    <n v="8.7565849999999994"/>
    <s v="Schwyz"/>
    <n v="5"/>
    <n v="11"/>
    <n v="0"/>
    <n v="124.6"/>
    <n v="4.45"/>
  </r>
  <r>
    <x v="43"/>
    <d v="1899-12-30T03:00:00"/>
    <x v="25"/>
    <n v="276"/>
    <n v="236"/>
    <n v="-3"/>
    <n v="30"/>
    <n v="15"/>
    <m/>
    <m/>
    <n v="8"/>
    <s v="https://www.tg.ch/news/fachdossier-coronavirus.html/10552"/>
    <m/>
    <s v=""/>
    <m/>
    <s v=""/>
    <m/>
    <s v=""/>
    <n v="47.568714999999997"/>
    <n v="9.0919570000000007"/>
    <s v="Thurgau"/>
    <n v="1"/>
    <n v="15"/>
    <n v="0"/>
    <n v="86.19"/>
    <n v="2.9220000000000002"/>
  </r>
  <r>
    <x v="43"/>
    <d v="1899-12-30T08:00:00"/>
    <x v="1"/>
    <m/>
    <n v="2659"/>
    <n v="-38"/>
    <n v="319"/>
    <n v="71"/>
    <n v="64"/>
    <n v="420"/>
    <n v="211"/>
    <s v="https://www4.ti.ch/area-media/comunicati/dettaglio-comunicato/?NEWS_ID=187593&amp;cHash=04877af9adec32de4f5ef43a5916f801"/>
    <m/>
    <s v=""/>
    <m/>
    <s v=""/>
    <m/>
    <s v=""/>
    <n v="46.295617"/>
    <n v="8.8089239999999993"/>
    <s v="Ticino"/>
    <n v="21"/>
    <n v="60"/>
    <n v="13"/>
    <n v="751.77"/>
    <n v="59.655000000000001"/>
  </r>
  <r>
    <x v="43"/>
    <d v="1899-12-30T14:00:00"/>
    <x v="22"/>
    <n v="85"/>
    <n v="72"/>
    <n v="-2"/>
    <n v="5"/>
    <m/>
    <m/>
    <n v="42"/>
    <n v="4"/>
    <s v="https://www.ur.ch/themen/2962"/>
    <m/>
    <s v=""/>
    <m/>
    <s v=""/>
    <m/>
    <s v=""/>
    <n v="46.771849000000003"/>
    <n v="8.6285860000000003"/>
    <s v="Uri"/>
    <n v="4"/>
    <n v="4"/>
    <n v="2"/>
    <n v="198.35"/>
    <n v="11.019"/>
  </r>
  <r>
    <x v="43"/>
    <d v="1899-12-30T03:00:00"/>
    <x v="9"/>
    <m/>
    <n v="4384"/>
    <n v="-7"/>
    <n v="333"/>
    <n v="67"/>
    <m/>
    <n v="225"/>
    <n v="214"/>
    <s v="https://www.vd.ch/toutes-les-actualites/hotline-et-informations-sur-le-coronavirus/point-de-situation-statistique-dans-le-canton-de-vaud/"/>
    <m/>
    <s v=""/>
    <m/>
    <s v=""/>
    <m/>
    <s v=""/>
    <n v="46.570090999999998"/>
    <n v="6.5578090000000007"/>
    <s v="Vaud"/>
    <n v="22"/>
    <n v="76"/>
    <n v="12"/>
    <n v="552.77"/>
    <n v="26.983000000000001"/>
  </r>
  <r>
    <x v="43"/>
    <d v="1899-12-30T15:00:00"/>
    <x v="10"/>
    <m/>
    <n v="1570"/>
    <n v="-7"/>
    <n v="124"/>
    <n v="26"/>
    <n v="20"/>
    <n v="130"/>
    <n v="71"/>
    <s v="https://www.vs.ch/documents/6756452/7008787/2020%2004%2012%20Sit%20Epid%20-%20%C3%89tat%20Stand"/>
    <m/>
    <s v=""/>
    <m/>
    <s v=""/>
    <m/>
    <s v=""/>
    <n v="46.209567"/>
    <n v="7.6046589999999998"/>
    <s v="Valais/Wallis"/>
    <n v="23"/>
    <n v="34"/>
    <n v="3"/>
    <n v="459.74"/>
    <n v="20.791"/>
  </r>
  <r>
    <x v="43"/>
    <d v="1899-12-30T08:00:00"/>
    <x v="11"/>
    <m/>
    <n v="165"/>
    <n v="1"/>
    <n v="13"/>
    <n v="9"/>
    <m/>
    <n v="61"/>
    <n v="3"/>
    <s v="https://www.zg.ch/behoerden/gesundheitsdirektion/statistikfachstelle/themen/gesundheit/corona"/>
    <m/>
    <s v=""/>
    <m/>
    <s v=""/>
    <m/>
    <s v=""/>
    <n v="47.157296000000002"/>
    <n v="8.5372939999999993"/>
    <s v="Zug"/>
    <n v="9"/>
    <n v="3"/>
    <n v="0"/>
    <n v="131.58000000000001"/>
    <n v="2.3919999999999999"/>
  </r>
  <r>
    <x v="43"/>
    <d v="1899-12-30T14:30:00"/>
    <x v="5"/>
    <m/>
    <n v="2790"/>
    <n v="-11"/>
    <n v="170"/>
    <m/>
    <n v="56"/>
    <m/>
    <n v="65"/>
    <s v="https://gd.zh.ch/internet/gesundheitsdirektion/de/themen/coronavirus.html"/>
    <m/>
    <s v=""/>
    <m/>
    <s v=""/>
    <m/>
    <s v=""/>
    <n v="47.412750000000003"/>
    <n v="8.6550799999999999"/>
    <s v="Zürich"/>
    <n v="1"/>
    <n v="95"/>
    <n v="8"/>
    <n v="185.47"/>
    <n v="4.3209999999999997"/>
  </r>
  <r>
    <x v="44"/>
    <d v="1899-12-30T14:45:00"/>
    <x v="6"/>
    <m/>
    <n v="822"/>
    <n v="8"/>
    <n v="87"/>
    <n v="22"/>
    <n v="21"/>
    <n v="250"/>
    <n v="17"/>
    <s v="https://www.ag.ch/media/kanton_aargau/themen_1/coronavirus_1/lagebulletins/200409_KFS_Coronavirus_Lagebulletin_30.pdf"/>
    <m/>
    <s v=""/>
    <m/>
    <s v=""/>
    <m/>
    <s v=""/>
    <n v="47.409660000000002"/>
    <n v="8.1568799999999992"/>
    <s v="Aargau"/>
    <n v="1"/>
    <n v="34"/>
    <n v="1"/>
    <n v="122.5"/>
    <n v="2.5339999999999998"/>
  </r>
  <r>
    <x v="44"/>
    <d v="1899-12-30T11:00:00"/>
    <x v="24"/>
    <m/>
    <n v="24"/>
    <n v="0"/>
    <n v="1"/>
    <m/>
    <m/>
    <m/>
    <m/>
    <s v="https://www.ai.ch/themen/gesundheit-alter-und-soziales/gesundheitsfoerderung-und-praevention/uebertragbare-krankheiten/coronavirus"/>
    <m/>
    <s v=""/>
    <m/>
    <s v=""/>
    <m/>
    <s v=""/>
    <n v="47.317264000000002"/>
    <n v="9.4167539999999992"/>
    <s v="Appenzell Innerrhoden"/>
    <n v="16"/>
    <n v="1"/>
    <n v="0"/>
    <n v="149.07"/>
    <m/>
  </r>
  <r>
    <x v="44"/>
    <d v="1899-12-30T08:00:00"/>
    <x v="18"/>
    <m/>
    <n v="74"/>
    <n v="0"/>
    <n v="6"/>
    <m/>
    <m/>
    <m/>
    <n v="3"/>
    <s v="https://www.ar.ch/verwaltung/departement-gesundheit-und-soziales/amt-fuer-gesundheit/informationsseite-coronavirus/"/>
    <m/>
    <s v=""/>
    <m/>
    <s v=""/>
    <m/>
    <s v=""/>
    <n v="47.416351999999996"/>
    <n v="9.3679100000000002"/>
    <s v="Appenzell Ausserrhoden"/>
    <n v="15"/>
    <n v="2"/>
    <n v="0"/>
    <n v="134.06"/>
    <n v="5.4349999999999996"/>
  </r>
  <r>
    <x v="44"/>
    <d v="1899-12-30T08:00:00"/>
    <x v="7"/>
    <m/>
    <n v="1335"/>
    <n v="-10"/>
    <n v="117"/>
    <n v="36"/>
    <n v="27"/>
    <m/>
    <n v="38"/>
    <s v="https://www.besondere-lage.sites.be.ch/besondere-lage_sites/de/index/corona/index.html"/>
    <m/>
    <s v=""/>
    <m/>
    <s v=""/>
    <m/>
    <s v=""/>
    <n v="46.823608"/>
    <n v="7.6366670000000001"/>
    <s v="Bern/Berne"/>
    <n v="2"/>
    <n v="49"/>
    <n v="1"/>
    <n v="129.47"/>
    <n v="3.6850000000000001"/>
  </r>
  <r>
    <x v="44"/>
    <d v="1899-12-30T03:00:00"/>
    <x v="8"/>
    <m/>
    <n v="711"/>
    <n v="-3"/>
    <n v="62"/>
    <n v="18"/>
    <n v="16"/>
    <n v="485"/>
    <n v="21"/>
    <s v="https://www.baselland.ch/politik-und-behorden/direktionen/volkswirtschafts-und-gesundheitsdirektion/amt-fur-gesundheit/medizinische-dienste/kantonsarztlicher-dienst/aktuelles/covid-19-faelle-kanton-basel-landschaft"/>
    <m/>
    <s v=""/>
    <m/>
    <s v=""/>
    <m/>
    <s v=""/>
    <n v="47.45176"/>
    <n v="7.7024140000000001"/>
    <s v="Basel-Landschaft"/>
    <n v="13"/>
    <n v="17"/>
    <n v="0"/>
    <n v="247.74"/>
    <n v="7.3170000000000002"/>
  </r>
  <r>
    <x v="44"/>
    <d v="1899-12-30T10:00:00"/>
    <x v="2"/>
    <n v="235"/>
    <n v="846"/>
    <n v="-6"/>
    <n v="93"/>
    <n v="13"/>
    <m/>
    <n v="572"/>
    <n v="33"/>
    <s v="https://www.gd.bs.ch//nm/2020-tagesbulletin-coronavirus-846-bestaetigte-faelle-im-kanton-basel-stadt-gd.html"/>
    <n v="466"/>
    <s v="19.0"/>
    <m/>
    <s v=""/>
    <m/>
    <s v=""/>
    <n v="47.564869000000002"/>
    <n v="7.615259"/>
    <s v="Basel-Stadt"/>
    <n v="12"/>
    <n v="12"/>
    <n v="2"/>
    <n v="436.31"/>
    <n v="17.018999999999998"/>
  </r>
  <r>
    <x v="44"/>
    <d v="1899-12-30T15:00:00"/>
    <x v="12"/>
    <n v="30"/>
    <n v="786"/>
    <n v="0"/>
    <n v="80"/>
    <n v="20"/>
    <m/>
    <n v="84"/>
    <n v="46"/>
    <s v="https://www.fr.ch/covid19/sante/covid-19/coronavirus-statistiques-evolution-de-la-situation-dans-le-canton"/>
    <m/>
    <s v=""/>
    <m/>
    <s v=""/>
    <m/>
    <s v=""/>
    <n v="46.718390999999997"/>
    <n v="7.0740080000000001"/>
    <s v="Fribourg"/>
    <n v="10"/>
    <n v="30"/>
    <n v="1"/>
    <n v="249.44"/>
    <n v="14.599"/>
  </r>
  <r>
    <x v="44"/>
    <d v="1899-12-30T03:00:00"/>
    <x v="0"/>
    <n v="17986"/>
    <n v="4198"/>
    <n v="-9"/>
    <n v="393"/>
    <n v="47"/>
    <n v="45"/>
    <n v="442"/>
    <n v="149"/>
    <s v="https://www.ge.ch/document/covid-19-situation-epidemiologique-geneve/telecharger"/>
    <m/>
    <s v=""/>
    <m/>
    <s v=""/>
    <n v="27"/>
    <s v=""/>
    <n v="46.220528000000002"/>
    <n v="6.1329349999999998"/>
    <s v="Genève"/>
    <n v="25"/>
    <n v="93"/>
    <n v="9"/>
    <n v="847.74"/>
    <n v="30.088999999999999"/>
  </r>
  <r>
    <x v="44"/>
    <d v="1899-12-30T13:00:00"/>
    <x v="13"/>
    <m/>
    <n v="67"/>
    <n v="0"/>
    <n v="2"/>
    <m/>
    <m/>
    <m/>
    <n v="2"/>
    <s v="https://www.gl.ch/verwaltung/finanzen-und-gesundheit/gesundheit/coronavirus.html/4817#Fallzahlen"/>
    <m/>
    <s v=""/>
    <m/>
    <s v=""/>
    <m/>
    <s v=""/>
    <n v="46.931042000000005"/>
    <n v="9.0657510000000006"/>
    <s v="Glarus"/>
    <n v="8"/>
    <n v="3"/>
    <n v="0"/>
    <n v="166.25"/>
    <n v="4.9630000000000001"/>
  </r>
  <r>
    <x v="44"/>
    <d v="1899-12-30T03:00:00"/>
    <x v="26"/>
    <m/>
    <n v="704"/>
    <n v="1"/>
    <n v="39"/>
    <m/>
    <m/>
    <m/>
    <n v="35"/>
    <s v="https://www.gr.ch/DE/institutionen/verwaltung/djsg/ga/coronavirus/info/Seiten/Start.aspx"/>
    <m/>
    <s v=""/>
    <m/>
    <s v=""/>
    <m/>
    <s v=""/>
    <n v="46.656247999999998"/>
    <n v="9.6281979999999994"/>
    <s v="Graubünden/Grigioni"/>
    <n v="1"/>
    <n v="24"/>
    <n v="0"/>
    <n v="355.74"/>
    <n v="17.686"/>
  </r>
  <r>
    <x v="44"/>
    <d v="1899-12-30T16:00:00"/>
    <x v="4"/>
    <m/>
    <n v="179"/>
    <n v="-3"/>
    <n v="28"/>
    <n v="5"/>
    <m/>
    <m/>
    <n v="1"/>
    <s v="https://www.jura.ch/fr/Autorites/Coronavirus/Chiffres-H-JU/Evolution-des-cas-COVID-19-dans-le-Jura.html"/>
    <m/>
    <s v=""/>
    <m/>
    <s v=""/>
    <m/>
    <s v=""/>
    <n v="47.350743999999999"/>
    <n v="7.1561070000000004"/>
    <s v="Jura"/>
    <n v="26"/>
    <n v="5"/>
    <n v="0"/>
    <n v="244.2"/>
    <n v="1.3640000000000001"/>
  </r>
  <r>
    <x v="44"/>
    <d v="1899-12-30T13:00:00"/>
    <x v="17"/>
    <m/>
    <n v="542"/>
    <n v="0"/>
    <n v="62"/>
    <n v="6"/>
    <m/>
    <m/>
    <n v="9"/>
    <s v="https://gesundheit.lu.ch/themen/Humanmedizin/Infektionskrankheiten/Coronavirus"/>
    <m/>
    <s v=""/>
    <m/>
    <s v=""/>
    <m/>
    <s v=""/>
    <n v="47.067762999999999"/>
    <n v="8.1102000000000007"/>
    <s v="Luzern"/>
    <n v="3"/>
    <n v="15"/>
    <n v="0"/>
    <n v="133.33000000000001"/>
    <n v="2.214"/>
  </r>
  <r>
    <x v="44"/>
    <d v="1899-12-30T16:00:00"/>
    <x v="14"/>
    <m/>
    <n v="550"/>
    <n v="-5"/>
    <n v="58"/>
    <n v="10"/>
    <n v="7"/>
    <m/>
    <n v="40"/>
    <s v="https://www.ne.ch/autorites/DFS/SCSP/medecin-cantonal/maladies-vaccinations/Documents/Covid-19-Statistiques/COVID19_PublicationInternet.pdf"/>
    <m/>
    <s v=""/>
    <m/>
    <s v=""/>
    <m/>
    <s v=""/>
    <n v="46.995533999999999"/>
    <n v="6.7801260000000001"/>
    <s v="Neuchâtel"/>
    <n v="24"/>
    <n v="32"/>
    <n v="1"/>
    <n v="308.99"/>
    <n v="22.472000000000001"/>
  </r>
  <r>
    <x v="44"/>
    <d v="1899-12-30T15:30:00"/>
    <x v="20"/>
    <m/>
    <n v="96"/>
    <n v="1"/>
    <n v="8"/>
    <n v="1"/>
    <m/>
    <m/>
    <n v="0"/>
    <s v="https://www.nw.ch/gesundheitsamtdienste/6044"/>
    <m/>
    <s v=""/>
    <m/>
    <s v=""/>
    <m/>
    <s v=""/>
    <n v="46.926755"/>
    <n v="8.4053020000000007"/>
    <s v="Nidwalden"/>
    <n v="7"/>
    <n v="3"/>
    <n v="0"/>
    <n v="223.26"/>
    <n v="0"/>
  </r>
  <r>
    <x v="44"/>
    <d v="1899-12-30T15:00:00"/>
    <x v="23"/>
    <n v="6"/>
    <n v="62"/>
    <n v="-1"/>
    <n v="1"/>
    <m/>
    <m/>
    <n v="1"/>
    <n v="0"/>
    <s v="https://www.ow.ch/de/verwaltung/dienstleistungen/?dienst_id=5962"/>
    <m/>
    <s v=""/>
    <m/>
    <s v=""/>
    <m/>
    <s v=""/>
    <n v="46.804527"/>
    <n v="8.1443170000000009"/>
    <s v="Obwalden"/>
    <n v="6"/>
    <n v="1"/>
    <n v="0"/>
    <n v="164.89"/>
    <n v="0"/>
  </r>
  <r>
    <x v="44"/>
    <d v="1899-12-30T03:00:00"/>
    <x v="15"/>
    <m/>
    <n v="604"/>
    <n v="0"/>
    <n v="52"/>
    <n v="13"/>
    <m/>
    <n v="92"/>
    <n v="16"/>
    <s v="https://www.sg.ch/tools/informationen-coronavirus.html"/>
    <m/>
    <s v=""/>
    <m/>
    <s v=""/>
    <m/>
    <s v=""/>
    <n v="47.183199999999999"/>
    <n v="9.2747440000000001"/>
    <s v="St. Gallen"/>
    <n v="17"/>
    <n v="26"/>
    <n v="1"/>
    <n v="119.68"/>
    <n v="3.17"/>
  </r>
  <r>
    <x v="44"/>
    <d v="1899-12-30T09:30:00"/>
    <x v="21"/>
    <m/>
    <n v="52"/>
    <n v="2"/>
    <n v="17"/>
    <n v="2"/>
    <m/>
    <m/>
    <n v="1"/>
    <s v="https://sh.ch/CMS/Webseite/Kanton-Schaffhausen/Beh-rde/Verwaltung/Departement-des-Innern/Gesundheitsamt-3209198-DE.html"/>
    <m/>
    <s v=""/>
    <m/>
    <s v=""/>
    <m/>
    <s v=""/>
    <n v="47.713569999999997"/>
    <n v="8.5916700000000006"/>
    <s v="Schaffhausen"/>
    <n v="14"/>
    <n v="2"/>
    <n v="0"/>
    <n v="63.88"/>
    <n v="1.2290000000000001"/>
  </r>
  <r>
    <x v="44"/>
    <d v="1899-12-30T03:00:00"/>
    <x v="19"/>
    <m/>
    <n v="282"/>
    <n v="1"/>
    <n v="23"/>
    <m/>
    <m/>
    <m/>
    <n v="5"/>
    <s v="https://corona.so.ch/"/>
    <m/>
    <s v=""/>
    <m/>
    <s v=""/>
    <m/>
    <s v=""/>
    <n v="47.304135000000002"/>
    <n v="7.6393880000000003"/>
    <s v="Solothurn"/>
    <n v="11"/>
    <n v="6"/>
    <n v="2"/>
    <n v="103.91"/>
    <n v="1.8420000000000001"/>
  </r>
  <r>
    <x v="44"/>
    <d v="1899-12-30T03:00:00"/>
    <x v="16"/>
    <n v="10"/>
    <n v="213"/>
    <n v="0"/>
    <n v="1"/>
    <m/>
    <m/>
    <n v="113"/>
    <n v="9"/>
    <s v="https://www.sz.ch/public/upload/assets/46039/COVID-19_Fallzahlen_Kanton_Schwyz.xlsx"/>
    <m/>
    <s v=""/>
    <m/>
    <s v=""/>
    <m/>
    <s v=""/>
    <n v="47.061787000000002"/>
    <n v="8.7565849999999994"/>
    <s v="Schwyz"/>
    <n v="5"/>
    <n v="17"/>
    <n v="2"/>
    <n v="135.41"/>
    <n v="5.7220000000000004"/>
  </r>
  <r>
    <x v="44"/>
    <d v="1899-12-30T03:00:00"/>
    <x v="25"/>
    <n v="276"/>
    <n v="255"/>
    <n v="-3"/>
    <n v="27"/>
    <n v="12"/>
    <m/>
    <m/>
    <n v="8"/>
    <s v="https://www.tg.ch/news/fachdossier-coronavirus.html/10552"/>
    <m/>
    <s v=""/>
    <m/>
    <s v=""/>
    <m/>
    <s v=""/>
    <n v="47.568714999999997"/>
    <n v="9.0919570000000007"/>
    <s v="Thurgau"/>
    <n v="1"/>
    <n v="19"/>
    <n v="0"/>
    <n v="93.13"/>
    <n v="2.9220000000000002"/>
  </r>
  <r>
    <x v="44"/>
    <d v="1899-12-30T08:00:00"/>
    <x v="1"/>
    <m/>
    <n v="2714"/>
    <n v="-18"/>
    <n v="301"/>
    <n v="72"/>
    <n v="68"/>
    <n v="447"/>
    <n v="219"/>
    <s v="https://www4.ti.ch/area-media/comunicati/dettaglio-comunicato/?NEWS_ID=187601&amp;tx_tichareamedia_comunicazioni%5Baction%5D=show&amp;tx_tichareamedia_comunicazioni%5Bcontroller%5D=Comunicazioni&amp;cHash=a02f7a88b61d913138f4f86dbeeaa599"/>
    <m/>
    <s v=""/>
    <m/>
    <s v=""/>
    <m/>
    <s v=""/>
    <n v="46.295617"/>
    <n v="8.8089239999999993"/>
    <s v="Ticino"/>
    <n v="21"/>
    <n v="55"/>
    <n v="8"/>
    <n v="767.32"/>
    <n v="61.917000000000002"/>
  </r>
  <r>
    <x v="44"/>
    <d v="1899-12-30T14:00:00"/>
    <x v="22"/>
    <n v="85"/>
    <n v="72"/>
    <n v="-1"/>
    <n v="4"/>
    <m/>
    <m/>
    <n v="45"/>
    <n v="4"/>
    <s v="https://www.ur.ch/themen/2962"/>
    <m/>
    <s v=""/>
    <m/>
    <s v=""/>
    <m/>
    <s v=""/>
    <n v="46.771849000000003"/>
    <n v="8.6285860000000003"/>
    <s v="Uri"/>
    <n v="4"/>
    <n v="0"/>
    <n v="0"/>
    <n v="198.35"/>
    <n v="11.019"/>
  </r>
  <r>
    <x v="44"/>
    <d v="1899-12-30T03:00:00"/>
    <x v="9"/>
    <m/>
    <n v="4486"/>
    <n v="-16"/>
    <n v="317"/>
    <n v="68"/>
    <m/>
    <n v="225"/>
    <n v="228"/>
    <s v="https://www.vd.ch/toutes-les-actualites/hotline-et-informations-sur-le-coronavirus/point-de-situation-statistique-dans-le-canton-de-vaud/"/>
    <m/>
    <s v=""/>
    <m/>
    <s v=""/>
    <m/>
    <s v=""/>
    <n v="46.570090999999998"/>
    <n v="6.5578090000000007"/>
    <s v="Vaud"/>
    <n v="22"/>
    <n v="102"/>
    <n v="14"/>
    <n v="565.63"/>
    <n v="28.748000000000001"/>
  </r>
  <r>
    <x v="44"/>
    <d v="1899-12-30T15:00:00"/>
    <x v="10"/>
    <m/>
    <n v="1598"/>
    <n v="-6"/>
    <n v="118"/>
    <n v="24"/>
    <n v="19"/>
    <n v="136"/>
    <n v="77"/>
    <s v="https://www.vs.ch/documents/6756452/7008787/2020%2004%2012%20Sit%20Epid%20-%20%C3%89tat%20Stand"/>
    <m/>
    <s v=""/>
    <m/>
    <s v=""/>
    <m/>
    <s v=""/>
    <n v="46.209567"/>
    <n v="7.6046589999999998"/>
    <s v="Valais/Wallis"/>
    <n v="23"/>
    <n v="28"/>
    <n v="6"/>
    <n v="467.94"/>
    <n v="22.547999999999998"/>
  </r>
  <r>
    <x v="44"/>
    <d v="1899-12-30T08:00:00"/>
    <x v="11"/>
    <m/>
    <n v="168"/>
    <n v="2"/>
    <n v="15"/>
    <n v="9"/>
    <m/>
    <n v="69"/>
    <n v="3"/>
    <s v="https://www.zg.ch/behoerden/gesundheitsdirektion/statistikfachstelle/themen/gesundheit/corona"/>
    <m/>
    <s v=""/>
    <m/>
    <s v=""/>
    <m/>
    <s v=""/>
    <n v="47.157296000000002"/>
    <n v="8.5372939999999993"/>
    <s v="Zug"/>
    <n v="9"/>
    <n v="3"/>
    <n v="0"/>
    <n v="133.97"/>
    <n v="2.3919999999999999"/>
  </r>
  <r>
    <x v="44"/>
    <d v="1899-12-30T14:30:00"/>
    <x v="5"/>
    <m/>
    <n v="2887"/>
    <n v="-5"/>
    <n v="165"/>
    <m/>
    <n v="55"/>
    <m/>
    <n v="66"/>
    <s v="https://gd.zh.ch/internet/gesundheitsdirektion/de/themen/coronavirus.html"/>
    <m/>
    <s v=""/>
    <m/>
    <s v=""/>
    <m/>
    <s v=""/>
    <n v="47.412750000000003"/>
    <n v="8.6550799999999999"/>
    <s v="Zürich"/>
    <n v="1"/>
    <n v="97"/>
    <n v="1"/>
    <n v="191.92"/>
    <n v="4.3869999999999996"/>
  </r>
  <r>
    <x v="45"/>
    <d v="1899-12-30T14:45:00"/>
    <x v="6"/>
    <m/>
    <n v="850"/>
    <n v="0"/>
    <n v="87"/>
    <n v="22"/>
    <n v="21"/>
    <n v="250"/>
    <n v="18"/>
    <s v="https://www.ag.ch/media/kanton_aargau/themen_1/coronavirus_1/lagebulletins/200411_KFS_Coronavirus_Lagebulletin_31.pdf"/>
    <m/>
    <s v=""/>
    <m/>
    <s v=""/>
    <m/>
    <s v=""/>
    <n v="47.409660000000002"/>
    <n v="8.1568799999999992"/>
    <s v="Aargau"/>
    <n v="1"/>
    <n v="28"/>
    <n v="1"/>
    <n v="126.68"/>
    <n v="2.6829999999999998"/>
  </r>
  <r>
    <x v="45"/>
    <d v="1899-12-30T08:00:00"/>
    <x v="18"/>
    <m/>
    <n v="77"/>
    <n v="0"/>
    <n v="6"/>
    <m/>
    <m/>
    <m/>
    <n v="3"/>
    <s v="https://www.ar.ch/verwaltung/departement-gesundheit-und-soziales/amt-fuer-gesundheit/informationsseite-coronavirus/"/>
    <m/>
    <s v=""/>
    <m/>
    <s v=""/>
    <m/>
    <s v=""/>
    <n v="47.416351999999996"/>
    <n v="9.3679100000000002"/>
    <s v="Appenzell Ausserrhoden"/>
    <n v="15"/>
    <n v="3"/>
    <n v="0"/>
    <n v="139.49"/>
    <n v="5.4349999999999996"/>
  </r>
  <r>
    <x v="45"/>
    <d v="1899-12-30T08:00:00"/>
    <x v="7"/>
    <m/>
    <n v="1375"/>
    <n v="-10"/>
    <n v="107"/>
    <n v="33"/>
    <n v="25"/>
    <m/>
    <n v="42"/>
    <s v="https://www.besondere-lage.sites.be.ch/besondere-lage_sites/de/index/corona/index.html"/>
    <m/>
    <s v=""/>
    <m/>
    <s v=""/>
    <m/>
    <s v=""/>
    <n v="46.823608"/>
    <n v="7.6366670000000001"/>
    <s v="Bern/Berne"/>
    <n v="2"/>
    <n v="40"/>
    <n v="4"/>
    <n v="133.35"/>
    <n v="4.0730000000000004"/>
  </r>
  <r>
    <x v="45"/>
    <d v="1899-12-30T03:00:00"/>
    <x v="8"/>
    <m/>
    <n v="722"/>
    <n v="-8"/>
    <n v="54"/>
    <n v="17"/>
    <n v="15"/>
    <n v="502"/>
    <n v="22"/>
    <s v="https://www.baselland.ch/politik-und-behorden/direktionen/volkswirtschafts-und-gesundheitsdirektion/amt-fur-gesundheit/medizinische-dienste/kantonsarztlicher-dienst/aktuelles/covid-19-faelle-kanton-basel-landschaft"/>
    <m/>
    <s v=""/>
    <m/>
    <s v=""/>
    <m/>
    <s v=""/>
    <n v="47.45176"/>
    <n v="7.7024140000000001"/>
    <s v="Basel-Landschaft"/>
    <n v="13"/>
    <n v="11"/>
    <n v="1"/>
    <n v="251.57"/>
    <n v="7.6660000000000004"/>
  </r>
  <r>
    <x v="45"/>
    <d v="1899-12-30T10:00:00"/>
    <x v="2"/>
    <n v="235"/>
    <n v="859"/>
    <n v="-6"/>
    <n v="87"/>
    <n v="13"/>
    <m/>
    <n v="593"/>
    <n v="33"/>
    <s v="https://www.gd.bs.ch//nm/2020-tagesbulletin-coronavirus-859-bestaetigte-faelle-im-kanton-basel-stadt-gd.html"/>
    <n v="471"/>
    <s v="21.0"/>
    <m/>
    <s v=""/>
    <m/>
    <s v=""/>
    <n v="47.564869000000002"/>
    <n v="7.615259"/>
    <s v="Basel-Stadt"/>
    <n v="12"/>
    <n v="13"/>
    <n v="0"/>
    <n v="443.01"/>
    <n v="17.018999999999998"/>
  </r>
  <r>
    <x v="45"/>
    <d v="1899-12-30T03:00:00"/>
    <x v="3"/>
    <n v="900"/>
    <n v="79"/>
    <n v="0"/>
    <m/>
    <m/>
    <m/>
    <n v="1"/>
    <n v="1"/>
    <s v="https://www.regierung.li/media/attachments/188-corona-keine-neuen-faelle-0410.pdf?t=637222261316868970"/>
    <m/>
    <s v=""/>
    <m/>
    <s v=""/>
    <m/>
    <s v=""/>
    <n v="47.166666999999997"/>
    <n v="9.509722"/>
    <s v="Fürstentum Lichtenstein"/>
    <n v="0"/>
    <n v="1"/>
    <n v="0"/>
    <n v="204.66"/>
    <n v="2.5910000000000002"/>
  </r>
  <r>
    <x v="45"/>
    <d v="1899-12-30T03:00:00"/>
    <x v="12"/>
    <n v="30"/>
    <n v="796"/>
    <n v="-7"/>
    <n v="73"/>
    <n v="19"/>
    <m/>
    <n v="88"/>
    <n v="49"/>
    <s v="https://www.fr.ch/covid19/sante/covid-19/coronavirus-statistiques-evolution-de-la-situation-dans-le-canton"/>
    <m/>
    <s v=""/>
    <m/>
    <s v=""/>
    <m/>
    <s v=""/>
    <n v="46.718390999999997"/>
    <n v="7.0740080000000001"/>
    <s v="Fribourg"/>
    <n v="10"/>
    <n v="10"/>
    <n v="3"/>
    <n v="252.62"/>
    <n v="15.551"/>
  </r>
  <r>
    <x v="45"/>
    <d v="1899-12-30T03:00:00"/>
    <x v="0"/>
    <n v="18406"/>
    <n v="4240"/>
    <n v="-14"/>
    <n v="379"/>
    <n v="47"/>
    <n v="47"/>
    <n v="448"/>
    <n v="159"/>
    <s v="https://www.ge.ch/document/covid-19-situation-epidemiologique-geneve/telecharger"/>
    <m/>
    <s v=""/>
    <m/>
    <s v=""/>
    <n v="24"/>
    <s v=""/>
    <n v="46.220528000000002"/>
    <n v="6.1329349999999998"/>
    <s v="Genève"/>
    <n v="25"/>
    <n v="42"/>
    <n v="10"/>
    <n v="856.22"/>
    <n v="32.107999999999997"/>
  </r>
  <r>
    <x v="45"/>
    <d v="1899-12-30T03:00:00"/>
    <x v="26"/>
    <m/>
    <n v="715"/>
    <n v="-4"/>
    <n v="35"/>
    <m/>
    <m/>
    <m/>
    <n v="35"/>
    <s v="https://www.gr.ch/DE/institutionen/verwaltung/djsg/ga/coronavirus/info/Seiten/Start.aspx"/>
    <m/>
    <s v=""/>
    <m/>
    <s v=""/>
    <m/>
    <s v=""/>
    <n v="46.656247999999998"/>
    <n v="9.6281979999999994"/>
    <s v="Graubünden/Grigioni"/>
    <n v="1"/>
    <n v="11"/>
    <n v="0"/>
    <n v="361.29"/>
    <n v="17.686"/>
  </r>
  <r>
    <x v="45"/>
    <d v="1899-12-30T16:00:00"/>
    <x v="4"/>
    <m/>
    <n v="182"/>
    <n v="-3"/>
    <n v="25"/>
    <n v="5"/>
    <m/>
    <m/>
    <n v="3"/>
    <s v="https://www.jura.ch/fr/Autorites/Coronavirus/Chiffres-H-JU/Evolution-des-cas-COVID-19-dans-le-Jura.html"/>
    <m/>
    <s v=""/>
    <m/>
    <s v=""/>
    <m/>
    <s v=""/>
    <n v="47.350743999999999"/>
    <n v="7.1561070000000004"/>
    <s v="Jura"/>
    <n v="26"/>
    <n v="3"/>
    <n v="2"/>
    <n v="248.29"/>
    <n v="4.093"/>
  </r>
  <r>
    <x v="45"/>
    <d v="1899-12-30T13:00:00"/>
    <x v="17"/>
    <m/>
    <n v="560"/>
    <n v="7"/>
    <n v="69"/>
    <n v="6"/>
    <m/>
    <m/>
    <n v="9"/>
    <s v="https://gesundheit.lu.ch/themen/Humanmedizin/Infektionskrankheiten/Coronavirus"/>
    <m/>
    <s v=""/>
    <m/>
    <s v=""/>
    <m/>
    <s v=""/>
    <n v="47.067762999999999"/>
    <n v="8.1102000000000007"/>
    <s v="Luzern"/>
    <n v="3"/>
    <n v="18"/>
    <n v="0"/>
    <n v="137.76"/>
    <n v="2.214"/>
  </r>
  <r>
    <x v="45"/>
    <d v="1899-12-30T16:00:00"/>
    <x v="14"/>
    <m/>
    <n v="570"/>
    <n v="5"/>
    <n v="63"/>
    <n v="11"/>
    <n v="8"/>
    <m/>
    <n v="40"/>
    <s v="https://www.ne.ch/autorites/DFS/SCSP/medecin-cantonal/maladies-vaccinations/Documents/Covid-19-Statistiques/COVID19_PublicationInternet.pdf"/>
    <m/>
    <s v=""/>
    <m/>
    <s v=""/>
    <m/>
    <s v=""/>
    <n v="46.995533999999999"/>
    <n v="6.7801260000000001"/>
    <s v="Neuchâtel"/>
    <n v="24"/>
    <n v="20"/>
    <n v="0"/>
    <n v="320.22000000000003"/>
    <n v="22.472000000000001"/>
  </r>
  <r>
    <x v="45"/>
    <d v="1899-12-30T15:55:00"/>
    <x v="20"/>
    <m/>
    <n v="100"/>
    <n v="0"/>
    <n v="8"/>
    <n v="1"/>
    <m/>
    <m/>
    <n v="0"/>
    <s v="https://www.nw.ch/gesundheitsamtdienste/6044"/>
    <m/>
    <s v=""/>
    <m/>
    <s v=""/>
    <m/>
    <s v=""/>
    <n v="46.926755"/>
    <n v="8.4053020000000007"/>
    <s v="Nidwalden"/>
    <n v="7"/>
    <n v="4"/>
    <n v="0"/>
    <n v="232.56"/>
    <n v="0"/>
  </r>
  <r>
    <x v="45"/>
    <d v="1899-12-30T03:00:00"/>
    <x v="15"/>
    <m/>
    <n v="632"/>
    <n v="8"/>
    <n v="60"/>
    <n v="11"/>
    <m/>
    <n v="93"/>
    <n v="17"/>
    <s v="https://www.sg.ch/tools/informationen-coronavirus.html"/>
    <m/>
    <s v=""/>
    <m/>
    <s v=""/>
    <m/>
    <s v=""/>
    <n v="47.183199999999999"/>
    <n v="9.2747440000000001"/>
    <s v="St. Gallen"/>
    <n v="17"/>
    <n v="28"/>
    <n v="1"/>
    <n v="125.22"/>
    <n v="3.3679999999999999"/>
  </r>
  <r>
    <x v="45"/>
    <d v="1899-12-30T09:30:00"/>
    <x v="21"/>
    <m/>
    <n v="53"/>
    <n v="-4"/>
    <n v="13"/>
    <n v="2"/>
    <m/>
    <m/>
    <n v="1"/>
    <s v="https://sh.ch/CMS/Webseite/Kanton-Schaffhausen/Beh-rde/Verwaltung/Departement-des-Innern/Gesundheitsamt-3209198-DE.html"/>
    <m/>
    <s v=""/>
    <m/>
    <s v=""/>
    <m/>
    <s v=""/>
    <n v="47.713569999999997"/>
    <n v="8.5916700000000006"/>
    <s v="Schaffhausen"/>
    <n v="14"/>
    <n v="1"/>
    <n v="0"/>
    <n v="65.11"/>
    <n v="1.2290000000000001"/>
  </r>
  <r>
    <x v="45"/>
    <d v="1899-12-30T03:00:00"/>
    <x v="19"/>
    <m/>
    <n v="294"/>
    <n v="-1"/>
    <n v="22"/>
    <m/>
    <m/>
    <m/>
    <n v="5"/>
    <s v="https://corona.so.ch/"/>
    <m/>
    <s v=""/>
    <m/>
    <s v=""/>
    <m/>
    <s v=""/>
    <n v="47.304135000000002"/>
    <n v="7.6393880000000003"/>
    <s v="Solothurn"/>
    <n v="11"/>
    <n v="12"/>
    <n v="0"/>
    <n v="108.33"/>
    <n v="1.8420000000000001"/>
  </r>
  <r>
    <x v="45"/>
    <d v="1899-12-30T03:00:00"/>
    <x v="16"/>
    <n v="10"/>
    <n v="215"/>
    <n v="0"/>
    <n v="1"/>
    <m/>
    <m/>
    <n v="118"/>
    <n v="10"/>
    <s v="https://www.sz.ch/public/upload/assets/46056/COVID-19_Fallzahlen_Kanton_Schwyz.xlsx"/>
    <m/>
    <s v=""/>
    <m/>
    <s v=""/>
    <m/>
    <s v=""/>
    <n v="47.061787000000002"/>
    <n v="8.7565849999999994"/>
    <s v="Schwyz"/>
    <n v="5"/>
    <n v="2"/>
    <n v="1"/>
    <n v="136.68"/>
    <n v="6.3570000000000002"/>
  </r>
  <r>
    <x v="45"/>
    <d v="1899-12-30T03:00:00"/>
    <x v="25"/>
    <n v="276"/>
    <n v="264"/>
    <n v="5"/>
    <n v="32"/>
    <n v="13"/>
    <m/>
    <m/>
    <n v="8"/>
    <s v="https://www.tg.ch/news/fachdossier-coronavirus.html/10552"/>
    <m/>
    <s v=""/>
    <m/>
    <s v=""/>
    <m/>
    <s v=""/>
    <n v="47.568714999999997"/>
    <n v="9.0919570000000007"/>
    <s v="Thurgau"/>
    <n v="1"/>
    <n v="9"/>
    <n v="0"/>
    <n v="96.42"/>
    <n v="2.9220000000000002"/>
  </r>
  <r>
    <x v="45"/>
    <d v="1899-12-30T08:00:00"/>
    <x v="1"/>
    <m/>
    <n v="2776"/>
    <n v="-4"/>
    <n v="297"/>
    <n v="68"/>
    <n v="62"/>
    <n v="466"/>
    <n v="227"/>
    <s v="https://www4.ti.ch/area-media/comunicati/dettaglio-comunicato/?NEWS_ID=187607&amp;tx_tichareamedia_comunicazioni%5Baction%5D=show&amp;tx_tichareamedia_comunicazioni%5Bcontroller%5D=Comunicazioni&amp;cHash=e9c51debb7c11815ec53651f6c8c8d24"/>
    <m/>
    <s v=""/>
    <m/>
    <s v=""/>
    <m/>
    <s v=""/>
    <n v="46.295617"/>
    <n v="8.8089239999999993"/>
    <s v="Ticino"/>
    <n v="21"/>
    <n v="62"/>
    <n v="8"/>
    <n v="784.85"/>
    <n v="64.179000000000002"/>
  </r>
  <r>
    <x v="45"/>
    <d v="1899-12-30T16:00:00"/>
    <x v="22"/>
    <n v="85"/>
    <n v="74"/>
    <n v="0"/>
    <n v="4"/>
    <m/>
    <m/>
    <n v="49"/>
    <n v="4"/>
    <s v="https://www.ur.ch/themen/2962"/>
    <m/>
    <s v=""/>
    <m/>
    <s v=""/>
    <m/>
    <s v=""/>
    <n v="46.771849000000003"/>
    <n v="8.6285860000000003"/>
    <s v="Uri"/>
    <n v="4"/>
    <n v="2"/>
    <n v="0"/>
    <n v="203.86"/>
    <n v="11.019"/>
  </r>
  <r>
    <x v="45"/>
    <d v="1899-12-30T03:00:00"/>
    <x v="9"/>
    <m/>
    <n v="4591"/>
    <n v="-9"/>
    <n v="308"/>
    <n v="70"/>
    <m/>
    <n v="225"/>
    <n v="235"/>
    <s v="https://www.vd.ch/toutes-les-actualites/hotline-et-informations-sur-le-coronavirus/point-de-situation-statistique-dans-le-canton-de-vaud/"/>
    <m/>
    <s v=""/>
    <m/>
    <s v=""/>
    <m/>
    <s v=""/>
    <n v="46.570090999999998"/>
    <n v="6.5578090000000007"/>
    <s v="Vaud"/>
    <n v="22"/>
    <n v="105"/>
    <n v="7"/>
    <n v="578.87"/>
    <n v="29.631"/>
  </r>
  <r>
    <x v="45"/>
    <d v="1899-12-30T15:00:00"/>
    <x v="10"/>
    <m/>
    <n v="1627"/>
    <n v="-2"/>
    <n v="116"/>
    <n v="24"/>
    <n v="18"/>
    <n v="136"/>
    <n v="83"/>
    <s v="https://www.vs.ch/documents/6756452/7008787/2020%2004%2012%20Sit%20Epid%20-%20%C3%89tat%20Stand"/>
    <m/>
    <s v=""/>
    <m/>
    <s v=""/>
    <m/>
    <s v=""/>
    <n v="46.209567"/>
    <n v="7.6046589999999998"/>
    <s v="Valais/Wallis"/>
    <n v="23"/>
    <n v="29"/>
    <n v="6"/>
    <n v="476.43"/>
    <n v="24.305"/>
  </r>
  <r>
    <x v="45"/>
    <d v="1899-12-30T08:00:00"/>
    <x v="11"/>
    <m/>
    <n v="168"/>
    <n v="-1"/>
    <n v="14"/>
    <n v="9"/>
    <m/>
    <n v="76"/>
    <n v="4"/>
    <s v="https://www.zg.ch/behoerden/gesundheitsdirektion/statistikfachstelle/themen/gesundheit/corona"/>
    <m/>
    <s v=""/>
    <m/>
    <s v=""/>
    <m/>
    <s v=""/>
    <n v="47.157296000000002"/>
    <n v="8.5372939999999993"/>
    <s v="Zug"/>
    <n v="9"/>
    <n v="0"/>
    <n v="1"/>
    <n v="133.97"/>
    <n v="3.19"/>
  </r>
  <r>
    <x v="45"/>
    <d v="1899-12-30T14:30:00"/>
    <x v="5"/>
    <m/>
    <n v="2927"/>
    <n v="-13"/>
    <n v="152"/>
    <m/>
    <n v="50"/>
    <m/>
    <n v="71"/>
    <s v="https://gd.zh.ch/internet/gesundheitsdirektion/de/themen/coronavirus.html"/>
    <m/>
    <s v=""/>
    <m/>
    <s v=""/>
    <m/>
    <s v=""/>
    <n v="47.412750000000003"/>
    <n v="8.6550799999999999"/>
    <s v="Zürich"/>
    <n v="1"/>
    <n v="40"/>
    <n v="5"/>
    <n v="194.58"/>
    <n v="4.72"/>
  </r>
  <r>
    <x v="46"/>
    <d v="1899-12-30T17:00:00"/>
    <x v="6"/>
    <m/>
    <n v="878"/>
    <n v="0"/>
    <n v="76"/>
    <n v="23"/>
    <n v="21"/>
    <n v="300"/>
    <n v="18"/>
    <s v="https://www.ag.ch/media/kanton_aargau/themen_1/coronavirus_1/lagebulletins/200411_KFS_Coronavirus_Lagebulletin_31.pdf"/>
    <m/>
    <s v=""/>
    <m/>
    <s v=""/>
    <m/>
    <s v=""/>
    <n v="47.409660000000002"/>
    <n v="8.1568799999999992"/>
    <s v="Aargau"/>
    <n v="1"/>
    <n v="28"/>
    <n v="0"/>
    <n v="130.85"/>
    <n v="2.6829999999999998"/>
  </r>
  <r>
    <x v="4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6"/>
    <d v="1899-12-30T10:00:00"/>
    <x v="18"/>
    <m/>
    <n v="77"/>
    <n v="0"/>
    <n v="6"/>
    <m/>
    <m/>
    <m/>
    <n v="3"/>
    <s v="https://www.ar.ch/verwaltung/departement-gesundheit-und-soziales/amt-fuer-gesundheit/informationsseite-coronavirus/"/>
    <m/>
    <s v=""/>
    <m/>
    <s v=""/>
    <m/>
    <s v=""/>
    <n v="47.416351999999996"/>
    <n v="9.3679100000000002"/>
    <s v="Appenzell Ausserrhoden"/>
    <n v="15"/>
    <n v="0"/>
    <n v="0"/>
    <n v="139.49"/>
    <n v="5.4349999999999996"/>
  </r>
  <r>
    <x v="46"/>
    <d v="1899-12-30T08:00:00"/>
    <x v="7"/>
    <m/>
    <n v="1419"/>
    <n v="-8"/>
    <n v="99"/>
    <n v="33"/>
    <n v="24"/>
    <m/>
    <n v="44"/>
    <s v="https://www.besondere-lage.sites.be.ch/besondere-lage_sites/de/index/corona/index.html"/>
    <m/>
    <s v=""/>
    <m/>
    <s v=""/>
    <m/>
    <s v=""/>
    <n v="46.823608"/>
    <n v="7.6366670000000001"/>
    <s v="Bern/Berne"/>
    <n v="2"/>
    <n v="44"/>
    <n v="2"/>
    <n v="137.62"/>
    <n v="4.2670000000000003"/>
  </r>
  <r>
    <x v="46"/>
    <d v="1899-12-30T03:00:00"/>
    <x v="8"/>
    <m/>
    <n v="736"/>
    <n v="-4"/>
    <n v="50"/>
    <n v="16"/>
    <n v="15"/>
    <n v="527"/>
    <n v="22"/>
    <s v="https://www.baselland.ch/politik-und-behorden/direktionen/volkswirtschafts-und-gesundheitsdirektion/amt-fur-gesundheit/medizinische-dienste/kantonsarztlicher-dienst/aktuelles/covid-19-faelle-kanton-basel-landschaft"/>
    <m/>
    <s v=""/>
    <m/>
    <s v=""/>
    <m/>
    <s v=""/>
    <n v="47.45176"/>
    <n v="7.7024140000000001"/>
    <s v="Basel-Landschaft"/>
    <n v="13"/>
    <n v="14"/>
    <n v="0"/>
    <n v="256.45"/>
    <n v="7.6660000000000004"/>
  </r>
  <r>
    <x v="46"/>
    <d v="1899-12-30T09:30:00"/>
    <x v="2"/>
    <n v="235"/>
    <n v="866"/>
    <n v="0"/>
    <n v="87"/>
    <n v="13"/>
    <m/>
    <n v="612"/>
    <n v="33"/>
    <s v="https://www.gd.bs.ch//nm/2020-tagesbulletin-coronavirus-866-bestaetigte-faelle-im-kanton-basel-stadt-gd.html"/>
    <n v="474"/>
    <s v=""/>
    <m/>
    <s v=""/>
    <m/>
    <s v=""/>
    <n v="47.564869000000002"/>
    <n v="7.615259"/>
    <s v="Basel-Stadt"/>
    <n v="12"/>
    <n v="7"/>
    <n v="0"/>
    <n v="446.62"/>
    <n v="17.018999999999998"/>
  </r>
  <r>
    <x v="46"/>
    <d v="1899-12-30T03:00:00"/>
    <x v="3"/>
    <n v="900"/>
    <n v="79"/>
    <n v="0"/>
    <m/>
    <m/>
    <m/>
    <n v="1"/>
    <n v="1"/>
    <s v="https://www.regierung.li/media/attachments/189-corona-keine-neuen-faelle-0411.pdf?t=637222261316868970"/>
    <m/>
    <s v=""/>
    <m/>
    <s v=""/>
    <m/>
    <s v=""/>
    <n v="47.166666999999997"/>
    <n v="9.509722"/>
    <s v="Fürstentum Lichtenstein"/>
    <n v="0"/>
    <n v="0"/>
    <n v="0"/>
    <n v="204.66"/>
    <n v="2.5910000000000002"/>
  </r>
  <r>
    <x v="46"/>
    <d v="1899-12-30T03:00:00"/>
    <x v="12"/>
    <n v="30"/>
    <n v="834"/>
    <n v="-5"/>
    <n v="68"/>
    <n v="20"/>
    <m/>
    <n v="93"/>
    <n v="53"/>
    <s v="https://www.fr.ch/covid19/sante/covid-19/coronavirus-statistiques-evolution-de-la-situation-dans-le-canton"/>
    <m/>
    <s v=""/>
    <m/>
    <s v=""/>
    <m/>
    <s v=""/>
    <n v="46.718390999999997"/>
    <n v="7.0740080000000001"/>
    <s v="Fribourg"/>
    <n v="10"/>
    <n v="38"/>
    <n v="4"/>
    <n v="264.68"/>
    <n v="16.82"/>
  </r>
  <r>
    <x v="46"/>
    <d v="1899-12-30T03:00:00"/>
    <x v="0"/>
    <n v="18775"/>
    <n v="4289"/>
    <n v="-15"/>
    <n v="364"/>
    <n v="48"/>
    <n v="44"/>
    <n v="463"/>
    <n v="167"/>
    <s v="https://www.ge.ch/document/covid-19-situation-epidemiologique-geneve/telecharger"/>
    <m/>
    <s v=""/>
    <m/>
    <s v=""/>
    <n v="20"/>
    <s v=""/>
    <n v="46.220528000000002"/>
    <n v="6.1329349999999998"/>
    <s v="Genève"/>
    <n v="25"/>
    <n v="49"/>
    <n v="8"/>
    <n v="866.11"/>
    <n v="33.723999999999997"/>
  </r>
  <r>
    <x v="46"/>
    <d v="1899-12-30T17:00:00"/>
    <x v="13"/>
    <m/>
    <n v="91"/>
    <n v="0"/>
    <n v="2"/>
    <m/>
    <m/>
    <m/>
    <n v="2"/>
    <s v="https://www.gl.ch/verwaltung/finanzen-und-gesundheit/gesundheit/coronavirus.html/4817#Fallzahlen"/>
    <m/>
    <s v=""/>
    <m/>
    <s v=""/>
    <m/>
    <s v=""/>
    <n v="46.931042000000005"/>
    <n v="9.0657510000000006"/>
    <s v="Glarus"/>
    <n v="8"/>
    <n v="24"/>
    <n v="0"/>
    <n v="225.81"/>
    <n v="4.9630000000000001"/>
  </r>
  <r>
    <x v="46"/>
    <d v="1899-12-30T03:00:00"/>
    <x v="26"/>
    <m/>
    <n v="728"/>
    <n v="0"/>
    <n v="35"/>
    <m/>
    <m/>
    <m/>
    <n v="35"/>
    <s v="https://www.gr.ch/DE/institutionen/verwaltung/djsg/ga/coronavirus/info/Seiten/Start.aspx"/>
    <m/>
    <s v=""/>
    <m/>
    <s v=""/>
    <m/>
    <s v=""/>
    <n v="46.656247999999998"/>
    <n v="9.6281979999999994"/>
    <s v="Graubünden/Grigioni"/>
    <n v="1"/>
    <n v="13"/>
    <n v="0"/>
    <n v="367.86"/>
    <n v="17.686"/>
  </r>
  <r>
    <x v="46"/>
    <d v="1899-12-30T16:00:00"/>
    <x v="4"/>
    <m/>
    <n v="183"/>
    <n v="-2"/>
    <n v="23"/>
    <n v="5"/>
    <m/>
    <m/>
    <n v="3"/>
    <s v="https://www.jura.ch/fr/Autorites/Coronavirus/Chiffres-H-JU/Evolution-des-cas-COVID-19-dans-le-Jura.html"/>
    <m/>
    <s v=""/>
    <m/>
    <s v=""/>
    <m/>
    <s v=""/>
    <n v="47.350743999999999"/>
    <n v="7.1561070000000004"/>
    <s v="Jura"/>
    <n v="26"/>
    <n v="1"/>
    <n v="0"/>
    <n v="249.66"/>
    <n v="4.093"/>
  </r>
  <r>
    <x v="46"/>
    <d v="1899-12-30T11:00:00"/>
    <x v="17"/>
    <m/>
    <n v="568"/>
    <n v="0"/>
    <n v="69"/>
    <n v="6"/>
    <m/>
    <m/>
    <n v="10"/>
    <s v="https://gesundheit.lu.ch/themen/Humanmedizin/Infektionskrankheiten/Coronavirus"/>
    <m/>
    <s v=""/>
    <m/>
    <s v=""/>
    <m/>
    <s v=""/>
    <n v="47.067762999999999"/>
    <n v="8.1102000000000007"/>
    <s v="Luzern"/>
    <n v="3"/>
    <n v="8"/>
    <n v="1"/>
    <n v="139.72999999999999"/>
    <n v="2.46"/>
  </r>
  <r>
    <x v="46"/>
    <d v="1899-12-30T16:00:00"/>
    <x v="14"/>
    <m/>
    <n v="579"/>
    <n v="1"/>
    <n v="64"/>
    <n v="11"/>
    <n v="9"/>
    <m/>
    <n v="42"/>
    <s v="https://www.ne.ch/autorites/DFS/SCSP/medecin-cantonal/maladies-vaccinations/Documents/Covid-19-Statistiques/COVID19_PublicationInternet.pdf"/>
    <m/>
    <s v=""/>
    <m/>
    <s v=""/>
    <m/>
    <s v=""/>
    <n v="46.995533999999999"/>
    <n v="6.7801260000000001"/>
    <s v="Neuchâtel"/>
    <n v="24"/>
    <n v="9"/>
    <n v="2"/>
    <n v="325.27999999999997"/>
    <n v="23.596"/>
  </r>
  <r>
    <x v="46"/>
    <d v="1899-12-30T19:00:00"/>
    <x v="20"/>
    <m/>
    <n v="103"/>
    <n v="0"/>
    <n v="6"/>
    <n v="2"/>
    <m/>
    <m/>
    <n v="0"/>
    <s v="https://www.nw.ch/gesundheitsamtdienste/6044"/>
    <m/>
    <s v=""/>
    <m/>
    <s v=""/>
    <m/>
    <s v=""/>
    <n v="46.926755"/>
    <n v="8.4053020000000007"/>
    <s v="Nidwalden"/>
    <n v="7"/>
    <n v="3"/>
    <n v="0"/>
    <n v="239.53"/>
    <n v="0"/>
  </r>
  <r>
    <x v="46"/>
    <d v="1899-12-30T03:00:00"/>
    <x v="15"/>
    <m/>
    <n v="641"/>
    <n v="0"/>
    <n v="60"/>
    <n v="11"/>
    <m/>
    <n v="102"/>
    <n v="18"/>
    <s v="https://www.sg.ch/tools/informationen-coronavirus.html"/>
    <m/>
    <s v=""/>
    <m/>
    <s v=""/>
    <m/>
    <s v=""/>
    <n v="47.183199999999999"/>
    <n v="9.2747440000000001"/>
    <s v="St. Gallen"/>
    <n v="17"/>
    <n v="9"/>
    <n v="1"/>
    <n v="127.01"/>
    <n v="3.5659999999999998"/>
  </r>
  <r>
    <x v="46"/>
    <d v="1899-12-30T09:30:00"/>
    <x v="21"/>
    <m/>
    <n v="55"/>
    <n v="0"/>
    <n v="13"/>
    <n v="2"/>
    <m/>
    <m/>
    <n v="1"/>
    <s v="https://sh.ch/CMS/Webseite/Kanton-Schaffhausen/Beh-rde/Verwaltung/Departement-des-Innern/Gesundheitsamt-3209198-DE.html"/>
    <m/>
    <s v=""/>
    <m/>
    <s v=""/>
    <m/>
    <s v=""/>
    <n v="47.713569999999997"/>
    <n v="8.5916700000000006"/>
    <s v="Schaffhausen"/>
    <n v="14"/>
    <n v="2"/>
    <n v="0"/>
    <n v="67.569999999999993"/>
    <n v="1.2290000000000001"/>
  </r>
  <r>
    <x v="46"/>
    <d v="1899-12-30T03:00:00"/>
    <x v="19"/>
    <m/>
    <n v="306"/>
    <n v="1"/>
    <n v="23"/>
    <m/>
    <m/>
    <m/>
    <n v="6"/>
    <s v="https://corona.so.ch/"/>
    <m/>
    <s v=""/>
    <m/>
    <s v=""/>
    <m/>
    <s v=""/>
    <n v="47.304135000000002"/>
    <n v="7.6393880000000003"/>
    <s v="Solothurn"/>
    <n v="11"/>
    <n v="12"/>
    <n v="1"/>
    <n v="112.75"/>
    <n v="2.2109999999999999"/>
  </r>
  <r>
    <x v="46"/>
    <d v="1899-12-30T03:00:00"/>
    <x v="16"/>
    <n v="10"/>
    <n v="249"/>
    <n v="0"/>
    <n v="1"/>
    <m/>
    <m/>
    <n v="118"/>
    <n v="10"/>
    <s v="https://www.sz.ch/public/upload/assets/46061/COVID-19_Fallzahlen_Kanton_Schwyz.xlsx"/>
    <m/>
    <s v=""/>
    <m/>
    <s v=""/>
    <m/>
    <s v=""/>
    <n v="47.061787000000002"/>
    <n v="8.7565849999999994"/>
    <s v="Schwyz"/>
    <n v="5"/>
    <n v="34"/>
    <n v="0"/>
    <n v="158.30000000000001"/>
    <n v="6.3570000000000002"/>
  </r>
  <r>
    <x v="46"/>
    <d v="1899-12-30T03:00:00"/>
    <x v="25"/>
    <n v="276"/>
    <n v="274"/>
    <n v="0"/>
    <n v="32"/>
    <n v="14"/>
    <m/>
    <m/>
    <n v="8"/>
    <s v="https://www.tg.ch/news/fachdossier-coronavirus.html/10552"/>
    <m/>
    <s v=""/>
    <m/>
    <s v=""/>
    <m/>
    <s v=""/>
    <n v="47.568714999999997"/>
    <n v="9.0919570000000007"/>
    <s v="Thurgau"/>
    <n v="1"/>
    <n v="10"/>
    <n v="0"/>
    <n v="100.07"/>
    <n v="2.9220000000000002"/>
  </r>
  <r>
    <x v="46"/>
    <d v="1899-12-30T08:00:00"/>
    <x v="1"/>
    <m/>
    <n v="2818"/>
    <n v="-15"/>
    <n v="282"/>
    <n v="68"/>
    <n v="59"/>
    <n v="493"/>
    <n v="229"/>
    <s v="https://www4.ti.ch/area-media/comunicati/dettaglio-comunicato/?NEWS_ID=187611&amp;tx_tichareamedia_comunicazioni%5Baction%5D=show&amp;tx_tichareamedia_comunicazioni%5Bcontroller%5D=Comunicazioni&amp;cHash=6f94f1f1d5cf92bdf5a1e053e6602530"/>
    <m/>
    <s v=""/>
    <m/>
    <s v=""/>
    <m/>
    <s v=""/>
    <n v="46.295617"/>
    <n v="8.8089239999999993"/>
    <s v="Ticino"/>
    <n v="21"/>
    <n v="42"/>
    <n v="2"/>
    <n v="796.72"/>
    <n v="64.744"/>
  </r>
  <r>
    <x v="46"/>
    <d v="1899-12-30T16:00:00"/>
    <x v="22"/>
    <n v="85"/>
    <n v="75"/>
    <n v="4"/>
    <n v="8"/>
    <m/>
    <m/>
    <n v="50"/>
    <n v="4"/>
    <s v="https://www.ur.ch/themen/2962"/>
    <m/>
    <s v=""/>
    <m/>
    <s v=""/>
    <m/>
    <s v=""/>
    <n v="46.771849000000003"/>
    <n v="8.6285860000000003"/>
    <s v="Uri"/>
    <n v="4"/>
    <n v="1"/>
    <n v="0"/>
    <n v="206.61"/>
    <n v="11.019"/>
  </r>
  <r>
    <x v="46"/>
    <d v="1899-12-30T03:00:00"/>
    <x v="9"/>
    <m/>
    <n v="4625"/>
    <n v="-14"/>
    <n v="294"/>
    <n v="70"/>
    <m/>
    <n v="225"/>
    <n v="241"/>
    <s v="https://www.vd.ch/toutes-les-actualites/hotline-et-informations-sur-le-coronavirus/point-de-situation-statistique-dans-le-canton-de-vaud/"/>
    <m/>
    <s v=""/>
    <m/>
    <s v=""/>
    <m/>
    <s v=""/>
    <n v="46.570090999999998"/>
    <n v="6.5578090000000007"/>
    <s v="Vaud"/>
    <n v="22"/>
    <n v="34"/>
    <n v="6"/>
    <n v="583.15"/>
    <n v="30.387"/>
  </r>
  <r>
    <x v="46"/>
    <d v="1899-12-30T15:00:00"/>
    <x v="10"/>
    <m/>
    <n v="1653"/>
    <n v="-3"/>
    <n v="113"/>
    <n v="20"/>
    <n v="15"/>
    <n v="148"/>
    <n v="85"/>
    <s v="https://www.vs.ch/documents/6756452/7008787/2020%2004%2012%20Sit%20Epid%20-%20%C3%89tat%20Stand"/>
    <m/>
    <s v=""/>
    <m/>
    <s v=""/>
    <m/>
    <s v=""/>
    <n v="46.209567"/>
    <n v="7.6046589999999998"/>
    <s v="Valais/Wallis"/>
    <n v="23"/>
    <n v="26"/>
    <n v="2"/>
    <n v="484.04"/>
    <n v="24.89"/>
  </r>
  <r>
    <x v="46"/>
    <d v="1899-12-30T08:00:00"/>
    <x v="11"/>
    <m/>
    <n v="168"/>
    <n v="-1"/>
    <n v="13"/>
    <n v="9"/>
    <m/>
    <n v="79"/>
    <n v="5"/>
    <s v="https://www.zg.ch/behoerden/gesundheitsdirektion/statistikfachstelle/themen/gesundheit/corona"/>
    <m/>
    <s v=""/>
    <m/>
    <s v=""/>
    <m/>
    <s v=""/>
    <n v="47.157296000000002"/>
    <n v="8.5372939999999993"/>
    <s v="Zug"/>
    <n v="9"/>
    <n v="0"/>
    <n v="1"/>
    <n v="133.97"/>
    <n v="3.9870000000000001"/>
  </r>
  <r>
    <x v="46"/>
    <d v="1899-12-30T14:30:00"/>
    <x v="5"/>
    <m/>
    <n v="2985"/>
    <n v="-3"/>
    <n v="149"/>
    <m/>
    <n v="50"/>
    <m/>
    <n v="77"/>
    <s v="https://gd.zh.ch/internet/gesundheitsdirektion/de/themen/coronavirus.html"/>
    <m/>
    <s v=""/>
    <m/>
    <s v=""/>
    <m/>
    <s v=""/>
    <n v="47.412750000000003"/>
    <n v="8.6550799999999999"/>
    <s v="Zürich"/>
    <n v="1"/>
    <n v="58"/>
    <n v="6"/>
    <n v="198.43"/>
    <n v="5.1189999999999998"/>
  </r>
  <r>
    <x v="47"/>
    <d v="1899-12-30T14:45:00"/>
    <x v="6"/>
    <m/>
    <n v="899"/>
    <n v="0"/>
    <n v="76"/>
    <n v="23"/>
    <n v="21"/>
    <n v="300"/>
    <n v="18"/>
    <s v="https://www.ag.ch/media/kanton_aargau/themen_1/coronavirus_1/lagebulletins/200414_KFS_Coronavirus_Lagebulletin_32.pdf"/>
    <m/>
    <s v=""/>
    <m/>
    <s v=""/>
    <m/>
    <s v=""/>
    <n v="47.409660000000002"/>
    <n v="8.1568799999999992"/>
    <s v="Aargau"/>
    <n v="1"/>
    <n v="21"/>
    <n v="0"/>
    <n v="133.97999999999999"/>
    <n v="2.6829999999999998"/>
  </r>
  <r>
    <x v="47"/>
    <d v="1899-12-30T08:00:00"/>
    <x v="7"/>
    <m/>
    <n v="1441"/>
    <n v="-4"/>
    <n v="95"/>
    <n v="33"/>
    <n v="22"/>
    <m/>
    <n v="49"/>
    <s v="https://www.besondere-lage.sites.be.ch/besondere-lage_sites/de/index/corona/index.html"/>
    <m/>
    <s v=""/>
    <m/>
    <s v=""/>
    <m/>
    <s v=""/>
    <n v="46.823608"/>
    <n v="7.6366670000000001"/>
    <s v="Bern/Berne"/>
    <n v="2"/>
    <n v="22"/>
    <n v="5"/>
    <n v="139.75"/>
    <n v="4.7519999999999998"/>
  </r>
  <r>
    <x v="47"/>
    <d v="1899-12-30T03:00:00"/>
    <x v="8"/>
    <m/>
    <n v="740"/>
    <n v="-2"/>
    <n v="48"/>
    <n v="17"/>
    <n v="14"/>
    <n v="554"/>
    <n v="23"/>
    <s v="https://www.baselland.ch/politik-und-behorden/direktionen/volkswirtschafts-und-gesundheitsdirektion/amt-fur-gesundheit/medizinische-dienste/kantonsarztlicher-dienst/aktuelles/covid-19-faelle-kanton-basel-landschaft"/>
    <m/>
    <s v=""/>
    <m/>
    <s v=""/>
    <m/>
    <s v=""/>
    <n v="47.45176"/>
    <n v="7.7024140000000001"/>
    <s v="Basel-Landschaft"/>
    <n v="13"/>
    <n v="4"/>
    <n v="1"/>
    <n v="257.83999999999997"/>
    <n v="8.0139999999999993"/>
  </r>
  <r>
    <x v="47"/>
    <d v="1899-12-30T10:00:00"/>
    <x v="2"/>
    <n v="235"/>
    <n v="882"/>
    <n v="0"/>
    <n v="86"/>
    <n v="12"/>
    <m/>
    <n v="629"/>
    <n v="33"/>
    <s v="https://www.gd.bs.ch//nm/2020-tagesbulletin-coronavirus-882-bestaetigte-faelle-im-kanton-basel-stadt-gd.html"/>
    <n v="485"/>
    <s v="23.0"/>
    <m/>
    <s v=""/>
    <m/>
    <s v=""/>
    <n v="47.564869000000002"/>
    <n v="7.615259"/>
    <s v="Basel-Stadt"/>
    <n v="12"/>
    <n v="16"/>
    <n v="0"/>
    <n v="454.87"/>
    <n v="17.018999999999998"/>
  </r>
  <r>
    <x v="47"/>
    <d v="1899-12-30T03:00:00"/>
    <x v="3"/>
    <n v="900"/>
    <n v="80"/>
    <n v="0"/>
    <m/>
    <m/>
    <m/>
    <n v="1"/>
    <n v="1"/>
    <s v="https://www.regierung.li/media/attachments/190-corona-zusaetzliche-person-0412.pdf?t=637223083991919653"/>
    <m/>
    <s v=""/>
    <m/>
    <s v=""/>
    <m/>
    <s v=""/>
    <n v="47.166666999999997"/>
    <n v="9.509722"/>
    <s v="Fürstentum Lichtenstein"/>
    <n v="0"/>
    <n v="1"/>
    <n v="0"/>
    <n v="207.25"/>
    <n v="2.5910000000000002"/>
  </r>
  <r>
    <x v="47"/>
    <d v="1899-12-30T03:00:00"/>
    <x v="12"/>
    <n v="30"/>
    <n v="846"/>
    <n v="-3"/>
    <n v="65"/>
    <n v="19"/>
    <m/>
    <n v="97"/>
    <n v="54"/>
    <s v="https://www.fr.ch/covid19/sante/covid-19/coronavirus-statistiques-evolution-de-la-situation-dans-le-canton"/>
    <m/>
    <s v=""/>
    <m/>
    <s v=""/>
    <m/>
    <s v=""/>
    <n v="46.718390999999997"/>
    <n v="7.0740080000000001"/>
    <s v="Fribourg"/>
    <n v="10"/>
    <n v="12"/>
    <n v="1"/>
    <n v="268.49"/>
    <n v="17.137"/>
  </r>
  <r>
    <x v="47"/>
    <d v="1899-12-30T03:00:00"/>
    <x v="0"/>
    <n v="18954"/>
    <n v="4311"/>
    <n v="-1"/>
    <n v="363"/>
    <n v="47"/>
    <n v="43"/>
    <n v="479"/>
    <n v="173"/>
    <s v="https://www.ge.ch/document/covid-19-situation-epidemiologique-geneve/telecharger"/>
    <m/>
    <s v=""/>
    <m/>
    <s v=""/>
    <n v="21"/>
    <s v=""/>
    <n v="46.220528000000002"/>
    <n v="6.1329349999999998"/>
    <s v="Genève"/>
    <n v="25"/>
    <n v="22"/>
    <n v="6"/>
    <n v="870.56"/>
    <n v="34.935000000000002"/>
  </r>
  <r>
    <x v="47"/>
    <d v="1899-12-30T03:00:00"/>
    <x v="26"/>
    <m/>
    <n v="732"/>
    <n v="0"/>
    <n v="35"/>
    <m/>
    <m/>
    <m/>
    <n v="35"/>
    <s v="https://www.gr.ch/DE/institutionen/verwaltung/djsg/ga/coronavirus/info/Seiten/Start.aspx"/>
    <m/>
    <s v=""/>
    <m/>
    <s v=""/>
    <m/>
    <s v=""/>
    <n v="46.656247999999998"/>
    <n v="9.6281979999999994"/>
    <s v="Graubünden/Grigioni"/>
    <n v="1"/>
    <n v="4"/>
    <n v="0"/>
    <n v="369.88"/>
    <n v="17.686"/>
  </r>
  <r>
    <x v="47"/>
    <d v="1899-12-30T16:00:00"/>
    <x v="4"/>
    <m/>
    <n v="183"/>
    <n v="-1"/>
    <n v="22"/>
    <n v="5"/>
    <m/>
    <m/>
    <n v="3"/>
    <s v="https://www.jura.ch/fr/Autorites/Coronavirus/Chiffres-H-JU/Evolution-des-cas-COVID-19-dans-le-Jura.html"/>
    <m/>
    <s v=""/>
    <m/>
    <s v=""/>
    <m/>
    <s v=""/>
    <n v="47.350743999999999"/>
    <n v="7.1561070000000004"/>
    <s v="Jura"/>
    <n v="26"/>
    <n v="0"/>
    <n v="0"/>
    <n v="249.66"/>
    <n v="4.093"/>
  </r>
  <r>
    <x v="47"/>
    <d v="1899-12-30T11:00:00"/>
    <x v="17"/>
    <m/>
    <n v="576"/>
    <n v="0"/>
    <n v="60"/>
    <n v="5"/>
    <m/>
    <m/>
    <n v="10"/>
    <s v="https://gesundheit.lu.ch/themen/Humanmedizin/Infektionskrankheiten/Coronavirus"/>
    <m/>
    <s v=""/>
    <m/>
    <s v=""/>
    <m/>
    <s v=""/>
    <n v="47.067762999999999"/>
    <n v="8.1102000000000007"/>
    <s v="Luzern"/>
    <n v="3"/>
    <n v="8"/>
    <n v="0"/>
    <n v="141.69999999999999"/>
    <n v="2.46"/>
  </r>
  <r>
    <x v="47"/>
    <d v="1899-12-30T16:00:00"/>
    <x v="14"/>
    <m/>
    <n v="589"/>
    <n v="3"/>
    <n v="67"/>
    <n v="10"/>
    <n v="10"/>
    <m/>
    <n v="47"/>
    <s v="https://www.ne.ch/autorites/DFS/SCSP/medecin-cantonal/maladies-vaccinations/Documents/Covid-19-Statistiques/COVID19_PublicationInternet.pdf"/>
    <m/>
    <s v=""/>
    <m/>
    <s v=""/>
    <m/>
    <s v=""/>
    <n v="46.995533999999999"/>
    <n v="6.7801260000000001"/>
    <s v="Neuchâtel"/>
    <n v="24"/>
    <n v="10"/>
    <n v="5"/>
    <n v="330.9"/>
    <n v="26.404"/>
  </r>
  <r>
    <x v="47"/>
    <d v="1899-12-30T15:50:00"/>
    <x v="20"/>
    <m/>
    <n v="104"/>
    <n v="-2"/>
    <n v="4"/>
    <n v="2"/>
    <m/>
    <m/>
    <n v="0"/>
    <s v="https://www.nw.ch/gesundheitsamtdienste/6044"/>
    <m/>
    <s v=""/>
    <m/>
    <s v=""/>
    <m/>
    <s v=""/>
    <n v="46.926755"/>
    <n v="8.4053020000000007"/>
    <s v="Nidwalden"/>
    <n v="7"/>
    <n v="1"/>
    <n v="0"/>
    <n v="241.86"/>
    <n v="0"/>
  </r>
  <r>
    <x v="47"/>
    <d v="1899-12-30T03:00:00"/>
    <x v="15"/>
    <m/>
    <n v="649"/>
    <n v="-2"/>
    <n v="58"/>
    <n v="9"/>
    <m/>
    <n v="109"/>
    <n v="21"/>
    <s v="https://www.sg.ch/tools/informationen-coronavirus.html"/>
    <m/>
    <s v=""/>
    <m/>
    <s v=""/>
    <m/>
    <s v=""/>
    <n v="47.183199999999999"/>
    <n v="9.2747440000000001"/>
    <s v="St. Gallen"/>
    <n v="17"/>
    <n v="8"/>
    <n v="3"/>
    <n v="128.59"/>
    <n v="4.1609999999999996"/>
  </r>
  <r>
    <x v="47"/>
    <d v="1899-12-30T09:30:00"/>
    <x v="21"/>
    <m/>
    <n v="57"/>
    <n v="3"/>
    <n v="16"/>
    <n v="2"/>
    <m/>
    <m/>
    <n v="1"/>
    <s v="https://sh.ch/CMS/Webseite/Kanton-Schaffhausen/Beh-rde/Verwaltung/Departement-des-Innern/Gesundheitsamt-3209198-DE.html"/>
    <m/>
    <s v=""/>
    <m/>
    <s v=""/>
    <m/>
    <s v=""/>
    <n v="47.713569999999997"/>
    <n v="8.5916700000000006"/>
    <s v="Schaffhausen"/>
    <n v="14"/>
    <n v="2"/>
    <n v="0"/>
    <n v="70.02"/>
    <n v="1.2290000000000001"/>
  </r>
  <r>
    <x v="47"/>
    <d v="1899-12-30T03:00:00"/>
    <x v="19"/>
    <m/>
    <n v="315"/>
    <n v="0"/>
    <n v="23"/>
    <m/>
    <m/>
    <m/>
    <n v="7"/>
    <s v="https://corona.so.ch/"/>
    <m/>
    <s v=""/>
    <m/>
    <s v=""/>
    <m/>
    <s v=""/>
    <n v="47.304135000000002"/>
    <n v="7.6393880000000003"/>
    <s v="Solothurn"/>
    <n v="11"/>
    <n v="9"/>
    <n v="1"/>
    <n v="116.06"/>
    <n v="2.5790000000000002"/>
  </r>
  <r>
    <x v="47"/>
    <d v="1899-12-30T03:00:00"/>
    <x v="16"/>
    <n v="10"/>
    <n v="251"/>
    <n v="0"/>
    <n v="1"/>
    <m/>
    <m/>
    <n v="119"/>
    <n v="11"/>
    <s v="https://www.sz.ch/public/upload/assets/46063/COVID-19_Fallzahlen_Kanton_Schwyz.xlsx"/>
    <m/>
    <s v=""/>
    <m/>
    <s v=""/>
    <m/>
    <s v=""/>
    <n v="47.061787000000002"/>
    <n v="8.7565849999999994"/>
    <s v="Schwyz"/>
    <n v="5"/>
    <n v="2"/>
    <n v="1"/>
    <n v="159.57"/>
    <n v="6.9930000000000003"/>
  </r>
  <r>
    <x v="47"/>
    <d v="1899-12-30T03:00:00"/>
    <x v="25"/>
    <n v="276"/>
    <n v="285"/>
    <n v="0"/>
    <n v="32"/>
    <n v="14"/>
    <m/>
    <m/>
    <n v="8"/>
    <s v="https://www.tg.ch/news/fachdossier-coronavirus.html/10552"/>
    <m/>
    <s v=""/>
    <m/>
    <s v=""/>
    <m/>
    <s v=""/>
    <n v="47.568714999999997"/>
    <n v="9.0919570000000007"/>
    <s v="Thurgau"/>
    <n v="1"/>
    <n v="11"/>
    <n v="0"/>
    <n v="104.09"/>
    <n v="2.9220000000000002"/>
  </r>
  <r>
    <x v="47"/>
    <d v="1899-12-30T08:00:00"/>
    <x v="1"/>
    <m/>
    <n v="2869"/>
    <n v="-13"/>
    <n v="269"/>
    <n v="63"/>
    <n v="56"/>
    <n v="511"/>
    <n v="244"/>
    <s v="https://www4.ti.ch/area-media/comunicati/dettaglio-comunicato/?NEWS_ID=187612&amp;tx_tichareamedia_comunicazioni%5Baction%5D=show&amp;tx_tichareamedia_comunicazioni%5Bcontroller%5D=Comunicazioni&amp;cHash=01ed3fadc99b1b00f0a8c4a0e41e7252"/>
    <m/>
    <s v=""/>
    <m/>
    <s v=""/>
    <m/>
    <s v=""/>
    <n v="46.295617"/>
    <n v="8.8089239999999993"/>
    <s v="Ticino"/>
    <n v="21"/>
    <n v="51"/>
    <n v="15"/>
    <n v="811.14"/>
    <n v="68.984999999999999"/>
  </r>
  <r>
    <x v="47"/>
    <d v="1899-12-30T15:00:00"/>
    <x v="22"/>
    <n v="85"/>
    <n v="77"/>
    <n v="-3"/>
    <n v="5"/>
    <m/>
    <m/>
    <n v="52"/>
    <n v="4"/>
    <s v="https://www.ur.ch/themen/2962"/>
    <m/>
    <s v=""/>
    <m/>
    <s v=""/>
    <m/>
    <s v=""/>
    <n v="46.771849000000003"/>
    <n v="8.6285860000000003"/>
    <s v="Uri"/>
    <n v="4"/>
    <n v="2"/>
    <n v="0"/>
    <n v="212.12"/>
    <n v="11.019"/>
  </r>
  <r>
    <x v="47"/>
    <d v="1899-12-30T03:00:00"/>
    <x v="9"/>
    <m/>
    <n v="4706"/>
    <n v="9"/>
    <n v="303"/>
    <n v="69"/>
    <m/>
    <n v="225"/>
    <n v="249"/>
    <s v="https://www.vd.ch/toutes-les-actualites/hotline-et-informations-sur-le-coronavirus/point-de-situation-statistique-dans-le-canton-de-vaud/"/>
    <m/>
    <s v=""/>
    <m/>
    <s v=""/>
    <m/>
    <s v=""/>
    <n v="46.570090999999998"/>
    <n v="6.5578090000000007"/>
    <s v="Vaud"/>
    <n v="22"/>
    <n v="81"/>
    <n v="8"/>
    <n v="593.37"/>
    <n v="31.396000000000001"/>
  </r>
  <r>
    <x v="47"/>
    <d v="1899-12-30T15:00:00"/>
    <x v="10"/>
    <m/>
    <n v="1666"/>
    <n v="-2"/>
    <n v="111"/>
    <n v="22"/>
    <n v="14"/>
    <n v="157"/>
    <n v="91"/>
    <s v="https://www.vs.ch/documents/6756452/7008787/2020%2004%2012%20Sit%20Epid%20-%20%C3%89tat%20Stand"/>
    <m/>
    <s v=""/>
    <m/>
    <s v=""/>
    <m/>
    <s v=""/>
    <n v="46.209567"/>
    <n v="7.6046589999999998"/>
    <s v="Valais/Wallis"/>
    <n v="23"/>
    <n v="13"/>
    <n v="6"/>
    <n v="487.85"/>
    <n v="26.646999999999998"/>
  </r>
  <r>
    <x v="47"/>
    <d v="1899-12-30T08:00:00"/>
    <x v="11"/>
    <m/>
    <n v="170"/>
    <n v="0"/>
    <n v="13"/>
    <n v="9"/>
    <m/>
    <n v="80"/>
    <n v="5"/>
    <s v="https://www.zg.ch/behoerden/gesundheitsdirektion/statistikfachstelle/themen/gesundheit/corona"/>
    <m/>
    <s v=""/>
    <m/>
    <s v=""/>
    <m/>
    <s v=""/>
    <n v="47.157296000000002"/>
    <n v="8.5372939999999993"/>
    <s v="Zug"/>
    <n v="9"/>
    <n v="2"/>
    <n v="0"/>
    <n v="135.57"/>
    <n v="3.9870000000000001"/>
  </r>
  <r>
    <x v="47"/>
    <d v="1899-12-30T14:30:00"/>
    <x v="5"/>
    <m/>
    <n v="3002"/>
    <n v="4"/>
    <n v="153"/>
    <m/>
    <n v="49"/>
    <m/>
    <n v="79"/>
    <s v="https://gd.zh.ch/internet/gesundheitsdirektion/de/themen/coronavirus.html"/>
    <m/>
    <s v=""/>
    <m/>
    <s v=""/>
    <m/>
    <s v=""/>
    <n v="47.412750000000003"/>
    <n v="8.6550799999999999"/>
    <s v="Zürich"/>
    <n v="1"/>
    <n v="17"/>
    <n v="2"/>
    <n v="199.56"/>
    <n v="5.2519999999999998"/>
  </r>
  <r>
    <x v="48"/>
    <d v="1899-12-30T14:45:00"/>
    <x v="6"/>
    <m/>
    <n v="906"/>
    <n v="0"/>
    <n v="76"/>
    <n v="23"/>
    <n v="21"/>
    <n v="300"/>
    <n v="19"/>
    <s v="https://www.ag.ch/media/kanton_aargau/themen_1/coronavirus_1/lagebulletins/200414_KFS_Coronavirus_Lagebulletin_32.pdf"/>
    <m/>
    <s v=""/>
    <m/>
    <s v=""/>
    <m/>
    <s v=""/>
    <n v="47.409660000000002"/>
    <n v="8.1568799999999992"/>
    <s v="Aargau"/>
    <n v="1"/>
    <n v="7"/>
    <n v="1"/>
    <n v="135.02000000000001"/>
    <n v="2.8319999999999999"/>
  </r>
  <r>
    <x v="48"/>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8"/>
    <d v="1899-12-30T08:00:00"/>
    <x v="18"/>
    <m/>
    <n v="78"/>
    <n v="0"/>
    <n v="6"/>
    <m/>
    <m/>
    <m/>
    <n v="3"/>
    <s v="https://www.ar.ch/verwaltung/departement-gesundheit-und-soziales/amt-fuer-gesundheit/informationsseite-coronavirus/"/>
    <m/>
    <s v=""/>
    <m/>
    <s v=""/>
    <m/>
    <s v=""/>
    <n v="47.416351999999996"/>
    <n v="9.3679100000000002"/>
    <s v="Appenzell Ausserrhoden"/>
    <n v="15"/>
    <n v="1"/>
    <n v="0"/>
    <n v="141.30000000000001"/>
    <n v="5.4349999999999996"/>
  </r>
  <r>
    <x v="48"/>
    <d v="1899-12-30T08:00:00"/>
    <x v="7"/>
    <m/>
    <n v="1456"/>
    <n v="-3"/>
    <n v="92"/>
    <n v="32"/>
    <n v="21"/>
    <m/>
    <n v="49"/>
    <s v="https://www.besondere-lage.sites.be.ch/besondere-lage_sites/de/index/corona/index.html"/>
    <m/>
    <s v=""/>
    <m/>
    <s v=""/>
    <m/>
    <s v=""/>
    <n v="46.823608"/>
    <n v="7.6366670000000001"/>
    <s v="Bern/Berne"/>
    <n v="2"/>
    <n v="15"/>
    <n v="0"/>
    <n v="141.21"/>
    <n v="4.7519999999999998"/>
  </r>
  <r>
    <x v="48"/>
    <d v="1899-12-30T03:00:00"/>
    <x v="8"/>
    <m/>
    <n v="749"/>
    <n v="0"/>
    <n v="48"/>
    <n v="16"/>
    <n v="12"/>
    <n v="570"/>
    <n v="24"/>
    <s v="https://www.baselland.ch/politik-und-behorden/direktionen/volkswirtschafts-und-gesundheitsdirektion/amt-fur-gesundheit/medizinische-dienste/kantonsarztlicher-dienst/aktuelles/covid-19-faelle-kanton-basel-landschaft"/>
    <m/>
    <s v=""/>
    <m/>
    <s v=""/>
    <m/>
    <s v=""/>
    <n v="47.45176"/>
    <n v="7.7024140000000001"/>
    <s v="Basel-Landschaft"/>
    <n v="13"/>
    <n v="9"/>
    <n v="1"/>
    <n v="260.98"/>
    <n v="8.3620000000000001"/>
  </r>
  <r>
    <x v="48"/>
    <d v="1899-12-30T10:00:00"/>
    <x v="2"/>
    <n v="235"/>
    <n v="893"/>
    <n v="0"/>
    <n v="86"/>
    <n v="12"/>
    <m/>
    <n v="653"/>
    <n v="34"/>
    <s v="https://www.gd.bs.ch//nm/2020-tagesbulletin-coronavirus-893-bestaetigte-faelle-im-kanton-basel-stadt-gd.html"/>
    <n v="487"/>
    <s v=""/>
    <m/>
    <s v=""/>
    <m/>
    <s v=""/>
    <n v="47.564869000000002"/>
    <n v="7.615259"/>
    <s v="Basel-Stadt"/>
    <n v="12"/>
    <n v="11"/>
    <n v="1"/>
    <n v="460.55"/>
    <n v="17.535"/>
  </r>
  <r>
    <x v="48"/>
    <d v="1899-12-30T03:00:00"/>
    <x v="3"/>
    <n v="900"/>
    <n v="80"/>
    <n v="0"/>
    <m/>
    <m/>
    <m/>
    <n v="1"/>
    <n v="1"/>
    <s v="https://www.regierung.li/media/attachments/191-corona-keine-neuen-faelle-0413.pdf?t=637224053004137202"/>
    <m/>
    <s v=""/>
    <m/>
    <s v=""/>
    <m/>
    <s v=""/>
    <n v="47.166666999999997"/>
    <n v="9.509722"/>
    <s v="Fürstentum Lichtenstein"/>
    <n v="0"/>
    <n v="0"/>
    <n v="0"/>
    <n v="207.25"/>
    <n v="2.5910000000000002"/>
  </r>
  <r>
    <x v="48"/>
    <d v="1899-12-30T03:00:00"/>
    <x v="12"/>
    <n v="30"/>
    <n v="859"/>
    <n v="3"/>
    <n v="68"/>
    <n v="17"/>
    <m/>
    <n v="97"/>
    <n v="55"/>
    <s v="https://www.fr.ch/covid19/sante/covid-19/coronavirus-statistiques-evolution-de-la-situation-dans-le-canton"/>
    <m/>
    <s v=""/>
    <m/>
    <s v=""/>
    <m/>
    <s v=""/>
    <n v="46.718390999999997"/>
    <n v="7.0740080000000001"/>
    <s v="Fribourg"/>
    <n v="10"/>
    <n v="13"/>
    <n v="1"/>
    <n v="272.61"/>
    <n v="17.454999999999998"/>
  </r>
  <r>
    <x v="48"/>
    <d v="1899-12-30T03:00:00"/>
    <x v="0"/>
    <n v="19265"/>
    <n v="4361"/>
    <n v="1"/>
    <n v="364"/>
    <n v="47"/>
    <n v="42"/>
    <n v="490"/>
    <n v="176"/>
    <s v="https://www.ge.ch/document/covid-19-situation-epidemiologique-geneve/telecharger"/>
    <m/>
    <s v=""/>
    <m/>
    <s v=""/>
    <n v="18"/>
    <s v=""/>
    <n v="46.220528000000002"/>
    <n v="6.1329349999999998"/>
    <s v="Genève"/>
    <n v="25"/>
    <n v="50"/>
    <n v="3"/>
    <n v="880.65"/>
    <n v="35.540999999999997"/>
  </r>
  <r>
    <x v="48"/>
    <d v="1899-12-30T16:00:00"/>
    <x v="13"/>
    <m/>
    <n v="92"/>
    <n v="0"/>
    <n v="2"/>
    <m/>
    <m/>
    <m/>
    <n v="2"/>
    <s v="https://www.gl.ch/verwaltung/finanzen-und-gesundheit/gesundheit/coronavirus.html/4817#Fallzahlen"/>
    <m/>
    <s v=""/>
    <m/>
    <s v=""/>
    <m/>
    <s v=""/>
    <n v="46.931042000000005"/>
    <n v="9.0657510000000006"/>
    <s v="Glarus"/>
    <n v="8"/>
    <n v="1"/>
    <n v="0"/>
    <n v="228.29"/>
    <n v="4.9630000000000001"/>
  </r>
  <r>
    <x v="48"/>
    <d v="1899-12-30T03:00:00"/>
    <x v="26"/>
    <m/>
    <n v="735"/>
    <n v="-1"/>
    <n v="34"/>
    <m/>
    <m/>
    <m/>
    <n v="35"/>
    <s v="https://www.gr.ch/DE/institutionen/verwaltung/djsg/ga/coronavirus/info/Seiten/Start.aspx"/>
    <m/>
    <s v=""/>
    <m/>
    <s v=""/>
    <m/>
    <s v=""/>
    <n v="46.656247999999998"/>
    <n v="9.6281979999999994"/>
    <s v="Graubünden/Grigioni"/>
    <n v="1"/>
    <n v="3"/>
    <n v="0"/>
    <n v="371.4"/>
    <n v="17.686"/>
  </r>
  <r>
    <x v="48"/>
    <d v="1899-12-30T16:00:00"/>
    <x v="4"/>
    <m/>
    <n v="184"/>
    <n v="2"/>
    <n v="24"/>
    <n v="5"/>
    <m/>
    <m/>
    <n v="3"/>
    <s v="https://www.jura.ch/fr/Autorites/Coronavirus/Chiffres-H-JU/Evolution-des-cas-COVID-19-dans-le-Jura.html"/>
    <m/>
    <s v=""/>
    <m/>
    <s v=""/>
    <m/>
    <s v=""/>
    <n v="47.350743999999999"/>
    <n v="7.1561070000000004"/>
    <s v="Jura"/>
    <n v="26"/>
    <n v="1"/>
    <n v="0"/>
    <n v="251.02"/>
    <n v="4.093"/>
  </r>
  <r>
    <x v="48"/>
    <d v="1899-12-30T11:00:00"/>
    <x v="17"/>
    <m/>
    <n v="580"/>
    <n v="-20"/>
    <n v="40"/>
    <n v="5"/>
    <m/>
    <m/>
    <n v="10"/>
    <s v="https://gesundheit.lu.ch/themen/Humanmedizin/Infektionskrankheiten/Coronavirus"/>
    <m/>
    <s v=""/>
    <m/>
    <s v=""/>
    <m/>
    <s v=""/>
    <n v="47.067762999999999"/>
    <n v="8.1102000000000007"/>
    <s v="Luzern"/>
    <n v="3"/>
    <n v="4"/>
    <n v="0"/>
    <n v="142.68"/>
    <n v="2.46"/>
  </r>
  <r>
    <x v="48"/>
    <d v="1899-12-30T16:00:00"/>
    <x v="14"/>
    <m/>
    <n v="595"/>
    <n v="0"/>
    <n v="67"/>
    <n v="10"/>
    <n v="10"/>
    <m/>
    <n v="48"/>
    <s v="https://www.ne.ch/autorites/DFS/SCSP/medecin-cantonal/maladies-vaccinations/Documents/Covid-19-Statistiques/COVID19_PublicationInternet.pdf"/>
    <m/>
    <s v=""/>
    <m/>
    <s v=""/>
    <m/>
    <s v=""/>
    <n v="46.995533999999999"/>
    <n v="6.7801260000000001"/>
    <s v="Neuchâtel"/>
    <n v="24"/>
    <n v="6"/>
    <n v="1"/>
    <n v="334.27"/>
    <n v="26.966000000000001"/>
  </r>
  <r>
    <x v="48"/>
    <d v="1899-12-30T18:15:00"/>
    <x v="20"/>
    <m/>
    <n v="104"/>
    <n v="2"/>
    <n v="6"/>
    <n v="2"/>
    <m/>
    <m/>
    <n v="1"/>
    <s v="https://www.nw.ch/gesundheitsamtdienste/6044"/>
    <m/>
    <s v=""/>
    <m/>
    <s v=""/>
    <m/>
    <s v=""/>
    <n v="46.926755"/>
    <n v="8.4053020000000007"/>
    <s v="Nidwalden"/>
    <n v="7"/>
    <n v="0"/>
    <n v="1"/>
    <n v="241.86"/>
    <n v="2.3260000000000001"/>
  </r>
  <r>
    <x v="48"/>
    <d v="1899-12-30T03:00:00"/>
    <x v="15"/>
    <m/>
    <n v="657"/>
    <n v="0"/>
    <n v="58"/>
    <n v="10"/>
    <m/>
    <n v="119"/>
    <n v="21"/>
    <s v="https://www.sg.ch/tools/informationen-coronavirus.html"/>
    <m/>
    <s v=""/>
    <m/>
    <s v=""/>
    <m/>
    <s v=""/>
    <n v="47.183199999999999"/>
    <n v="9.2747440000000001"/>
    <s v="St. Gallen"/>
    <n v="17"/>
    <n v="8"/>
    <n v="0"/>
    <n v="130.18"/>
    <n v="4.1609999999999996"/>
  </r>
  <r>
    <x v="48"/>
    <d v="1899-12-30T09:30:00"/>
    <x v="21"/>
    <m/>
    <n v="57"/>
    <n v="0"/>
    <n v="16"/>
    <n v="2"/>
    <m/>
    <m/>
    <n v="1"/>
    <s v="https://sh.ch/CMS/Webseite/Kanton-Schaffhausen/Beh-rde/Verwaltung/Departement-des-Innern/Gesundheitsamt-3209198-DE.html"/>
    <m/>
    <s v=""/>
    <m/>
    <s v=""/>
    <m/>
    <s v=""/>
    <n v="47.713569999999997"/>
    <n v="8.5916700000000006"/>
    <s v="Schaffhausen"/>
    <n v="14"/>
    <n v="0"/>
    <n v="0"/>
    <n v="70.02"/>
    <n v="1.2290000000000001"/>
  </r>
  <r>
    <x v="48"/>
    <d v="1899-12-30T03:00:00"/>
    <x v="19"/>
    <m/>
    <n v="321"/>
    <n v="0"/>
    <n v="23"/>
    <m/>
    <m/>
    <m/>
    <n v="7"/>
    <s v="https://corona.so.ch/"/>
    <m/>
    <s v=""/>
    <m/>
    <s v=""/>
    <m/>
    <s v=""/>
    <n v="47.304135000000002"/>
    <n v="7.6393880000000003"/>
    <s v="Solothurn"/>
    <n v="11"/>
    <n v="6"/>
    <n v="0"/>
    <n v="118.28"/>
    <n v="2.5790000000000002"/>
  </r>
  <r>
    <x v="48"/>
    <d v="1899-12-30T03:00:00"/>
    <x v="16"/>
    <n v="10"/>
    <n v="251"/>
    <n v="0"/>
    <n v="1"/>
    <m/>
    <m/>
    <n v="128"/>
    <n v="12"/>
    <s v="https://www.sz.ch/public/upload/assets/46064/COVID-19_Fallzahlen_Kanton_Schwyz.xlsx"/>
    <m/>
    <s v=""/>
    <m/>
    <s v=""/>
    <m/>
    <s v=""/>
    <n v="47.061787000000002"/>
    <n v="8.7565849999999994"/>
    <s v="Schwyz"/>
    <n v="5"/>
    <n v="0"/>
    <n v="1"/>
    <n v="159.57"/>
    <n v="7.6289999999999996"/>
  </r>
  <r>
    <x v="48"/>
    <d v="1899-12-30T03:00:00"/>
    <x v="25"/>
    <n v="276"/>
    <n v="292"/>
    <n v="0"/>
    <n v="32"/>
    <n v="17"/>
    <m/>
    <m/>
    <n v="8"/>
    <s v="https://www.tg.ch/news/fachdossier-coronavirus.html/10552"/>
    <m/>
    <s v=""/>
    <m/>
    <s v=""/>
    <m/>
    <s v=""/>
    <n v="47.568714999999997"/>
    <n v="9.0919570000000007"/>
    <s v="Thurgau"/>
    <n v="1"/>
    <n v="7"/>
    <n v="0"/>
    <n v="106.65"/>
    <n v="2.9220000000000002"/>
  </r>
  <r>
    <x v="48"/>
    <d v="1899-12-30T08:00:00"/>
    <x v="1"/>
    <m/>
    <n v="2900"/>
    <n v="0"/>
    <n v="269"/>
    <n v="63"/>
    <n v="56"/>
    <n v="511"/>
    <n v="251"/>
    <s v="https://www4.ti.ch/area-media/comunicati/dettaglio-comunicato/?NEWS_ID=187614&amp;tx_tichareamedia_comunicazioni%5Baction%5D=show&amp;tx_tichareamedia_comunicazioni%5Bcontroller%5D=Comunicazioni&amp;cHash=0464d89cb8c291fbc9c266e6b7008814"/>
    <m/>
    <s v=""/>
    <m/>
    <s v=""/>
    <m/>
    <s v=""/>
    <n v="46.295617"/>
    <n v="8.8089239999999993"/>
    <s v="Ticino"/>
    <n v="21"/>
    <n v="31"/>
    <n v="7"/>
    <n v="819.9"/>
    <n v="70.963999999999999"/>
  </r>
  <r>
    <x v="48"/>
    <d v="1899-12-30T14:00:00"/>
    <x v="22"/>
    <n v="85"/>
    <n v="78"/>
    <n v="-1"/>
    <n v="4"/>
    <m/>
    <m/>
    <n v="52"/>
    <n v="4"/>
    <s v="https://www.ur.ch/themen/2962"/>
    <m/>
    <s v=""/>
    <m/>
    <s v=""/>
    <m/>
    <s v=""/>
    <n v="46.771849000000003"/>
    <n v="8.6285860000000003"/>
    <s v="Uri"/>
    <n v="4"/>
    <n v="1"/>
    <n v="0"/>
    <n v="214.88"/>
    <n v="11.019"/>
  </r>
  <r>
    <x v="48"/>
    <d v="1899-12-30T03:00:00"/>
    <x v="9"/>
    <m/>
    <n v="4740"/>
    <n v="0"/>
    <n v="303"/>
    <n v="66"/>
    <m/>
    <n v="225"/>
    <n v="255"/>
    <s v="https://www.vd.ch/toutes-les-actualites/hotline-et-informations-sur-le-coronavirus/point-de-situation-statistique-dans-le-canton-de-vaud/"/>
    <m/>
    <s v=""/>
    <m/>
    <s v=""/>
    <m/>
    <s v=""/>
    <n v="46.570090999999998"/>
    <n v="6.5578090000000007"/>
    <s v="Vaud"/>
    <n v="22"/>
    <n v="34"/>
    <n v="6"/>
    <n v="597.65"/>
    <n v="32.152000000000001"/>
  </r>
  <r>
    <x v="48"/>
    <d v="1899-12-30T15:00:00"/>
    <x v="10"/>
    <m/>
    <n v="1680"/>
    <n v="-4"/>
    <n v="107"/>
    <n v="21"/>
    <n v="12"/>
    <n v="157"/>
    <n v="93"/>
    <s v="https://www.vs.ch/documents/6756452/7008787/2020%2004%2012%20Sit%20Epid%20-%20%C3%89tat%20Stand"/>
    <m/>
    <s v=""/>
    <m/>
    <s v=""/>
    <m/>
    <s v=""/>
    <n v="46.209567"/>
    <n v="7.6046589999999998"/>
    <s v="Valais/Wallis"/>
    <n v="23"/>
    <n v="14"/>
    <n v="2"/>
    <n v="491.95"/>
    <n v="27.233000000000001"/>
  </r>
  <r>
    <x v="48"/>
    <d v="1899-12-30T08:00:00"/>
    <x v="11"/>
    <m/>
    <n v="171"/>
    <n v="0"/>
    <n v="13"/>
    <n v="9"/>
    <m/>
    <n v="84"/>
    <n v="5"/>
    <s v="https://www.zg.ch/behoerden/gesundheitsdirektion/statistikfachstelle/themen/gesundheit/corona"/>
    <m/>
    <s v=""/>
    <m/>
    <s v=""/>
    <m/>
    <s v=""/>
    <n v="47.157296000000002"/>
    <n v="8.5372939999999993"/>
    <s v="Zug"/>
    <n v="9"/>
    <n v="1"/>
    <n v="0"/>
    <n v="136.36000000000001"/>
    <n v="3.9870000000000001"/>
  </r>
  <r>
    <x v="48"/>
    <d v="1899-12-30T14:30:00"/>
    <x v="5"/>
    <m/>
    <n v="3019"/>
    <n v="1"/>
    <n v="154"/>
    <m/>
    <n v="50"/>
    <m/>
    <n v="83"/>
    <s v="https://gd.zh.ch/internet/gesundheitsdirektion/de/themen/coronavirus.html"/>
    <m/>
    <s v=""/>
    <m/>
    <s v=""/>
    <m/>
    <s v=""/>
    <n v="47.412750000000003"/>
    <n v="8.6550799999999999"/>
    <s v="Zürich"/>
    <n v="1"/>
    <n v="17"/>
    <n v="4"/>
    <n v="200.69"/>
    <n v="5.5179999999999998"/>
  </r>
  <r>
    <x v="49"/>
    <d v="1899-12-30T14:45:00"/>
    <x v="6"/>
    <m/>
    <n v="912"/>
    <n v="0"/>
    <n v="78"/>
    <n v="22"/>
    <n v="22"/>
    <n v="400"/>
    <n v="19"/>
    <s v="https://www.ag.ch/media/kanton_aargau/themen_1/coronavirus_1/lagebulletins/200414_KFS_Coronavirus_Lagebulletin_32.pdf"/>
    <m/>
    <s v=""/>
    <m/>
    <s v=""/>
    <m/>
    <s v=""/>
    <n v="47.409660000000002"/>
    <n v="8.1568799999999992"/>
    <s v="Aargau"/>
    <n v="1"/>
    <n v="6"/>
    <n v="0"/>
    <n v="135.91999999999999"/>
    <n v="2.8319999999999999"/>
  </r>
  <r>
    <x v="49"/>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49"/>
    <d v="1899-12-30T08:00:00"/>
    <x v="18"/>
    <m/>
    <n v="79"/>
    <n v="0"/>
    <n v="6"/>
    <m/>
    <m/>
    <m/>
    <n v="3"/>
    <s v="https://www.ar.ch/verwaltung/departement-gesundheit-und-soziales/amt-fuer-gesundheit/informationsseite-coronavirus/"/>
    <m/>
    <s v=""/>
    <m/>
    <s v=""/>
    <m/>
    <s v=""/>
    <n v="47.416351999999996"/>
    <n v="9.3679100000000002"/>
    <s v="Appenzell Ausserrhoden"/>
    <n v="15"/>
    <n v="1"/>
    <n v="0"/>
    <n v="143.12"/>
    <n v="5.4349999999999996"/>
  </r>
  <r>
    <x v="49"/>
    <d v="1899-12-30T08:00:00"/>
    <x v="7"/>
    <m/>
    <n v="1470"/>
    <n v="-7"/>
    <n v="85"/>
    <n v="31"/>
    <n v="21"/>
    <m/>
    <n v="49"/>
    <s v="https://www.besondere-lage.sites.be.ch/besondere-lage_sites/de/index/corona/index.html"/>
    <m/>
    <s v=""/>
    <m/>
    <s v=""/>
    <m/>
    <s v=""/>
    <n v="46.823608"/>
    <n v="7.6366670000000001"/>
    <s v="Bern/Berne"/>
    <n v="2"/>
    <n v="14"/>
    <n v="0"/>
    <n v="142.57"/>
    <n v="4.7519999999999998"/>
  </r>
  <r>
    <x v="49"/>
    <d v="1899-12-30T03:00:00"/>
    <x v="8"/>
    <m/>
    <n v="755"/>
    <n v="0"/>
    <n v="48"/>
    <n v="14"/>
    <n v="8"/>
    <n v="597"/>
    <n v="25"/>
    <s v="https://www.baselland.ch/politik-und-behorden/direktionen/volkswirtschafts-und-gesundheitsdirektion/amt-fur-gesundheit/medizinische-dienste/kantonsarztlicher-dienst/aktuelles/covid-19-faelle-kanton-basel-landschaft"/>
    <m/>
    <s v=""/>
    <m/>
    <s v=""/>
    <m/>
    <s v=""/>
    <n v="47.45176"/>
    <n v="7.7024140000000001"/>
    <s v="Basel-Landschaft"/>
    <n v="13"/>
    <n v="6"/>
    <n v="1"/>
    <n v="263.07"/>
    <n v="8.7110000000000003"/>
  </r>
  <r>
    <x v="49"/>
    <d v="1899-12-30T10:00:00"/>
    <x v="2"/>
    <n v="235"/>
    <n v="899"/>
    <n v="0"/>
    <n v="86"/>
    <n v="9"/>
    <m/>
    <n v="663"/>
    <n v="34"/>
    <s v="https://www.gd.bs.ch//nm/2020-tagesbulletin-coronavirus-899-bestaetigte-faelle-im-kanton-basel-stadt-gd.html"/>
    <n v="490"/>
    <s v="25.0"/>
    <m/>
    <s v=""/>
    <m/>
    <s v=""/>
    <n v="47.564869000000002"/>
    <n v="7.615259"/>
    <s v="Basel-Stadt"/>
    <n v="12"/>
    <n v="6"/>
    <n v="0"/>
    <n v="463.64"/>
    <n v="17.535"/>
  </r>
  <r>
    <x v="49"/>
    <d v="1899-12-30T03:00:00"/>
    <x v="12"/>
    <n v="30"/>
    <n v="879"/>
    <n v="0"/>
    <n v="68"/>
    <n v="14"/>
    <m/>
    <n v="98"/>
    <n v="57"/>
    <s v="https://www.fr.ch/covid19/sante/covid-19/coronavirus-statistiques-evolution-de-la-situation-dans-le-canton"/>
    <m/>
    <s v=""/>
    <m/>
    <s v=""/>
    <m/>
    <s v=""/>
    <n v="46.718390999999997"/>
    <n v="7.0740080000000001"/>
    <s v="Fribourg"/>
    <n v="10"/>
    <n v="20"/>
    <n v="2"/>
    <n v="278.95999999999998"/>
    <n v="18.088999999999999"/>
  </r>
  <r>
    <x v="49"/>
    <d v="1899-12-30T03:00:00"/>
    <x v="0"/>
    <n v="19820"/>
    <n v="4414"/>
    <n v="1"/>
    <n v="365"/>
    <n v="46"/>
    <n v="41"/>
    <n v="490"/>
    <n v="180"/>
    <s v="https://www.ge.ch/document/covid-19-situation-epidemiologique-geneve/telecharger"/>
    <m/>
    <s v=""/>
    <m/>
    <s v=""/>
    <n v="21"/>
    <s v=""/>
    <n v="46.220528000000002"/>
    <n v="6.1329349999999998"/>
    <s v="Genève"/>
    <n v="25"/>
    <n v="53"/>
    <n v="4"/>
    <n v="891.36"/>
    <n v="36.348999999999997"/>
  </r>
  <r>
    <x v="49"/>
    <d v="1899-12-30T13:00:00"/>
    <x v="13"/>
    <m/>
    <n v="105"/>
    <n v="0"/>
    <n v="2"/>
    <m/>
    <m/>
    <m/>
    <n v="2"/>
    <s v="https://www.gl.ch/verwaltung/finanzen-und-gesundheit/gesundheit/coronavirus.html/4817#Fallzahlen"/>
    <m/>
    <s v=""/>
    <m/>
    <s v=""/>
    <m/>
    <s v=""/>
    <n v="46.931042000000005"/>
    <n v="9.0657510000000006"/>
    <s v="Glarus"/>
    <n v="8"/>
    <n v="13"/>
    <n v="0"/>
    <n v="260.55"/>
    <n v="4.9630000000000001"/>
  </r>
  <r>
    <x v="49"/>
    <d v="1899-12-30T03:00:00"/>
    <x v="26"/>
    <m/>
    <n v="740"/>
    <n v="0"/>
    <n v="34"/>
    <m/>
    <m/>
    <m/>
    <n v="37"/>
    <s v="https://www.gr.ch/DE/institutionen/verwaltung/djsg/ga/coronavirus/info/Seiten/Start.aspx"/>
    <m/>
    <s v=""/>
    <m/>
    <s v=""/>
    <m/>
    <s v=""/>
    <n v="46.656247999999998"/>
    <n v="9.6281979999999994"/>
    <s v="Graubünden/Grigioni"/>
    <n v="1"/>
    <n v="5"/>
    <n v="2"/>
    <n v="373.93"/>
    <n v="18.696000000000002"/>
  </r>
  <r>
    <x v="49"/>
    <d v="1899-12-30T16:00:00"/>
    <x v="4"/>
    <m/>
    <n v="185"/>
    <n v="-3"/>
    <n v="21"/>
    <n v="5"/>
    <m/>
    <m/>
    <n v="3"/>
    <s v="https://www.jura.ch/fr/Autorites/Coronavirus/Chiffres-H-JU/Evolution-des-cas-COVID-19-dans-le-Jura.html"/>
    <m/>
    <s v=""/>
    <m/>
    <s v=""/>
    <m/>
    <s v=""/>
    <n v="47.350743999999999"/>
    <n v="7.1561070000000004"/>
    <s v="Jura"/>
    <n v="26"/>
    <n v="1"/>
    <n v="0"/>
    <n v="252.39"/>
    <n v="4.093"/>
  </r>
  <r>
    <x v="49"/>
    <d v="1899-12-30T11:00:00"/>
    <x v="17"/>
    <m/>
    <n v="589"/>
    <n v="7"/>
    <n v="47"/>
    <n v="4"/>
    <m/>
    <m/>
    <n v="11"/>
    <s v="https://gesundheit.lu.ch/themen/Humanmedizin/Infektionskrankheiten/Coronavirus"/>
    <m/>
    <s v=""/>
    <m/>
    <s v=""/>
    <m/>
    <s v=""/>
    <n v="47.067762999999999"/>
    <n v="8.1102000000000007"/>
    <s v="Luzern"/>
    <n v="3"/>
    <n v="9"/>
    <n v="1"/>
    <n v="144.9"/>
    <n v="2.706"/>
  </r>
  <r>
    <x v="49"/>
    <d v="1899-12-30T16:00:00"/>
    <x v="14"/>
    <m/>
    <n v="606"/>
    <n v="-7"/>
    <n v="60"/>
    <n v="11"/>
    <n v="10"/>
    <m/>
    <n v="51"/>
    <s v="https://www.ne.ch/autorites/DFS/SCSP/medecin-cantonal/maladies-vaccinations/Documents/Covid-19-Statistiques/COVID19_PublicationInternet.pdf"/>
    <m/>
    <s v=""/>
    <m/>
    <s v=""/>
    <m/>
    <s v=""/>
    <n v="46.995533999999999"/>
    <n v="6.7801260000000001"/>
    <s v="Neuchâtel"/>
    <n v="24"/>
    <n v="11"/>
    <n v="3"/>
    <n v="340.45"/>
    <n v="28.652000000000001"/>
  </r>
  <r>
    <x v="49"/>
    <d v="1899-12-30T15:45:00"/>
    <x v="20"/>
    <m/>
    <n v="105"/>
    <n v="1"/>
    <n v="7"/>
    <n v="2"/>
    <m/>
    <m/>
    <n v="1"/>
    <s v="https://www.nw.ch/gesundheitsamtdienste/6044"/>
    <m/>
    <s v=""/>
    <m/>
    <s v=""/>
    <m/>
    <s v=""/>
    <n v="46.926755"/>
    <n v="8.4053020000000007"/>
    <s v="Nidwalden"/>
    <n v="7"/>
    <n v="1"/>
    <n v="0"/>
    <n v="244.19"/>
    <n v="2.3260000000000001"/>
  </r>
  <r>
    <x v="49"/>
    <d v="1899-12-30T15:45:00"/>
    <x v="23"/>
    <n v="6"/>
    <n v="64"/>
    <n v="-1"/>
    <n v="0"/>
    <m/>
    <m/>
    <n v="1"/>
    <n v="0"/>
    <s v="https://www.ow.ch/de/verwaltung/dienstleistungen/?dienst_id=5962"/>
    <m/>
    <s v=""/>
    <m/>
    <s v=""/>
    <m/>
    <s v=""/>
    <n v="46.804527"/>
    <n v="8.1443170000000009"/>
    <s v="Obwalden"/>
    <n v="6"/>
    <n v="2"/>
    <n v="0"/>
    <n v="170.21"/>
    <n v="0"/>
  </r>
  <r>
    <x v="49"/>
    <d v="1899-12-30T03:00:00"/>
    <x v="15"/>
    <m/>
    <n v="664"/>
    <n v="1"/>
    <n v="59"/>
    <n v="9"/>
    <m/>
    <n v="120"/>
    <n v="21"/>
    <s v="https://www.sg.ch/tools/informationen-coronavirus.html"/>
    <m/>
    <s v=""/>
    <m/>
    <s v=""/>
    <m/>
    <s v=""/>
    <n v="47.183199999999999"/>
    <n v="9.2747440000000001"/>
    <s v="St. Gallen"/>
    <n v="17"/>
    <n v="7"/>
    <n v="0"/>
    <n v="131.56"/>
    <n v="4.1609999999999996"/>
  </r>
  <r>
    <x v="49"/>
    <d v="1899-12-30T09:30:00"/>
    <x v="21"/>
    <m/>
    <n v="57"/>
    <n v="-6"/>
    <n v="10"/>
    <n v="2"/>
    <m/>
    <m/>
    <n v="1"/>
    <s v="https://sh.ch/CMS/Webseite/Kanton-Schaffhausen/Beh-rde/Verwaltung/Departement-des-Innern/Gesundheitsamt-3209198-DE.html"/>
    <m/>
    <s v=""/>
    <m/>
    <s v=""/>
    <m/>
    <s v=""/>
    <n v="47.713569999999997"/>
    <n v="8.5916700000000006"/>
    <s v="Schaffhausen"/>
    <n v="14"/>
    <n v="0"/>
    <n v="0"/>
    <n v="70.02"/>
    <n v="1.2290000000000001"/>
  </r>
  <r>
    <x v="49"/>
    <d v="1899-12-30T03:00:00"/>
    <x v="19"/>
    <m/>
    <n v="325"/>
    <n v="-1"/>
    <n v="22"/>
    <m/>
    <m/>
    <m/>
    <n v="8"/>
    <s v="https://corona.so.ch/"/>
    <m/>
    <s v=""/>
    <m/>
    <s v=""/>
    <m/>
    <s v=""/>
    <n v="47.304135000000002"/>
    <n v="7.6393880000000003"/>
    <s v="Solothurn"/>
    <n v="11"/>
    <n v="4"/>
    <n v="1"/>
    <n v="119.75"/>
    <n v="2.948"/>
  </r>
  <r>
    <x v="49"/>
    <d v="1899-12-30T03:00:00"/>
    <x v="16"/>
    <n v="10"/>
    <n v="258"/>
    <n v="0"/>
    <n v="1"/>
    <m/>
    <m/>
    <n v="128"/>
    <n v="13"/>
    <s v="https://www.sz.ch/public/upload/assets/46067/COVID-19_Fallzahlen_Kanton_Schwyz.xlsx"/>
    <m/>
    <s v=""/>
    <m/>
    <s v=""/>
    <m/>
    <s v=""/>
    <n v="47.061787000000002"/>
    <n v="8.7565849999999994"/>
    <s v="Schwyz"/>
    <n v="5"/>
    <n v="7"/>
    <n v="1"/>
    <n v="164.02"/>
    <n v="8.2639999999999993"/>
  </r>
  <r>
    <x v="49"/>
    <d v="1899-12-30T03:00:00"/>
    <x v="25"/>
    <n v="276"/>
    <n v="296"/>
    <n v="3"/>
    <n v="35"/>
    <n v="16"/>
    <m/>
    <m/>
    <n v="10"/>
    <s v="https://www.tg.ch/news/fachdossier-coronavirus.html/10552"/>
    <m/>
    <s v=""/>
    <m/>
    <s v=""/>
    <m/>
    <s v=""/>
    <n v="47.568714999999997"/>
    <n v="9.0919570000000007"/>
    <s v="Thurgau"/>
    <n v="1"/>
    <n v="4"/>
    <n v="2"/>
    <n v="108.11"/>
    <n v="3.6520000000000001"/>
  </r>
  <r>
    <x v="49"/>
    <d v="1899-12-30T08:00:00"/>
    <x v="1"/>
    <m/>
    <n v="2912"/>
    <n v="5"/>
    <n v="274"/>
    <n v="63"/>
    <n v="54"/>
    <n v="524"/>
    <n v="258"/>
    <s v="https://www4.ti.ch/area-media/comunicati/dettaglio-comunicato/?NEWS_ID=187617&amp;tx_tichareamedia_comunicazioni%5Baction%5D=show&amp;tx_tichareamedia_comunicazioni%5Bcontroller%5D=Comunicazioni&amp;cHash=64be59067038bfdaf603d60bfab0aa52"/>
    <m/>
    <s v=""/>
    <m/>
    <s v=""/>
    <m/>
    <s v=""/>
    <n v="46.295617"/>
    <n v="8.8089239999999993"/>
    <s v="Ticino"/>
    <n v="21"/>
    <n v="12"/>
    <n v="7"/>
    <n v="823.3"/>
    <n v="72.942999999999998"/>
  </r>
  <r>
    <x v="49"/>
    <d v="1899-12-30T14:00:00"/>
    <x v="22"/>
    <n v="85"/>
    <n v="78"/>
    <n v="-1"/>
    <n v="3"/>
    <m/>
    <m/>
    <n v="56"/>
    <n v="4"/>
    <s v="https://www.ur.ch/themen/2962"/>
    <m/>
    <s v=""/>
    <m/>
    <s v=""/>
    <m/>
    <s v=""/>
    <n v="46.771849000000003"/>
    <n v="8.6285860000000003"/>
    <s v="Uri"/>
    <n v="4"/>
    <n v="0"/>
    <n v="0"/>
    <n v="214.88"/>
    <n v="11.019"/>
  </r>
  <r>
    <x v="49"/>
    <d v="1899-12-30T03:00:00"/>
    <x v="9"/>
    <m/>
    <n v="4794"/>
    <n v="-17"/>
    <n v="286"/>
    <n v="63"/>
    <m/>
    <n v="225"/>
    <n v="265"/>
    <s v="https://www.vd.ch/toutes-les-actualites/hotline-et-informations-sur-le-coronavirus/point-de-situation-statistique-dans-le-canton-de-vaud/"/>
    <m/>
    <s v=""/>
    <m/>
    <s v=""/>
    <m/>
    <s v=""/>
    <n v="46.570090999999998"/>
    <n v="6.5578090000000007"/>
    <s v="Vaud"/>
    <n v="22"/>
    <n v="54"/>
    <n v="10"/>
    <n v="604.46"/>
    <n v="33.412999999999997"/>
  </r>
  <r>
    <x v="49"/>
    <d v="1899-12-30T15:00:00"/>
    <x v="10"/>
    <m/>
    <n v="1706"/>
    <n v="-6"/>
    <n v="101"/>
    <n v="20"/>
    <n v="11"/>
    <n v="165"/>
    <n v="94"/>
    <s v="https://www.vs.ch/documents/6756452/7008787/2020%2004%2012%20Sit%20Epid%20-%20%C3%89tat%20Stand"/>
    <m/>
    <s v=""/>
    <m/>
    <s v=""/>
    <m/>
    <s v=""/>
    <n v="46.209567"/>
    <n v="7.6046589999999998"/>
    <s v="Valais/Wallis"/>
    <n v="23"/>
    <n v="26"/>
    <n v="1"/>
    <n v="499.56"/>
    <n v="27.526"/>
  </r>
  <r>
    <x v="49"/>
    <d v="1899-12-30T08:00:00"/>
    <x v="11"/>
    <m/>
    <n v="171"/>
    <n v="0"/>
    <n v="13"/>
    <n v="9"/>
    <m/>
    <n v="88"/>
    <n v="5"/>
    <s v="https://www.zg.ch/behoerden/gesundheitsdirektion/statistikfachstelle/themen/gesundheit/corona"/>
    <m/>
    <s v=""/>
    <m/>
    <s v=""/>
    <m/>
    <s v=""/>
    <n v="47.157296000000002"/>
    <n v="8.5372939999999993"/>
    <s v="Zug"/>
    <n v="9"/>
    <n v="0"/>
    <n v="0"/>
    <n v="136.36000000000001"/>
    <n v="3.9870000000000001"/>
  </r>
  <r>
    <x v="49"/>
    <d v="1899-12-30T14:30:00"/>
    <x v="5"/>
    <m/>
    <n v="3066"/>
    <n v="-5"/>
    <n v="149"/>
    <m/>
    <n v="52"/>
    <m/>
    <n v="87"/>
    <s v="https://gd.zh.ch/internet/gesundheitsdirektion/de/themen/coronavirus.html"/>
    <m/>
    <s v=""/>
    <m/>
    <s v=""/>
    <m/>
    <s v=""/>
    <n v="47.412750000000003"/>
    <n v="8.6550799999999999"/>
    <s v="Zürich"/>
    <n v="1"/>
    <n v="47"/>
    <n v="4"/>
    <n v="203.82"/>
    <n v="5.7830000000000004"/>
  </r>
  <r>
    <x v="50"/>
    <d v="1899-12-30T14:45:00"/>
    <x v="6"/>
    <m/>
    <n v="929"/>
    <n v="-9"/>
    <n v="69"/>
    <n v="20"/>
    <n v="20"/>
    <n v="450"/>
    <n v="22"/>
    <s v="https://www.ag.ch/media/kanton_aargau/themen_1/coronavirus_1/lagebulletins/200415_KFS_Coronavirus_Lagebulletin_33.pdf"/>
    <m/>
    <s v=""/>
    <m/>
    <s v=""/>
    <m/>
    <s v=""/>
    <n v="47.409660000000002"/>
    <n v="8.1568799999999992"/>
    <s v="Aargau"/>
    <n v="1"/>
    <n v="17"/>
    <n v="3"/>
    <n v="138.44999999999999"/>
    <n v="3.2789999999999999"/>
  </r>
  <r>
    <x v="50"/>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0"/>
    <d v="1899-12-30T08:00:00"/>
    <x v="18"/>
    <m/>
    <n v="79"/>
    <n v="0"/>
    <n v="6"/>
    <m/>
    <m/>
    <m/>
    <n v="3"/>
    <s v="https://www.ar.ch/verwaltung/departement-gesundheit-und-soziales/amt-fuer-gesundheit/informationsseite-coronavirus/"/>
    <m/>
    <s v=""/>
    <m/>
    <s v=""/>
    <m/>
    <s v=""/>
    <n v="47.416351999999996"/>
    <n v="9.3679100000000002"/>
    <s v="Appenzell Ausserrhoden"/>
    <n v="15"/>
    <n v="0"/>
    <n v="0"/>
    <n v="143.12"/>
    <n v="5.4349999999999996"/>
  </r>
  <r>
    <x v="50"/>
    <d v="1899-12-30T08:00:00"/>
    <x v="7"/>
    <m/>
    <n v="1489"/>
    <n v="-3"/>
    <n v="82"/>
    <n v="30"/>
    <n v="18"/>
    <m/>
    <n v="53"/>
    <s v="https://www.besondere-lage.sites.be.ch/besondere-lage_sites/de/index/corona/index.html"/>
    <m/>
    <s v=""/>
    <m/>
    <s v=""/>
    <m/>
    <s v=""/>
    <n v="46.823608"/>
    <n v="7.6366670000000001"/>
    <s v="Bern/Berne"/>
    <n v="2"/>
    <n v="19"/>
    <n v="4"/>
    <n v="144.41"/>
    <n v="5.14"/>
  </r>
  <r>
    <x v="50"/>
    <d v="1899-12-30T03:00:00"/>
    <x v="8"/>
    <m/>
    <n v="768"/>
    <n v="-3"/>
    <n v="45"/>
    <n v="9"/>
    <n v="7"/>
    <n v="610"/>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67.60000000000002"/>
    <n v="8.7110000000000003"/>
  </r>
  <r>
    <x v="50"/>
    <d v="1899-12-30T10:00:00"/>
    <x v="2"/>
    <n v="235"/>
    <n v="909"/>
    <n v="-6"/>
    <n v="80"/>
    <n v="7"/>
    <m/>
    <n v="682"/>
    <n v="36"/>
    <s v="https://www.gd.bs.ch//nm/2020-tagesbulletin-coronavirus-909-bestaetigte-faelle-im-kanton-basel-stadt-gd.html"/>
    <n v="492"/>
    <s v="22.0"/>
    <m/>
    <s v=""/>
    <m/>
    <s v=""/>
    <n v="47.564869000000002"/>
    <n v="7.615259"/>
    <s v="Basel-Stadt"/>
    <n v="12"/>
    <n v="10"/>
    <n v="2"/>
    <n v="468.8"/>
    <n v="18.565999999999999"/>
  </r>
  <r>
    <x v="50"/>
    <d v="1899-12-30T03:00:00"/>
    <x v="3"/>
    <n v="900"/>
    <n v="80"/>
    <n v="0"/>
    <m/>
    <m/>
    <m/>
    <n v="1"/>
    <n v="1"/>
    <s v="https://www.regierung.li/media/attachments/194-corona-neue-wege-zur-messung-0415.pdf?t=637225709239139141"/>
    <m/>
    <s v=""/>
    <m/>
    <s v=""/>
    <m/>
    <s v=""/>
    <n v="47.166666999999997"/>
    <n v="9.509722"/>
    <s v="Fürstentum Lichtenstein"/>
    <n v="0"/>
    <n v="0"/>
    <n v="0"/>
    <n v="207.25"/>
    <n v="2.5910000000000002"/>
  </r>
  <r>
    <x v="50"/>
    <d v="1899-12-30T03:00:00"/>
    <x v="12"/>
    <n v="30"/>
    <n v="890"/>
    <n v="-7"/>
    <n v="61"/>
    <n v="16"/>
    <m/>
    <n v="105"/>
    <n v="63"/>
    <s v="https://www.fr.ch/covid19/sante/covid-19/coronavirus-statistiques-evolution-de-la-situation-dans-le-canton"/>
    <m/>
    <s v=""/>
    <m/>
    <s v=""/>
    <m/>
    <s v=""/>
    <n v="46.718390999999997"/>
    <n v="7.0740080000000001"/>
    <s v="Fribourg"/>
    <n v="10"/>
    <n v="11"/>
    <n v="6"/>
    <n v="282.45"/>
    <n v="19.994"/>
  </r>
  <r>
    <x v="50"/>
    <d v="1899-12-30T03:00:00"/>
    <x v="0"/>
    <n v="20296"/>
    <n v="4480"/>
    <n v="-13"/>
    <n v="352"/>
    <n v="41"/>
    <n v="37"/>
    <n v="502"/>
    <n v="184"/>
    <s v="https://www.ge.ch/document/covid-19-situation-epidemiologique-geneve/telecharger"/>
    <m/>
    <s v=""/>
    <m/>
    <s v=""/>
    <n v="26"/>
    <s v=""/>
    <n v="46.220528000000002"/>
    <n v="6.1329349999999998"/>
    <s v="Genève"/>
    <n v="25"/>
    <n v="66"/>
    <n v="4"/>
    <n v="904.68"/>
    <n v="37.156999999999996"/>
  </r>
  <r>
    <x v="50"/>
    <d v="1899-12-30T12:00:00"/>
    <x v="13"/>
    <m/>
    <n v="105"/>
    <n v="0"/>
    <n v="2"/>
    <m/>
    <m/>
    <m/>
    <n v="2"/>
    <s v="https://www.gl.ch/verwaltung/finanzen-und-gesundheit/gesundheit/coronavirus.html/4817#Fallzahlen"/>
    <m/>
    <s v=""/>
    <m/>
    <s v=""/>
    <m/>
    <s v=""/>
    <n v="46.931042000000005"/>
    <n v="9.0657510000000006"/>
    <s v="Glarus"/>
    <n v="8"/>
    <n v="0"/>
    <n v="0"/>
    <n v="260.55"/>
    <n v="4.9630000000000001"/>
  </r>
  <r>
    <x v="50"/>
    <d v="1899-12-30T03:00:00"/>
    <x v="26"/>
    <m/>
    <n v="746"/>
    <n v="2"/>
    <n v="36"/>
    <m/>
    <m/>
    <m/>
    <n v="38"/>
    <s v="https://www.gr.ch/DE/institutionen/verwaltung/djsg/ga/coronavirus/info/Seiten/Start.aspx"/>
    <m/>
    <s v=""/>
    <m/>
    <s v=""/>
    <m/>
    <s v=""/>
    <n v="46.656247999999998"/>
    <n v="9.6281979999999994"/>
    <s v="Graubünden/Grigioni"/>
    <n v="1"/>
    <n v="6"/>
    <n v="1"/>
    <n v="376.96"/>
    <n v="19.202000000000002"/>
  </r>
  <r>
    <x v="50"/>
    <d v="1899-12-30T16:00:00"/>
    <x v="4"/>
    <m/>
    <n v="188"/>
    <n v="-4"/>
    <n v="17"/>
    <n v="5"/>
    <m/>
    <m/>
    <n v="3"/>
    <s v="https://www.jura.ch/fr/Autorites/Coronavirus/Accueil/Coronavirus-Informations-officielles-a-la-population-jurassienne.html"/>
    <m/>
    <s v=""/>
    <m/>
    <s v=""/>
    <m/>
    <s v=""/>
    <n v="47.350743999999999"/>
    <n v="7.1561070000000004"/>
    <s v="Jura"/>
    <n v="26"/>
    <n v="3"/>
    <n v="0"/>
    <n v="256.48"/>
    <n v="4.093"/>
  </r>
  <r>
    <x v="50"/>
    <d v="1899-12-30T11:00:00"/>
    <x v="17"/>
    <m/>
    <n v="596"/>
    <n v="-1"/>
    <n v="46"/>
    <n v="4"/>
    <m/>
    <m/>
    <n v="12"/>
    <s v="https://gesundheit.lu.ch/themen/Humanmedizin/Infektionskrankheiten/Coronavirus"/>
    <m/>
    <s v=""/>
    <m/>
    <s v=""/>
    <m/>
    <s v=""/>
    <n v="47.067762999999999"/>
    <n v="8.1102000000000007"/>
    <s v="Luzern"/>
    <n v="3"/>
    <n v="7"/>
    <n v="1"/>
    <n v="146.62"/>
    <n v="2.952"/>
  </r>
  <r>
    <x v="50"/>
    <d v="1899-12-30T16:00:00"/>
    <x v="14"/>
    <m/>
    <n v="619"/>
    <n v="-6"/>
    <n v="54"/>
    <n v="12"/>
    <n v="10"/>
    <m/>
    <n v="52"/>
    <s v="https://www.ne.ch/autorites/DFS/SCSP/medecin-cantonal/maladies-vaccinations/Documents/Covid-19-Statistiques/COVID19_PublicationInternet.pdf"/>
    <m/>
    <s v=""/>
    <m/>
    <s v=""/>
    <m/>
    <s v=""/>
    <n v="46.995533999999999"/>
    <n v="6.7801260000000001"/>
    <s v="Neuchâtel"/>
    <n v="24"/>
    <n v="13"/>
    <n v="1"/>
    <n v="347.75"/>
    <n v="29.213000000000001"/>
  </r>
  <r>
    <x v="50"/>
    <d v="1899-12-30T17:30:00"/>
    <x v="20"/>
    <m/>
    <n v="106"/>
    <n v="0"/>
    <n v="7"/>
    <n v="2"/>
    <m/>
    <m/>
    <n v="2"/>
    <s v="https://www.nw.ch/gesundheitsamtdienste/6044"/>
    <m/>
    <s v=""/>
    <m/>
    <s v=""/>
    <m/>
    <s v=""/>
    <n v="46.926755"/>
    <n v="8.4053020000000007"/>
    <s v="Nidwalden"/>
    <n v="7"/>
    <n v="1"/>
    <n v="1"/>
    <n v="246.51"/>
    <n v="4.6509999999999998"/>
  </r>
  <r>
    <x v="50"/>
    <d v="1899-12-30T15:25:00"/>
    <x v="23"/>
    <n v="6"/>
    <n v="64"/>
    <n v="0"/>
    <n v="0"/>
    <m/>
    <m/>
    <n v="1"/>
    <n v="0"/>
    <s v="https://www.ow.ch/de/verwaltung/dienstleistungen/?dienst_id=5962"/>
    <m/>
    <s v=""/>
    <m/>
    <s v=""/>
    <m/>
    <s v=""/>
    <n v="46.804527"/>
    <n v="8.1443170000000009"/>
    <s v="Obwalden"/>
    <n v="6"/>
    <n v="0"/>
    <n v="0"/>
    <n v="170.21"/>
    <n v="0"/>
  </r>
  <r>
    <x v="50"/>
    <d v="1899-12-30T03:00:00"/>
    <x v="15"/>
    <m/>
    <n v="676"/>
    <n v="-12"/>
    <n v="47"/>
    <n v="9"/>
    <m/>
    <n v="123"/>
    <n v="23"/>
    <s v="https://www.sg.ch/tools/informationen-coronavirus.html"/>
    <m/>
    <s v=""/>
    <m/>
    <s v=""/>
    <m/>
    <s v=""/>
    <n v="47.183199999999999"/>
    <n v="9.2747440000000001"/>
    <s v="St. Gallen"/>
    <n v="17"/>
    <n v="12"/>
    <n v="2"/>
    <n v="133.94"/>
    <n v="4.5570000000000004"/>
  </r>
  <r>
    <x v="50"/>
    <d v="1899-12-30T09:30:00"/>
    <x v="21"/>
    <m/>
    <n v="59"/>
    <n v="1"/>
    <n v="11"/>
    <n v="2"/>
    <m/>
    <m/>
    <n v="1"/>
    <s v="https://sh.ch/CMS/Webseite/Kanton-Schaffhausen/Beh-rde/Verwaltung/Departement-des-Innern/Gesundheitsamt-3209198-DE.html"/>
    <m/>
    <s v=""/>
    <m/>
    <s v=""/>
    <m/>
    <s v=""/>
    <n v="47.713569999999997"/>
    <n v="8.5916700000000006"/>
    <s v="Schaffhausen"/>
    <n v="14"/>
    <n v="2"/>
    <n v="0"/>
    <n v="72.48"/>
    <n v="1.2290000000000001"/>
  </r>
  <r>
    <x v="50"/>
    <d v="1899-12-30T03:00:00"/>
    <x v="19"/>
    <m/>
    <n v="329"/>
    <n v="0"/>
    <n v="22"/>
    <m/>
    <m/>
    <m/>
    <n v="8"/>
    <s v="https://corona.so.ch/"/>
    <m/>
    <s v=""/>
    <m/>
    <s v=""/>
    <m/>
    <s v=""/>
    <n v="47.304135000000002"/>
    <n v="7.6393880000000003"/>
    <s v="Solothurn"/>
    <n v="11"/>
    <n v="4"/>
    <n v="0"/>
    <n v="121.22"/>
    <n v="2.948"/>
  </r>
  <r>
    <x v="50"/>
    <d v="1899-12-30T03:00:00"/>
    <x v="16"/>
    <n v="10"/>
    <n v="261"/>
    <n v="0"/>
    <n v="1"/>
    <m/>
    <m/>
    <n v="144"/>
    <n v="13"/>
    <s v="https://www.sz.ch/public/upload/assets/46093/COVID-19_Fallzahlen_Kanton_Schwyz.xlsx"/>
    <m/>
    <s v=""/>
    <m/>
    <s v=""/>
    <m/>
    <s v=""/>
    <n v="47.061787000000002"/>
    <n v="8.7565849999999994"/>
    <s v="Schwyz"/>
    <n v="5"/>
    <n v="3"/>
    <n v="0"/>
    <n v="165.92"/>
    <n v="8.2639999999999993"/>
  </r>
  <r>
    <x v="50"/>
    <d v="1899-12-30T03:00:00"/>
    <x v="25"/>
    <n v="276"/>
    <n v="302"/>
    <n v="-7"/>
    <n v="28"/>
    <n v="14"/>
    <m/>
    <m/>
    <n v="11"/>
    <s v="https://www.tg.ch/news/fachdossier-coronavirus.html/10552"/>
    <m/>
    <s v=""/>
    <m/>
    <s v=""/>
    <m/>
    <s v=""/>
    <n v="47.568714999999997"/>
    <n v="9.0919570000000007"/>
    <s v="Thurgau"/>
    <n v="1"/>
    <n v="6"/>
    <n v="1"/>
    <n v="110.3"/>
    <n v="4.0179999999999998"/>
  </r>
  <r>
    <x v="50"/>
    <d v="1899-12-30T08:00:00"/>
    <x v="1"/>
    <m/>
    <n v="2927"/>
    <n v="-9"/>
    <n v="265"/>
    <n v="60"/>
    <n v="50"/>
    <n v="548"/>
    <n v="263"/>
    <s v="https://www4.ti.ch/area-media/comunicati/dettaglio-comunicato/?NEWS_ID=187624&amp;tx_tichareamedia_comunicazioni%5Baction%5D=show&amp;tx_tichareamedia_comunicazioni%5Bcontroller%5D=Comunicazioni&amp;cHash=c6ac05de202d47a4a41e41ec4d16b3b1"/>
    <m/>
    <s v=""/>
    <m/>
    <s v=""/>
    <m/>
    <s v=""/>
    <n v="46.295617"/>
    <n v="8.8089239999999993"/>
    <s v="Ticino"/>
    <n v="21"/>
    <n v="15"/>
    <n v="5"/>
    <n v="827.54"/>
    <n v="74.356999999999999"/>
  </r>
  <r>
    <x v="50"/>
    <d v="1899-12-30T16:00:00"/>
    <x v="22"/>
    <n v="85"/>
    <n v="78"/>
    <n v="0"/>
    <n v="3"/>
    <m/>
    <m/>
    <n v="62"/>
    <n v="4"/>
    <s v="https://www.ur.ch/themen/2962"/>
    <m/>
    <s v=""/>
    <m/>
    <s v=""/>
    <m/>
    <s v=""/>
    <n v="46.771849000000003"/>
    <n v="8.6285860000000003"/>
    <s v="Uri"/>
    <n v="4"/>
    <n v="0"/>
    <n v="0"/>
    <n v="214.88"/>
    <n v="11.019"/>
  </r>
  <r>
    <x v="50"/>
    <d v="1899-12-30T03:00:00"/>
    <x v="9"/>
    <m/>
    <n v="4843"/>
    <n v="-27"/>
    <n v="259"/>
    <n v="59"/>
    <m/>
    <n v="225"/>
    <n v="282"/>
    <s v="https://www.vd.ch/toutes-les-actualites/hotline-et-informations-sur-le-coronavirus/point-de-situation-statistique-dans-le-canton-de-vaud/"/>
    <m/>
    <s v=""/>
    <m/>
    <s v=""/>
    <m/>
    <s v=""/>
    <n v="46.570090999999998"/>
    <n v="6.5578090000000007"/>
    <s v="Vaud"/>
    <n v="22"/>
    <n v="49"/>
    <n v="17"/>
    <n v="610.64"/>
    <n v="35.557000000000002"/>
  </r>
  <r>
    <x v="50"/>
    <d v="1899-12-30T15:00:00"/>
    <x v="10"/>
    <m/>
    <n v="1722"/>
    <n v="-7"/>
    <n v="94"/>
    <n v="20"/>
    <n v="12"/>
    <n v="175"/>
    <n v="94"/>
    <s v="https://www.vs.ch/documents/6756452/7008787/2020%2004%2012%20Sit%20Epid%20-%20%C3%89tat%20Stand"/>
    <m/>
    <s v=""/>
    <m/>
    <s v=""/>
    <m/>
    <s v=""/>
    <n v="46.209567"/>
    <n v="7.6046589999999998"/>
    <s v="Valais/Wallis"/>
    <n v="23"/>
    <n v="16"/>
    <n v="0"/>
    <n v="504.25"/>
    <n v="27.526"/>
  </r>
  <r>
    <x v="50"/>
    <d v="1899-12-30T08:00:00"/>
    <x v="11"/>
    <m/>
    <n v="171"/>
    <n v="-4"/>
    <n v="9"/>
    <n v="7"/>
    <m/>
    <n v="92"/>
    <n v="6"/>
    <s v="https://www.zg.ch/behoerden/gesundheitsdirektion/statistikfachstelle/themen/gesundheit/corona"/>
    <m/>
    <s v=""/>
    <m/>
    <s v=""/>
    <m/>
    <s v=""/>
    <n v="47.157296000000002"/>
    <n v="8.5372939999999993"/>
    <s v="Zug"/>
    <n v="9"/>
    <n v="0"/>
    <n v="1"/>
    <n v="136.36000000000001"/>
    <n v="4.7850000000000001"/>
  </r>
  <r>
    <x v="50"/>
    <d v="1899-12-30T14:30:00"/>
    <x v="5"/>
    <m/>
    <n v="3113"/>
    <n v="-13"/>
    <n v="136"/>
    <m/>
    <n v="50"/>
    <m/>
    <n v="91"/>
    <s v="https://gd.zh.ch/internet/gesundheitsdirektion/de/themen/coronavirus.html"/>
    <m/>
    <s v=""/>
    <m/>
    <s v=""/>
    <m/>
    <s v=""/>
    <n v="47.412750000000003"/>
    <n v="8.6550799999999999"/>
    <s v="Zürich"/>
    <n v="1"/>
    <n v="47"/>
    <n v="4"/>
    <n v="206.94"/>
    <n v="6.0490000000000004"/>
  </r>
  <r>
    <x v="51"/>
    <d v="1899-12-30T14:45:00"/>
    <x v="6"/>
    <m/>
    <n v="943"/>
    <n v="-8"/>
    <n v="61"/>
    <n v="20"/>
    <n v="20"/>
    <n v="500"/>
    <n v="23"/>
    <s v="https://www.ag.ch/media/kanton_aargau/themen_1/coronavirus_1/lagebulletins/200416_KFS_Coronavirus_Lagebulletin_34.pdf"/>
    <m/>
    <s v=""/>
    <m/>
    <s v=""/>
    <m/>
    <s v=""/>
    <n v="47.409660000000002"/>
    <n v="8.1568799999999992"/>
    <s v="Aargau"/>
    <n v="1"/>
    <n v="14"/>
    <n v="1"/>
    <n v="140.54"/>
    <n v="3.4279999999999999"/>
  </r>
  <r>
    <x v="51"/>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1"/>
    <d v="1899-12-30T08:00:00"/>
    <x v="18"/>
    <m/>
    <n v="79"/>
    <n v="0"/>
    <n v="6"/>
    <m/>
    <m/>
    <m/>
    <n v="3"/>
    <s v="https://www.ar.ch/verwaltung/departement-gesundheit-und-soziales/amt-fuer-gesundheit/informationsseite-coronavirus/"/>
    <m/>
    <s v=""/>
    <m/>
    <s v=""/>
    <m/>
    <s v=""/>
    <n v="47.416351999999996"/>
    <n v="9.3679100000000002"/>
    <s v="Appenzell Ausserrhoden"/>
    <n v="15"/>
    <n v="0"/>
    <n v="0"/>
    <n v="143.12"/>
    <n v="5.4349999999999996"/>
  </r>
  <r>
    <x v="51"/>
    <d v="1899-12-30T08:00:00"/>
    <x v="7"/>
    <m/>
    <n v="1515"/>
    <n v="-12"/>
    <n v="70"/>
    <n v="26"/>
    <n v="12"/>
    <m/>
    <n v="55"/>
    <s v="https://www.besondere-lage.sites.be.ch/besondere-lage_sites/de/index/corona/index.html"/>
    <m/>
    <s v=""/>
    <m/>
    <s v=""/>
    <m/>
    <s v=""/>
    <n v="46.823608"/>
    <n v="7.6366670000000001"/>
    <s v="Bern/Berne"/>
    <n v="2"/>
    <n v="26"/>
    <n v="2"/>
    <n v="146.93"/>
    <n v="5.3339999999999996"/>
  </r>
  <r>
    <x v="51"/>
    <d v="1899-12-30T03:00:00"/>
    <x v="8"/>
    <m/>
    <n v="781"/>
    <n v="1"/>
    <n v="46"/>
    <n v="8"/>
    <n v="6"/>
    <n v="623"/>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2.13"/>
    <n v="8.7110000000000003"/>
  </r>
  <r>
    <x v="51"/>
    <d v="1899-12-30T09:00:00"/>
    <x v="2"/>
    <n v="235"/>
    <n v="917"/>
    <n v="-4"/>
    <n v="76"/>
    <n v="6"/>
    <m/>
    <n v="711"/>
    <n v="37"/>
    <s v="https://www.gd.bs.ch//nm/2020-tagesbulletin-coronavirus-917-bestaetigte-faelle-im-kanton-basel-stadt-gd.html"/>
    <n v="499"/>
    <s v="22.0"/>
    <m/>
    <s v=""/>
    <m/>
    <s v=""/>
    <n v="47.564869000000002"/>
    <n v="7.615259"/>
    <s v="Basel-Stadt"/>
    <n v="12"/>
    <n v="8"/>
    <n v="1"/>
    <n v="472.92"/>
    <n v="19.082000000000001"/>
  </r>
  <r>
    <x v="51"/>
    <d v="1899-12-30T03:00:00"/>
    <x v="3"/>
    <n v="900"/>
    <n v="80"/>
    <n v="0"/>
    <m/>
    <m/>
    <m/>
    <n v="1"/>
    <n v="1"/>
    <s v="https://www.regierung.li/media/attachments/196-corona-regierung-informiert-freitag-0416.pdf?t=637226573940474014"/>
    <m/>
    <s v=""/>
    <m/>
    <s v=""/>
    <m/>
    <s v=""/>
    <n v="47.166666999999997"/>
    <n v="9.509722"/>
    <s v="Fürstentum Lichtenstein"/>
    <n v="0"/>
    <n v="0"/>
    <n v="0"/>
    <n v="207.25"/>
    <n v="2.5910000000000002"/>
  </r>
  <r>
    <x v="51"/>
    <d v="1899-12-30T03:00:00"/>
    <x v="12"/>
    <n v="30"/>
    <n v="907"/>
    <n v="-1"/>
    <n v="60"/>
    <n v="15"/>
    <m/>
    <n v="105"/>
    <n v="65"/>
    <s v="https://www.fr.ch/covid19/sante/covid-19/coronavirus-statistiques-evolution-de-la-situation-dans-le-canton"/>
    <m/>
    <s v=""/>
    <m/>
    <s v=""/>
    <m/>
    <s v=""/>
    <n v="46.718390999999997"/>
    <n v="7.0740080000000001"/>
    <s v="Fribourg"/>
    <n v="10"/>
    <n v="17"/>
    <n v="2"/>
    <n v="287.85000000000002"/>
    <n v="20.628"/>
  </r>
  <r>
    <x v="51"/>
    <d v="1899-12-30T03:00:00"/>
    <x v="0"/>
    <n v="20988"/>
    <n v="4545"/>
    <n v="-2"/>
    <n v="350"/>
    <n v="38"/>
    <n v="33"/>
    <n v="520"/>
    <n v="190"/>
    <s v="https://www.ge.ch/document/covid-19-situation-epidemiologique-geneve/telecharger"/>
    <m/>
    <s v=""/>
    <m/>
    <s v=""/>
    <n v="27"/>
    <s v=""/>
    <n v="46.220528000000002"/>
    <n v="6.1329349999999998"/>
    <s v="Genève"/>
    <n v="25"/>
    <n v="65"/>
    <n v="6"/>
    <n v="917.81"/>
    <n v="38.368000000000002"/>
  </r>
  <r>
    <x v="51"/>
    <d v="1899-12-30T13:00:00"/>
    <x v="13"/>
    <m/>
    <n v="106"/>
    <n v="2"/>
    <n v="4"/>
    <m/>
    <m/>
    <m/>
    <n v="3"/>
    <s v="https://www.gl.ch/verwaltung/finanzen-und-gesundheit/gesundheit/coronavirus.html/4817#Fallzahlen"/>
    <m/>
    <s v=""/>
    <m/>
    <s v=""/>
    <m/>
    <s v=""/>
    <n v="46.931042000000005"/>
    <n v="9.0657510000000006"/>
    <s v="Glarus"/>
    <n v="8"/>
    <n v="1"/>
    <n v="1"/>
    <n v="263.02999999999997"/>
    <n v="7.444"/>
  </r>
  <r>
    <x v="51"/>
    <d v="1899-12-30T03:00:00"/>
    <x v="26"/>
    <m/>
    <n v="752"/>
    <n v="1"/>
    <n v="37"/>
    <m/>
    <m/>
    <m/>
    <n v="39"/>
    <s v="https://www.gr.ch/DE/institutionen/verwaltung/djsg/ga/coronavirus/info/Seiten/Start.aspx"/>
    <m/>
    <s v=""/>
    <m/>
    <s v=""/>
    <m/>
    <s v=""/>
    <n v="46.656247999999998"/>
    <n v="9.6281979999999994"/>
    <s v="Graubünden/Grigioni"/>
    <n v="1"/>
    <n v="6"/>
    <n v="1"/>
    <n v="379.99"/>
    <n v="19.707000000000001"/>
  </r>
  <r>
    <x v="51"/>
    <d v="1899-12-30T16:00:00"/>
    <x v="4"/>
    <m/>
    <n v="189"/>
    <n v="1"/>
    <n v="18"/>
    <n v="5"/>
    <m/>
    <m/>
    <n v="3"/>
    <s v="https://www.jura.ch/fr/Autorites/Coronavirus/Accueil/Coronavirus-Informations-officielles-a-la-population-jurassienne.html"/>
    <m/>
    <s v=""/>
    <m/>
    <s v=""/>
    <m/>
    <s v=""/>
    <n v="47.350743999999999"/>
    <n v="7.1561070000000004"/>
    <s v="Jura"/>
    <n v="26"/>
    <n v="1"/>
    <n v="0"/>
    <n v="257.83999999999997"/>
    <n v="4.093"/>
  </r>
  <r>
    <x v="51"/>
    <d v="1899-12-30T12:30:00"/>
    <x v="17"/>
    <m/>
    <n v="599"/>
    <n v="-6"/>
    <n v="40"/>
    <n v="3"/>
    <m/>
    <m/>
    <n v="13"/>
    <s v="https://gesundheit.lu.ch/themen/Humanmedizin/Infektionskrankheiten/Coronavirus"/>
    <m/>
    <s v=""/>
    <m/>
    <s v=""/>
    <m/>
    <s v=""/>
    <n v="47.067762999999999"/>
    <n v="8.1102000000000007"/>
    <s v="Luzern"/>
    <n v="3"/>
    <n v="3"/>
    <n v="1"/>
    <n v="147.36000000000001"/>
    <n v="3.198"/>
  </r>
  <r>
    <x v="51"/>
    <d v="1899-12-30T16:00:00"/>
    <x v="14"/>
    <m/>
    <n v="627"/>
    <n v="-2"/>
    <n v="52"/>
    <n v="11"/>
    <n v="9"/>
    <m/>
    <n v="53"/>
    <s v="https://www.ne.ch/autorites/DFS/SCSP/medecin-cantonal/maladies-vaccinations/Documents/Covid-19-Statistiques/COVID19_PublicationInternet.pdf"/>
    <m/>
    <s v=""/>
    <m/>
    <s v=""/>
    <m/>
    <s v=""/>
    <n v="46.995533999999999"/>
    <n v="6.7801260000000001"/>
    <s v="Neuchâtel"/>
    <n v="24"/>
    <n v="8"/>
    <n v="1"/>
    <n v="352.25"/>
    <n v="29.774999999999999"/>
  </r>
  <r>
    <x v="51"/>
    <d v="1899-12-30T17:10:00"/>
    <x v="20"/>
    <m/>
    <n v="106"/>
    <n v="-2"/>
    <n v="5"/>
    <n v="2"/>
    <m/>
    <m/>
    <n v="2"/>
    <s v="https://www.nw.ch/gesundheitsamtdienste/6044"/>
    <m/>
    <s v=""/>
    <m/>
    <s v=""/>
    <m/>
    <s v=""/>
    <n v="46.926755"/>
    <n v="8.4053020000000007"/>
    <s v="Nidwalden"/>
    <n v="7"/>
    <n v="0"/>
    <n v="0"/>
    <n v="246.51"/>
    <n v="4.6509999999999998"/>
  </r>
  <r>
    <x v="51"/>
    <d v="1899-12-30T15:30:00"/>
    <x v="23"/>
    <n v="6"/>
    <n v="65"/>
    <n v="0"/>
    <n v="0"/>
    <m/>
    <m/>
    <n v="1"/>
    <n v="0"/>
    <s v="https://www.ow.ch/de/verwaltung/dienstleistungen/?dienst_id=5962"/>
    <m/>
    <s v=""/>
    <m/>
    <s v=""/>
    <m/>
    <s v=""/>
    <n v="46.804527"/>
    <n v="8.1443170000000009"/>
    <s v="Obwalden"/>
    <n v="6"/>
    <n v="1"/>
    <n v="0"/>
    <n v="172.87"/>
    <n v="0"/>
  </r>
  <r>
    <x v="51"/>
    <d v="1899-12-30T03:00:00"/>
    <x v="15"/>
    <m/>
    <n v="680"/>
    <n v="9"/>
    <n v="56"/>
    <n v="7"/>
    <m/>
    <n v="138"/>
    <n v="25"/>
    <s v="https://www.sg.ch/tools/informationen-coronavirus.html"/>
    <m/>
    <s v=""/>
    <m/>
    <s v=""/>
    <m/>
    <s v=""/>
    <n v="47.183199999999999"/>
    <n v="9.2747440000000001"/>
    <s v="St. Gallen"/>
    <n v="17"/>
    <n v="4"/>
    <n v="2"/>
    <n v="134.72999999999999"/>
    <n v="4.9530000000000003"/>
  </r>
  <r>
    <x v="51"/>
    <d v="1899-12-30T09:30:00"/>
    <x v="21"/>
    <m/>
    <n v="60"/>
    <n v="-1"/>
    <n v="10"/>
    <n v="2"/>
    <m/>
    <m/>
    <n v="1"/>
    <s v="https://sh.ch/CMS/Webseite/Kanton-Schaffhausen/Beh-rde/Verwaltung/Departement-des-Innern/Gesundheitsamt-3209198-DE.html"/>
    <m/>
    <s v=""/>
    <m/>
    <s v=""/>
    <m/>
    <s v=""/>
    <n v="47.713569999999997"/>
    <n v="8.5916700000000006"/>
    <s v="Schaffhausen"/>
    <n v="14"/>
    <n v="1"/>
    <n v="0"/>
    <n v="73.709999999999994"/>
    <n v="1.2290000000000001"/>
  </r>
  <r>
    <x v="51"/>
    <d v="1899-12-30T03:00:00"/>
    <x v="19"/>
    <m/>
    <n v="343"/>
    <n v="0"/>
    <n v="22"/>
    <m/>
    <m/>
    <m/>
    <n v="8"/>
    <s v="https://corona.so.ch/"/>
    <m/>
    <s v=""/>
    <m/>
    <s v=""/>
    <m/>
    <s v=""/>
    <n v="47.304135000000002"/>
    <n v="7.6393880000000003"/>
    <s v="Solothurn"/>
    <n v="11"/>
    <n v="14"/>
    <n v="0"/>
    <n v="126.38"/>
    <n v="2.948"/>
  </r>
  <r>
    <x v="51"/>
    <d v="1899-12-30T03:00:00"/>
    <x v="16"/>
    <n v="10"/>
    <n v="265"/>
    <n v="0"/>
    <n v="1"/>
    <m/>
    <m/>
    <n v="154"/>
    <n v="14"/>
    <s v="https://www.sz.ch/public/upload/assets/46137/COVID-19_Fallzahlen_Kanton_Schwyz.xlsx"/>
    <m/>
    <s v=""/>
    <m/>
    <s v=""/>
    <m/>
    <s v=""/>
    <n v="47.061787000000002"/>
    <n v="8.7565849999999994"/>
    <s v="Schwyz"/>
    <n v="5"/>
    <n v="4"/>
    <n v="1"/>
    <n v="168.47"/>
    <n v="8.9"/>
  </r>
  <r>
    <x v="51"/>
    <d v="1899-12-30T03:00:00"/>
    <x v="25"/>
    <n v="276"/>
    <n v="308"/>
    <n v="0"/>
    <n v="28"/>
    <n v="14"/>
    <m/>
    <m/>
    <n v="11"/>
    <s v="https://www.tg.ch/news/fachdossier-coronavirus.html/10552"/>
    <m/>
    <s v=""/>
    <m/>
    <s v=""/>
    <m/>
    <s v=""/>
    <n v="47.568714999999997"/>
    <n v="9.0919570000000007"/>
    <s v="Thurgau"/>
    <n v="1"/>
    <n v="6"/>
    <n v="0"/>
    <n v="112.49"/>
    <n v="4.0179999999999998"/>
  </r>
  <r>
    <x v="51"/>
    <d v="1899-12-30T08:00:00"/>
    <x v="1"/>
    <m/>
    <n v="2953"/>
    <n v="-16"/>
    <n v="249"/>
    <n v="59"/>
    <n v="49"/>
    <n v="568"/>
    <n v="269"/>
    <s v="https://www4.ti.ch/area-media/comunicati/dettaglio-comunicato/?NEWS_ID=187632&amp;tx_tichareamedia_comunicazioni%5Baction%5D=show&amp;tx_tichareamedia_comunicazioni%5Bcontroller%5D=Comunicazioni&amp;cHash=65b441f9003d32defd9e1c4f2650c177"/>
    <m/>
    <s v=""/>
    <m/>
    <s v=""/>
    <m/>
    <s v=""/>
    <n v="46.295617"/>
    <n v="8.8089239999999993"/>
    <s v="Ticino"/>
    <n v="21"/>
    <n v="26"/>
    <n v="6"/>
    <n v="834.89"/>
    <n v="76.052999999999997"/>
  </r>
  <r>
    <x v="51"/>
    <d v="1899-12-30T15:00:00"/>
    <x v="22"/>
    <n v="85"/>
    <n v="78"/>
    <n v="-1"/>
    <n v="2"/>
    <m/>
    <m/>
    <n v="62"/>
    <n v="5"/>
    <s v="https://www.ur.ch/themen/2962"/>
    <m/>
    <s v=""/>
    <m/>
    <s v=""/>
    <m/>
    <s v=""/>
    <n v="46.771849000000003"/>
    <n v="8.6285860000000003"/>
    <s v="Uri"/>
    <n v="4"/>
    <n v="0"/>
    <n v="1"/>
    <n v="214.88"/>
    <n v="13.773999999999999"/>
  </r>
  <r>
    <x v="51"/>
    <d v="1899-12-30T03:00:00"/>
    <x v="9"/>
    <m/>
    <n v="4886"/>
    <n v="-6"/>
    <n v="253"/>
    <n v="57"/>
    <m/>
    <n v="225"/>
    <n v="292"/>
    <s v="https://www.vd.ch/toutes-les-actualites/hotline-et-informations-sur-le-coronavirus/point-de-situation-statistique-dans-le-canton-de-vaud/"/>
    <m/>
    <s v=""/>
    <m/>
    <s v=""/>
    <m/>
    <s v=""/>
    <n v="46.570090999999998"/>
    <n v="6.5578090000000007"/>
    <s v="Vaud"/>
    <n v="22"/>
    <n v="43"/>
    <n v="10"/>
    <n v="616.05999999999995"/>
    <n v="36.817999999999998"/>
  </r>
  <r>
    <x v="51"/>
    <d v="1899-12-30T15:00:00"/>
    <x v="10"/>
    <m/>
    <n v="1739"/>
    <n v="-4"/>
    <n v="90"/>
    <n v="18"/>
    <n v="12"/>
    <n v="178"/>
    <n v="95"/>
    <s v="https://www.vs.ch/documents/6756452/7008787/2020%2004%2012%20Sit%20Epid%20-%20%C3%89tat%20Stand"/>
    <m/>
    <s v=""/>
    <m/>
    <s v=""/>
    <m/>
    <s v=""/>
    <n v="46.209567"/>
    <n v="7.6046589999999998"/>
    <s v="Valais/Wallis"/>
    <n v="23"/>
    <n v="17"/>
    <n v="1"/>
    <n v="509.22"/>
    <n v="27.818000000000001"/>
  </r>
  <r>
    <x v="51"/>
    <d v="1899-12-30T08:00:00"/>
    <x v="11"/>
    <m/>
    <n v="172"/>
    <n v="-1"/>
    <n v="8"/>
    <n v="6"/>
    <m/>
    <n v="94"/>
    <n v="6"/>
    <s v="https://www.zg.ch/behoerden/gesundheitsdirektion/statistikfachstelle/themen/gesundheit/corona"/>
    <m/>
    <s v=""/>
    <m/>
    <s v=""/>
    <m/>
    <s v=""/>
    <n v="47.157296000000002"/>
    <n v="8.5372939999999993"/>
    <s v="Zug"/>
    <n v="9"/>
    <n v="1"/>
    <n v="0"/>
    <n v="137.16"/>
    <n v="4.7850000000000001"/>
  </r>
  <r>
    <x v="51"/>
    <d v="1899-12-30T14:30:00"/>
    <x v="5"/>
    <m/>
    <n v="3148"/>
    <n v="-1"/>
    <n v="135"/>
    <m/>
    <n v="51"/>
    <m/>
    <n v="95"/>
    <s v="https://gd.zh.ch/internet/gesundheitsdirektion/de/themen/coronavirus.html"/>
    <m/>
    <s v=""/>
    <m/>
    <s v=""/>
    <m/>
    <s v=""/>
    <n v="47.412750000000003"/>
    <n v="8.6550799999999999"/>
    <s v="Zürich"/>
    <n v="1"/>
    <n v="35"/>
    <n v="4"/>
    <n v="209.27"/>
    <n v="6.3150000000000004"/>
  </r>
  <r>
    <x v="52"/>
    <d v="1899-12-30T14:45:00"/>
    <x v="6"/>
    <m/>
    <n v="960"/>
    <n v="-3"/>
    <n v="58"/>
    <n v="20"/>
    <n v="20"/>
    <n v="540"/>
    <n v="24"/>
    <s v="https://www.ag.ch/media/kanton_aargau/themen_1/coronavirus_1/lagebulletins/200417_KFS_Coronavirus_Lagebulletin_35.pdf"/>
    <m/>
    <s v=""/>
    <m/>
    <s v=""/>
    <m/>
    <s v=""/>
    <n v="47.409660000000002"/>
    <n v="8.1568799999999992"/>
    <s v="Aargau"/>
    <n v="1"/>
    <n v="17"/>
    <n v="1"/>
    <n v="143.07"/>
    <n v="3.577"/>
  </r>
  <r>
    <x v="52"/>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2"/>
    <d v="1899-12-30T12:00:00"/>
    <x v="18"/>
    <m/>
    <n v="82"/>
    <n v="0"/>
    <n v="6"/>
    <m/>
    <m/>
    <m/>
    <n v="3"/>
    <s v="https://www.ar.ch/verwaltung/departement-gesundheit-und-soziales/amt-fuer-gesundheit/informationsseite-coronavirus/"/>
    <m/>
    <s v=""/>
    <m/>
    <s v=""/>
    <m/>
    <s v=""/>
    <n v="47.416351999999996"/>
    <n v="9.3679100000000002"/>
    <s v="Appenzell Ausserrhoden"/>
    <n v="15"/>
    <n v="3"/>
    <n v="0"/>
    <n v="148.55000000000001"/>
    <n v="5.4349999999999996"/>
  </r>
  <r>
    <x v="52"/>
    <d v="1899-12-30T08:00:00"/>
    <x v="7"/>
    <m/>
    <n v="1553"/>
    <n v="-1"/>
    <n v="69"/>
    <n v="25"/>
    <n v="13"/>
    <m/>
    <n v="67"/>
    <s v="https://www.besondere-lage.sites.be.ch/besondere-lage_sites/de/index/corona/index.html"/>
    <m/>
    <s v=""/>
    <m/>
    <s v=""/>
    <m/>
    <s v=""/>
    <n v="46.823608"/>
    <n v="7.6366670000000001"/>
    <s v="Bern/Berne"/>
    <n v="2"/>
    <n v="38"/>
    <n v="12"/>
    <n v="150.62"/>
    <n v="6.4980000000000002"/>
  </r>
  <r>
    <x v="52"/>
    <d v="1899-12-30T03:00:00"/>
    <x v="8"/>
    <m/>
    <n v="794"/>
    <n v="-6"/>
    <n v="40"/>
    <n v="8"/>
    <n v="5"/>
    <n v="632"/>
    <n v="25"/>
    <s v="https://www.baselland.ch/politik-und-behorden/direktionen/volkswirtschafts-und-gesundheitsdirektion/amt-fur-gesundheit/medizinische-dienste/kantonsarztlicher-dienst/aktuelles/covid-19-faelle-kanton-basel-landschaft"/>
    <m/>
    <s v=""/>
    <m/>
    <s v=""/>
    <m/>
    <s v=""/>
    <n v="47.45176"/>
    <n v="7.7024140000000001"/>
    <s v="Basel-Landschaft"/>
    <n v="13"/>
    <n v="13"/>
    <n v="0"/>
    <n v="276.66000000000003"/>
    <n v="8.7110000000000003"/>
  </r>
  <r>
    <x v="52"/>
    <d v="1899-12-30T09:00:00"/>
    <x v="2"/>
    <n v="235"/>
    <n v="923"/>
    <n v="-8"/>
    <n v="68"/>
    <n v="7"/>
    <m/>
    <n v="720"/>
    <n v="37"/>
    <s v="https://www.gd.bs.ch//nm/2020-tagesbulletin-coronavirus-923-bestaetigte-faelle-im-kanton-basel-stadt-gd.html"/>
    <n v="501"/>
    <s v="18.0"/>
    <m/>
    <s v=""/>
    <m/>
    <s v=""/>
    <n v="47.564869000000002"/>
    <n v="7.615259"/>
    <s v="Basel-Stadt"/>
    <n v="12"/>
    <n v="6"/>
    <n v="0"/>
    <n v="476.02"/>
    <n v="19.082000000000001"/>
  </r>
  <r>
    <x v="52"/>
    <d v="1899-12-30T03:00:00"/>
    <x v="3"/>
    <n v="900"/>
    <n v="81"/>
    <n v="0"/>
    <m/>
    <m/>
    <m/>
    <n v="1"/>
    <n v="1"/>
    <s v="https://www.regierung.li/media/attachments/197-corona-regierung-orientiert-ueber-vorgehen-0417.pdf?t=637227446845695629"/>
    <m/>
    <s v=""/>
    <m/>
    <s v=""/>
    <m/>
    <s v=""/>
    <n v="47.166666999999997"/>
    <n v="9.509722"/>
    <s v="Fürstentum Lichtenstein"/>
    <n v="0"/>
    <n v="1"/>
    <n v="0"/>
    <n v="209.84"/>
    <n v="2.5910000000000002"/>
  </r>
  <r>
    <x v="52"/>
    <d v="1899-12-30T03:00:00"/>
    <x v="12"/>
    <n v="30"/>
    <n v="930"/>
    <n v="6"/>
    <n v="66"/>
    <n v="13"/>
    <m/>
    <n v="106"/>
    <n v="67"/>
    <s v="https://www.fr.ch/covid19/sante/covid-19/coronavirus-statistiques-evolution-de-la-situation-dans-le-canton"/>
    <m/>
    <s v=""/>
    <m/>
    <s v=""/>
    <m/>
    <s v=""/>
    <n v="46.718390999999997"/>
    <n v="7.0740080000000001"/>
    <s v="Fribourg"/>
    <n v="10"/>
    <n v="23"/>
    <n v="2"/>
    <n v="295.14"/>
    <n v="21.263000000000002"/>
  </r>
  <r>
    <x v="52"/>
    <d v="1899-12-30T03:00:00"/>
    <x v="0"/>
    <n v="21458"/>
    <n v="4605"/>
    <n v="-21"/>
    <n v="329"/>
    <n v="39"/>
    <n v="33"/>
    <n v="532"/>
    <n v="196"/>
    <s v="https://www.ge.ch/document/covid-19-situation-epidemiologique-geneve/telecharger"/>
    <m/>
    <s v=""/>
    <m/>
    <s v=""/>
    <n v="22"/>
    <s v=""/>
    <n v="46.220528000000002"/>
    <n v="6.1329349999999998"/>
    <s v="Genève"/>
    <n v="25"/>
    <n v="60"/>
    <n v="6"/>
    <n v="929.93"/>
    <n v="39.58"/>
  </r>
  <r>
    <x v="52"/>
    <d v="1899-12-30T13:00:00"/>
    <x v="13"/>
    <m/>
    <n v="108"/>
    <n v="0"/>
    <n v="4"/>
    <m/>
    <m/>
    <m/>
    <n v="3"/>
    <s v="https://www.gl.ch/verwaltung/finanzen-und-gesundheit/gesundheit/coronavirus.html/4817#Fallzahlen"/>
    <m/>
    <s v=""/>
    <m/>
    <s v=""/>
    <m/>
    <s v=""/>
    <n v="46.931042000000005"/>
    <n v="9.0657510000000006"/>
    <s v="Glarus"/>
    <n v="8"/>
    <n v="2"/>
    <n v="0"/>
    <n v="267.99"/>
    <n v="7.444"/>
  </r>
  <r>
    <x v="52"/>
    <d v="1899-12-30T16:00:00"/>
    <x v="4"/>
    <m/>
    <n v="191"/>
    <n v="0"/>
    <n v="18"/>
    <n v="5"/>
    <m/>
    <m/>
    <n v="3"/>
    <s v="https://www.jura.ch/fr/Autorites/Coronavirus/Chiffres-H-JU/Evolution-des-cas-COVID-19-dans-le-Jura.html"/>
    <m/>
    <s v=""/>
    <m/>
    <s v=""/>
    <m/>
    <s v=""/>
    <n v="47.350743999999999"/>
    <n v="7.1561070000000004"/>
    <s v="Jura"/>
    <n v="26"/>
    <n v="2"/>
    <n v="0"/>
    <n v="260.57"/>
    <n v="4.093"/>
  </r>
  <r>
    <x v="52"/>
    <d v="1899-12-30T11:00:00"/>
    <x v="17"/>
    <m/>
    <n v="607"/>
    <n v="0"/>
    <n v="40"/>
    <n v="3"/>
    <m/>
    <m/>
    <n v="14"/>
    <s v="https://gesundheit.lu.ch/themen/Humanmedizin/Infektionskrankheiten/Coronavirus"/>
    <m/>
    <s v=""/>
    <m/>
    <s v=""/>
    <m/>
    <s v=""/>
    <n v="47.067762999999999"/>
    <n v="8.1102000000000007"/>
    <s v="Luzern"/>
    <n v="3"/>
    <n v="8"/>
    <n v="1"/>
    <n v="149.32"/>
    <n v="3.444"/>
  </r>
  <r>
    <x v="52"/>
    <d v="1899-12-30T16:00:00"/>
    <x v="14"/>
    <m/>
    <n v="637"/>
    <n v="-8"/>
    <n v="44"/>
    <n v="10"/>
    <n v="8"/>
    <m/>
    <n v="55"/>
    <s v="https://www.ne.ch/autorites/DFS/SCSP/medecin-cantonal/maladies-vaccinations/Documents/Covid-19-Statistiques/COVID19_PublicationInternet.pdf"/>
    <m/>
    <s v=""/>
    <m/>
    <s v=""/>
    <m/>
    <s v=""/>
    <n v="46.995533999999999"/>
    <n v="6.7801260000000001"/>
    <s v="Neuchâtel"/>
    <n v="24"/>
    <n v="10"/>
    <n v="2"/>
    <n v="357.87"/>
    <n v="30.899000000000001"/>
  </r>
  <r>
    <x v="52"/>
    <d v="1899-12-30T16:20:00"/>
    <x v="20"/>
    <m/>
    <n v="107"/>
    <n v="-1"/>
    <n v="4"/>
    <n v="2"/>
    <m/>
    <m/>
    <n v="2"/>
    <s v="https://www.nw.ch/gesundheitsamtdienste/6044"/>
    <m/>
    <s v=""/>
    <m/>
    <s v=""/>
    <m/>
    <s v=""/>
    <n v="46.926755"/>
    <n v="8.4053020000000007"/>
    <s v="Nidwalden"/>
    <n v="7"/>
    <n v="1"/>
    <n v="0"/>
    <n v="248.84"/>
    <n v="4.6509999999999998"/>
  </r>
  <r>
    <x v="52"/>
    <d v="1899-12-30T16:00:00"/>
    <x v="23"/>
    <n v="6"/>
    <n v="66"/>
    <n v="0"/>
    <n v="0"/>
    <m/>
    <m/>
    <n v="1"/>
    <n v="0"/>
    <s v="https://www.ow.ch/de/verwaltung/dienstleistungen/?dienst_id=5962"/>
    <m/>
    <s v=""/>
    <m/>
    <s v=""/>
    <m/>
    <s v=""/>
    <n v="46.804527"/>
    <n v="8.1443170000000009"/>
    <s v="Obwalden"/>
    <n v="6"/>
    <n v="1"/>
    <n v="0"/>
    <n v="175.53"/>
    <n v="0"/>
  </r>
  <r>
    <x v="52"/>
    <d v="1899-12-30T03:00:00"/>
    <x v="15"/>
    <m/>
    <n v="683"/>
    <n v="-15"/>
    <n v="41"/>
    <n v="9"/>
    <m/>
    <n v="144"/>
    <n v="27"/>
    <s v="https://www.sg.ch/tools/informationen-coronavirus.html"/>
    <m/>
    <s v=""/>
    <m/>
    <s v=""/>
    <m/>
    <s v=""/>
    <n v="47.183199999999999"/>
    <n v="9.2747440000000001"/>
    <s v="St. Gallen"/>
    <n v="17"/>
    <n v="3"/>
    <n v="2"/>
    <n v="135.33000000000001"/>
    <n v="5.35"/>
  </r>
  <r>
    <x v="52"/>
    <d v="1899-12-30T09:30:00"/>
    <x v="21"/>
    <m/>
    <n v="60"/>
    <n v="-2"/>
    <n v="8"/>
    <n v="2"/>
    <m/>
    <m/>
    <n v="1"/>
    <s v="https://sh.ch/CMS/Webseite/Kanton-Schaffhausen/Beh-rde/Verwaltung/Departement-des-Innern/Gesundheitsamt-3209198-DE.html"/>
    <m/>
    <s v=""/>
    <m/>
    <s v=""/>
    <m/>
    <s v=""/>
    <n v="47.713569999999997"/>
    <n v="8.5916700000000006"/>
    <s v="Schaffhausen"/>
    <n v="14"/>
    <n v="0"/>
    <n v="0"/>
    <n v="73.709999999999994"/>
    <n v="1.2290000000000001"/>
  </r>
  <r>
    <x v="52"/>
    <d v="1899-12-30T03:00:00"/>
    <x v="19"/>
    <m/>
    <n v="350"/>
    <n v="-2"/>
    <n v="20"/>
    <m/>
    <m/>
    <m/>
    <n v="9"/>
    <s v="https://corona.so.ch/"/>
    <m/>
    <s v=""/>
    <m/>
    <s v=""/>
    <m/>
    <s v=""/>
    <n v="47.304135000000002"/>
    <n v="7.6393880000000003"/>
    <s v="Solothurn"/>
    <n v="11"/>
    <n v="7"/>
    <n v="1"/>
    <n v="128.96"/>
    <n v="3.3159999999999998"/>
  </r>
  <r>
    <x v="52"/>
    <d v="1899-12-30T03:00:00"/>
    <x v="16"/>
    <n v="10"/>
    <n v="266"/>
    <n v="0"/>
    <n v="1"/>
    <m/>
    <m/>
    <n v="161"/>
    <n v="14"/>
    <s v="https://www.sz.ch/public/upload/assets/46153/COVID-19_Fallzahlen_Kanton_Schwyz.xlsx"/>
    <m/>
    <s v=""/>
    <m/>
    <s v=""/>
    <m/>
    <s v=""/>
    <n v="47.061787000000002"/>
    <n v="8.7565849999999994"/>
    <s v="Schwyz"/>
    <n v="5"/>
    <n v="1"/>
    <n v="0"/>
    <n v="169.1"/>
    <n v="8.9"/>
  </r>
  <r>
    <x v="52"/>
    <d v="1899-12-30T03:00:00"/>
    <x v="25"/>
    <n v="276"/>
    <n v="321"/>
    <n v="-3"/>
    <n v="25"/>
    <n v="13"/>
    <m/>
    <m/>
    <n v="12"/>
    <s v="https://www.tg.ch/news/fachdossier-coronavirus.html/10552"/>
    <m/>
    <s v=""/>
    <m/>
    <s v=""/>
    <m/>
    <s v=""/>
    <n v="47.568714999999997"/>
    <n v="9.0919570000000007"/>
    <s v="Thurgau"/>
    <n v="1"/>
    <n v="13"/>
    <n v="1"/>
    <n v="117.24"/>
    <n v="4.383"/>
  </r>
  <r>
    <x v="52"/>
    <d v="1899-12-30T08:00:00"/>
    <x v="1"/>
    <m/>
    <n v="2977"/>
    <n v="5"/>
    <n v="254"/>
    <n v="57"/>
    <n v="44"/>
    <n v="580"/>
    <n v="270"/>
    <s v="https://www4.ti.ch/area-media/comunicati/dettaglio-comunicato/?NEWS_ID=187639&amp;tx_tichareamedia_comunicazioni%5Baction%5D=show&amp;tx_tichareamedia_comunicazioni%5Bcontroller%5D=Comunicazioni&amp;cHash=293da33bc5267650fbd8e590032cd6f3"/>
    <m/>
    <s v=""/>
    <m/>
    <s v=""/>
    <m/>
    <s v=""/>
    <n v="46.295617"/>
    <n v="8.8089239999999993"/>
    <s v="Ticino"/>
    <n v="21"/>
    <n v="24"/>
    <n v="1"/>
    <n v="841.67"/>
    <n v="76.335999999999999"/>
  </r>
  <r>
    <x v="52"/>
    <d v="1899-12-30T14:00:00"/>
    <x v="22"/>
    <n v="85"/>
    <n v="78"/>
    <n v="0"/>
    <n v="2"/>
    <m/>
    <m/>
    <n v="66"/>
    <n v="5"/>
    <s v="https://www.ur.ch/themen/2962"/>
    <m/>
    <s v=""/>
    <m/>
    <s v=""/>
    <m/>
    <s v=""/>
    <n v="46.771849000000003"/>
    <n v="8.6285860000000003"/>
    <s v="Uri"/>
    <n v="4"/>
    <n v="0"/>
    <n v="0"/>
    <n v="214.88"/>
    <n v="13.773999999999999"/>
  </r>
  <r>
    <x v="52"/>
    <d v="1899-12-30T03:00:00"/>
    <x v="9"/>
    <m/>
    <n v="4913"/>
    <n v="-15"/>
    <n v="238"/>
    <n v="55"/>
    <m/>
    <n v="225"/>
    <n v="296"/>
    <s v="https://www.vd.ch/toutes-les-actualites/hotline-et-informations-sur-le-coronavirus/point-de-situation-statistique-dans-le-canton-de-vaud/"/>
    <m/>
    <s v=""/>
    <m/>
    <s v=""/>
    <m/>
    <s v=""/>
    <n v="46.570090999999998"/>
    <n v="6.5578090000000007"/>
    <s v="Vaud"/>
    <n v="22"/>
    <n v="27"/>
    <n v="4"/>
    <n v="619.47"/>
    <n v="37.322000000000003"/>
  </r>
  <r>
    <x v="52"/>
    <d v="1899-12-30T15:00:00"/>
    <x v="10"/>
    <m/>
    <n v="1757"/>
    <n v="-6"/>
    <n v="84"/>
    <n v="17"/>
    <n v="10"/>
    <n v="184"/>
    <n v="99"/>
    <s v="https://www.vs.ch/documents/6756452/7008787/2020%2004%2012%20Sit%20Epid%20-%20%C3%89tat%20Stand"/>
    <m/>
    <s v=""/>
    <m/>
    <s v=""/>
    <m/>
    <s v=""/>
    <n v="46.209567"/>
    <n v="7.6046589999999998"/>
    <s v="Valais/Wallis"/>
    <n v="23"/>
    <n v="18"/>
    <n v="4"/>
    <n v="514.49"/>
    <n v="28.99"/>
  </r>
  <r>
    <x v="52"/>
    <d v="1899-12-30T08:00:00"/>
    <x v="11"/>
    <m/>
    <n v="174"/>
    <n v="-2"/>
    <n v="6"/>
    <n v="6"/>
    <m/>
    <n v="96"/>
    <n v="7"/>
    <s v="https://www.zg.ch/behoerden/gesundheitsdirektion/statistikfachstelle/themen/gesundheit/corona"/>
    <m/>
    <s v=""/>
    <m/>
    <s v=""/>
    <m/>
    <s v=""/>
    <n v="47.157296000000002"/>
    <n v="8.5372939999999993"/>
    <s v="Zug"/>
    <n v="9"/>
    <n v="2"/>
    <n v="1"/>
    <n v="138.76"/>
    <n v="5.5819999999999999"/>
  </r>
  <r>
    <x v="52"/>
    <d v="1899-12-30T14:30:00"/>
    <x v="5"/>
    <m/>
    <n v="3171"/>
    <n v="-12"/>
    <n v="123"/>
    <m/>
    <n v="45"/>
    <m/>
    <n v="98"/>
    <s v="https://gd.zh.ch/internet/gesundheitsdirektion/de/themen/coronavirus.html"/>
    <m/>
    <s v=""/>
    <m/>
    <s v=""/>
    <m/>
    <s v=""/>
    <n v="47.412750000000003"/>
    <n v="8.6550799999999999"/>
    <s v="Zürich"/>
    <n v="1"/>
    <n v="23"/>
    <n v="3"/>
    <n v="210.8"/>
    <n v="6.5149999999999997"/>
  </r>
  <r>
    <x v="53"/>
    <d v="1899-12-30T14:45:00"/>
    <x v="6"/>
    <m/>
    <n v="987"/>
    <n v="0"/>
    <n v="58"/>
    <n v="20"/>
    <n v="20"/>
    <n v="540"/>
    <n v="25"/>
    <s v="https://www.ag.ch/media/kanton_aargau/themen_1/coronavirus_1/lagebulletins/200420_KFS_Coronavirus_Lagebulletin_36.pdf"/>
    <m/>
    <s v=""/>
    <m/>
    <s v=""/>
    <m/>
    <s v=""/>
    <n v="47.409660000000002"/>
    <n v="8.1568799999999992"/>
    <s v="Aargau"/>
    <n v="1"/>
    <n v="27"/>
    <n v="1"/>
    <n v="147.09"/>
    <n v="3.726"/>
  </r>
  <r>
    <x v="53"/>
    <d v="1899-12-30T08:00:00"/>
    <x v="7"/>
    <m/>
    <n v="1586"/>
    <n v="2"/>
    <n v="71"/>
    <n v="22"/>
    <n v="12"/>
    <m/>
    <n v="69"/>
    <s v="https://www.besondere-lage.sites.be.ch/besondere-lage_sites/de/index/corona/index.html"/>
    <m/>
    <s v=""/>
    <m/>
    <s v=""/>
    <m/>
    <s v=""/>
    <n v="46.823608"/>
    <n v="7.6366670000000001"/>
    <s v="Bern/Berne"/>
    <n v="2"/>
    <n v="33"/>
    <n v="2"/>
    <n v="153.82"/>
    <n v="6.6920000000000002"/>
  </r>
  <r>
    <x v="53"/>
    <d v="1899-12-30T03:00:00"/>
    <x v="8"/>
    <m/>
    <n v="798"/>
    <n v="4"/>
    <n v="44"/>
    <n v="7"/>
    <n v="5"/>
    <n v="636"/>
    <n v="25"/>
    <s v="https://www.baselland.ch/politik-und-behorden/direktionen/volkswirtschafts-und-gesundheitsdirektion/amt-fur-gesundheit/medizinische-dienste/kantonsarztlicher-dienst/aktuelles/covid-19-faelle-kanton-basel-landschaft"/>
    <m/>
    <s v=""/>
    <m/>
    <s v=""/>
    <m/>
    <s v=""/>
    <n v="47.45176"/>
    <n v="7.7024140000000001"/>
    <s v="Basel-Landschaft"/>
    <n v="13"/>
    <n v="4"/>
    <n v="0"/>
    <n v="278.05"/>
    <n v="8.7110000000000003"/>
  </r>
  <r>
    <x v="53"/>
    <d v="1899-12-30T09:45:00"/>
    <x v="2"/>
    <n v="235"/>
    <n v="929"/>
    <n v="0"/>
    <n v="68"/>
    <n v="7"/>
    <m/>
    <n v="753"/>
    <n v="40"/>
    <s v="https://www.gd.bs.ch//nm/2020-tagesbulletin-coronavirus-929-bestaetigte-faelle-im-kanton-basel-stadt-gd.html"/>
    <n v="506"/>
    <s v=""/>
    <m/>
    <s v=""/>
    <m/>
    <s v=""/>
    <n v="47.564869000000002"/>
    <n v="7.615259"/>
    <s v="Basel-Stadt"/>
    <n v="12"/>
    <n v="6"/>
    <n v="3"/>
    <n v="479.11"/>
    <n v="20.629000000000001"/>
  </r>
  <r>
    <x v="53"/>
    <d v="1899-12-30T03:00:00"/>
    <x v="3"/>
    <n v="900"/>
    <n v="81"/>
    <n v="0"/>
    <m/>
    <m/>
    <m/>
    <n v="1"/>
    <n v="1"/>
    <s v="https://www.regierung.li/media/attachments/198-corona-kein-zusaetzlicher-fall-0418.pdf?t=637228301134424983"/>
    <m/>
    <s v=""/>
    <m/>
    <s v=""/>
    <m/>
    <s v=""/>
    <n v="47.166666999999997"/>
    <n v="9.509722"/>
    <s v="Fürstentum Lichtenstein"/>
    <n v="0"/>
    <n v="0"/>
    <n v="0"/>
    <n v="209.84"/>
    <n v="2.5910000000000002"/>
  </r>
  <r>
    <x v="53"/>
    <d v="1899-12-30T03:00:00"/>
    <x v="12"/>
    <n v="30"/>
    <n v="956"/>
    <n v="1"/>
    <n v="67"/>
    <n v="11"/>
    <m/>
    <n v="109"/>
    <n v="69"/>
    <s v="https://www.fr.ch/covid19/sante/covid-19/coronavirus-statistiques-evolution-de-la-situation-dans-le-canton"/>
    <m/>
    <s v=""/>
    <m/>
    <s v=""/>
    <m/>
    <s v=""/>
    <n v="46.718390999999997"/>
    <n v="7.0740080000000001"/>
    <s v="Fribourg"/>
    <n v="10"/>
    <n v="26"/>
    <n v="2"/>
    <n v="303.39999999999998"/>
    <n v="21.898"/>
  </r>
  <r>
    <x v="53"/>
    <d v="1899-12-30T03:00:00"/>
    <x v="0"/>
    <n v="21910"/>
    <n v="4654"/>
    <n v="-14"/>
    <n v="315"/>
    <n v="34"/>
    <n v="33"/>
    <n v="553"/>
    <n v="199"/>
    <s v="https://www.ge.ch/document/covid-19-situation-epidemiologique-geneve/telecharger"/>
    <m/>
    <s v=""/>
    <m/>
    <s v=""/>
    <n v="20"/>
    <s v=""/>
    <n v="46.220528000000002"/>
    <n v="6.1329349999999998"/>
    <s v="Genève"/>
    <n v="25"/>
    <n v="49"/>
    <n v="3"/>
    <n v="939.82"/>
    <n v="40.186"/>
  </r>
  <r>
    <x v="53"/>
    <d v="1899-12-30T16:00:00"/>
    <x v="4"/>
    <m/>
    <n v="192"/>
    <n v="-1"/>
    <n v="17"/>
    <n v="5"/>
    <m/>
    <m/>
    <n v="3"/>
    <s v="https://www.jura.ch/fr/Autorites/Coronavirus/Accueil/Coronavirus-Informations-officielles-a-la-population-jurassienne.html"/>
    <m/>
    <s v=""/>
    <m/>
    <s v=""/>
    <m/>
    <s v=""/>
    <n v="47.350743999999999"/>
    <n v="7.1561070000000004"/>
    <s v="Jura"/>
    <n v="26"/>
    <n v="1"/>
    <n v="0"/>
    <n v="261.94"/>
    <n v="4.093"/>
  </r>
  <r>
    <x v="53"/>
    <d v="1899-12-30T12:30:00"/>
    <x v="17"/>
    <m/>
    <n v="623"/>
    <n v="-14"/>
    <n v="26"/>
    <n v="4"/>
    <m/>
    <m/>
    <n v="15"/>
    <s v="https://gesundheit.lu.ch/themen/Humanmedizin/Infektionskrankheiten/Coronavirus"/>
    <m/>
    <s v=""/>
    <m/>
    <s v=""/>
    <m/>
    <s v=""/>
    <n v="47.067762999999999"/>
    <n v="8.1102000000000007"/>
    <s v="Luzern"/>
    <n v="3"/>
    <n v="16"/>
    <n v="1"/>
    <n v="153.26"/>
    <n v="3.69"/>
  </r>
  <r>
    <x v="53"/>
    <d v="1899-12-30T16:00:00"/>
    <x v="14"/>
    <m/>
    <n v="639"/>
    <n v="0"/>
    <n v="44"/>
    <n v="10"/>
    <n v="8"/>
    <m/>
    <n v="55"/>
    <s v="https://www.ne.ch/autorites/DFS/SCSP/medecin-cantonal/maladies-vaccinations/Documents/Covid-19-Statistiques/COVID19_PublicationInternet.pdf"/>
    <m/>
    <s v=""/>
    <m/>
    <s v=""/>
    <m/>
    <s v=""/>
    <n v="46.995533999999999"/>
    <n v="6.7801260000000001"/>
    <s v="Neuchâtel"/>
    <n v="24"/>
    <n v="2"/>
    <n v="0"/>
    <n v="358.99"/>
    <n v="30.899000000000001"/>
  </r>
  <r>
    <x v="53"/>
    <d v="1899-12-30T16:00:00"/>
    <x v="20"/>
    <m/>
    <n v="108"/>
    <n v="0"/>
    <n v="4"/>
    <n v="2"/>
    <m/>
    <m/>
    <n v="3"/>
    <s v="https://www.nw.ch/gesundheitsamtdienste/6044"/>
    <m/>
    <s v=""/>
    <m/>
    <s v=""/>
    <m/>
    <s v=""/>
    <n v="46.926755"/>
    <n v="8.4053020000000007"/>
    <s v="Nidwalden"/>
    <n v="7"/>
    <n v="1"/>
    <n v="1"/>
    <n v="251.16"/>
    <n v="6.9770000000000003"/>
  </r>
  <r>
    <x v="53"/>
    <d v="1899-12-30T03:00:00"/>
    <x v="15"/>
    <m/>
    <n v="699"/>
    <n v="3"/>
    <n v="44"/>
    <n v="7"/>
    <m/>
    <n v="150"/>
    <n v="27"/>
    <s v="https://www.sg.ch/tools/informationen-coronavirus.html"/>
    <m/>
    <s v=""/>
    <m/>
    <s v=""/>
    <m/>
    <s v=""/>
    <n v="47.183199999999999"/>
    <n v="9.2747440000000001"/>
    <s v="St. Gallen"/>
    <n v="17"/>
    <n v="16"/>
    <n v="0"/>
    <n v="138.5"/>
    <n v="5.35"/>
  </r>
  <r>
    <x v="53"/>
    <d v="1899-12-30T09:30:00"/>
    <x v="21"/>
    <m/>
    <n v="61"/>
    <n v="3"/>
    <n v="11"/>
    <n v="4"/>
    <m/>
    <m/>
    <n v="1"/>
    <s v="https://sh.ch/CMS/Webseite/Kanton-Schaffhausen/Beh-rde/Verwaltung/Departement-des-Innern/Gesundheitsamt-3209198-DE.html"/>
    <m/>
    <s v=""/>
    <m/>
    <s v=""/>
    <m/>
    <s v=""/>
    <n v="47.713569999999997"/>
    <n v="8.5916700000000006"/>
    <s v="Schaffhausen"/>
    <n v="14"/>
    <n v="1"/>
    <n v="0"/>
    <n v="74.94"/>
    <n v="1.2290000000000001"/>
  </r>
  <r>
    <x v="53"/>
    <d v="1899-12-30T03:00:00"/>
    <x v="19"/>
    <m/>
    <n v="353"/>
    <n v="-1"/>
    <n v="19"/>
    <m/>
    <m/>
    <m/>
    <n v="10"/>
    <s v="https://corona.so.ch/"/>
    <m/>
    <s v=""/>
    <m/>
    <s v=""/>
    <m/>
    <s v=""/>
    <n v="47.304135000000002"/>
    <n v="7.6393880000000003"/>
    <s v="Solothurn"/>
    <n v="11"/>
    <n v="3"/>
    <n v="1"/>
    <n v="130.07"/>
    <n v="3.6850000000000001"/>
  </r>
  <r>
    <x v="53"/>
    <d v="1899-12-30T00:01:00"/>
    <x v="16"/>
    <n v="10"/>
    <n v="266"/>
    <n v="0"/>
    <n v="1"/>
    <m/>
    <m/>
    <n v="176"/>
    <n v="14"/>
    <s v="https://www.sz.ch/public/upload/assets/46165/COVID-19_Fallzahlen_Kanton_Schwyz.xlsx"/>
    <m/>
    <s v=""/>
    <m/>
    <s v=""/>
    <m/>
    <s v=""/>
    <n v="47.061787000000002"/>
    <n v="8.7565849999999994"/>
    <s v="Schwyz"/>
    <n v="5"/>
    <n v="0"/>
    <n v="0"/>
    <n v="169.1"/>
    <n v="8.9"/>
  </r>
  <r>
    <x v="53"/>
    <d v="1899-12-30T03:00:00"/>
    <x v="25"/>
    <n v="276"/>
    <n v="332"/>
    <n v="-2"/>
    <n v="23"/>
    <n v="12"/>
    <m/>
    <m/>
    <n v="13"/>
    <s v="https://www.tg.ch/news/fachdossier-coronavirus.html/10552"/>
    <m/>
    <s v=""/>
    <m/>
    <s v=""/>
    <m/>
    <s v=""/>
    <n v="47.568714999999997"/>
    <n v="9.0919570000000007"/>
    <s v="Thurgau"/>
    <n v="1"/>
    <n v="11"/>
    <n v="1"/>
    <n v="121.26"/>
    <n v="4.7480000000000002"/>
  </r>
  <r>
    <x v="53"/>
    <d v="1899-12-30T08:00:00"/>
    <x v="1"/>
    <m/>
    <n v="2994"/>
    <n v="-10"/>
    <n v="244"/>
    <n v="56"/>
    <n v="42"/>
    <n v="606"/>
    <n v="277"/>
    <s v="https://www4.ti.ch/area-media/comunicati/dettaglio-comunicato/?NEWS_ID=187644&amp;tx_tichareamedia_comunicazioni%5Baction%5D=show&amp;tx_tichareamedia_comunicazioni%5Bcontroller%5D=Comunicazioni&amp;cHash=df3ace8d6228b4587b78db3bfa080a83"/>
    <m/>
    <s v=""/>
    <m/>
    <s v=""/>
    <m/>
    <s v=""/>
    <n v="46.295617"/>
    <n v="8.8089239999999993"/>
    <s v="Ticino"/>
    <n v="21"/>
    <n v="17"/>
    <n v="7"/>
    <n v="846.48"/>
    <n v="78.314999999999998"/>
  </r>
  <r>
    <x v="53"/>
    <d v="1899-12-30T15:00:00"/>
    <x v="22"/>
    <n v="85"/>
    <n v="78"/>
    <n v="0"/>
    <n v="2"/>
    <m/>
    <m/>
    <n v="69"/>
    <n v="5"/>
    <s v="https://www.ur.ch/themen/2962"/>
    <m/>
    <s v=""/>
    <m/>
    <s v=""/>
    <m/>
    <s v=""/>
    <n v="46.771849000000003"/>
    <n v="8.6285860000000003"/>
    <s v="Uri"/>
    <n v="4"/>
    <n v="0"/>
    <n v="0"/>
    <n v="214.88"/>
    <n v="13.773999999999999"/>
  </r>
  <r>
    <x v="53"/>
    <d v="1899-12-30T03:00:00"/>
    <x v="9"/>
    <m/>
    <n v="4972"/>
    <n v="-3"/>
    <n v="235"/>
    <n v="52"/>
    <m/>
    <n v="225"/>
    <n v="302"/>
    <s v="https://www.vd.ch/toutes-les-actualites/hotline-et-informations-sur-le-coronavirus/point-de-situation-statistique-dans-le-canton-de-vaud/"/>
    <m/>
    <s v=""/>
    <m/>
    <s v=""/>
    <m/>
    <s v=""/>
    <n v="46.570090999999998"/>
    <n v="6.5578090000000007"/>
    <s v="Vaud"/>
    <n v="22"/>
    <n v="59"/>
    <n v="6"/>
    <n v="626.91"/>
    <n v="38.078000000000003"/>
  </r>
  <r>
    <x v="53"/>
    <d v="1899-12-30T15:00:00"/>
    <x v="10"/>
    <m/>
    <n v="1766"/>
    <n v="-1"/>
    <n v="83"/>
    <n v="19"/>
    <n v="10"/>
    <n v="185"/>
    <n v="104"/>
    <s v="https://www.vs.ch/documents/6756452/7008787/2020%2004%2012%20Sit%20Epid%20-%20%C3%89tat%20Stand"/>
    <m/>
    <s v=""/>
    <m/>
    <s v=""/>
    <m/>
    <s v=""/>
    <n v="46.209567"/>
    <n v="7.6046589999999998"/>
    <s v="Valais/Wallis"/>
    <n v="23"/>
    <n v="9"/>
    <n v="5"/>
    <n v="517.13"/>
    <n v="30.454000000000001"/>
  </r>
  <r>
    <x v="53"/>
    <d v="1899-12-30T08:00:00"/>
    <x v="11"/>
    <m/>
    <n v="175"/>
    <n v="5"/>
    <n v="11"/>
    <n v="6"/>
    <m/>
    <n v="99"/>
    <n v="7"/>
    <s v="https://www.zg.ch/behoerden/gesundheitsdirektion/statistikfachstelle/themen/gesundheit/corona"/>
    <m/>
    <s v=""/>
    <m/>
    <s v=""/>
    <m/>
    <s v=""/>
    <n v="47.157296000000002"/>
    <n v="8.5372939999999993"/>
    <s v="Zug"/>
    <n v="9"/>
    <n v="1"/>
    <n v="0"/>
    <n v="139.55000000000001"/>
    <n v="5.5819999999999999"/>
  </r>
  <r>
    <x v="53"/>
    <d v="1899-12-30T14:30:00"/>
    <x v="5"/>
    <m/>
    <n v="3211"/>
    <n v="-9"/>
    <n v="114"/>
    <m/>
    <n v="44"/>
    <m/>
    <n v="104"/>
    <s v="https://gd.zh.ch/internet/gesundheitsdirektion/de/themen/coronavirus.html"/>
    <m/>
    <s v=""/>
    <m/>
    <s v=""/>
    <m/>
    <s v=""/>
    <n v="47.412750000000003"/>
    <n v="8.6550799999999999"/>
    <s v="Zürich"/>
    <n v="1"/>
    <n v="40"/>
    <n v="6"/>
    <n v="213.45"/>
    <n v="6.9139999999999997"/>
  </r>
  <r>
    <x v="54"/>
    <d v="1899-12-30T14:45:00"/>
    <x v="6"/>
    <m/>
    <n v="1003"/>
    <n v="0"/>
    <n v="58"/>
    <n v="20"/>
    <n v="20"/>
    <n v="540"/>
    <n v="25"/>
    <s v="https://www.ag.ch/media/kanton_aargau/themen_1/coronavirus_1/lagebulletins/200420_KFS_Coronavirus_Lagebulletin_36.pdf"/>
    <m/>
    <s v=""/>
    <m/>
    <s v=""/>
    <m/>
    <s v=""/>
    <n v="47.409660000000002"/>
    <n v="8.1568799999999992"/>
    <s v="Aargau"/>
    <n v="1"/>
    <n v="16"/>
    <n v="0"/>
    <n v="149.47999999999999"/>
    <n v="3.726"/>
  </r>
  <r>
    <x v="54"/>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4"/>
    <d v="1899-12-30T08:00:00"/>
    <x v="7"/>
    <m/>
    <n v="1599"/>
    <n v="7"/>
    <n v="78"/>
    <n v="20"/>
    <n v="13"/>
    <m/>
    <n v="69"/>
    <s v="https://www.besondere-lage.sites.be.ch/besondere-lage_sites/de/index/corona/index.html"/>
    <m/>
    <s v=""/>
    <m/>
    <s v=""/>
    <m/>
    <s v=""/>
    <n v="46.823608"/>
    <n v="7.6366670000000001"/>
    <s v="Bern/Berne"/>
    <n v="2"/>
    <n v="13"/>
    <n v="0"/>
    <n v="155.08000000000001"/>
    <n v="6.6920000000000002"/>
  </r>
  <r>
    <x v="54"/>
    <d v="1899-12-30T03:00:00"/>
    <x v="8"/>
    <m/>
    <n v="803"/>
    <n v="-4"/>
    <n v="40"/>
    <n v="7"/>
    <n v="5"/>
    <n v="653"/>
    <n v="25"/>
    <s v="https://www.baselland.ch/politik-und-behorden/direktionen/volkswirtschafts-und-gesundheitsdirektion/amt-fur-gesundheit/medizinische-dienste/kantonsarztlicher-dienst/aktuelles/covid-19-faelle-kanton-basel-landschaft"/>
    <m/>
    <s v=""/>
    <m/>
    <s v=""/>
    <m/>
    <s v=""/>
    <n v="47.45176"/>
    <n v="7.7024140000000001"/>
    <s v="Basel-Landschaft"/>
    <n v="13"/>
    <n v="5"/>
    <n v="0"/>
    <n v="279.79000000000002"/>
    <n v="8.7110000000000003"/>
  </r>
  <r>
    <x v="54"/>
    <d v="1899-12-30T10:00:00"/>
    <x v="2"/>
    <n v="235"/>
    <n v="932"/>
    <n v="0"/>
    <n v="68"/>
    <n v="7"/>
    <m/>
    <n v="764"/>
    <n v="40"/>
    <s v="https://www.gd.bs.ch//nm/2020-tagesbulletin-coronavirus-932-bestaetigte-faelle-im-kanton-basel-stadt-gd.html"/>
    <n v="508"/>
    <s v=""/>
    <m/>
    <s v=""/>
    <m/>
    <s v=""/>
    <n v="47.564869000000002"/>
    <n v="7.615259"/>
    <s v="Basel-Stadt"/>
    <n v="12"/>
    <n v="3"/>
    <n v="0"/>
    <n v="480.66"/>
    <n v="20.629000000000001"/>
  </r>
  <r>
    <x v="54"/>
    <d v="1899-12-30T03:00:00"/>
    <x v="3"/>
    <n v="900"/>
    <n v="81"/>
    <n v="0"/>
    <m/>
    <m/>
    <m/>
    <n v="1"/>
    <n v="1"/>
    <s v="https://www.regierung.li/media/attachments/199-corona-keine-neuen-faelle-0419.pdf?t=637229165752237624"/>
    <m/>
    <s v=""/>
    <m/>
    <s v=""/>
    <m/>
    <s v=""/>
    <n v="47.166666999999997"/>
    <n v="9.509722"/>
    <s v="Fürstentum Lichtenstein"/>
    <n v="0"/>
    <n v="0"/>
    <n v="0"/>
    <n v="209.84"/>
    <n v="2.5910000000000002"/>
  </r>
  <r>
    <x v="54"/>
    <d v="1899-12-30T03:00:00"/>
    <x v="12"/>
    <n v="30"/>
    <n v="980"/>
    <n v="-6"/>
    <n v="61"/>
    <n v="12"/>
    <m/>
    <n v="113"/>
    <n v="71"/>
    <s v="https://www.fr.ch/covid19/sante/covid-19/coronavirus-statistiques-evolution-de-la-situation-dans-le-canton"/>
    <m/>
    <s v=""/>
    <m/>
    <s v=""/>
    <m/>
    <s v=""/>
    <n v="46.718390999999997"/>
    <n v="7.0740080000000001"/>
    <s v="Fribourg"/>
    <n v="10"/>
    <n v="24"/>
    <n v="2"/>
    <n v="311.01"/>
    <n v="22.533000000000001"/>
  </r>
  <r>
    <x v="54"/>
    <d v="1899-12-30T03:00:00"/>
    <x v="0"/>
    <n v="22101"/>
    <n v="4665"/>
    <n v="0"/>
    <n v="315"/>
    <n v="35"/>
    <n v="33"/>
    <n v="558"/>
    <n v="201"/>
    <s v="https://www.ge.ch/document/covid-19-situation-epidemiologique-geneve/telecharger"/>
    <m/>
    <s v=""/>
    <m/>
    <s v=""/>
    <n v="19"/>
    <s v=""/>
    <n v="46.220528000000002"/>
    <n v="6.1329349999999998"/>
    <s v="Genève"/>
    <n v="25"/>
    <n v="11"/>
    <n v="2"/>
    <n v="942.04"/>
    <n v="40.590000000000003"/>
  </r>
  <r>
    <x v="54"/>
    <d v="1899-12-30T03:00:00"/>
    <x v="26"/>
    <m/>
    <n v="769"/>
    <n v="-9"/>
    <n v="28"/>
    <m/>
    <m/>
    <m/>
    <n v="40"/>
    <s v="https://www.gr.ch/DE/institutionen/verwaltung/djsg/ga/coronavirus/info/Seiten/Start.aspx"/>
    <m/>
    <s v=""/>
    <m/>
    <s v=""/>
    <m/>
    <s v=""/>
    <n v="46.656247999999998"/>
    <n v="9.6281979999999994"/>
    <s v="Graubünden/Grigioni"/>
    <n v="1"/>
    <n v="17"/>
    <n v="1"/>
    <n v="388.58"/>
    <n v="20.212"/>
  </r>
  <r>
    <x v="54"/>
    <d v="1899-12-30T16:00:00"/>
    <x v="4"/>
    <m/>
    <n v="192"/>
    <n v="-1"/>
    <n v="16"/>
    <n v="5"/>
    <m/>
    <m/>
    <n v="5"/>
    <s v="https://www.jura.ch/fr/Autorites/Coronavirus/Accueil/Coronavirus-Informations-officielles-a-la-population-jurassienne.html"/>
    <m/>
    <s v=""/>
    <m/>
    <s v=""/>
    <m/>
    <s v=""/>
    <n v="47.350743999999999"/>
    <n v="7.1561070000000004"/>
    <s v="Jura"/>
    <n v="26"/>
    <n v="0"/>
    <n v="2"/>
    <n v="261.94"/>
    <n v="6.8209999999999997"/>
  </r>
  <r>
    <x v="54"/>
    <d v="1899-12-30T11:00:00"/>
    <x v="17"/>
    <m/>
    <n v="626"/>
    <n v="0"/>
    <n v="26"/>
    <n v="4"/>
    <m/>
    <m/>
    <n v="15"/>
    <s v="https://gesundheit.lu.ch/themen/Humanmedizin/Infektionskrankheiten/Coronavirus"/>
    <m/>
    <s v=""/>
    <m/>
    <s v=""/>
    <m/>
    <s v=""/>
    <n v="47.067762999999999"/>
    <n v="8.1102000000000007"/>
    <s v="Luzern"/>
    <n v="3"/>
    <n v="3"/>
    <n v="0"/>
    <n v="154"/>
    <n v="3.69"/>
  </r>
  <r>
    <x v="54"/>
    <d v="1899-12-30T16:00:00"/>
    <x v="14"/>
    <m/>
    <n v="640"/>
    <n v="-1"/>
    <n v="43"/>
    <n v="9"/>
    <n v="4"/>
    <m/>
    <n v="56"/>
    <s v="https://www.ne.ch/autorites/DFS/SCSP/medecin-cantonal/maladies-vaccinations/Documents/Covid-19-Statistiques/COVID19_PublicationInternet.pdf"/>
    <m/>
    <s v=""/>
    <m/>
    <s v=""/>
    <m/>
    <s v=""/>
    <n v="46.995533999999999"/>
    <n v="6.7801260000000001"/>
    <s v="Neuchâtel"/>
    <n v="24"/>
    <n v="1"/>
    <n v="1"/>
    <n v="359.55"/>
    <n v="31.460999999999999"/>
  </r>
  <r>
    <x v="54"/>
    <d v="1899-12-30T16:15:00"/>
    <x v="20"/>
    <m/>
    <n v="108"/>
    <n v="0"/>
    <n v="4"/>
    <n v="2"/>
    <m/>
    <m/>
    <n v="3"/>
    <s v="https://www.nw.ch/gesundheitsamtdienste/6044"/>
    <m/>
    <s v=""/>
    <m/>
    <s v=""/>
    <m/>
    <s v=""/>
    <n v="46.926755"/>
    <n v="8.4053020000000007"/>
    <s v="Nidwalden"/>
    <n v="7"/>
    <n v="0"/>
    <n v="0"/>
    <n v="251.16"/>
    <n v="6.9770000000000003"/>
  </r>
  <r>
    <x v="54"/>
    <d v="1899-12-30T03:00:00"/>
    <x v="15"/>
    <m/>
    <n v="705"/>
    <n v="1"/>
    <n v="45"/>
    <n v="7"/>
    <m/>
    <n v="150"/>
    <n v="27"/>
    <s v="https://www.sg.ch/tools/informationen-coronavirus.html"/>
    <m/>
    <s v=""/>
    <m/>
    <s v=""/>
    <m/>
    <s v=""/>
    <n v="47.183199999999999"/>
    <n v="9.2747440000000001"/>
    <s v="St. Gallen"/>
    <n v="17"/>
    <n v="6"/>
    <n v="0"/>
    <n v="139.69"/>
    <n v="5.35"/>
  </r>
  <r>
    <x v="54"/>
    <d v="1899-12-30T09:30:00"/>
    <x v="21"/>
    <m/>
    <n v="62"/>
    <n v="-5"/>
    <n v="6"/>
    <n v="2"/>
    <m/>
    <m/>
    <n v="1"/>
    <s v="https://sh.ch/CMS/Webseite/Kanton-Schaffhausen/Beh-rde/Verwaltung/Departement-des-Innern/Gesundheitsamt-3209198-DE.html"/>
    <m/>
    <s v=""/>
    <m/>
    <s v=""/>
    <m/>
    <s v=""/>
    <n v="47.713569999999997"/>
    <n v="8.5916700000000006"/>
    <s v="Schaffhausen"/>
    <n v="14"/>
    <n v="1"/>
    <n v="0"/>
    <n v="76.17"/>
    <n v="1.2290000000000001"/>
  </r>
  <r>
    <x v="54"/>
    <d v="1899-12-30T03:00:00"/>
    <x v="19"/>
    <m/>
    <n v="355"/>
    <n v="0"/>
    <n v="19"/>
    <m/>
    <m/>
    <m/>
    <n v="11"/>
    <s v="https://corona.so.ch/"/>
    <m/>
    <s v=""/>
    <m/>
    <s v=""/>
    <m/>
    <s v=""/>
    <n v="47.304135000000002"/>
    <n v="7.6393880000000003"/>
    <s v="Solothurn"/>
    <n v="11"/>
    <n v="2"/>
    <n v="1"/>
    <n v="130.80000000000001"/>
    <n v="4.0529999999999999"/>
  </r>
  <r>
    <x v="54"/>
    <d v="1899-12-30T00:01:00"/>
    <x v="16"/>
    <n v="10"/>
    <n v="268"/>
    <n v="0"/>
    <n v="1"/>
    <m/>
    <m/>
    <n v="180"/>
    <n v="15"/>
    <s v="https://www.sz.ch/public/upload/assets/46167/COVID-19_Fallzahlen_Kanton_Schwyz.xlsx"/>
    <m/>
    <s v=""/>
    <m/>
    <s v=""/>
    <m/>
    <s v=""/>
    <n v="47.061787000000002"/>
    <n v="8.7565849999999994"/>
    <s v="Schwyz"/>
    <n v="5"/>
    <n v="2"/>
    <n v="1"/>
    <n v="170.38"/>
    <n v="9.5359999999999996"/>
  </r>
  <r>
    <x v="54"/>
    <d v="1899-12-30T03:00:00"/>
    <x v="25"/>
    <n v="276"/>
    <n v="333"/>
    <n v="0"/>
    <n v="23"/>
    <n v="12"/>
    <m/>
    <m/>
    <n v="13"/>
    <s v="https://www.tg.ch/news/fachdossier-coronavirus.html/10552"/>
    <m/>
    <s v=""/>
    <m/>
    <s v=""/>
    <m/>
    <s v=""/>
    <n v="47.568714999999997"/>
    <n v="9.0919570000000007"/>
    <s v="Thurgau"/>
    <n v="1"/>
    <n v="1"/>
    <n v="0"/>
    <n v="121.62"/>
    <n v="4.7480000000000002"/>
  </r>
  <r>
    <x v="54"/>
    <d v="1899-12-30T08:00:00"/>
    <x v="1"/>
    <m/>
    <n v="3032"/>
    <n v="-7"/>
    <n v="237"/>
    <n v="54"/>
    <n v="42"/>
    <n v="616"/>
    <n v="281"/>
    <s v="https://www4.ti.ch/area-media/comunicati/dettaglio-comunicato/?NEWS_ID=187645&amp;tx_tichareamedia_comunicazioni%5Baction%5D=show&amp;tx_tichareamedia_comunicazioni%5Bcontroller%5D=Comunicazioni&amp;cHash=7c0ead3ab8e681d79f11cb3d67995946"/>
    <m/>
    <s v=""/>
    <m/>
    <s v=""/>
    <m/>
    <s v=""/>
    <n v="46.295617"/>
    <n v="8.8089239999999993"/>
    <s v="Ticino"/>
    <n v="21"/>
    <n v="38"/>
    <n v="4"/>
    <n v="857.22"/>
    <n v="79.445999999999998"/>
  </r>
  <r>
    <x v="54"/>
    <d v="1899-12-30T13:00:00"/>
    <x v="22"/>
    <n v="85"/>
    <n v="78"/>
    <n v="0"/>
    <n v="2"/>
    <m/>
    <m/>
    <n v="69"/>
    <n v="5"/>
    <s v="https://www.ur.ch/themen/2962"/>
    <m/>
    <s v=""/>
    <m/>
    <s v=""/>
    <m/>
    <s v=""/>
    <n v="46.771849000000003"/>
    <n v="8.6285860000000003"/>
    <s v="Uri"/>
    <n v="4"/>
    <n v="0"/>
    <n v="0"/>
    <n v="214.88"/>
    <n v="13.773999999999999"/>
  </r>
  <r>
    <x v="54"/>
    <d v="1899-12-30T03:00:00"/>
    <x v="9"/>
    <m/>
    <n v="4993"/>
    <n v="3"/>
    <n v="238"/>
    <n v="52"/>
    <m/>
    <n v="225"/>
    <n v="306"/>
    <s v="https://www.vd.ch/toutes-les-actualites/hotline-et-informations-sur-le-coronavirus/point-de-situation-statistique-dans-le-canton-de-vaud/"/>
    <m/>
    <s v=""/>
    <m/>
    <s v=""/>
    <m/>
    <s v=""/>
    <n v="46.570090999999998"/>
    <n v="6.5578090000000007"/>
    <s v="Vaud"/>
    <n v="22"/>
    <n v="21"/>
    <n v="4"/>
    <n v="629.54999999999995"/>
    <n v="38.582999999999998"/>
  </r>
  <r>
    <x v="54"/>
    <d v="1899-12-30T15:00:00"/>
    <x v="10"/>
    <m/>
    <n v="1773"/>
    <n v="-2"/>
    <n v="81"/>
    <n v="17"/>
    <n v="9"/>
    <n v="204"/>
    <n v="107"/>
    <s v="https://www.vs.ch/documents/6756452/7008787/2020%2004%2012%20Sit%20Epid%20-%20%C3%89tat%20Stand"/>
    <m/>
    <s v=""/>
    <m/>
    <s v=""/>
    <m/>
    <s v=""/>
    <n v="46.209567"/>
    <n v="7.6046589999999998"/>
    <s v="Valais/Wallis"/>
    <n v="23"/>
    <n v="7"/>
    <n v="3"/>
    <n v="519.17999999999995"/>
    <n v="31.332000000000001"/>
  </r>
  <r>
    <x v="54"/>
    <d v="1899-12-30T08:00:00"/>
    <x v="11"/>
    <m/>
    <n v="175"/>
    <n v="0"/>
    <n v="11"/>
    <n v="5"/>
    <m/>
    <n v="99"/>
    <n v="7"/>
    <s v="https://www.zg.ch/behoerden/gesundheitsdirektion/statistikfachstelle/themen/gesundheit/corona"/>
    <m/>
    <s v=""/>
    <m/>
    <s v=""/>
    <m/>
    <s v=""/>
    <n v="47.157296000000002"/>
    <n v="8.5372939999999993"/>
    <s v="Zug"/>
    <n v="9"/>
    <n v="0"/>
    <n v="0"/>
    <n v="139.55000000000001"/>
    <n v="5.5819999999999999"/>
  </r>
  <r>
    <x v="54"/>
    <d v="1899-12-30T14:30:00"/>
    <x v="5"/>
    <m/>
    <n v="3238"/>
    <n v="2"/>
    <n v="116"/>
    <m/>
    <n v="43"/>
    <m/>
    <n v="104"/>
    <s v="https://gd.zh.ch/internet/gesundheitsdirektion/de/themen/coronavirus.html"/>
    <m/>
    <s v=""/>
    <m/>
    <s v=""/>
    <m/>
    <s v=""/>
    <n v="47.412750000000003"/>
    <n v="8.6550799999999999"/>
    <s v="Zürich"/>
    <n v="1"/>
    <n v="27"/>
    <n v="0"/>
    <n v="215.25"/>
    <n v="6.9139999999999997"/>
  </r>
  <r>
    <x v="55"/>
    <d v="1899-12-30T14:45:00"/>
    <x v="6"/>
    <m/>
    <n v="1012"/>
    <n v="0"/>
    <n v="45"/>
    <n v="16"/>
    <n v="16"/>
    <n v="640"/>
    <n v="28"/>
    <s v="https://www.ag.ch/media/kanton_aargau/themen_1/coronavirus_1/lagebulletins/200420_KFS_Coronavirus_Lagebulletin_36.pdf"/>
    <m/>
    <s v=""/>
    <m/>
    <s v=""/>
    <m/>
    <s v=""/>
    <n v="47.409660000000002"/>
    <n v="8.1568799999999992"/>
    <s v="Aargau"/>
    <n v="1"/>
    <n v="9"/>
    <n v="3"/>
    <n v="150.82"/>
    <n v="4.173"/>
  </r>
  <r>
    <x v="55"/>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5"/>
    <d v="1899-12-30T13:00:00"/>
    <x v="18"/>
    <m/>
    <n v="86"/>
    <n v="0"/>
    <n v="6"/>
    <m/>
    <m/>
    <m/>
    <n v="3"/>
    <s v="https://www.ar.ch/verwaltung/departement-gesundheit-und-soziales/amt-fuer-gesundheit/informationsseite-coronavirus/"/>
    <m/>
    <s v=""/>
    <m/>
    <s v=""/>
    <m/>
    <s v=""/>
    <n v="47.416351999999996"/>
    <n v="9.3679100000000002"/>
    <s v="Appenzell Ausserrhoden"/>
    <n v="15"/>
    <n v="4"/>
    <n v="0"/>
    <n v="155.80000000000001"/>
    <n v="5.4349999999999996"/>
  </r>
  <r>
    <x v="55"/>
    <d v="1899-12-30T08:00:00"/>
    <x v="7"/>
    <m/>
    <n v="1613"/>
    <n v="-7"/>
    <n v="71"/>
    <n v="19"/>
    <n v="11"/>
    <m/>
    <n v="73"/>
    <s v="https://www.besondere-lage.sites.be.ch/besondere-lage_sites/de/index/corona/index.html"/>
    <m/>
    <s v=""/>
    <m/>
    <s v=""/>
    <m/>
    <s v=""/>
    <n v="46.823608"/>
    <n v="7.6366670000000001"/>
    <s v="Bern/Berne"/>
    <n v="2"/>
    <n v="14"/>
    <n v="4"/>
    <n v="156.43"/>
    <n v="7.08"/>
  </r>
  <r>
    <x v="55"/>
    <d v="1899-12-30T03:00:00"/>
    <x v="8"/>
    <m/>
    <n v="806"/>
    <n v="0"/>
    <n v="40"/>
    <n v="6"/>
    <n v="3"/>
    <n v="664"/>
    <n v="25"/>
    <s v="https://www.baselland.ch/politik-und-behorden/direktionen/volkswirtschafts-und-gesundheitsdirektion/amt-fur-gesundheit/medizinische-dienste/kantonsarztlicher-dienst/aktuelles/covid-19-faelle-kanton-basel-landschaft"/>
    <m/>
    <s v=""/>
    <m/>
    <s v=""/>
    <m/>
    <s v=""/>
    <n v="47.45176"/>
    <n v="7.7024140000000001"/>
    <s v="Basel-Landschaft"/>
    <n v="13"/>
    <n v="3"/>
    <n v="0"/>
    <n v="280.83999999999997"/>
    <n v="8.7110000000000003"/>
  </r>
  <r>
    <x v="55"/>
    <d v="1899-12-30T09:30:00"/>
    <x v="2"/>
    <n v="235"/>
    <n v="933"/>
    <n v="0"/>
    <n v="68"/>
    <n v="7"/>
    <m/>
    <n v="770"/>
    <n v="42"/>
    <s v="https://www.gd.bs.ch//nm/2020-tagesbulletin-coronavirus-933-bestaetigte-faelle-im-kanton-basel-stadt-gd.html"/>
    <n v="509"/>
    <s v=""/>
    <m/>
    <s v=""/>
    <m/>
    <s v=""/>
    <n v="47.564869000000002"/>
    <n v="7.615259"/>
    <s v="Basel-Stadt"/>
    <n v="12"/>
    <n v="1"/>
    <n v="2"/>
    <n v="481.18"/>
    <n v="21.661000000000001"/>
  </r>
  <r>
    <x v="55"/>
    <d v="1899-12-30T03:00:00"/>
    <x v="3"/>
    <n v="900"/>
    <n v="81"/>
    <n v="0"/>
    <m/>
    <m/>
    <m/>
    <n v="1"/>
    <n v="1"/>
    <s v="https://www.regierung.li/de/mitteilungen/223410/?typ=news"/>
    <m/>
    <s v=""/>
    <m/>
    <s v=""/>
    <m/>
    <s v=""/>
    <n v="47.166666999999997"/>
    <n v="9.509722"/>
    <s v="Fürstentum Lichtenstein"/>
    <n v="0"/>
    <n v="0"/>
    <n v="0"/>
    <n v="209.84"/>
    <n v="2.5910000000000002"/>
  </r>
  <r>
    <x v="55"/>
    <d v="1899-12-30T03:00:00"/>
    <x v="12"/>
    <n v="30"/>
    <n v="989"/>
    <n v="1"/>
    <n v="62"/>
    <n v="11"/>
    <m/>
    <n v="113"/>
    <n v="72"/>
    <s v="https://www.fr.ch/covid19/sante/covid-19/coronavirus-statistiques-evolution-de-la-situation-dans-le-canton"/>
    <m/>
    <s v=""/>
    <m/>
    <s v=""/>
    <m/>
    <s v=""/>
    <n v="46.718390999999997"/>
    <n v="7.0740080000000001"/>
    <s v="Fribourg"/>
    <n v="10"/>
    <n v="9"/>
    <n v="1"/>
    <n v="313.87"/>
    <n v="22.85"/>
  </r>
  <r>
    <x v="55"/>
    <d v="1899-12-30T03:00:00"/>
    <x v="0"/>
    <n v="22493"/>
    <n v="4694"/>
    <n v="6"/>
    <n v="321"/>
    <n v="34"/>
    <n v="29"/>
    <n v="561"/>
    <n v="202"/>
    <s v="https://www.ge.ch/document/covid-19-situation-epidemiologique-geneve/telecharger"/>
    <m/>
    <s v=""/>
    <m/>
    <s v=""/>
    <n v="20"/>
    <s v=""/>
    <n v="46.220528000000002"/>
    <n v="6.1329349999999998"/>
    <s v="Genève"/>
    <n v="25"/>
    <n v="29"/>
    <n v="1"/>
    <n v="947.9"/>
    <n v="40.792000000000002"/>
  </r>
  <r>
    <x v="55"/>
    <d v="1899-12-30T13:00:00"/>
    <x v="13"/>
    <m/>
    <n v="114"/>
    <n v="1"/>
    <n v="5"/>
    <m/>
    <m/>
    <m/>
    <n v="5"/>
    <s v="https://www.gl.ch/verwaltung/finanzen-und-gesundheit/gesundheit/coronavirus.html/4817#Fallzahlen"/>
    <m/>
    <s v=""/>
    <m/>
    <s v=""/>
    <m/>
    <s v=""/>
    <n v="46.931042000000005"/>
    <n v="9.0657510000000006"/>
    <s v="Glarus"/>
    <n v="8"/>
    <n v="6"/>
    <n v="2"/>
    <n v="282.88"/>
    <n v="12.407"/>
  </r>
  <r>
    <x v="55"/>
    <d v="1899-12-30T03:00:00"/>
    <x v="26"/>
    <m/>
    <n v="778"/>
    <n v="1"/>
    <n v="29"/>
    <m/>
    <m/>
    <m/>
    <n v="40"/>
    <s v="https://www.gr.ch/DE/institutionen/verwaltung/djsg/ga/coronavirus/info/Seiten/Start.aspx"/>
    <m/>
    <s v=""/>
    <m/>
    <s v=""/>
    <m/>
    <s v=""/>
    <n v="46.656247999999998"/>
    <n v="9.6281979999999994"/>
    <s v="Graubünden/Grigioni"/>
    <n v="1"/>
    <n v="9"/>
    <n v="0"/>
    <n v="393.13"/>
    <n v="20.212"/>
  </r>
  <r>
    <x v="55"/>
    <d v="1899-12-30T16:00:00"/>
    <x v="4"/>
    <m/>
    <n v="195"/>
    <n v="-2"/>
    <n v="14"/>
    <n v="4"/>
    <m/>
    <m/>
    <n v="6"/>
    <s v="https://www.jura.ch/fr/Autorites/Coronavirus/Accueil/Coronavirus-Informations-officielles-a-la-population-jurassienne.html"/>
    <m/>
    <s v=""/>
    <m/>
    <s v=""/>
    <m/>
    <s v=""/>
    <n v="47.350743999999999"/>
    <n v="7.1561070000000004"/>
    <s v="Jura"/>
    <n v="26"/>
    <n v="3"/>
    <n v="1"/>
    <n v="266.02999999999997"/>
    <n v="8.1859999999999999"/>
  </r>
  <r>
    <x v="55"/>
    <d v="1899-12-30T11:00:00"/>
    <x v="17"/>
    <m/>
    <n v="633"/>
    <n v="7"/>
    <n v="33"/>
    <n v="5"/>
    <m/>
    <m/>
    <n v="15"/>
    <s v="https://gesundheit.lu.ch/themen/Humanmedizin/Infektionskrankheiten/Coronavirus"/>
    <m/>
    <s v=""/>
    <m/>
    <s v=""/>
    <m/>
    <s v=""/>
    <n v="47.067762999999999"/>
    <n v="8.1102000000000007"/>
    <s v="Luzern"/>
    <n v="3"/>
    <n v="7"/>
    <n v="0"/>
    <n v="155.72"/>
    <n v="3.69"/>
  </r>
  <r>
    <x v="55"/>
    <d v="1899-12-30T16:00:00"/>
    <x v="14"/>
    <m/>
    <n v="651"/>
    <n v="1"/>
    <n v="44"/>
    <n v="10"/>
    <n v="5"/>
    <m/>
    <n v="56"/>
    <s v="https://www.ne.ch/autorites/DFS/SCSP/medecin-cantonal/maladies-vaccinations/Documents/Covid-19-Statistiques/COVID19_PublicationInternet.pdf"/>
    <m/>
    <s v=""/>
    <m/>
    <s v=""/>
    <m/>
    <s v=""/>
    <n v="46.995533999999999"/>
    <n v="6.7801260000000001"/>
    <s v="Neuchâtel"/>
    <n v="24"/>
    <n v="11"/>
    <n v="0"/>
    <n v="365.73"/>
    <n v="31.460999999999999"/>
  </r>
  <r>
    <x v="55"/>
    <d v="1899-12-30T03:00:00"/>
    <x v="20"/>
    <m/>
    <n v="108"/>
    <n v="0"/>
    <n v="4"/>
    <n v="2"/>
    <m/>
    <m/>
    <n v="3"/>
    <s v="http://www.nw.ch/coronastatistik"/>
    <m/>
    <s v=""/>
    <m/>
    <s v=""/>
    <m/>
    <s v=""/>
    <n v="46.926755"/>
    <n v="8.4053020000000007"/>
    <s v="Nidwalden"/>
    <n v="7"/>
    <n v="0"/>
    <n v="0"/>
    <n v="251.16"/>
    <n v="6.9770000000000003"/>
  </r>
  <r>
    <x v="55"/>
    <d v="1899-12-30T15:00:00"/>
    <x v="23"/>
    <n v="6"/>
    <n v="67"/>
    <n v="0"/>
    <n v="0"/>
    <m/>
    <m/>
    <n v="1"/>
    <n v="0"/>
    <s v="https://www.ow.ch/de/verwaltung/dienstleistungen/?dienst_id=5962"/>
    <m/>
    <s v=""/>
    <m/>
    <s v=""/>
    <m/>
    <s v=""/>
    <n v="46.804527"/>
    <n v="8.1443170000000009"/>
    <s v="Obwalden"/>
    <n v="6"/>
    <n v="1"/>
    <n v="0"/>
    <n v="178.19"/>
    <n v="0"/>
  </r>
  <r>
    <x v="55"/>
    <d v="1899-12-30T03:00:00"/>
    <x v="15"/>
    <m/>
    <n v="711"/>
    <n v="-3"/>
    <n v="42"/>
    <n v="7"/>
    <m/>
    <n v="159"/>
    <n v="27"/>
    <s v="https://www.sg.ch/tools/informationen-coronavirus.html"/>
    <m/>
    <s v=""/>
    <m/>
    <s v=""/>
    <m/>
    <s v=""/>
    <n v="47.183199999999999"/>
    <n v="9.2747440000000001"/>
    <s v="St. Gallen"/>
    <n v="17"/>
    <n v="6"/>
    <n v="0"/>
    <n v="140.88"/>
    <n v="5.35"/>
  </r>
  <r>
    <x v="55"/>
    <d v="1899-12-30T09:30:00"/>
    <x v="21"/>
    <m/>
    <n v="63"/>
    <n v="0"/>
    <n v="6"/>
    <n v="2"/>
    <m/>
    <m/>
    <n v="1"/>
    <s v="https://sh.ch/CMS/Webseite/Kanton-Schaffhausen/Beh-rde/Verwaltung/Departement-des-Innern/Gesundheitsamt-3209198-DE.html"/>
    <m/>
    <s v=""/>
    <m/>
    <s v=""/>
    <m/>
    <s v=""/>
    <n v="47.713569999999997"/>
    <n v="8.5916700000000006"/>
    <s v="Schaffhausen"/>
    <n v="14"/>
    <n v="1"/>
    <n v="0"/>
    <n v="77.400000000000006"/>
    <n v="1.2290000000000001"/>
  </r>
  <r>
    <x v="55"/>
    <d v="1899-12-30T03:00:00"/>
    <x v="19"/>
    <m/>
    <n v="355"/>
    <n v="0"/>
    <n v="19"/>
    <m/>
    <m/>
    <m/>
    <n v="11"/>
    <s v="https://corona.so.ch/"/>
    <m/>
    <s v=""/>
    <m/>
    <s v=""/>
    <m/>
    <s v=""/>
    <n v="47.304135000000002"/>
    <n v="7.6393880000000003"/>
    <s v="Solothurn"/>
    <n v="11"/>
    <n v="0"/>
    <n v="0"/>
    <n v="130.80000000000001"/>
    <n v="4.0529999999999999"/>
  </r>
  <r>
    <x v="55"/>
    <d v="1899-12-30T08:54:00"/>
    <x v="16"/>
    <n v="10"/>
    <n v="272"/>
    <n v="0"/>
    <n v="1"/>
    <m/>
    <m/>
    <n v="180"/>
    <n v="15"/>
    <s v="https://www.sz.ch/public/upload/assets/46169/COVID-19_Fallzahlen_Kanton_Schwyz.xlsx"/>
    <m/>
    <s v=""/>
    <m/>
    <s v=""/>
    <m/>
    <s v=""/>
    <n v="47.061787000000002"/>
    <n v="8.7565849999999994"/>
    <s v="Schwyz"/>
    <n v="5"/>
    <n v="4"/>
    <n v="0"/>
    <n v="172.92"/>
    <n v="9.5359999999999996"/>
  </r>
  <r>
    <x v="55"/>
    <d v="1899-12-30T03:00:00"/>
    <x v="25"/>
    <n v="276"/>
    <n v="335"/>
    <n v="1"/>
    <n v="24"/>
    <n v="12"/>
    <m/>
    <m/>
    <n v="13"/>
    <s v="https://www.tg.ch/news/fachdossier-coronavirus.html/10552"/>
    <m/>
    <s v=""/>
    <m/>
    <s v=""/>
    <m/>
    <s v=""/>
    <n v="47.568714999999997"/>
    <n v="9.0919570000000007"/>
    <s v="Thurgau"/>
    <n v="1"/>
    <n v="2"/>
    <n v="0"/>
    <n v="122.35"/>
    <n v="4.7480000000000002"/>
  </r>
  <r>
    <x v="55"/>
    <d v="1899-12-30T08:00:00"/>
    <x v="1"/>
    <m/>
    <n v="3058"/>
    <n v="0"/>
    <n v="237"/>
    <n v="54"/>
    <n v="42"/>
    <n v="616"/>
    <n v="288"/>
    <s v="https://www4.ti.ch/area-media/comunicati/dettaglio-comunicato/?NEWS_ID=187648&amp;tx_tichareamedia_comunicazioni%5Baction%5D=show&amp;tx_tichareamedia_comunicazioni%5Bcontroller%5D=Comunicazioni&amp;cHash=8c7fb45c6eada1e8d97d120f23176eb1"/>
    <m/>
    <s v=""/>
    <m/>
    <s v=""/>
    <m/>
    <s v=""/>
    <n v="46.295617"/>
    <n v="8.8089239999999993"/>
    <s v="Ticino"/>
    <n v="21"/>
    <n v="26"/>
    <n v="7"/>
    <n v="864.57"/>
    <n v="81.424999999999997"/>
  </r>
  <r>
    <x v="55"/>
    <d v="1899-12-30T14:00:00"/>
    <x v="22"/>
    <n v="85"/>
    <n v="78"/>
    <n v="0"/>
    <n v="2"/>
    <m/>
    <m/>
    <n v="69"/>
    <n v="5"/>
    <s v="https://www.ur.ch/themen/2962"/>
    <m/>
    <s v=""/>
    <m/>
    <s v=""/>
    <m/>
    <s v=""/>
    <n v="46.771849000000003"/>
    <n v="8.6285860000000003"/>
    <s v="Uri"/>
    <n v="4"/>
    <n v="0"/>
    <n v="0"/>
    <n v="214.88"/>
    <n v="13.773999999999999"/>
  </r>
  <r>
    <x v="55"/>
    <d v="1899-12-30T03:00:00"/>
    <x v="9"/>
    <m/>
    <n v="5007"/>
    <n v="-17"/>
    <n v="221"/>
    <n v="48"/>
    <m/>
    <n v="225"/>
    <n v="315"/>
    <s v="https://www.vd.ch/toutes-les-actualites/hotline-et-informations-sur-le-coronavirus/point-de-situation-statistique-dans-le-canton-de-vaud/"/>
    <m/>
    <s v=""/>
    <m/>
    <s v=""/>
    <m/>
    <s v=""/>
    <n v="46.570090999999998"/>
    <n v="6.5578090000000007"/>
    <s v="Vaud"/>
    <n v="22"/>
    <n v="14"/>
    <n v="9"/>
    <n v="631.32000000000005"/>
    <n v="39.718000000000004"/>
  </r>
  <r>
    <x v="55"/>
    <d v="1899-12-30T15:00:00"/>
    <x v="10"/>
    <m/>
    <n v="1786"/>
    <n v="-4"/>
    <n v="77"/>
    <n v="16"/>
    <n v="9"/>
    <n v="206"/>
    <n v="110"/>
    <s v="https://www.vs.ch/documents/6756452/7008787/2020%2004%2012%20Sit%20Epid%20-%20%C3%89tat%20Stand"/>
    <m/>
    <s v=""/>
    <m/>
    <s v=""/>
    <m/>
    <s v=""/>
    <n v="46.209567"/>
    <n v="7.6046589999999998"/>
    <s v="Valais/Wallis"/>
    <n v="23"/>
    <n v="13"/>
    <n v="3"/>
    <n v="522.99"/>
    <n v="32.210999999999999"/>
  </r>
  <r>
    <x v="55"/>
    <d v="1899-12-30T08:00:00"/>
    <x v="11"/>
    <m/>
    <n v="176"/>
    <n v="-2"/>
    <n v="9"/>
    <n v="4"/>
    <m/>
    <n v="99"/>
    <n v="8"/>
    <s v="https://www.zg.ch/behoerden/gesundheitsdirektion/statistikfachstelle/themen/gesundheit/corona"/>
    <m/>
    <s v=""/>
    <m/>
    <s v=""/>
    <m/>
    <s v=""/>
    <n v="47.157296000000002"/>
    <n v="8.5372939999999993"/>
    <s v="Zug"/>
    <n v="9"/>
    <n v="1"/>
    <n v="1"/>
    <n v="140.35"/>
    <n v="6.38"/>
  </r>
  <r>
    <x v="55"/>
    <d v="1899-12-30T14:30:00"/>
    <x v="5"/>
    <m/>
    <n v="3254"/>
    <n v="5"/>
    <n v="121"/>
    <m/>
    <n v="43"/>
    <m/>
    <n v="106"/>
    <s v="https://gd.zh.ch/internet/gesundheitsdirektion/de/themen/coronavirus.html"/>
    <m/>
    <s v=""/>
    <m/>
    <s v=""/>
    <m/>
    <s v=""/>
    <n v="47.412750000000003"/>
    <n v="8.6550799999999999"/>
    <s v="Zürich"/>
    <n v="1"/>
    <n v="16"/>
    <n v="2"/>
    <n v="216.31"/>
    <n v="7.0460000000000003"/>
  </r>
  <r>
    <x v="56"/>
    <d v="1899-12-30T14:45:00"/>
    <x v="6"/>
    <m/>
    <n v="1017"/>
    <n v="-2"/>
    <n v="43"/>
    <n v="18"/>
    <n v="18"/>
    <n v="680"/>
    <n v="29"/>
    <s v="https://www.ag.ch/media/kanton_aargau/themen_1/coronavirus_1/lagebulletins/200421_KFS_Coronavirus_Lagebulletin_37.pdf"/>
    <m/>
    <s v=""/>
    <m/>
    <s v=""/>
    <m/>
    <s v=""/>
    <n v="47.409660000000002"/>
    <n v="8.1568799999999992"/>
    <s v="Aargau"/>
    <n v="1"/>
    <n v="5"/>
    <n v="1"/>
    <n v="151.56"/>
    <n v="4.3220000000000001"/>
  </r>
  <r>
    <x v="56"/>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6"/>
    <d v="1899-12-30T13:00:00"/>
    <x v="18"/>
    <m/>
    <n v="86"/>
    <n v="0"/>
    <n v="6"/>
    <m/>
    <m/>
    <m/>
    <n v="3"/>
    <s v="https://www.ar.ch/verwaltung/departement-gesundheit-und-soziales/amt-fuer-gesundheit/informationsseite-coronavirus/"/>
    <m/>
    <s v=""/>
    <m/>
    <s v=""/>
    <m/>
    <s v=""/>
    <n v="47.416351999999996"/>
    <n v="9.3679100000000002"/>
    <s v="Appenzell Ausserrhoden"/>
    <n v="15"/>
    <n v="0"/>
    <n v="0"/>
    <n v="155.80000000000001"/>
    <n v="5.4349999999999996"/>
  </r>
  <r>
    <x v="56"/>
    <d v="1899-12-30T08:00:00"/>
    <x v="7"/>
    <m/>
    <n v="1622"/>
    <n v="-5"/>
    <n v="66"/>
    <n v="17"/>
    <n v="11"/>
    <m/>
    <n v="77"/>
    <s v="https://www.besondere-lage.sites.be.ch/besondere-lage_sites/de/index/corona/index.html"/>
    <m/>
    <s v=""/>
    <m/>
    <s v=""/>
    <m/>
    <s v=""/>
    <n v="46.823608"/>
    <n v="7.6366670000000001"/>
    <s v="Bern/Berne"/>
    <n v="2"/>
    <n v="9"/>
    <n v="4"/>
    <n v="157.31"/>
    <n v="7.468"/>
  </r>
  <r>
    <x v="56"/>
    <d v="1899-12-30T03:00:00"/>
    <x v="8"/>
    <m/>
    <n v="809"/>
    <n v="-7"/>
    <n v="33"/>
    <n v="3"/>
    <n v="3"/>
    <n v="679"/>
    <n v="26"/>
    <s v="https://www.baselland.ch/politik-und-behorden/direktionen/volkswirtschafts-und-gesundheitsdirektion/amt-fur-gesundheit/medizinische-dienste/kantonsarztlicher-dienst/aktuelles/covid-19-faelle-kanton-basel-landschaft"/>
    <m/>
    <s v=""/>
    <m/>
    <s v=""/>
    <m/>
    <s v=""/>
    <n v="47.45176"/>
    <n v="7.7024140000000001"/>
    <s v="Basel-Landschaft"/>
    <n v="13"/>
    <n v="3"/>
    <n v="1"/>
    <n v="281.88"/>
    <n v="9.0589999999999993"/>
  </r>
  <r>
    <x v="56"/>
    <d v="1899-12-30T09:15:00"/>
    <x v="2"/>
    <n v="235"/>
    <n v="933"/>
    <n v="0"/>
    <n v="54"/>
    <n v="9"/>
    <m/>
    <n v="781"/>
    <n v="44"/>
    <s v="https://www.gd.bs.ch//nm/2020-tagesbulletin-coronavirus-933-bestaetigte-faelle-im-kanton-basel-stadt-gd-2.html"/>
    <n v="509"/>
    <s v="19.0"/>
    <m/>
    <s v=""/>
    <m/>
    <s v=""/>
    <n v="47.564869000000002"/>
    <n v="7.615259"/>
    <s v="Basel-Stadt"/>
    <n v="12"/>
    <n v="0"/>
    <n v="2"/>
    <n v="481.18"/>
    <n v="22.692"/>
  </r>
  <r>
    <x v="56"/>
    <d v="1899-12-30T03:00:00"/>
    <x v="3"/>
    <n v="900"/>
    <n v="81"/>
    <n v="0"/>
    <m/>
    <m/>
    <m/>
    <n v="1"/>
    <n v="1"/>
    <s v="https://www.regierung.li/media/attachments/207-corona-keine-neuen-Faelle-0421.pdf?t=637230900737305962"/>
    <m/>
    <s v=""/>
    <m/>
    <s v=""/>
    <m/>
    <s v=""/>
    <n v="47.166666999999997"/>
    <n v="9.509722"/>
    <s v="Fürstentum Lichtenstein"/>
    <n v="0"/>
    <n v="0"/>
    <n v="0"/>
    <n v="209.84"/>
    <n v="2.5910000000000002"/>
  </r>
  <r>
    <x v="56"/>
    <d v="1899-12-30T03:00:00"/>
    <x v="12"/>
    <n v="30"/>
    <n v="995"/>
    <n v="-2"/>
    <n v="60"/>
    <n v="8"/>
    <m/>
    <n v="115"/>
    <n v="74"/>
    <s v="https://www.fr.ch/covid19/sante/covid-19/coronavirus-statistiques-evolution-de-la-situation-dans-le-canton"/>
    <m/>
    <s v=""/>
    <m/>
    <s v=""/>
    <m/>
    <s v=""/>
    <n v="46.718390999999997"/>
    <n v="7.0740080000000001"/>
    <s v="Fribourg"/>
    <n v="10"/>
    <n v="6"/>
    <n v="2"/>
    <n v="315.77"/>
    <n v="23.484999999999999"/>
  </r>
  <r>
    <x v="56"/>
    <d v="1899-12-30T03:00:00"/>
    <x v="0"/>
    <n v="22735"/>
    <n v="4710"/>
    <n v="-17"/>
    <n v="304"/>
    <n v="32"/>
    <n v="29"/>
    <n v="581"/>
    <n v="205"/>
    <s v="https://www.ge.ch/document/covid-19-situation-epidemiologique-geneve/telecharger"/>
    <m/>
    <s v=""/>
    <m/>
    <s v=""/>
    <n v="18"/>
    <s v=""/>
    <n v="46.220528000000002"/>
    <n v="6.1329349999999998"/>
    <s v="Genève"/>
    <n v="25"/>
    <n v="16"/>
    <n v="3"/>
    <n v="951.13"/>
    <n v="41.396999999999998"/>
  </r>
  <r>
    <x v="56"/>
    <d v="1899-12-30T13:30:00"/>
    <x v="13"/>
    <m/>
    <n v="115"/>
    <n v="-2"/>
    <n v="3"/>
    <m/>
    <m/>
    <m/>
    <n v="6"/>
    <s v="https://www.gl.ch/verwaltung/finanzen-und-gesundheit/gesundheit/coronavirus.html/4817#Fallzahlen"/>
    <m/>
    <s v=""/>
    <m/>
    <s v=""/>
    <m/>
    <s v=""/>
    <n v="46.931042000000005"/>
    <n v="9.0657510000000006"/>
    <s v="Glarus"/>
    <n v="8"/>
    <n v="1"/>
    <n v="1"/>
    <n v="285.36"/>
    <n v="14.888"/>
  </r>
  <r>
    <x v="56"/>
    <d v="1899-12-30T03:00:00"/>
    <x v="26"/>
    <m/>
    <n v="782"/>
    <n v="-2"/>
    <n v="27"/>
    <m/>
    <m/>
    <m/>
    <n v="42"/>
    <s v="https://www.gr.ch/DE/institutionen/verwaltung/djsg/ga/coronavirus/info/Seiten/Start.aspx"/>
    <m/>
    <s v=""/>
    <m/>
    <s v=""/>
    <m/>
    <s v=""/>
    <n v="46.656247999999998"/>
    <n v="9.6281979999999994"/>
    <s v="Graubünden/Grigioni"/>
    <n v="1"/>
    <n v="4"/>
    <n v="2"/>
    <n v="395.15"/>
    <n v="21.222999999999999"/>
  </r>
  <r>
    <x v="56"/>
    <d v="1899-12-30T16:00:00"/>
    <x v="4"/>
    <m/>
    <n v="195"/>
    <n v="-2"/>
    <n v="12"/>
    <n v="4"/>
    <m/>
    <m/>
    <n v="6"/>
    <s v="https://www.jura.ch/fr/Autorites/Coronavirus/Chiffres-H-JU/Evolution-des-cas-COVID-19-dans-le-Jura.html"/>
    <m/>
    <s v=""/>
    <m/>
    <s v=""/>
    <m/>
    <s v=""/>
    <n v="47.350743999999999"/>
    <n v="7.1561070000000004"/>
    <s v="Jura"/>
    <n v="26"/>
    <n v="0"/>
    <n v="0"/>
    <n v="266.02999999999997"/>
    <n v="8.1859999999999999"/>
  </r>
  <r>
    <x v="56"/>
    <d v="1899-12-30T12:00:00"/>
    <x v="17"/>
    <m/>
    <n v="643"/>
    <n v="2"/>
    <n v="35"/>
    <n v="5"/>
    <m/>
    <m/>
    <n v="15"/>
    <s v="https://gesundheit.lu.ch/themen/Humanmedizin/Infektionskrankheiten/Coronavirus"/>
    <m/>
    <s v=""/>
    <m/>
    <s v=""/>
    <m/>
    <s v=""/>
    <n v="47.067762999999999"/>
    <n v="8.1102000000000007"/>
    <s v="Luzern"/>
    <n v="3"/>
    <n v="10"/>
    <n v="0"/>
    <n v="158.18"/>
    <n v="3.69"/>
  </r>
  <r>
    <x v="56"/>
    <d v="1899-12-30T16:00:00"/>
    <x v="14"/>
    <m/>
    <n v="652"/>
    <n v="-7"/>
    <n v="37"/>
    <n v="7"/>
    <n v="4"/>
    <m/>
    <n v="56"/>
    <s v="https://www.ne.ch/autorites/DFS/SCSP/medecin-cantonal/maladies-vaccinations/Documents/Covid-19-Statistiques/COVID19_PublicationInternet.pdf"/>
    <m/>
    <s v=""/>
    <m/>
    <s v=""/>
    <m/>
    <s v=""/>
    <n v="46.995533999999999"/>
    <n v="6.7801260000000001"/>
    <s v="Neuchâtel"/>
    <n v="24"/>
    <n v="1"/>
    <n v="0"/>
    <n v="366.29"/>
    <n v="31.460999999999999"/>
  </r>
  <r>
    <x v="56"/>
    <d v="1899-12-30T03:00:00"/>
    <x v="20"/>
    <m/>
    <n v="108"/>
    <n v="0"/>
    <n v="4"/>
    <n v="1"/>
    <m/>
    <m/>
    <n v="3"/>
    <s v="http://www.nw.ch/coronastatistik"/>
    <m/>
    <s v=""/>
    <m/>
    <s v=""/>
    <m/>
    <s v=""/>
    <n v="46.926755"/>
    <n v="8.4053020000000007"/>
    <s v="Nidwalden"/>
    <n v="7"/>
    <n v="0"/>
    <n v="0"/>
    <n v="251.16"/>
    <n v="6.9770000000000003"/>
  </r>
  <r>
    <x v="56"/>
    <d v="1899-12-30T11:30:00"/>
    <x v="23"/>
    <n v="6"/>
    <n v="67"/>
    <n v="0"/>
    <n v="0"/>
    <m/>
    <m/>
    <n v="1"/>
    <n v="0"/>
    <s v="https://www.ow.ch/de/verwaltung/dienstleistungen/?dienst_id=5962"/>
    <m/>
    <s v=""/>
    <m/>
    <s v=""/>
    <m/>
    <s v=""/>
    <n v="46.804527"/>
    <n v="8.1443170000000009"/>
    <s v="Obwalden"/>
    <n v="6"/>
    <n v="0"/>
    <n v="0"/>
    <n v="178.19"/>
    <n v="0"/>
  </r>
  <r>
    <x v="56"/>
    <d v="1899-12-30T03:00:00"/>
    <x v="15"/>
    <m/>
    <n v="718"/>
    <n v="6"/>
    <n v="48"/>
    <n v="8"/>
    <m/>
    <n v="159"/>
    <n v="29"/>
    <s v="https://www.sg.ch/tools/informationen-coronavirus.html"/>
    <m/>
    <s v=""/>
    <m/>
    <s v=""/>
    <m/>
    <s v=""/>
    <n v="47.183199999999999"/>
    <n v="9.2747440000000001"/>
    <s v="St. Gallen"/>
    <n v="17"/>
    <n v="7"/>
    <n v="2"/>
    <n v="142.26"/>
    <n v="5.7460000000000004"/>
  </r>
  <r>
    <x v="56"/>
    <d v="1899-12-30T09:30:00"/>
    <x v="21"/>
    <m/>
    <n v="63"/>
    <n v="4"/>
    <n v="10"/>
    <n v="2"/>
    <m/>
    <m/>
    <n v="2"/>
    <s v="https://sh.ch/CMS/Webseite/Kanton-Schaffhausen/Beh-rde/Verwaltung/Departement-des-Innern/Gesundheitsamt-3209198-DE.html"/>
    <m/>
    <s v=""/>
    <m/>
    <s v=""/>
    <m/>
    <s v=""/>
    <n v="47.713569999999997"/>
    <n v="8.5916700000000006"/>
    <s v="Schaffhausen"/>
    <n v="14"/>
    <n v="0"/>
    <n v="1"/>
    <n v="77.400000000000006"/>
    <n v="2.4569999999999999"/>
  </r>
  <r>
    <x v="56"/>
    <d v="1899-12-30T03:00:00"/>
    <x v="19"/>
    <m/>
    <n v="359"/>
    <n v="0"/>
    <n v="19"/>
    <m/>
    <m/>
    <m/>
    <n v="11"/>
    <s v="https://corona.so.ch/"/>
    <m/>
    <s v=""/>
    <m/>
    <s v=""/>
    <m/>
    <s v=""/>
    <n v="47.304135000000002"/>
    <n v="7.6393880000000003"/>
    <s v="Solothurn"/>
    <n v="11"/>
    <n v="4"/>
    <n v="0"/>
    <n v="132.28"/>
    <n v="4.0529999999999999"/>
  </r>
  <r>
    <x v="56"/>
    <d v="1899-12-30T07:43:00"/>
    <x v="16"/>
    <n v="10"/>
    <n v="276"/>
    <n v="0"/>
    <n v="1"/>
    <m/>
    <m/>
    <n v="192"/>
    <n v="16"/>
    <s v="https://www.sz.ch/public/upload/assets/46178/COVID-19_Fallzahlen_Kanton_Schwyz.xlsx"/>
    <m/>
    <s v=""/>
    <m/>
    <s v=""/>
    <m/>
    <s v=""/>
    <n v="47.061787000000002"/>
    <n v="8.7565849999999994"/>
    <s v="Schwyz"/>
    <n v="5"/>
    <n v="4"/>
    <n v="1"/>
    <n v="175.46"/>
    <n v="10.172000000000001"/>
  </r>
  <r>
    <x v="56"/>
    <d v="1899-12-30T03:00:00"/>
    <x v="25"/>
    <n v="276"/>
    <n v="339"/>
    <n v="0"/>
    <n v="24"/>
    <n v="12"/>
    <m/>
    <m/>
    <n v="13"/>
    <s v="https://www.tg.ch/news/fachdossier-coronavirus.html/10552"/>
    <m/>
    <s v=""/>
    <m/>
    <s v=""/>
    <m/>
    <s v=""/>
    <n v="47.568714999999997"/>
    <n v="9.0919570000000007"/>
    <s v="Thurgau"/>
    <n v="1"/>
    <n v="4"/>
    <n v="0"/>
    <n v="123.81"/>
    <n v="4.7480000000000002"/>
  </r>
  <r>
    <x v="56"/>
    <d v="1899-12-30T08:00:00"/>
    <x v="1"/>
    <m/>
    <n v="3065"/>
    <n v="-1"/>
    <n v="236"/>
    <n v="54"/>
    <n v="36"/>
    <n v="639"/>
    <n v="291"/>
    <s v="https://www4.ti.ch/area-media/comunicati/dettaglio-comunicato/?NEWS_ID=187654&amp;tx_tichareamedia_comunicazioni%5Baction%5D=show&amp;tx_tichareamedia_comunicazioni%5Bcontroller%5D=Comunicazioni&amp;cHash=8ae7085e87cf92c2997d0e458baa17f9"/>
    <m/>
    <s v=""/>
    <m/>
    <s v=""/>
    <m/>
    <s v=""/>
    <n v="46.295617"/>
    <n v="8.8089239999999993"/>
    <s v="Ticino"/>
    <n v="21"/>
    <n v="7"/>
    <n v="3"/>
    <n v="866.55"/>
    <n v="82.272999999999996"/>
  </r>
  <r>
    <x v="56"/>
    <d v="1899-12-30T17:00:00"/>
    <x v="22"/>
    <n v="85"/>
    <n v="78"/>
    <n v="0"/>
    <n v="2"/>
    <m/>
    <m/>
    <n v="69"/>
    <n v="5"/>
    <s v="https://www.ur.ch/themen/2962"/>
    <m/>
    <s v=""/>
    <m/>
    <s v=""/>
    <m/>
    <s v=""/>
    <n v="46.771849000000003"/>
    <n v="8.6285860000000003"/>
    <s v="Uri"/>
    <n v="4"/>
    <n v="0"/>
    <n v="0"/>
    <n v="214.88"/>
    <n v="13.773999999999999"/>
  </r>
  <r>
    <x v="56"/>
    <d v="1899-12-30T03:00:00"/>
    <x v="9"/>
    <m/>
    <n v="5041"/>
    <n v="-13"/>
    <n v="208"/>
    <n v="47"/>
    <m/>
    <n v="225"/>
    <n v="321"/>
    <s v="https://www.vd.ch/toutes-les-actualites/hotline-et-informations-sur-le-coronavirus/point-de-situation-statistique-dans-le-canton-de-vaud/"/>
    <m/>
    <s v=""/>
    <m/>
    <s v=""/>
    <m/>
    <s v=""/>
    <n v="46.570090999999998"/>
    <n v="6.5578090000000007"/>
    <s v="Vaud"/>
    <n v="22"/>
    <n v="34"/>
    <n v="6"/>
    <n v="635.61"/>
    <n v="40.473999999999997"/>
  </r>
  <r>
    <x v="56"/>
    <d v="1899-12-30T15:00:00"/>
    <x v="10"/>
    <m/>
    <n v="1791"/>
    <n v="-1"/>
    <n v="76"/>
    <n v="15"/>
    <n v="11"/>
    <n v="210"/>
    <n v="113"/>
    <s v="https://www.vs.ch/documents/6756452/7008787/2020%2004%2012%20Sit%20Epid%20-%20%C3%89tat%20Stand"/>
    <m/>
    <s v=""/>
    <m/>
    <s v=""/>
    <m/>
    <s v=""/>
    <n v="46.209567"/>
    <n v="7.6046589999999998"/>
    <s v="Valais/Wallis"/>
    <n v="23"/>
    <n v="5"/>
    <n v="3"/>
    <n v="524.45000000000005"/>
    <n v="33.088999999999999"/>
  </r>
  <r>
    <x v="56"/>
    <d v="1899-12-30T08:00:00"/>
    <x v="11"/>
    <m/>
    <n v="176"/>
    <n v="-3"/>
    <n v="6"/>
    <n v="3"/>
    <m/>
    <n v="99"/>
    <n v="8"/>
    <s v="https://www.zg.ch/behoerden/gesundheitsdirektion/statistikfachstelle/themen/gesundheit/corona"/>
    <m/>
    <s v=""/>
    <m/>
    <s v=""/>
    <m/>
    <s v=""/>
    <n v="47.157296000000002"/>
    <n v="8.5372939999999993"/>
    <s v="Zug"/>
    <n v="9"/>
    <n v="0"/>
    <n v="0"/>
    <n v="140.35"/>
    <n v="6.38"/>
  </r>
  <r>
    <x v="56"/>
    <d v="1899-12-30T14:30:00"/>
    <x v="5"/>
    <m/>
    <n v="3280"/>
    <n v="-11"/>
    <n v="110"/>
    <m/>
    <n v="41"/>
    <m/>
    <n v="108"/>
    <s v="https://gd.zh.ch/internet/gesundheitsdirektion/de/themen/coronavirus.html"/>
    <m/>
    <s v=""/>
    <m/>
    <s v=""/>
    <m/>
    <s v=""/>
    <n v="47.412750000000003"/>
    <n v="8.6550799999999999"/>
    <s v="Zürich"/>
    <n v="1"/>
    <n v="26"/>
    <n v="2"/>
    <n v="218.04"/>
    <n v="7.1790000000000003"/>
  </r>
  <r>
    <x v="57"/>
    <d v="1899-12-30T14:45:00"/>
    <x v="6"/>
    <m/>
    <n v="1026"/>
    <n v="-6"/>
    <n v="37"/>
    <n v="15"/>
    <n v="15"/>
    <n v="710"/>
    <n v="31"/>
    <s v="https://www.ag.ch/media/kanton_aargau/themen_1/coronavirus_1/lagebulletins/200422_KFS_Coronavirus_Lagebulletin_38.pdf"/>
    <m/>
    <s v=""/>
    <m/>
    <s v=""/>
    <m/>
    <s v=""/>
    <n v="47.409660000000002"/>
    <n v="8.1568799999999992"/>
    <s v="Aargau"/>
    <n v="1"/>
    <n v="9"/>
    <n v="2"/>
    <n v="152.91"/>
    <n v="4.62"/>
  </r>
  <r>
    <x v="57"/>
    <d v="1899-12-30T11:00:00"/>
    <x v="24"/>
    <m/>
    <n v="24"/>
    <n v="0"/>
    <n v="1"/>
    <m/>
    <m/>
    <m/>
    <m/>
    <s v="https://www.ai.ch/themen/gesundheit-alter-und-soziales/gesundheitsfoerderung-und-praevention/uebertragbare-krankheiten/coronavirus"/>
    <m/>
    <s v=""/>
    <m/>
    <s v=""/>
    <m/>
    <s v=""/>
    <n v="47.317264000000002"/>
    <n v="9.4167539999999992"/>
    <s v="Appenzell Innerrhoden"/>
    <n v="16"/>
    <n v="0"/>
    <n v="0"/>
    <n v="149.07"/>
    <m/>
  </r>
  <r>
    <x v="57"/>
    <d v="1899-12-30T18:00:00"/>
    <x v="18"/>
    <m/>
    <n v="87"/>
    <n v="0"/>
    <n v="6"/>
    <m/>
    <m/>
    <m/>
    <n v="3"/>
    <s v="https://www.ar.ch/verwaltung/departement-gesundheit-und-soziales/amt-fuer-gesundheit/informationsseite-coronavirus/"/>
    <m/>
    <s v=""/>
    <m/>
    <s v=""/>
    <m/>
    <s v=""/>
    <n v="47.416351999999996"/>
    <n v="9.3679100000000002"/>
    <s v="Appenzell Ausserrhoden"/>
    <n v="15"/>
    <n v="1"/>
    <n v="0"/>
    <n v="157.61000000000001"/>
    <n v="5.4349999999999996"/>
  </r>
  <r>
    <x v="57"/>
    <d v="1899-12-30T08:00:00"/>
    <x v="7"/>
    <m/>
    <n v="1643"/>
    <n v="1"/>
    <n v="67"/>
    <n v="14"/>
    <n v="10"/>
    <m/>
    <n v="77"/>
    <s v="https://www.besondere-lage.sites.be.ch/besondere-lage_sites/de/index/corona/index.html"/>
    <m/>
    <s v=""/>
    <m/>
    <s v=""/>
    <m/>
    <s v=""/>
    <n v="46.823608"/>
    <n v="7.6366670000000001"/>
    <s v="Bern/Berne"/>
    <n v="2"/>
    <n v="21"/>
    <n v="0"/>
    <n v="159.34"/>
    <n v="7.468"/>
  </r>
  <r>
    <x v="57"/>
    <d v="1899-12-30T03:00:00"/>
    <x v="8"/>
    <m/>
    <n v="811"/>
    <n v="0"/>
    <n v="33"/>
    <n v="3"/>
    <n v="3"/>
    <n v="683"/>
    <n v="26"/>
    <s v="https://www.baselland.ch/politik-und-behorden/direktionen/volkswirtschafts-und-gesundheitsdirektion/amt-fur-gesundheit/medizinische-dienste/kantonsarztlicher-dienst/aktuelles/covid-19-faelle-kanton-basel-landschaft"/>
    <m/>
    <s v=""/>
    <m/>
    <s v=""/>
    <m/>
    <s v=""/>
    <n v="47.45176"/>
    <n v="7.7024140000000001"/>
    <s v="Basel-Landschaft"/>
    <n v="13"/>
    <n v="2"/>
    <n v="0"/>
    <n v="282.58"/>
    <n v="9.0589999999999993"/>
  </r>
  <r>
    <x v="57"/>
    <d v="1899-12-30T09:45:00"/>
    <x v="2"/>
    <n v="235"/>
    <n v="933"/>
    <n v="-5"/>
    <n v="49"/>
    <n v="7"/>
    <m/>
    <n v="786"/>
    <n v="45"/>
    <s v="https://www.gd.bs.ch//nm/2020-tagesbulletin-coronavirus-933-bestaetigte-faelle-im-kanton-basel-stadt-gd-3.html"/>
    <n v="511"/>
    <s v="16.0"/>
    <m/>
    <s v=""/>
    <m/>
    <s v=""/>
    <n v="47.564869000000002"/>
    <n v="7.615259"/>
    <s v="Basel-Stadt"/>
    <n v="12"/>
    <n v="0"/>
    <n v="1"/>
    <n v="481.18"/>
    <n v="23.207999999999998"/>
  </r>
  <r>
    <x v="57"/>
    <d v="1899-12-30T03:00:00"/>
    <x v="3"/>
    <n v="900"/>
    <n v="81"/>
    <n v="0"/>
    <m/>
    <m/>
    <m/>
    <n v="1"/>
    <n v="1"/>
    <s v="https://www.regierung.li/de/mitteilungen/223419/?typ=news"/>
    <m/>
    <s v=""/>
    <m/>
    <s v=""/>
    <m/>
    <s v=""/>
    <n v="47.166666999999997"/>
    <n v="9.509722"/>
    <s v="Fürstentum Lichtenstein"/>
    <n v="0"/>
    <n v="0"/>
    <n v="0"/>
    <n v="209.84"/>
    <n v="2.5910000000000002"/>
  </r>
  <r>
    <x v="57"/>
    <d v="1899-12-30T03:00:00"/>
    <x v="12"/>
    <n v="30"/>
    <n v="1006"/>
    <n v="-3"/>
    <n v="57"/>
    <n v="5"/>
    <m/>
    <n v="116"/>
    <n v="76"/>
    <s v="https://www.fr.ch/covid19/sante/covid-19/coronavirus-statistiques-evolution-de-la-situation-dans-le-canton"/>
    <m/>
    <s v=""/>
    <m/>
    <s v=""/>
    <m/>
    <s v=""/>
    <n v="46.718390999999997"/>
    <n v="7.0740080000000001"/>
    <s v="Fribourg"/>
    <n v="10"/>
    <n v="11"/>
    <n v="2"/>
    <n v="319.26"/>
    <n v="24.119"/>
  </r>
  <r>
    <x v="57"/>
    <d v="1899-12-30T12:00:00"/>
    <x v="0"/>
    <n v="22735"/>
    <n v="4710"/>
    <n v="-16"/>
    <n v="288"/>
    <n v="30"/>
    <n v="27"/>
    <n v="589"/>
    <n v="205"/>
    <s v="https://www.ge.ch/document/covid-19-situation-epidemiologique-geneve/telecharger"/>
    <m/>
    <s v=""/>
    <m/>
    <s v=""/>
    <n v="18"/>
    <s v=""/>
    <n v="46.220528000000002"/>
    <n v="6.1329349999999998"/>
    <s v="Genève"/>
    <n v="25"/>
    <n v="0"/>
    <n v="0"/>
    <n v="951.13"/>
    <n v="41.396999999999998"/>
  </r>
  <r>
    <x v="57"/>
    <d v="1899-12-30T13:30:00"/>
    <x v="13"/>
    <m/>
    <n v="117"/>
    <n v="0"/>
    <n v="3"/>
    <m/>
    <m/>
    <m/>
    <n v="6"/>
    <s v="https://www.gl.ch/verwaltung/finanzen-und-gesundheit/gesundheit/coronavirus.html/4817#Fallzahlen"/>
    <m/>
    <s v=""/>
    <m/>
    <s v=""/>
    <m/>
    <s v=""/>
    <n v="46.931042000000005"/>
    <n v="9.0657510000000006"/>
    <s v="Glarus"/>
    <n v="8"/>
    <n v="2"/>
    <n v="0"/>
    <n v="290.32"/>
    <n v="14.888"/>
  </r>
  <r>
    <x v="57"/>
    <d v="1899-12-30T03:00:00"/>
    <x v="26"/>
    <m/>
    <n v="788"/>
    <n v="-1"/>
    <n v="26"/>
    <m/>
    <m/>
    <m/>
    <n v="43"/>
    <s v="https://www.gr.ch/DE/institutionen/verwaltung/djsg/ga/coronavirus/info/Seiten/Start.aspx"/>
    <m/>
    <s v=""/>
    <m/>
    <s v=""/>
    <m/>
    <s v=""/>
    <n v="46.656247999999998"/>
    <n v="9.6281979999999994"/>
    <s v="Graubünden/Grigioni"/>
    <n v="1"/>
    <n v="6"/>
    <n v="1"/>
    <n v="398.18"/>
    <n v="21.728000000000002"/>
  </r>
  <r>
    <x v="57"/>
    <d v="1899-12-30T16:00:00"/>
    <x v="4"/>
    <m/>
    <n v="196"/>
    <n v="0"/>
    <n v="12"/>
    <n v="4"/>
    <m/>
    <m/>
    <n v="6"/>
    <s v="https://www.jura.ch/fr/Autorites/Coronavirus/Chiffres-H-JU/Evolution-des-cas-COVID-19-dans-le-Jura.html"/>
    <m/>
    <s v=""/>
    <m/>
    <s v=""/>
    <m/>
    <s v=""/>
    <n v="47.350743999999999"/>
    <n v="7.1561070000000004"/>
    <s v="Jura"/>
    <n v="26"/>
    <n v="1"/>
    <n v="0"/>
    <n v="267.39"/>
    <n v="8.1859999999999999"/>
  </r>
  <r>
    <x v="57"/>
    <d v="1899-12-30T11:00:00"/>
    <x v="17"/>
    <m/>
    <n v="648"/>
    <n v="0"/>
    <n v="35"/>
    <n v="5"/>
    <m/>
    <m/>
    <n v="15"/>
    <s v="https://gesundheit.lu.ch/themen/Humanmedizin/Infektionskrankheiten/Coronavirus"/>
    <m/>
    <s v=""/>
    <m/>
    <s v=""/>
    <m/>
    <s v=""/>
    <n v="47.067762999999999"/>
    <n v="8.1102000000000007"/>
    <s v="Luzern"/>
    <n v="3"/>
    <n v="5"/>
    <n v="0"/>
    <n v="159.41"/>
    <n v="3.69"/>
  </r>
  <r>
    <x v="57"/>
    <d v="1899-12-30T16:00:00"/>
    <x v="14"/>
    <m/>
    <n v="652"/>
    <n v="0"/>
    <n v="37"/>
    <n v="6"/>
    <n v="4"/>
    <m/>
    <n v="56"/>
    <s v="https://www.ne.ch/autorites/DFS/SCSP/medecin-cantonal/maladies-vaccinations/Documents/Covid-19-Statistiques/COVID19_PublicationInternet.xlsx"/>
    <m/>
    <s v=""/>
    <m/>
    <s v=""/>
    <m/>
    <s v=""/>
    <n v="46.995533999999999"/>
    <n v="6.7801260000000001"/>
    <s v="Neuchâtel"/>
    <n v="24"/>
    <n v="0"/>
    <n v="0"/>
    <n v="366.29"/>
    <n v="31.460999999999999"/>
  </r>
  <r>
    <x v="57"/>
    <d v="1899-12-30T16:00:00"/>
    <x v="23"/>
    <n v="6"/>
    <n v="67"/>
    <n v="0"/>
    <n v="0"/>
    <m/>
    <m/>
    <n v="1"/>
    <n v="0"/>
    <s v="https://www.ow.ch/de/verwaltung/dienstleistungen/?dienst_id=5962"/>
    <m/>
    <s v=""/>
    <m/>
    <s v=""/>
    <m/>
    <s v=""/>
    <n v="46.804527"/>
    <n v="8.1443170000000009"/>
    <s v="Obwalden"/>
    <n v="6"/>
    <n v="0"/>
    <n v="0"/>
    <n v="178.19"/>
    <n v="0"/>
  </r>
  <r>
    <x v="57"/>
    <d v="1899-12-30T03:00:00"/>
    <x v="15"/>
    <m/>
    <n v="724"/>
    <n v="4"/>
    <n v="52"/>
    <n v="6"/>
    <m/>
    <n v="162"/>
    <n v="29"/>
    <s v="https://www.sg.ch/tools/informationen-coronavirus.html"/>
    <m/>
    <s v=""/>
    <m/>
    <s v=""/>
    <m/>
    <s v=""/>
    <n v="47.183199999999999"/>
    <n v="9.2747440000000001"/>
    <s v="St. Gallen"/>
    <n v="17"/>
    <n v="6"/>
    <n v="0"/>
    <n v="143.44999999999999"/>
    <n v="5.7460000000000004"/>
  </r>
  <r>
    <x v="57"/>
    <d v="1899-12-30T09:30:00"/>
    <x v="21"/>
    <m/>
    <n v="63"/>
    <n v="0"/>
    <n v="10"/>
    <n v="2"/>
    <m/>
    <m/>
    <n v="3"/>
    <s v="https://sh.ch/CMS/Webseite/Kanton-Schaffhausen/Beh-rde/Verwaltung/Departement-des-Innern/Gesundheitsamt-3209198-DE.html"/>
    <m/>
    <s v=""/>
    <m/>
    <s v=""/>
    <m/>
    <s v=""/>
    <n v="47.713569999999997"/>
    <n v="8.5916700000000006"/>
    <s v="Schaffhausen"/>
    <n v="14"/>
    <n v="0"/>
    <n v="1"/>
    <n v="77.400000000000006"/>
    <n v="3.6859999999999999"/>
  </r>
  <r>
    <x v="57"/>
    <d v="1899-12-30T03:00:00"/>
    <x v="19"/>
    <m/>
    <n v="368"/>
    <n v="-1"/>
    <n v="18"/>
    <m/>
    <m/>
    <m/>
    <n v="11"/>
    <s v="https://corona.so.ch/"/>
    <m/>
    <s v=""/>
    <m/>
    <s v=""/>
    <m/>
    <s v=""/>
    <n v="47.304135000000002"/>
    <n v="7.6393880000000003"/>
    <s v="Solothurn"/>
    <n v="11"/>
    <n v="9"/>
    <n v="0"/>
    <n v="135.59"/>
    <n v="4.0529999999999999"/>
  </r>
  <r>
    <x v="57"/>
    <d v="1899-12-30T08:23:00"/>
    <x v="16"/>
    <n v="10"/>
    <n v="282"/>
    <n v="0"/>
    <n v="1"/>
    <m/>
    <m/>
    <n v="194"/>
    <n v="16"/>
    <s v="https://www.sz.ch/public/upload/assets/46199/COVID-19_Fallzahlen_Kanton_Schwyz.xlsx"/>
    <m/>
    <s v=""/>
    <m/>
    <s v=""/>
    <m/>
    <s v=""/>
    <n v="47.061787000000002"/>
    <n v="8.7565849999999994"/>
    <s v="Schwyz"/>
    <n v="5"/>
    <n v="6"/>
    <n v="0"/>
    <n v="179.28"/>
    <n v="10.172000000000001"/>
  </r>
  <r>
    <x v="57"/>
    <d v="1899-12-30T03:00:00"/>
    <x v="25"/>
    <n v="276"/>
    <n v="340"/>
    <n v="-1"/>
    <n v="23"/>
    <n v="9"/>
    <m/>
    <m/>
    <n v="14"/>
    <s v="https://www.tg.ch/news/fachdossier-coronavirus.html/10552"/>
    <m/>
    <s v=""/>
    <m/>
    <s v=""/>
    <m/>
    <s v=""/>
    <n v="47.568714999999997"/>
    <n v="9.0919570000000007"/>
    <s v="Thurgau"/>
    <n v="1"/>
    <n v="1"/>
    <n v="1"/>
    <n v="124.18"/>
    <n v="5.1130000000000004"/>
  </r>
  <r>
    <x v="57"/>
    <d v="1899-12-30T08:00:00"/>
    <x v="1"/>
    <m/>
    <n v="3089"/>
    <n v="-23"/>
    <n v="213"/>
    <n v="42"/>
    <n v="32"/>
    <n v="661"/>
    <n v="295"/>
    <s v="https://www4.ti.ch/area-media/comunicati/dettaglio-comunicato/?NEWS_ID=187672&amp;cHash=73c20eed4b20c3cb714758f2678c3f15"/>
    <m/>
    <s v=""/>
    <m/>
    <s v=""/>
    <m/>
    <s v=""/>
    <n v="46.295617"/>
    <n v="8.8089239999999993"/>
    <s v="Ticino"/>
    <n v="21"/>
    <n v="24"/>
    <n v="4"/>
    <n v="873.34"/>
    <n v="83.403999999999996"/>
  </r>
  <r>
    <x v="57"/>
    <d v="1899-12-30T15:00:00"/>
    <x v="22"/>
    <n v="85"/>
    <n v="78"/>
    <n v="1"/>
    <n v="3"/>
    <m/>
    <m/>
    <n v="69"/>
    <n v="5"/>
    <s v="https://www.ur.ch/themen/2962"/>
    <m/>
    <s v=""/>
    <m/>
    <s v=""/>
    <m/>
    <s v=""/>
    <n v="46.771849000000003"/>
    <n v="8.6285860000000003"/>
    <s v="Uri"/>
    <n v="4"/>
    <n v="0"/>
    <n v="0"/>
    <n v="214.88"/>
    <n v="13.773999999999999"/>
  </r>
  <r>
    <x v="57"/>
    <d v="1899-12-30T03:00:00"/>
    <x v="9"/>
    <m/>
    <n v="5071"/>
    <n v="-12"/>
    <n v="196"/>
    <n v="44"/>
    <m/>
    <n v="225"/>
    <n v="324"/>
    <s v="https://www.vd.ch/toutes-les-actualites/hotline-et-informations-sur-le-coronavirus/point-de-situation-statistique-dans-le-canton-de-vaud/"/>
    <m/>
    <s v=""/>
    <m/>
    <s v=""/>
    <m/>
    <s v=""/>
    <n v="46.570090999999998"/>
    <n v="6.5578090000000007"/>
    <s v="Vaud"/>
    <n v="22"/>
    <n v="30"/>
    <n v="3"/>
    <n v="639.39"/>
    <n v="40.851999999999997"/>
  </r>
  <r>
    <x v="57"/>
    <d v="1899-12-30T15:00:00"/>
    <x v="10"/>
    <m/>
    <n v="1792"/>
    <n v="0"/>
    <n v="76"/>
    <n v="15"/>
    <n v="11"/>
    <n v="210"/>
    <n v="114"/>
    <s v="https://www.vs.ch/documents/6756452/7008787/2020%2004%2022%20Sit%20Epid%20-%20%C3%89tat%20Stand"/>
    <m/>
    <s v=""/>
    <m/>
    <s v=""/>
    <m/>
    <s v=""/>
    <n v="46.209567"/>
    <n v="7.6046589999999998"/>
    <s v="Valais/Wallis"/>
    <n v="23"/>
    <n v="1"/>
    <n v="1"/>
    <n v="524.74"/>
    <n v="33.381999999999998"/>
  </r>
  <r>
    <x v="57"/>
    <d v="1899-12-30T08:00:00"/>
    <x v="11"/>
    <m/>
    <n v="178"/>
    <n v="-1"/>
    <n v="5"/>
    <n v="3"/>
    <m/>
    <n v="131"/>
    <n v="8"/>
    <s v="https://www.zg.ch/behoerden/gesundheitsdirektion/statistikfachstelle/themen/gesundheit/corona"/>
    <m/>
    <s v=""/>
    <m/>
    <s v=""/>
    <m/>
    <s v=""/>
    <n v="47.157296000000002"/>
    <n v="8.5372939999999993"/>
    <s v="Zug"/>
    <n v="9"/>
    <n v="2"/>
    <n v="0"/>
    <n v="141.94999999999999"/>
    <n v="6.38"/>
  </r>
  <r>
    <x v="57"/>
    <d v="1899-12-30T14:30:00"/>
    <x v="5"/>
    <m/>
    <n v="3320"/>
    <n v="0"/>
    <n v="110"/>
    <m/>
    <n v="44"/>
    <m/>
    <n v="108"/>
    <s v="https://gd.zh.ch/internet/gesundheitsdirektion/de/themen/coronavirus.html"/>
    <m/>
    <s v=""/>
    <m/>
    <s v=""/>
    <m/>
    <s v=""/>
    <n v="47.412750000000003"/>
    <n v="8.6550799999999999"/>
    <s v="Zürich"/>
    <n v="1"/>
    <n v="40"/>
    <n v="0"/>
    <n v="220.7"/>
    <n v="7.1790000000000003"/>
  </r>
  <r>
    <x v="58"/>
    <d v="1899-12-30T11:00:00"/>
    <x v="24"/>
    <m/>
    <n v="25"/>
    <n v="0"/>
    <n v="1"/>
    <m/>
    <m/>
    <m/>
    <m/>
    <s v="https://www.ai.ch/themen/gesundheit-alter-und-soziales/gesundheitsfoerderung-und-praevention/uebertragbare-krankheiten/coronavirus"/>
    <m/>
    <s v=""/>
    <m/>
    <s v=""/>
    <m/>
    <s v=""/>
    <n v="47.317264000000002"/>
    <n v="9.4167539999999992"/>
    <s v="Appenzell Innerrhoden"/>
    <n v="16"/>
    <n v="1"/>
    <n v="0"/>
    <n v="155.28"/>
    <m/>
  </r>
  <r>
    <x v="58"/>
    <d v="1899-12-30T08:00:00"/>
    <x v="18"/>
    <m/>
    <n v="88"/>
    <n v="0"/>
    <n v="6"/>
    <m/>
    <m/>
    <m/>
    <n v="3"/>
    <s v="https://www.ar.ch/verwaltung/departement-gesundheit-und-soziales/amt-fuer-gesundheit/informationsseite-coronavirus/"/>
    <m/>
    <s v=""/>
    <m/>
    <s v=""/>
    <m/>
    <s v=""/>
    <n v="47.416351999999996"/>
    <n v="9.3679100000000002"/>
    <s v="Appenzell Ausserrhoden"/>
    <n v="15"/>
    <n v="1"/>
    <n v="0"/>
    <n v="159.41999999999999"/>
    <n v="5.4349999999999996"/>
  </r>
  <r>
    <x v="58"/>
    <d v="1899-12-30T08:00:00"/>
    <x v="7"/>
    <m/>
    <n v="1670"/>
    <n v="-1"/>
    <n v="66"/>
    <n v="11"/>
    <n v="7"/>
    <m/>
    <n v="79"/>
    <s v="https://www.besondere-lage.sites.be.ch/besondere-lage_sites/de/index/corona/index.html"/>
    <m/>
    <s v=""/>
    <m/>
    <s v=""/>
    <m/>
    <s v=""/>
    <n v="46.823608"/>
    <n v="7.6366670000000001"/>
    <s v="Bern/Berne"/>
    <n v="2"/>
    <n v="27"/>
    <n v="2"/>
    <n v="161.96"/>
    <n v="7.6619999999999999"/>
  </r>
  <r>
    <x v="58"/>
    <d v="1899-12-30T03:00:00"/>
    <x v="12"/>
    <n v="30"/>
    <n v="1014"/>
    <n v="0"/>
    <n v="57"/>
    <n v="5"/>
    <m/>
    <n v="118"/>
    <n v="76"/>
    <s v="https://www.fr.ch/covid19/sante/covid-19/coronavirus-statistiques-evolution-de-la-situation-dans-le-canton"/>
    <m/>
    <s v=""/>
    <m/>
    <s v=""/>
    <m/>
    <s v=""/>
    <n v="46.718390999999997"/>
    <n v="7.0740080000000001"/>
    <s v="Fribourg"/>
    <n v="10"/>
    <n v="8"/>
    <n v="0"/>
    <n v="321.8"/>
    <n v="24.119"/>
  </r>
  <r>
    <x v="58"/>
    <d v="1899-12-30T13:30:00"/>
    <x v="13"/>
    <m/>
    <n v="117"/>
    <n v="0"/>
    <n v="3"/>
    <m/>
    <m/>
    <m/>
    <n v="6"/>
    <s v="https://www.gl.ch/verwaltung/finanzen-und-gesundheit/gesundheit/coronavirus.html/4817#Fallzahlen"/>
    <m/>
    <s v=""/>
    <m/>
    <s v=""/>
    <m/>
    <s v=""/>
    <n v="46.931042000000005"/>
    <n v="9.0657510000000006"/>
    <s v="Glarus"/>
    <n v="8"/>
    <n v="0"/>
    <n v="0"/>
    <n v="290.32"/>
    <n v="14.888"/>
  </r>
  <r>
    <x v="58"/>
    <d v="1899-12-30T11:00:00"/>
    <x v="17"/>
    <m/>
    <n v="654"/>
    <n v="0"/>
    <n v="35"/>
    <n v="5"/>
    <m/>
    <m/>
    <n v="15"/>
    <s v="https://gesundheit.lu.ch/themen/Humanmedizin/Infektionskrankheiten/Coronavirus"/>
    <m/>
    <s v=""/>
    <m/>
    <s v=""/>
    <m/>
    <s v=""/>
    <n v="47.067762999999999"/>
    <n v="8.1102000000000007"/>
    <s v="Luzern"/>
    <n v="3"/>
    <n v="6"/>
    <n v="0"/>
    <n v="160.88999999999999"/>
    <n v="3.69"/>
  </r>
  <r>
    <x v="58"/>
    <d v="1899-12-30T13:00:00"/>
    <x v="23"/>
    <n v="6"/>
    <n v="68"/>
    <n v="0"/>
    <n v="0"/>
    <m/>
    <m/>
    <n v="1"/>
    <n v="0"/>
    <s v="https://www.ow.ch/de/verwaltung/dienstleistungen/?dienst_id=5962"/>
    <m/>
    <s v=""/>
    <m/>
    <s v=""/>
    <m/>
    <s v=""/>
    <n v="46.804527"/>
    <n v="8.1443170000000009"/>
    <s v="Obwalden"/>
    <n v="6"/>
    <n v="1"/>
    <n v="0"/>
    <n v="180.85"/>
    <n v="0"/>
  </r>
  <r>
    <x v="58"/>
    <d v="1899-12-30T03:00:00"/>
    <x v="15"/>
    <m/>
    <n v="736"/>
    <n v="-9"/>
    <n v="43"/>
    <n v="4"/>
    <m/>
    <n v="167"/>
    <n v="31"/>
    <s v="https://www.sg.ch/tools/informationen-coronavirus.html"/>
    <m/>
    <s v=""/>
    <m/>
    <s v=""/>
    <m/>
    <s v=""/>
    <n v="47.183199999999999"/>
    <n v="9.2747440000000001"/>
    <s v="St. Gallen"/>
    <n v="17"/>
    <n v="12"/>
    <n v="2"/>
    <n v="145.83000000000001"/>
    <n v="6.1420000000000003"/>
  </r>
  <r>
    <x v="58"/>
    <d v="1899-12-30T09:30:00"/>
    <x v="21"/>
    <m/>
    <n v="65"/>
    <n v="-2"/>
    <n v="8"/>
    <n v="2"/>
    <m/>
    <m/>
    <n v="3"/>
    <s v="https://sh.ch/CMS/Webseite/Kanton-Schaffhausen/Beh-rde/Verwaltung/Departement-des-Innern/Gesundheitsamt-3209198-DE.html"/>
    <m/>
    <s v=""/>
    <m/>
    <s v=""/>
    <m/>
    <s v=""/>
    <n v="47.713569999999997"/>
    <n v="8.5916700000000006"/>
    <s v="Schaffhausen"/>
    <n v="14"/>
    <n v="2"/>
    <n v="0"/>
    <n v="79.849999999999994"/>
    <n v="3.6859999999999999"/>
  </r>
  <r>
    <x v="58"/>
    <d v="1899-12-30T03:00:00"/>
    <x v="19"/>
    <m/>
    <n v="375"/>
    <n v="-3"/>
    <n v="15"/>
    <m/>
    <m/>
    <m/>
    <n v="12"/>
    <s v="https://corona.so.ch/"/>
    <m/>
    <s v=""/>
    <m/>
    <s v=""/>
    <m/>
    <s v=""/>
    <n v="47.304135000000002"/>
    <n v="7.6393880000000003"/>
    <s v="Solothurn"/>
    <n v="11"/>
    <n v="7"/>
    <n v="1"/>
    <n v="138.16999999999999"/>
    <n v="4.4219999999999997"/>
  </r>
  <r>
    <x v="58"/>
    <d v="1899-12-30T08:20:00"/>
    <x v="16"/>
    <n v="10"/>
    <n v="282"/>
    <n v="0"/>
    <n v="1"/>
    <m/>
    <m/>
    <n v="198"/>
    <n v="16"/>
    <s v="https://www.sz.ch/public/upload/assets/46266/COVID-19_Fallzahlen_Kanton_Schwyz.xlsx"/>
    <m/>
    <s v=""/>
    <m/>
    <s v=""/>
    <m/>
    <s v=""/>
    <n v="47.061787000000002"/>
    <n v="8.7565849999999994"/>
    <s v="Schwyz"/>
    <n v="5"/>
    <n v="0"/>
    <n v="0"/>
    <n v="179.28"/>
    <n v="10.172000000000001"/>
  </r>
  <r>
    <x v="58"/>
    <d v="1899-12-30T03:00:00"/>
    <x v="25"/>
    <n v="276"/>
    <n v="353"/>
    <n v="-2"/>
    <n v="21"/>
    <n v="9"/>
    <m/>
    <m/>
    <n v="14"/>
    <s v="https://www.tg.ch/news/fachdossier-coronavirus.html/10552"/>
    <m/>
    <s v=""/>
    <m/>
    <s v=""/>
    <m/>
    <s v=""/>
    <n v="47.568714999999997"/>
    <n v="9.0919570000000007"/>
    <s v="Thurgau"/>
    <n v="1"/>
    <n v="13"/>
    <n v="0"/>
    <n v="128.93"/>
    <n v="5.1130000000000004"/>
  </r>
  <r>
    <x v="58"/>
    <d v="1899-12-30T08:00:00"/>
    <x v="1"/>
    <m/>
    <n v="3106"/>
    <n v="0"/>
    <n v="213"/>
    <n v="42"/>
    <n v="32"/>
    <n v="661"/>
    <n v="298"/>
    <s v="https://www4.ti.ch/area-media/comunicati/dettaglio-comunicato/?NEWS_ID=187672&amp;tx_tichareamedia_comunicazioni%5Baction%5D=show&amp;tx_tichareamedia_comunicazioni%5Bcontroller%5D=Comunicazioni&amp;cHash=97e1b5c9b1c83ce43bd3c76d46f6aba5"/>
    <m/>
    <s v=""/>
    <m/>
    <s v=""/>
    <m/>
    <s v=""/>
    <n v="46.295617"/>
    <n v="8.8089239999999993"/>
    <s v="Ticino"/>
    <n v="21"/>
    <n v="17"/>
    <n v="3"/>
    <n v="878.15"/>
    <n v="84.251999999999995"/>
  </r>
  <r>
    <x v="58"/>
    <d v="1899-12-30T08:00:00"/>
    <x v="11"/>
    <m/>
    <n v="178"/>
    <n v="0"/>
    <n v="5"/>
    <n v="3"/>
    <m/>
    <n v="133"/>
    <n v="8"/>
    <s v="https://www.zg.ch/behoerden/gesundheitsdirektion/statistikfachstelle/themen/gesundheit/corona"/>
    <m/>
    <s v=""/>
    <m/>
    <s v=""/>
    <m/>
    <s v=""/>
    <n v="47.157296000000002"/>
    <n v="8.5372939999999993"/>
    <s v="Zug"/>
    <n v="9"/>
    <n v="0"/>
    <n v="0"/>
    <n v="141.94999999999999"/>
    <n v="6.3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4A0B681-1434-44D8-85BE-C6085923F757}" name="PivotTable4" cacheId="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AC64" firstHeaderRow="1" firstDataRow="2" firstDataCol="1"/>
  <pivotFields count="27">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4" showAll="0"/>
    <pivotField axis="axisCol" showAll="0">
      <items count="28">
        <item x="12"/>
        <item x="19"/>
        <item x="6"/>
        <item x="24"/>
        <item x="18"/>
        <item x="7"/>
        <item x="8"/>
        <item x="2"/>
        <item x="3"/>
        <item x="0"/>
        <item x="13"/>
        <item x="26"/>
        <item x="4"/>
        <item x="17"/>
        <item x="14"/>
        <item x="20"/>
        <item x="23"/>
        <item x="15"/>
        <item x="21"/>
        <item x="16"/>
        <item x="25"/>
        <item x="1"/>
        <item x="22"/>
        <item x="9"/>
        <item x="10"/>
        <item x="11"/>
        <item x="5"/>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60">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death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D3088CE-7C13-4F7A-9D7C-EED54A2BBDB0}" name="PivotTable6" cacheId="0"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location ref="A3:G31" firstHeaderRow="0" firstDataRow="1" firstDataCol="1"/>
  <pivotFields count="31">
    <pivotField numFmtId="22" showAll="0"/>
    <pivotField numFmtId="22" showAll="0"/>
    <pivotField showAll="0"/>
    <pivotField axis="axisRow" showAll="0">
      <items count="28">
        <item x="7"/>
        <item x="18"/>
        <item x="0"/>
        <item x="1"/>
        <item x="2"/>
        <item x="3"/>
        <item x="4"/>
        <item x="5"/>
        <item x="6"/>
        <item x="8"/>
        <item x="9"/>
        <item x="10"/>
        <item x="11"/>
        <item x="12"/>
        <item x="13"/>
        <item x="14"/>
        <item x="15"/>
        <item x="16"/>
        <item x="17"/>
        <item x="19"/>
        <item x="20"/>
        <item x="21"/>
        <item x="22"/>
        <item x="23"/>
        <item x="24"/>
        <item x="25"/>
        <item x="26"/>
        <item t="default"/>
      </items>
    </pivotField>
    <pivotField showAll="0"/>
    <pivotField showAll="0"/>
    <pivotField showAll="0"/>
    <pivotField showAll="0"/>
    <pivotField showAll="0"/>
    <pivotField showAll="0"/>
    <pivotField showAll="0"/>
    <pivotField dataField="1" showAll="0"/>
    <pivotField dataField="1" showAll="0"/>
    <pivotField showAll="0"/>
    <pivotField dataField="1" showAll="0"/>
    <pivotField dataField="1"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s>
  <rowFields count="1">
    <field x="3"/>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6">
    <i>
      <x/>
    </i>
    <i i="1">
      <x v="1"/>
    </i>
    <i i="2">
      <x v="2"/>
    </i>
    <i i="3">
      <x v="3"/>
    </i>
    <i i="4">
      <x v="4"/>
    </i>
    <i i="5">
      <x v="5"/>
    </i>
  </colItems>
  <dataFields count="6">
    <dataField name="Summe von new_hosp" fld="11" baseField="0" baseItem="0"/>
    <dataField name="Summe von total_hospitalized" fld="12" baseField="0" baseItem="0"/>
    <dataField name="Summe von deaths" fld="17" baseField="0" baseItem="0"/>
    <dataField name="Summe von new_deaths" fld="27" baseField="0" baseItem="0"/>
    <dataField name="Summe von released" fld="15" baseField="0" baseItem="0"/>
    <dataField name="Mittelwert von deaths_per_100k" fld="14" subtotal="average" baseField="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2B97AF5-0E7D-4CAE-BF0A-5156E37B0BDD}" name="PivotTable5" cacheId="1" applyNumberFormats="0" applyBorderFormats="0" applyFontFormats="0" applyPatternFormats="0" applyAlignmentFormats="0" applyWidthHeightFormats="1" dataCaption="Werte" updatedVersion="6" minRefreshableVersion="3" useAutoFormatting="1" itemPrintTitles="1" createdVersion="6" indent="0" outline="1" outlineData="1" multipleFieldFilters="0" chartFormat="1">
  <location ref="A3:AC64" firstHeaderRow="1" firstDataRow="2" firstDataCol="1"/>
  <pivotFields count="27">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numFmtId="164" showAll="0"/>
    <pivotField axis="axisCol" showAll="0">
      <items count="28">
        <item x="12"/>
        <item x="19"/>
        <item x="6"/>
        <item x="24"/>
        <item x="18"/>
        <item x="7"/>
        <item x="8"/>
        <item x="2"/>
        <item x="3"/>
        <item x="0"/>
        <item x="13"/>
        <item x="26"/>
        <item x="4"/>
        <item x="17"/>
        <item x="14"/>
        <item x="20"/>
        <item x="23"/>
        <item x="15"/>
        <item x="21"/>
        <item x="16"/>
        <item x="25"/>
        <item x="1"/>
        <item x="22"/>
        <item x="9"/>
        <item x="10"/>
        <item x="11"/>
        <item x="5"/>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60">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colItems>
  <dataFields count="1">
    <dataField name="Summe von deaths" fld="10" baseField="0" baseItem="0"/>
  </dataFields>
  <chartFormats count="27">
    <chartFormat chart="0" format="111" series="1">
      <pivotArea type="data" outline="0" fieldPosition="0">
        <references count="2">
          <reference field="4294967294" count="1" selected="0">
            <x v="0"/>
          </reference>
          <reference field="2" count="1" selected="0">
            <x v="0"/>
          </reference>
        </references>
      </pivotArea>
    </chartFormat>
    <chartFormat chart="0" format="112" series="1">
      <pivotArea type="data" outline="0" fieldPosition="0">
        <references count="2">
          <reference field="4294967294" count="1" selected="0">
            <x v="0"/>
          </reference>
          <reference field="2" count="1" selected="0">
            <x v="1"/>
          </reference>
        </references>
      </pivotArea>
    </chartFormat>
    <chartFormat chart="0" format="113" series="1">
      <pivotArea type="data" outline="0" fieldPosition="0">
        <references count="2">
          <reference field="4294967294" count="1" selected="0">
            <x v="0"/>
          </reference>
          <reference field="2" count="1" selected="0">
            <x v="2"/>
          </reference>
        </references>
      </pivotArea>
    </chartFormat>
    <chartFormat chart="0" format="114" series="1">
      <pivotArea type="data" outline="0" fieldPosition="0">
        <references count="2">
          <reference field="4294967294" count="1" selected="0">
            <x v="0"/>
          </reference>
          <reference field="2" count="1" selected="0">
            <x v="3"/>
          </reference>
        </references>
      </pivotArea>
    </chartFormat>
    <chartFormat chart="0" format="115" series="1">
      <pivotArea type="data" outline="0" fieldPosition="0">
        <references count="2">
          <reference field="4294967294" count="1" selected="0">
            <x v="0"/>
          </reference>
          <reference field="2" count="1" selected="0">
            <x v="4"/>
          </reference>
        </references>
      </pivotArea>
    </chartFormat>
    <chartFormat chart="0" format="116" series="1">
      <pivotArea type="data" outline="0" fieldPosition="0">
        <references count="2">
          <reference field="4294967294" count="1" selected="0">
            <x v="0"/>
          </reference>
          <reference field="2" count="1" selected="0">
            <x v="5"/>
          </reference>
        </references>
      </pivotArea>
    </chartFormat>
    <chartFormat chart="0" format="117" series="1">
      <pivotArea type="data" outline="0" fieldPosition="0">
        <references count="2">
          <reference field="4294967294" count="1" selected="0">
            <x v="0"/>
          </reference>
          <reference field="2" count="1" selected="0">
            <x v="6"/>
          </reference>
        </references>
      </pivotArea>
    </chartFormat>
    <chartFormat chart="0" format="118" series="1">
      <pivotArea type="data" outline="0" fieldPosition="0">
        <references count="2">
          <reference field="4294967294" count="1" selected="0">
            <x v="0"/>
          </reference>
          <reference field="2" count="1" selected="0">
            <x v="7"/>
          </reference>
        </references>
      </pivotArea>
    </chartFormat>
    <chartFormat chart="0" format="119" series="1">
      <pivotArea type="data" outline="0" fieldPosition="0">
        <references count="2">
          <reference field="4294967294" count="1" selected="0">
            <x v="0"/>
          </reference>
          <reference field="2" count="1" selected="0">
            <x v="8"/>
          </reference>
        </references>
      </pivotArea>
    </chartFormat>
    <chartFormat chart="0" format="120" series="1">
      <pivotArea type="data" outline="0" fieldPosition="0">
        <references count="2">
          <reference field="4294967294" count="1" selected="0">
            <x v="0"/>
          </reference>
          <reference field="2" count="1" selected="0">
            <x v="9"/>
          </reference>
        </references>
      </pivotArea>
    </chartFormat>
    <chartFormat chart="0" format="121" series="1">
      <pivotArea type="data" outline="0" fieldPosition="0">
        <references count="2">
          <reference field="4294967294" count="1" selected="0">
            <x v="0"/>
          </reference>
          <reference field="2" count="1" selected="0">
            <x v="10"/>
          </reference>
        </references>
      </pivotArea>
    </chartFormat>
    <chartFormat chart="0" format="122" series="1">
      <pivotArea type="data" outline="0" fieldPosition="0">
        <references count="2">
          <reference field="4294967294" count="1" selected="0">
            <x v="0"/>
          </reference>
          <reference field="2" count="1" selected="0">
            <x v="11"/>
          </reference>
        </references>
      </pivotArea>
    </chartFormat>
    <chartFormat chart="0" format="123" series="1">
      <pivotArea type="data" outline="0" fieldPosition="0">
        <references count="2">
          <reference field="4294967294" count="1" selected="0">
            <x v="0"/>
          </reference>
          <reference field="2" count="1" selected="0">
            <x v="12"/>
          </reference>
        </references>
      </pivotArea>
    </chartFormat>
    <chartFormat chart="0" format="124" series="1">
      <pivotArea type="data" outline="0" fieldPosition="0">
        <references count="2">
          <reference field="4294967294" count="1" selected="0">
            <x v="0"/>
          </reference>
          <reference field="2" count="1" selected="0">
            <x v="13"/>
          </reference>
        </references>
      </pivotArea>
    </chartFormat>
    <chartFormat chart="0" format="125" series="1">
      <pivotArea type="data" outline="0" fieldPosition="0">
        <references count="2">
          <reference field="4294967294" count="1" selected="0">
            <x v="0"/>
          </reference>
          <reference field="2" count="1" selected="0">
            <x v="14"/>
          </reference>
        </references>
      </pivotArea>
    </chartFormat>
    <chartFormat chart="0" format="126" series="1">
      <pivotArea type="data" outline="0" fieldPosition="0">
        <references count="2">
          <reference field="4294967294" count="1" selected="0">
            <x v="0"/>
          </reference>
          <reference field="2" count="1" selected="0">
            <x v="15"/>
          </reference>
        </references>
      </pivotArea>
    </chartFormat>
    <chartFormat chart="0" format="127" series="1">
      <pivotArea type="data" outline="0" fieldPosition="0">
        <references count="2">
          <reference field="4294967294" count="1" selected="0">
            <x v="0"/>
          </reference>
          <reference field="2" count="1" selected="0">
            <x v="16"/>
          </reference>
        </references>
      </pivotArea>
    </chartFormat>
    <chartFormat chart="0" format="128" series="1">
      <pivotArea type="data" outline="0" fieldPosition="0">
        <references count="2">
          <reference field="4294967294" count="1" selected="0">
            <x v="0"/>
          </reference>
          <reference field="2" count="1" selected="0">
            <x v="17"/>
          </reference>
        </references>
      </pivotArea>
    </chartFormat>
    <chartFormat chart="0" format="129" series="1">
      <pivotArea type="data" outline="0" fieldPosition="0">
        <references count="2">
          <reference field="4294967294" count="1" selected="0">
            <x v="0"/>
          </reference>
          <reference field="2" count="1" selected="0">
            <x v="18"/>
          </reference>
        </references>
      </pivotArea>
    </chartFormat>
    <chartFormat chart="0" format="130" series="1">
      <pivotArea type="data" outline="0" fieldPosition="0">
        <references count="2">
          <reference field="4294967294" count="1" selected="0">
            <x v="0"/>
          </reference>
          <reference field="2" count="1" selected="0">
            <x v="19"/>
          </reference>
        </references>
      </pivotArea>
    </chartFormat>
    <chartFormat chart="0" format="131" series="1">
      <pivotArea type="data" outline="0" fieldPosition="0">
        <references count="2">
          <reference field="4294967294" count="1" selected="0">
            <x v="0"/>
          </reference>
          <reference field="2" count="1" selected="0">
            <x v="20"/>
          </reference>
        </references>
      </pivotArea>
    </chartFormat>
    <chartFormat chart="0" format="132" series="1">
      <pivotArea type="data" outline="0" fieldPosition="0">
        <references count="2">
          <reference field="4294967294" count="1" selected="0">
            <x v="0"/>
          </reference>
          <reference field="2" count="1" selected="0">
            <x v="21"/>
          </reference>
        </references>
      </pivotArea>
    </chartFormat>
    <chartFormat chart="0" format="133" series="1">
      <pivotArea type="data" outline="0" fieldPosition="0">
        <references count="2">
          <reference field="4294967294" count="1" selected="0">
            <x v="0"/>
          </reference>
          <reference field="2" count="1" selected="0">
            <x v="22"/>
          </reference>
        </references>
      </pivotArea>
    </chartFormat>
    <chartFormat chart="0" format="134" series="1">
      <pivotArea type="data" outline="0" fieldPosition="0">
        <references count="2">
          <reference field="4294967294" count="1" selected="0">
            <x v="0"/>
          </reference>
          <reference field="2" count="1" selected="0">
            <x v="23"/>
          </reference>
        </references>
      </pivotArea>
    </chartFormat>
    <chartFormat chart="0" format="135" series="1">
      <pivotArea type="data" outline="0" fieldPosition="0">
        <references count="2">
          <reference field="4294967294" count="1" selected="0">
            <x v="0"/>
          </reference>
          <reference field="2" count="1" selected="0">
            <x v="24"/>
          </reference>
        </references>
      </pivotArea>
    </chartFormat>
    <chartFormat chart="0" format="136" series="1">
      <pivotArea type="data" outline="0" fieldPosition="0">
        <references count="2">
          <reference field="4294967294" count="1" selected="0">
            <x v="0"/>
          </reference>
          <reference field="2" count="1" selected="0">
            <x v="25"/>
          </reference>
        </references>
      </pivotArea>
    </chartFormat>
    <chartFormat chart="0" format="137" series="1">
      <pivotArea type="data" outline="0" fieldPosition="0">
        <references count="2">
          <reference field="4294967294" count="1" selected="0">
            <x v="0"/>
          </reference>
          <reference field="2"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refreshOnLoad="1" connectionId="3" xr16:uid="{2EC84AB0-A35E-474C-B0F5-27003FCCA62D}" autoFormatId="16" applyNumberFormats="0" applyBorderFormats="0" applyFontFormats="0" applyPatternFormats="0" applyAlignmentFormats="0" applyWidthHeightFormats="0">
  <queryTableRefresh nextId="19">
    <queryTableFields count="18">
      <queryTableField id="1" name="date" tableColumnId="1"/>
      <queryTableField id="2" name="last_update" tableColumnId="2"/>
      <queryTableField id="3" name="country" tableColumnId="3"/>
      <queryTableField id="4" name="intensive_care" tableColumnId="4"/>
      <queryTableField id="5" name="total_hospitalized" tableColumnId="5"/>
      <queryTableField id="6" name="total_currently_positive" tableColumnId="6"/>
      <queryTableField id="7" name="total_positive" tableColumnId="7"/>
      <queryTableField id="8" name="tests_performed" tableColumnId="8"/>
      <queryTableField id="9" name="released" tableColumnId="9"/>
      <queryTableField id="10" name="deaths" tableColumnId="10"/>
      <queryTableField id="11" name="home_confinment" tableColumnId="11"/>
      <queryTableField id="12" name="new_positive" tableColumnId="12"/>
      <queryTableField id="13" name="old_positive" tableColumnId="13"/>
      <queryTableField id="14" name="hospitalized_with_symptoms" tableColumnId="14"/>
      <queryTableField id="15" name="new_deaths" tableColumnId="15"/>
      <queryTableField id="16" name="old_deaths" tableColumnId="16"/>
      <queryTableField id="17" name="doubling_time_total_positive" tableColumnId="17"/>
      <queryTableField id="18" name="doubling_time_fatalities"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2" refreshOnLoad="1" connectionId="1" xr16:uid="{B94C96BD-2399-4453-BD1E-7DF9A66AFD3A}" autoFormatId="16" applyNumberFormats="0" applyBorderFormats="0" applyFontFormats="0" applyPatternFormats="0" applyAlignmentFormats="0" applyWidthHeightFormats="0">
  <queryTableRefresh nextId="34">
    <queryTableFields count="31">
      <queryTableField id="1" name="last_update" tableColumnId="1"/>
      <queryTableField id="2" name="timestamp" tableColumnId="2"/>
      <queryTableField id="3" name="country" tableColumnId="3"/>
      <queryTableField id="4" name="abbreviation_canton" tableColumnId="4"/>
      <queryTableField id="5" name="name_canton" tableColumnId="5"/>
      <queryTableField id="6" name="number_canton" tableColumnId="6"/>
      <queryTableField id="7" name="lat" tableColumnId="7"/>
      <queryTableField id="8" name="long" tableColumnId="8"/>
      <queryTableField id="9" name="tests_performed" tableColumnId="9"/>
      <queryTableField id="10" name="total_currently_positive_cases" tableColumnId="10"/>
      <queryTableField id="11" name="total_positive_cases" tableColumnId="11"/>
      <queryTableField id="12" name="new_hosp" tableColumnId="12"/>
      <queryTableField id="13" name="total_hospitalized" tableColumnId="13"/>
      <queryTableField id="14" name="total_currently_positive_per_100k" tableColumnId="14"/>
      <queryTableField id="15" name="deaths_per_100k" tableColumnId="15"/>
      <queryTableField id="16" name="released" tableColumnId="16"/>
      <queryTableField id="17" name="ncumul_ICU_intub" tableColumnId="17"/>
      <queryTableField id="18" name="deaths" tableColumnId="18"/>
      <queryTableField id="19" name="intensive_care" tableColumnId="19"/>
      <queryTableField id="20" name="ncumul_vent" tableColumnId="20"/>
      <queryTableField id="21" name="ncumul_confirmed_non_resident" tableColumnId="21"/>
      <queryTableField id="22" name="current_hosp_non_resident" tableColumnId="22"/>
      <queryTableField id="23" name="TotalPosTests1" tableColumnId="23"/>
      <queryTableField id="24" name="ninst_ICU_intub" tableColumnId="24"/>
      <queryTableField id="25" name="ncumul_ICF" tableColumnId="25"/>
      <queryTableField id="26" name="ncumul_deceased_suspect" tableColumnId="26"/>
      <queryTableField id="29" name="new_positive_cases" tableColumnId="29"/>
      <queryTableField id="30" name="new_deaths" tableColumnId="30"/>
      <queryTableField id="27" name="doubling_time_total_positive" tableColumnId="27"/>
      <queryTableField id="28" name="doubling_time_fatalities" tableColumnId="28"/>
      <queryTableField id="31" name="source" tableColumnId="3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2" refreshOnLoad="1" connectionId="2" xr16:uid="{420D118A-A3BD-4407-9AD2-76D586B92042}" autoFormatId="16" applyNumberFormats="0" applyBorderFormats="0" applyFontFormats="0" applyPatternFormats="0" applyAlignmentFormats="0" applyWidthHeightFormats="0">
  <queryTableRefresh nextId="27">
    <queryTableFields count="26">
      <queryTableField id="1" name="date" tableColumnId="1"/>
      <queryTableField id="2" name="time" tableColumnId="2"/>
      <queryTableField id="3" name="abbreviation_canton" tableColumnId="3"/>
      <queryTableField id="4" name="tests_performed" tableColumnId="4"/>
      <queryTableField id="5" name="total_positive_cases" tableColumnId="5"/>
      <queryTableField id="6" name="new_hosp" tableColumnId="6"/>
      <queryTableField id="7" name="total_hospitalized" tableColumnId="7"/>
      <queryTableField id="8" name="intensive_care" tableColumnId="8"/>
      <queryTableField id="9" name="ncumul_vent" tableColumnId="9"/>
      <queryTableField id="10" name="released" tableColumnId="10"/>
      <queryTableField id="11" name="deaths" tableColumnId="11"/>
      <queryTableField id="12" name="source" tableColumnId="12"/>
      <queryTableField id="13" name="ncumul_confirmed_non_resident" tableColumnId="13"/>
      <queryTableField id="14" name="current_hosp_non_resident" tableColumnId="14"/>
      <queryTableField id="15" name="TotalPosTests1" tableColumnId="15"/>
      <queryTableField id="16" name="ninst_ICU_intub" tableColumnId="16"/>
      <queryTableField id="17" name="ncumul_ICF" tableColumnId="17"/>
      <queryTableField id="18" name="ncumul_deceased_suspect" tableColumnId="18"/>
      <queryTableField id="19" name="lat" tableColumnId="19"/>
      <queryTableField id="20" name="long" tableColumnId="20"/>
      <queryTableField id="21" name="name_canton" tableColumnId="21"/>
      <queryTableField id="22" name="number_canton" tableColumnId="22"/>
      <queryTableField id="23" name="new_positive_cases" tableColumnId="23"/>
      <queryTableField id="24" name="new_deaths" tableColumnId="24"/>
      <queryTableField id="25" name="total_currently_positive_per_100k" tableColumnId="25"/>
      <queryTableField id="26" name="deaths_per_100k"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A882C33-FAD2-430F-868D-2C92D3ED5D09}" name="dd_covid19_openzh_switzerland_latest" displayName="dd_covid19_openzh_switzerland_latest" ref="A1:R60" tableType="queryTable" totalsRowShown="0">
  <autoFilter ref="A1:R60" xr:uid="{6F225EC8-7A7D-4B80-86A4-6825D487A60A}"/>
  <tableColumns count="18">
    <tableColumn id="1" xr3:uid="{6A0F9E37-4397-4ADD-8579-65A87BF278C6}" uniqueName="1" name="date" queryTableFieldId="1" dataDxfId="12"/>
    <tableColumn id="2" xr3:uid="{78ED2279-E7E4-4383-97AD-DD81455353CB}" uniqueName="2" name="last_update" queryTableFieldId="2" dataDxfId="11"/>
    <tableColumn id="3" xr3:uid="{7330173D-7C78-4290-B0C6-D6DF398A317F}" uniqueName="3" name="country" queryTableFieldId="3" dataDxfId="10"/>
    <tableColumn id="4" xr3:uid="{65EE738C-5483-4B69-B874-72F1C792909F}" uniqueName="4" name="intensive_care" queryTableFieldId="4"/>
    <tableColumn id="5" xr3:uid="{E85055BB-8DC4-4122-A8D6-678E0DF46381}" uniqueName="5" name="total_hospitalized" queryTableFieldId="5"/>
    <tableColumn id="6" xr3:uid="{F28B9E35-6CBB-4856-9FE5-9E1EE2E5A5DF}" uniqueName="6" name="total_currently_positive" queryTableFieldId="6"/>
    <tableColumn id="7" xr3:uid="{9822154C-FBDD-48C8-9E55-A1ED6BCF3FDE}" uniqueName="7" name="total_positive" queryTableFieldId="7"/>
    <tableColumn id="8" xr3:uid="{8099F923-302D-471D-91F1-B84EC5D10EFD}" uniqueName="8" name="tests_performed" queryTableFieldId="8"/>
    <tableColumn id="9" xr3:uid="{5D6DFCAF-B0B0-4BA5-A431-87E623F0D502}" uniqueName="9" name="released" queryTableFieldId="9"/>
    <tableColumn id="10" xr3:uid="{12870F4D-C81E-4917-BBA5-C836CEA08DCB}" uniqueName="10" name="deaths" queryTableFieldId="10"/>
    <tableColumn id="11" xr3:uid="{DED131D7-F154-419D-8ABA-D92225E873A1}" uniqueName="11" name="home_confinment" queryTableFieldId="11"/>
    <tableColumn id="12" xr3:uid="{4B032FCD-B91A-4DD1-A09E-E9D6111B560B}" uniqueName="12" name="new_positive" queryTableFieldId="12"/>
    <tableColumn id="13" xr3:uid="{B66CE066-035E-41EC-9268-2A380BD56CDF}" uniqueName="13" name="old_positive" queryTableFieldId="13"/>
    <tableColumn id="14" xr3:uid="{726933BE-EDE9-4F94-8888-164DCFF0C153}" uniqueName="14" name="hospitalized_with_symptoms" queryTableFieldId="14"/>
    <tableColumn id="15" xr3:uid="{280259FB-A44C-493B-827A-B68AABDD4BFA}" uniqueName="15" name="new_deaths" queryTableFieldId="15"/>
    <tableColumn id="16" xr3:uid="{52E76B6F-A8F7-41E3-94DF-6C07AA5CAA27}" uniqueName="16" name="old_deaths" queryTableFieldId="16"/>
    <tableColumn id="17" xr3:uid="{F4693FD1-D18C-480B-9D33-06EA268931A4}" uniqueName="17" name="doubling_time_total_positive" queryTableFieldId="17"/>
    <tableColumn id="18" xr3:uid="{FCB445B2-F893-437A-B1E2-729C98EC9BA1}" uniqueName="18" name="doubling_time_fatalities"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585091-4DC9-46D2-A6BF-11E2118DA586}" name="dd_covid19_openzh_cantons_latest5" displayName="dd_covid19_openzh_cantons_latest5" ref="A1:AE28" tableType="queryTable" totalsRowShown="0">
  <autoFilter ref="A1:AE28" xr:uid="{2F1F27A1-35B3-4EDE-B87D-BACD45E7B415}"/>
  <tableColumns count="31">
    <tableColumn id="1" xr3:uid="{BE0BBCAD-2F50-467B-B7F3-5D5B466C45AF}" uniqueName="1" name="last_update" queryTableFieldId="1" dataDxfId="9"/>
    <tableColumn id="2" xr3:uid="{34D7F416-2BE1-43DB-9DAA-06C6AE7351A4}" uniqueName="2" name="timestamp" queryTableFieldId="2" dataDxfId="8"/>
    <tableColumn id="3" xr3:uid="{B5E6C3E1-82CF-4195-BFE3-B4669FEF3648}" uniqueName="3" name="country" queryTableFieldId="3" dataDxfId="19"/>
    <tableColumn id="4" xr3:uid="{0C76851C-A12E-4A03-B410-2A3CF45BDFF3}" uniqueName="4" name="abbreviation_canton" queryTableFieldId="4" dataDxfId="18"/>
    <tableColumn id="5" xr3:uid="{FBB954C2-05A2-4EC4-AFEB-DC007B93DE6A}" uniqueName="5" name="name_canton" queryTableFieldId="5" dataDxfId="17"/>
    <tableColumn id="6" xr3:uid="{B6ACBC76-82E9-469C-BFB1-16C6A9B1593C}" uniqueName="6" name="number_canton" queryTableFieldId="6"/>
    <tableColumn id="7" xr3:uid="{F9532AE5-7B40-4EE6-9E13-5793DB43D6C3}" uniqueName="7" name="lat" queryTableFieldId="7"/>
    <tableColumn id="8" xr3:uid="{D06F3B1B-9405-4CA1-909D-7BC65A36C455}" uniqueName="8" name="long" queryTableFieldId="8"/>
    <tableColumn id="9" xr3:uid="{BAFD0C15-4B8F-4F56-8886-44651494A4ED}" uniqueName="9" name="tests_performed" queryTableFieldId="9"/>
    <tableColumn id="10" xr3:uid="{138D5007-13D1-4E0E-B9D5-D8ADAF69D1F4}" uniqueName="10" name="total_currently_positive_cases" queryTableFieldId="10"/>
    <tableColumn id="11" xr3:uid="{B01707B6-F4C4-4CE5-842C-C55B25E0CF40}" uniqueName="11" name="total_positive_cases" queryTableFieldId="11"/>
    <tableColumn id="12" xr3:uid="{D39DB7CC-A991-43E0-B59E-26FB4A95CD40}" uniqueName="12" name="new_hosp" queryTableFieldId="12"/>
    <tableColumn id="13" xr3:uid="{A4D432EE-8FEA-4CD7-8E7A-A5669089C8FD}" uniqueName="13" name="total_hospitalized" queryTableFieldId="13"/>
    <tableColumn id="14" xr3:uid="{C155AC25-2D16-4A00-88C1-DD0B6FDE699B}" uniqueName="14" name="total_currently_positive_per_100k" queryTableFieldId="14"/>
    <tableColumn id="15" xr3:uid="{870BAC8C-6411-4BC3-A91D-FE6C47A66E7F}" uniqueName="15" name="deaths_per_100k" queryTableFieldId="15"/>
    <tableColumn id="16" xr3:uid="{39B3C632-8C79-444A-96DB-50EE54C602F2}" uniqueName="16" name="released" queryTableFieldId="16"/>
    <tableColumn id="17" xr3:uid="{E75CB1FB-5BFC-4E15-B179-D8979A06EAB3}" uniqueName="17" name="ncumul_ICU_intub" queryTableFieldId="17"/>
    <tableColumn id="18" xr3:uid="{C0CF8918-75F0-4130-AAD1-FC75843DF20C}" uniqueName="18" name="deaths" queryTableFieldId="18"/>
    <tableColumn id="19" xr3:uid="{CBEB679A-6D68-41C2-994E-FD5899FCAC2B}" uniqueName="19" name="intensive_care" queryTableFieldId="19"/>
    <tableColumn id="20" xr3:uid="{D867B451-ECC7-4EBA-8405-CFD9CEAC7CAD}" uniqueName="20" name="ncumul_vent" queryTableFieldId="20"/>
    <tableColumn id="21" xr3:uid="{6C62BD0A-036F-4C2E-BF71-8983487204D6}" uniqueName="21" name="ncumul_confirmed_non_resident" queryTableFieldId="21"/>
    <tableColumn id="22" xr3:uid="{7A73DAFB-98B3-44D0-8196-F82C516268DC}" uniqueName="22" name="current_hosp_non_resident" queryTableFieldId="22"/>
    <tableColumn id="23" xr3:uid="{F3006977-AB71-4D3A-8457-D74251FD9D3A}" uniqueName="23" name="TotalPosTests1" queryTableFieldId="23" dataDxfId="16"/>
    <tableColumn id="24" xr3:uid="{5E26DF07-8C28-4BE5-A032-537B8D2045D8}" uniqueName="24" name="ninst_ICU_intub" queryTableFieldId="24" dataDxfId="15"/>
    <tableColumn id="25" xr3:uid="{843A7214-35B5-4535-818B-17CBCB72EA05}" uniqueName="25" name="ncumul_ICF" queryTableFieldId="25"/>
    <tableColumn id="26" xr3:uid="{F9F649F1-B71A-46E0-BD43-9C37D99DF318}" uniqueName="26" name="ncumul_deceased_suspect" queryTableFieldId="26" dataDxfId="14"/>
    <tableColumn id="29" xr3:uid="{4E77EC7B-1286-48F2-AD7F-B81BB2C32297}" uniqueName="29" name="new_positive_cases" queryTableFieldId="29"/>
    <tableColumn id="30" xr3:uid="{737B39D2-415C-4B2C-B8B9-F64184D7CE6A}" uniqueName="30" name="new_deaths" queryTableFieldId="30"/>
    <tableColumn id="27" xr3:uid="{92B74AF2-663A-459C-95E9-A548E05E8E5F}" uniqueName="27" name="doubling_time_total_positive" queryTableFieldId="27"/>
    <tableColumn id="28" xr3:uid="{558893D4-50B5-403F-8766-32265EE78E7E}" uniqueName="28" name="doubling_time_fatalities" queryTableFieldId="28"/>
    <tableColumn id="31" xr3:uid="{EC9C9D7D-F6B8-4916-9891-753870A89A7B}" uniqueName="31" name="source"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3E2FDB-11D9-4549-BD22-7E49C4F37F0D}" name="dd_covid19_openzh_cantons_series4" displayName="dd_covid19_openzh_cantons_series4" ref="A1:Z1180" tableType="queryTable" totalsRowShown="0">
  <autoFilter ref="A1:Z1180" xr:uid="{7143F376-D0C1-4E78-AB44-A1D473DDC8CE}"/>
  <tableColumns count="26">
    <tableColumn id="1" xr3:uid="{64560447-BBE5-4582-B600-96CCB68C9312}" uniqueName="1" name="date" queryTableFieldId="1" dataDxfId="7"/>
    <tableColumn id="2" xr3:uid="{F743D048-59AC-41F8-A754-FF1A64223C20}" uniqueName="2" name="time" queryTableFieldId="2" dataDxfId="6"/>
    <tableColumn id="3" xr3:uid="{9CD721B4-E537-409D-8536-881E085B4F08}" uniqueName="3" name="abbreviation_canton" queryTableFieldId="3" dataDxfId="5"/>
    <tableColumn id="4" xr3:uid="{C4287387-8926-4D47-908C-D5E9204E59E9}" uniqueName="4" name="tests_performed" queryTableFieldId="4"/>
    <tableColumn id="5" xr3:uid="{C564B404-5AB1-4239-82F4-DC481BB3CE13}" uniqueName="5" name="total_positive_cases" queryTableFieldId="5"/>
    <tableColumn id="6" xr3:uid="{0FF912A9-88AA-4853-BBDD-4CEDB3185978}" uniqueName="6" name="new_hosp" queryTableFieldId="6"/>
    <tableColumn id="7" xr3:uid="{E67B4587-E081-4A9D-B4F1-931A1DD6AA7E}" uniqueName="7" name="total_hospitalized" queryTableFieldId="7"/>
    <tableColumn id="8" xr3:uid="{C62B3320-EB4E-4F49-A7E6-21547F275AD8}" uniqueName="8" name="intensive_care" queryTableFieldId="8"/>
    <tableColumn id="9" xr3:uid="{92691A69-1C75-404E-89D5-09BD4FF6A366}" uniqueName="9" name="ncumul_vent" queryTableFieldId="9"/>
    <tableColumn id="10" xr3:uid="{CB07915E-593D-457A-B347-496DEEF51B1E}" uniqueName="10" name="released" queryTableFieldId="10"/>
    <tableColumn id="11" xr3:uid="{095BBD3C-9991-4CD3-8D44-64B930BACF10}" uniqueName="11" name="deaths" queryTableFieldId="11"/>
    <tableColumn id="12" xr3:uid="{91856F91-88EC-4A7B-9E9E-40A640CC63E5}" uniqueName="12" name="source" queryTableFieldId="12" dataDxfId="4"/>
    <tableColumn id="13" xr3:uid="{10CCB30D-1661-4619-9365-BEF2664E784F}" uniqueName="13" name="ncumul_confirmed_non_resident" queryTableFieldId="13"/>
    <tableColumn id="14" xr3:uid="{4CDF56D8-50B5-4D9B-80ED-37E425A58FD0}" uniqueName="14" name="current_hosp_non_resident" queryTableFieldId="14" dataDxfId="3"/>
    <tableColumn id="15" xr3:uid="{0D8927B2-F105-4C39-8CC5-E1CDD55A63FD}" uniqueName="15" name="TotalPosTests1" queryTableFieldId="15"/>
    <tableColumn id="16" xr3:uid="{0E82069B-C62B-4BEA-87C9-ACEF52C032B6}" uniqueName="16" name="ninst_ICU_intub" queryTableFieldId="16" dataDxfId="2"/>
    <tableColumn id="17" xr3:uid="{7FA335D3-7B2D-49EC-9336-5495FD02FD07}" uniqueName="17" name="ncumul_ICF" queryTableFieldId="17"/>
    <tableColumn id="18" xr3:uid="{C358DB01-2A0E-4844-AA51-8A3A48A9CB15}" uniqueName="18" name="ncumul_deceased_suspect" queryTableFieldId="18" dataDxfId="1"/>
    <tableColumn id="19" xr3:uid="{C9EBC6D0-567E-404E-8108-EC4D2CDF6EB8}" uniqueName="19" name="lat" queryTableFieldId="19"/>
    <tableColumn id="20" xr3:uid="{A2187897-790B-4961-A014-0B834EE4AF64}" uniqueName="20" name="long" queryTableFieldId="20"/>
    <tableColumn id="21" xr3:uid="{A9BB3087-EA09-45B8-B989-710CC6414120}" uniqueName="21" name="name_canton" queryTableFieldId="21" dataDxfId="0"/>
    <tableColumn id="22" xr3:uid="{B42D5526-FD5B-4F40-A772-5C916911A25F}" uniqueName="22" name="number_canton" queryTableFieldId="22"/>
    <tableColumn id="23" xr3:uid="{BE67E74A-1B9B-46AC-B66D-6D4FF02C351E}" uniqueName="23" name="new_positive_cases" queryTableFieldId="23"/>
    <tableColumn id="24" xr3:uid="{B2E9C371-EF37-4407-BE8C-BE1D6A335E78}" uniqueName="24" name="new_deaths" queryTableFieldId="24"/>
    <tableColumn id="25" xr3:uid="{60A298CD-6286-41EF-AF5F-47AA2EDF8CDA}" uniqueName="25" name="total_currently_positive_per_100k" queryTableFieldId="25"/>
    <tableColumn id="26" xr3:uid="{79175101-58A1-4EB2-9EB3-9E5D131ADD93}" uniqueName="26" name="deaths_per_100k" queryTableFieldId="2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Benutzerdefiniert 2">
      <a:dk1>
        <a:sysClr val="windowText" lastClr="000000"/>
      </a:dk1>
      <a:lt1>
        <a:sysClr val="window" lastClr="FFFFFF"/>
      </a:lt1>
      <a:dk2>
        <a:srgbClr val="44546A"/>
      </a:dk2>
      <a:lt2>
        <a:srgbClr val="E7E6E6"/>
      </a:lt2>
      <a:accent1>
        <a:srgbClr val="FF0000"/>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97928-E11F-42B8-93C5-81F9E82AEF25}">
  <sheetPr codeName="Tabelle5"/>
  <dimension ref="A1:G94"/>
  <sheetViews>
    <sheetView tabSelected="1" zoomScale="90" zoomScaleNormal="90" workbookViewId="0">
      <pane ySplit="1" topLeftCell="A2" activePane="bottomLeft" state="frozen"/>
      <selection pane="bottomLeft" activeCell="B46" sqref="B46"/>
    </sheetView>
  </sheetViews>
  <sheetFormatPr baseColWidth="10" defaultColWidth="40.6328125" defaultRowHeight="14.5"/>
  <cols>
    <col min="1" max="16384" width="40.6328125" style="13"/>
  </cols>
  <sheetData>
    <row r="1" spans="1:7" s="29" customFormat="1" ht="20" customHeight="1">
      <c r="A1" s="49" t="s">
        <v>454</v>
      </c>
      <c r="B1" s="49"/>
      <c r="C1" s="49"/>
      <c r="D1" s="49"/>
      <c r="E1" s="49"/>
      <c r="F1" s="49"/>
      <c r="G1" s="28"/>
    </row>
    <row r="2" spans="1:7" s="42" customFormat="1">
      <c r="A2" s="36" t="s">
        <v>343</v>
      </c>
      <c r="B2" s="37" t="s">
        <v>344</v>
      </c>
      <c r="C2" s="38" t="s">
        <v>345</v>
      </c>
      <c r="D2" s="39" t="s">
        <v>346</v>
      </c>
      <c r="E2" s="40" t="s">
        <v>347</v>
      </c>
      <c r="F2" s="41" t="s">
        <v>451</v>
      </c>
      <c r="G2" s="28"/>
    </row>
    <row r="3" spans="1:7" s="28" customFormat="1" ht="46">
      <c r="A3" s="30">
        <f>analyse!$B$2</f>
        <v>28297</v>
      </c>
      <c r="B3" s="31">
        <f>pivot_kt_latest!C31</f>
        <v>1345</v>
      </c>
      <c r="C3" s="32">
        <f>pivot_kt_latest!D31</f>
        <v>1528</v>
      </c>
      <c r="D3" s="33">
        <f>pivot_kt_latest!F31</f>
        <v>4551</v>
      </c>
      <c r="E3" s="34">
        <f>analyse!$C$5</f>
        <v>120.084795</v>
      </c>
      <c r="F3" s="35">
        <f>analyse!$B$12</f>
        <v>43944</v>
      </c>
    </row>
    <row r="4" spans="1:7" ht="31">
      <c r="A4" s="14">
        <f>analyse!B5</f>
        <v>95</v>
      </c>
      <c r="B4" s="15">
        <f>pivot_kt_latest!B31</f>
        <v>-56</v>
      </c>
      <c r="C4" s="25">
        <f>pivot_kt_latest!E31</f>
        <v>16</v>
      </c>
      <c r="D4" s="16"/>
      <c r="E4" s="17"/>
      <c r="F4" s="27">
        <f>analyse!$C$12</f>
        <v>43944.503125000003</v>
      </c>
      <c r="G4" s="28"/>
    </row>
    <row r="6" spans="1:7">
      <c r="G6" s="28"/>
    </row>
    <row r="94" spans="3:3">
      <c r="C94" s="13" t="s">
        <v>453</v>
      </c>
    </row>
  </sheetData>
  <sheetProtection formatCells="0" formatColumns="0" formatRows="0" insertColumns="0" insertRows="0" insertHyperlinks="0" deleteColumns="0" deleteRows="0" sort="0" autoFilter="0" pivotTables="0"/>
  <mergeCells count="1">
    <mergeCell ref="A1:F1"/>
  </mergeCells>
  <pageMargins left="0.7" right="0.7" top="0.78740157499999996" bottom="0.78740157499999996" header="0.3" footer="0.3"/>
  <pageSetup paperSize="9" scale="49" orientation="landscape" verticalDpi="0" r:id="rId1"/>
  <colBreaks count="1" manualBreakCount="1">
    <brk id="6" min="1" max="64"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B5A1-8A24-42CB-B6DA-0AE728360B4E}">
  <sheetPr codeName="Tabelle1"/>
  <dimension ref="A1:R60"/>
  <sheetViews>
    <sheetView workbookViewId="0">
      <selection sqref="A1:R60"/>
    </sheetView>
  </sheetViews>
  <sheetFormatPr baseColWidth="10" defaultRowHeight="14.5"/>
  <cols>
    <col min="1" max="1" width="9.90625" bestFit="1" customWidth="1"/>
    <col min="2" max="2" width="14.90625" bestFit="1" customWidth="1"/>
    <col min="3" max="3" width="9.54296875" bestFit="1" customWidth="1"/>
    <col min="4" max="4" width="15.1796875" bestFit="1" customWidth="1"/>
    <col min="5" max="5" width="18.26953125" bestFit="1" customWidth="1"/>
    <col min="6" max="6" width="23.36328125" bestFit="1" customWidth="1"/>
    <col min="7" max="7" width="14.6328125" bestFit="1" customWidth="1"/>
    <col min="8" max="8" width="17.1796875" bestFit="1" customWidth="1"/>
    <col min="9" max="9" width="10.1796875" bestFit="1" customWidth="1"/>
    <col min="10" max="10" width="8.81640625" bestFit="1" customWidth="1"/>
    <col min="11" max="11" width="18.6328125" bestFit="1" customWidth="1"/>
    <col min="12" max="12" width="14.1796875" bestFit="1" customWidth="1"/>
    <col min="13" max="13" width="13.26953125" bestFit="1" customWidth="1"/>
    <col min="14" max="14" width="27.81640625" bestFit="1" customWidth="1"/>
    <col min="15" max="15" width="13.36328125" bestFit="1" customWidth="1"/>
    <col min="16" max="16" width="12.453125" bestFit="1" customWidth="1"/>
    <col min="17" max="17" width="27.90625" bestFit="1" customWidth="1"/>
    <col min="18" max="18" width="23.6328125" bestFit="1" customWidth="1"/>
  </cols>
  <sheetData>
    <row r="1" spans="1:18">
      <c r="A1" t="s">
        <v>0</v>
      </c>
      <c r="B1" t="s">
        <v>1</v>
      </c>
      <c r="C1" t="s">
        <v>2</v>
      </c>
      <c r="D1" t="s">
        <v>11</v>
      </c>
      <c r="E1" t="s">
        <v>9</v>
      </c>
      <c r="F1" t="s">
        <v>4</v>
      </c>
      <c r="G1" t="s">
        <v>5</v>
      </c>
      <c r="H1" t="s">
        <v>3</v>
      </c>
      <c r="I1" t="s">
        <v>12</v>
      </c>
      <c r="J1" t="s">
        <v>13</v>
      </c>
      <c r="K1" t="s">
        <v>8</v>
      </c>
      <c r="L1" t="s">
        <v>6</v>
      </c>
      <c r="M1" t="s">
        <v>7</v>
      </c>
      <c r="N1" t="s">
        <v>10</v>
      </c>
      <c r="O1" t="s">
        <v>415</v>
      </c>
      <c r="P1" t="s">
        <v>416</v>
      </c>
      <c r="Q1" t="s">
        <v>14</v>
      </c>
      <c r="R1" t="s">
        <v>15</v>
      </c>
    </row>
    <row r="2" spans="1:18">
      <c r="A2" s="2">
        <v>43886</v>
      </c>
      <c r="B2" s="3">
        <v>43944.503125000003</v>
      </c>
      <c r="C2" s="1" t="s">
        <v>16</v>
      </c>
      <c r="D2">
        <v>0</v>
      </c>
      <c r="E2">
        <v>0</v>
      </c>
      <c r="F2">
        <v>1</v>
      </c>
      <c r="G2">
        <v>1</v>
      </c>
      <c r="H2">
        <v>72</v>
      </c>
      <c r="I2">
        <v>0</v>
      </c>
      <c r="J2">
        <v>0</v>
      </c>
      <c r="K2">
        <v>0</v>
      </c>
      <c r="M2">
        <v>0</v>
      </c>
      <c r="N2">
        <v>0</v>
      </c>
      <c r="P2">
        <v>0</v>
      </c>
      <c r="Q2">
        <v>0</v>
      </c>
      <c r="R2">
        <v>0</v>
      </c>
    </row>
    <row r="3" spans="1:18">
      <c r="A3" s="2">
        <v>43887</v>
      </c>
      <c r="B3" s="3">
        <v>43944.503125000003</v>
      </c>
      <c r="C3" s="1" t="s">
        <v>16</v>
      </c>
      <c r="D3">
        <v>0</v>
      </c>
      <c r="E3">
        <v>1</v>
      </c>
      <c r="F3">
        <v>2</v>
      </c>
      <c r="G3">
        <v>2</v>
      </c>
      <c r="H3">
        <v>178</v>
      </c>
      <c r="I3">
        <v>0</v>
      </c>
      <c r="J3">
        <v>0</v>
      </c>
      <c r="K3">
        <v>0</v>
      </c>
      <c r="L3">
        <v>1</v>
      </c>
      <c r="M3">
        <v>1</v>
      </c>
      <c r="N3">
        <v>0</v>
      </c>
      <c r="O3">
        <v>0</v>
      </c>
      <c r="P3">
        <v>0</v>
      </c>
      <c r="Q3">
        <v>0</v>
      </c>
      <c r="R3">
        <v>0</v>
      </c>
    </row>
    <row r="4" spans="1:18">
      <c r="A4" s="2">
        <v>43888</v>
      </c>
      <c r="B4" s="3">
        <v>43944.503125000003</v>
      </c>
      <c r="C4" s="1" t="s">
        <v>16</v>
      </c>
      <c r="D4">
        <v>0</v>
      </c>
      <c r="E4">
        <v>2</v>
      </c>
      <c r="F4">
        <v>6</v>
      </c>
      <c r="G4">
        <v>6</v>
      </c>
      <c r="H4">
        <v>329</v>
      </c>
      <c r="I4">
        <v>0</v>
      </c>
      <c r="J4">
        <v>0</v>
      </c>
      <c r="K4">
        <v>0</v>
      </c>
      <c r="L4">
        <v>4</v>
      </c>
      <c r="M4">
        <v>2</v>
      </c>
      <c r="N4">
        <v>0</v>
      </c>
      <c r="O4">
        <v>0</v>
      </c>
      <c r="P4">
        <v>0</v>
      </c>
      <c r="Q4">
        <v>0</v>
      </c>
      <c r="R4">
        <v>0</v>
      </c>
    </row>
    <row r="5" spans="1:18">
      <c r="A5" s="2">
        <v>43889</v>
      </c>
      <c r="B5" s="3">
        <v>43944.503125000003</v>
      </c>
      <c r="C5" s="1" t="s">
        <v>16</v>
      </c>
      <c r="D5">
        <v>0</v>
      </c>
      <c r="E5">
        <v>12</v>
      </c>
      <c r="F5">
        <v>13</v>
      </c>
      <c r="G5">
        <v>13</v>
      </c>
      <c r="H5">
        <v>537</v>
      </c>
      <c r="I5">
        <v>0</v>
      </c>
      <c r="J5">
        <v>0</v>
      </c>
      <c r="K5">
        <v>0</v>
      </c>
      <c r="L5">
        <v>7</v>
      </c>
      <c r="M5">
        <v>6</v>
      </c>
      <c r="N5">
        <v>0</v>
      </c>
      <c r="O5">
        <v>0</v>
      </c>
      <c r="P5">
        <v>0</v>
      </c>
      <c r="Q5">
        <v>0</v>
      </c>
      <c r="R5">
        <v>0</v>
      </c>
    </row>
    <row r="6" spans="1:18">
      <c r="A6" s="2">
        <v>43890</v>
      </c>
      <c r="B6" s="3">
        <v>43944.503125000003</v>
      </c>
      <c r="C6" s="1" t="s">
        <v>16</v>
      </c>
      <c r="D6">
        <v>0</v>
      </c>
      <c r="E6">
        <v>14</v>
      </c>
      <c r="F6">
        <v>20</v>
      </c>
      <c r="G6">
        <v>20</v>
      </c>
      <c r="H6">
        <v>677</v>
      </c>
      <c r="I6">
        <v>0</v>
      </c>
      <c r="J6">
        <v>0</v>
      </c>
      <c r="K6">
        <v>0</v>
      </c>
      <c r="L6">
        <v>7</v>
      </c>
      <c r="M6">
        <v>13</v>
      </c>
      <c r="N6">
        <v>0</v>
      </c>
      <c r="O6">
        <v>0</v>
      </c>
      <c r="P6">
        <v>0</v>
      </c>
      <c r="Q6">
        <v>0</v>
      </c>
      <c r="R6">
        <v>0</v>
      </c>
    </row>
    <row r="7" spans="1:18">
      <c r="A7" s="2">
        <v>43891</v>
      </c>
      <c r="B7" s="3">
        <v>43944.503125000003</v>
      </c>
      <c r="C7" s="1" t="s">
        <v>16</v>
      </c>
      <c r="D7">
        <v>0</v>
      </c>
      <c r="E7">
        <v>15</v>
      </c>
      <c r="F7">
        <v>27</v>
      </c>
      <c r="G7">
        <v>27</v>
      </c>
      <c r="H7">
        <v>816</v>
      </c>
      <c r="I7">
        <v>0</v>
      </c>
      <c r="J7">
        <v>0</v>
      </c>
      <c r="K7">
        <v>0</v>
      </c>
      <c r="L7">
        <v>7</v>
      </c>
      <c r="M7">
        <v>20</v>
      </c>
      <c r="N7">
        <v>0</v>
      </c>
      <c r="O7">
        <v>0</v>
      </c>
      <c r="P7">
        <v>0</v>
      </c>
      <c r="Q7">
        <v>1.05155</v>
      </c>
      <c r="R7">
        <v>0</v>
      </c>
    </row>
    <row r="8" spans="1:18">
      <c r="A8" s="2">
        <v>43892</v>
      </c>
      <c r="B8" s="3">
        <v>43944.503125000003</v>
      </c>
      <c r="C8" s="1" t="s">
        <v>16</v>
      </c>
      <c r="D8">
        <v>0</v>
      </c>
      <c r="E8">
        <v>21</v>
      </c>
      <c r="F8">
        <v>38</v>
      </c>
      <c r="G8">
        <v>38</v>
      </c>
      <c r="H8">
        <v>1139</v>
      </c>
      <c r="I8">
        <v>0</v>
      </c>
      <c r="J8">
        <v>0</v>
      </c>
      <c r="K8">
        <v>0</v>
      </c>
      <c r="L8">
        <v>11</v>
      </c>
      <c r="M8">
        <v>27</v>
      </c>
      <c r="N8">
        <v>0</v>
      </c>
      <c r="O8">
        <v>0</v>
      </c>
      <c r="P8">
        <v>0</v>
      </c>
      <c r="Q8">
        <v>1.1770449999999999</v>
      </c>
      <c r="R8">
        <v>0</v>
      </c>
    </row>
    <row r="9" spans="1:18">
      <c r="A9" s="2">
        <v>43893</v>
      </c>
      <c r="B9" s="3">
        <v>43944.503125000003</v>
      </c>
      <c r="C9" s="1" t="s">
        <v>16</v>
      </c>
      <c r="D9">
        <v>0</v>
      </c>
      <c r="E9">
        <v>26</v>
      </c>
      <c r="F9">
        <v>54</v>
      </c>
      <c r="G9">
        <v>54</v>
      </c>
      <c r="H9">
        <v>1260</v>
      </c>
      <c r="I9">
        <v>0</v>
      </c>
      <c r="J9">
        <v>0</v>
      </c>
      <c r="K9">
        <v>0</v>
      </c>
      <c r="L9">
        <v>16</v>
      </c>
      <c r="M9">
        <v>38</v>
      </c>
      <c r="N9">
        <v>0</v>
      </c>
      <c r="O9">
        <v>0</v>
      </c>
      <c r="P9">
        <v>0</v>
      </c>
      <c r="Q9">
        <v>1.5773239999999999</v>
      </c>
      <c r="R9">
        <v>0</v>
      </c>
    </row>
    <row r="10" spans="1:18">
      <c r="A10" s="2">
        <v>43894</v>
      </c>
      <c r="B10" s="3">
        <v>43944.503125000003</v>
      </c>
      <c r="C10" s="1" t="s">
        <v>16</v>
      </c>
      <c r="D10">
        <v>1</v>
      </c>
      <c r="E10">
        <v>34</v>
      </c>
      <c r="F10">
        <v>75</v>
      </c>
      <c r="G10">
        <v>75</v>
      </c>
      <c r="H10">
        <v>1371</v>
      </c>
      <c r="I10">
        <v>0</v>
      </c>
      <c r="J10">
        <v>0</v>
      </c>
      <c r="K10">
        <v>0</v>
      </c>
      <c r="L10">
        <v>21</v>
      </c>
      <c r="M10">
        <v>54</v>
      </c>
      <c r="N10">
        <v>0</v>
      </c>
      <c r="O10">
        <v>0</v>
      </c>
      <c r="P10">
        <v>0</v>
      </c>
      <c r="Q10">
        <v>1.977552</v>
      </c>
      <c r="R10">
        <v>0</v>
      </c>
    </row>
    <row r="11" spans="1:18">
      <c r="A11" s="2">
        <v>43895</v>
      </c>
      <c r="B11" s="3">
        <v>43944.503125000003</v>
      </c>
      <c r="C11" s="1" t="s">
        <v>16</v>
      </c>
      <c r="D11">
        <v>1</v>
      </c>
      <c r="E11">
        <v>38</v>
      </c>
      <c r="F11">
        <v>119</v>
      </c>
      <c r="G11">
        <v>119</v>
      </c>
      <c r="H11">
        <v>1439</v>
      </c>
      <c r="I11">
        <v>0</v>
      </c>
      <c r="J11">
        <v>0</v>
      </c>
      <c r="K11">
        <v>0</v>
      </c>
      <c r="L11">
        <v>44</v>
      </c>
      <c r="M11">
        <v>75</v>
      </c>
      <c r="N11">
        <v>0</v>
      </c>
      <c r="O11">
        <v>0</v>
      </c>
      <c r="P11">
        <v>0</v>
      </c>
      <c r="Q11">
        <v>1.9433400000000001</v>
      </c>
      <c r="R11">
        <v>0</v>
      </c>
    </row>
    <row r="12" spans="1:18">
      <c r="A12" s="2">
        <v>43896</v>
      </c>
      <c r="B12" s="3">
        <v>43944.503125000003</v>
      </c>
      <c r="C12" s="1" t="s">
        <v>16</v>
      </c>
      <c r="D12">
        <v>4</v>
      </c>
      <c r="E12">
        <v>46</v>
      </c>
      <c r="F12">
        <v>183</v>
      </c>
      <c r="G12">
        <v>183</v>
      </c>
      <c r="H12">
        <v>1544</v>
      </c>
      <c r="I12">
        <v>1</v>
      </c>
      <c r="J12">
        <v>1</v>
      </c>
      <c r="K12">
        <v>0</v>
      </c>
      <c r="L12">
        <v>64</v>
      </c>
      <c r="M12">
        <v>119</v>
      </c>
      <c r="N12">
        <v>0</v>
      </c>
      <c r="O12">
        <v>1</v>
      </c>
      <c r="P12">
        <v>0</v>
      </c>
      <c r="Q12">
        <v>1.811061</v>
      </c>
      <c r="R12">
        <v>0</v>
      </c>
    </row>
    <row r="13" spans="1:18">
      <c r="A13" s="2">
        <v>43897</v>
      </c>
      <c r="B13" s="3">
        <v>43944.503125000003</v>
      </c>
      <c r="C13" s="1" t="s">
        <v>16</v>
      </c>
      <c r="D13">
        <v>6</v>
      </c>
      <c r="E13">
        <v>47</v>
      </c>
      <c r="F13">
        <v>255</v>
      </c>
      <c r="G13">
        <v>255</v>
      </c>
      <c r="H13">
        <v>1620</v>
      </c>
      <c r="I13">
        <v>1</v>
      </c>
      <c r="J13">
        <v>1</v>
      </c>
      <c r="K13">
        <v>0</v>
      </c>
      <c r="L13">
        <v>72</v>
      </c>
      <c r="M13">
        <v>183</v>
      </c>
      <c r="N13">
        <v>0</v>
      </c>
      <c r="O13">
        <v>0</v>
      </c>
      <c r="P13">
        <v>1</v>
      </c>
      <c r="Q13">
        <v>1.8205480000000001</v>
      </c>
      <c r="R13">
        <v>0</v>
      </c>
    </row>
    <row r="14" spans="1:18">
      <c r="A14" s="2">
        <v>43898</v>
      </c>
      <c r="B14" s="3">
        <v>43944.503125000003</v>
      </c>
      <c r="C14" s="1" t="s">
        <v>16</v>
      </c>
      <c r="D14">
        <v>6</v>
      </c>
      <c r="E14">
        <v>60</v>
      </c>
      <c r="F14">
        <v>319</v>
      </c>
      <c r="G14">
        <v>319</v>
      </c>
      <c r="H14">
        <v>1691</v>
      </c>
      <c r="I14">
        <v>1</v>
      </c>
      <c r="J14">
        <v>2</v>
      </c>
      <c r="K14">
        <v>0</v>
      </c>
      <c r="L14">
        <v>64</v>
      </c>
      <c r="M14">
        <v>255</v>
      </c>
      <c r="N14">
        <v>0</v>
      </c>
      <c r="O14">
        <v>1</v>
      </c>
      <c r="P14">
        <v>1</v>
      </c>
      <c r="Q14">
        <v>1.9512</v>
      </c>
      <c r="R14">
        <v>0</v>
      </c>
    </row>
    <row r="15" spans="1:18">
      <c r="A15" s="2">
        <v>43899</v>
      </c>
      <c r="B15" s="3">
        <v>43944.503125000003</v>
      </c>
      <c r="C15" s="1" t="s">
        <v>16</v>
      </c>
      <c r="D15">
        <v>13</v>
      </c>
      <c r="E15">
        <v>73</v>
      </c>
      <c r="F15">
        <v>396</v>
      </c>
      <c r="G15">
        <v>396</v>
      </c>
      <c r="H15">
        <v>1806</v>
      </c>
      <c r="I15">
        <v>3</v>
      </c>
      <c r="J15">
        <v>2</v>
      </c>
      <c r="K15">
        <v>0</v>
      </c>
      <c r="L15">
        <v>77</v>
      </c>
      <c r="M15">
        <v>319</v>
      </c>
      <c r="N15">
        <v>0</v>
      </c>
      <c r="O15">
        <v>0</v>
      </c>
      <c r="P15">
        <v>2</v>
      </c>
      <c r="Q15">
        <v>2.0828660000000001</v>
      </c>
      <c r="R15">
        <v>0</v>
      </c>
    </row>
    <row r="16" spans="1:18">
      <c r="A16" s="2">
        <v>43900</v>
      </c>
      <c r="B16" s="3">
        <v>43944.503125000003</v>
      </c>
      <c r="C16" s="1" t="s">
        <v>16</v>
      </c>
      <c r="D16">
        <v>15</v>
      </c>
      <c r="E16">
        <v>101</v>
      </c>
      <c r="F16">
        <v>476</v>
      </c>
      <c r="G16">
        <v>476</v>
      </c>
      <c r="H16">
        <v>2029</v>
      </c>
      <c r="I16">
        <v>12</v>
      </c>
      <c r="J16">
        <v>4</v>
      </c>
      <c r="K16">
        <v>0</v>
      </c>
      <c r="L16">
        <v>80</v>
      </c>
      <c r="M16">
        <v>396</v>
      </c>
      <c r="N16">
        <v>0</v>
      </c>
      <c r="O16">
        <v>2</v>
      </c>
      <c r="P16">
        <v>2</v>
      </c>
      <c r="Q16">
        <v>2.5</v>
      </c>
      <c r="R16">
        <v>0</v>
      </c>
    </row>
    <row r="17" spans="1:18">
      <c r="A17" s="2">
        <v>43901</v>
      </c>
      <c r="B17" s="3">
        <v>43944.503125000003</v>
      </c>
      <c r="C17" s="1" t="s">
        <v>16</v>
      </c>
      <c r="D17">
        <v>18</v>
      </c>
      <c r="E17">
        <v>121</v>
      </c>
      <c r="F17">
        <v>616</v>
      </c>
      <c r="G17">
        <v>616</v>
      </c>
      <c r="H17">
        <v>2293</v>
      </c>
      <c r="I17">
        <v>17</v>
      </c>
      <c r="J17">
        <v>5</v>
      </c>
      <c r="K17">
        <v>0</v>
      </c>
      <c r="L17">
        <v>140</v>
      </c>
      <c r="M17">
        <v>476</v>
      </c>
      <c r="N17">
        <v>0</v>
      </c>
      <c r="O17">
        <v>1</v>
      </c>
      <c r="P17">
        <v>4</v>
      </c>
      <c r="Q17">
        <v>2.8553700000000002</v>
      </c>
      <c r="R17">
        <v>2.1533829999999998</v>
      </c>
    </row>
    <row r="18" spans="1:18">
      <c r="A18" s="2">
        <v>43902</v>
      </c>
      <c r="B18" s="3">
        <v>43944.503125000003</v>
      </c>
      <c r="C18" s="1" t="s">
        <v>16</v>
      </c>
      <c r="D18">
        <v>19</v>
      </c>
      <c r="E18">
        <v>142</v>
      </c>
      <c r="F18">
        <v>963</v>
      </c>
      <c r="G18">
        <v>963</v>
      </c>
      <c r="H18">
        <v>2673</v>
      </c>
      <c r="I18">
        <v>18</v>
      </c>
      <c r="J18">
        <v>8</v>
      </c>
      <c r="K18">
        <v>0</v>
      </c>
      <c r="L18">
        <v>347</v>
      </c>
      <c r="M18">
        <v>616</v>
      </c>
      <c r="N18">
        <v>0</v>
      </c>
      <c r="O18">
        <v>3</v>
      </c>
      <c r="P18">
        <v>5</v>
      </c>
      <c r="Q18">
        <v>2.60819</v>
      </c>
      <c r="R18">
        <v>1.6666669999999999</v>
      </c>
    </row>
    <row r="19" spans="1:18">
      <c r="A19" s="2">
        <v>43903</v>
      </c>
      <c r="B19" s="3">
        <v>43944.503125000003</v>
      </c>
      <c r="C19" s="1" t="s">
        <v>16</v>
      </c>
      <c r="D19">
        <v>34</v>
      </c>
      <c r="E19">
        <v>233</v>
      </c>
      <c r="F19">
        <v>1292</v>
      </c>
      <c r="G19">
        <v>1292</v>
      </c>
      <c r="H19">
        <v>3155</v>
      </c>
      <c r="I19">
        <v>18</v>
      </c>
      <c r="J19">
        <v>9</v>
      </c>
      <c r="K19">
        <v>0</v>
      </c>
      <c r="L19">
        <v>329</v>
      </c>
      <c r="M19">
        <v>963</v>
      </c>
      <c r="N19">
        <v>0</v>
      </c>
      <c r="O19">
        <v>1</v>
      </c>
      <c r="P19">
        <v>8</v>
      </c>
      <c r="Q19">
        <v>2.4777279999999999</v>
      </c>
      <c r="R19">
        <v>2.304227</v>
      </c>
    </row>
    <row r="20" spans="1:18">
      <c r="A20" s="2">
        <v>43904</v>
      </c>
      <c r="B20" s="3">
        <v>43944.503125000003</v>
      </c>
      <c r="C20" s="1" t="s">
        <v>16</v>
      </c>
      <c r="D20">
        <v>37</v>
      </c>
      <c r="E20">
        <v>258</v>
      </c>
      <c r="F20">
        <v>1568</v>
      </c>
      <c r="G20">
        <v>1568</v>
      </c>
      <c r="H20">
        <v>3841</v>
      </c>
      <c r="I20">
        <v>18</v>
      </c>
      <c r="J20">
        <v>12</v>
      </c>
      <c r="K20">
        <v>0</v>
      </c>
      <c r="L20">
        <v>276</v>
      </c>
      <c r="M20">
        <v>1292</v>
      </c>
      <c r="N20">
        <v>0</v>
      </c>
      <c r="O20">
        <v>3</v>
      </c>
      <c r="P20">
        <v>9</v>
      </c>
      <c r="Q20">
        <v>2.5184440000000001</v>
      </c>
      <c r="R20">
        <v>1.934264</v>
      </c>
    </row>
    <row r="21" spans="1:18">
      <c r="A21" s="2">
        <v>43905</v>
      </c>
      <c r="B21" s="3">
        <v>43944.503125000003</v>
      </c>
      <c r="C21" s="1" t="s">
        <v>16</v>
      </c>
      <c r="D21">
        <v>41</v>
      </c>
      <c r="E21">
        <v>282</v>
      </c>
      <c r="F21">
        <v>1865</v>
      </c>
      <c r="G21">
        <v>1865</v>
      </c>
      <c r="H21">
        <v>4276</v>
      </c>
      <c r="I21">
        <v>21</v>
      </c>
      <c r="J21">
        <v>20</v>
      </c>
      <c r="K21">
        <v>0</v>
      </c>
      <c r="L21">
        <v>297</v>
      </c>
      <c r="M21">
        <v>1568</v>
      </c>
      <c r="N21">
        <v>0</v>
      </c>
      <c r="O21">
        <v>8</v>
      </c>
      <c r="P21">
        <v>12</v>
      </c>
      <c r="Q21">
        <v>2.5378880000000001</v>
      </c>
      <c r="R21">
        <v>2.1533829999999998</v>
      </c>
    </row>
    <row r="22" spans="1:18">
      <c r="A22" s="2">
        <v>43906</v>
      </c>
      <c r="B22" s="3">
        <v>43944.503125000003</v>
      </c>
      <c r="C22" s="1" t="s">
        <v>16</v>
      </c>
      <c r="D22">
        <v>53</v>
      </c>
      <c r="E22">
        <v>354</v>
      </c>
      <c r="F22">
        <v>2440</v>
      </c>
      <c r="G22">
        <v>2440</v>
      </c>
      <c r="H22">
        <v>4973</v>
      </c>
      <c r="I22">
        <v>22</v>
      </c>
      <c r="J22">
        <v>29</v>
      </c>
      <c r="K22">
        <v>0</v>
      </c>
      <c r="L22">
        <v>575</v>
      </c>
      <c r="M22">
        <v>1865</v>
      </c>
      <c r="N22">
        <v>0</v>
      </c>
      <c r="O22">
        <v>9</v>
      </c>
      <c r="P22">
        <v>20</v>
      </c>
      <c r="Q22">
        <v>2.5177770000000002</v>
      </c>
      <c r="R22">
        <v>1.971568</v>
      </c>
    </row>
    <row r="23" spans="1:18">
      <c r="A23" s="2">
        <v>43907</v>
      </c>
      <c r="B23" s="3">
        <v>43944.503125000003</v>
      </c>
      <c r="C23" s="1" t="s">
        <v>16</v>
      </c>
      <c r="D23">
        <v>69</v>
      </c>
      <c r="E23">
        <v>413</v>
      </c>
      <c r="F23">
        <v>3132</v>
      </c>
      <c r="G23">
        <v>3132</v>
      </c>
      <c r="H23">
        <v>5605</v>
      </c>
      <c r="I23">
        <v>56</v>
      </c>
      <c r="J23">
        <v>35</v>
      </c>
      <c r="K23">
        <v>0</v>
      </c>
      <c r="L23">
        <v>692</v>
      </c>
      <c r="M23">
        <v>2440</v>
      </c>
      <c r="N23">
        <v>0</v>
      </c>
      <c r="O23">
        <v>6</v>
      </c>
      <c r="P23">
        <v>29</v>
      </c>
      <c r="Q23">
        <v>2.9386239999999999</v>
      </c>
      <c r="R23">
        <v>2.3482080000000001</v>
      </c>
    </row>
    <row r="24" spans="1:18">
      <c r="A24" s="2">
        <v>43908</v>
      </c>
      <c r="B24" s="3">
        <v>43944.503125000003</v>
      </c>
      <c r="C24" s="1" t="s">
        <v>16</v>
      </c>
      <c r="D24">
        <v>71</v>
      </c>
      <c r="E24">
        <v>486</v>
      </c>
      <c r="F24">
        <v>4316</v>
      </c>
      <c r="G24">
        <v>4316</v>
      </c>
      <c r="H24">
        <v>6398</v>
      </c>
      <c r="I24">
        <v>81</v>
      </c>
      <c r="J24">
        <v>48</v>
      </c>
      <c r="K24">
        <v>0</v>
      </c>
      <c r="L24">
        <v>1184</v>
      </c>
      <c r="M24">
        <v>3132</v>
      </c>
      <c r="N24">
        <v>0</v>
      </c>
      <c r="O24">
        <v>13</v>
      </c>
      <c r="P24">
        <v>35</v>
      </c>
      <c r="Q24">
        <v>2.8734169999999999</v>
      </c>
      <c r="R24">
        <v>2.0703610000000001</v>
      </c>
    </row>
    <row r="25" spans="1:18">
      <c r="A25" s="2">
        <v>43909</v>
      </c>
      <c r="B25" s="3">
        <v>43944.503125000003</v>
      </c>
      <c r="C25" s="1" t="s">
        <v>16</v>
      </c>
      <c r="D25">
        <v>110</v>
      </c>
      <c r="E25">
        <v>685</v>
      </c>
      <c r="F25">
        <v>5469</v>
      </c>
      <c r="G25">
        <v>5469</v>
      </c>
      <c r="H25">
        <v>6993</v>
      </c>
      <c r="I25">
        <v>125</v>
      </c>
      <c r="J25">
        <v>55</v>
      </c>
      <c r="K25">
        <v>0</v>
      </c>
      <c r="L25">
        <v>1153</v>
      </c>
      <c r="M25">
        <v>4316</v>
      </c>
      <c r="N25">
        <v>0</v>
      </c>
      <c r="O25">
        <v>7</v>
      </c>
      <c r="P25">
        <v>48</v>
      </c>
      <c r="Q25">
        <v>2.7741539999999998</v>
      </c>
      <c r="R25">
        <v>2.2764549999999999</v>
      </c>
    </row>
    <row r="26" spans="1:18">
      <c r="A26" s="2">
        <v>43910</v>
      </c>
      <c r="B26" s="3">
        <v>43944.503125000003</v>
      </c>
      <c r="C26" s="1" t="s">
        <v>16</v>
      </c>
      <c r="D26">
        <v>120</v>
      </c>
      <c r="E26">
        <v>795</v>
      </c>
      <c r="F26">
        <v>6619</v>
      </c>
      <c r="G26">
        <v>6619</v>
      </c>
      <c r="H26">
        <v>7400</v>
      </c>
      <c r="I26">
        <v>139</v>
      </c>
      <c r="J26">
        <v>77</v>
      </c>
      <c r="K26">
        <v>0</v>
      </c>
      <c r="L26">
        <v>1150</v>
      </c>
      <c r="M26">
        <v>5469</v>
      </c>
      <c r="N26">
        <v>0</v>
      </c>
      <c r="O26">
        <v>22</v>
      </c>
      <c r="P26">
        <v>55</v>
      </c>
      <c r="Q26">
        <v>2.7360709999999999</v>
      </c>
      <c r="R26">
        <v>2.570881</v>
      </c>
    </row>
    <row r="27" spans="1:18">
      <c r="A27" s="2">
        <v>43911</v>
      </c>
      <c r="B27" s="3">
        <v>43944.503125000003</v>
      </c>
      <c r="C27" s="1" t="s">
        <v>16</v>
      </c>
      <c r="D27">
        <v>142</v>
      </c>
      <c r="E27">
        <v>900</v>
      </c>
      <c r="F27">
        <v>7355</v>
      </c>
      <c r="G27">
        <v>7355</v>
      </c>
      <c r="H27">
        <v>7768</v>
      </c>
      <c r="I27">
        <v>161</v>
      </c>
      <c r="J27">
        <v>96</v>
      </c>
      <c r="K27">
        <v>0</v>
      </c>
      <c r="L27">
        <v>736</v>
      </c>
      <c r="M27">
        <v>6619</v>
      </c>
      <c r="N27">
        <v>0</v>
      </c>
      <c r="O27">
        <v>19</v>
      </c>
      <c r="P27">
        <v>77</v>
      </c>
      <c r="Q27">
        <v>3.1410110000000002</v>
      </c>
      <c r="R27">
        <v>2.8952249999999999</v>
      </c>
    </row>
    <row r="28" spans="1:18">
      <c r="A28" s="2">
        <v>43912</v>
      </c>
      <c r="B28" s="3">
        <v>43944.503125000003</v>
      </c>
      <c r="C28" s="1" t="s">
        <v>16</v>
      </c>
      <c r="D28">
        <v>175</v>
      </c>
      <c r="E28">
        <v>1089</v>
      </c>
      <c r="F28">
        <v>8060</v>
      </c>
      <c r="G28">
        <v>8060</v>
      </c>
      <c r="H28">
        <v>8009</v>
      </c>
      <c r="I28">
        <v>182</v>
      </c>
      <c r="J28">
        <v>114</v>
      </c>
      <c r="K28">
        <v>0</v>
      </c>
      <c r="L28">
        <v>705</v>
      </c>
      <c r="M28">
        <v>7355</v>
      </c>
      <c r="N28">
        <v>0</v>
      </c>
      <c r="O28">
        <v>18</v>
      </c>
      <c r="P28">
        <v>96</v>
      </c>
      <c r="Q28">
        <v>3.6665070000000002</v>
      </c>
      <c r="R28">
        <v>2.934949</v>
      </c>
    </row>
    <row r="29" spans="1:18">
      <c r="A29" s="2">
        <v>43913</v>
      </c>
      <c r="B29" s="3">
        <v>43944.503125000003</v>
      </c>
      <c r="C29" s="1" t="s">
        <v>16</v>
      </c>
      <c r="D29">
        <v>203</v>
      </c>
      <c r="E29">
        <v>1204</v>
      </c>
      <c r="F29">
        <v>9363</v>
      </c>
      <c r="G29">
        <v>9363</v>
      </c>
      <c r="H29">
        <v>8405</v>
      </c>
      <c r="I29">
        <v>218</v>
      </c>
      <c r="J29">
        <v>142</v>
      </c>
      <c r="K29">
        <v>0</v>
      </c>
      <c r="L29">
        <v>1303</v>
      </c>
      <c r="M29">
        <v>8060</v>
      </c>
      <c r="N29">
        <v>0</v>
      </c>
      <c r="O29">
        <v>28</v>
      </c>
      <c r="P29">
        <v>114</v>
      </c>
      <c r="Q29">
        <v>4.4751700000000003</v>
      </c>
      <c r="R29">
        <v>3.1953279999999999</v>
      </c>
    </row>
    <row r="30" spans="1:18">
      <c r="A30" s="2">
        <v>43914</v>
      </c>
      <c r="B30" s="3">
        <v>43944.503125000003</v>
      </c>
      <c r="C30" s="1" t="s">
        <v>16</v>
      </c>
      <c r="D30">
        <v>206</v>
      </c>
      <c r="E30">
        <v>1350</v>
      </c>
      <c r="F30">
        <v>10312</v>
      </c>
      <c r="G30">
        <v>10312</v>
      </c>
      <c r="H30">
        <v>8753</v>
      </c>
      <c r="I30">
        <v>369</v>
      </c>
      <c r="J30">
        <v>163</v>
      </c>
      <c r="K30">
        <v>0</v>
      </c>
      <c r="L30">
        <v>949</v>
      </c>
      <c r="M30">
        <v>9363</v>
      </c>
      <c r="N30">
        <v>0</v>
      </c>
      <c r="O30">
        <v>21</v>
      </c>
      <c r="P30">
        <v>142</v>
      </c>
      <c r="Q30">
        <v>5.4646290000000004</v>
      </c>
      <c r="R30">
        <v>3.1900599999999999</v>
      </c>
    </row>
    <row r="31" spans="1:18">
      <c r="A31" s="2">
        <v>43915</v>
      </c>
      <c r="B31" s="3">
        <v>43944.503125000003</v>
      </c>
      <c r="C31" s="1" t="s">
        <v>16</v>
      </c>
      <c r="D31">
        <v>240</v>
      </c>
      <c r="E31">
        <v>1460</v>
      </c>
      <c r="F31">
        <v>11488</v>
      </c>
      <c r="G31">
        <v>11488</v>
      </c>
      <c r="H31">
        <v>9186</v>
      </c>
      <c r="I31">
        <v>444</v>
      </c>
      <c r="J31">
        <v>196</v>
      </c>
      <c r="K31">
        <v>0</v>
      </c>
      <c r="L31">
        <v>1176</v>
      </c>
      <c r="M31">
        <v>10312</v>
      </c>
      <c r="N31">
        <v>0</v>
      </c>
      <c r="O31">
        <v>33</v>
      </c>
      <c r="P31">
        <v>163</v>
      </c>
      <c r="Q31">
        <v>6.2858099999999997</v>
      </c>
      <c r="R31">
        <v>3.7094100000000001</v>
      </c>
    </row>
    <row r="32" spans="1:18">
      <c r="A32" s="2">
        <v>43916</v>
      </c>
      <c r="B32" s="3">
        <v>43944.503125000003</v>
      </c>
      <c r="C32" s="1" t="s">
        <v>16</v>
      </c>
      <c r="D32">
        <v>274</v>
      </c>
      <c r="E32">
        <v>1605</v>
      </c>
      <c r="F32">
        <v>12728</v>
      </c>
      <c r="G32">
        <v>12728</v>
      </c>
      <c r="H32">
        <v>10500</v>
      </c>
      <c r="I32">
        <v>547</v>
      </c>
      <c r="J32">
        <v>246</v>
      </c>
      <c r="K32">
        <v>0</v>
      </c>
      <c r="L32">
        <v>1240</v>
      </c>
      <c r="M32">
        <v>11488</v>
      </c>
      <c r="N32">
        <v>0</v>
      </c>
      <c r="O32">
        <v>50</v>
      </c>
      <c r="P32">
        <v>196</v>
      </c>
      <c r="Q32">
        <v>6.3194470000000003</v>
      </c>
      <c r="R32">
        <v>3.6831</v>
      </c>
    </row>
    <row r="33" spans="1:18">
      <c r="A33" s="2">
        <v>43917</v>
      </c>
      <c r="B33" s="3">
        <v>43944.503125000003</v>
      </c>
      <c r="C33" s="1" t="s">
        <v>16</v>
      </c>
      <c r="D33">
        <v>294</v>
      </c>
      <c r="E33">
        <v>1786</v>
      </c>
      <c r="F33">
        <v>14018</v>
      </c>
      <c r="G33">
        <v>14018</v>
      </c>
      <c r="H33">
        <v>10992</v>
      </c>
      <c r="I33">
        <v>655</v>
      </c>
      <c r="J33">
        <v>282</v>
      </c>
      <c r="K33">
        <v>0</v>
      </c>
      <c r="L33">
        <v>1290</v>
      </c>
      <c r="M33">
        <v>12728</v>
      </c>
      <c r="N33">
        <v>0</v>
      </c>
      <c r="O33">
        <v>36</v>
      </c>
      <c r="P33">
        <v>246</v>
      </c>
      <c r="Q33">
        <v>6.2622989999999996</v>
      </c>
      <c r="R33">
        <v>3.826546</v>
      </c>
    </row>
    <row r="34" spans="1:18">
      <c r="A34" s="2">
        <v>43918</v>
      </c>
      <c r="B34" s="3">
        <v>43944.503125000003</v>
      </c>
      <c r="C34" s="1" t="s">
        <v>16</v>
      </c>
      <c r="D34">
        <v>325</v>
      </c>
      <c r="E34">
        <v>1868</v>
      </c>
      <c r="F34">
        <v>14880</v>
      </c>
      <c r="G34">
        <v>14880</v>
      </c>
      <c r="H34">
        <v>11599</v>
      </c>
      <c r="I34">
        <v>738</v>
      </c>
      <c r="J34">
        <v>330</v>
      </c>
      <c r="K34">
        <v>0</v>
      </c>
      <c r="L34">
        <v>862</v>
      </c>
      <c r="M34">
        <v>14018</v>
      </c>
      <c r="N34">
        <v>0</v>
      </c>
      <c r="O34">
        <v>48</v>
      </c>
      <c r="P34">
        <v>282</v>
      </c>
      <c r="Q34">
        <v>7.4813140000000002</v>
      </c>
      <c r="R34">
        <v>4.1098980000000003</v>
      </c>
    </row>
    <row r="35" spans="1:18">
      <c r="A35" s="2">
        <v>43919</v>
      </c>
      <c r="B35" s="3">
        <v>43944.503125000003</v>
      </c>
      <c r="C35" s="1" t="s">
        <v>16</v>
      </c>
      <c r="D35">
        <v>340</v>
      </c>
      <c r="E35">
        <v>1985</v>
      </c>
      <c r="F35">
        <v>15621</v>
      </c>
      <c r="G35">
        <v>15621</v>
      </c>
      <c r="H35">
        <v>11908</v>
      </c>
      <c r="I35">
        <v>804</v>
      </c>
      <c r="J35">
        <v>370</v>
      </c>
      <c r="K35">
        <v>0</v>
      </c>
      <c r="L35">
        <v>741</v>
      </c>
      <c r="M35">
        <v>14880</v>
      </c>
      <c r="N35">
        <v>0</v>
      </c>
      <c r="O35">
        <v>40</v>
      </c>
      <c r="P35">
        <v>330</v>
      </c>
      <c r="Q35">
        <v>8.3449799999999996</v>
      </c>
      <c r="R35">
        <v>4.2277820000000004</v>
      </c>
    </row>
    <row r="36" spans="1:18">
      <c r="A36" s="2">
        <v>43920</v>
      </c>
      <c r="B36" s="3">
        <v>43944.503125000003</v>
      </c>
      <c r="C36" s="1" t="s">
        <v>16</v>
      </c>
      <c r="D36">
        <v>388</v>
      </c>
      <c r="E36">
        <v>2179</v>
      </c>
      <c r="F36">
        <v>16694</v>
      </c>
      <c r="G36">
        <v>16694</v>
      </c>
      <c r="H36">
        <v>12568</v>
      </c>
      <c r="I36">
        <v>939</v>
      </c>
      <c r="J36">
        <v>425</v>
      </c>
      <c r="K36">
        <v>0</v>
      </c>
      <c r="L36">
        <v>1073</v>
      </c>
      <c r="M36">
        <v>15621</v>
      </c>
      <c r="N36">
        <v>0</v>
      </c>
      <c r="O36">
        <v>55</v>
      </c>
      <c r="P36">
        <v>370</v>
      </c>
      <c r="Q36">
        <v>9.2729619999999997</v>
      </c>
      <c r="R36">
        <v>4.4778419999999999</v>
      </c>
    </row>
    <row r="37" spans="1:18">
      <c r="A37" s="2">
        <v>43921</v>
      </c>
      <c r="B37" s="3">
        <v>43944.503125000003</v>
      </c>
      <c r="C37" s="1" t="s">
        <v>16</v>
      </c>
      <c r="D37">
        <v>411</v>
      </c>
      <c r="E37">
        <v>2203</v>
      </c>
      <c r="F37">
        <v>17686</v>
      </c>
      <c r="G37">
        <v>17686</v>
      </c>
      <c r="H37">
        <v>13326</v>
      </c>
      <c r="I37">
        <v>1308</v>
      </c>
      <c r="J37">
        <v>495</v>
      </c>
      <c r="K37">
        <v>0</v>
      </c>
      <c r="L37">
        <v>992</v>
      </c>
      <c r="M37">
        <v>16694</v>
      </c>
      <c r="N37">
        <v>0</v>
      </c>
      <c r="O37">
        <v>70</v>
      </c>
      <c r="P37">
        <v>425</v>
      </c>
      <c r="Q37">
        <v>10.535142</v>
      </c>
      <c r="R37">
        <v>4.9565299999999999</v>
      </c>
    </row>
    <row r="38" spans="1:18">
      <c r="A38" s="2">
        <v>43922</v>
      </c>
      <c r="B38" s="3">
        <v>43944.503125000003</v>
      </c>
      <c r="C38" s="1" t="s">
        <v>16</v>
      </c>
      <c r="D38">
        <v>442</v>
      </c>
      <c r="E38">
        <v>2283</v>
      </c>
      <c r="F38">
        <v>18691</v>
      </c>
      <c r="G38">
        <v>18691</v>
      </c>
      <c r="H38">
        <v>13991</v>
      </c>
      <c r="I38">
        <v>1479</v>
      </c>
      <c r="J38">
        <v>556</v>
      </c>
      <c r="K38">
        <v>0</v>
      </c>
      <c r="L38">
        <v>1005</v>
      </c>
      <c r="M38">
        <v>17686</v>
      </c>
      <c r="N38">
        <v>0</v>
      </c>
      <c r="O38">
        <v>61</v>
      </c>
      <c r="P38">
        <v>495</v>
      </c>
      <c r="Q38">
        <v>12.046357</v>
      </c>
      <c r="R38">
        <v>5.1052200000000001</v>
      </c>
    </row>
    <row r="39" spans="1:18">
      <c r="A39" s="2">
        <v>43923</v>
      </c>
      <c r="B39" s="3">
        <v>43944.503125000003</v>
      </c>
      <c r="C39" s="1" t="s">
        <v>16</v>
      </c>
      <c r="D39">
        <v>449</v>
      </c>
      <c r="E39">
        <v>2347</v>
      </c>
      <c r="F39">
        <v>19774</v>
      </c>
      <c r="G39">
        <v>19774</v>
      </c>
      <c r="H39">
        <v>14943</v>
      </c>
      <c r="I39">
        <v>1644</v>
      </c>
      <c r="J39">
        <v>617</v>
      </c>
      <c r="K39">
        <v>0</v>
      </c>
      <c r="L39">
        <v>1083</v>
      </c>
      <c r="M39">
        <v>18691</v>
      </c>
      <c r="N39">
        <v>0</v>
      </c>
      <c r="O39">
        <v>61</v>
      </c>
      <c r="P39">
        <v>556</v>
      </c>
      <c r="Q39">
        <v>12.188278</v>
      </c>
      <c r="R39">
        <v>5.5382980000000002</v>
      </c>
    </row>
    <row r="40" spans="1:18">
      <c r="A40" s="2">
        <v>43924</v>
      </c>
      <c r="B40" s="3">
        <v>43944.503125000003</v>
      </c>
      <c r="C40" s="1" t="s">
        <v>16</v>
      </c>
      <c r="D40">
        <v>456</v>
      </c>
      <c r="E40">
        <v>2334</v>
      </c>
      <c r="F40">
        <v>20696</v>
      </c>
      <c r="G40">
        <v>20696</v>
      </c>
      <c r="H40">
        <v>15781</v>
      </c>
      <c r="I40">
        <v>1796</v>
      </c>
      <c r="J40">
        <v>680</v>
      </c>
      <c r="K40">
        <v>0</v>
      </c>
      <c r="L40">
        <v>922</v>
      </c>
      <c r="M40">
        <v>19774</v>
      </c>
      <c r="N40">
        <v>0</v>
      </c>
      <c r="O40">
        <v>63</v>
      </c>
      <c r="P40">
        <v>617</v>
      </c>
      <c r="Q40">
        <v>12.319362999999999</v>
      </c>
      <c r="R40">
        <v>5.694699</v>
      </c>
    </row>
    <row r="41" spans="1:18">
      <c r="A41" s="2">
        <v>43925</v>
      </c>
      <c r="B41" s="3">
        <v>43944.503125000003</v>
      </c>
      <c r="C41" s="1" t="s">
        <v>16</v>
      </c>
      <c r="D41">
        <v>458</v>
      </c>
      <c r="E41">
        <v>2322</v>
      </c>
      <c r="F41">
        <v>21303</v>
      </c>
      <c r="G41">
        <v>21303</v>
      </c>
      <c r="H41">
        <v>16375</v>
      </c>
      <c r="I41">
        <v>1951</v>
      </c>
      <c r="J41">
        <v>744</v>
      </c>
      <c r="K41">
        <v>0</v>
      </c>
      <c r="L41">
        <v>607</v>
      </c>
      <c r="M41">
        <v>20696</v>
      </c>
      <c r="N41">
        <v>0</v>
      </c>
      <c r="O41">
        <v>64</v>
      </c>
      <c r="P41">
        <v>680</v>
      </c>
      <c r="Q41">
        <v>14.215572999999999</v>
      </c>
      <c r="R41">
        <v>6.1893459999999996</v>
      </c>
    </row>
    <row r="42" spans="1:18">
      <c r="A42" s="2">
        <v>43926</v>
      </c>
      <c r="B42" s="3">
        <v>43944.503125000003</v>
      </c>
      <c r="C42" s="1" t="s">
        <v>16</v>
      </c>
      <c r="D42">
        <v>448</v>
      </c>
      <c r="E42">
        <v>2300</v>
      </c>
      <c r="F42">
        <v>21761</v>
      </c>
      <c r="G42">
        <v>21761</v>
      </c>
      <c r="H42">
        <v>16679</v>
      </c>
      <c r="I42">
        <v>2111</v>
      </c>
      <c r="J42">
        <v>797</v>
      </c>
      <c r="K42">
        <v>0</v>
      </c>
      <c r="L42">
        <v>458</v>
      </c>
      <c r="M42">
        <v>21303</v>
      </c>
      <c r="N42">
        <v>0</v>
      </c>
      <c r="O42">
        <v>53</v>
      </c>
      <c r="P42">
        <v>744</v>
      </c>
      <c r="Q42">
        <v>16.714746000000002</v>
      </c>
      <c r="R42">
        <v>7.2764189999999997</v>
      </c>
    </row>
    <row r="43" spans="1:18">
      <c r="A43" s="2">
        <v>43927</v>
      </c>
      <c r="B43" s="3">
        <v>43944.503125000003</v>
      </c>
      <c r="C43" s="1" t="s">
        <v>16</v>
      </c>
      <c r="D43">
        <v>448</v>
      </c>
      <c r="E43">
        <v>2312</v>
      </c>
      <c r="F43">
        <v>22421</v>
      </c>
      <c r="G43">
        <v>22421</v>
      </c>
      <c r="H43">
        <v>17334</v>
      </c>
      <c r="I43">
        <v>2234</v>
      </c>
      <c r="J43">
        <v>853</v>
      </c>
      <c r="K43">
        <v>0</v>
      </c>
      <c r="L43">
        <v>660</v>
      </c>
      <c r="M43">
        <v>21761</v>
      </c>
      <c r="N43">
        <v>0</v>
      </c>
      <c r="O43">
        <v>56</v>
      </c>
      <c r="P43">
        <v>797</v>
      </c>
      <c r="Q43">
        <v>19.047121000000001</v>
      </c>
      <c r="R43">
        <v>8.0976789999999994</v>
      </c>
    </row>
    <row r="44" spans="1:18">
      <c r="A44" s="2">
        <v>43928</v>
      </c>
      <c r="B44" s="3">
        <v>43944.503125000003</v>
      </c>
      <c r="C44" s="1" t="s">
        <v>16</v>
      </c>
      <c r="D44">
        <v>444</v>
      </c>
      <c r="E44">
        <v>2252</v>
      </c>
      <c r="F44">
        <v>23078</v>
      </c>
      <c r="G44">
        <v>23078</v>
      </c>
      <c r="H44">
        <v>18185</v>
      </c>
      <c r="I44">
        <v>2557</v>
      </c>
      <c r="J44">
        <v>914</v>
      </c>
      <c r="K44">
        <v>0</v>
      </c>
      <c r="L44">
        <v>657</v>
      </c>
      <c r="M44">
        <v>22421</v>
      </c>
      <c r="N44">
        <v>0</v>
      </c>
      <c r="O44">
        <v>61</v>
      </c>
      <c r="P44">
        <v>853</v>
      </c>
      <c r="Q44">
        <v>22.430229000000001</v>
      </c>
      <c r="R44">
        <v>8.8195289999999993</v>
      </c>
    </row>
    <row r="45" spans="1:18">
      <c r="A45" s="2">
        <v>43929</v>
      </c>
      <c r="B45" s="3">
        <v>43944.503125000003</v>
      </c>
      <c r="C45" s="1" t="s">
        <v>16</v>
      </c>
      <c r="D45">
        <v>440</v>
      </c>
      <c r="E45">
        <v>2143</v>
      </c>
      <c r="F45">
        <v>23729</v>
      </c>
      <c r="G45">
        <v>23729</v>
      </c>
      <c r="H45">
        <v>19006</v>
      </c>
      <c r="I45">
        <v>2812</v>
      </c>
      <c r="J45">
        <v>982</v>
      </c>
      <c r="K45">
        <v>0</v>
      </c>
      <c r="L45">
        <v>651</v>
      </c>
      <c r="M45">
        <v>23078</v>
      </c>
      <c r="N45">
        <v>0</v>
      </c>
      <c r="O45">
        <v>68</v>
      </c>
      <c r="P45">
        <v>914</v>
      </c>
      <c r="Q45">
        <v>25.342203000000001</v>
      </c>
      <c r="R45">
        <v>9.430612</v>
      </c>
    </row>
    <row r="46" spans="1:18">
      <c r="A46" s="2">
        <v>43930</v>
      </c>
      <c r="B46" s="3">
        <v>43944.503125000003</v>
      </c>
      <c r="C46" s="1" t="s">
        <v>16</v>
      </c>
      <c r="D46">
        <v>433</v>
      </c>
      <c r="E46">
        <v>2077</v>
      </c>
      <c r="F46">
        <v>24405</v>
      </c>
      <c r="G46">
        <v>24405</v>
      </c>
      <c r="H46">
        <v>19528</v>
      </c>
      <c r="I46">
        <v>2962</v>
      </c>
      <c r="J46">
        <v>1031</v>
      </c>
      <c r="K46">
        <v>0</v>
      </c>
      <c r="L46">
        <v>676</v>
      </c>
      <c r="M46">
        <v>23729</v>
      </c>
      <c r="N46">
        <v>0</v>
      </c>
      <c r="O46">
        <v>49</v>
      </c>
      <c r="P46">
        <v>982</v>
      </c>
      <c r="Q46">
        <v>25.494577</v>
      </c>
      <c r="R46">
        <v>10.623158999999999</v>
      </c>
    </row>
    <row r="47" spans="1:18">
      <c r="A47" s="2">
        <v>43931</v>
      </c>
      <c r="B47" s="3">
        <v>43944.503125000003</v>
      </c>
      <c r="C47" s="1" t="s">
        <v>16</v>
      </c>
      <c r="D47">
        <v>421</v>
      </c>
      <c r="E47">
        <v>2016</v>
      </c>
      <c r="F47">
        <v>24899</v>
      </c>
      <c r="G47">
        <v>24899</v>
      </c>
      <c r="H47">
        <v>19948</v>
      </c>
      <c r="I47">
        <v>3046</v>
      </c>
      <c r="J47">
        <v>1081</v>
      </c>
      <c r="K47">
        <v>0</v>
      </c>
      <c r="L47">
        <v>494</v>
      </c>
      <c r="M47">
        <v>24405</v>
      </c>
      <c r="N47">
        <v>0</v>
      </c>
      <c r="O47">
        <v>50</v>
      </c>
      <c r="P47">
        <v>1031</v>
      </c>
      <c r="Q47">
        <v>25.727715</v>
      </c>
      <c r="R47">
        <v>11.371003999999999</v>
      </c>
    </row>
    <row r="48" spans="1:18">
      <c r="A48" s="2">
        <v>43932</v>
      </c>
      <c r="B48" s="3">
        <v>43944.503125000003</v>
      </c>
      <c r="C48" s="1" t="s">
        <v>16</v>
      </c>
      <c r="D48">
        <v>421</v>
      </c>
      <c r="E48">
        <v>1939</v>
      </c>
      <c r="F48">
        <v>25365</v>
      </c>
      <c r="G48">
        <v>25365</v>
      </c>
      <c r="H48">
        <v>20317</v>
      </c>
      <c r="I48">
        <v>3212</v>
      </c>
      <c r="J48">
        <v>1117</v>
      </c>
      <c r="K48">
        <v>0</v>
      </c>
      <c r="L48">
        <v>466</v>
      </c>
      <c r="M48">
        <v>24899</v>
      </c>
      <c r="N48">
        <v>0</v>
      </c>
      <c r="O48">
        <v>36</v>
      </c>
      <c r="P48">
        <v>1081</v>
      </c>
      <c r="Q48">
        <v>28.091697</v>
      </c>
      <c r="R48">
        <v>12.853089000000001</v>
      </c>
    </row>
    <row r="49" spans="1:18">
      <c r="A49" s="2">
        <v>43933</v>
      </c>
      <c r="B49" s="3">
        <v>43944.503125000003</v>
      </c>
      <c r="C49" s="1" t="s">
        <v>16</v>
      </c>
      <c r="D49">
        <v>410</v>
      </c>
      <c r="E49">
        <v>1915</v>
      </c>
      <c r="F49">
        <v>25684</v>
      </c>
      <c r="G49">
        <v>25684</v>
      </c>
      <c r="H49">
        <v>20496</v>
      </c>
      <c r="I49">
        <v>3314</v>
      </c>
      <c r="J49">
        <v>1171</v>
      </c>
      <c r="K49">
        <v>0</v>
      </c>
      <c r="L49">
        <v>319</v>
      </c>
      <c r="M49">
        <v>25365</v>
      </c>
      <c r="N49">
        <v>0</v>
      </c>
      <c r="O49">
        <v>54</v>
      </c>
      <c r="P49">
        <v>1117</v>
      </c>
      <c r="Q49">
        <v>32.393552999999997</v>
      </c>
      <c r="R49">
        <v>13.986992000000001</v>
      </c>
    </row>
    <row r="50" spans="1:18">
      <c r="A50" s="2">
        <v>43934</v>
      </c>
      <c r="B50" s="3">
        <v>43944.503125000003</v>
      </c>
      <c r="C50" s="1" t="s">
        <v>16</v>
      </c>
      <c r="D50">
        <v>407</v>
      </c>
      <c r="E50">
        <v>1895</v>
      </c>
      <c r="F50">
        <v>25924</v>
      </c>
      <c r="G50">
        <v>25924</v>
      </c>
      <c r="H50">
        <v>20807</v>
      </c>
      <c r="I50">
        <v>3388</v>
      </c>
      <c r="J50">
        <v>1200</v>
      </c>
      <c r="K50">
        <v>0</v>
      </c>
      <c r="L50">
        <v>240</v>
      </c>
      <c r="M50">
        <v>25684</v>
      </c>
      <c r="N50">
        <v>0</v>
      </c>
      <c r="O50">
        <v>29</v>
      </c>
      <c r="P50">
        <v>1171</v>
      </c>
      <c r="Q50">
        <v>39.173583000000001</v>
      </c>
      <c r="R50">
        <v>17.286714</v>
      </c>
    </row>
    <row r="51" spans="1:18">
      <c r="A51" s="2">
        <v>43935</v>
      </c>
      <c r="B51" s="3">
        <v>43944.503125000003</v>
      </c>
      <c r="C51" s="1" t="s">
        <v>16</v>
      </c>
      <c r="D51">
        <v>392</v>
      </c>
      <c r="E51">
        <v>1861</v>
      </c>
      <c r="F51">
        <v>26233</v>
      </c>
      <c r="G51">
        <v>26233</v>
      </c>
      <c r="H51">
        <v>21362</v>
      </c>
      <c r="I51">
        <v>3556</v>
      </c>
      <c r="J51">
        <v>1239</v>
      </c>
      <c r="K51">
        <v>0</v>
      </c>
      <c r="L51">
        <v>309</v>
      </c>
      <c r="M51">
        <v>25924</v>
      </c>
      <c r="N51">
        <v>0</v>
      </c>
      <c r="O51">
        <v>39</v>
      </c>
      <c r="P51">
        <v>1200</v>
      </c>
      <c r="Q51">
        <v>47.981858000000003</v>
      </c>
      <c r="R51">
        <v>18.858540999999999</v>
      </c>
    </row>
    <row r="52" spans="1:18">
      <c r="A52" s="2">
        <v>43936</v>
      </c>
      <c r="B52" s="3">
        <v>43944.503125000003</v>
      </c>
      <c r="C52" s="1" t="s">
        <v>16</v>
      </c>
      <c r="D52">
        <v>367</v>
      </c>
      <c r="E52">
        <v>1733</v>
      </c>
      <c r="F52">
        <v>26553</v>
      </c>
      <c r="G52">
        <v>26553</v>
      </c>
      <c r="H52">
        <v>21838</v>
      </c>
      <c r="I52">
        <v>3720</v>
      </c>
      <c r="J52">
        <v>1292</v>
      </c>
      <c r="K52">
        <v>0</v>
      </c>
      <c r="L52">
        <v>320</v>
      </c>
      <c r="M52">
        <v>26233</v>
      </c>
      <c r="N52">
        <v>0</v>
      </c>
      <c r="O52">
        <v>53</v>
      </c>
      <c r="P52">
        <v>1239</v>
      </c>
      <c r="Q52">
        <v>53.88682</v>
      </c>
      <c r="R52">
        <v>19.437135999999999</v>
      </c>
    </row>
    <row r="53" spans="1:18">
      <c r="A53" s="2">
        <v>43937</v>
      </c>
      <c r="B53" s="3">
        <v>43944.503125000003</v>
      </c>
      <c r="C53" s="1" t="s">
        <v>16</v>
      </c>
      <c r="D53">
        <v>348</v>
      </c>
      <c r="E53">
        <v>1680</v>
      </c>
      <c r="F53">
        <v>26867</v>
      </c>
      <c r="G53">
        <v>26867</v>
      </c>
      <c r="H53">
        <v>22530</v>
      </c>
      <c r="I53">
        <v>3880</v>
      </c>
      <c r="J53">
        <v>1333</v>
      </c>
      <c r="K53">
        <v>0</v>
      </c>
      <c r="L53">
        <v>314</v>
      </c>
      <c r="M53">
        <v>26553</v>
      </c>
      <c r="N53">
        <v>0</v>
      </c>
      <c r="O53">
        <v>41</v>
      </c>
      <c r="P53">
        <v>1292</v>
      </c>
      <c r="Q53">
        <v>60.243811000000001</v>
      </c>
      <c r="R53">
        <v>19.604184</v>
      </c>
    </row>
    <row r="54" spans="1:18">
      <c r="A54" s="2">
        <v>43938</v>
      </c>
      <c r="B54" s="3">
        <v>43944.503125000003</v>
      </c>
      <c r="C54" s="1" t="s">
        <v>16</v>
      </c>
      <c r="D54">
        <v>336</v>
      </c>
      <c r="E54">
        <v>1586</v>
      </c>
      <c r="F54">
        <v>27170</v>
      </c>
      <c r="G54">
        <v>27170</v>
      </c>
      <c r="H54">
        <v>23000</v>
      </c>
      <c r="I54">
        <v>3988</v>
      </c>
      <c r="J54">
        <v>1374</v>
      </c>
      <c r="K54">
        <v>0</v>
      </c>
      <c r="L54">
        <v>303</v>
      </c>
      <c r="M54">
        <v>26867</v>
      </c>
      <c r="N54">
        <v>0</v>
      </c>
      <c r="O54">
        <v>41</v>
      </c>
      <c r="P54">
        <v>1333</v>
      </c>
      <c r="Q54">
        <v>61.618347999999997</v>
      </c>
      <c r="R54">
        <v>21.678719999999998</v>
      </c>
    </row>
    <row r="55" spans="1:18">
      <c r="A55" s="2">
        <v>43939</v>
      </c>
      <c r="B55" s="3">
        <v>43944.503125000003</v>
      </c>
      <c r="C55" s="1" t="s">
        <v>16</v>
      </c>
      <c r="D55">
        <v>322</v>
      </c>
      <c r="E55">
        <v>1549</v>
      </c>
      <c r="F55">
        <v>27492</v>
      </c>
      <c r="G55">
        <v>27492</v>
      </c>
      <c r="H55">
        <v>23452</v>
      </c>
      <c r="I55">
        <v>4103</v>
      </c>
      <c r="J55">
        <v>1413</v>
      </c>
      <c r="K55">
        <v>0</v>
      </c>
      <c r="L55">
        <v>322</v>
      </c>
      <c r="M55">
        <v>27170</v>
      </c>
      <c r="N55">
        <v>0</v>
      </c>
      <c r="O55">
        <v>39</v>
      </c>
      <c r="P55">
        <v>1374</v>
      </c>
      <c r="Q55">
        <v>59.015486000000003</v>
      </c>
      <c r="R55">
        <v>21.210972000000002</v>
      </c>
    </row>
    <row r="56" spans="1:18">
      <c r="A56" s="2">
        <v>43940</v>
      </c>
      <c r="B56" s="3">
        <v>43944.503125000003</v>
      </c>
      <c r="C56" s="1" t="s">
        <v>16</v>
      </c>
      <c r="D56">
        <v>313</v>
      </c>
      <c r="E56">
        <v>1527</v>
      </c>
      <c r="F56">
        <v>27690</v>
      </c>
      <c r="G56">
        <v>27690</v>
      </c>
      <c r="H56">
        <v>23643</v>
      </c>
      <c r="I56">
        <v>4173</v>
      </c>
      <c r="J56">
        <v>1434</v>
      </c>
      <c r="K56">
        <v>0</v>
      </c>
      <c r="L56">
        <v>198</v>
      </c>
      <c r="M56">
        <v>27492</v>
      </c>
      <c r="N56">
        <v>0</v>
      </c>
      <c r="O56">
        <v>21</v>
      </c>
      <c r="P56">
        <v>1413</v>
      </c>
      <c r="Q56">
        <v>64.117154999999997</v>
      </c>
      <c r="R56">
        <v>23.711421999999999</v>
      </c>
    </row>
    <row r="57" spans="1:18">
      <c r="A57" s="2">
        <v>43941</v>
      </c>
      <c r="B57" s="3">
        <v>43944.503125000003</v>
      </c>
      <c r="C57" s="1" t="s">
        <v>16</v>
      </c>
      <c r="D57">
        <v>300</v>
      </c>
      <c r="E57">
        <v>1502</v>
      </c>
      <c r="F57">
        <v>27879</v>
      </c>
      <c r="G57">
        <v>27879</v>
      </c>
      <c r="H57">
        <v>24035</v>
      </c>
      <c r="I57">
        <v>4304</v>
      </c>
      <c r="J57">
        <v>1470</v>
      </c>
      <c r="K57">
        <v>0</v>
      </c>
      <c r="L57">
        <v>189</v>
      </c>
      <c r="M57">
        <v>27690</v>
      </c>
      <c r="N57">
        <v>0</v>
      </c>
      <c r="O57">
        <v>36</v>
      </c>
      <c r="P57">
        <v>1434</v>
      </c>
      <c r="Q57">
        <v>71.119764000000004</v>
      </c>
      <c r="R57">
        <v>26.851392000000001</v>
      </c>
    </row>
    <row r="58" spans="1:18">
      <c r="A58" s="2">
        <v>43942</v>
      </c>
      <c r="B58" s="3">
        <v>43944.503125000003</v>
      </c>
      <c r="C58" s="1" t="s">
        <v>16</v>
      </c>
      <c r="D58">
        <v>286</v>
      </c>
      <c r="E58">
        <v>1425</v>
      </c>
      <c r="F58">
        <v>28025</v>
      </c>
      <c r="G58">
        <v>28025</v>
      </c>
      <c r="H58">
        <v>24277</v>
      </c>
      <c r="I58">
        <v>4431</v>
      </c>
      <c r="J58">
        <v>1504</v>
      </c>
      <c r="K58">
        <v>0</v>
      </c>
      <c r="L58">
        <v>146</v>
      </c>
      <c r="M58">
        <v>27879</v>
      </c>
      <c r="N58">
        <v>0</v>
      </c>
      <c r="O58">
        <v>34</v>
      </c>
      <c r="P58">
        <v>1470</v>
      </c>
      <c r="Q58">
        <v>82.129943999999995</v>
      </c>
      <c r="R58">
        <v>28.714544</v>
      </c>
    </row>
    <row r="59" spans="1:18">
      <c r="A59" s="2">
        <v>43943</v>
      </c>
      <c r="B59" s="3">
        <v>43944.503125000003</v>
      </c>
      <c r="C59" s="1" t="s">
        <v>16</v>
      </c>
      <c r="D59">
        <v>255</v>
      </c>
      <c r="E59">
        <v>1362</v>
      </c>
      <c r="F59">
        <v>28202</v>
      </c>
      <c r="G59">
        <v>28202</v>
      </c>
      <c r="H59">
        <v>24277</v>
      </c>
      <c r="I59">
        <v>4538</v>
      </c>
      <c r="J59">
        <v>1520</v>
      </c>
      <c r="K59">
        <v>0</v>
      </c>
      <c r="L59">
        <v>177</v>
      </c>
      <c r="M59">
        <v>28025</v>
      </c>
      <c r="N59">
        <v>0</v>
      </c>
      <c r="O59">
        <v>16</v>
      </c>
      <c r="P59">
        <v>1504</v>
      </c>
      <c r="Q59">
        <v>92.966330999999997</v>
      </c>
      <c r="R59">
        <v>34.319606</v>
      </c>
    </row>
    <row r="60" spans="1:18">
      <c r="A60" s="2">
        <v>43944</v>
      </c>
      <c r="B60" s="3">
        <v>43944.503125000003</v>
      </c>
      <c r="C60" s="1" t="s">
        <v>16</v>
      </c>
      <c r="D60">
        <v>250</v>
      </c>
      <c r="E60">
        <v>1345</v>
      </c>
      <c r="F60">
        <v>28297</v>
      </c>
      <c r="G60">
        <v>28297</v>
      </c>
      <c r="H60">
        <v>24277</v>
      </c>
      <c r="I60">
        <v>4551</v>
      </c>
      <c r="J60">
        <v>1528</v>
      </c>
      <c r="K60">
        <v>0</v>
      </c>
      <c r="L60">
        <v>95</v>
      </c>
      <c r="M60">
        <v>28202</v>
      </c>
      <c r="N60">
        <v>0</v>
      </c>
      <c r="O60">
        <v>8</v>
      </c>
      <c r="P60">
        <v>1520</v>
      </c>
      <c r="Q60">
        <v>120.084795</v>
      </c>
      <c r="R60">
        <v>44.293619</v>
      </c>
    </row>
  </sheetData>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CF6CC-7984-4330-8823-F82CE39F5044}">
  <sheetPr codeName="Tabelle2"/>
  <dimension ref="A1:C14"/>
  <sheetViews>
    <sheetView workbookViewId="0">
      <selection activeCell="C19" sqref="C19"/>
    </sheetView>
  </sheetViews>
  <sheetFormatPr baseColWidth="10" defaultRowHeight="14.5"/>
  <cols>
    <col min="1" max="1" width="14.81640625" style="2" customWidth="1"/>
    <col min="2" max="2" width="16.26953125" customWidth="1"/>
    <col min="3" max="3" width="22.26953125" customWidth="1"/>
  </cols>
  <sheetData>
    <row r="1" spans="1:3">
      <c r="A1" s="2" t="s">
        <v>418</v>
      </c>
      <c r="B1" t="s">
        <v>419</v>
      </c>
    </row>
    <row r="2" spans="1:3">
      <c r="B2">
        <f>MAX(ch_latest!G1:'ch_latest'!G208)</f>
        <v>28297</v>
      </c>
      <c r="C2" s="20"/>
    </row>
    <row r="4" spans="1:3">
      <c r="A4" s="2" t="s">
        <v>420</v>
      </c>
      <c r="B4" t="s">
        <v>6</v>
      </c>
      <c r="C4" t="s">
        <v>14</v>
      </c>
    </row>
    <row r="5" spans="1:3">
      <c r="B5">
        <f>INDEX(ch_latest!L2:'ch_latest'!L208,COUNTA(ch_latest!L2:'ch_latest'!L208)+1)</f>
        <v>95</v>
      </c>
      <c r="C5">
        <f>INDEX(ch_latest!Q2:'ch_latest'!Q208,COUNTA(ch_latest!Q2:'ch_latest'!Q208))</f>
        <v>120.084795</v>
      </c>
    </row>
    <row r="6" spans="1:3">
      <c r="B6" s="24"/>
    </row>
    <row r="7" spans="1:3">
      <c r="A7" s="2" t="s">
        <v>429</v>
      </c>
      <c r="B7" t="s">
        <v>428</v>
      </c>
    </row>
    <row r="8" spans="1:3">
      <c r="A8" s="2" t="s">
        <v>430</v>
      </c>
      <c r="B8">
        <f>INDEX(ch_latest!I1:'ch_latest'!I208,COUNTA(ch_latest!I1:'ch_latest'!I208))</f>
        <v>4551</v>
      </c>
    </row>
    <row r="9" spans="1:3">
      <c r="A9" s="2" t="s">
        <v>431</v>
      </c>
      <c r="B9">
        <f>INDEX(ch_latest!I1:'ch_latest'!I208,COUNTA(ch_latest!I1:'ch_latest'!I208)-1)</f>
        <v>4538</v>
      </c>
    </row>
    <row r="10" spans="1:3">
      <c r="A10" s="2" t="s">
        <v>432</v>
      </c>
      <c r="B10">
        <f>B8-B9</f>
        <v>13</v>
      </c>
    </row>
    <row r="11" spans="1:3">
      <c r="B11" s="21"/>
    </row>
    <row r="12" spans="1:3">
      <c r="A12" s="2" t="s">
        <v>450</v>
      </c>
      <c r="B12" s="2">
        <f>INDEX(ch_latest!A1:'ch_latest'!A208,COUNTA(ch_latest!A1:'ch_latest'!A208))</f>
        <v>43944</v>
      </c>
      <c r="C12" s="4">
        <f>INDEX(ch_latest!B1:'ch_latest'!B208,COUNTA(ch_latest!B1:'ch_latest'!B208))</f>
        <v>43944.503125000003</v>
      </c>
    </row>
    <row r="13" spans="1:3">
      <c r="B13" s="22"/>
    </row>
    <row r="14" spans="1:3">
      <c r="B14" s="23"/>
    </row>
  </sheetData>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48E8F-C126-4C9F-9BB7-DE1152AC479D}">
  <sheetPr codeName="Tabelle3"/>
  <dimension ref="A1:AE28"/>
  <sheetViews>
    <sheetView workbookViewId="0">
      <selection sqref="A1:XFD1048576"/>
    </sheetView>
  </sheetViews>
  <sheetFormatPr baseColWidth="10" defaultRowHeight="14.5"/>
  <cols>
    <col min="1" max="2" width="14.90625" bestFit="1" customWidth="1"/>
    <col min="3" max="3" width="9.54296875" bestFit="1" customWidth="1"/>
    <col min="4" max="4" width="20.6328125" bestFit="1" customWidth="1"/>
    <col min="5" max="5" width="21.36328125" bestFit="1" customWidth="1"/>
    <col min="6" max="6" width="16.54296875" bestFit="1" customWidth="1"/>
    <col min="7" max="7" width="9.81640625" bestFit="1" customWidth="1"/>
    <col min="8" max="8" width="8.81640625" bestFit="1" customWidth="1"/>
    <col min="9" max="9" width="17.1796875" bestFit="1" customWidth="1"/>
    <col min="10" max="10" width="28.90625" bestFit="1" customWidth="1"/>
    <col min="11" max="11" width="20.1796875" bestFit="1" customWidth="1"/>
    <col min="12" max="12" width="11.7265625" bestFit="1" customWidth="1"/>
    <col min="13" max="13" width="18.26953125" bestFit="1" customWidth="1"/>
    <col min="14" max="14" width="32.26953125" bestFit="1" customWidth="1"/>
    <col min="15" max="15" width="17.6328125" bestFit="1" customWidth="1"/>
    <col min="16" max="16" width="10.1796875" bestFit="1" customWidth="1"/>
    <col min="17" max="17" width="18.7265625" bestFit="1" customWidth="1"/>
    <col min="18" max="18" width="8.81640625" bestFit="1" customWidth="1"/>
    <col min="19" max="19" width="15.1796875" bestFit="1" customWidth="1"/>
    <col min="20" max="20" width="14" bestFit="1" customWidth="1"/>
    <col min="21" max="21" width="31.26953125" bestFit="1" customWidth="1"/>
    <col min="22" max="22" width="26.7265625" bestFit="1" customWidth="1"/>
    <col min="23" max="23" width="15.7265625" bestFit="1" customWidth="1"/>
    <col min="24" max="24" width="16.6328125" bestFit="1" customWidth="1"/>
    <col min="25" max="25" width="12.81640625" bestFit="1" customWidth="1"/>
    <col min="26" max="26" width="25.6328125" bestFit="1" customWidth="1"/>
    <col min="27" max="27" width="19.7265625" bestFit="1" customWidth="1"/>
    <col min="28" max="28" width="13.36328125" bestFit="1" customWidth="1"/>
    <col min="29" max="29" width="27.90625" bestFit="1" customWidth="1"/>
    <col min="30" max="30" width="23.6328125" bestFit="1" customWidth="1"/>
    <col min="31" max="31" width="80.7265625" bestFit="1" customWidth="1"/>
  </cols>
  <sheetData>
    <row r="1" spans="1:31">
      <c r="A1" t="s">
        <v>1</v>
      </c>
      <c r="B1" t="s">
        <v>17</v>
      </c>
      <c r="C1" t="s">
        <v>2</v>
      </c>
      <c r="D1" t="s">
        <v>18</v>
      </c>
      <c r="E1" t="s">
        <v>19</v>
      </c>
      <c r="F1" t="s">
        <v>20</v>
      </c>
      <c r="G1" t="s">
        <v>21</v>
      </c>
      <c r="H1" t="s">
        <v>22</v>
      </c>
      <c r="I1" t="s">
        <v>3</v>
      </c>
      <c r="J1" t="s">
        <v>23</v>
      </c>
      <c r="K1" t="s">
        <v>24</v>
      </c>
      <c r="L1" t="s">
        <v>336</v>
      </c>
      <c r="M1" t="s">
        <v>9</v>
      </c>
      <c r="N1" t="s">
        <v>26</v>
      </c>
      <c r="O1" t="s">
        <v>27</v>
      </c>
      <c r="P1" t="s">
        <v>12</v>
      </c>
      <c r="Q1" t="s">
        <v>28</v>
      </c>
      <c r="R1" t="s">
        <v>13</v>
      </c>
      <c r="S1" t="s">
        <v>11</v>
      </c>
      <c r="T1" t="s">
        <v>29</v>
      </c>
      <c r="U1" t="s">
        <v>30</v>
      </c>
      <c r="V1" t="s">
        <v>435</v>
      </c>
      <c r="W1" t="s">
        <v>337</v>
      </c>
      <c r="X1" t="s">
        <v>31</v>
      </c>
      <c r="Y1" t="s">
        <v>32</v>
      </c>
      <c r="Z1" t="s">
        <v>33</v>
      </c>
      <c r="AA1" t="s">
        <v>25</v>
      </c>
      <c r="AB1" t="s">
        <v>415</v>
      </c>
      <c r="AC1" t="s">
        <v>14</v>
      </c>
      <c r="AD1" t="s">
        <v>15</v>
      </c>
      <c r="AE1" t="s">
        <v>34</v>
      </c>
    </row>
    <row r="2" spans="1:31">
      <c r="A2" s="3">
        <v>43944.502951388888</v>
      </c>
      <c r="B2" s="3">
        <v>43943.53125</v>
      </c>
      <c r="C2" t="s">
        <v>16</v>
      </c>
      <c r="D2" t="s">
        <v>35</v>
      </c>
      <c r="E2" t="s">
        <v>36</v>
      </c>
      <c r="F2">
        <v>1</v>
      </c>
      <c r="G2">
        <v>47.409660000000002</v>
      </c>
      <c r="H2">
        <v>8.1568799999999992</v>
      </c>
      <c r="J2">
        <v>1026</v>
      </c>
      <c r="K2">
        <v>1026</v>
      </c>
      <c r="L2">
        <v>-6</v>
      </c>
      <c r="M2">
        <v>37</v>
      </c>
      <c r="N2">
        <v>152.91</v>
      </c>
      <c r="O2">
        <v>4.62</v>
      </c>
      <c r="P2">
        <v>710</v>
      </c>
      <c r="Q2">
        <v>0</v>
      </c>
      <c r="R2">
        <v>31</v>
      </c>
      <c r="S2">
        <v>15</v>
      </c>
      <c r="T2">
        <v>15</v>
      </c>
      <c r="W2" t="s">
        <v>37</v>
      </c>
      <c r="X2" t="s">
        <v>37</v>
      </c>
      <c r="Z2" t="s">
        <v>37</v>
      </c>
      <c r="AA2">
        <v>9</v>
      </c>
      <c r="AB2">
        <v>2</v>
      </c>
      <c r="AC2">
        <v>52.124369999999999</v>
      </c>
      <c r="AD2">
        <v>13.541555000000001</v>
      </c>
      <c r="AE2" t="s">
        <v>491</v>
      </c>
    </row>
    <row r="3" spans="1:31">
      <c r="A3" s="3">
        <v>43944.502951388888</v>
      </c>
      <c r="B3" s="3">
        <v>43944.375</v>
      </c>
      <c r="C3" t="s">
        <v>16</v>
      </c>
      <c r="D3" t="s">
        <v>39</v>
      </c>
      <c r="E3" t="s">
        <v>40</v>
      </c>
      <c r="F3">
        <v>16</v>
      </c>
      <c r="G3">
        <v>47.317264000000002</v>
      </c>
      <c r="H3">
        <v>9.4167539999999992</v>
      </c>
      <c r="J3">
        <v>25</v>
      </c>
      <c r="K3">
        <v>25</v>
      </c>
      <c r="L3">
        <v>0</v>
      </c>
      <c r="M3">
        <v>1</v>
      </c>
      <c r="N3">
        <v>155.28</v>
      </c>
      <c r="Q3">
        <v>0</v>
      </c>
      <c r="W3" t="s">
        <v>37</v>
      </c>
      <c r="X3" t="s">
        <v>37</v>
      </c>
      <c r="Z3" t="s">
        <v>37</v>
      </c>
      <c r="AA3">
        <v>1</v>
      </c>
      <c r="AC3">
        <v>84.898740000000004</v>
      </c>
      <c r="AD3">
        <v>0</v>
      </c>
      <c r="AE3" t="s">
        <v>41</v>
      </c>
    </row>
    <row r="4" spans="1:31">
      <c r="A4" s="3">
        <v>43944.502951388888</v>
      </c>
      <c r="B4" s="3">
        <v>43944.25</v>
      </c>
      <c r="C4" t="s">
        <v>16</v>
      </c>
      <c r="D4" t="s">
        <v>42</v>
      </c>
      <c r="E4" t="s">
        <v>43</v>
      </c>
      <c r="F4">
        <v>15</v>
      </c>
      <c r="G4">
        <v>47.416351999999996</v>
      </c>
      <c r="H4">
        <v>9.3679100000000002</v>
      </c>
      <c r="J4">
        <v>88</v>
      </c>
      <c r="K4">
        <v>88</v>
      </c>
      <c r="L4">
        <v>0</v>
      </c>
      <c r="M4">
        <v>6</v>
      </c>
      <c r="N4">
        <v>159.41999999999999</v>
      </c>
      <c r="O4">
        <v>5.4349999999999996</v>
      </c>
      <c r="Q4">
        <v>0</v>
      </c>
      <c r="R4">
        <v>3</v>
      </c>
      <c r="W4" t="s">
        <v>37</v>
      </c>
      <c r="X4" t="s">
        <v>37</v>
      </c>
      <c r="Z4" t="s">
        <v>37</v>
      </c>
      <c r="AA4">
        <v>1</v>
      </c>
      <c r="AB4">
        <v>0</v>
      </c>
      <c r="AC4">
        <v>32.123173999999999</v>
      </c>
      <c r="AE4" t="s">
        <v>44</v>
      </c>
    </row>
    <row r="5" spans="1:31">
      <c r="A5" s="3">
        <v>43944.502951388888</v>
      </c>
      <c r="B5" s="3">
        <v>43944.25</v>
      </c>
      <c r="C5" t="s">
        <v>16</v>
      </c>
      <c r="D5" t="s">
        <v>45</v>
      </c>
      <c r="E5" t="s">
        <v>46</v>
      </c>
      <c r="F5">
        <v>2</v>
      </c>
      <c r="G5">
        <v>46.823608</v>
      </c>
      <c r="H5">
        <v>7.6366670000000001</v>
      </c>
      <c r="J5">
        <v>1670</v>
      </c>
      <c r="K5">
        <v>1670</v>
      </c>
      <c r="L5">
        <v>-1</v>
      </c>
      <c r="M5">
        <v>66</v>
      </c>
      <c r="N5">
        <v>161.96</v>
      </c>
      <c r="O5">
        <v>7.6619999999999999</v>
      </c>
      <c r="Q5">
        <v>0</v>
      </c>
      <c r="R5">
        <v>79</v>
      </c>
      <c r="S5">
        <v>11</v>
      </c>
      <c r="T5">
        <v>7</v>
      </c>
      <c r="W5" t="s">
        <v>37</v>
      </c>
      <c r="X5" t="s">
        <v>37</v>
      </c>
      <c r="Z5" t="s">
        <v>37</v>
      </c>
      <c r="AA5">
        <v>27</v>
      </c>
      <c r="AB5">
        <v>2</v>
      </c>
      <c r="AC5">
        <v>67.154358000000002</v>
      </c>
      <c r="AD5">
        <v>25.607368999999998</v>
      </c>
      <c r="AE5" t="s">
        <v>47</v>
      </c>
    </row>
    <row r="6" spans="1:31">
      <c r="A6" s="3">
        <v>43944.502951388888</v>
      </c>
      <c r="B6" s="3">
        <v>43943.041666666664</v>
      </c>
      <c r="C6" t="s">
        <v>16</v>
      </c>
      <c r="D6" t="s">
        <v>48</v>
      </c>
      <c r="E6" t="s">
        <v>49</v>
      </c>
      <c r="F6">
        <v>13</v>
      </c>
      <c r="G6">
        <v>47.45176</v>
      </c>
      <c r="H6">
        <v>7.7024140000000001</v>
      </c>
      <c r="J6">
        <v>811</v>
      </c>
      <c r="K6">
        <v>811</v>
      </c>
      <c r="L6">
        <v>0</v>
      </c>
      <c r="M6">
        <v>33</v>
      </c>
      <c r="N6">
        <v>282.58</v>
      </c>
      <c r="O6">
        <v>9.0589999999999993</v>
      </c>
      <c r="P6">
        <v>683</v>
      </c>
      <c r="Q6">
        <v>0</v>
      </c>
      <c r="R6">
        <v>26</v>
      </c>
      <c r="S6">
        <v>3</v>
      </c>
      <c r="T6">
        <v>3</v>
      </c>
      <c r="W6" t="s">
        <v>37</v>
      </c>
      <c r="X6" t="s">
        <v>37</v>
      </c>
      <c r="Z6" t="s">
        <v>37</v>
      </c>
      <c r="AA6">
        <v>2</v>
      </c>
      <c r="AB6">
        <v>0</v>
      </c>
      <c r="AC6">
        <v>163.597003</v>
      </c>
      <c r="AD6">
        <v>88.364937999999995</v>
      </c>
      <c r="AE6" t="s">
        <v>50</v>
      </c>
    </row>
    <row r="7" spans="1:31">
      <c r="A7" s="3">
        <v>43944.502951388888</v>
      </c>
      <c r="B7" s="3">
        <v>43943.322916666664</v>
      </c>
      <c r="C7" t="s">
        <v>16</v>
      </c>
      <c r="D7" t="s">
        <v>51</v>
      </c>
      <c r="E7" t="s">
        <v>52</v>
      </c>
      <c r="F7">
        <v>12</v>
      </c>
      <c r="G7">
        <v>47.564869000000002</v>
      </c>
      <c r="H7">
        <v>7.615259</v>
      </c>
      <c r="I7">
        <v>235</v>
      </c>
      <c r="J7">
        <v>933</v>
      </c>
      <c r="K7">
        <v>933</v>
      </c>
      <c r="L7">
        <v>-5</v>
      </c>
      <c r="M7">
        <v>49</v>
      </c>
      <c r="N7">
        <v>481.18</v>
      </c>
      <c r="O7">
        <v>23.207999999999998</v>
      </c>
      <c r="P7">
        <v>786</v>
      </c>
      <c r="Q7">
        <v>0</v>
      </c>
      <c r="R7">
        <v>45</v>
      </c>
      <c r="S7">
        <v>7</v>
      </c>
      <c r="U7">
        <v>511</v>
      </c>
      <c r="V7">
        <v>16</v>
      </c>
      <c r="W7" t="s">
        <v>37</v>
      </c>
      <c r="X7" t="s">
        <v>37</v>
      </c>
      <c r="Z7" t="s">
        <v>37</v>
      </c>
      <c r="AA7">
        <v>0</v>
      </c>
      <c r="AB7">
        <v>1</v>
      </c>
      <c r="AC7">
        <v>321.61718000000002</v>
      </c>
      <c r="AD7">
        <v>17.705399</v>
      </c>
      <c r="AE7" t="s">
        <v>490</v>
      </c>
    </row>
    <row r="8" spans="1:31">
      <c r="A8" s="3">
        <v>43944.502951388888</v>
      </c>
      <c r="B8" s="3">
        <v>43943.041666666664</v>
      </c>
      <c r="C8" t="s">
        <v>16</v>
      </c>
      <c r="D8" t="s">
        <v>54</v>
      </c>
      <c r="E8" t="s">
        <v>55</v>
      </c>
      <c r="F8">
        <v>0</v>
      </c>
      <c r="G8">
        <v>47.166666999999997</v>
      </c>
      <c r="H8">
        <v>9.509722</v>
      </c>
      <c r="I8">
        <v>900</v>
      </c>
      <c r="J8">
        <v>81</v>
      </c>
      <c r="K8">
        <v>81</v>
      </c>
      <c r="N8">
        <v>209.84</v>
      </c>
      <c r="O8">
        <v>2.5910000000000002</v>
      </c>
      <c r="P8">
        <v>1</v>
      </c>
      <c r="Q8">
        <v>0</v>
      </c>
      <c r="R8">
        <v>1</v>
      </c>
      <c r="W8" t="s">
        <v>37</v>
      </c>
      <c r="X8" t="s">
        <v>37</v>
      </c>
      <c r="Z8" t="s">
        <v>37</v>
      </c>
      <c r="AA8">
        <v>0</v>
      </c>
      <c r="AB8">
        <v>0</v>
      </c>
      <c r="AE8" t="s">
        <v>492</v>
      </c>
    </row>
    <row r="9" spans="1:31">
      <c r="A9" s="3">
        <v>43944.502951388888</v>
      </c>
      <c r="B9" s="3">
        <v>43944.041666666664</v>
      </c>
      <c r="C9" t="s">
        <v>16</v>
      </c>
      <c r="D9" t="s">
        <v>57</v>
      </c>
      <c r="E9" t="s">
        <v>58</v>
      </c>
      <c r="F9">
        <v>10</v>
      </c>
      <c r="G9">
        <v>46.718390999999997</v>
      </c>
      <c r="H9">
        <v>7.0740080000000001</v>
      </c>
      <c r="I9">
        <v>30</v>
      </c>
      <c r="J9">
        <v>1014</v>
      </c>
      <c r="K9">
        <v>1014</v>
      </c>
      <c r="L9">
        <v>0</v>
      </c>
      <c r="M9">
        <v>57</v>
      </c>
      <c r="N9">
        <v>321.8</v>
      </c>
      <c r="O9">
        <v>24.119</v>
      </c>
      <c r="P9">
        <v>118</v>
      </c>
      <c r="Q9">
        <v>0</v>
      </c>
      <c r="R9">
        <v>76</v>
      </c>
      <c r="S9">
        <v>5</v>
      </c>
      <c r="W9" t="s">
        <v>37</v>
      </c>
      <c r="X9" t="s">
        <v>37</v>
      </c>
      <c r="Z9" t="s">
        <v>37</v>
      </c>
      <c r="AA9">
        <v>8</v>
      </c>
      <c r="AB9">
        <v>0</v>
      </c>
      <c r="AC9">
        <v>58.840746000000003</v>
      </c>
      <c r="AD9">
        <v>35.867218999999999</v>
      </c>
      <c r="AE9" t="s">
        <v>59</v>
      </c>
    </row>
    <row r="10" spans="1:31">
      <c r="A10" s="3">
        <v>43944.502951388888</v>
      </c>
      <c r="B10" s="3">
        <v>43943.416666666664</v>
      </c>
      <c r="C10" t="s">
        <v>16</v>
      </c>
      <c r="D10" t="s">
        <v>60</v>
      </c>
      <c r="E10" t="s">
        <v>61</v>
      </c>
      <c r="F10">
        <v>25</v>
      </c>
      <c r="G10">
        <v>46.220528000000002</v>
      </c>
      <c r="H10">
        <v>6.1329349999999998</v>
      </c>
      <c r="I10">
        <v>22735</v>
      </c>
      <c r="J10">
        <v>4710</v>
      </c>
      <c r="K10">
        <v>4710</v>
      </c>
      <c r="L10">
        <v>-16</v>
      </c>
      <c r="M10">
        <v>288</v>
      </c>
      <c r="N10">
        <v>951.13</v>
      </c>
      <c r="O10">
        <v>41.396999999999998</v>
      </c>
      <c r="P10">
        <v>589</v>
      </c>
      <c r="Q10">
        <v>0</v>
      </c>
      <c r="R10">
        <v>205</v>
      </c>
      <c r="S10">
        <v>30</v>
      </c>
      <c r="T10">
        <v>27</v>
      </c>
      <c r="W10" t="s">
        <v>37</v>
      </c>
      <c r="X10" t="s">
        <v>37</v>
      </c>
      <c r="Y10">
        <v>18</v>
      </c>
      <c r="Z10" t="s">
        <v>37</v>
      </c>
      <c r="AA10">
        <v>0</v>
      </c>
      <c r="AB10">
        <v>0</v>
      </c>
      <c r="AC10">
        <v>153.72363100000001</v>
      </c>
      <c r="AD10">
        <v>77.195927999999995</v>
      </c>
      <c r="AE10" t="s">
        <v>62</v>
      </c>
    </row>
    <row r="11" spans="1:31">
      <c r="A11" s="3">
        <v>43944.502951388888</v>
      </c>
      <c r="B11" s="3">
        <v>43944.479166666664</v>
      </c>
      <c r="C11" t="s">
        <v>16</v>
      </c>
      <c r="D11" t="s">
        <v>63</v>
      </c>
      <c r="E11" t="s">
        <v>64</v>
      </c>
      <c r="F11">
        <v>8</v>
      </c>
      <c r="G11">
        <v>46.931042000000005</v>
      </c>
      <c r="H11">
        <v>9.0657510000000006</v>
      </c>
      <c r="J11">
        <v>117</v>
      </c>
      <c r="K11">
        <v>117</v>
      </c>
      <c r="L11">
        <v>0</v>
      </c>
      <c r="M11">
        <v>3</v>
      </c>
      <c r="N11">
        <v>290.32</v>
      </c>
      <c r="O11">
        <v>14.888</v>
      </c>
      <c r="Q11">
        <v>0</v>
      </c>
      <c r="R11">
        <v>6</v>
      </c>
      <c r="W11" t="s">
        <v>37</v>
      </c>
      <c r="X11" t="s">
        <v>37</v>
      </c>
      <c r="Z11" t="s">
        <v>37</v>
      </c>
      <c r="AA11">
        <v>0</v>
      </c>
      <c r="AB11">
        <v>0</v>
      </c>
      <c r="AC11">
        <v>35.101447999999998</v>
      </c>
      <c r="AD11">
        <v>5</v>
      </c>
      <c r="AE11" t="s">
        <v>65</v>
      </c>
    </row>
    <row r="12" spans="1:31">
      <c r="A12" s="3">
        <v>43944.502951388888</v>
      </c>
      <c r="B12" s="3">
        <v>43943.041666666664</v>
      </c>
      <c r="C12" t="s">
        <v>16</v>
      </c>
      <c r="D12" t="s">
        <v>66</v>
      </c>
      <c r="E12" t="s">
        <v>67</v>
      </c>
      <c r="F12">
        <v>1</v>
      </c>
      <c r="G12">
        <v>46.656247999999998</v>
      </c>
      <c r="H12">
        <v>9.6281979999999994</v>
      </c>
      <c r="J12">
        <v>788</v>
      </c>
      <c r="K12">
        <v>788</v>
      </c>
      <c r="L12">
        <v>-1</v>
      </c>
      <c r="M12">
        <v>26</v>
      </c>
      <c r="N12">
        <v>398.18</v>
      </c>
      <c r="O12">
        <v>21.728000000000002</v>
      </c>
      <c r="Q12">
        <v>0</v>
      </c>
      <c r="R12">
        <v>43</v>
      </c>
      <c r="W12" t="s">
        <v>37</v>
      </c>
      <c r="X12" t="s">
        <v>37</v>
      </c>
      <c r="Z12" t="s">
        <v>37</v>
      </c>
      <c r="AA12">
        <v>6</v>
      </c>
      <c r="AB12">
        <v>1</v>
      </c>
      <c r="AC12">
        <v>63.275120999999999</v>
      </c>
      <c r="AD12">
        <v>28.036769</v>
      </c>
      <c r="AE12" t="s">
        <v>68</v>
      </c>
    </row>
    <row r="13" spans="1:31">
      <c r="A13" s="3">
        <v>43944.502951388888</v>
      </c>
      <c r="B13" s="3">
        <v>43943.583333333336</v>
      </c>
      <c r="C13" t="s">
        <v>16</v>
      </c>
      <c r="D13" t="s">
        <v>69</v>
      </c>
      <c r="E13" t="s">
        <v>70</v>
      </c>
      <c r="F13">
        <v>26</v>
      </c>
      <c r="G13">
        <v>47.350743999999999</v>
      </c>
      <c r="H13">
        <v>7.1561070000000004</v>
      </c>
      <c r="J13">
        <v>196</v>
      </c>
      <c r="K13">
        <v>196</v>
      </c>
      <c r="L13">
        <v>0</v>
      </c>
      <c r="M13">
        <v>12</v>
      </c>
      <c r="N13">
        <v>267.39</v>
      </c>
      <c r="O13">
        <v>8.1859999999999999</v>
      </c>
      <c r="Q13">
        <v>0</v>
      </c>
      <c r="R13">
        <v>6</v>
      </c>
      <c r="S13">
        <v>4</v>
      </c>
      <c r="W13" t="s">
        <v>37</v>
      </c>
      <c r="X13" t="s">
        <v>37</v>
      </c>
      <c r="Z13" t="s">
        <v>37</v>
      </c>
      <c r="AA13">
        <v>1</v>
      </c>
      <c r="AB13">
        <v>0</v>
      </c>
      <c r="AC13">
        <v>134.11651599999999</v>
      </c>
      <c r="AD13">
        <v>5</v>
      </c>
      <c r="AE13" t="s">
        <v>280</v>
      </c>
    </row>
    <row r="14" spans="1:31">
      <c r="A14" s="3">
        <v>43944.502951388888</v>
      </c>
      <c r="B14" s="3">
        <v>43944.375</v>
      </c>
      <c r="C14" t="s">
        <v>16</v>
      </c>
      <c r="D14" t="s">
        <v>71</v>
      </c>
      <c r="E14" t="s">
        <v>72</v>
      </c>
      <c r="F14">
        <v>3</v>
      </c>
      <c r="G14">
        <v>47.067762999999999</v>
      </c>
      <c r="H14">
        <v>8.1102000000000007</v>
      </c>
      <c r="J14">
        <v>654</v>
      </c>
      <c r="K14">
        <v>654</v>
      </c>
      <c r="L14">
        <v>0</v>
      </c>
      <c r="M14">
        <v>35</v>
      </c>
      <c r="N14">
        <v>160.88999999999999</v>
      </c>
      <c r="O14">
        <v>3.69</v>
      </c>
      <c r="Q14">
        <v>0</v>
      </c>
      <c r="R14">
        <v>15</v>
      </c>
      <c r="S14">
        <v>5</v>
      </c>
      <c r="W14" t="s">
        <v>37</v>
      </c>
      <c r="X14" t="s">
        <v>37</v>
      </c>
      <c r="Z14" t="s">
        <v>37</v>
      </c>
      <c r="AA14">
        <v>6</v>
      </c>
      <c r="AB14">
        <v>0</v>
      </c>
      <c r="AC14">
        <v>71.368955</v>
      </c>
      <c r="AE14" t="s">
        <v>73</v>
      </c>
    </row>
    <row r="15" spans="1:31">
      <c r="A15" s="3">
        <v>43944.502951388888</v>
      </c>
      <c r="B15" s="3">
        <v>43943.583333333336</v>
      </c>
      <c r="C15" t="s">
        <v>16</v>
      </c>
      <c r="D15" t="s">
        <v>74</v>
      </c>
      <c r="E15" t="s">
        <v>75</v>
      </c>
      <c r="F15">
        <v>24</v>
      </c>
      <c r="G15">
        <v>46.995533999999999</v>
      </c>
      <c r="H15">
        <v>6.7801260000000001</v>
      </c>
      <c r="J15">
        <v>652</v>
      </c>
      <c r="K15">
        <v>652</v>
      </c>
      <c r="L15">
        <v>0</v>
      </c>
      <c r="M15">
        <v>37</v>
      </c>
      <c r="N15">
        <v>366.29</v>
      </c>
      <c r="O15">
        <v>31.460999999999999</v>
      </c>
      <c r="Q15">
        <v>0</v>
      </c>
      <c r="R15">
        <v>56</v>
      </c>
      <c r="S15">
        <v>6</v>
      </c>
      <c r="T15">
        <v>4</v>
      </c>
      <c r="W15" t="s">
        <v>37</v>
      </c>
      <c r="X15" t="s">
        <v>37</v>
      </c>
      <c r="Z15" t="s">
        <v>37</v>
      </c>
      <c r="AA15">
        <v>0</v>
      </c>
      <c r="AB15">
        <v>0</v>
      </c>
      <c r="AC15">
        <v>148.90439699999999</v>
      </c>
      <c r="AD15">
        <v>192.34313900000001</v>
      </c>
      <c r="AE15" t="s">
        <v>493</v>
      </c>
    </row>
    <row r="16" spans="1:31">
      <c r="A16" s="3">
        <v>43944.502951388888</v>
      </c>
      <c r="B16" s="3">
        <v>43942.041666666664</v>
      </c>
      <c r="C16" t="s">
        <v>16</v>
      </c>
      <c r="D16" t="s">
        <v>77</v>
      </c>
      <c r="E16" t="s">
        <v>78</v>
      </c>
      <c r="F16">
        <v>7</v>
      </c>
      <c r="G16">
        <v>46.926755</v>
      </c>
      <c r="H16">
        <v>8.4053020000000007</v>
      </c>
      <c r="J16">
        <v>108</v>
      </c>
      <c r="K16">
        <v>108</v>
      </c>
      <c r="L16">
        <v>0</v>
      </c>
      <c r="M16">
        <v>4</v>
      </c>
      <c r="N16">
        <v>251.16</v>
      </c>
      <c r="O16">
        <v>6.9770000000000003</v>
      </c>
      <c r="Q16">
        <v>0</v>
      </c>
      <c r="R16">
        <v>3</v>
      </c>
      <c r="S16">
        <v>1</v>
      </c>
      <c r="W16" t="s">
        <v>37</v>
      </c>
      <c r="X16" t="s">
        <v>37</v>
      </c>
      <c r="Z16" t="s">
        <v>37</v>
      </c>
      <c r="AA16">
        <v>0</v>
      </c>
      <c r="AB16">
        <v>0</v>
      </c>
      <c r="AC16">
        <v>185.411472</v>
      </c>
      <c r="AD16">
        <v>8.5475560000000002</v>
      </c>
      <c r="AE16" t="s">
        <v>463</v>
      </c>
    </row>
    <row r="17" spans="1:31">
      <c r="A17" s="3">
        <v>43944.502951388888</v>
      </c>
      <c r="B17" s="3">
        <v>43944.458333333336</v>
      </c>
      <c r="C17" t="s">
        <v>16</v>
      </c>
      <c r="D17" t="s">
        <v>80</v>
      </c>
      <c r="E17" t="s">
        <v>81</v>
      </c>
      <c r="F17">
        <v>6</v>
      </c>
      <c r="G17">
        <v>46.804527</v>
      </c>
      <c r="H17">
        <v>8.1443170000000009</v>
      </c>
      <c r="I17">
        <v>6</v>
      </c>
      <c r="J17">
        <v>68</v>
      </c>
      <c r="K17">
        <v>68</v>
      </c>
      <c r="L17">
        <v>0</v>
      </c>
      <c r="M17">
        <v>0</v>
      </c>
      <c r="N17">
        <v>180.85</v>
      </c>
      <c r="O17">
        <v>0</v>
      </c>
      <c r="P17">
        <v>1</v>
      </c>
      <c r="Q17">
        <v>0</v>
      </c>
      <c r="R17">
        <v>0</v>
      </c>
      <c r="W17" t="s">
        <v>37</v>
      </c>
      <c r="X17" t="s">
        <v>37</v>
      </c>
      <c r="Z17" t="s">
        <v>37</v>
      </c>
      <c r="AA17">
        <v>1</v>
      </c>
      <c r="AB17">
        <v>0</v>
      </c>
      <c r="AC17">
        <v>76.810782000000003</v>
      </c>
      <c r="AD17">
        <v>0</v>
      </c>
      <c r="AE17" t="s">
        <v>82</v>
      </c>
    </row>
    <row r="18" spans="1:31">
      <c r="A18" s="3">
        <v>43944.502951388888</v>
      </c>
      <c r="B18" s="3">
        <v>43944.041666666664</v>
      </c>
      <c r="C18" t="s">
        <v>16</v>
      </c>
      <c r="D18" t="s">
        <v>83</v>
      </c>
      <c r="E18" t="s">
        <v>84</v>
      </c>
      <c r="F18">
        <v>17</v>
      </c>
      <c r="G18">
        <v>47.183199999999999</v>
      </c>
      <c r="H18">
        <v>9.2747440000000001</v>
      </c>
      <c r="J18">
        <v>736</v>
      </c>
      <c r="K18">
        <v>736</v>
      </c>
      <c r="L18">
        <v>-9</v>
      </c>
      <c r="M18">
        <v>43</v>
      </c>
      <c r="N18">
        <v>145.83000000000001</v>
      </c>
      <c r="O18">
        <v>6.1420000000000003</v>
      </c>
      <c r="P18">
        <v>167</v>
      </c>
      <c r="Q18">
        <v>0</v>
      </c>
      <c r="R18">
        <v>31</v>
      </c>
      <c r="S18">
        <v>4</v>
      </c>
      <c r="W18" t="s">
        <v>37</v>
      </c>
      <c r="X18" t="s">
        <v>37</v>
      </c>
      <c r="Z18" t="s">
        <v>37</v>
      </c>
      <c r="AA18">
        <v>12</v>
      </c>
      <c r="AB18">
        <v>2</v>
      </c>
      <c r="AC18">
        <v>67.192279999999997</v>
      </c>
      <c r="AD18">
        <v>25.086698999999999</v>
      </c>
      <c r="AE18" t="s">
        <v>85</v>
      </c>
    </row>
    <row r="19" spans="1:31">
      <c r="A19" s="3">
        <v>43944.502951388888</v>
      </c>
      <c r="B19" s="3">
        <v>43944.3125</v>
      </c>
      <c r="C19" t="s">
        <v>16</v>
      </c>
      <c r="D19" t="s">
        <v>86</v>
      </c>
      <c r="E19" t="s">
        <v>87</v>
      </c>
      <c r="F19">
        <v>14</v>
      </c>
      <c r="G19">
        <v>47.713569999999997</v>
      </c>
      <c r="H19">
        <v>8.5916700000000006</v>
      </c>
      <c r="J19">
        <v>65</v>
      </c>
      <c r="K19">
        <v>65</v>
      </c>
      <c r="L19">
        <v>-2</v>
      </c>
      <c r="M19">
        <v>8</v>
      </c>
      <c r="N19">
        <v>79.849999999999994</v>
      </c>
      <c r="O19">
        <v>3.6859999999999999</v>
      </c>
      <c r="Q19">
        <v>0</v>
      </c>
      <c r="R19">
        <v>3</v>
      </c>
      <c r="S19">
        <v>2</v>
      </c>
      <c r="W19" t="s">
        <v>37</v>
      </c>
      <c r="X19" t="s">
        <v>37</v>
      </c>
      <c r="Z19" t="s">
        <v>37</v>
      </c>
      <c r="AA19">
        <v>2</v>
      </c>
      <c r="AB19">
        <v>0</v>
      </c>
      <c r="AC19">
        <v>54.566997999999998</v>
      </c>
      <c r="AD19">
        <v>3.154649</v>
      </c>
      <c r="AE19" t="s">
        <v>88</v>
      </c>
    </row>
    <row r="20" spans="1:31">
      <c r="A20" s="3">
        <v>43944.502951388888</v>
      </c>
      <c r="B20" s="3">
        <v>43944.041666666664</v>
      </c>
      <c r="C20" t="s">
        <v>16</v>
      </c>
      <c r="D20" t="s">
        <v>89</v>
      </c>
      <c r="E20" t="s">
        <v>90</v>
      </c>
      <c r="F20">
        <v>11</v>
      </c>
      <c r="G20">
        <v>47.304135000000002</v>
      </c>
      <c r="H20">
        <v>7.6393880000000003</v>
      </c>
      <c r="J20">
        <v>375</v>
      </c>
      <c r="K20">
        <v>375</v>
      </c>
      <c r="L20">
        <v>-3</v>
      </c>
      <c r="M20">
        <v>15</v>
      </c>
      <c r="N20">
        <v>138.16999999999999</v>
      </c>
      <c r="O20">
        <v>4.4219999999999997</v>
      </c>
      <c r="Q20">
        <v>0</v>
      </c>
      <c r="R20">
        <v>12</v>
      </c>
      <c r="W20" t="s">
        <v>37</v>
      </c>
      <c r="X20" t="s">
        <v>37</v>
      </c>
      <c r="Z20" t="s">
        <v>37</v>
      </c>
      <c r="AA20">
        <v>7</v>
      </c>
      <c r="AB20">
        <v>1</v>
      </c>
      <c r="AC20">
        <v>57.324716000000002</v>
      </c>
      <c r="AD20">
        <v>19.00892</v>
      </c>
      <c r="AE20" t="s">
        <v>91</v>
      </c>
    </row>
    <row r="21" spans="1:31">
      <c r="A21" s="3">
        <v>43944.502951388888</v>
      </c>
      <c r="B21" s="3">
        <v>43944.263888888891</v>
      </c>
      <c r="C21" t="s">
        <v>16</v>
      </c>
      <c r="D21" t="s">
        <v>92</v>
      </c>
      <c r="E21" t="s">
        <v>93</v>
      </c>
      <c r="F21">
        <v>5</v>
      </c>
      <c r="G21">
        <v>47.061787000000002</v>
      </c>
      <c r="H21">
        <v>8.7565849999999994</v>
      </c>
      <c r="I21">
        <v>10</v>
      </c>
      <c r="J21">
        <v>282</v>
      </c>
      <c r="K21">
        <v>282</v>
      </c>
      <c r="L21">
        <v>0</v>
      </c>
      <c r="M21">
        <v>1</v>
      </c>
      <c r="N21">
        <v>179.28</v>
      </c>
      <c r="O21">
        <v>10.172000000000001</v>
      </c>
      <c r="P21">
        <v>198</v>
      </c>
      <c r="Q21">
        <v>0</v>
      </c>
      <c r="R21">
        <v>16</v>
      </c>
      <c r="W21" t="s">
        <v>37</v>
      </c>
      <c r="X21" t="s">
        <v>37</v>
      </c>
      <c r="Z21" t="s">
        <v>37</v>
      </c>
      <c r="AA21">
        <v>0</v>
      </c>
      <c r="AB21">
        <v>0</v>
      </c>
      <c r="AC21">
        <v>59.333858999999997</v>
      </c>
      <c r="AD21">
        <v>25.954464999999999</v>
      </c>
      <c r="AE21" t="s">
        <v>497</v>
      </c>
    </row>
    <row r="22" spans="1:31">
      <c r="A22" s="3">
        <v>43944.502951388888</v>
      </c>
      <c r="B22" s="3">
        <v>43944.041666666664</v>
      </c>
      <c r="C22" t="s">
        <v>16</v>
      </c>
      <c r="D22" t="s">
        <v>95</v>
      </c>
      <c r="E22" t="s">
        <v>96</v>
      </c>
      <c r="F22">
        <v>1</v>
      </c>
      <c r="G22">
        <v>47.568714999999997</v>
      </c>
      <c r="H22">
        <v>9.0919570000000007</v>
      </c>
      <c r="I22">
        <v>276</v>
      </c>
      <c r="J22">
        <v>353</v>
      </c>
      <c r="K22">
        <v>353</v>
      </c>
      <c r="L22">
        <v>-2</v>
      </c>
      <c r="M22">
        <v>21</v>
      </c>
      <c r="N22">
        <v>128.93</v>
      </c>
      <c r="O22">
        <v>5.1130000000000004</v>
      </c>
      <c r="Q22">
        <v>0</v>
      </c>
      <c r="R22">
        <v>14</v>
      </c>
      <c r="S22">
        <v>9</v>
      </c>
      <c r="W22" t="s">
        <v>37</v>
      </c>
      <c r="X22" t="s">
        <v>37</v>
      </c>
      <c r="Z22" t="s">
        <v>37</v>
      </c>
      <c r="AA22">
        <v>13</v>
      </c>
      <c r="AB22">
        <v>0</v>
      </c>
      <c r="AC22">
        <v>56.506790000000002</v>
      </c>
      <c r="AD22">
        <v>46.766033</v>
      </c>
      <c r="AE22" t="s">
        <v>97</v>
      </c>
    </row>
    <row r="23" spans="1:31">
      <c r="A23" s="3">
        <v>43944.502951388888</v>
      </c>
      <c r="B23" s="3">
        <v>43944.25</v>
      </c>
      <c r="C23" t="s">
        <v>16</v>
      </c>
      <c r="D23" t="s">
        <v>98</v>
      </c>
      <c r="E23" t="s">
        <v>99</v>
      </c>
      <c r="F23">
        <v>21</v>
      </c>
      <c r="G23">
        <v>46.295617</v>
      </c>
      <c r="H23">
        <v>8.8089239999999993</v>
      </c>
      <c r="J23">
        <v>3106</v>
      </c>
      <c r="K23">
        <v>3106</v>
      </c>
      <c r="L23">
        <v>0</v>
      </c>
      <c r="M23">
        <v>213</v>
      </c>
      <c r="N23">
        <v>878.15</v>
      </c>
      <c r="O23">
        <v>84.251999999999995</v>
      </c>
      <c r="P23">
        <v>661</v>
      </c>
      <c r="Q23">
        <v>0</v>
      </c>
      <c r="R23">
        <v>298</v>
      </c>
      <c r="S23">
        <v>42</v>
      </c>
      <c r="T23">
        <v>32</v>
      </c>
      <c r="W23" t="s">
        <v>37</v>
      </c>
      <c r="X23" t="s">
        <v>37</v>
      </c>
      <c r="Z23" t="s">
        <v>37</v>
      </c>
      <c r="AA23">
        <v>17</v>
      </c>
      <c r="AB23">
        <v>3</v>
      </c>
      <c r="AC23">
        <v>94.368808999999999</v>
      </c>
      <c r="AD23">
        <v>47.426471999999997</v>
      </c>
      <c r="AE23" t="s">
        <v>501</v>
      </c>
    </row>
    <row r="24" spans="1:31">
      <c r="A24" s="3">
        <v>43944.502951388888</v>
      </c>
      <c r="B24" s="3">
        <v>43943.541666666664</v>
      </c>
      <c r="C24" t="s">
        <v>16</v>
      </c>
      <c r="D24" t="s">
        <v>101</v>
      </c>
      <c r="E24" t="s">
        <v>102</v>
      </c>
      <c r="F24">
        <v>4</v>
      </c>
      <c r="G24">
        <v>46.771849000000003</v>
      </c>
      <c r="H24">
        <v>8.6285860000000003</v>
      </c>
      <c r="I24">
        <v>85</v>
      </c>
      <c r="J24">
        <v>78</v>
      </c>
      <c r="K24">
        <v>78</v>
      </c>
      <c r="L24">
        <v>1</v>
      </c>
      <c r="M24">
        <v>3</v>
      </c>
      <c r="N24">
        <v>214.88</v>
      </c>
      <c r="O24">
        <v>13.773999999999999</v>
      </c>
      <c r="P24">
        <v>69</v>
      </c>
      <c r="Q24">
        <v>0</v>
      </c>
      <c r="R24">
        <v>5</v>
      </c>
      <c r="W24" t="s">
        <v>37</v>
      </c>
      <c r="X24" t="s">
        <v>37</v>
      </c>
      <c r="Z24" t="s">
        <v>37</v>
      </c>
      <c r="AA24">
        <v>0</v>
      </c>
      <c r="AB24">
        <v>0</v>
      </c>
      <c r="AE24" t="s">
        <v>103</v>
      </c>
    </row>
    <row r="25" spans="1:31">
      <c r="A25" s="3">
        <v>43944.502951388888</v>
      </c>
      <c r="B25" s="3">
        <v>43943.041666666664</v>
      </c>
      <c r="C25" t="s">
        <v>16</v>
      </c>
      <c r="D25" t="s">
        <v>104</v>
      </c>
      <c r="E25" t="s">
        <v>105</v>
      </c>
      <c r="F25">
        <v>22</v>
      </c>
      <c r="G25">
        <v>46.570090999999998</v>
      </c>
      <c r="H25">
        <v>6.5578090000000007</v>
      </c>
      <c r="J25">
        <v>5071</v>
      </c>
      <c r="K25">
        <v>5071</v>
      </c>
      <c r="L25">
        <v>-12</v>
      </c>
      <c r="M25">
        <v>196</v>
      </c>
      <c r="N25">
        <v>639.39</v>
      </c>
      <c r="O25">
        <v>40.851999999999997</v>
      </c>
      <c r="P25">
        <v>225</v>
      </c>
      <c r="Q25">
        <v>0</v>
      </c>
      <c r="R25">
        <v>324</v>
      </c>
      <c r="S25">
        <v>44</v>
      </c>
      <c r="W25" t="s">
        <v>37</v>
      </c>
      <c r="X25" t="s">
        <v>37</v>
      </c>
      <c r="Z25" t="s">
        <v>37</v>
      </c>
      <c r="AA25">
        <v>30</v>
      </c>
      <c r="AB25">
        <v>3</v>
      </c>
      <c r="AC25">
        <v>109.490565</v>
      </c>
      <c r="AD25">
        <v>38.344546999999999</v>
      </c>
      <c r="AE25" t="s">
        <v>106</v>
      </c>
    </row>
    <row r="26" spans="1:31">
      <c r="A26" s="3">
        <v>43944.502951388888</v>
      </c>
      <c r="B26" s="3">
        <v>43943.541666666664</v>
      </c>
      <c r="C26" t="s">
        <v>16</v>
      </c>
      <c r="D26" t="s">
        <v>107</v>
      </c>
      <c r="E26" t="s">
        <v>108</v>
      </c>
      <c r="F26">
        <v>23</v>
      </c>
      <c r="G26">
        <v>46.209567</v>
      </c>
      <c r="H26">
        <v>7.6046589999999998</v>
      </c>
      <c r="J26">
        <v>1792</v>
      </c>
      <c r="K26">
        <v>1792</v>
      </c>
      <c r="L26">
        <v>0</v>
      </c>
      <c r="M26">
        <v>76</v>
      </c>
      <c r="N26">
        <v>524.74</v>
      </c>
      <c r="O26">
        <v>33.381999999999998</v>
      </c>
      <c r="P26">
        <v>210</v>
      </c>
      <c r="Q26">
        <v>0</v>
      </c>
      <c r="R26">
        <v>114</v>
      </c>
      <c r="S26">
        <v>15</v>
      </c>
      <c r="T26">
        <v>11</v>
      </c>
      <c r="W26" t="s">
        <v>37</v>
      </c>
      <c r="X26" t="s">
        <v>37</v>
      </c>
      <c r="Z26" t="s">
        <v>37</v>
      </c>
      <c r="AA26">
        <v>1</v>
      </c>
      <c r="AB26">
        <v>1</v>
      </c>
      <c r="AC26">
        <v>175.70711399999999</v>
      </c>
      <c r="AD26">
        <v>24.565992999999999</v>
      </c>
      <c r="AE26" t="s">
        <v>495</v>
      </c>
    </row>
    <row r="27" spans="1:31">
      <c r="A27" s="3">
        <v>43944.502951388888</v>
      </c>
      <c r="B27" s="3">
        <v>43944.25</v>
      </c>
      <c r="C27" t="s">
        <v>16</v>
      </c>
      <c r="D27" t="s">
        <v>109</v>
      </c>
      <c r="E27" t="s">
        <v>110</v>
      </c>
      <c r="F27">
        <v>9</v>
      </c>
      <c r="G27">
        <v>47.157296000000002</v>
      </c>
      <c r="H27">
        <v>8.5372939999999993</v>
      </c>
      <c r="J27">
        <v>178</v>
      </c>
      <c r="K27">
        <v>178</v>
      </c>
      <c r="L27">
        <v>0</v>
      </c>
      <c r="M27">
        <v>5</v>
      </c>
      <c r="N27">
        <v>141.94999999999999</v>
      </c>
      <c r="O27">
        <v>6.38</v>
      </c>
      <c r="P27">
        <v>133</v>
      </c>
      <c r="Q27">
        <v>0</v>
      </c>
      <c r="R27">
        <v>8</v>
      </c>
      <c r="S27">
        <v>3</v>
      </c>
      <c r="W27" t="s">
        <v>37</v>
      </c>
      <c r="X27" t="s">
        <v>37</v>
      </c>
      <c r="Z27" t="s">
        <v>37</v>
      </c>
      <c r="AA27">
        <v>0</v>
      </c>
      <c r="AB27">
        <v>0</v>
      </c>
      <c r="AC27">
        <v>203.89588699999999</v>
      </c>
      <c r="AD27">
        <v>25.954464999999999</v>
      </c>
      <c r="AE27" t="s">
        <v>502</v>
      </c>
    </row>
    <row r="28" spans="1:31">
      <c r="A28" s="3">
        <v>43944.502951388888</v>
      </c>
      <c r="B28" s="3">
        <v>43943.520833333336</v>
      </c>
      <c r="C28" t="s">
        <v>16</v>
      </c>
      <c r="D28" t="s">
        <v>111</v>
      </c>
      <c r="E28" t="s">
        <v>112</v>
      </c>
      <c r="F28">
        <v>1</v>
      </c>
      <c r="G28">
        <v>47.412750000000003</v>
      </c>
      <c r="H28">
        <v>8.6550799999999999</v>
      </c>
      <c r="J28">
        <v>3320</v>
      </c>
      <c r="K28">
        <v>3320</v>
      </c>
      <c r="L28">
        <v>0</v>
      </c>
      <c r="M28">
        <v>110</v>
      </c>
      <c r="N28">
        <v>220.7</v>
      </c>
      <c r="O28">
        <v>7.1790000000000003</v>
      </c>
      <c r="Q28">
        <v>0</v>
      </c>
      <c r="R28">
        <v>108</v>
      </c>
      <c r="S28">
        <v>44</v>
      </c>
      <c r="T28">
        <v>44</v>
      </c>
      <c r="W28" t="s">
        <v>37</v>
      </c>
      <c r="X28" t="s">
        <v>37</v>
      </c>
      <c r="Z28" t="s">
        <v>37</v>
      </c>
      <c r="AA28">
        <v>40</v>
      </c>
      <c r="AB28">
        <v>0</v>
      </c>
      <c r="AC28">
        <v>75.476979999999998</v>
      </c>
      <c r="AD28">
        <v>35.669021999999998</v>
      </c>
      <c r="AE28" t="s">
        <v>113</v>
      </c>
    </row>
  </sheetData>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14127-44CE-4780-BDC7-8D3A50A60B75}">
  <sheetPr codeName="Tabelle10"/>
  <dimension ref="A3:AC64"/>
  <sheetViews>
    <sheetView topLeftCell="A22" workbookViewId="0">
      <selection sqref="A1:XFD1048576"/>
    </sheetView>
  </sheetViews>
  <sheetFormatPr baseColWidth="10" defaultRowHeight="14.5"/>
  <cols>
    <col min="1" max="1" width="20.7265625" bestFit="1" customWidth="1"/>
    <col min="2" max="2" width="22" bestFit="1" customWidth="1"/>
    <col min="3" max="4" width="3.81640625" bestFit="1" customWidth="1"/>
    <col min="5" max="5" width="2.54296875" bestFit="1" customWidth="1"/>
    <col min="6" max="6" width="3.08984375" bestFit="1" customWidth="1"/>
    <col min="7" max="7" width="4.81640625" bestFit="1" customWidth="1"/>
    <col min="8" max="9" width="3.81640625" bestFit="1" customWidth="1"/>
    <col min="10" max="10" width="2.81640625" bestFit="1" customWidth="1"/>
    <col min="11" max="11" width="4.81640625" bestFit="1" customWidth="1"/>
    <col min="12" max="12" width="2.90625" bestFit="1" customWidth="1"/>
    <col min="13" max="13" width="3.81640625" bestFit="1" customWidth="1"/>
    <col min="14" max="14" width="2.81640625" bestFit="1" customWidth="1"/>
    <col min="15" max="15" width="3.81640625" bestFit="1" customWidth="1"/>
    <col min="16" max="16" width="4.81640625" bestFit="1" customWidth="1"/>
    <col min="17" max="17" width="3.90625" bestFit="1" customWidth="1"/>
    <col min="18" max="18" width="4" bestFit="1" customWidth="1"/>
    <col min="19" max="19" width="3.81640625" bestFit="1" customWidth="1"/>
    <col min="20" max="20" width="3" bestFit="1" customWidth="1"/>
    <col min="21" max="22" width="3.81640625" bestFit="1" customWidth="1"/>
    <col min="23" max="23" width="4.81640625" bestFit="1" customWidth="1"/>
    <col min="24" max="24" width="3.1796875" bestFit="1" customWidth="1"/>
    <col min="25" max="26" width="4.81640625" bestFit="1" customWidth="1"/>
    <col min="27" max="27" width="3.81640625" bestFit="1" customWidth="1"/>
    <col min="28" max="28" width="4.81640625" bestFit="1" customWidth="1"/>
    <col min="29" max="29" width="14.36328125" bestFit="1" customWidth="1"/>
  </cols>
  <sheetData>
    <row r="3" spans="1:29">
      <c r="A3" s="18" t="s">
        <v>409</v>
      </c>
      <c r="B3" s="18" t="s">
        <v>408</v>
      </c>
    </row>
    <row r="4" spans="1:29">
      <c r="A4" s="18" t="s">
        <v>358</v>
      </c>
      <c r="B4" t="s">
        <v>57</v>
      </c>
      <c r="C4" t="s">
        <v>89</v>
      </c>
      <c r="D4" t="s">
        <v>35</v>
      </c>
      <c r="E4" t="s">
        <v>39</v>
      </c>
      <c r="F4" t="s">
        <v>42</v>
      </c>
      <c r="G4" t="s">
        <v>45</v>
      </c>
      <c r="H4" t="s">
        <v>48</v>
      </c>
      <c r="I4" t="s">
        <v>51</v>
      </c>
      <c r="J4" t="s">
        <v>54</v>
      </c>
      <c r="K4" t="s">
        <v>60</v>
      </c>
      <c r="L4" t="s">
        <v>63</v>
      </c>
      <c r="M4" t="s">
        <v>66</v>
      </c>
      <c r="N4" t="s">
        <v>69</v>
      </c>
      <c r="O4" t="s">
        <v>71</v>
      </c>
      <c r="P4" t="s">
        <v>74</v>
      </c>
      <c r="Q4" t="s">
        <v>77</v>
      </c>
      <c r="R4" t="s">
        <v>80</v>
      </c>
      <c r="S4" t="s">
        <v>83</v>
      </c>
      <c r="T4" t="s">
        <v>86</v>
      </c>
      <c r="U4" t="s">
        <v>92</v>
      </c>
      <c r="V4" t="s">
        <v>95</v>
      </c>
      <c r="W4" t="s">
        <v>98</v>
      </c>
      <c r="X4" t="s">
        <v>101</v>
      </c>
      <c r="Y4" t="s">
        <v>104</v>
      </c>
      <c r="Z4" t="s">
        <v>107</v>
      </c>
      <c r="AA4" t="s">
        <v>109</v>
      </c>
      <c r="AB4" t="s">
        <v>111</v>
      </c>
      <c r="AC4" t="s">
        <v>359</v>
      </c>
    </row>
    <row r="5" spans="1:29">
      <c r="A5" s="26" t="s">
        <v>360</v>
      </c>
      <c r="B5" s="1"/>
      <c r="C5" s="1"/>
      <c r="D5" s="1"/>
      <c r="E5" s="1"/>
      <c r="F5" s="1"/>
      <c r="G5" s="1"/>
      <c r="H5" s="1"/>
      <c r="I5" s="1"/>
      <c r="J5" s="1"/>
      <c r="K5" s="1">
        <v>0</v>
      </c>
      <c r="L5" s="1"/>
      <c r="M5" s="1"/>
      <c r="N5" s="1"/>
      <c r="O5" s="1"/>
      <c r="P5" s="1"/>
      <c r="Q5" s="1"/>
      <c r="R5" s="1"/>
      <c r="S5" s="1"/>
      <c r="T5" s="1"/>
      <c r="U5" s="1"/>
      <c r="V5" s="1"/>
      <c r="W5" s="1"/>
      <c r="X5" s="1"/>
      <c r="Y5" s="1"/>
      <c r="Z5" s="1"/>
      <c r="AA5" s="1"/>
      <c r="AB5" s="1"/>
      <c r="AC5" s="1">
        <v>0</v>
      </c>
    </row>
    <row r="6" spans="1:29">
      <c r="A6" s="26" t="s">
        <v>361</v>
      </c>
      <c r="B6" s="1"/>
      <c r="C6" s="1"/>
      <c r="D6" s="1"/>
      <c r="E6" s="1"/>
      <c r="F6" s="1"/>
      <c r="G6" s="1"/>
      <c r="H6" s="1"/>
      <c r="I6" s="1"/>
      <c r="J6" s="1"/>
      <c r="K6" s="1">
        <v>0</v>
      </c>
      <c r="L6" s="1"/>
      <c r="M6" s="1"/>
      <c r="N6" s="1"/>
      <c r="O6" s="1"/>
      <c r="P6" s="1"/>
      <c r="Q6" s="1"/>
      <c r="R6" s="1"/>
      <c r="S6" s="1"/>
      <c r="T6" s="1"/>
      <c r="U6" s="1"/>
      <c r="V6" s="1"/>
      <c r="W6" s="1"/>
      <c r="X6" s="1"/>
      <c r="Y6" s="1"/>
      <c r="Z6" s="1"/>
      <c r="AA6" s="1"/>
      <c r="AB6" s="1"/>
      <c r="AC6" s="1">
        <v>0</v>
      </c>
    </row>
    <row r="7" spans="1:29">
      <c r="A7" s="26" t="s">
        <v>362</v>
      </c>
      <c r="B7" s="1"/>
      <c r="C7" s="1"/>
      <c r="D7" s="1"/>
      <c r="E7" s="1"/>
      <c r="F7" s="1"/>
      <c r="G7" s="1"/>
      <c r="H7" s="1"/>
      <c r="I7" s="1"/>
      <c r="J7" s="1"/>
      <c r="K7" s="1">
        <v>0</v>
      </c>
      <c r="L7" s="1"/>
      <c r="M7" s="1"/>
      <c r="N7" s="1"/>
      <c r="O7" s="1"/>
      <c r="P7" s="1"/>
      <c r="Q7" s="1"/>
      <c r="R7" s="1"/>
      <c r="S7" s="1"/>
      <c r="T7" s="1"/>
      <c r="U7" s="1"/>
      <c r="V7" s="1"/>
      <c r="W7" s="1"/>
      <c r="X7" s="1"/>
      <c r="Y7" s="1"/>
      <c r="Z7" s="1"/>
      <c r="AA7" s="1"/>
      <c r="AB7" s="1"/>
      <c r="AC7" s="1">
        <v>0</v>
      </c>
    </row>
    <row r="8" spans="1:29">
      <c r="A8" s="26" t="s">
        <v>363</v>
      </c>
      <c r="B8" s="1"/>
      <c r="C8" s="1"/>
      <c r="D8" s="1"/>
      <c r="E8" s="1"/>
      <c r="F8" s="1"/>
      <c r="G8" s="1"/>
      <c r="H8" s="1"/>
      <c r="I8" s="1"/>
      <c r="J8" s="1"/>
      <c r="K8" s="1">
        <v>0</v>
      </c>
      <c r="L8" s="1"/>
      <c r="M8" s="1"/>
      <c r="N8" s="1"/>
      <c r="O8" s="1"/>
      <c r="P8" s="1"/>
      <c r="Q8" s="1"/>
      <c r="R8" s="1"/>
      <c r="S8" s="1"/>
      <c r="T8" s="1"/>
      <c r="U8" s="1"/>
      <c r="V8" s="1"/>
      <c r="W8" s="1"/>
      <c r="X8" s="1"/>
      <c r="Y8" s="1"/>
      <c r="Z8" s="1">
        <v>0</v>
      </c>
      <c r="AA8" s="1"/>
      <c r="AB8" s="1"/>
      <c r="AC8" s="1">
        <v>0</v>
      </c>
    </row>
    <row r="9" spans="1:29">
      <c r="A9" s="26" t="s">
        <v>364</v>
      </c>
      <c r="B9" s="1"/>
      <c r="C9" s="1"/>
      <c r="D9" s="1"/>
      <c r="E9" s="1"/>
      <c r="F9" s="1"/>
      <c r="G9" s="1"/>
      <c r="H9" s="1"/>
      <c r="I9" s="1"/>
      <c r="J9" s="1"/>
      <c r="K9" s="1">
        <v>0</v>
      </c>
      <c r="L9" s="1"/>
      <c r="M9" s="1"/>
      <c r="N9" s="1"/>
      <c r="O9" s="1"/>
      <c r="P9" s="1"/>
      <c r="Q9" s="1"/>
      <c r="R9" s="1"/>
      <c r="S9" s="1"/>
      <c r="T9" s="1"/>
      <c r="U9" s="1"/>
      <c r="V9" s="1"/>
      <c r="W9" s="1"/>
      <c r="X9" s="1"/>
      <c r="Y9" s="1"/>
      <c r="Z9" s="1">
        <v>0</v>
      </c>
      <c r="AA9" s="1">
        <v>0</v>
      </c>
      <c r="AB9" s="1"/>
      <c r="AC9" s="1">
        <v>0</v>
      </c>
    </row>
    <row r="10" spans="1:29">
      <c r="A10" s="26" t="s">
        <v>365</v>
      </c>
      <c r="B10" s="1"/>
      <c r="C10" s="1"/>
      <c r="D10" s="1"/>
      <c r="E10" s="1"/>
      <c r="F10" s="1"/>
      <c r="G10" s="1"/>
      <c r="H10" s="1"/>
      <c r="I10" s="1"/>
      <c r="J10" s="1"/>
      <c r="K10" s="1">
        <v>0</v>
      </c>
      <c r="L10" s="1"/>
      <c r="M10" s="1"/>
      <c r="N10" s="1"/>
      <c r="O10" s="1"/>
      <c r="P10" s="1"/>
      <c r="Q10" s="1"/>
      <c r="R10" s="1"/>
      <c r="S10" s="1"/>
      <c r="T10" s="1"/>
      <c r="U10" s="1"/>
      <c r="V10" s="1"/>
      <c r="W10" s="1"/>
      <c r="X10" s="1"/>
      <c r="Y10" s="1"/>
      <c r="Z10" s="1">
        <v>0</v>
      </c>
      <c r="AA10" s="1">
        <v>0</v>
      </c>
      <c r="AB10" s="1"/>
      <c r="AC10" s="1">
        <v>0</v>
      </c>
    </row>
    <row r="11" spans="1:29">
      <c r="A11" s="26" t="s">
        <v>366</v>
      </c>
      <c r="B11" s="1"/>
      <c r="C11" s="1"/>
      <c r="D11" s="1"/>
      <c r="E11" s="1"/>
      <c r="F11" s="1"/>
      <c r="G11" s="1"/>
      <c r="H11" s="1"/>
      <c r="I11" s="1"/>
      <c r="J11" s="1"/>
      <c r="K11" s="1">
        <v>0</v>
      </c>
      <c r="L11" s="1"/>
      <c r="M11" s="1"/>
      <c r="N11" s="1"/>
      <c r="O11" s="1"/>
      <c r="P11" s="1"/>
      <c r="Q11" s="1"/>
      <c r="R11" s="1"/>
      <c r="S11" s="1"/>
      <c r="T11" s="1"/>
      <c r="U11" s="1"/>
      <c r="V11" s="1"/>
      <c r="W11" s="1"/>
      <c r="X11" s="1"/>
      <c r="Y11" s="1"/>
      <c r="Z11" s="1">
        <v>0</v>
      </c>
      <c r="AA11" s="1">
        <v>0</v>
      </c>
      <c r="AB11" s="1"/>
      <c r="AC11" s="1">
        <v>0</v>
      </c>
    </row>
    <row r="12" spans="1:29">
      <c r="A12" s="26" t="s">
        <v>367</v>
      </c>
      <c r="B12" s="1"/>
      <c r="C12" s="1"/>
      <c r="D12" s="1"/>
      <c r="E12" s="1"/>
      <c r="F12" s="1"/>
      <c r="G12" s="1"/>
      <c r="H12" s="1"/>
      <c r="I12" s="1"/>
      <c r="J12" s="1"/>
      <c r="K12" s="1">
        <v>0</v>
      </c>
      <c r="L12" s="1"/>
      <c r="M12" s="1"/>
      <c r="N12" s="1"/>
      <c r="O12" s="1"/>
      <c r="P12" s="1"/>
      <c r="Q12" s="1"/>
      <c r="R12" s="1"/>
      <c r="S12" s="1"/>
      <c r="T12" s="1"/>
      <c r="U12" s="1"/>
      <c r="V12" s="1"/>
      <c r="W12" s="1"/>
      <c r="X12" s="1"/>
      <c r="Y12" s="1"/>
      <c r="Z12" s="1">
        <v>0</v>
      </c>
      <c r="AA12" s="1">
        <v>0</v>
      </c>
      <c r="AB12" s="1"/>
      <c r="AC12" s="1">
        <v>0</v>
      </c>
    </row>
    <row r="13" spans="1:29">
      <c r="A13" s="26" t="s">
        <v>368</v>
      </c>
      <c r="B13" s="1"/>
      <c r="C13" s="1"/>
      <c r="D13" s="1"/>
      <c r="E13" s="1"/>
      <c r="F13" s="1"/>
      <c r="G13" s="1"/>
      <c r="H13" s="1"/>
      <c r="I13" s="1"/>
      <c r="J13" s="1"/>
      <c r="K13" s="1">
        <v>0</v>
      </c>
      <c r="L13" s="1"/>
      <c r="M13" s="1"/>
      <c r="N13" s="1"/>
      <c r="O13" s="1"/>
      <c r="P13" s="1"/>
      <c r="Q13" s="1"/>
      <c r="R13" s="1"/>
      <c r="S13" s="1"/>
      <c r="T13" s="1"/>
      <c r="U13" s="1"/>
      <c r="V13" s="1"/>
      <c r="W13" s="1"/>
      <c r="X13" s="1"/>
      <c r="Y13" s="1"/>
      <c r="Z13" s="1">
        <v>0</v>
      </c>
      <c r="AA13" s="1">
        <v>0</v>
      </c>
      <c r="AB13" s="1"/>
      <c r="AC13" s="1">
        <v>0</v>
      </c>
    </row>
    <row r="14" spans="1:29">
      <c r="A14" s="26" t="s">
        <v>369</v>
      </c>
      <c r="B14" s="1"/>
      <c r="C14" s="1"/>
      <c r="D14" s="1"/>
      <c r="E14" s="1"/>
      <c r="F14" s="1"/>
      <c r="G14" s="1"/>
      <c r="H14" s="1"/>
      <c r="I14" s="1"/>
      <c r="J14" s="1"/>
      <c r="K14" s="1">
        <v>0</v>
      </c>
      <c r="L14" s="1"/>
      <c r="M14" s="1"/>
      <c r="N14" s="1"/>
      <c r="O14" s="1"/>
      <c r="P14" s="1"/>
      <c r="Q14" s="1"/>
      <c r="R14" s="1"/>
      <c r="S14" s="1"/>
      <c r="T14" s="1"/>
      <c r="U14" s="1"/>
      <c r="V14" s="1"/>
      <c r="W14" s="1"/>
      <c r="X14" s="1"/>
      <c r="Y14" s="1"/>
      <c r="Z14" s="1">
        <v>0</v>
      </c>
      <c r="AA14" s="1">
        <v>0</v>
      </c>
      <c r="AB14" s="1"/>
      <c r="AC14" s="1">
        <v>0</v>
      </c>
    </row>
    <row r="15" spans="1:29">
      <c r="A15" s="26" t="s">
        <v>370</v>
      </c>
      <c r="B15" s="1"/>
      <c r="C15" s="1"/>
      <c r="D15" s="1"/>
      <c r="E15" s="1"/>
      <c r="F15" s="1"/>
      <c r="G15" s="1"/>
      <c r="H15" s="1"/>
      <c r="I15" s="1"/>
      <c r="J15" s="1"/>
      <c r="K15" s="1">
        <v>0</v>
      </c>
      <c r="L15" s="1"/>
      <c r="M15" s="1"/>
      <c r="N15" s="1"/>
      <c r="O15" s="1"/>
      <c r="P15" s="1"/>
      <c r="Q15" s="1"/>
      <c r="R15" s="1"/>
      <c r="S15" s="1"/>
      <c r="T15" s="1"/>
      <c r="U15" s="1"/>
      <c r="V15" s="1"/>
      <c r="W15" s="1"/>
      <c r="X15" s="1"/>
      <c r="Y15" s="1">
        <v>1</v>
      </c>
      <c r="Z15" s="1">
        <v>0</v>
      </c>
      <c r="AA15" s="1">
        <v>0</v>
      </c>
      <c r="AB15" s="1"/>
      <c r="AC15" s="1">
        <v>1</v>
      </c>
    </row>
    <row r="16" spans="1:29">
      <c r="A16" s="26" t="s">
        <v>371</v>
      </c>
      <c r="B16" s="1"/>
      <c r="C16" s="1"/>
      <c r="D16" s="1"/>
      <c r="E16" s="1"/>
      <c r="F16" s="1"/>
      <c r="G16" s="1"/>
      <c r="H16" s="1"/>
      <c r="I16" s="1"/>
      <c r="J16" s="1"/>
      <c r="K16" s="1">
        <v>0</v>
      </c>
      <c r="L16" s="1"/>
      <c r="M16" s="1"/>
      <c r="N16" s="1"/>
      <c r="O16" s="1"/>
      <c r="P16" s="1"/>
      <c r="Q16" s="1"/>
      <c r="R16" s="1"/>
      <c r="S16" s="1"/>
      <c r="T16" s="1"/>
      <c r="U16" s="1"/>
      <c r="V16" s="1"/>
      <c r="W16" s="1"/>
      <c r="X16" s="1"/>
      <c r="Y16" s="1">
        <v>1</v>
      </c>
      <c r="Z16" s="1">
        <v>0</v>
      </c>
      <c r="AA16" s="1">
        <v>0</v>
      </c>
      <c r="AB16" s="1"/>
      <c r="AC16" s="1">
        <v>1</v>
      </c>
    </row>
    <row r="17" spans="1:29">
      <c r="A17" s="26" t="s">
        <v>372</v>
      </c>
      <c r="B17" s="1"/>
      <c r="C17" s="1"/>
      <c r="D17" s="1"/>
      <c r="E17" s="1"/>
      <c r="F17" s="1"/>
      <c r="G17" s="1"/>
      <c r="H17" s="1">
        <v>1</v>
      </c>
      <c r="I17" s="1"/>
      <c r="J17" s="1"/>
      <c r="K17" s="1">
        <v>0</v>
      </c>
      <c r="L17" s="1"/>
      <c r="M17" s="1"/>
      <c r="N17" s="1"/>
      <c r="O17" s="1"/>
      <c r="P17" s="1"/>
      <c r="Q17" s="1"/>
      <c r="R17" s="1"/>
      <c r="S17" s="1"/>
      <c r="T17" s="1"/>
      <c r="U17" s="1"/>
      <c r="V17" s="1"/>
      <c r="W17" s="1"/>
      <c r="X17" s="1"/>
      <c r="Y17" s="1">
        <v>1</v>
      </c>
      <c r="Z17" s="1">
        <v>0</v>
      </c>
      <c r="AA17" s="1">
        <v>0</v>
      </c>
      <c r="AB17" s="1"/>
      <c r="AC17" s="1">
        <v>2</v>
      </c>
    </row>
    <row r="18" spans="1:29">
      <c r="A18" s="26" t="s">
        <v>373</v>
      </c>
      <c r="B18" s="1"/>
      <c r="C18" s="1"/>
      <c r="D18" s="1"/>
      <c r="E18" s="1"/>
      <c r="F18" s="1"/>
      <c r="G18" s="1"/>
      <c r="H18" s="1">
        <v>1</v>
      </c>
      <c r="I18" s="1"/>
      <c r="J18" s="1"/>
      <c r="K18" s="1">
        <v>0</v>
      </c>
      <c r="L18" s="1"/>
      <c r="M18" s="1"/>
      <c r="N18" s="1"/>
      <c r="O18" s="1"/>
      <c r="P18" s="1"/>
      <c r="Q18" s="1"/>
      <c r="R18" s="1"/>
      <c r="S18" s="1"/>
      <c r="T18" s="1"/>
      <c r="U18" s="1"/>
      <c r="V18" s="1"/>
      <c r="W18" s="1"/>
      <c r="X18" s="1"/>
      <c r="Y18" s="1">
        <v>1</v>
      </c>
      <c r="Z18" s="1">
        <v>0</v>
      </c>
      <c r="AA18" s="1">
        <v>0</v>
      </c>
      <c r="AB18" s="1"/>
      <c r="AC18" s="1">
        <v>2</v>
      </c>
    </row>
    <row r="19" spans="1:29">
      <c r="A19" s="26" t="s">
        <v>374</v>
      </c>
      <c r="B19" s="1"/>
      <c r="C19" s="1"/>
      <c r="D19" s="1"/>
      <c r="E19" s="1"/>
      <c r="F19" s="1"/>
      <c r="G19" s="1"/>
      <c r="H19" s="1">
        <v>1</v>
      </c>
      <c r="I19" s="1"/>
      <c r="J19" s="1"/>
      <c r="K19" s="1">
        <v>1</v>
      </c>
      <c r="L19" s="1"/>
      <c r="M19" s="1"/>
      <c r="N19" s="1"/>
      <c r="O19" s="1"/>
      <c r="P19" s="1"/>
      <c r="Q19" s="1"/>
      <c r="R19" s="1"/>
      <c r="S19" s="1"/>
      <c r="T19" s="1"/>
      <c r="U19" s="1"/>
      <c r="V19" s="1"/>
      <c r="W19" s="1">
        <v>1</v>
      </c>
      <c r="X19" s="1"/>
      <c r="Y19" s="1">
        <v>1</v>
      </c>
      <c r="Z19" s="1">
        <v>0</v>
      </c>
      <c r="AA19" s="1">
        <v>0</v>
      </c>
      <c r="AB19" s="1"/>
      <c r="AC19" s="1">
        <v>4</v>
      </c>
    </row>
    <row r="20" spans="1:29">
      <c r="A20" s="26" t="s">
        <v>375</v>
      </c>
      <c r="B20" s="1"/>
      <c r="C20" s="1"/>
      <c r="D20" s="1"/>
      <c r="E20" s="1"/>
      <c r="F20" s="1"/>
      <c r="G20" s="1"/>
      <c r="H20" s="1">
        <v>2</v>
      </c>
      <c r="I20" s="1"/>
      <c r="J20" s="1"/>
      <c r="K20" s="1">
        <v>1</v>
      </c>
      <c r="L20" s="1"/>
      <c r="M20" s="1"/>
      <c r="N20" s="1"/>
      <c r="O20" s="1"/>
      <c r="P20" s="1"/>
      <c r="Q20" s="1"/>
      <c r="R20" s="1"/>
      <c r="S20" s="1"/>
      <c r="T20" s="1">
        <v>0</v>
      </c>
      <c r="U20" s="1"/>
      <c r="V20" s="1"/>
      <c r="W20" s="1">
        <v>1</v>
      </c>
      <c r="X20" s="1"/>
      <c r="Y20" s="1">
        <v>1</v>
      </c>
      <c r="Z20" s="1">
        <v>0</v>
      </c>
      <c r="AA20" s="1">
        <v>0</v>
      </c>
      <c r="AB20" s="1"/>
      <c r="AC20" s="1">
        <v>5</v>
      </c>
    </row>
    <row r="21" spans="1:29">
      <c r="A21" s="26" t="s">
        <v>376</v>
      </c>
      <c r="B21" s="1"/>
      <c r="C21" s="1"/>
      <c r="D21" s="1"/>
      <c r="E21" s="1"/>
      <c r="F21" s="1"/>
      <c r="G21" s="1"/>
      <c r="H21" s="1">
        <v>2</v>
      </c>
      <c r="I21" s="1">
        <v>1</v>
      </c>
      <c r="J21" s="1"/>
      <c r="K21" s="1">
        <v>1</v>
      </c>
      <c r="L21" s="1"/>
      <c r="M21" s="1"/>
      <c r="N21" s="1"/>
      <c r="O21" s="1"/>
      <c r="P21" s="1"/>
      <c r="Q21" s="1"/>
      <c r="R21" s="1"/>
      <c r="S21" s="1"/>
      <c r="T21" s="1">
        <v>0</v>
      </c>
      <c r="U21" s="1"/>
      <c r="V21" s="1"/>
      <c r="W21" s="1">
        <v>1</v>
      </c>
      <c r="X21" s="1"/>
      <c r="Y21" s="1">
        <v>3</v>
      </c>
      <c r="Z21" s="1">
        <v>0</v>
      </c>
      <c r="AA21" s="1">
        <v>0</v>
      </c>
      <c r="AB21" s="1"/>
      <c r="AC21" s="1">
        <v>8</v>
      </c>
    </row>
    <row r="22" spans="1:29">
      <c r="A22" s="26" t="s">
        <v>377</v>
      </c>
      <c r="B22" s="1"/>
      <c r="C22" s="1"/>
      <c r="D22" s="1"/>
      <c r="E22" s="1"/>
      <c r="F22" s="1"/>
      <c r="G22" s="1"/>
      <c r="H22" s="1">
        <v>2</v>
      </c>
      <c r="I22" s="1">
        <v>1</v>
      </c>
      <c r="J22" s="1"/>
      <c r="K22" s="1">
        <v>1</v>
      </c>
      <c r="L22" s="1"/>
      <c r="M22" s="1"/>
      <c r="N22" s="1"/>
      <c r="O22" s="1"/>
      <c r="P22" s="1"/>
      <c r="Q22" s="1"/>
      <c r="R22" s="1"/>
      <c r="S22" s="1"/>
      <c r="T22" s="1">
        <v>0</v>
      </c>
      <c r="U22" s="1"/>
      <c r="V22" s="1"/>
      <c r="W22" s="1">
        <v>1</v>
      </c>
      <c r="X22" s="1"/>
      <c r="Y22" s="1">
        <v>3</v>
      </c>
      <c r="Z22" s="1">
        <v>1</v>
      </c>
      <c r="AA22" s="1">
        <v>0</v>
      </c>
      <c r="AB22" s="1"/>
      <c r="AC22" s="1">
        <v>9</v>
      </c>
    </row>
    <row r="23" spans="1:29">
      <c r="A23" s="26" t="s">
        <v>378</v>
      </c>
      <c r="B23" s="1"/>
      <c r="C23" s="1"/>
      <c r="D23" s="1"/>
      <c r="E23" s="1"/>
      <c r="F23" s="1"/>
      <c r="G23" s="1"/>
      <c r="H23" s="1">
        <v>2</v>
      </c>
      <c r="I23" s="1">
        <v>1</v>
      </c>
      <c r="J23" s="1"/>
      <c r="K23" s="1">
        <v>1</v>
      </c>
      <c r="L23" s="1"/>
      <c r="M23" s="1"/>
      <c r="N23" s="1"/>
      <c r="O23" s="1"/>
      <c r="P23" s="1"/>
      <c r="Q23" s="1"/>
      <c r="R23" s="1"/>
      <c r="S23" s="1"/>
      <c r="T23" s="1">
        <v>0</v>
      </c>
      <c r="U23" s="1"/>
      <c r="V23" s="1"/>
      <c r="W23" s="1">
        <v>3</v>
      </c>
      <c r="X23" s="1"/>
      <c r="Y23" s="1">
        <v>4</v>
      </c>
      <c r="Z23" s="1">
        <v>1</v>
      </c>
      <c r="AA23" s="1">
        <v>0</v>
      </c>
      <c r="AB23" s="1"/>
      <c r="AC23" s="1">
        <v>12</v>
      </c>
    </row>
    <row r="24" spans="1:29">
      <c r="A24" s="26" t="s">
        <v>379</v>
      </c>
      <c r="B24" s="1"/>
      <c r="C24" s="1"/>
      <c r="D24" s="1"/>
      <c r="E24" s="1"/>
      <c r="F24" s="1"/>
      <c r="G24" s="1"/>
      <c r="H24" s="1">
        <v>2</v>
      </c>
      <c r="I24" s="1"/>
      <c r="J24" s="1"/>
      <c r="K24" s="1">
        <v>3</v>
      </c>
      <c r="L24" s="1"/>
      <c r="M24" s="1"/>
      <c r="N24" s="1"/>
      <c r="O24" s="1"/>
      <c r="P24" s="1"/>
      <c r="Q24" s="1"/>
      <c r="R24" s="1"/>
      <c r="S24" s="1"/>
      <c r="T24" s="1">
        <v>0</v>
      </c>
      <c r="U24" s="1"/>
      <c r="V24" s="1"/>
      <c r="W24" s="1">
        <v>6</v>
      </c>
      <c r="X24" s="1"/>
      <c r="Y24" s="1">
        <v>5</v>
      </c>
      <c r="Z24" s="1">
        <v>2</v>
      </c>
      <c r="AA24" s="1">
        <v>0</v>
      </c>
      <c r="AB24" s="1">
        <v>1</v>
      </c>
      <c r="AC24" s="1">
        <v>19</v>
      </c>
    </row>
    <row r="25" spans="1:29">
      <c r="A25" s="26" t="s">
        <v>380</v>
      </c>
      <c r="B25" s="1"/>
      <c r="C25" s="1"/>
      <c r="D25" s="1"/>
      <c r="E25" s="1"/>
      <c r="F25" s="1"/>
      <c r="G25" s="1">
        <v>1</v>
      </c>
      <c r="H25" s="1">
        <v>2</v>
      </c>
      <c r="I25" s="1">
        <v>4</v>
      </c>
      <c r="J25" s="1"/>
      <c r="K25" s="1">
        <v>3</v>
      </c>
      <c r="L25" s="1"/>
      <c r="M25" s="1"/>
      <c r="N25" s="1"/>
      <c r="O25" s="1"/>
      <c r="P25" s="1"/>
      <c r="Q25" s="1"/>
      <c r="R25" s="1"/>
      <c r="S25" s="1"/>
      <c r="T25" s="1">
        <v>0</v>
      </c>
      <c r="U25" s="1"/>
      <c r="V25" s="1"/>
      <c r="W25" s="1">
        <v>8</v>
      </c>
      <c r="X25" s="1"/>
      <c r="Y25" s="1">
        <v>7</v>
      </c>
      <c r="Z25" s="1">
        <v>3</v>
      </c>
      <c r="AA25" s="1">
        <v>0</v>
      </c>
      <c r="AB25" s="1">
        <v>1</v>
      </c>
      <c r="AC25" s="1">
        <v>29</v>
      </c>
    </row>
    <row r="26" spans="1:29">
      <c r="A26" s="26" t="s">
        <v>381</v>
      </c>
      <c r="B26" s="1"/>
      <c r="C26" s="1"/>
      <c r="D26" s="1"/>
      <c r="E26" s="1"/>
      <c r="F26" s="1"/>
      <c r="G26" s="1"/>
      <c r="H26" s="1">
        <v>2</v>
      </c>
      <c r="I26" s="1">
        <v>4</v>
      </c>
      <c r="J26" s="1"/>
      <c r="K26" s="1">
        <v>4</v>
      </c>
      <c r="L26" s="1"/>
      <c r="M26" s="1"/>
      <c r="N26" s="1"/>
      <c r="O26" s="1"/>
      <c r="P26" s="1">
        <v>1</v>
      </c>
      <c r="Q26" s="1"/>
      <c r="R26" s="1"/>
      <c r="S26" s="1"/>
      <c r="T26" s="1">
        <v>0</v>
      </c>
      <c r="U26" s="1"/>
      <c r="V26" s="1"/>
      <c r="W26" s="1">
        <v>10</v>
      </c>
      <c r="X26" s="1"/>
      <c r="Y26" s="1">
        <v>9</v>
      </c>
      <c r="Z26" s="1">
        <v>3</v>
      </c>
      <c r="AA26" s="1">
        <v>0</v>
      </c>
      <c r="AB26" s="1">
        <v>1</v>
      </c>
      <c r="AC26" s="1">
        <v>34</v>
      </c>
    </row>
    <row r="27" spans="1:29">
      <c r="A27" s="26" t="s">
        <v>382</v>
      </c>
      <c r="B27" s="1">
        <v>1</v>
      </c>
      <c r="C27" s="1"/>
      <c r="D27" s="1"/>
      <c r="E27" s="1"/>
      <c r="F27" s="1"/>
      <c r="G27" s="1">
        <v>1</v>
      </c>
      <c r="H27" s="1">
        <v>2</v>
      </c>
      <c r="I27" s="1">
        <v>4</v>
      </c>
      <c r="J27" s="1"/>
      <c r="K27" s="1">
        <v>5</v>
      </c>
      <c r="L27" s="1"/>
      <c r="M27" s="1">
        <v>1</v>
      </c>
      <c r="N27" s="1"/>
      <c r="O27" s="1"/>
      <c r="P27" s="1">
        <v>2</v>
      </c>
      <c r="Q27" s="1"/>
      <c r="R27" s="1"/>
      <c r="S27" s="1"/>
      <c r="T27" s="1">
        <v>0</v>
      </c>
      <c r="U27" s="1"/>
      <c r="V27" s="1"/>
      <c r="W27" s="1">
        <v>14</v>
      </c>
      <c r="X27" s="1"/>
      <c r="Y27" s="1">
        <v>12</v>
      </c>
      <c r="Z27" s="1">
        <v>4</v>
      </c>
      <c r="AA27" s="1">
        <v>0</v>
      </c>
      <c r="AB27" s="1">
        <v>2</v>
      </c>
      <c r="AC27" s="1">
        <v>48</v>
      </c>
    </row>
    <row r="28" spans="1:29">
      <c r="A28" s="26" t="s">
        <v>383</v>
      </c>
      <c r="B28" s="1">
        <v>1</v>
      </c>
      <c r="C28" s="1"/>
      <c r="D28" s="1"/>
      <c r="E28" s="1"/>
      <c r="F28" s="1"/>
      <c r="G28" s="1">
        <v>1</v>
      </c>
      <c r="H28" s="1">
        <v>2</v>
      </c>
      <c r="I28" s="1">
        <v>4</v>
      </c>
      <c r="J28" s="1"/>
      <c r="K28" s="1">
        <v>6</v>
      </c>
      <c r="L28" s="1"/>
      <c r="M28" s="1">
        <v>1</v>
      </c>
      <c r="N28" s="1"/>
      <c r="O28" s="1"/>
      <c r="P28" s="1">
        <v>3</v>
      </c>
      <c r="Q28" s="1"/>
      <c r="R28" s="1"/>
      <c r="S28" s="1"/>
      <c r="T28" s="1">
        <v>0</v>
      </c>
      <c r="U28" s="1"/>
      <c r="V28" s="1"/>
      <c r="W28" s="1">
        <v>15</v>
      </c>
      <c r="X28" s="1"/>
      <c r="Y28" s="1">
        <v>13</v>
      </c>
      <c r="Z28" s="1">
        <v>6</v>
      </c>
      <c r="AA28" s="1">
        <v>0</v>
      </c>
      <c r="AB28" s="1">
        <v>3</v>
      </c>
      <c r="AC28" s="1">
        <v>55</v>
      </c>
    </row>
    <row r="29" spans="1:29">
      <c r="A29" s="26" t="s">
        <v>384</v>
      </c>
      <c r="B29" s="1">
        <v>1</v>
      </c>
      <c r="C29" s="1"/>
      <c r="D29" s="1">
        <v>1</v>
      </c>
      <c r="E29" s="1"/>
      <c r="F29" s="1"/>
      <c r="G29" s="1">
        <v>2</v>
      </c>
      <c r="H29" s="1">
        <v>3</v>
      </c>
      <c r="I29" s="1">
        <v>4</v>
      </c>
      <c r="J29" s="1"/>
      <c r="K29" s="1">
        <v>8</v>
      </c>
      <c r="L29" s="1"/>
      <c r="M29" s="1">
        <v>3</v>
      </c>
      <c r="N29" s="1"/>
      <c r="O29" s="1"/>
      <c r="P29" s="1">
        <v>3</v>
      </c>
      <c r="Q29" s="1"/>
      <c r="R29" s="1"/>
      <c r="S29" s="1"/>
      <c r="T29" s="1">
        <v>0</v>
      </c>
      <c r="U29" s="1"/>
      <c r="V29" s="1"/>
      <c r="W29" s="1">
        <v>22</v>
      </c>
      <c r="X29" s="1"/>
      <c r="Y29" s="1">
        <v>19</v>
      </c>
      <c r="Z29" s="1">
        <v>7</v>
      </c>
      <c r="AA29" s="1">
        <v>0</v>
      </c>
      <c r="AB29" s="1">
        <v>4</v>
      </c>
      <c r="AC29" s="1">
        <v>77</v>
      </c>
    </row>
    <row r="30" spans="1:29">
      <c r="A30" s="26" t="s">
        <v>385</v>
      </c>
      <c r="B30" s="1">
        <v>2</v>
      </c>
      <c r="C30" s="1"/>
      <c r="D30" s="1"/>
      <c r="E30" s="1"/>
      <c r="F30" s="1">
        <v>1</v>
      </c>
      <c r="G30" s="1">
        <v>3</v>
      </c>
      <c r="H30" s="1">
        <v>3</v>
      </c>
      <c r="I30" s="1">
        <v>5</v>
      </c>
      <c r="J30" s="1"/>
      <c r="K30" s="1">
        <v>8</v>
      </c>
      <c r="L30" s="1"/>
      <c r="M30" s="1">
        <v>3</v>
      </c>
      <c r="N30" s="1"/>
      <c r="O30" s="1">
        <v>1</v>
      </c>
      <c r="P30" s="1">
        <v>4</v>
      </c>
      <c r="Q30" s="1"/>
      <c r="R30" s="1"/>
      <c r="S30" s="1"/>
      <c r="T30" s="1">
        <v>0</v>
      </c>
      <c r="U30" s="1"/>
      <c r="V30" s="1"/>
      <c r="W30" s="1">
        <v>28</v>
      </c>
      <c r="X30" s="1"/>
      <c r="Y30" s="1">
        <v>22</v>
      </c>
      <c r="Z30" s="1">
        <v>10</v>
      </c>
      <c r="AA30" s="1">
        <v>0</v>
      </c>
      <c r="AB30" s="1">
        <v>5</v>
      </c>
      <c r="AC30" s="1">
        <v>95</v>
      </c>
    </row>
    <row r="31" spans="1:29">
      <c r="A31" s="26" t="s">
        <v>386</v>
      </c>
      <c r="B31" s="1">
        <v>3</v>
      </c>
      <c r="C31" s="1"/>
      <c r="D31" s="1">
        <v>1</v>
      </c>
      <c r="E31" s="1"/>
      <c r="F31" s="1"/>
      <c r="G31" s="1"/>
      <c r="H31" s="1">
        <v>3</v>
      </c>
      <c r="I31" s="1">
        <v>5</v>
      </c>
      <c r="J31" s="1"/>
      <c r="K31" s="1">
        <v>9</v>
      </c>
      <c r="L31" s="1"/>
      <c r="M31" s="1">
        <v>6</v>
      </c>
      <c r="N31" s="1"/>
      <c r="O31" s="1">
        <v>1</v>
      </c>
      <c r="P31" s="1">
        <v>4</v>
      </c>
      <c r="Q31" s="1"/>
      <c r="R31" s="1"/>
      <c r="S31" s="1"/>
      <c r="T31" s="1">
        <v>0</v>
      </c>
      <c r="U31" s="1"/>
      <c r="V31" s="1"/>
      <c r="W31" s="1">
        <v>37</v>
      </c>
      <c r="X31" s="1"/>
      <c r="Y31" s="1">
        <v>24</v>
      </c>
      <c r="Z31" s="1">
        <v>11</v>
      </c>
      <c r="AA31" s="1">
        <v>0</v>
      </c>
      <c r="AB31" s="1">
        <v>6</v>
      </c>
      <c r="AC31" s="1">
        <v>110</v>
      </c>
    </row>
    <row r="32" spans="1:29">
      <c r="A32" s="26" t="s">
        <v>387</v>
      </c>
      <c r="B32" s="1">
        <v>4</v>
      </c>
      <c r="C32" s="1">
        <v>1</v>
      </c>
      <c r="D32" s="1">
        <v>1</v>
      </c>
      <c r="E32" s="1"/>
      <c r="F32" s="1">
        <v>1</v>
      </c>
      <c r="G32" s="1">
        <v>5</v>
      </c>
      <c r="H32" s="1">
        <v>3</v>
      </c>
      <c r="I32" s="1">
        <v>5</v>
      </c>
      <c r="J32" s="1"/>
      <c r="K32" s="1">
        <v>14</v>
      </c>
      <c r="L32" s="1"/>
      <c r="M32" s="1"/>
      <c r="N32" s="1"/>
      <c r="O32" s="1">
        <v>1</v>
      </c>
      <c r="P32" s="1">
        <v>5</v>
      </c>
      <c r="Q32" s="1"/>
      <c r="R32" s="1"/>
      <c r="S32" s="1">
        <v>1</v>
      </c>
      <c r="T32" s="1">
        <v>0</v>
      </c>
      <c r="U32" s="1"/>
      <c r="V32" s="1"/>
      <c r="W32" s="1">
        <v>48</v>
      </c>
      <c r="X32" s="1"/>
      <c r="Y32" s="1">
        <v>28</v>
      </c>
      <c r="Z32" s="1">
        <v>13</v>
      </c>
      <c r="AA32" s="1">
        <v>0</v>
      </c>
      <c r="AB32" s="1">
        <v>6</v>
      </c>
      <c r="AC32" s="1">
        <v>136</v>
      </c>
    </row>
    <row r="33" spans="1:29">
      <c r="A33" s="26" t="s">
        <v>388</v>
      </c>
      <c r="B33" s="1">
        <v>5</v>
      </c>
      <c r="C33" s="1">
        <v>1</v>
      </c>
      <c r="D33" s="1">
        <v>2</v>
      </c>
      <c r="E33" s="1"/>
      <c r="F33" s="1">
        <v>2</v>
      </c>
      <c r="G33" s="1">
        <v>6</v>
      </c>
      <c r="H33" s="1">
        <v>4</v>
      </c>
      <c r="I33" s="1">
        <v>5</v>
      </c>
      <c r="J33" s="1"/>
      <c r="K33" s="1">
        <v>15</v>
      </c>
      <c r="L33" s="1"/>
      <c r="M33" s="1">
        <v>6</v>
      </c>
      <c r="N33" s="1"/>
      <c r="O33" s="1">
        <v>2</v>
      </c>
      <c r="P33" s="1">
        <v>6</v>
      </c>
      <c r="Q33" s="1"/>
      <c r="R33" s="1"/>
      <c r="S33" s="1"/>
      <c r="T33" s="1">
        <v>0</v>
      </c>
      <c r="U33" s="1"/>
      <c r="V33" s="1">
        <v>1</v>
      </c>
      <c r="W33" s="1">
        <v>53</v>
      </c>
      <c r="X33" s="1"/>
      <c r="Y33" s="1">
        <v>32</v>
      </c>
      <c r="Z33" s="1">
        <v>14</v>
      </c>
      <c r="AA33" s="1">
        <v>0</v>
      </c>
      <c r="AB33" s="1">
        <v>8</v>
      </c>
      <c r="AC33" s="1">
        <v>162</v>
      </c>
    </row>
    <row r="34" spans="1:29">
      <c r="A34" s="26" t="s">
        <v>389</v>
      </c>
      <c r="B34" s="1">
        <v>6</v>
      </c>
      <c r="C34" s="1">
        <v>1</v>
      </c>
      <c r="D34" s="1">
        <v>2</v>
      </c>
      <c r="E34" s="1"/>
      <c r="F34" s="1">
        <v>2</v>
      </c>
      <c r="G34" s="1">
        <v>6</v>
      </c>
      <c r="H34" s="1">
        <v>5</v>
      </c>
      <c r="I34" s="1">
        <v>8</v>
      </c>
      <c r="J34" s="1"/>
      <c r="K34" s="1">
        <v>22</v>
      </c>
      <c r="L34" s="1"/>
      <c r="M34" s="1">
        <v>6</v>
      </c>
      <c r="N34" s="1"/>
      <c r="O34" s="1">
        <v>2</v>
      </c>
      <c r="P34" s="1">
        <v>9</v>
      </c>
      <c r="Q34" s="1"/>
      <c r="R34" s="1"/>
      <c r="S34" s="1">
        <v>1</v>
      </c>
      <c r="T34" s="1">
        <v>0</v>
      </c>
      <c r="U34" s="1"/>
      <c r="V34" s="1">
        <v>1</v>
      </c>
      <c r="W34" s="1">
        <v>60</v>
      </c>
      <c r="X34" s="1"/>
      <c r="Y34" s="1">
        <v>40</v>
      </c>
      <c r="Z34" s="1">
        <v>15</v>
      </c>
      <c r="AA34" s="1">
        <v>0</v>
      </c>
      <c r="AB34" s="1">
        <v>10</v>
      </c>
      <c r="AC34" s="1">
        <v>196</v>
      </c>
    </row>
    <row r="35" spans="1:29">
      <c r="A35" s="26" t="s">
        <v>390</v>
      </c>
      <c r="B35" s="1">
        <v>11</v>
      </c>
      <c r="C35" s="1">
        <v>1</v>
      </c>
      <c r="D35" s="1">
        <v>2</v>
      </c>
      <c r="E35" s="1"/>
      <c r="F35" s="1">
        <v>2</v>
      </c>
      <c r="G35" s="1">
        <v>7</v>
      </c>
      <c r="H35" s="1">
        <v>5</v>
      </c>
      <c r="I35" s="1">
        <v>12</v>
      </c>
      <c r="J35" s="1"/>
      <c r="K35" s="1">
        <v>24</v>
      </c>
      <c r="L35" s="1"/>
      <c r="M35" s="1">
        <v>9</v>
      </c>
      <c r="N35" s="1"/>
      <c r="O35" s="1">
        <v>3</v>
      </c>
      <c r="P35" s="1">
        <v>12</v>
      </c>
      <c r="Q35" s="1"/>
      <c r="R35" s="1"/>
      <c r="S35" s="1">
        <v>2</v>
      </c>
      <c r="T35" s="1">
        <v>0</v>
      </c>
      <c r="U35" s="1">
        <v>1</v>
      </c>
      <c r="V35" s="1">
        <v>1</v>
      </c>
      <c r="W35" s="1">
        <v>67</v>
      </c>
      <c r="X35" s="1"/>
      <c r="Y35" s="1">
        <v>57</v>
      </c>
      <c r="Z35" s="1">
        <v>17</v>
      </c>
      <c r="AA35" s="1">
        <v>0</v>
      </c>
      <c r="AB35" s="1">
        <v>13</v>
      </c>
      <c r="AC35" s="1">
        <v>246</v>
      </c>
    </row>
    <row r="36" spans="1:29">
      <c r="A36" s="26" t="s">
        <v>391</v>
      </c>
      <c r="B36" s="1">
        <v>15</v>
      </c>
      <c r="C36" s="1">
        <v>1</v>
      </c>
      <c r="D36" s="1">
        <v>3</v>
      </c>
      <c r="E36" s="1"/>
      <c r="F36" s="1">
        <v>2</v>
      </c>
      <c r="G36" s="1">
        <v>8</v>
      </c>
      <c r="H36" s="1">
        <v>5</v>
      </c>
      <c r="I36" s="1">
        <v>13</v>
      </c>
      <c r="J36" s="1"/>
      <c r="K36" s="1">
        <v>31</v>
      </c>
      <c r="L36" s="1"/>
      <c r="M36" s="1">
        <v>9</v>
      </c>
      <c r="N36" s="1"/>
      <c r="O36" s="1">
        <v>3</v>
      </c>
      <c r="P36" s="1">
        <v>13</v>
      </c>
      <c r="Q36" s="1"/>
      <c r="R36" s="1"/>
      <c r="S36" s="1"/>
      <c r="T36" s="1">
        <v>0</v>
      </c>
      <c r="U36" s="1">
        <v>1</v>
      </c>
      <c r="V36" s="1">
        <v>2</v>
      </c>
      <c r="W36" s="1">
        <v>76</v>
      </c>
      <c r="X36" s="1"/>
      <c r="Y36" s="1">
        <v>61</v>
      </c>
      <c r="Z36" s="1">
        <v>21</v>
      </c>
      <c r="AA36" s="1">
        <v>1</v>
      </c>
      <c r="AB36" s="1">
        <v>15</v>
      </c>
      <c r="AC36" s="1">
        <v>280</v>
      </c>
    </row>
    <row r="37" spans="1:29">
      <c r="A37" s="26" t="s">
        <v>392</v>
      </c>
      <c r="B37" s="1">
        <v>15</v>
      </c>
      <c r="C37" s="1">
        <v>1</v>
      </c>
      <c r="D37" s="1"/>
      <c r="E37" s="1"/>
      <c r="F37" s="1">
        <v>2</v>
      </c>
      <c r="G37" s="1">
        <v>9</v>
      </c>
      <c r="H37" s="1">
        <v>6</v>
      </c>
      <c r="I37" s="1">
        <v>13</v>
      </c>
      <c r="J37" s="1"/>
      <c r="K37" s="1">
        <v>39</v>
      </c>
      <c r="L37" s="1">
        <v>1</v>
      </c>
      <c r="M37" s="1"/>
      <c r="N37" s="1"/>
      <c r="O37" s="1">
        <v>4</v>
      </c>
      <c r="P37" s="1">
        <v>15</v>
      </c>
      <c r="Q37" s="1"/>
      <c r="R37" s="1"/>
      <c r="S37" s="1">
        <v>5</v>
      </c>
      <c r="T37" s="1">
        <v>0</v>
      </c>
      <c r="U37" s="1">
        <v>2</v>
      </c>
      <c r="V37" s="1">
        <v>2</v>
      </c>
      <c r="W37" s="1">
        <v>87</v>
      </c>
      <c r="X37" s="1"/>
      <c r="Y37" s="1">
        <v>72</v>
      </c>
      <c r="Z37" s="1">
        <v>25</v>
      </c>
      <c r="AA37" s="1">
        <v>1</v>
      </c>
      <c r="AB37" s="1">
        <v>19</v>
      </c>
      <c r="AC37" s="1">
        <v>318</v>
      </c>
    </row>
    <row r="38" spans="1:29">
      <c r="A38" s="26" t="s">
        <v>393</v>
      </c>
      <c r="B38" s="1">
        <v>16</v>
      </c>
      <c r="C38" s="1">
        <v>2</v>
      </c>
      <c r="D38" s="1"/>
      <c r="E38" s="1"/>
      <c r="F38" s="1">
        <v>2</v>
      </c>
      <c r="G38" s="1">
        <v>10</v>
      </c>
      <c r="H38" s="1">
        <v>6</v>
      </c>
      <c r="I38" s="1">
        <v>15</v>
      </c>
      <c r="J38" s="1"/>
      <c r="K38" s="1">
        <v>46</v>
      </c>
      <c r="L38" s="1"/>
      <c r="M38" s="1"/>
      <c r="N38" s="1"/>
      <c r="O38" s="1">
        <v>5</v>
      </c>
      <c r="P38" s="1">
        <v>18</v>
      </c>
      <c r="Q38" s="1"/>
      <c r="R38" s="1"/>
      <c r="S38" s="1">
        <v>5</v>
      </c>
      <c r="T38" s="1">
        <v>0</v>
      </c>
      <c r="U38" s="1">
        <v>2</v>
      </c>
      <c r="V38" s="1">
        <v>2</v>
      </c>
      <c r="W38" s="1">
        <v>93</v>
      </c>
      <c r="X38" s="1"/>
      <c r="Y38" s="1">
        <v>81</v>
      </c>
      <c r="Z38" s="1">
        <v>31</v>
      </c>
      <c r="AA38" s="1">
        <v>1</v>
      </c>
      <c r="AB38" s="1">
        <v>22</v>
      </c>
      <c r="AC38" s="1">
        <v>357</v>
      </c>
    </row>
    <row r="39" spans="1:29">
      <c r="A39" s="26" t="s">
        <v>394</v>
      </c>
      <c r="B39" s="1">
        <v>17</v>
      </c>
      <c r="C39" s="1"/>
      <c r="D39" s="1">
        <v>8</v>
      </c>
      <c r="E39" s="1"/>
      <c r="F39" s="1">
        <v>2</v>
      </c>
      <c r="G39" s="1">
        <v>13</v>
      </c>
      <c r="H39" s="1">
        <v>7</v>
      </c>
      <c r="I39" s="1">
        <v>15</v>
      </c>
      <c r="J39" s="1"/>
      <c r="K39" s="1">
        <v>55</v>
      </c>
      <c r="L39" s="1">
        <v>1</v>
      </c>
      <c r="M39" s="1">
        <v>12</v>
      </c>
      <c r="N39" s="1"/>
      <c r="O39" s="1">
        <v>6</v>
      </c>
      <c r="P39" s="1">
        <v>21</v>
      </c>
      <c r="Q39" s="1"/>
      <c r="R39" s="1"/>
      <c r="S39" s="1">
        <v>5</v>
      </c>
      <c r="T39" s="1">
        <v>0</v>
      </c>
      <c r="U39" s="1">
        <v>2</v>
      </c>
      <c r="V39" s="1">
        <v>2</v>
      </c>
      <c r="W39" s="1">
        <v>105</v>
      </c>
      <c r="X39" s="1"/>
      <c r="Y39" s="1">
        <v>92</v>
      </c>
      <c r="Z39" s="1">
        <v>35</v>
      </c>
      <c r="AA39" s="1">
        <v>1</v>
      </c>
      <c r="AB39" s="1">
        <v>24</v>
      </c>
      <c r="AC39" s="1">
        <v>423</v>
      </c>
    </row>
    <row r="40" spans="1:29">
      <c r="A40" s="26" t="s">
        <v>395</v>
      </c>
      <c r="B40" s="1">
        <v>20</v>
      </c>
      <c r="C40" s="1">
        <v>2</v>
      </c>
      <c r="D40" s="1">
        <v>11</v>
      </c>
      <c r="E40" s="1"/>
      <c r="F40" s="1">
        <v>2</v>
      </c>
      <c r="G40" s="1">
        <v>16</v>
      </c>
      <c r="H40" s="1">
        <v>10</v>
      </c>
      <c r="I40" s="1">
        <v>16</v>
      </c>
      <c r="J40" s="1"/>
      <c r="K40" s="1">
        <v>63</v>
      </c>
      <c r="L40" s="1">
        <v>2</v>
      </c>
      <c r="M40" s="1">
        <v>19</v>
      </c>
      <c r="N40" s="1"/>
      <c r="O40" s="1">
        <v>7</v>
      </c>
      <c r="P40" s="1">
        <v>23</v>
      </c>
      <c r="Q40" s="1"/>
      <c r="R40" s="1"/>
      <c r="S40" s="1">
        <v>7</v>
      </c>
      <c r="T40" s="1">
        <v>1</v>
      </c>
      <c r="U40" s="1">
        <v>4</v>
      </c>
      <c r="V40" s="1">
        <v>3</v>
      </c>
      <c r="W40" s="1">
        <v>120</v>
      </c>
      <c r="X40" s="1"/>
      <c r="Y40" s="1">
        <v>104</v>
      </c>
      <c r="Z40" s="1">
        <v>37</v>
      </c>
      <c r="AA40" s="1">
        <v>1</v>
      </c>
      <c r="AB40" s="1">
        <v>27</v>
      </c>
      <c r="AC40" s="1">
        <v>495</v>
      </c>
    </row>
    <row r="41" spans="1:29">
      <c r="A41" s="26" t="s">
        <v>396</v>
      </c>
      <c r="B41" s="1">
        <v>23</v>
      </c>
      <c r="C41" s="1">
        <v>3</v>
      </c>
      <c r="D41" s="1">
        <v>11</v>
      </c>
      <c r="E41" s="1"/>
      <c r="F41" s="1">
        <v>3</v>
      </c>
      <c r="G41" s="1">
        <v>20</v>
      </c>
      <c r="H41" s="1">
        <v>11</v>
      </c>
      <c r="I41" s="1">
        <v>18</v>
      </c>
      <c r="J41" s="1"/>
      <c r="K41" s="1">
        <v>71</v>
      </c>
      <c r="L41" s="1">
        <v>2</v>
      </c>
      <c r="M41" s="1">
        <v>21</v>
      </c>
      <c r="N41" s="1"/>
      <c r="O41" s="1">
        <v>7</v>
      </c>
      <c r="P41" s="1">
        <v>25</v>
      </c>
      <c r="Q41" s="1"/>
      <c r="R41" s="1"/>
      <c r="S41" s="1">
        <v>7</v>
      </c>
      <c r="T41" s="1">
        <v>1</v>
      </c>
      <c r="U41" s="1">
        <v>4</v>
      </c>
      <c r="V41" s="1">
        <v>4</v>
      </c>
      <c r="W41" s="1">
        <v>132</v>
      </c>
      <c r="X41" s="1">
        <v>1</v>
      </c>
      <c r="Y41" s="1">
        <v>115</v>
      </c>
      <c r="Z41" s="1">
        <v>40</v>
      </c>
      <c r="AA41" s="1">
        <v>1</v>
      </c>
      <c r="AB41" s="1">
        <v>36</v>
      </c>
      <c r="AC41" s="1">
        <v>556</v>
      </c>
    </row>
    <row r="42" spans="1:29">
      <c r="A42" s="26" t="s">
        <v>397</v>
      </c>
      <c r="B42" s="1">
        <v>26</v>
      </c>
      <c r="C42" s="1">
        <v>3</v>
      </c>
      <c r="D42" s="1">
        <v>12</v>
      </c>
      <c r="E42" s="1"/>
      <c r="F42" s="1">
        <v>3</v>
      </c>
      <c r="G42" s="1">
        <v>23</v>
      </c>
      <c r="H42" s="1">
        <v>12</v>
      </c>
      <c r="I42" s="1">
        <v>19</v>
      </c>
      <c r="J42" s="1"/>
      <c r="K42" s="1">
        <v>79</v>
      </c>
      <c r="L42" s="1">
        <v>2</v>
      </c>
      <c r="M42" s="1">
        <v>23</v>
      </c>
      <c r="N42" s="1"/>
      <c r="O42" s="1">
        <v>7</v>
      </c>
      <c r="P42" s="1">
        <v>28</v>
      </c>
      <c r="Q42" s="1"/>
      <c r="R42" s="1"/>
      <c r="S42" s="1">
        <v>8</v>
      </c>
      <c r="T42" s="1">
        <v>1</v>
      </c>
      <c r="U42" s="1">
        <v>4</v>
      </c>
      <c r="V42" s="1">
        <v>4</v>
      </c>
      <c r="W42" s="1">
        <v>141</v>
      </c>
      <c r="X42" s="1">
        <v>1</v>
      </c>
      <c r="Y42" s="1">
        <v>134</v>
      </c>
      <c r="Z42" s="1">
        <v>47</v>
      </c>
      <c r="AA42" s="1">
        <v>1</v>
      </c>
      <c r="AB42" s="1">
        <v>39</v>
      </c>
      <c r="AC42" s="1">
        <v>617</v>
      </c>
    </row>
    <row r="43" spans="1:29">
      <c r="A43" s="26" t="s">
        <v>398</v>
      </c>
      <c r="B43" s="1">
        <v>31</v>
      </c>
      <c r="C43" s="1">
        <v>3</v>
      </c>
      <c r="D43" s="1">
        <v>12</v>
      </c>
      <c r="E43" s="1"/>
      <c r="F43" s="1">
        <v>3</v>
      </c>
      <c r="G43" s="1">
        <v>26</v>
      </c>
      <c r="H43" s="1">
        <v>14</v>
      </c>
      <c r="I43" s="1">
        <v>21</v>
      </c>
      <c r="J43" s="1"/>
      <c r="K43" s="1">
        <v>85</v>
      </c>
      <c r="L43" s="1">
        <v>2</v>
      </c>
      <c r="M43" s="1">
        <v>27</v>
      </c>
      <c r="N43" s="1"/>
      <c r="O43" s="1">
        <v>7</v>
      </c>
      <c r="P43" s="1">
        <v>29</v>
      </c>
      <c r="Q43" s="1"/>
      <c r="R43" s="1"/>
      <c r="S43" s="1">
        <v>8</v>
      </c>
      <c r="T43" s="1">
        <v>1</v>
      </c>
      <c r="U43" s="1">
        <v>4</v>
      </c>
      <c r="V43" s="1">
        <v>5</v>
      </c>
      <c r="W43" s="1">
        <v>155</v>
      </c>
      <c r="X43" s="1">
        <v>1</v>
      </c>
      <c r="Y43" s="1">
        <v>152</v>
      </c>
      <c r="Z43" s="1">
        <v>51</v>
      </c>
      <c r="AA43" s="1">
        <v>2</v>
      </c>
      <c r="AB43" s="1">
        <v>41</v>
      </c>
      <c r="AC43" s="1">
        <v>680</v>
      </c>
    </row>
    <row r="44" spans="1:29">
      <c r="A44" s="26" t="s">
        <v>399</v>
      </c>
      <c r="B44" s="1">
        <v>37</v>
      </c>
      <c r="C44" s="1">
        <v>3</v>
      </c>
      <c r="D44" s="1"/>
      <c r="E44" s="1"/>
      <c r="F44" s="1">
        <v>3</v>
      </c>
      <c r="G44" s="1">
        <v>28</v>
      </c>
      <c r="H44" s="1">
        <v>19</v>
      </c>
      <c r="I44" s="1">
        <v>24</v>
      </c>
      <c r="J44" s="1">
        <v>1</v>
      </c>
      <c r="K44" s="1">
        <v>98</v>
      </c>
      <c r="L44" s="1"/>
      <c r="M44" s="1"/>
      <c r="N44" s="1"/>
      <c r="O44" s="1">
        <v>7</v>
      </c>
      <c r="P44" s="1">
        <v>31</v>
      </c>
      <c r="Q44" s="1">
        <v>0</v>
      </c>
      <c r="R44" s="1"/>
      <c r="S44" s="1">
        <v>9</v>
      </c>
      <c r="T44" s="1">
        <v>1</v>
      </c>
      <c r="U44" s="1">
        <v>5</v>
      </c>
      <c r="V44" s="1">
        <v>5</v>
      </c>
      <c r="W44" s="1">
        <v>165</v>
      </c>
      <c r="X44" s="1">
        <v>1</v>
      </c>
      <c r="Y44" s="1">
        <v>162</v>
      </c>
      <c r="Z44" s="1">
        <v>53</v>
      </c>
      <c r="AA44" s="1">
        <v>2</v>
      </c>
      <c r="AB44" s="1">
        <v>49</v>
      </c>
      <c r="AC44" s="1">
        <v>703</v>
      </c>
    </row>
    <row r="45" spans="1:29">
      <c r="A45" s="26" t="s">
        <v>400</v>
      </c>
      <c r="B45" s="1">
        <v>40</v>
      </c>
      <c r="C45" s="1">
        <v>3</v>
      </c>
      <c r="D45" s="1"/>
      <c r="E45" s="1"/>
      <c r="F45" s="1">
        <v>3</v>
      </c>
      <c r="G45" s="1">
        <v>28</v>
      </c>
      <c r="H45" s="1">
        <v>19</v>
      </c>
      <c r="I45" s="1">
        <v>26</v>
      </c>
      <c r="J45" s="1">
        <v>1</v>
      </c>
      <c r="K45" s="1">
        <v>105</v>
      </c>
      <c r="L45" s="1"/>
      <c r="M45" s="1">
        <v>30</v>
      </c>
      <c r="N45" s="1"/>
      <c r="O45" s="1">
        <v>9</v>
      </c>
      <c r="P45" s="1">
        <v>31</v>
      </c>
      <c r="Q45" s="1">
        <v>0</v>
      </c>
      <c r="R45" s="1"/>
      <c r="S45" s="1">
        <v>9</v>
      </c>
      <c r="T45" s="1">
        <v>1</v>
      </c>
      <c r="U45" s="1">
        <v>5</v>
      </c>
      <c r="V45" s="1">
        <v>7</v>
      </c>
      <c r="W45" s="1">
        <v>177</v>
      </c>
      <c r="X45" s="1">
        <v>2</v>
      </c>
      <c r="Y45" s="1">
        <v>174</v>
      </c>
      <c r="Z45" s="1">
        <v>57</v>
      </c>
      <c r="AA45" s="1">
        <v>3</v>
      </c>
      <c r="AB45" s="1">
        <v>53</v>
      </c>
      <c r="AC45" s="1">
        <v>783</v>
      </c>
    </row>
    <row r="46" spans="1:29">
      <c r="A46" s="26" t="s">
        <v>401</v>
      </c>
      <c r="B46" s="1">
        <v>41</v>
      </c>
      <c r="C46" s="1">
        <v>3</v>
      </c>
      <c r="D46" s="1">
        <v>13</v>
      </c>
      <c r="E46" s="1"/>
      <c r="F46" s="1">
        <v>3</v>
      </c>
      <c r="G46" s="1">
        <v>31</v>
      </c>
      <c r="H46" s="1">
        <v>19</v>
      </c>
      <c r="I46" s="1">
        <v>26</v>
      </c>
      <c r="J46" s="1"/>
      <c r="K46" s="1">
        <v>116</v>
      </c>
      <c r="L46" s="1">
        <v>2</v>
      </c>
      <c r="M46" s="1">
        <v>31</v>
      </c>
      <c r="N46" s="1"/>
      <c r="O46" s="1">
        <v>9</v>
      </c>
      <c r="P46" s="1">
        <v>34</v>
      </c>
      <c r="Q46" s="1">
        <v>0</v>
      </c>
      <c r="R46" s="1">
        <v>0</v>
      </c>
      <c r="S46" s="1">
        <v>11</v>
      </c>
      <c r="T46" s="1">
        <v>1</v>
      </c>
      <c r="U46" s="1">
        <v>6</v>
      </c>
      <c r="V46" s="1">
        <v>7</v>
      </c>
      <c r="W46" s="1">
        <v>189</v>
      </c>
      <c r="X46" s="1">
        <v>2</v>
      </c>
      <c r="Y46" s="1">
        <v>190</v>
      </c>
      <c r="Z46" s="1">
        <v>60</v>
      </c>
      <c r="AA46" s="1">
        <v>3</v>
      </c>
      <c r="AB46" s="1">
        <v>55</v>
      </c>
      <c r="AC46" s="1">
        <v>852</v>
      </c>
    </row>
    <row r="47" spans="1:29">
      <c r="A47" s="26" t="s">
        <v>402</v>
      </c>
      <c r="B47" s="1">
        <v>44</v>
      </c>
      <c r="C47" s="1">
        <v>3</v>
      </c>
      <c r="D47" s="1">
        <v>16</v>
      </c>
      <c r="E47" s="1"/>
      <c r="F47" s="1">
        <v>3</v>
      </c>
      <c r="G47" s="1">
        <v>33</v>
      </c>
      <c r="H47" s="1">
        <v>19</v>
      </c>
      <c r="I47" s="1">
        <v>28</v>
      </c>
      <c r="J47" s="1">
        <v>1</v>
      </c>
      <c r="K47" s="1">
        <v>127</v>
      </c>
      <c r="L47" s="1">
        <v>2</v>
      </c>
      <c r="M47" s="1">
        <v>34</v>
      </c>
      <c r="N47" s="1"/>
      <c r="O47" s="1">
        <v>9</v>
      </c>
      <c r="P47" s="1">
        <v>36</v>
      </c>
      <c r="Q47" s="1">
        <v>0</v>
      </c>
      <c r="R47" s="1">
        <v>0</v>
      </c>
      <c r="S47" s="1">
        <v>13</v>
      </c>
      <c r="T47" s="1">
        <v>1</v>
      </c>
      <c r="U47" s="1">
        <v>7</v>
      </c>
      <c r="V47" s="1">
        <v>8</v>
      </c>
      <c r="W47" s="1">
        <v>198</v>
      </c>
      <c r="X47" s="1">
        <v>2</v>
      </c>
      <c r="Y47" s="1">
        <v>202</v>
      </c>
      <c r="Z47" s="1">
        <v>68</v>
      </c>
      <c r="AA47" s="1">
        <v>3</v>
      </c>
      <c r="AB47" s="1">
        <v>57</v>
      </c>
      <c r="AC47" s="1">
        <v>914</v>
      </c>
    </row>
    <row r="48" spans="1:29">
      <c r="A48" s="26" t="s">
        <v>403</v>
      </c>
      <c r="B48" s="1">
        <v>45</v>
      </c>
      <c r="C48" s="1">
        <v>3</v>
      </c>
      <c r="D48" s="1">
        <v>16</v>
      </c>
      <c r="E48" s="1"/>
      <c r="F48" s="1">
        <v>3</v>
      </c>
      <c r="G48" s="1">
        <v>37</v>
      </c>
      <c r="H48" s="1">
        <v>21</v>
      </c>
      <c r="I48" s="1">
        <v>31</v>
      </c>
      <c r="J48" s="1"/>
      <c r="K48" s="1">
        <v>140</v>
      </c>
      <c r="L48" s="1">
        <v>2</v>
      </c>
      <c r="M48" s="1">
        <v>35</v>
      </c>
      <c r="N48" s="1">
        <v>1</v>
      </c>
      <c r="O48" s="1">
        <v>9</v>
      </c>
      <c r="P48" s="1">
        <v>39</v>
      </c>
      <c r="Q48" s="1">
        <v>0</v>
      </c>
      <c r="R48" s="1">
        <v>0</v>
      </c>
      <c r="S48" s="1">
        <v>15</v>
      </c>
      <c r="T48" s="1">
        <v>1</v>
      </c>
      <c r="U48" s="1">
        <v>7</v>
      </c>
      <c r="V48" s="1">
        <v>8</v>
      </c>
      <c r="W48" s="1">
        <v>211</v>
      </c>
      <c r="X48" s="1">
        <v>4</v>
      </c>
      <c r="Y48" s="1">
        <v>214</v>
      </c>
      <c r="Z48" s="1">
        <v>71</v>
      </c>
      <c r="AA48" s="1">
        <v>3</v>
      </c>
      <c r="AB48" s="1">
        <v>65</v>
      </c>
      <c r="AC48" s="1">
        <v>981</v>
      </c>
    </row>
    <row r="49" spans="1:29">
      <c r="A49" s="26" t="s">
        <v>404</v>
      </c>
      <c r="B49" s="1">
        <v>46</v>
      </c>
      <c r="C49" s="1">
        <v>5</v>
      </c>
      <c r="D49" s="1">
        <v>17</v>
      </c>
      <c r="E49" s="1"/>
      <c r="F49" s="1">
        <v>3</v>
      </c>
      <c r="G49" s="1">
        <v>38</v>
      </c>
      <c r="H49" s="1">
        <v>21</v>
      </c>
      <c r="I49" s="1">
        <v>33</v>
      </c>
      <c r="J49" s="1"/>
      <c r="K49" s="1">
        <v>149</v>
      </c>
      <c r="L49" s="1">
        <v>2</v>
      </c>
      <c r="M49" s="1">
        <v>35</v>
      </c>
      <c r="N49" s="1">
        <v>1</v>
      </c>
      <c r="O49" s="1">
        <v>9</v>
      </c>
      <c r="P49" s="1">
        <v>40</v>
      </c>
      <c r="Q49" s="1">
        <v>0</v>
      </c>
      <c r="R49" s="1">
        <v>0</v>
      </c>
      <c r="S49" s="1">
        <v>16</v>
      </c>
      <c r="T49" s="1">
        <v>1</v>
      </c>
      <c r="U49" s="1">
        <v>9</v>
      </c>
      <c r="V49" s="1">
        <v>8</v>
      </c>
      <c r="W49" s="1">
        <v>219</v>
      </c>
      <c r="X49" s="1">
        <v>4</v>
      </c>
      <c r="Y49" s="1">
        <v>228</v>
      </c>
      <c r="Z49" s="1">
        <v>77</v>
      </c>
      <c r="AA49" s="1">
        <v>3</v>
      </c>
      <c r="AB49" s="1">
        <v>66</v>
      </c>
      <c r="AC49" s="1">
        <v>1030</v>
      </c>
    </row>
    <row r="50" spans="1:29">
      <c r="A50" s="26" t="s">
        <v>405</v>
      </c>
      <c r="B50" s="1">
        <v>49</v>
      </c>
      <c r="C50" s="1">
        <v>5</v>
      </c>
      <c r="D50" s="1">
        <v>18</v>
      </c>
      <c r="E50" s="1"/>
      <c r="F50" s="1">
        <v>3</v>
      </c>
      <c r="G50" s="1">
        <v>42</v>
      </c>
      <c r="H50" s="1">
        <v>22</v>
      </c>
      <c r="I50" s="1">
        <v>33</v>
      </c>
      <c r="J50" s="1">
        <v>1</v>
      </c>
      <c r="K50" s="1">
        <v>159</v>
      </c>
      <c r="L50" s="1"/>
      <c r="M50" s="1">
        <v>35</v>
      </c>
      <c r="N50" s="1">
        <v>3</v>
      </c>
      <c r="O50" s="1">
        <v>9</v>
      </c>
      <c r="P50" s="1">
        <v>40</v>
      </c>
      <c r="Q50" s="1">
        <v>0</v>
      </c>
      <c r="R50" s="1"/>
      <c r="S50" s="1">
        <v>17</v>
      </c>
      <c r="T50" s="1">
        <v>1</v>
      </c>
      <c r="U50" s="1">
        <v>10</v>
      </c>
      <c r="V50" s="1">
        <v>8</v>
      </c>
      <c r="W50" s="1">
        <v>227</v>
      </c>
      <c r="X50" s="1">
        <v>4</v>
      </c>
      <c r="Y50" s="1">
        <v>235</v>
      </c>
      <c r="Z50" s="1">
        <v>83</v>
      </c>
      <c r="AA50" s="1">
        <v>4</v>
      </c>
      <c r="AB50" s="1">
        <v>71</v>
      </c>
      <c r="AC50" s="1">
        <v>1079</v>
      </c>
    </row>
    <row r="51" spans="1:29">
      <c r="A51" s="26" t="s">
        <v>406</v>
      </c>
      <c r="B51" s="1">
        <v>53</v>
      </c>
      <c r="C51" s="1">
        <v>6</v>
      </c>
      <c r="D51" s="1">
        <v>18</v>
      </c>
      <c r="E51" s="1"/>
      <c r="F51" s="1">
        <v>3</v>
      </c>
      <c r="G51" s="1">
        <v>44</v>
      </c>
      <c r="H51" s="1">
        <v>22</v>
      </c>
      <c r="I51" s="1">
        <v>33</v>
      </c>
      <c r="J51" s="1">
        <v>1</v>
      </c>
      <c r="K51" s="1">
        <v>167</v>
      </c>
      <c r="L51" s="1">
        <v>2</v>
      </c>
      <c r="M51" s="1">
        <v>35</v>
      </c>
      <c r="N51" s="1">
        <v>3</v>
      </c>
      <c r="O51" s="1">
        <v>10</v>
      </c>
      <c r="P51" s="1">
        <v>42</v>
      </c>
      <c r="Q51" s="1">
        <v>0</v>
      </c>
      <c r="R51" s="1"/>
      <c r="S51" s="1">
        <v>18</v>
      </c>
      <c r="T51" s="1">
        <v>1</v>
      </c>
      <c r="U51" s="1">
        <v>10</v>
      </c>
      <c r="V51" s="1">
        <v>8</v>
      </c>
      <c r="W51" s="1">
        <v>229</v>
      </c>
      <c r="X51" s="1">
        <v>4</v>
      </c>
      <c r="Y51" s="1">
        <v>241</v>
      </c>
      <c r="Z51" s="1">
        <v>85</v>
      </c>
      <c r="AA51" s="1">
        <v>5</v>
      </c>
      <c r="AB51" s="1">
        <v>77</v>
      </c>
      <c r="AC51" s="1">
        <v>1117</v>
      </c>
    </row>
    <row r="52" spans="1:29">
      <c r="A52" s="26" t="s">
        <v>407</v>
      </c>
      <c r="B52" s="1">
        <v>54</v>
      </c>
      <c r="C52" s="1">
        <v>7</v>
      </c>
      <c r="D52" s="1">
        <v>18</v>
      </c>
      <c r="E52" s="1"/>
      <c r="F52" s="1"/>
      <c r="G52" s="1">
        <v>49</v>
      </c>
      <c r="H52" s="1">
        <v>23</v>
      </c>
      <c r="I52" s="1">
        <v>33</v>
      </c>
      <c r="J52" s="1">
        <v>1</v>
      </c>
      <c r="K52" s="1">
        <v>173</v>
      </c>
      <c r="L52" s="1"/>
      <c r="M52" s="1">
        <v>35</v>
      </c>
      <c r="N52" s="1">
        <v>3</v>
      </c>
      <c r="O52" s="1">
        <v>10</v>
      </c>
      <c r="P52" s="1">
        <v>47</v>
      </c>
      <c r="Q52" s="1">
        <v>0</v>
      </c>
      <c r="R52" s="1"/>
      <c r="S52" s="1">
        <v>21</v>
      </c>
      <c r="T52" s="1">
        <v>1</v>
      </c>
      <c r="U52" s="1">
        <v>11</v>
      </c>
      <c r="V52" s="1">
        <v>8</v>
      </c>
      <c r="W52" s="1">
        <v>244</v>
      </c>
      <c r="X52" s="1">
        <v>4</v>
      </c>
      <c r="Y52" s="1">
        <v>249</v>
      </c>
      <c r="Z52" s="1">
        <v>91</v>
      </c>
      <c r="AA52" s="1">
        <v>5</v>
      </c>
      <c r="AB52" s="1">
        <v>79</v>
      </c>
      <c r="AC52" s="1">
        <v>1166</v>
      </c>
    </row>
    <row r="53" spans="1:29">
      <c r="A53" s="26" t="s">
        <v>417</v>
      </c>
      <c r="B53" s="1">
        <v>55</v>
      </c>
      <c r="C53" s="1">
        <v>7</v>
      </c>
      <c r="D53" s="1">
        <v>19</v>
      </c>
      <c r="E53" s="1"/>
      <c r="F53" s="1">
        <v>3</v>
      </c>
      <c r="G53" s="1">
        <v>49</v>
      </c>
      <c r="H53" s="1">
        <v>24</v>
      </c>
      <c r="I53" s="1">
        <v>34</v>
      </c>
      <c r="J53" s="1">
        <v>1</v>
      </c>
      <c r="K53" s="1">
        <v>176</v>
      </c>
      <c r="L53" s="1">
        <v>2</v>
      </c>
      <c r="M53" s="1">
        <v>35</v>
      </c>
      <c r="N53" s="1">
        <v>3</v>
      </c>
      <c r="O53" s="1">
        <v>10</v>
      </c>
      <c r="P53" s="1">
        <v>48</v>
      </c>
      <c r="Q53" s="1">
        <v>1</v>
      </c>
      <c r="R53" s="1"/>
      <c r="S53" s="1">
        <v>21</v>
      </c>
      <c r="T53" s="1">
        <v>1</v>
      </c>
      <c r="U53" s="1">
        <v>12</v>
      </c>
      <c r="V53" s="1">
        <v>8</v>
      </c>
      <c r="W53" s="1">
        <v>251</v>
      </c>
      <c r="X53" s="1">
        <v>4</v>
      </c>
      <c r="Y53" s="1">
        <v>255</v>
      </c>
      <c r="Z53" s="1">
        <v>93</v>
      </c>
      <c r="AA53" s="1">
        <v>5</v>
      </c>
      <c r="AB53" s="1">
        <v>83</v>
      </c>
      <c r="AC53" s="1">
        <v>1200</v>
      </c>
    </row>
    <row r="54" spans="1:29">
      <c r="A54" s="26" t="s">
        <v>433</v>
      </c>
      <c r="B54" s="1">
        <v>57</v>
      </c>
      <c r="C54" s="1">
        <v>8</v>
      </c>
      <c r="D54" s="1">
        <v>19</v>
      </c>
      <c r="E54" s="1"/>
      <c r="F54" s="1">
        <v>3</v>
      </c>
      <c r="G54" s="1">
        <v>49</v>
      </c>
      <c r="H54" s="1">
        <v>25</v>
      </c>
      <c r="I54" s="1">
        <v>34</v>
      </c>
      <c r="J54" s="1"/>
      <c r="K54" s="1">
        <v>180</v>
      </c>
      <c r="L54" s="1">
        <v>2</v>
      </c>
      <c r="M54" s="1">
        <v>37</v>
      </c>
      <c r="N54" s="1">
        <v>3</v>
      </c>
      <c r="O54" s="1">
        <v>11</v>
      </c>
      <c r="P54" s="1">
        <v>51</v>
      </c>
      <c r="Q54" s="1">
        <v>1</v>
      </c>
      <c r="R54" s="1">
        <v>0</v>
      </c>
      <c r="S54" s="1">
        <v>21</v>
      </c>
      <c r="T54" s="1">
        <v>1</v>
      </c>
      <c r="U54" s="1">
        <v>13</v>
      </c>
      <c r="V54" s="1">
        <v>10</v>
      </c>
      <c r="W54" s="1">
        <v>258</v>
      </c>
      <c r="X54" s="1">
        <v>4</v>
      </c>
      <c r="Y54" s="1">
        <v>265</v>
      </c>
      <c r="Z54" s="1">
        <v>94</v>
      </c>
      <c r="AA54" s="1">
        <v>5</v>
      </c>
      <c r="AB54" s="1">
        <v>87</v>
      </c>
      <c r="AC54" s="1">
        <v>1238</v>
      </c>
    </row>
    <row r="55" spans="1:29">
      <c r="A55" s="26" t="s">
        <v>443</v>
      </c>
      <c r="B55" s="1">
        <v>63</v>
      </c>
      <c r="C55" s="1">
        <v>8</v>
      </c>
      <c r="D55" s="1">
        <v>22</v>
      </c>
      <c r="E55" s="1"/>
      <c r="F55" s="1">
        <v>3</v>
      </c>
      <c r="G55" s="1">
        <v>53</v>
      </c>
      <c r="H55" s="1">
        <v>25</v>
      </c>
      <c r="I55" s="1">
        <v>36</v>
      </c>
      <c r="J55" s="1">
        <v>1</v>
      </c>
      <c r="K55" s="1">
        <v>184</v>
      </c>
      <c r="L55" s="1">
        <v>2</v>
      </c>
      <c r="M55" s="1">
        <v>38</v>
      </c>
      <c r="N55" s="1">
        <v>3</v>
      </c>
      <c r="O55" s="1">
        <v>12</v>
      </c>
      <c r="P55" s="1">
        <v>52</v>
      </c>
      <c r="Q55" s="1">
        <v>2</v>
      </c>
      <c r="R55" s="1">
        <v>0</v>
      </c>
      <c r="S55" s="1">
        <v>23</v>
      </c>
      <c r="T55" s="1">
        <v>1</v>
      </c>
      <c r="U55" s="1">
        <v>13</v>
      </c>
      <c r="V55" s="1">
        <v>11</v>
      </c>
      <c r="W55" s="1">
        <v>263</v>
      </c>
      <c r="X55" s="1">
        <v>4</v>
      </c>
      <c r="Y55" s="1">
        <v>282</v>
      </c>
      <c r="Z55" s="1">
        <v>94</v>
      </c>
      <c r="AA55" s="1">
        <v>6</v>
      </c>
      <c r="AB55" s="1">
        <v>91</v>
      </c>
      <c r="AC55" s="1">
        <v>1292</v>
      </c>
    </row>
    <row r="56" spans="1:29">
      <c r="A56" s="26" t="s">
        <v>452</v>
      </c>
      <c r="B56" s="1">
        <v>65</v>
      </c>
      <c r="C56" s="1">
        <v>8</v>
      </c>
      <c r="D56" s="1">
        <v>23</v>
      </c>
      <c r="E56" s="1"/>
      <c r="F56" s="1">
        <v>3</v>
      </c>
      <c r="G56" s="1">
        <v>55</v>
      </c>
      <c r="H56" s="1">
        <v>25</v>
      </c>
      <c r="I56" s="1">
        <v>37</v>
      </c>
      <c r="J56" s="1">
        <v>1</v>
      </c>
      <c r="K56" s="1">
        <v>190</v>
      </c>
      <c r="L56" s="1">
        <v>3</v>
      </c>
      <c r="M56" s="1">
        <v>39</v>
      </c>
      <c r="N56" s="1">
        <v>3</v>
      </c>
      <c r="O56" s="1">
        <v>13</v>
      </c>
      <c r="P56" s="1">
        <v>53</v>
      </c>
      <c r="Q56" s="1">
        <v>2</v>
      </c>
      <c r="R56" s="1">
        <v>0</v>
      </c>
      <c r="S56" s="1">
        <v>25</v>
      </c>
      <c r="T56" s="1">
        <v>1</v>
      </c>
      <c r="U56" s="1">
        <v>14</v>
      </c>
      <c r="V56" s="1">
        <v>11</v>
      </c>
      <c r="W56" s="1">
        <v>269</v>
      </c>
      <c r="X56" s="1">
        <v>5</v>
      </c>
      <c r="Y56" s="1">
        <v>292</v>
      </c>
      <c r="Z56" s="1">
        <v>95</v>
      </c>
      <c r="AA56" s="1">
        <v>6</v>
      </c>
      <c r="AB56" s="1">
        <v>95</v>
      </c>
      <c r="AC56" s="1">
        <v>1333</v>
      </c>
    </row>
    <row r="57" spans="1:29">
      <c r="A57" s="26" t="s">
        <v>484</v>
      </c>
      <c r="B57" s="1">
        <v>67</v>
      </c>
      <c r="C57" s="1">
        <v>9</v>
      </c>
      <c r="D57" s="1">
        <v>24</v>
      </c>
      <c r="E57" s="1"/>
      <c r="F57" s="1">
        <v>3</v>
      </c>
      <c r="G57" s="1">
        <v>67</v>
      </c>
      <c r="H57" s="1">
        <v>25</v>
      </c>
      <c r="I57" s="1">
        <v>37</v>
      </c>
      <c r="J57" s="1">
        <v>1</v>
      </c>
      <c r="K57" s="1">
        <v>196</v>
      </c>
      <c r="L57" s="1">
        <v>3</v>
      </c>
      <c r="M57" s="1"/>
      <c r="N57" s="1">
        <v>3</v>
      </c>
      <c r="O57" s="1">
        <v>14</v>
      </c>
      <c r="P57" s="1">
        <v>55</v>
      </c>
      <c r="Q57" s="1">
        <v>2</v>
      </c>
      <c r="R57" s="1">
        <v>0</v>
      </c>
      <c r="S57" s="1">
        <v>27</v>
      </c>
      <c r="T57" s="1">
        <v>1</v>
      </c>
      <c r="U57" s="1">
        <v>14</v>
      </c>
      <c r="V57" s="1">
        <v>12</v>
      </c>
      <c r="W57" s="1">
        <v>270</v>
      </c>
      <c r="X57" s="1">
        <v>5</v>
      </c>
      <c r="Y57" s="1">
        <v>296</v>
      </c>
      <c r="Z57" s="1">
        <v>99</v>
      </c>
      <c r="AA57" s="1">
        <v>7</v>
      </c>
      <c r="AB57" s="1">
        <v>98</v>
      </c>
      <c r="AC57" s="1">
        <v>1335</v>
      </c>
    </row>
    <row r="58" spans="1:29">
      <c r="A58" s="26" t="s">
        <v>485</v>
      </c>
      <c r="B58" s="1">
        <v>69</v>
      </c>
      <c r="C58" s="1">
        <v>10</v>
      </c>
      <c r="D58" s="1">
        <v>25</v>
      </c>
      <c r="E58" s="1"/>
      <c r="F58" s="1"/>
      <c r="G58" s="1">
        <v>69</v>
      </c>
      <c r="H58" s="1">
        <v>25</v>
      </c>
      <c r="I58" s="1">
        <v>40</v>
      </c>
      <c r="J58" s="1">
        <v>1</v>
      </c>
      <c r="K58" s="1">
        <v>199</v>
      </c>
      <c r="L58" s="1"/>
      <c r="M58" s="1"/>
      <c r="N58" s="1">
        <v>3</v>
      </c>
      <c r="O58" s="1">
        <v>15</v>
      </c>
      <c r="P58" s="1">
        <v>55</v>
      </c>
      <c r="Q58" s="1">
        <v>3</v>
      </c>
      <c r="R58" s="1"/>
      <c r="S58" s="1">
        <v>27</v>
      </c>
      <c r="T58" s="1">
        <v>1</v>
      </c>
      <c r="U58" s="1">
        <v>14</v>
      </c>
      <c r="V58" s="1">
        <v>13</v>
      </c>
      <c r="W58" s="1">
        <v>277</v>
      </c>
      <c r="X58" s="1">
        <v>5</v>
      </c>
      <c r="Y58" s="1">
        <v>302</v>
      </c>
      <c r="Z58" s="1">
        <v>104</v>
      </c>
      <c r="AA58" s="1">
        <v>7</v>
      </c>
      <c r="AB58" s="1">
        <v>104</v>
      </c>
      <c r="AC58" s="1">
        <v>1368</v>
      </c>
    </row>
    <row r="59" spans="1:29">
      <c r="A59" s="26" t="s">
        <v>486</v>
      </c>
      <c r="B59" s="1">
        <v>71</v>
      </c>
      <c r="C59" s="1">
        <v>11</v>
      </c>
      <c r="D59" s="1">
        <v>25</v>
      </c>
      <c r="E59" s="1"/>
      <c r="F59" s="1"/>
      <c r="G59" s="1">
        <v>69</v>
      </c>
      <c r="H59" s="1">
        <v>25</v>
      </c>
      <c r="I59" s="1">
        <v>40</v>
      </c>
      <c r="J59" s="1">
        <v>1</v>
      </c>
      <c r="K59" s="1">
        <v>201</v>
      </c>
      <c r="L59" s="1"/>
      <c r="M59" s="1">
        <v>40</v>
      </c>
      <c r="N59" s="1">
        <v>5</v>
      </c>
      <c r="O59" s="1">
        <v>15</v>
      </c>
      <c r="P59" s="1">
        <v>56</v>
      </c>
      <c r="Q59" s="1">
        <v>3</v>
      </c>
      <c r="R59" s="1"/>
      <c r="S59" s="1">
        <v>27</v>
      </c>
      <c r="T59" s="1">
        <v>1</v>
      </c>
      <c r="U59" s="1">
        <v>15</v>
      </c>
      <c r="V59" s="1">
        <v>13</v>
      </c>
      <c r="W59" s="1">
        <v>281</v>
      </c>
      <c r="X59" s="1">
        <v>5</v>
      </c>
      <c r="Y59" s="1">
        <v>306</v>
      </c>
      <c r="Z59" s="1">
        <v>107</v>
      </c>
      <c r="AA59" s="1">
        <v>7</v>
      </c>
      <c r="AB59" s="1">
        <v>104</v>
      </c>
      <c r="AC59" s="1">
        <v>1428</v>
      </c>
    </row>
    <row r="60" spans="1:29">
      <c r="A60" s="26" t="s">
        <v>487</v>
      </c>
      <c r="B60" s="1">
        <v>72</v>
      </c>
      <c r="C60" s="1">
        <v>11</v>
      </c>
      <c r="D60" s="1">
        <v>28</v>
      </c>
      <c r="E60" s="1"/>
      <c r="F60" s="1">
        <v>3</v>
      </c>
      <c r="G60" s="1">
        <v>73</v>
      </c>
      <c r="H60" s="1">
        <v>25</v>
      </c>
      <c r="I60" s="1">
        <v>42</v>
      </c>
      <c r="J60" s="1">
        <v>1</v>
      </c>
      <c r="K60" s="1">
        <v>202</v>
      </c>
      <c r="L60" s="1">
        <v>5</v>
      </c>
      <c r="M60" s="1">
        <v>40</v>
      </c>
      <c r="N60" s="1">
        <v>6</v>
      </c>
      <c r="O60" s="1">
        <v>15</v>
      </c>
      <c r="P60" s="1">
        <v>56</v>
      </c>
      <c r="Q60" s="1">
        <v>3</v>
      </c>
      <c r="R60" s="1">
        <v>0</v>
      </c>
      <c r="S60" s="1">
        <v>27</v>
      </c>
      <c r="T60" s="1">
        <v>1</v>
      </c>
      <c r="U60" s="1">
        <v>15</v>
      </c>
      <c r="V60" s="1">
        <v>13</v>
      </c>
      <c r="W60" s="1">
        <v>288</v>
      </c>
      <c r="X60" s="1">
        <v>5</v>
      </c>
      <c r="Y60" s="1">
        <v>315</v>
      </c>
      <c r="Z60" s="1">
        <v>110</v>
      </c>
      <c r="AA60" s="1">
        <v>8</v>
      </c>
      <c r="AB60" s="1">
        <v>106</v>
      </c>
      <c r="AC60" s="1">
        <v>1470</v>
      </c>
    </row>
    <row r="61" spans="1:29">
      <c r="A61" s="26" t="s">
        <v>488</v>
      </c>
      <c r="B61" s="1">
        <v>74</v>
      </c>
      <c r="C61" s="1">
        <v>11</v>
      </c>
      <c r="D61" s="1">
        <v>29</v>
      </c>
      <c r="E61" s="1"/>
      <c r="F61" s="1">
        <v>3</v>
      </c>
      <c r="G61" s="1">
        <v>77</v>
      </c>
      <c r="H61" s="1">
        <v>26</v>
      </c>
      <c r="I61" s="1">
        <v>44</v>
      </c>
      <c r="J61" s="1">
        <v>1</v>
      </c>
      <c r="K61" s="1">
        <v>205</v>
      </c>
      <c r="L61" s="1">
        <v>6</v>
      </c>
      <c r="M61" s="1">
        <v>42</v>
      </c>
      <c r="N61" s="1">
        <v>6</v>
      </c>
      <c r="O61" s="1">
        <v>15</v>
      </c>
      <c r="P61" s="1">
        <v>56</v>
      </c>
      <c r="Q61" s="1">
        <v>3</v>
      </c>
      <c r="R61" s="1">
        <v>0</v>
      </c>
      <c r="S61" s="1">
        <v>29</v>
      </c>
      <c r="T61" s="1">
        <v>2</v>
      </c>
      <c r="U61" s="1">
        <v>16</v>
      </c>
      <c r="V61" s="1">
        <v>13</v>
      </c>
      <c r="W61" s="1">
        <v>291</v>
      </c>
      <c r="X61" s="1">
        <v>5</v>
      </c>
      <c r="Y61" s="1">
        <v>321</v>
      </c>
      <c r="Z61" s="1">
        <v>113</v>
      </c>
      <c r="AA61" s="1">
        <v>8</v>
      </c>
      <c r="AB61" s="1">
        <v>108</v>
      </c>
      <c r="AC61" s="1">
        <v>1504</v>
      </c>
    </row>
    <row r="62" spans="1:29">
      <c r="A62" s="26" t="s">
        <v>499</v>
      </c>
      <c r="B62" s="1">
        <v>76</v>
      </c>
      <c r="C62" s="1">
        <v>11</v>
      </c>
      <c r="D62" s="1">
        <v>31</v>
      </c>
      <c r="E62" s="1"/>
      <c r="F62" s="1">
        <v>3</v>
      </c>
      <c r="G62" s="1">
        <v>77</v>
      </c>
      <c r="H62" s="1">
        <v>26</v>
      </c>
      <c r="I62" s="1">
        <v>45</v>
      </c>
      <c r="J62" s="1">
        <v>1</v>
      </c>
      <c r="K62" s="1">
        <v>205</v>
      </c>
      <c r="L62" s="1">
        <v>6</v>
      </c>
      <c r="M62" s="1">
        <v>43</v>
      </c>
      <c r="N62" s="1">
        <v>6</v>
      </c>
      <c r="O62" s="1">
        <v>15</v>
      </c>
      <c r="P62" s="1">
        <v>56</v>
      </c>
      <c r="Q62" s="1"/>
      <c r="R62" s="1">
        <v>0</v>
      </c>
      <c r="S62" s="1">
        <v>29</v>
      </c>
      <c r="T62" s="1">
        <v>3</v>
      </c>
      <c r="U62" s="1">
        <v>16</v>
      </c>
      <c r="V62" s="1">
        <v>14</v>
      </c>
      <c r="W62" s="1">
        <v>295</v>
      </c>
      <c r="X62" s="1">
        <v>5</v>
      </c>
      <c r="Y62" s="1">
        <v>324</v>
      </c>
      <c r="Z62" s="1">
        <v>114</v>
      </c>
      <c r="AA62" s="1">
        <v>8</v>
      </c>
      <c r="AB62" s="1">
        <v>108</v>
      </c>
      <c r="AC62" s="1">
        <v>1517</v>
      </c>
    </row>
    <row r="63" spans="1:29">
      <c r="A63" s="26" t="s">
        <v>500</v>
      </c>
      <c r="B63" s="1">
        <v>76</v>
      </c>
      <c r="C63" s="1">
        <v>12</v>
      </c>
      <c r="D63" s="1"/>
      <c r="E63" s="1"/>
      <c r="F63" s="1">
        <v>3</v>
      </c>
      <c r="G63" s="1">
        <v>79</v>
      </c>
      <c r="H63" s="1"/>
      <c r="I63" s="1"/>
      <c r="J63" s="1"/>
      <c r="K63" s="1"/>
      <c r="L63" s="1">
        <v>6</v>
      </c>
      <c r="M63" s="1"/>
      <c r="N63" s="1"/>
      <c r="O63" s="1">
        <v>15</v>
      </c>
      <c r="P63" s="1"/>
      <c r="Q63" s="1"/>
      <c r="R63" s="1">
        <v>0</v>
      </c>
      <c r="S63" s="1">
        <v>31</v>
      </c>
      <c r="T63" s="1">
        <v>3</v>
      </c>
      <c r="U63" s="1">
        <v>16</v>
      </c>
      <c r="V63" s="1">
        <v>14</v>
      </c>
      <c r="W63" s="1">
        <v>298</v>
      </c>
      <c r="X63" s="1"/>
      <c r="Y63" s="1"/>
      <c r="Z63" s="1"/>
      <c r="AA63" s="1">
        <v>8</v>
      </c>
      <c r="AB63" s="1"/>
      <c r="AC63" s="1">
        <v>561</v>
      </c>
    </row>
    <row r="64" spans="1:29">
      <c r="A64" s="26" t="s">
        <v>359</v>
      </c>
      <c r="B64" s="1">
        <v>1351</v>
      </c>
      <c r="C64" s="1">
        <v>163</v>
      </c>
      <c r="D64" s="1">
        <v>427</v>
      </c>
      <c r="E64" s="1"/>
      <c r="F64" s="1">
        <v>78</v>
      </c>
      <c r="G64" s="1">
        <v>1204</v>
      </c>
      <c r="H64" s="1">
        <v>554</v>
      </c>
      <c r="I64" s="1">
        <v>849</v>
      </c>
      <c r="J64" s="1">
        <v>15</v>
      </c>
      <c r="K64" s="1">
        <v>3767</v>
      </c>
      <c r="L64" s="1">
        <v>55</v>
      </c>
      <c r="M64" s="1">
        <v>730</v>
      </c>
      <c r="N64" s="1">
        <v>52</v>
      </c>
      <c r="O64" s="1">
        <v>287</v>
      </c>
      <c r="P64" s="1">
        <v>1099</v>
      </c>
      <c r="Q64" s="1">
        <v>20</v>
      </c>
      <c r="R64" s="1">
        <v>0</v>
      </c>
      <c r="S64" s="1">
        <v>465</v>
      </c>
      <c r="T64" s="1">
        <v>29</v>
      </c>
      <c r="U64" s="1">
        <v>252</v>
      </c>
      <c r="V64" s="1">
        <v>226</v>
      </c>
      <c r="W64" s="1">
        <v>6184</v>
      </c>
      <c r="X64" s="1">
        <v>77</v>
      </c>
      <c r="Y64" s="1">
        <v>5948</v>
      </c>
      <c r="Z64" s="1">
        <v>2062</v>
      </c>
      <c r="AA64" s="1">
        <v>115</v>
      </c>
      <c r="AB64" s="1">
        <v>1839</v>
      </c>
      <c r="AC64" s="1">
        <v>27848</v>
      </c>
    </row>
  </sheetData>
  <pageMargins left="0.7" right="0.7" top="0.78740157499999996" bottom="0.78740157499999996"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23903-AADF-4B5C-878C-C41EAA6EB530}">
  <sheetPr codeName="Tabelle4"/>
  <dimension ref="A1:Z1180"/>
  <sheetViews>
    <sheetView workbookViewId="0">
      <selection sqref="A1:Z1180"/>
    </sheetView>
  </sheetViews>
  <sheetFormatPr baseColWidth="10" defaultRowHeight="14.5"/>
  <cols>
    <col min="1" max="1" width="9.90625" bestFit="1" customWidth="1"/>
    <col min="2" max="2" width="7.90625" bestFit="1" customWidth="1"/>
    <col min="3" max="3" width="20.6328125" bestFit="1" customWidth="1"/>
    <col min="4" max="4" width="17.1796875" bestFit="1" customWidth="1"/>
    <col min="5" max="5" width="20.1796875" bestFit="1" customWidth="1"/>
    <col min="6" max="6" width="11.7265625" bestFit="1" customWidth="1"/>
    <col min="7" max="7" width="18.26953125" bestFit="1" customWidth="1"/>
    <col min="8" max="8" width="15.1796875" bestFit="1" customWidth="1"/>
    <col min="9" max="9" width="14" bestFit="1" customWidth="1"/>
    <col min="10" max="10" width="10.1796875" bestFit="1" customWidth="1"/>
    <col min="11" max="11" width="8.81640625" bestFit="1" customWidth="1"/>
    <col min="12" max="12" width="80.7265625" bestFit="1" customWidth="1"/>
    <col min="13" max="13" width="31.26953125" bestFit="1" customWidth="1"/>
    <col min="14" max="14" width="26.7265625" bestFit="1" customWidth="1"/>
    <col min="15" max="15" width="15.7265625" bestFit="1" customWidth="1"/>
    <col min="16" max="16" width="16.6328125" bestFit="1" customWidth="1"/>
    <col min="17" max="17" width="12.81640625" bestFit="1" customWidth="1"/>
    <col min="18" max="18" width="25.6328125" bestFit="1" customWidth="1"/>
    <col min="19" max="19" width="9.81640625" bestFit="1" customWidth="1"/>
    <col min="20" max="20" width="8.81640625" bestFit="1" customWidth="1"/>
    <col min="21" max="21" width="21.36328125" bestFit="1" customWidth="1"/>
    <col min="22" max="22" width="16.54296875" bestFit="1" customWidth="1"/>
    <col min="23" max="23" width="19.7265625" bestFit="1" customWidth="1"/>
    <col min="24" max="24" width="13.36328125" bestFit="1" customWidth="1"/>
    <col min="25" max="25" width="32.26953125" bestFit="1" customWidth="1"/>
    <col min="26" max="26" width="17.6328125" bestFit="1" customWidth="1"/>
  </cols>
  <sheetData>
    <row r="1" spans="1:26">
      <c r="A1" t="s">
        <v>0</v>
      </c>
      <c r="B1" t="s">
        <v>114</v>
      </c>
      <c r="C1" t="s">
        <v>18</v>
      </c>
      <c r="D1" t="s">
        <v>3</v>
      </c>
      <c r="E1" t="s">
        <v>24</v>
      </c>
      <c r="F1" t="s">
        <v>336</v>
      </c>
      <c r="G1" t="s">
        <v>9</v>
      </c>
      <c r="H1" t="s">
        <v>11</v>
      </c>
      <c r="I1" t="s">
        <v>29</v>
      </c>
      <c r="J1" t="s">
        <v>12</v>
      </c>
      <c r="K1" t="s">
        <v>13</v>
      </c>
      <c r="L1" t="s">
        <v>34</v>
      </c>
      <c r="M1" t="s">
        <v>30</v>
      </c>
      <c r="N1" t="s">
        <v>435</v>
      </c>
      <c r="O1" t="s">
        <v>337</v>
      </c>
      <c r="P1" t="s">
        <v>31</v>
      </c>
      <c r="Q1" t="s">
        <v>32</v>
      </c>
      <c r="R1" t="s">
        <v>33</v>
      </c>
      <c r="S1" t="s">
        <v>21</v>
      </c>
      <c r="T1" t="s">
        <v>22</v>
      </c>
      <c r="U1" t="s">
        <v>19</v>
      </c>
      <c r="V1" t="s">
        <v>20</v>
      </c>
      <c r="W1" t="s">
        <v>25</v>
      </c>
      <c r="X1" t="s">
        <v>415</v>
      </c>
      <c r="Y1" t="s">
        <v>26</v>
      </c>
      <c r="Z1" t="s">
        <v>27</v>
      </c>
    </row>
    <row r="2" spans="1:26">
      <c r="A2" s="2">
        <v>43886</v>
      </c>
      <c r="B2" s="4">
        <v>0.125</v>
      </c>
      <c r="C2" s="1" t="s">
        <v>60</v>
      </c>
      <c r="D2">
        <v>72</v>
      </c>
      <c r="E2">
        <v>0</v>
      </c>
      <c r="F2">
        <v>0</v>
      </c>
      <c r="G2">
        <v>0</v>
      </c>
      <c r="H2">
        <v>0</v>
      </c>
      <c r="I2">
        <v>0</v>
      </c>
      <c r="K2">
        <v>0</v>
      </c>
      <c r="L2" s="1" t="s">
        <v>62</v>
      </c>
      <c r="N2" s="1" t="s">
        <v>37</v>
      </c>
      <c r="P2" s="1" t="s">
        <v>37</v>
      </c>
      <c r="Q2">
        <v>0</v>
      </c>
      <c r="R2" s="1" t="s">
        <v>37</v>
      </c>
      <c r="S2">
        <v>46.220528000000002</v>
      </c>
      <c r="T2">
        <v>6.1329349999999998</v>
      </c>
      <c r="U2" s="1" t="s">
        <v>61</v>
      </c>
      <c r="V2">
        <v>25</v>
      </c>
      <c r="W2">
        <v>0</v>
      </c>
      <c r="X2">
        <v>0</v>
      </c>
      <c r="Y2">
        <v>0</v>
      </c>
      <c r="Z2">
        <v>0</v>
      </c>
    </row>
    <row r="3" spans="1:26">
      <c r="A3" s="2">
        <v>43886</v>
      </c>
      <c r="B3" s="4">
        <v>0.125</v>
      </c>
      <c r="C3" s="1" t="s">
        <v>98</v>
      </c>
      <c r="E3">
        <v>1</v>
      </c>
      <c r="F3">
        <v>0</v>
      </c>
      <c r="L3" s="1" t="s">
        <v>115</v>
      </c>
      <c r="N3" s="1" t="s">
        <v>37</v>
      </c>
      <c r="P3" s="1" t="s">
        <v>37</v>
      </c>
      <c r="R3" s="1" t="s">
        <v>37</v>
      </c>
      <c r="S3">
        <v>46.295617</v>
      </c>
      <c r="T3">
        <v>8.8089239999999993</v>
      </c>
      <c r="U3" s="1" t="s">
        <v>99</v>
      </c>
      <c r="V3">
        <v>21</v>
      </c>
      <c r="W3">
        <v>0</v>
      </c>
      <c r="X3">
        <v>0</v>
      </c>
      <c r="Y3">
        <v>0.28000000000000003</v>
      </c>
    </row>
    <row r="4" spans="1:26">
      <c r="A4" s="2">
        <v>43887</v>
      </c>
      <c r="B4" s="4">
        <v>0.125</v>
      </c>
      <c r="C4" s="1" t="s">
        <v>60</v>
      </c>
      <c r="D4">
        <v>178</v>
      </c>
      <c r="E4">
        <v>1</v>
      </c>
      <c r="F4">
        <v>1</v>
      </c>
      <c r="G4">
        <v>1</v>
      </c>
      <c r="H4">
        <v>0</v>
      </c>
      <c r="I4">
        <v>0</v>
      </c>
      <c r="K4">
        <v>0</v>
      </c>
      <c r="L4" s="1" t="s">
        <v>62</v>
      </c>
      <c r="N4" s="1" t="s">
        <v>37</v>
      </c>
      <c r="P4" s="1" t="s">
        <v>37</v>
      </c>
      <c r="Q4">
        <v>0</v>
      </c>
      <c r="R4" s="1" t="s">
        <v>37</v>
      </c>
      <c r="S4">
        <v>46.220528000000002</v>
      </c>
      <c r="T4">
        <v>6.1329349999999998</v>
      </c>
      <c r="U4" s="1" t="s">
        <v>61</v>
      </c>
      <c r="V4">
        <v>25</v>
      </c>
      <c r="W4">
        <v>1</v>
      </c>
      <c r="X4">
        <v>0</v>
      </c>
      <c r="Y4">
        <v>0.2</v>
      </c>
      <c r="Z4">
        <v>0</v>
      </c>
    </row>
    <row r="5" spans="1:26">
      <c r="A5" s="2">
        <v>43887</v>
      </c>
      <c r="B5" s="4">
        <v>0.125</v>
      </c>
      <c r="C5" s="1" t="s">
        <v>98</v>
      </c>
      <c r="E5">
        <v>1</v>
      </c>
      <c r="F5">
        <v>0</v>
      </c>
      <c r="L5" s="1" t="s">
        <v>115</v>
      </c>
      <c r="N5" s="1" t="s">
        <v>37</v>
      </c>
      <c r="P5" s="1" t="s">
        <v>37</v>
      </c>
      <c r="R5" s="1" t="s">
        <v>37</v>
      </c>
      <c r="S5">
        <v>46.295617</v>
      </c>
      <c r="T5">
        <v>8.8089239999999993</v>
      </c>
      <c r="U5" s="1" t="s">
        <v>99</v>
      </c>
      <c r="V5">
        <v>21</v>
      </c>
      <c r="W5">
        <v>0</v>
      </c>
      <c r="X5">
        <v>0</v>
      </c>
      <c r="Y5">
        <v>0.28000000000000003</v>
      </c>
    </row>
    <row r="6" spans="1:26">
      <c r="A6" s="2">
        <v>43888</v>
      </c>
      <c r="B6" s="4">
        <v>0.80347222222222225</v>
      </c>
      <c r="C6" s="1" t="s">
        <v>51</v>
      </c>
      <c r="E6">
        <v>1</v>
      </c>
      <c r="F6">
        <v>0</v>
      </c>
      <c r="L6" s="1" t="s">
        <v>116</v>
      </c>
      <c r="M6">
        <v>1</v>
      </c>
      <c r="N6" s="1" t="s">
        <v>37</v>
      </c>
      <c r="P6" s="1" t="s">
        <v>37</v>
      </c>
      <c r="R6" s="1" t="s">
        <v>37</v>
      </c>
      <c r="S6">
        <v>47.564869000000002</v>
      </c>
      <c r="T6">
        <v>7.615259</v>
      </c>
      <c r="U6" s="1" t="s">
        <v>52</v>
      </c>
      <c r="V6">
        <v>12</v>
      </c>
      <c r="W6">
        <v>0</v>
      </c>
      <c r="X6">
        <v>0</v>
      </c>
      <c r="Y6">
        <v>0.52</v>
      </c>
    </row>
    <row r="7" spans="1:26">
      <c r="A7" s="2">
        <v>43888</v>
      </c>
      <c r="B7" s="4">
        <v>0.125</v>
      </c>
      <c r="C7" s="1" t="s">
        <v>54</v>
      </c>
      <c r="D7">
        <v>3</v>
      </c>
      <c r="F7">
        <v>0</v>
      </c>
      <c r="L7" s="1" t="s">
        <v>117</v>
      </c>
      <c r="N7" s="1" t="s">
        <v>37</v>
      </c>
      <c r="P7" s="1" t="s">
        <v>37</v>
      </c>
      <c r="R7" s="1" t="s">
        <v>37</v>
      </c>
      <c r="S7">
        <v>47.166666999999997</v>
      </c>
      <c r="T7">
        <v>9.509722</v>
      </c>
      <c r="U7" s="1" t="s">
        <v>55</v>
      </c>
      <c r="V7">
        <v>0</v>
      </c>
      <c r="W7">
        <v>0</v>
      </c>
      <c r="X7">
        <v>0</v>
      </c>
    </row>
    <row r="8" spans="1:26">
      <c r="A8" s="2">
        <v>43888</v>
      </c>
      <c r="B8" s="4">
        <v>0.125</v>
      </c>
      <c r="C8" s="1" t="s">
        <v>60</v>
      </c>
      <c r="D8">
        <v>326</v>
      </c>
      <c r="E8">
        <v>1</v>
      </c>
      <c r="F8">
        <v>0</v>
      </c>
      <c r="G8">
        <v>1</v>
      </c>
      <c r="H8">
        <v>0</v>
      </c>
      <c r="I8">
        <v>0</v>
      </c>
      <c r="K8">
        <v>0</v>
      </c>
      <c r="L8" s="1" t="s">
        <v>62</v>
      </c>
      <c r="N8" s="1" t="s">
        <v>37</v>
      </c>
      <c r="P8" s="1" t="s">
        <v>37</v>
      </c>
      <c r="Q8">
        <v>0</v>
      </c>
      <c r="R8" s="1" t="s">
        <v>37</v>
      </c>
      <c r="S8">
        <v>46.220528000000002</v>
      </c>
      <c r="T8">
        <v>6.1329349999999998</v>
      </c>
      <c r="U8" s="1" t="s">
        <v>61</v>
      </c>
      <c r="V8">
        <v>25</v>
      </c>
      <c r="W8">
        <v>0</v>
      </c>
      <c r="X8">
        <v>0</v>
      </c>
      <c r="Y8">
        <v>0.2</v>
      </c>
      <c r="Z8">
        <v>0</v>
      </c>
    </row>
    <row r="9" spans="1:26">
      <c r="A9" s="2">
        <v>43888</v>
      </c>
      <c r="B9" s="4">
        <v>0.125</v>
      </c>
      <c r="C9" s="1" t="s">
        <v>69</v>
      </c>
      <c r="E9">
        <v>1</v>
      </c>
      <c r="F9">
        <v>0</v>
      </c>
      <c r="G9">
        <v>1</v>
      </c>
      <c r="L9" s="1" t="s">
        <v>280</v>
      </c>
      <c r="N9" s="1" t="s">
        <v>37</v>
      </c>
      <c r="P9" s="1" t="s">
        <v>37</v>
      </c>
      <c r="R9" s="1" t="s">
        <v>37</v>
      </c>
      <c r="S9">
        <v>47.350743999999999</v>
      </c>
      <c r="T9">
        <v>7.1561070000000004</v>
      </c>
      <c r="U9" s="1" t="s">
        <v>70</v>
      </c>
      <c r="V9">
        <v>26</v>
      </c>
      <c r="W9">
        <v>0</v>
      </c>
      <c r="X9">
        <v>0</v>
      </c>
      <c r="Y9">
        <v>1.36</v>
      </c>
    </row>
    <row r="10" spans="1:26">
      <c r="A10" s="2">
        <v>43888</v>
      </c>
      <c r="B10" s="4">
        <v>0.125</v>
      </c>
      <c r="C10" s="1" t="s">
        <v>98</v>
      </c>
      <c r="E10">
        <v>1</v>
      </c>
      <c r="F10">
        <v>0</v>
      </c>
      <c r="L10" s="1" t="s">
        <v>115</v>
      </c>
      <c r="N10" s="1" t="s">
        <v>37</v>
      </c>
      <c r="P10" s="1" t="s">
        <v>37</v>
      </c>
      <c r="R10" s="1" t="s">
        <v>37</v>
      </c>
      <c r="S10">
        <v>46.295617</v>
      </c>
      <c r="T10">
        <v>8.8089239999999993</v>
      </c>
      <c r="U10" s="1" t="s">
        <v>99</v>
      </c>
      <c r="V10">
        <v>21</v>
      </c>
      <c r="W10">
        <v>0</v>
      </c>
      <c r="X10">
        <v>0</v>
      </c>
      <c r="Y10">
        <v>0.28000000000000003</v>
      </c>
    </row>
    <row r="11" spans="1:26">
      <c r="A11" s="2">
        <v>43888</v>
      </c>
      <c r="B11" s="4">
        <v>0.60416666666666663</v>
      </c>
      <c r="C11" s="1" t="s">
        <v>111</v>
      </c>
      <c r="E11">
        <v>2</v>
      </c>
      <c r="F11">
        <v>0</v>
      </c>
      <c r="L11" s="1" t="s">
        <v>113</v>
      </c>
      <c r="N11" s="1" t="s">
        <v>37</v>
      </c>
      <c r="P11" s="1" t="s">
        <v>37</v>
      </c>
      <c r="R11" s="1" t="s">
        <v>37</v>
      </c>
      <c r="S11">
        <v>47.412750000000003</v>
      </c>
      <c r="T11">
        <v>8.6550799999999999</v>
      </c>
      <c r="U11" s="1" t="s">
        <v>112</v>
      </c>
      <c r="V11">
        <v>1</v>
      </c>
      <c r="W11">
        <v>0</v>
      </c>
      <c r="X11">
        <v>0</v>
      </c>
      <c r="Y11">
        <v>0.13</v>
      </c>
    </row>
    <row r="12" spans="1:26">
      <c r="A12" s="2">
        <v>43889</v>
      </c>
      <c r="B12" s="4">
        <v>0.625</v>
      </c>
      <c r="C12" s="1" t="s">
        <v>35</v>
      </c>
      <c r="E12">
        <v>1</v>
      </c>
      <c r="F12">
        <v>0</v>
      </c>
      <c r="L12" s="1" t="s">
        <v>118</v>
      </c>
      <c r="N12" s="1" t="s">
        <v>37</v>
      </c>
      <c r="P12" s="1" t="s">
        <v>37</v>
      </c>
      <c r="R12" s="1" t="s">
        <v>37</v>
      </c>
      <c r="S12">
        <v>47.409660000000002</v>
      </c>
      <c r="T12">
        <v>8.1568799999999992</v>
      </c>
      <c r="U12" s="1" t="s">
        <v>36</v>
      </c>
      <c r="V12">
        <v>1</v>
      </c>
      <c r="W12">
        <v>0</v>
      </c>
      <c r="X12">
        <v>0</v>
      </c>
      <c r="Y12">
        <v>0.15</v>
      </c>
    </row>
    <row r="13" spans="1:26">
      <c r="A13" s="2">
        <v>43889</v>
      </c>
      <c r="B13" s="4">
        <v>0.125</v>
      </c>
      <c r="C13" s="1" t="s">
        <v>45</v>
      </c>
      <c r="E13">
        <v>1</v>
      </c>
      <c r="F13">
        <v>0</v>
      </c>
      <c r="L13" s="1" t="s">
        <v>119</v>
      </c>
      <c r="N13" s="1" t="s">
        <v>37</v>
      </c>
      <c r="P13" s="1" t="s">
        <v>37</v>
      </c>
      <c r="R13" s="1" t="s">
        <v>37</v>
      </c>
      <c r="S13">
        <v>46.823608</v>
      </c>
      <c r="T13">
        <v>7.6366670000000001</v>
      </c>
      <c r="U13" s="1" t="s">
        <v>46</v>
      </c>
      <c r="V13">
        <v>2</v>
      </c>
      <c r="W13">
        <v>0</v>
      </c>
      <c r="X13">
        <v>0</v>
      </c>
      <c r="Y13">
        <v>0.1</v>
      </c>
    </row>
    <row r="14" spans="1:26">
      <c r="A14" s="2">
        <v>43889</v>
      </c>
      <c r="B14" s="4">
        <v>0.125</v>
      </c>
      <c r="C14" s="1" t="s">
        <v>48</v>
      </c>
      <c r="E14">
        <v>1</v>
      </c>
      <c r="F14">
        <v>0</v>
      </c>
      <c r="L14" s="1" t="s">
        <v>120</v>
      </c>
      <c r="N14" s="1" t="s">
        <v>37</v>
      </c>
      <c r="P14" s="1" t="s">
        <v>37</v>
      </c>
      <c r="R14" s="1" t="s">
        <v>37</v>
      </c>
      <c r="S14">
        <v>47.45176</v>
      </c>
      <c r="T14">
        <v>7.7024140000000001</v>
      </c>
      <c r="U14" s="1" t="s">
        <v>49</v>
      </c>
      <c r="V14">
        <v>13</v>
      </c>
      <c r="W14">
        <v>0</v>
      </c>
      <c r="X14">
        <v>0</v>
      </c>
      <c r="Y14">
        <v>0.35</v>
      </c>
    </row>
    <row r="15" spans="1:26">
      <c r="A15" s="2">
        <v>43889</v>
      </c>
      <c r="B15" s="4">
        <v>0.42708333333333331</v>
      </c>
      <c r="C15" s="1" t="s">
        <v>51</v>
      </c>
      <c r="E15">
        <v>1</v>
      </c>
      <c r="F15">
        <v>0</v>
      </c>
      <c r="L15" s="1" t="s">
        <v>121</v>
      </c>
      <c r="M15">
        <v>1</v>
      </c>
      <c r="N15" s="1" t="s">
        <v>37</v>
      </c>
      <c r="P15" s="1" t="s">
        <v>37</v>
      </c>
      <c r="R15" s="1" t="s">
        <v>37</v>
      </c>
      <c r="S15">
        <v>47.564869000000002</v>
      </c>
      <c r="T15">
        <v>7.615259</v>
      </c>
      <c r="U15" s="1" t="s">
        <v>52</v>
      </c>
      <c r="V15">
        <v>12</v>
      </c>
      <c r="W15">
        <v>0</v>
      </c>
      <c r="X15">
        <v>0</v>
      </c>
      <c r="Y15">
        <v>0.52</v>
      </c>
    </row>
    <row r="16" spans="1:26">
      <c r="A16" s="2">
        <v>43889</v>
      </c>
      <c r="B16" s="4">
        <v>0.125</v>
      </c>
      <c r="C16" s="1" t="s">
        <v>60</v>
      </c>
      <c r="D16">
        <v>534</v>
      </c>
      <c r="E16">
        <v>4</v>
      </c>
      <c r="F16">
        <v>1</v>
      </c>
      <c r="G16">
        <v>2</v>
      </c>
      <c r="H16">
        <v>0</v>
      </c>
      <c r="I16">
        <v>0</v>
      </c>
      <c r="K16">
        <v>0</v>
      </c>
      <c r="L16" s="1" t="s">
        <v>62</v>
      </c>
      <c r="N16" s="1" t="s">
        <v>37</v>
      </c>
      <c r="P16" s="1" t="s">
        <v>37</v>
      </c>
      <c r="Q16">
        <v>0</v>
      </c>
      <c r="R16" s="1" t="s">
        <v>37</v>
      </c>
      <c r="S16">
        <v>46.220528000000002</v>
      </c>
      <c r="T16">
        <v>6.1329349999999998</v>
      </c>
      <c r="U16" s="1" t="s">
        <v>61</v>
      </c>
      <c r="V16">
        <v>25</v>
      </c>
      <c r="W16">
        <v>3</v>
      </c>
      <c r="X16">
        <v>0</v>
      </c>
      <c r="Y16">
        <v>0.81</v>
      </c>
      <c r="Z16">
        <v>0</v>
      </c>
    </row>
    <row r="17" spans="1:26">
      <c r="A17" s="2">
        <v>43889</v>
      </c>
      <c r="B17" s="4">
        <v>0.125</v>
      </c>
      <c r="C17" s="1" t="s">
        <v>69</v>
      </c>
      <c r="E17">
        <v>1</v>
      </c>
      <c r="F17">
        <v>0</v>
      </c>
      <c r="G17">
        <v>1</v>
      </c>
      <c r="L17" s="1" t="s">
        <v>280</v>
      </c>
      <c r="N17" s="1" t="s">
        <v>37</v>
      </c>
      <c r="P17" s="1" t="s">
        <v>37</v>
      </c>
      <c r="R17" s="1" t="s">
        <v>37</v>
      </c>
      <c r="S17">
        <v>47.350743999999999</v>
      </c>
      <c r="T17">
        <v>7.1561070000000004</v>
      </c>
      <c r="U17" s="1" t="s">
        <v>70</v>
      </c>
      <c r="V17">
        <v>26</v>
      </c>
      <c r="W17">
        <v>0</v>
      </c>
      <c r="X17">
        <v>0</v>
      </c>
      <c r="Y17">
        <v>1.36</v>
      </c>
    </row>
    <row r="18" spans="1:26">
      <c r="A18" s="2">
        <v>43889</v>
      </c>
      <c r="B18" s="4">
        <v>0.125</v>
      </c>
      <c r="C18" s="1" t="s">
        <v>98</v>
      </c>
      <c r="E18">
        <v>1</v>
      </c>
      <c r="F18">
        <v>0</v>
      </c>
      <c r="L18" s="1" t="s">
        <v>115</v>
      </c>
      <c r="N18" s="1" t="s">
        <v>37</v>
      </c>
      <c r="P18" s="1" t="s">
        <v>37</v>
      </c>
      <c r="R18" s="1" t="s">
        <v>37</v>
      </c>
      <c r="S18">
        <v>46.295617</v>
      </c>
      <c r="T18">
        <v>8.8089239999999993</v>
      </c>
      <c r="U18" s="1" t="s">
        <v>99</v>
      </c>
      <c r="V18">
        <v>21</v>
      </c>
      <c r="W18">
        <v>0</v>
      </c>
      <c r="X18">
        <v>0</v>
      </c>
      <c r="Y18">
        <v>0.28000000000000003</v>
      </c>
    </row>
    <row r="19" spans="1:26">
      <c r="A19" s="2">
        <v>43889</v>
      </c>
      <c r="B19" s="4">
        <v>0.125</v>
      </c>
      <c r="C19" s="1" t="s">
        <v>104</v>
      </c>
      <c r="F19">
        <v>0</v>
      </c>
      <c r="G19">
        <v>4</v>
      </c>
      <c r="L19" s="1" t="s">
        <v>122</v>
      </c>
      <c r="N19" s="1" t="s">
        <v>37</v>
      </c>
      <c r="P19" s="1" t="s">
        <v>37</v>
      </c>
      <c r="R19" s="1" t="s">
        <v>37</v>
      </c>
      <c r="S19">
        <v>46.570090999999998</v>
      </c>
      <c r="T19">
        <v>6.5578090000000007</v>
      </c>
      <c r="U19" s="1" t="s">
        <v>105</v>
      </c>
      <c r="V19">
        <v>22</v>
      </c>
      <c r="W19">
        <v>0</v>
      </c>
      <c r="X19">
        <v>0</v>
      </c>
    </row>
    <row r="20" spans="1:26">
      <c r="A20" s="2">
        <v>43889</v>
      </c>
      <c r="B20" s="4">
        <v>0.125</v>
      </c>
      <c r="C20" s="1" t="s">
        <v>107</v>
      </c>
      <c r="E20">
        <v>1</v>
      </c>
      <c r="F20">
        <v>0</v>
      </c>
      <c r="G20">
        <v>5</v>
      </c>
      <c r="H20">
        <v>0</v>
      </c>
      <c r="I20">
        <v>0</v>
      </c>
      <c r="K20">
        <v>0</v>
      </c>
      <c r="L20" s="1" t="s">
        <v>412</v>
      </c>
      <c r="N20" s="1" t="s">
        <v>37</v>
      </c>
      <c r="P20" s="1" t="s">
        <v>37</v>
      </c>
      <c r="R20" s="1" t="s">
        <v>37</v>
      </c>
      <c r="S20">
        <v>46.209567</v>
      </c>
      <c r="T20">
        <v>7.6046589999999998</v>
      </c>
      <c r="U20" s="1" t="s">
        <v>108</v>
      </c>
      <c r="V20">
        <v>23</v>
      </c>
      <c r="W20">
        <v>0</v>
      </c>
      <c r="X20">
        <v>0</v>
      </c>
      <c r="Y20">
        <v>0.28999999999999998</v>
      </c>
      <c r="Z20">
        <v>0</v>
      </c>
    </row>
    <row r="21" spans="1:26">
      <c r="A21" s="2">
        <v>43889</v>
      </c>
      <c r="B21" s="4">
        <v>0.60416666666666663</v>
      </c>
      <c r="C21" s="1" t="s">
        <v>111</v>
      </c>
      <c r="E21">
        <v>2</v>
      </c>
      <c r="F21">
        <v>0</v>
      </c>
      <c r="L21" s="1" t="s">
        <v>113</v>
      </c>
      <c r="N21" s="1" t="s">
        <v>37</v>
      </c>
      <c r="P21" s="1" t="s">
        <v>37</v>
      </c>
      <c r="R21" s="1" t="s">
        <v>37</v>
      </c>
      <c r="S21">
        <v>47.412750000000003</v>
      </c>
      <c r="T21">
        <v>8.6550799999999999</v>
      </c>
      <c r="U21" s="1" t="s">
        <v>112</v>
      </c>
      <c r="V21">
        <v>1</v>
      </c>
      <c r="W21">
        <v>0</v>
      </c>
      <c r="X21">
        <v>0</v>
      </c>
      <c r="Y21">
        <v>0.13</v>
      </c>
    </row>
    <row r="22" spans="1:26">
      <c r="A22" s="2">
        <v>43890</v>
      </c>
      <c r="B22" s="4">
        <v>0.125</v>
      </c>
      <c r="C22" s="1" t="s">
        <v>48</v>
      </c>
      <c r="E22">
        <v>2</v>
      </c>
      <c r="F22">
        <v>0</v>
      </c>
      <c r="G22">
        <v>1</v>
      </c>
      <c r="L22" s="1" t="s">
        <v>123</v>
      </c>
      <c r="N22" s="1" t="s">
        <v>37</v>
      </c>
      <c r="P22" s="1" t="s">
        <v>37</v>
      </c>
      <c r="R22" s="1" t="s">
        <v>37</v>
      </c>
      <c r="S22">
        <v>47.45176</v>
      </c>
      <c r="T22">
        <v>7.7024140000000001</v>
      </c>
      <c r="U22" s="1" t="s">
        <v>49</v>
      </c>
      <c r="V22">
        <v>13</v>
      </c>
      <c r="W22">
        <v>1</v>
      </c>
      <c r="X22">
        <v>0</v>
      </c>
      <c r="Y22">
        <v>0.7</v>
      </c>
    </row>
    <row r="23" spans="1:26">
      <c r="A23" s="2">
        <v>43890</v>
      </c>
      <c r="B23" s="4">
        <v>0.64097222222222228</v>
      </c>
      <c r="C23" s="1" t="s">
        <v>51</v>
      </c>
      <c r="E23">
        <v>1</v>
      </c>
      <c r="F23">
        <v>0</v>
      </c>
      <c r="L23" s="1" t="s">
        <v>124</v>
      </c>
      <c r="M23">
        <v>1</v>
      </c>
      <c r="N23" s="1" t="s">
        <v>37</v>
      </c>
      <c r="P23" s="1" t="s">
        <v>37</v>
      </c>
      <c r="R23" s="1" t="s">
        <v>37</v>
      </c>
      <c r="S23">
        <v>47.564869000000002</v>
      </c>
      <c r="T23">
        <v>7.615259</v>
      </c>
      <c r="U23" s="1" t="s">
        <v>52</v>
      </c>
      <c r="V23">
        <v>12</v>
      </c>
      <c r="W23">
        <v>0</v>
      </c>
      <c r="X23">
        <v>0</v>
      </c>
      <c r="Y23">
        <v>0.52</v>
      </c>
    </row>
    <row r="24" spans="1:26">
      <c r="A24" s="2">
        <v>43890</v>
      </c>
      <c r="B24" s="4">
        <v>0.125</v>
      </c>
      <c r="C24" s="1" t="s">
        <v>60</v>
      </c>
      <c r="D24">
        <v>674</v>
      </c>
      <c r="E24">
        <v>6</v>
      </c>
      <c r="F24">
        <v>1</v>
      </c>
      <c r="G24">
        <v>3</v>
      </c>
      <c r="H24">
        <v>0</v>
      </c>
      <c r="I24">
        <v>0</v>
      </c>
      <c r="K24">
        <v>0</v>
      </c>
      <c r="L24" s="1" t="s">
        <v>62</v>
      </c>
      <c r="N24" s="1" t="s">
        <v>37</v>
      </c>
      <c r="P24" s="1" t="s">
        <v>37</v>
      </c>
      <c r="Q24">
        <v>0</v>
      </c>
      <c r="R24" s="1" t="s">
        <v>37</v>
      </c>
      <c r="S24">
        <v>46.220528000000002</v>
      </c>
      <c r="T24">
        <v>6.1329349999999998</v>
      </c>
      <c r="U24" s="1" t="s">
        <v>61</v>
      </c>
      <c r="V24">
        <v>25</v>
      </c>
      <c r="W24">
        <v>2</v>
      </c>
      <c r="X24">
        <v>0</v>
      </c>
      <c r="Y24">
        <v>1.21</v>
      </c>
      <c r="Z24">
        <v>0</v>
      </c>
    </row>
    <row r="25" spans="1:26">
      <c r="A25" s="2">
        <v>43890</v>
      </c>
      <c r="B25" s="4">
        <v>0.125</v>
      </c>
      <c r="C25" s="1" t="s">
        <v>69</v>
      </c>
      <c r="E25">
        <v>1</v>
      </c>
      <c r="F25">
        <v>0</v>
      </c>
      <c r="G25">
        <v>1</v>
      </c>
      <c r="L25" s="1" t="s">
        <v>280</v>
      </c>
      <c r="N25" s="1" t="s">
        <v>37</v>
      </c>
      <c r="P25" s="1" t="s">
        <v>37</v>
      </c>
      <c r="R25" s="1" t="s">
        <v>37</v>
      </c>
      <c r="S25">
        <v>47.350743999999999</v>
      </c>
      <c r="T25">
        <v>7.1561070000000004</v>
      </c>
      <c r="U25" s="1" t="s">
        <v>70</v>
      </c>
      <c r="V25">
        <v>26</v>
      </c>
      <c r="W25">
        <v>0</v>
      </c>
      <c r="X25">
        <v>0</v>
      </c>
      <c r="Y25">
        <v>1.36</v>
      </c>
    </row>
    <row r="26" spans="1:26">
      <c r="A26" s="2">
        <v>43890</v>
      </c>
      <c r="B26" s="4">
        <v>0.125</v>
      </c>
      <c r="C26" s="1" t="s">
        <v>98</v>
      </c>
      <c r="E26">
        <v>1</v>
      </c>
      <c r="F26">
        <v>0</v>
      </c>
      <c r="L26" s="1" t="s">
        <v>115</v>
      </c>
      <c r="N26" s="1" t="s">
        <v>37</v>
      </c>
      <c r="P26" s="1" t="s">
        <v>37</v>
      </c>
      <c r="R26" s="1" t="s">
        <v>37</v>
      </c>
      <c r="S26">
        <v>46.295617</v>
      </c>
      <c r="T26">
        <v>8.8089239999999993</v>
      </c>
      <c r="U26" s="1" t="s">
        <v>99</v>
      </c>
      <c r="V26">
        <v>21</v>
      </c>
      <c r="W26">
        <v>0</v>
      </c>
      <c r="X26">
        <v>0</v>
      </c>
      <c r="Y26">
        <v>0.28000000000000003</v>
      </c>
    </row>
    <row r="27" spans="1:26">
      <c r="A27" s="2">
        <v>43890</v>
      </c>
      <c r="B27" s="4">
        <v>0.125</v>
      </c>
      <c r="C27" s="1" t="s">
        <v>104</v>
      </c>
      <c r="F27">
        <v>0</v>
      </c>
      <c r="G27">
        <v>4</v>
      </c>
      <c r="L27" s="1" t="s">
        <v>122</v>
      </c>
      <c r="N27" s="1" t="s">
        <v>37</v>
      </c>
      <c r="P27" s="1" t="s">
        <v>37</v>
      </c>
      <c r="R27" s="1" t="s">
        <v>37</v>
      </c>
      <c r="S27">
        <v>46.570090999999998</v>
      </c>
      <c r="T27">
        <v>6.5578090000000007</v>
      </c>
      <c r="U27" s="1" t="s">
        <v>105</v>
      </c>
      <c r="V27">
        <v>22</v>
      </c>
      <c r="W27">
        <v>0</v>
      </c>
      <c r="X27">
        <v>0</v>
      </c>
    </row>
    <row r="28" spans="1:26">
      <c r="A28" s="2">
        <v>43890</v>
      </c>
      <c r="B28" s="4">
        <v>0.125</v>
      </c>
      <c r="C28" s="1" t="s">
        <v>107</v>
      </c>
      <c r="E28">
        <v>1</v>
      </c>
      <c r="F28">
        <v>0</v>
      </c>
      <c r="G28">
        <v>5</v>
      </c>
      <c r="H28">
        <v>0</v>
      </c>
      <c r="I28">
        <v>0</v>
      </c>
      <c r="K28">
        <v>0</v>
      </c>
      <c r="L28" s="1" t="s">
        <v>412</v>
      </c>
      <c r="N28" s="1" t="s">
        <v>37</v>
      </c>
      <c r="P28" s="1" t="s">
        <v>37</v>
      </c>
      <c r="R28" s="1" t="s">
        <v>37</v>
      </c>
      <c r="S28">
        <v>46.209567</v>
      </c>
      <c r="T28">
        <v>7.6046589999999998</v>
      </c>
      <c r="U28" s="1" t="s">
        <v>108</v>
      </c>
      <c r="V28">
        <v>23</v>
      </c>
      <c r="W28">
        <v>0</v>
      </c>
      <c r="X28">
        <v>0</v>
      </c>
      <c r="Y28">
        <v>0.28999999999999998</v>
      </c>
      <c r="Z28">
        <v>0</v>
      </c>
    </row>
    <row r="29" spans="1:26">
      <c r="A29" s="2">
        <v>43890</v>
      </c>
      <c r="B29" s="4">
        <v>0.33333333333333331</v>
      </c>
      <c r="C29" s="1" t="s">
        <v>109</v>
      </c>
      <c r="E29">
        <v>0</v>
      </c>
      <c r="F29">
        <v>0</v>
      </c>
      <c r="G29">
        <v>0</v>
      </c>
      <c r="H29">
        <v>0</v>
      </c>
      <c r="K29">
        <v>0</v>
      </c>
      <c r="L29" s="1" t="s">
        <v>502</v>
      </c>
      <c r="N29" s="1" t="s">
        <v>37</v>
      </c>
      <c r="P29" s="1" t="s">
        <v>37</v>
      </c>
      <c r="R29" s="1" t="s">
        <v>37</v>
      </c>
      <c r="S29">
        <v>47.157296000000002</v>
      </c>
      <c r="T29">
        <v>8.5372939999999993</v>
      </c>
      <c r="U29" s="1" t="s">
        <v>110</v>
      </c>
      <c r="V29">
        <v>9</v>
      </c>
      <c r="W29">
        <v>0</v>
      </c>
      <c r="X29">
        <v>0</v>
      </c>
      <c r="Y29">
        <v>0</v>
      </c>
      <c r="Z29">
        <v>0</v>
      </c>
    </row>
    <row r="30" spans="1:26">
      <c r="A30" s="2">
        <v>43890</v>
      </c>
      <c r="B30" s="4">
        <v>0.60416666666666663</v>
      </c>
      <c r="C30" s="1" t="s">
        <v>111</v>
      </c>
      <c r="E30">
        <v>6</v>
      </c>
      <c r="F30">
        <v>0</v>
      </c>
      <c r="L30" s="1" t="s">
        <v>113</v>
      </c>
      <c r="N30" s="1" t="s">
        <v>37</v>
      </c>
      <c r="P30" s="1" t="s">
        <v>37</v>
      </c>
      <c r="R30" s="1" t="s">
        <v>37</v>
      </c>
      <c r="S30">
        <v>47.412750000000003</v>
      </c>
      <c r="T30">
        <v>8.6550799999999999</v>
      </c>
      <c r="U30" s="1" t="s">
        <v>112</v>
      </c>
      <c r="V30">
        <v>1</v>
      </c>
      <c r="W30">
        <v>4</v>
      </c>
      <c r="X30">
        <v>0</v>
      </c>
      <c r="Y30">
        <v>0.4</v>
      </c>
    </row>
    <row r="31" spans="1:26">
      <c r="A31" s="2">
        <v>43891</v>
      </c>
      <c r="B31" s="4">
        <v>0.125</v>
      </c>
      <c r="C31" s="1" t="s">
        <v>45</v>
      </c>
      <c r="E31">
        <v>2</v>
      </c>
      <c r="F31">
        <v>0</v>
      </c>
      <c r="L31" s="1" t="s">
        <v>125</v>
      </c>
      <c r="N31" s="1" t="s">
        <v>37</v>
      </c>
      <c r="P31" s="1" t="s">
        <v>37</v>
      </c>
      <c r="R31" s="1" t="s">
        <v>37</v>
      </c>
      <c r="S31">
        <v>46.823608</v>
      </c>
      <c r="T31">
        <v>7.6366670000000001</v>
      </c>
      <c r="U31" s="1" t="s">
        <v>46</v>
      </c>
      <c r="V31">
        <v>2</v>
      </c>
      <c r="W31">
        <v>1</v>
      </c>
      <c r="X31">
        <v>0</v>
      </c>
      <c r="Y31">
        <v>0.19</v>
      </c>
    </row>
    <row r="32" spans="1:26">
      <c r="A32" s="2">
        <v>43891</v>
      </c>
      <c r="B32" s="4">
        <v>0.125</v>
      </c>
      <c r="C32" s="1" t="s">
        <v>48</v>
      </c>
      <c r="E32">
        <v>2</v>
      </c>
      <c r="F32">
        <v>0</v>
      </c>
      <c r="G32">
        <v>1</v>
      </c>
      <c r="L32" s="1" t="s">
        <v>123</v>
      </c>
      <c r="N32" s="1" t="s">
        <v>37</v>
      </c>
      <c r="P32" s="1" t="s">
        <v>37</v>
      </c>
      <c r="R32" s="1" t="s">
        <v>37</v>
      </c>
      <c r="S32">
        <v>47.45176</v>
      </c>
      <c r="T32">
        <v>7.7024140000000001</v>
      </c>
      <c r="U32" s="1" t="s">
        <v>49</v>
      </c>
      <c r="V32">
        <v>13</v>
      </c>
      <c r="W32">
        <v>0</v>
      </c>
      <c r="X32">
        <v>0</v>
      </c>
      <c r="Y32">
        <v>0.7</v>
      </c>
    </row>
    <row r="33" spans="1:26">
      <c r="A33" s="2">
        <v>43891</v>
      </c>
      <c r="B33" s="4">
        <v>0.72847222222222219</v>
      </c>
      <c r="C33" s="1" t="s">
        <v>51</v>
      </c>
      <c r="E33">
        <v>1</v>
      </c>
      <c r="F33">
        <v>0</v>
      </c>
      <c r="L33" s="1" t="s">
        <v>126</v>
      </c>
      <c r="M33">
        <v>1</v>
      </c>
      <c r="N33" s="1" t="s">
        <v>37</v>
      </c>
      <c r="P33" s="1" t="s">
        <v>37</v>
      </c>
      <c r="R33" s="1" t="s">
        <v>37</v>
      </c>
      <c r="S33">
        <v>47.564869000000002</v>
      </c>
      <c r="T33">
        <v>7.615259</v>
      </c>
      <c r="U33" s="1" t="s">
        <v>52</v>
      </c>
      <c r="V33">
        <v>12</v>
      </c>
      <c r="W33">
        <v>0</v>
      </c>
      <c r="X33">
        <v>0</v>
      </c>
      <c r="Y33">
        <v>0.52</v>
      </c>
    </row>
    <row r="34" spans="1:26">
      <c r="A34" s="2">
        <v>43891</v>
      </c>
      <c r="B34" s="4">
        <v>0.125</v>
      </c>
      <c r="C34" s="1" t="s">
        <v>57</v>
      </c>
      <c r="D34">
        <v>30</v>
      </c>
      <c r="E34">
        <v>1</v>
      </c>
      <c r="F34">
        <v>0</v>
      </c>
      <c r="L34" s="1" t="s">
        <v>127</v>
      </c>
      <c r="N34" s="1" t="s">
        <v>37</v>
      </c>
      <c r="P34" s="1" t="s">
        <v>37</v>
      </c>
      <c r="R34" s="1" t="s">
        <v>37</v>
      </c>
      <c r="S34">
        <v>46.718390999999997</v>
      </c>
      <c r="T34">
        <v>7.0740080000000001</v>
      </c>
      <c r="U34" s="1" t="s">
        <v>58</v>
      </c>
      <c r="V34">
        <v>10</v>
      </c>
      <c r="W34">
        <v>0</v>
      </c>
      <c r="X34">
        <v>0</v>
      </c>
      <c r="Y34">
        <v>0.32</v>
      </c>
    </row>
    <row r="35" spans="1:26">
      <c r="A35" s="2">
        <v>43891</v>
      </c>
      <c r="B35" s="4">
        <v>0.125</v>
      </c>
      <c r="C35" s="1" t="s">
        <v>60</v>
      </c>
      <c r="D35">
        <v>783</v>
      </c>
      <c r="E35">
        <v>8</v>
      </c>
      <c r="F35">
        <v>0</v>
      </c>
      <c r="G35">
        <v>3</v>
      </c>
      <c r="H35">
        <v>0</v>
      </c>
      <c r="I35">
        <v>0</v>
      </c>
      <c r="K35">
        <v>0</v>
      </c>
      <c r="L35" s="1" t="s">
        <v>62</v>
      </c>
      <c r="N35" s="1" t="s">
        <v>37</v>
      </c>
      <c r="P35" s="1" t="s">
        <v>37</v>
      </c>
      <c r="Q35">
        <v>0</v>
      </c>
      <c r="R35" s="1" t="s">
        <v>37</v>
      </c>
      <c r="S35">
        <v>46.220528000000002</v>
      </c>
      <c r="T35">
        <v>6.1329349999999998</v>
      </c>
      <c r="U35" s="1" t="s">
        <v>61</v>
      </c>
      <c r="V35">
        <v>25</v>
      </c>
      <c r="W35">
        <v>2</v>
      </c>
      <c r="X35">
        <v>0</v>
      </c>
      <c r="Y35">
        <v>1.62</v>
      </c>
      <c r="Z35">
        <v>0</v>
      </c>
    </row>
    <row r="36" spans="1:26">
      <c r="A36" s="2">
        <v>43891</v>
      </c>
      <c r="B36" s="4">
        <v>0.125</v>
      </c>
      <c r="C36" s="1" t="s">
        <v>63</v>
      </c>
      <c r="E36">
        <v>0</v>
      </c>
      <c r="F36">
        <v>0</v>
      </c>
      <c r="L36" s="1" t="s">
        <v>128</v>
      </c>
      <c r="N36" s="1" t="s">
        <v>37</v>
      </c>
      <c r="P36" s="1" t="s">
        <v>37</v>
      </c>
      <c r="R36" s="1" t="s">
        <v>37</v>
      </c>
      <c r="S36">
        <v>46.931042000000005</v>
      </c>
      <c r="T36">
        <v>9.0657510000000006</v>
      </c>
      <c r="U36" s="1" t="s">
        <v>64</v>
      </c>
      <c r="V36">
        <v>8</v>
      </c>
      <c r="W36">
        <v>0</v>
      </c>
      <c r="X36">
        <v>0</v>
      </c>
      <c r="Y36">
        <v>0</v>
      </c>
    </row>
    <row r="37" spans="1:26">
      <c r="A37" s="2">
        <v>43891</v>
      </c>
      <c r="B37" s="4">
        <v>0.125</v>
      </c>
      <c r="C37" s="1" t="s">
        <v>69</v>
      </c>
      <c r="E37">
        <v>1</v>
      </c>
      <c r="F37">
        <v>0</v>
      </c>
      <c r="G37">
        <v>1</v>
      </c>
      <c r="L37" s="1" t="s">
        <v>280</v>
      </c>
      <c r="N37" s="1" t="s">
        <v>37</v>
      </c>
      <c r="P37" s="1" t="s">
        <v>37</v>
      </c>
      <c r="R37" s="1" t="s">
        <v>37</v>
      </c>
      <c r="S37">
        <v>47.350743999999999</v>
      </c>
      <c r="T37">
        <v>7.1561070000000004</v>
      </c>
      <c r="U37" s="1" t="s">
        <v>70</v>
      </c>
      <c r="V37">
        <v>26</v>
      </c>
      <c r="W37">
        <v>0</v>
      </c>
      <c r="X37">
        <v>0</v>
      </c>
      <c r="Y37">
        <v>1.36</v>
      </c>
    </row>
    <row r="38" spans="1:26">
      <c r="A38" s="2">
        <v>43891</v>
      </c>
      <c r="B38" s="4">
        <v>0.125</v>
      </c>
      <c r="C38" s="1" t="s">
        <v>74</v>
      </c>
      <c r="E38">
        <v>1</v>
      </c>
      <c r="F38">
        <v>0</v>
      </c>
      <c r="L38" s="1" t="s">
        <v>76</v>
      </c>
      <c r="N38" s="1" t="s">
        <v>37</v>
      </c>
      <c r="P38" s="1" t="s">
        <v>37</v>
      </c>
      <c r="R38" s="1" t="s">
        <v>37</v>
      </c>
      <c r="S38">
        <v>46.995533999999999</v>
      </c>
      <c r="T38">
        <v>6.7801260000000001</v>
      </c>
      <c r="U38" s="1" t="s">
        <v>75</v>
      </c>
      <c r="V38">
        <v>24</v>
      </c>
      <c r="W38">
        <v>0</v>
      </c>
      <c r="X38">
        <v>0</v>
      </c>
      <c r="Y38">
        <v>0.56000000000000005</v>
      </c>
    </row>
    <row r="39" spans="1:26">
      <c r="A39" s="2">
        <v>43891</v>
      </c>
      <c r="B39" s="4">
        <v>0.125</v>
      </c>
      <c r="C39" s="1" t="s">
        <v>98</v>
      </c>
      <c r="E39">
        <v>1</v>
      </c>
      <c r="F39">
        <v>0</v>
      </c>
      <c r="L39" s="1" t="s">
        <v>115</v>
      </c>
      <c r="N39" s="1" t="s">
        <v>37</v>
      </c>
      <c r="P39" s="1" t="s">
        <v>37</v>
      </c>
      <c r="R39" s="1" t="s">
        <v>37</v>
      </c>
      <c r="S39">
        <v>46.295617</v>
      </c>
      <c r="T39">
        <v>8.8089239999999993</v>
      </c>
      <c r="U39" s="1" t="s">
        <v>99</v>
      </c>
      <c r="V39">
        <v>21</v>
      </c>
      <c r="W39">
        <v>0</v>
      </c>
      <c r="X39">
        <v>0</v>
      </c>
      <c r="Y39">
        <v>0.28000000000000003</v>
      </c>
    </row>
    <row r="40" spans="1:26">
      <c r="A40" s="2">
        <v>43891</v>
      </c>
      <c r="B40" s="4">
        <v>0.125</v>
      </c>
      <c r="C40" s="1" t="s">
        <v>104</v>
      </c>
      <c r="F40">
        <v>0</v>
      </c>
      <c r="G40">
        <v>4</v>
      </c>
      <c r="L40" s="1" t="s">
        <v>122</v>
      </c>
      <c r="N40" s="1" t="s">
        <v>37</v>
      </c>
      <c r="P40" s="1" t="s">
        <v>37</v>
      </c>
      <c r="R40" s="1" t="s">
        <v>37</v>
      </c>
      <c r="S40">
        <v>46.570090999999998</v>
      </c>
      <c r="T40">
        <v>6.5578090000000007</v>
      </c>
      <c r="U40" s="1" t="s">
        <v>105</v>
      </c>
      <c r="V40">
        <v>22</v>
      </c>
      <c r="W40">
        <v>0</v>
      </c>
      <c r="X40">
        <v>0</v>
      </c>
    </row>
    <row r="41" spans="1:26">
      <c r="A41" s="2">
        <v>43891</v>
      </c>
      <c r="B41" s="4">
        <v>0.125</v>
      </c>
      <c r="C41" s="1" t="s">
        <v>107</v>
      </c>
      <c r="E41">
        <v>2</v>
      </c>
      <c r="F41">
        <v>1</v>
      </c>
      <c r="G41">
        <v>6</v>
      </c>
      <c r="H41">
        <v>0</v>
      </c>
      <c r="I41">
        <v>0</v>
      </c>
      <c r="K41">
        <v>0</v>
      </c>
      <c r="L41" s="1" t="s">
        <v>412</v>
      </c>
      <c r="N41" s="1" t="s">
        <v>37</v>
      </c>
      <c r="P41" s="1" t="s">
        <v>37</v>
      </c>
      <c r="R41" s="1" t="s">
        <v>37</v>
      </c>
      <c r="S41">
        <v>46.209567</v>
      </c>
      <c r="T41">
        <v>7.6046589999999998</v>
      </c>
      <c r="U41" s="1" t="s">
        <v>108</v>
      </c>
      <c r="V41">
        <v>23</v>
      </c>
      <c r="W41">
        <v>1</v>
      </c>
      <c r="X41">
        <v>0</v>
      </c>
      <c r="Y41">
        <v>0.59</v>
      </c>
      <c r="Z41">
        <v>0</v>
      </c>
    </row>
    <row r="42" spans="1:26">
      <c r="A42" s="2">
        <v>43891</v>
      </c>
      <c r="B42" s="4">
        <v>0.33333333333333331</v>
      </c>
      <c r="C42" s="1" t="s">
        <v>109</v>
      </c>
      <c r="E42">
        <v>0</v>
      </c>
      <c r="F42">
        <v>0</v>
      </c>
      <c r="G42">
        <v>0</v>
      </c>
      <c r="H42">
        <v>0</v>
      </c>
      <c r="J42">
        <v>0</v>
      </c>
      <c r="K42">
        <v>0</v>
      </c>
      <c r="L42" s="1" t="s">
        <v>502</v>
      </c>
      <c r="N42" s="1" t="s">
        <v>37</v>
      </c>
      <c r="P42" s="1" t="s">
        <v>37</v>
      </c>
      <c r="R42" s="1" t="s">
        <v>37</v>
      </c>
      <c r="S42">
        <v>47.157296000000002</v>
      </c>
      <c r="T42">
        <v>8.5372939999999993</v>
      </c>
      <c r="U42" s="1" t="s">
        <v>110</v>
      </c>
      <c r="V42">
        <v>9</v>
      </c>
      <c r="W42">
        <v>0</v>
      </c>
      <c r="X42">
        <v>0</v>
      </c>
      <c r="Y42">
        <v>0</v>
      </c>
      <c r="Z42">
        <v>0</v>
      </c>
    </row>
    <row r="43" spans="1:26">
      <c r="A43" s="2">
        <v>43891</v>
      </c>
      <c r="B43" s="4">
        <v>0.60416666666666663</v>
      </c>
      <c r="C43" s="1" t="s">
        <v>111</v>
      </c>
      <c r="E43">
        <v>7</v>
      </c>
      <c r="F43">
        <v>0</v>
      </c>
      <c r="L43" s="1" t="s">
        <v>113</v>
      </c>
      <c r="N43" s="1" t="s">
        <v>37</v>
      </c>
      <c r="P43" s="1" t="s">
        <v>37</v>
      </c>
      <c r="R43" s="1" t="s">
        <v>37</v>
      </c>
      <c r="S43">
        <v>47.412750000000003</v>
      </c>
      <c r="T43">
        <v>8.6550799999999999</v>
      </c>
      <c r="U43" s="1" t="s">
        <v>112</v>
      </c>
      <c r="V43">
        <v>1</v>
      </c>
      <c r="W43">
        <v>1</v>
      </c>
      <c r="X43">
        <v>0</v>
      </c>
      <c r="Y43">
        <v>0.47</v>
      </c>
    </row>
    <row r="44" spans="1:26">
      <c r="A44" s="2">
        <v>43892</v>
      </c>
      <c r="B44" s="4">
        <v>0.75</v>
      </c>
      <c r="C44" s="1" t="s">
        <v>35</v>
      </c>
      <c r="E44">
        <v>2</v>
      </c>
      <c r="F44">
        <v>0</v>
      </c>
      <c r="L44" s="1" t="s">
        <v>129</v>
      </c>
      <c r="N44" s="1" t="s">
        <v>37</v>
      </c>
      <c r="P44" s="1" t="s">
        <v>37</v>
      </c>
      <c r="R44" s="1" t="s">
        <v>37</v>
      </c>
      <c r="S44">
        <v>47.409660000000002</v>
      </c>
      <c r="T44">
        <v>8.1568799999999992</v>
      </c>
      <c r="U44" s="1" t="s">
        <v>36</v>
      </c>
      <c r="V44">
        <v>1</v>
      </c>
      <c r="W44">
        <v>1</v>
      </c>
      <c r="X44">
        <v>0</v>
      </c>
      <c r="Y44">
        <v>0.3</v>
      </c>
    </row>
    <row r="45" spans="1:26">
      <c r="A45" s="2">
        <v>43892</v>
      </c>
      <c r="B45" s="4">
        <v>0.125</v>
      </c>
      <c r="C45" s="1" t="s">
        <v>45</v>
      </c>
      <c r="E45">
        <v>4</v>
      </c>
      <c r="F45">
        <v>0</v>
      </c>
      <c r="L45" s="1" t="s">
        <v>130</v>
      </c>
      <c r="N45" s="1" t="s">
        <v>37</v>
      </c>
      <c r="P45" s="1" t="s">
        <v>37</v>
      </c>
      <c r="R45" s="1" t="s">
        <v>37</v>
      </c>
      <c r="S45">
        <v>46.823608</v>
      </c>
      <c r="T45">
        <v>7.6366670000000001</v>
      </c>
      <c r="U45" s="1" t="s">
        <v>46</v>
      </c>
      <c r="V45">
        <v>2</v>
      </c>
      <c r="W45">
        <v>2</v>
      </c>
      <c r="X45">
        <v>0</v>
      </c>
      <c r="Y45">
        <v>0.39</v>
      </c>
    </row>
    <row r="46" spans="1:26">
      <c r="A46" s="2">
        <v>43892</v>
      </c>
      <c r="B46" s="4">
        <v>0.125</v>
      </c>
      <c r="C46" s="1" t="s">
        <v>48</v>
      </c>
      <c r="E46">
        <v>2</v>
      </c>
      <c r="F46">
        <v>0</v>
      </c>
      <c r="G46">
        <v>1</v>
      </c>
      <c r="L46" s="1" t="s">
        <v>123</v>
      </c>
      <c r="N46" s="1" t="s">
        <v>37</v>
      </c>
      <c r="P46" s="1" t="s">
        <v>37</v>
      </c>
      <c r="R46" s="1" t="s">
        <v>37</v>
      </c>
      <c r="S46">
        <v>47.45176</v>
      </c>
      <c r="T46">
        <v>7.7024140000000001</v>
      </c>
      <c r="U46" s="1" t="s">
        <v>49</v>
      </c>
      <c r="V46">
        <v>13</v>
      </c>
      <c r="W46">
        <v>0</v>
      </c>
      <c r="X46">
        <v>0</v>
      </c>
      <c r="Y46">
        <v>0.7</v>
      </c>
    </row>
    <row r="47" spans="1:26">
      <c r="A47" s="2">
        <v>43892</v>
      </c>
      <c r="B47" s="4">
        <v>0.71875</v>
      </c>
      <c r="C47" s="1" t="s">
        <v>51</v>
      </c>
      <c r="D47">
        <v>235</v>
      </c>
      <c r="E47">
        <v>1</v>
      </c>
      <c r="F47">
        <v>0</v>
      </c>
      <c r="L47" s="1" t="s">
        <v>131</v>
      </c>
      <c r="M47">
        <v>3</v>
      </c>
      <c r="N47" s="1" t="s">
        <v>37</v>
      </c>
      <c r="P47" s="1" t="s">
        <v>37</v>
      </c>
      <c r="R47" s="1" t="s">
        <v>37</v>
      </c>
      <c r="S47">
        <v>47.564869000000002</v>
      </c>
      <c r="T47">
        <v>7.615259</v>
      </c>
      <c r="U47" s="1" t="s">
        <v>52</v>
      </c>
      <c r="V47">
        <v>12</v>
      </c>
      <c r="W47">
        <v>0</v>
      </c>
      <c r="X47">
        <v>0</v>
      </c>
      <c r="Y47">
        <v>0.52</v>
      </c>
    </row>
    <row r="48" spans="1:26">
      <c r="A48" s="2">
        <v>43892</v>
      </c>
      <c r="B48" s="4">
        <v>0.125</v>
      </c>
      <c r="C48" s="1" t="s">
        <v>57</v>
      </c>
      <c r="D48">
        <v>30</v>
      </c>
      <c r="E48">
        <v>2</v>
      </c>
      <c r="F48">
        <v>0</v>
      </c>
      <c r="L48" s="1" t="s">
        <v>132</v>
      </c>
      <c r="N48" s="1" t="s">
        <v>37</v>
      </c>
      <c r="P48" s="1" t="s">
        <v>37</v>
      </c>
      <c r="R48" s="1" t="s">
        <v>37</v>
      </c>
      <c r="S48">
        <v>46.718390999999997</v>
      </c>
      <c r="T48">
        <v>7.0740080000000001</v>
      </c>
      <c r="U48" s="1" t="s">
        <v>58</v>
      </c>
      <c r="V48">
        <v>10</v>
      </c>
      <c r="W48">
        <v>1</v>
      </c>
      <c r="X48">
        <v>0</v>
      </c>
      <c r="Y48">
        <v>0.63</v>
      </c>
    </row>
    <row r="49" spans="1:26">
      <c r="A49" s="2">
        <v>43892</v>
      </c>
      <c r="B49" s="4">
        <v>0.125</v>
      </c>
      <c r="C49" s="1" t="s">
        <v>60</v>
      </c>
      <c r="D49">
        <v>871</v>
      </c>
      <c r="E49">
        <v>8</v>
      </c>
      <c r="F49">
        <v>0</v>
      </c>
      <c r="G49">
        <v>3</v>
      </c>
      <c r="H49">
        <v>0</v>
      </c>
      <c r="I49">
        <v>0</v>
      </c>
      <c r="K49">
        <v>0</v>
      </c>
      <c r="L49" s="1" t="s">
        <v>62</v>
      </c>
      <c r="N49" s="1" t="s">
        <v>37</v>
      </c>
      <c r="P49" s="1" t="s">
        <v>37</v>
      </c>
      <c r="Q49">
        <v>0</v>
      </c>
      <c r="R49" s="1" t="s">
        <v>37</v>
      </c>
      <c r="S49">
        <v>46.220528000000002</v>
      </c>
      <c r="T49">
        <v>6.1329349999999998</v>
      </c>
      <c r="U49" s="1" t="s">
        <v>61</v>
      </c>
      <c r="V49">
        <v>25</v>
      </c>
      <c r="W49">
        <v>0</v>
      </c>
      <c r="X49">
        <v>0</v>
      </c>
      <c r="Y49">
        <v>1.62</v>
      </c>
      <c r="Z49">
        <v>0</v>
      </c>
    </row>
    <row r="50" spans="1:26">
      <c r="A50" s="2">
        <v>43892</v>
      </c>
      <c r="B50" s="4">
        <v>0.125</v>
      </c>
      <c r="C50" s="1" t="s">
        <v>69</v>
      </c>
      <c r="E50">
        <v>1</v>
      </c>
      <c r="F50">
        <v>0</v>
      </c>
      <c r="G50">
        <v>1</v>
      </c>
      <c r="L50" s="1" t="s">
        <v>280</v>
      </c>
      <c r="N50" s="1" t="s">
        <v>37</v>
      </c>
      <c r="P50" s="1" t="s">
        <v>37</v>
      </c>
      <c r="R50" s="1" t="s">
        <v>37</v>
      </c>
      <c r="S50">
        <v>47.350743999999999</v>
      </c>
      <c r="T50">
        <v>7.1561070000000004</v>
      </c>
      <c r="U50" s="1" t="s">
        <v>70</v>
      </c>
      <c r="V50">
        <v>26</v>
      </c>
      <c r="W50">
        <v>0</v>
      </c>
      <c r="X50">
        <v>0</v>
      </c>
      <c r="Y50">
        <v>1.36</v>
      </c>
    </row>
    <row r="51" spans="1:26">
      <c r="A51" s="2">
        <v>43892</v>
      </c>
      <c r="B51" s="4">
        <v>0.125</v>
      </c>
      <c r="C51" s="1" t="s">
        <v>74</v>
      </c>
      <c r="E51">
        <v>1</v>
      </c>
      <c r="F51">
        <v>0</v>
      </c>
      <c r="G51">
        <v>1</v>
      </c>
      <c r="L51" s="1" t="s">
        <v>76</v>
      </c>
      <c r="N51" s="1" t="s">
        <v>37</v>
      </c>
      <c r="P51" s="1" t="s">
        <v>37</v>
      </c>
      <c r="R51" s="1" t="s">
        <v>37</v>
      </c>
      <c r="S51">
        <v>46.995533999999999</v>
      </c>
      <c r="T51">
        <v>6.7801260000000001</v>
      </c>
      <c r="U51" s="1" t="s">
        <v>75</v>
      </c>
      <c r="V51">
        <v>24</v>
      </c>
      <c r="W51">
        <v>0</v>
      </c>
      <c r="X51">
        <v>0</v>
      </c>
      <c r="Y51">
        <v>0.56000000000000005</v>
      </c>
    </row>
    <row r="52" spans="1:26">
      <c r="A52" s="2">
        <v>43892</v>
      </c>
      <c r="B52" s="4">
        <v>0.125</v>
      </c>
      <c r="C52" s="1" t="s">
        <v>83</v>
      </c>
      <c r="E52">
        <v>0</v>
      </c>
      <c r="F52">
        <v>0</v>
      </c>
      <c r="L52" s="1" t="s">
        <v>133</v>
      </c>
      <c r="N52" s="1" t="s">
        <v>37</v>
      </c>
      <c r="P52" s="1" t="s">
        <v>37</v>
      </c>
      <c r="R52" s="1" t="s">
        <v>37</v>
      </c>
      <c r="S52">
        <v>47.183199999999999</v>
      </c>
      <c r="T52">
        <v>9.2747440000000001</v>
      </c>
      <c r="U52" s="1" t="s">
        <v>84</v>
      </c>
      <c r="V52">
        <v>17</v>
      </c>
      <c r="W52">
        <v>0</v>
      </c>
      <c r="X52">
        <v>0</v>
      </c>
      <c r="Y52">
        <v>0</v>
      </c>
    </row>
    <row r="53" spans="1:26">
      <c r="A53" s="2">
        <v>43892</v>
      </c>
      <c r="B53" s="4">
        <v>0.125</v>
      </c>
      <c r="C53" s="1" t="s">
        <v>98</v>
      </c>
      <c r="E53">
        <v>2</v>
      </c>
      <c r="F53">
        <v>0</v>
      </c>
      <c r="L53" s="1" t="s">
        <v>134</v>
      </c>
      <c r="N53" s="1" t="s">
        <v>37</v>
      </c>
      <c r="O53">
        <v>6</v>
      </c>
      <c r="P53" s="1" t="s">
        <v>37</v>
      </c>
      <c r="R53" s="1" t="s">
        <v>37</v>
      </c>
      <c r="S53">
        <v>46.295617</v>
      </c>
      <c r="T53">
        <v>8.8089239999999993</v>
      </c>
      <c r="U53" s="1" t="s">
        <v>99</v>
      </c>
      <c r="V53">
        <v>21</v>
      </c>
      <c r="W53">
        <v>0</v>
      </c>
      <c r="X53">
        <v>0</v>
      </c>
      <c r="Y53">
        <v>0.56999999999999995</v>
      </c>
    </row>
    <row r="54" spans="1:26">
      <c r="A54" s="2">
        <v>43892</v>
      </c>
      <c r="B54" s="4">
        <v>0.125</v>
      </c>
      <c r="C54" s="1" t="s">
        <v>104</v>
      </c>
      <c r="F54">
        <v>2</v>
      </c>
      <c r="G54">
        <v>6</v>
      </c>
      <c r="L54" s="1" t="s">
        <v>122</v>
      </c>
      <c r="N54" s="1" t="s">
        <v>37</v>
      </c>
      <c r="P54" s="1" t="s">
        <v>37</v>
      </c>
      <c r="R54" s="1" t="s">
        <v>37</v>
      </c>
      <c r="S54">
        <v>46.570090999999998</v>
      </c>
      <c r="T54">
        <v>6.5578090000000007</v>
      </c>
      <c r="U54" s="1" t="s">
        <v>105</v>
      </c>
      <c r="V54">
        <v>22</v>
      </c>
      <c r="W54">
        <v>0</v>
      </c>
      <c r="X54">
        <v>0</v>
      </c>
    </row>
    <row r="55" spans="1:26">
      <c r="A55" s="2">
        <v>43892</v>
      </c>
      <c r="B55" s="4">
        <v>0.125</v>
      </c>
      <c r="C55" s="1" t="s">
        <v>107</v>
      </c>
      <c r="E55">
        <v>3</v>
      </c>
      <c r="F55">
        <v>3</v>
      </c>
      <c r="G55">
        <v>9</v>
      </c>
      <c r="H55">
        <v>0</v>
      </c>
      <c r="I55">
        <v>0</v>
      </c>
      <c r="K55">
        <v>0</v>
      </c>
      <c r="L55" s="1" t="s">
        <v>412</v>
      </c>
      <c r="N55" s="1" t="s">
        <v>37</v>
      </c>
      <c r="P55" s="1" t="s">
        <v>37</v>
      </c>
      <c r="R55" s="1" t="s">
        <v>37</v>
      </c>
      <c r="S55">
        <v>46.209567</v>
      </c>
      <c r="T55">
        <v>7.6046589999999998</v>
      </c>
      <c r="U55" s="1" t="s">
        <v>108</v>
      </c>
      <c r="V55">
        <v>23</v>
      </c>
      <c r="W55">
        <v>1</v>
      </c>
      <c r="X55">
        <v>0</v>
      </c>
      <c r="Y55">
        <v>0.88</v>
      </c>
      <c r="Z55">
        <v>0</v>
      </c>
    </row>
    <row r="56" spans="1:26">
      <c r="A56" s="2">
        <v>43892</v>
      </c>
      <c r="B56" s="4">
        <v>0.33333333333333331</v>
      </c>
      <c r="C56" s="1" t="s">
        <v>109</v>
      </c>
      <c r="E56">
        <v>1</v>
      </c>
      <c r="F56">
        <v>0</v>
      </c>
      <c r="G56">
        <v>0</v>
      </c>
      <c r="H56">
        <v>0</v>
      </c>
      <c r="J56">
        <v>0</v>
      </c>
      <c r="K56">
        <v>0</v>
      </c>
      <c r="L56" s="1" t="s">
        <v>502</v>
      </c>
      <c r="N56" s="1" t="s">
        <v>37</v>
      </c>
      <c r="P56" s="1" t="s">
        <v>37</v>
      </c>
      <c r="R56" s="1" t="s">
        <v>37</v>
      </c>
      <c r="S56">
        <v>47.157296000000002</v>
      </c>
      <c r="T56">
        <v>8.5372939999999993</v>
      </c>
      <c r="U56" s="1" t="s">
        <v>110</v>
      </c>
      <c r="V56">
        <v>9</v>
      </c>
      <c r="W56">
        <v>1</v>
      </c>
      <c r="X56">
        <v>0</v>
      </c>
      <c r="Y56">
        <v>0.8</v>
      </c>
      <c r="Z56">
        <v>0</v>
      </c>
    </row>
    <row r="57" spans="1:26">
      <c r="A57" s="2">
        <v>43892</v>
      </c>
      <c r="B57" s="4">
        <v>0.60416666666666663</v>
      </c>
      <c r="C57" s="1" t="s">
        <v>111</v>
      </c>
      <c r="E57">
        <v>11</v>
      </c>
      <c r="F57">
        <v>0</v>
      </c>
      <c r="L57" s="1" t="s">
        <v>113</v>
      </c>
      <c r="N57" s="1" t="s">
        <v>37</v>
      </c>
      <c r="P57" s="1" t="s">
        <v>37</v>
      </c>
      <c r="R57" s="1" t="s">
        <v>37</v>
      </c>
      <c r="S57">
        <v>47.412750000000003</v>
      </c>
      <c r="T57">
        <v>8.6550799999999999</v>
      </c>
      <c r="U57" s="1" t="s">
        <v>112</v>
      </c>
      <c r="V57">
        <v>1</v>
      </c>
      <c r="W57">
        <v>4</v>
      </c>
      <c r="X57">
        <v>0</v>
      </c>
      <c r="Y57">
        <v>0.73</v>
      </c>
    </row>
    <row r="58" spans="1:26">
      <c r="A58" s="2">
        <v>43893</v>
      </c>
      <c r="B58" s="4">
        <v>0.625</v>
      </c>
      <c r="C58" s="1" t="s">
        <v>35</v>
      </c>
      <c r="E58">
        <v>6</v>
      </c>
      <c r="F58">
        <v>0</v>
      </c>
      <c r="L58" s="1" t="s">
        <v>135</v>
      </c>
      <c r="N58" s="1" t="s">
        <v>37</v>
      </c>
      <c r="P58" s="1" t="s">
        <v>37</v>
      </c>
      <c r="R58" s="1" t="s">
        <v>37</v>
      </c>
      <c r="S58">
        <v>47.409660000000002</v>
      </c>
      <c r="T58">
        <v>8.1568799999999992</v>
      </c>
      <c r="U58" s="1" t="s">
        <v>36</v>
      </c>
      <c r="V58">
        <v>1</v>
      </c>
      <c r="W58">
        <v>4</v>
      </c>
      <c r="X58">
        <v>0</v>
      </c>
      <c r="Y58">
        <v>0.89</v>
      </c>
    </row>
    <row r="59" spans="1:26">
      <c r="A59" s="2">
        <v>43893</v>
      </c>
      <c r="B59" s="4">
        <v>0.125</v>
      </c>
      <c r="C59" s="1" t="s">
        <v>48</v>
      </c>
      <c r="E59">
        <v>2</v>
      </c>
      <c r="F59">
        <v>0</v>
      </c>
      <c r="G59">
        <v>1</v>
      </c>
      <c r="L59" s="1" t="s">
        <v>123</v>
      </c>
      <c r="N59" s="1" t="s">
        <v>37</v>
      </c>
      <c r="P59" s="1" t="s">
        <v>37</v>
      </c>
      <c r="R59" s="1" t="s">
        <v>37</v>
      </c>
      <c r="S59">
        <v>47.45176</v>
      </c>
      <c r="T59">
        <v>7.7024140000000001</v>
      </c>
      <c r="U59" s="1" t="s">
        <v>49</v>
      </c>
      <c r="V59">
        <v>13</v>
      </c>
      <c r="W59">
        <v>0</v>
      </c>
      <c r="X59">
        <v>0</v>
      </c>
      <c r="Y59">
        <v>0.7</v>
      </c>
    </row>
    <row r="60" spans="1:26">
      <c r="A60" s="2">
        <v>43893</v>
      </c>
      <c r="B60" s="4">
        <v>0.72916666666666663</v>
      </c>
      <c r="C60" s="1" t="s">
        <v>51</v>
      </c>
      <c r="D60">
        <v>235</v>
      </c>
      <c r="E60">
        <v>3</v>
      </c>
      <c r="F60">
        <v>0</v>
      </c>
      <c r="L60" s="1" t="s">
        <v>136</v>
      </c>
      <c r="M60">
        <v>3</v>
      </c>
      <c r="N60" s="1" t="s">
        <v>37</v>
      </c>
      <c r="P60" s="1" t="s">
        <v>37</v>
      </c>
      <c r="R60" s="1" t="s">
        <v>37</v>
      </c>
      <c r="S60">
        <v>47.564869000000002</v>
      </c>
      <c r="T60">
        <v>7.615259</v>
      </c>
      <c r="U60" s="1" t="s">
        <v>52</v>
      </c>
      <c r="V60">
        <v>12</v>
      </c>
      <c r="W60">
        <v>2</v>
      </c>
      <c r="X60">
        <v>0</v>
      </c>
      <c r="Y60">
        <v>1.55</v>
      </c>
    </row>
    <row r="61" spans="1:26">
      <c r="A61" s="2">
        <v>43893</v>
      </c>
      <c r="B61" s="4">
        <v>0.125</v>
      </c>
      <c r="C61" s="1" t="s">
        <v>54</v>
      </c>
      <c r="D61">
        <v>14</v>
      </c>
      <c r="F61">
        <v>0</v>
      </c>
      <c r="L61" s="1" t="s">
        <v>137</v>
      </c>
      <c r="N61" s="1" t="s">
        <v>37</v>
      </c>
      <c r="P61" s="1" t="s">
        <v>37</v>
      </c>
      <c r="R61" s="1" t="s">
        <v>37</v>
      </c>
      <c r="S61">
        <v>47.166666999999997</v>
      </c>
      <c r="T61">
        <v>9.509722</v>
      </c>
      <c r="U61" s="1" t="s">
        <v>55</v>
      </c>
      <c r="V61">
        <v>0</v>
      </c>
      <c r="W61">
        <v>0</v>
      </c>
      <c r="X61">
        <v>0</v>
      </c>
    </row>
    <row r="62" spans="1:26">
      <c r="A62" s="2">
        <v>43893</v>
      </c>
      <c r="B62" s="4">
        <v>0.125</v>
      </c>
      <c r="C62" s="1" t="s">
        <v>60</v>
      </c>
      <c r="D62">
        <v>980</v>
      </c>
      <c r="E62">
        <v>11</v>
      </c>
      <c r="F62">
        <v>1</v>
      </c>
      <c r="G62">
        <v>4</v>
      </c>
      <c r="H62">
        <v>0</v>
      </c>
      <c r="I62">
        <v>0</v>
      </c>
      <c r="K62">
        <v>0</v>
      </c>
      <c r="L62" s="1" t="s">
        <v>62</v>
      </c>
      <c r="N62" s="1" t="s">
        <v>37</v>
      </c>
      <c r="P62" s="1" t="s">
        <v>37</v>
      </c>
      <c r="Q62">
        <v>0</v>
      </c>
      <c r="R62" s="1" t="s">
        <v>37</v>
      </c>
      <c r="S62">
        <v>46.220528000000002</v>
      </c>
      <c r="T62">
        <v>6.1329349999999998</v>
      </c>
      <c r="U62" s="1" t="s">
        <v>61</v>
      </c>
      <c r="V62">
        <v>25</v>
      </c>
      <c r="W62">
        <v>3</v>
      </c>
      <c r="X62">
        <v>0</v>
      </c>
      <c r="Y62">
        <v>2.2200000000000002</v>
      </c>
      <c r="Z62">
        <v>0</v>
      </c>
    </row>
    <row r="63" spans="1:26">
      <c r="A63" s="2">
        <v>43893</v>
      </c>
      <c r="B63" s="4">
        <v>0.125</v>
      </c>
      <c r="C63" s="1" t="s">
        <v>69</v>
      </c>
      <c r="E63">
        <v>2</v>
      </c>
      <c r="F63">
        <v>0</v>
      </c>
      <c r="G63">
        <v>1</v>
      </c>
      <c r="L63" s="1" t="s">
        <v>280</v>
      </c>
      <c r="N63" s="1" t="s">
        <v>37</v>
      </c>
      <c r="P63" s="1" t="s">
        <v>37</v>
      </c>
      <c r="R63" s="1" t="s">
        <v>37</v>
      </c>
      <c r="S63">
        <v>47.350743999999999</v>
      </c>
      <c r="T63">
        <v>7.1561070000000004</v>
      </c>
      <c r="U63" s="1" t="s">
        <v>70</v>
      </c>
      <c r="V63">
        <v>26</v>
      </c>
      <c r="W63">
        <v>1</v>
      </c>
      <c r="X63">
        <v>0</v>
      </c>
      <c r="Y63">
        <v>2.73</v>
      </c>
    </row>
    <row r="64" spans="1:26">
      <c r="A64" s="2">
        <v>43893</v>
      </c>
      <c r="B64" s="4">
        <v>0.125</v>
      </c>
      <c r="C64" s="1" t="s">
        <v>74</v>
      </c>
      <c r="E64">
        <v>1</v>
      </c>
      <c r="F64">
        <v>0</v>
      </c>
      <c r="G64">
        <v>1</v>
      </c>
      <c r="L64" s="1" t="s">
        <v>76</v>
      </c>
      <c r="N64" s="1" t="s">
        <v>37</v>
      </c>
      <c r="P64" s="1" t="s">
        <v>37</v>
      </c>
      <c r="R64" s="1" t="s">
        <v>37</v>
      </c>
      <c r="S64">
        <v>46.995533999999999</v>
      </c>
      <c r="T64">
        <v>6.7801260000000001</v>
      </c>
      <c r="U64" s="1" t="s">
        <v>75</v>
      </c>
      <c r="V64">
        <v>24</v>
      </c>
      <c r="W64">
        <v>0</v>
      </c>
      <c r="X64">
        <v>0</v>
      </c>
      <c r="Y64">
        <v>0.56000000000000005</v>
      </c>
    </row>
    <row r="65" spans="1:26">
      <c r="A65" s="2">
        <v>43893</v>
      </c>
      <c r="B65" s="4">
        <v>0.125</v>
      </c>
      <c r="C65" s="1" t="s">
        <v>92</v>
      </c>
      <c r="D65">
        <v>1</v>
      </c>
      <c r="E65">
        <v>1</v>
      </c>
      <c r="F65">
        <v>0</v>
      </c>
      <c r="L65" s="1" t="s">
        <v>138</v>
      </c>
      <c r="N65" s="1" t="s">
        <v>37</v>
      </c>
      <c r="P65" s="1" t="s">
        <v>37</v>
      </c>
      <c r="R65" s="1" t="s">
        <v>37</v>
      </c>
      <c r="S65">
        <v>47.061787000000002</v>
      </c>
      <c r="T65">
        <v>8.7565849999999994</v>
      </c>
      <c r="U65" s="1" t="s">
        <v>93</v>
      </c>
      <c r="V65">
        <v>5</v>
      </c>
      <c r="W65">
        <v>0</v>
      </c>
      <c r="X65">
        <v>0</v>
      </c>
      <c r="Y65">
        <v>0.64</v>
      </c>
    </row>
    <row r="66" spans="1:26">
      <c r="A66" s="2">
        <v>43893</v>
      </c>
      <c r="B66" s="4">
        <v>0.125</v>
      </c>
      <c r="C66" s="1" t="s">
        <v>98</v>
      </c>
      <c r="E66">
        <v>4</v>
      </c>
      <c r="F66">
        <v>0</v>
      </c>
      <c r="L66" s="1" t="s">
        <v>139</v>
      </c>
      <c r="N66" s="1" t="s">
        <v>37</v>
      </c>
      <c r="P66" s="1" t="s">
        <v>37</v>
      </c>
      <c r="R66" s="1" t="s">
        <v>37</v>
      </c>
      <c r="S66">
        <v>46.295617</v>
      </c>
      <c r="T66">
        <v>8.8089239999999993</v>
      </c>
      <c r="U66" s="1" t="s">
        <v>99</v>
      </c>
      <c r="V66">
        <v>21</v>
      </c>
      <c r="W66">
        <v>2</v>
      </c>
      <c r="X66">
        <v>0</v>
      </c>
      <c r="Y66">
        <v>1.1299999999999999</v>
      </c>
    </row>
    <row r="67" spans="1:26">
      <c r="A67" s="2">
        <v>43893</v>
      </c>
      <c r="B67" s="4">
        <v>0.125</v>
      </c>
      <c r="C67" s="1" t="s">
        <v>104</v>
      </c>
      <c r="F67">
        <v>2</v>
      </c>
      <c r="G67">
        <v>8</v>
      </c>
      <c r="L67" s="1" t="s">
        <v>122</v>
      </c>
      <c r="N67" s="1" t="s">
        <v>37</v>
      </c>
      <c r="P67" s="1" t="s">
        <v>37</v>
      </c>
      <c r="R67" s="1" t="s">
        <v>37</v>
      </c>
      <c r="S67">
        <v>46.570090999999998</v>
      </c>
      <c r="T67">
        <v>6.5578090000000007</v>
      </c>
      <c r="U67" s="1" t="s">
        <v>105</v>
      </c>
      <c r="V67">
        <v>22</v>
      </c>
      <c r="W67">
        <v>0</v>
      </c>
      <c r="X67">
        <v>0</v>
      </c>
    </row>
    <row r="68" spans="1:26">
      <c r="A68" s="2">
        <v>43893</v>
      </c>
      <c r="B68" s="4">
        <v>0.125</v>
      </c>
      <c r="C68" s="1" t="s">
        <v>107</v>
      </c>
      <c r="E68">
        <v>3</v>
      </c>
      <c r="F68">
        <v>2</v>
      </c>
      <c r="G68">
        <v>11</v>
      </c>
      <c r="H68">
        <v>0</v>
      </c>
      <c r="I68">
        <v>0</v>
      </c>
      <c r="K68">
        <v>0</v>
      </c>
      <c r="L68" s="1" t="s">
        <v>412</v>
      </c>
      <c r="N68" s="1" t="s">
        <v>37</v>
      </c>
      <c r="P68" s="1" t="s">
        <v>37</v>
      </c>
      <c r="R68" s="1" t="s">
        <v>37</v>
      </c>
      <c r="S68">
        <v>46.209567</v>
      </c>
      <c r="T68">
        <v>7.6046589999999998</v>
      </c>
      <c r="U68" s="1" t="s">
        <v>108</v>
      </c>
      <c r="V68">
        <v>23</v>
      </c>
      <c r="W68">
        <v>0</v>
      </c>
      <c r="X68">
        <v>0</v>
      </c>
      <c r="Y68">
        <v>0.88</v>
      </c>
      <c r="Z68">
        <v>0</v>
      </c>
    </row>
    <row r="69" spans="1:26">
      <c r="A69" s="2">
        <v>43893</v>
      </c>
      <c r="B69" s="4">
        <v>0.33333333333333331</v>
      </c>
      <c r="C69" s="1" t="s">
        <v>109</v>
      </c>
      <c r="E69">
        <v>1</v>
      </c>
      <c r="F69">
        <v>0</v>
      </c>
      <c r="G69">
        <v>0</v>
      </c>
      <c r="H69">
        <v>0</v>
      </c>
      <c r="J69">
        <v>0</v>
      </c>
      <c r="K69">
        <v>0</v>
      </c>
      <c r="L69" s="1" t="s">
        <v>502</v>
      </c>
      <c r="N69" s="1" t="s">
        <v>37</v>
      </c>
      <c r="P69" s="1" t="s">
        <v>37</v>
      </c>
      <c r="R69" s="1" t="s">
        <v>37</v>
      </c>
      <c r="S69">
        <v>47.157296000000002</v>
      </c>
      <c r="T69">
        <v>8.5372939999999993</v>
      </c>
      <c r="U69" s="1" t="s">
        <v>110</v>
      </c>
      <c r="V69">
        <v>9</v>
      </c>
      <c r="W69">
        <v>0</v>
      </c>
      <c r="X69">
        <v>0</v>
      </c>
      <c r="Y69">
        <v>0.8</v>
      </c>
      <c r="Z69">
        <v>0</v>
      </c>
    </row>
    <row r="70" spans="1:26">
      <c r="A70" s="2">
        <v>43893</v>
      </c>
      <c r="B70" s="4">
        <v>0.60416666666666663</v>
      </c>
      <c r="C70" s="1" t="s">
        <v>111</v>
      </c>
      <c r="E70">
        <v>14</v>
      </c>
      <c r="F70">
        <v>0</v>
      </c>
      <c r="L70" s="1" t="s">
        <v>113</v>
      </c>
      <c r="N70" s="1" t="s">
        <v>37</v>
      </c>
      <c r="P70" s="1" t="s">
        <v>37</v>
      </c>
      <c r="R70" s="1" t="s">
        <v>37</v>
      </c>
      <c r="S70">
        <v>47.412750000000003</v>
      </c>
      <c r="T70">
        <v>8.6550799999999999</v>
      </c>
      <c r="U70" s="1" t="s">
        <v>112</v>
      </c>
      <c r="V70">
        <v>1</v>
      </c>
      <c r="W70">
        <v>3</v>
      </c>
      <c r="X70">
        <v>0</v>
      </c>
      <c r="Y70">
        <v>0.93</v>
      </c>
    </row>
    <row r="71" spans="1:26">
      <c r="A71" s="2">
        <v>43894</v>
      </c>
      <c r="B71" s="4">
        <v>0.625</v>
      </c>
      <c r="C71" s="1" t="s">
        <v>35</v>
      </c>
      <c r="E71">
        <v>7</v>
      </c>
      <c r="F71">
        <v>0</v>
      </c>
      <c r="L71" s="1" t="s">
        <v>140</v>
      </c>
      <c r="N71" s="1" t="s">
        <v>37</v>
      </c>
      <c r="P71" s="1" t="s">
        <v>37</v>
      </c>
      <c r="R71" s="1" t="s">
        <v>37</v>
      </c>
      <c r="S71">
        <v>47.409660000000002</v>
      </c>
      <c r="T71">
        <v>8.1568799999999992</v>
      </c>
      <c r="U71" s="1" t="s">
        <v>36</v>
      </c>
      <c r="V71">
        <v>1</v>
      </c>
      <c r="W71">
        <v>1</v>
      </c>
      <c r="X71">
        <v>0</v>
      </c>
      <c r="Y71">
        <v>1.04</v>
      </c>
    </row>
    <row r="72" spans="1:26">
      <c r="A72" s="2">
        <v>43894</v>
      </c>
      <c r="B72" s="4">
        <v>0.125</v>
      </c>
      <c r="C72" s="1" t="s">
        <v>45</v>
      </c>
      <c r="E72">
        <v>6</v>
      </c>
      <c r="F72">
        <v>0</v>
      </c>
      <c r="L72" s="1" t="s">
        <v>141</v>
      </c>
      <c r="N72" s="1" t="s">
        <v>37</v>
      </c>
      <c r="P72" s="1" t="s">
        <v>37</v>
      </c>
      <c r="R72" s="1" t="s">
        <v>37</v>
      </c>
      <c r="S72">
        <v>46.823608</v>
      </c>
      <c r="T72">
        <v>7.6366670000000001</v>
      </c>
      <c r="U72" s="1" t="s">
        <v>46</v>
      </c>
      <c r="V72">
        <v>2</v>
      </c>
      <c r="W72">
        <v>2</v>
      </c>
      <c r="X72">
        <v>0</v>
      </c>
      <c r="Y72">
        <v>0.57999999999999996</v>
      </c>
    </row>
    <row r="73" spans="1:26">
      <c r="A73" s="2">
        <v>43894</v>
      </c>
      <c r="B73" s="4">
        <v>0.125</v>
      </c>
      <c r="C73" s="1" t="s">
        <v>48</v>
      </c>
      <c r="E73">
        <v>2</v>
      </c>
      <c r="F73">
        <v>0</v>
      </c>
      <c r="G73">
        <v>1</v>
      </c>
      <c r="L73" s="1" t="s">
        <v>123</v>
      </c>
      <c r="N73" s="1" t="s">
        <v>37</v>
      </c>
      <c r="P73" s="1" t="s">
        <v>37</v>
      </c>
      <c r="R73" s="1" t="s">
        <v>37</v>
      </c>
      <c r="S73">
        <v>47.45176</v>
      </c>
      <c r="T73">
        <v>7.7024140000000001</v>
      </c>
      <c r="U73" s="1" t="s">
        <v>49</v>
      </c>
      <c r="V73">
        <v>13</v>
      </c>
      <c r="W73">
        <v>0</v>
      </c>
      <c r="X73">
        <v>0</v>
      </c>
      <c r="Y73">
        <v>0.7</v>
      </c>
    </row>
    <row r="74" spans="1:26">
      <c r="A74" s="2">
        <v>43894</v>
      </c>
      <c r="B74" s="4">
        <v>0.72222222222222221</v>
      </c>
      <c r="C74" s="1" t="s">
        <v>51</v>
      </c>
      <c r="D74">
        <v>235</v>
      </c>
      <c r="E74">
        <v>3</v>
      </c>
      <c r="F74">
        <v>0</v>
      </c>
      <c r="L74" s="1" t="s">
        <v>142</v>
      </c>
      <c r="M74">
        <v>3</v>
      </c>
      <c r="N74" s="1" t="s">
        <v>37</v>
      </c>
      <c r="P74" s="1" t="s">
        <v>37</v>
      </c>
      <c r="R74" s="1" t="s">
        <v>37</v>
      </c>
      <c r="S74">
        <v>47.564869000000002</v>
      </c>
      <c r="T74">
        <v>7.615259</v>
      </c>
      <c r="U74" s="1" t="s">
        <v>52</v>
      </c>
      <c r="V74">
        <v>12</v>
      </c>
      <c r="W74">
        <v>0</v>
      </c>
      <c r="X74">
        <v>0</v>
      </c>
      <c r="Y74">
        <v>1.55</v>
      </c>
    </row>
    <row r="75" spans="1:26">
      <c r="A75" s="2">
        <v>43894</v>
      </c>
      <c r="B75" s="4">
        <v>0.125</v>
      </c>
      <c r="C75" s="1" t="s">
        <v>54</v>
      </c>
      <c r="D75">
        <v>16</v>
      </c>
      <c r="E75">
        <v>1</v>
      </c>
      <c r="F75">
        <v>0</v>
      </c>
      <c r="L75" s="1" t="s">
        <v>143</v>
      </c>
      <c r="N75" s="1" t="s">
        <v>37</v>
      </c>
      <c r="P75" s="1" t="s">
        <v>37</v>
      </c>
      <c r="R75" s="1" t="s">
        <v>37</v>
      </c>
      <c r="S75">
        <v>47.166666999999997</v>
      </c>
      <c r="T75">
        <v>9.509722</v>
      </c>
      <c r="U75" s="1" t="s">
        <v>55</v>
      </c>
      <c r="V75">
        <v>0</v>
      </c>
      <c r="W75">
        <v>0</v>
      </c>
      <c r="X75">
        <v>0</v>
      </c>
      <c r="Y75">
        <v>2.59</v>
      </c>
    </row>
    <row r="76" spans="1:26">
      <c r="A76" s="2">
        <v>43894</v>
      </c>
      <c r="B76" s="4">
        <v>0.125</v>
      </c>
      <c r="C76" s="1" t="s">
        <v>57</v>
      </c>
      <c r="D76">
        <v>30</v>
      </c>
      <c r="E76">
        <v>4</v>
      </c>
      <c r="F76">
        <v>0</v>
      </c>
      <c r="L76" s="1" t="s">
        <v>144</v>
      </c>
      <c r="N76" s="1" t="s">
        <v>37</v>
      </c>
      <c r="P76" s="1" t="s">
        <v>37</v>
      </c>
      <c r="R76" s="1" t="s">
        <v>37</v>
      </c>
      <c r="S76">
        <v>46.718390999999997</v>
      </c>
      <c r="T76">
        <v>7.0740080000000001</v>
      </c>
      <c r="U76" s="1" t="s">
        <v>58</v>
      </c>
      <c r="V76">
        <v>10</v>
      </c>
      <c r="W76">
        <v>2</v>
      </c>
      <c r="X76">
        <v>0</v>
      </c>
      <c r="Y76">
        <v>1.27</v>
      </c>
    </row>
    <row r="77" spans="1:26">
      <c r="A77" s="2">
        <v>43894</v>
      </c>
      <c r="B77" s="4">
        <v>0.125</v>
      </c>
      <c r="C77" s="1" t="s">
        <v>60</v>
      </c>
      <c r="D77">
        <v>1087</v>
      </c>
      <c r="E77">
        <v>11</v>
      </c>
      <c r="F77">
        <v>0</v>
      </c>
      <c r="G77">
        <v>4</v>
      </c>
      <c r="H77">
        <v>0</v>
      </c>
      <c r="I77">
        <v>0</v>
      </c>
      <c r="K77">
        <v>0</v>
      </c>
      <c r="L77" s="1" t="s">
        <v>62</v>
      </c>
      <c r="N77" s="1" t="s">
        <v>37</v>
      </c>
      <c r="P77" s="1" t="s">
        <v>37</v>
      </c>
      <c r="Q77">
        <v>0</v>
      </c>
      <c r="R77" s="1" t="s">
        <v>37</v>
      </c>
      <c r="S77">
        <v>46.220528000000002</v>
      </c>
      <c r="T77">
        <v>6.1329349999999998</v>
      </c>
      <c r="U77" s="1" t="s">
        <v>61</v>
      </c>
      <c r="V77">
        <v>25</v>
      </c>
      <c r="W77">
        <v>0</v>
      </c>
      <c r="X77">
        <v>0</v>
      </c>
      <c r="Y77">
        <v>2.2200000000000002</v>
      </c>
      <c r="Z77">
        <v>0</v>
      </c>
    </row>
    <row r="78" spans="1:26">
      <c r="A78" s="2">
        <v>43894</v>
      </c>
      <c r="B78" s="4">
        <v>0.125</v>
      </c>
      <c r="C78" s="1" t="s">
        <v>69</v>
      </c>
      <c r="E78">
        <v>2</v>
      </c>
      <c r="F78">
        <v>0</v>
      </c>
      <c r="G78">
        <v>1</v>
      </c>
      <c r="L78" s="1" t="s">
        <v>280</v>
      </c>
      <c r="N78" s="1" t="s">
        <v>37</v>
      </c>
      <c r="P78" s="1" t="s">
        <v>37</v>
      </c>
      <c r="R78" s="1" t="s">
        <v>37</v>
      </c>
      <c r="S78">
        <v>47.350743999999999</v>
      </c>
      <c r="T78">
        <v>7.1561070000000004</v>
      </c>
      <c r="U78" s="1" t="s">
        <v>70</v>
      </c>
      <c r="V78">
        <v>26</v>
      </c>
      <c r="W78">
        <v>0</v>
      </c>
      <c r="X78">
        <v>0</v>
      </c>
      <c r="Y78">
        <v>2.73</v>
      </c>
    </row>
    <row r="79" spans="1:26">
      <c r="A79" s="2">
        <v>43894</v>
      </c>
      <c r="B79" s="4">
        <v>0.75</v>
      </c>
      <c r="C79" s="1" t="s">
        <v>71</v>
      </c>
      <c r="E79">
        <v>0</v>
      </c>
      <c r="F79">
        <v>0</v>
      </c>
      <c r="L79" s="1" t="s">
        <v>145</v>
      </c>
      <c r="N79" s="1" t="s">
        <v>37</v>
      </c>
      <c r="P79" s="1" t="s">
        <v>37</v>
      </c>
      <c r="R79" s="1" t="s">
        <v>37</v>
      </c>
      <c r="S79">
        <v>47.067762999999999</v>
      </c>
      <c r="T79">
        <v>8.1102000000000007</v>
      </c>
      <c r="U79" s="1" t="s">
        <v>72</v>
      </c>
      <c r="V79">
        <v>3</v>
      </c>
      <c r="W79">
        <v>0</v>
      </c>
      <c r="X79">
        <v>0</v>
      </c>
      <c r="Y79">
        <v>0</v>
      </c>
    </row>
    <row r="80" spans="1:26">
      <c r="A80" s="2">
        <v>43894</v>
      </c>
      <c r="B80" s="4">
        <v>0.125</v>
      </c>
      <c r="C80" s="1" t="s">
        <v>74</v>
      </c>
      <c r="E80">
        <v>8</v>
      </c>
      <c r="F80">
        <v>3</v>
      </c>
      <c r="G80">
        <v>4</v>
      </c>
      <c r="L80" s="1" t="s">
        <v>76</v>
      </c>
      <c r="N80" s="1" t="s">
        <v>37</v>
      </c>
      <c r="P80" s="1" t="s">
        <v>37</v>
      </c>
      <c r="R80" s="1" t="s">
        <v>37</v>
      </c>
      <c r="S80">
        <v>46.995533999999999</v>
      </c>
      <c r="T80">
        <v>6.7801260000000001</v>
      </c>
      <c r="U80" s="1" t="s">
        <v>75</v>
      </c>
      <c r="V80">
        <v>24</v>
      </c>
      <c r="W80">
        <v>0</v>
      </c>
      <c r="X80">
        <v>0</v>
      </c>
      <c r="Y80">
        <v>4.49</v>
      </c>
    </row>
    <row r="81" spans="1:26">
      <c r="A81" s="2">
        <v>43894</v>
      </c>
      <c r="B81" s="4">
        <v>0.27430555555555558</v>
      </c>
      <c r="C81" s="1" t="s">
        <v>83</v>
      </c>
      <c r="E81">
        <v>1</v>
      </c>
      <c r="F81">
        <v>0</v>
      </c>
      <c r="L81" s="1" t="s">
        <v>146</v>
      </c>
      <c r="N81" s="1" t="s">
        <v>37</v>
      </c>
      <c r="P81" s="1" t="s">
        <v>37</v>
      </c>
      <c r="R81" s="1" t="s">
        <v>37</v>
      </c>
      <c r="S81">
        <v>47.183199999999999</v>
      </c>
      <c r="T81">
        <v>9.2747440000000001</v>
      </c>
      <c r="U81" s="1" t="s">
        <v>84</v>
      </c>
      <c r="V81">
        <v>17</v>
      </c>
      <c r="W81">
        <v>1</v>
      </c>
      <c r="X81">
        <v>0</v>
      </c>
      <c r="Y81">
        <v>0.2</v>
      </c>
    </row>
    <row r="82" spans="1:26">
      <c r="A82" s="2">
        <v>43894</v>
      </c>
      <c r="B82" s="4">
        <v>0.125</v>
      </c>
      <c r="C82" s="1" t="s">
        <v>92</v>
      </c>
      <c r="D82">
        <v>3</v>
      </c>
      <c r="E82">
        <v>3</v>
      </c>
      <c r="F82">
        <v>0</v>
      </c>
      <c r="G82">
        <v>1</v>
      </c>
      <c r="L82" s="1" t="s">
        <v>138</v>
      </c>
      <c r="N82" s="1" t="s">
        <v>37</v>
      </c>
      <c r="P82" s="1" t="s">
        <v>37</v>
      </c>
      <c r="R82" s="1" t="s">
        <v>37</v>
      </c>
      <c r="S82">
        <v>47.061787000000002</v>
      </c>
      <c r="T82">
        <v>8.7565849999999994</v>
      </c>
      <c r="U82" s="1" t="s">
        <v>93</v>
      </c>
      <c r="V82">
        <v>5</v>
      </c>
      <c r="W82">
        <v>2</v>
      </c>
      <c r="X82">
        <v>0</v>
      </c>
      <c r="Y82">
        <v>1.91</v>
      </c>
    </row>
    <row r="83" spans="1:26">
      <c r="A83" s="2">
        <v>43894</v>
      </c>
      <c r="B83" s="4">
        <v>0.125</v>
      </c>
      <c r="C83" s="1" t="s">
        <v>98</v>
      </c>
      <c r="E83">
        <v>5</v>
      </c>
      <c r="F83">
        <v>0</v>
      </c>
      <c r="L83" s="1" t="s">
        <v>147</v>
      </c>
      <c r="N83" s="1" t="s">
        <v>37</v>
      </c>
      <c r="O83">
        <v>18</v>
      </c>
      <c r="P83" s="1" t="s">
        <v>37</v>
      </c>
      <c r="R83" s="1" t="s">
        <v>37</v>
      </c>
      <c r="S83">
        <v>46.295617</v>
      </c>
      <c r="T83">
        <v>8.8089239999999993</v>
      </c>
      <c r="U83" s="1" t="s">
        <v>99</v>
      </c>
      <c r="V83">
        <v>21</v>
      </c>
      <c r="W83">
        <v>1</v>
      </c>
      <c r="X83">
        <v>0</v>
      </c>
      <c r="Y83">
        <v>1.41</v>
      </c>
    </row>
    <row r="84" spans="1:26">
      <c r="A84" s="2">
        <v>43894</v>
      </c>
      <c r="B84" s="4">
        <v>0.125</v>
      </c>
      <c r="C84" s="1" t="s">
        <v>104</v>
      </c>
      <c r="F84">
        <v>3</v>
      </c>
      <c r="G84">
        <v>11</v>
      </c>
      <c r="H84">
        <v>1</v>
      </c>
      <c r="L84" s="1" t="s">
        <v>122</v>
      </c>
      <c r="N84" s="1" t="s">
        <v>37</v>
      </c>
      <c r="P84" s="1" t="s">
        <v>37</v>
      </c>
      <c r="R84" s="1" t="s">
        <v>37</v>
      </c>
      <c r="S84">
        <v>46.570090999999998</v>
      </c>
      <c r="T84">
        <v>6.5578090000000007</v>
      </c>
      <c r="U84" s="1" t="s">
        <v>105</v>
      </c>
      <c r="V84">
        <v>22</v>
      </c>
      <c r="W84">
        <v>0</v>
      </c>
      <c r="X84">
        <v>0</v>
      </c>
    </row>
    <row r="85" spans="1:26">
      <c r="A85" s="2">
        <v>43894</v>
      </c>
      <c r="B85" s="4">
        <v>0.125</v>
      </c>
      <c r="C85" s="1" t="s">
        <v>107</v>
      </c>
      <c r="E85">
        <v>4</v>
      </c>
      <c r="F85">
        <v>1</v>
      </c>
      <c r="G85">
        <v>12</v>
      </c>
      <c r="H85">
        <v>0</v>
      </c>
      <c r="I85">
        <v>0</v>
      </c>
      <c r="K85">
        <v>0</v>
      </c>
      <c r="L85" s="1" t="s">
        <v>412</v>
      </c>
      <c r="N85" s="1" t="s">
        <v>37</v>
      </c>
      <c r="P85" s="1" t="s">
        <v>37</v>
      </c>
      <c r="R85" s="1" t="s">
        <v>37</v>
      </c>
      <c r="S85">
        <v>46.209567</v>
      </c>
      <c r="T85">
        <v>7.6046589999999998</v>
      </c>
      <c r="U85" s="1" t="s">
        <v>108</v>
      </c>
      <c r="V85">
        <v>23</v>
      </c>
      <c r="W85">
        <v>1</v>
      </c>
      <c r="X85">
        <v>0</v>
      </c>
      <c r="Y85">
        <v>1.17</v>
      </c>
      <c r="Z85">
        <v>0</v>
      </c>
    </row>
    <row r="86" spans="1:26">
      <c r="A86" s="2">
        <v>43894</v>
      </c>
      <c r="B86" s="4">
        <v>0.33333333333333331</v>
      </c>
      <c r="C86" s="1" t="s">
        <v>109</v>
      </c>
      <c r="E86">
        <v>2</v>
      </c>
      <c r="F86">
        <v>0</v>
      </c>
      <c r="G86">
        <v>0</v>
      </c>
      <c r="H86">
        <v>0</v>
      </c>
      <c r="J86">
        <v>0</v>
      </c>
      <c r="K86">
        <v>0</v>
      </c>
      <c r="L86" s="1" t="s">
        <v>502</v>
      </c>
      <c r="N86" s="1" t="s">
        <v>37</v>
      </c>
      <c r="P86" s="1" t="s">
        <v>37</v>
      </c>
      <c r="R86" s="1" t="s">
        <v>37</v>
      </c>
      <c r="S86">
        <v>47.157296000000002</v>
      </c>
      <c r="T86">
        <v>8.5372939999999993</v>
      </c>
      <c r="U86" s="1" t="s">
        <v>110</v>
      </c>
      <c r="V86">
        <v>9</v>
      </c>
      <c r="W86">
        <v>1</v>
      </c>
      <c r="X86">
        <v>0</v>
      </c>
      <c r="Y86">
        <v>1.59</v>
      </c>
      <c r="Z86">
        <v>0</v>
      </c>
    </row>
    <row r="87" spans="1:26">
      <c r="A87" s="2">
        <v>43894</v>
      </c>
      <c r="B87" s="4">
        <v>0.60416666666666663</v>
      </c>
      <c r="C87" s="1" t="s">
        <v>111</v>
      </c>
      <c r="E87">
        <v>16</v>
      </c>
      <c r="F87">
        <v>0</v>
      </c>
      <c r="L87" s="1" t="s">
        <v>113</v>
      </c>
      <c r="N87" s="1" t="s">
        <v>37</v>
      </c>
      <c r="P87" s="1" t="s">
        <v>37</v>
      </c>
      <c r="R87" s="1" t="s">
        <v>37</v>
      </c>
      <c r="S87">
        <v>47.412750000000003</v>
      </c>
      <c r="T87">
        <v>8.6550799999999999</v>
      </c>
      <c r="U87" s="1" t="s">
        <v>112</v>
      </c>
      <c r="V87">
        <v>1</v>
      </c>
      <c r="W87">
        <v>2</v>
      </c>
      <c r="X87">
        <v>0</v>
      </c>
      <c r="Y87">
        <v>1.06</v>
      </c>
    </row>
    <row r="88" spans="1:26">
      <c r="A88" s="2">
        <v>43895</v>
      </c>
      <c r="B88" s="4">
        <v>0.625</v>
      </c>
      <c r="C88" s="1" t="s">
        <v>35</v>
      </c>
      <c r="E88">
        <v>9</v>
      </c>
      <c r="F88">
        <v>0</v>
      </c>
      <c r="L88" s="1" t="s">
        <v>148</v>
      </c>
      <c r="N88" s="1" t="s">
        <v>37</v>
      </c>
      <c r="P88" s="1" t="s">
        <v>37</v>
      </c>
      <c r="R88" s="1" t="s">
        <v>37</v>
      </c>
      <c r="S88">
        <v>47.409660000000002</v>
      </c>
      <c r="T88">
        <v>8.1568799999999992</v>
      </c>
      <c r="U88" s="1" t="s">
        <v>36</v>
      </c>
      <c r="V88">
        <v>1</v>
      </c>
      <c r="W88">
        <v>2</v>
      </c>
      <c r="X88">
        <v>0</v>
      </c>
      <c r="Y88">
        <v>1.34</v>
      </c>
    </row>
    <row r="89" spans="1:26">
      <c r="A89" s="2">
        <v>43895</v>
      </c>
      <c r="B89" s="4">
        <v>0.125</v>
      </c>
      <c r="C89" s="1" t="s">
        <v>42</v>
      </c>
      <c r="E89">
        <v>1</v>
      </c>
      <c r="F89">
        <v>0</v>
      </c>
      <c r="L89" s="1" t="s">
        <v>149</v>
      </c>
      <c r="N89" s="1" t="s">
        <v>37</v>
      </c>
      <c r="P89" s="1" t="s">
        <v>37</v>
      </c>
      <c r="R89" s="1" t="s">
        <v>37</v>
      </c>
      <c r="S89">
        <v>47.416351999999996</v>
      </c>
      <c r="T89">
        <v>9.3679100000000002</v>
      </c>
      <c r="U89" s="1" t="s">
        <v>43</v>
      </c>
      <c r="V89">
        <v>15</v>
      </c>
      <c r="W89">
        <v>0</v>
      </c>
      <c r="X89">
        <v>0</v>
      </c>
      <c r="Y89">
        <v>1.81</v>
      </c>
    </row>
    <row r="90" spans="1:26">
      <c r="A90" s="2">
        <v>43895</v>
      </c>
      <c r="B90" s="4">
        <v>0.125</v>
      </c>
      <c r="C90" s="1" t="s">
        <v>48</v>
      </c>
      <c r="E90">
        <v>6</v>
      </c>
      <c r="F90">
        <v>0</v>
      </c>
      <c r="G90">
        <v>1</v>
      </c>
      <c r="L90" s="1" t="s">
        <v>150</v>
      </c>
      <c r="N90" s="1" t="s">
        <v>37</v>
      </c>
      <c r="P90" s="1" t="s">
        <v>37</v>
      </c>
      <c r="R90" s="1" t="s">
        <v>37</v>
      </c>
      <c r="S90">
        <v>47.45176</v>
      </c>
      <c r="T90">
        <v>7.7024140000000001</v>
      </c>
      <c r="U90" s="1" t="s">
        <v>49</v>
      </c>
      <c r="V90">
        <v>13</v>
      </c>
      <c r="W90">
        <v>4</v>
      </c>
      <c r="X90">
        <v>0</v>
      </c>
      <c r="Y90">
        <v>2.09</v>
      </c>
    </row>
    <row r="91" spans="1:26">
      <c r="A91" s="2">
        <v>43895</v>
      </c>
      <c r="B91" s="4">
        <v>0.71875</v>
      </c>
      <c r="C91" s="1" t="s">
        <v>51</v>
      </c>
      <c r="D91">
        <v>235</v>
      </c>
      <c r="E91">
        <v>8</v>
      </c>
      <c r="F91">
        <v>0</v>
      </c>
      <c r="G91">
        <v>1</v>
      </c>
      <c r="L91" s="1" t="s">
        <v>151</v>
      </c>
      <c r="M91">
        <v>3</v>
      </c>
      <c r="N91" s="1" t="s">
        <v>37</v>
      </c>
      <c r="P91" s="1" t="s">
        <v>37</v>
      </c>
      <c r="R91" s="1" t="s">
        <v>37</v>
      </c>
      <c r="S91">
        <v>47.564869000000002</v>
      </c>
      <c r="T91">
        <v>7.615259</v>
      </c>
      <c r="U91" s="1" t="s">
        <v>52</v>
      </c>
      <c r="V91">
        <v>12</v>
      </c>
      <c r="W91">
        <v>5</v>
      </c>
      <c r="X91">
        <v>0</v>
      </c>
      <c r="Y91">
        <v>4.13</v>
      </c>
    </row>
    <row r="92" spans="1:26">
      <c r="A92" s="2">
        <v>43895</v>
      </c>
      <c r="B92" s="4">
        <v>0.125</v>
      </c>
      <c r="C92" s="1" t="s">
        <v>54</v>
      </c>
      <c r="D92">
        <v>18</v>
      </c>
      <c r="E92">
        <v>1</v>
      </c>
      <c r="F92">
        <v>0</v>
      </c>
      <c r="L92" s="1" t="s">
        <v>152</v>
      </c>
      <c r="N92" s="1" t="s">
        <v>37</v>
      </c>
      <c r="P92" s="1" t="s">
        <v>37</v>
      </c>
      <c r="R92" s="1" t="s">
        <v>37</v>
      </c>
      <c r="S92">
        <v>47.166666999999997</v>
      </c>
      <c r="T92">
        <v>9.509722</v>
      </c>
      <c r="U92" s="1" t="s">
        <v>55</v>
      </c>
      <c r="V92">
        <v>0</v>
      </c>
      <c r="W92">
        <v>0</v>
      </c>
      <c r="X92">
        <v>0</v>
      </c>
      <c r="Y92">
        <v>2.59</v>
      </c>
    </row>
    <row r="93" spans="1:26">
      <c r="A93" s="2">
        <v>43895</v>
      </c>
      <c r="B93" s="4">
        <v>0.125</v>
      </c>
      <c r="C93" s="1" t="s">
        <v>57</v>
      </c>
      <c r="D93">
        <v>30</v>
      </c>
      <c r="E93">
        <v>6</v>
      </c>
      <c r="F93">
        <v>0</v>
      </c>
      <c r="L93" s="1" t="s">
        <v>153</v>
      </c>
      <c r="N93" s="1" t="s">
        <v>37</v>
      </c>
      <c r="P93" s="1" t="s">
        <v>37</v>
      </c>
      <c r="R93" s="1" t="s">
        <v>37</v>
      </c>
      <c r="S93">
        <v>46.718390999999997</v>
      </c>
      <c r="T93">
        <v>7.0740080000000001</v>
      </c>
      <c r="U93" s="1" t="s">
        <v>58</v>
      </c>
      <c r="V93">
        <v>10</v>
      </c>
      <c r="W93">
        <v>2</v>
      </c>
      <c r="X93">
        <v>0</v>
      </c>
      <c r="Y93">
        <v>1.9</v>
      </c>
    </row>
    <row r="94" spans="1:26">
      <c r="A94" s="2">
        <v>43895</v>
      </c>
      <c r="B94" s="4">
        <v>0.125</v>
      </c>
      <c r="C94" s="1" t="s">
        <v>60</v>
      </c>
      <c r="D94">
        <v>1153</v>
      </c>
      <c r="E94">
        <v>15</v>
      </c>
      <c r="F94">
        <v>1</v>
      </c>
      <c r="G94">
        <v>5</v>
      </c>
      <c r="H94">
        <v>0</v>
      </c>
      <c r="I94">
        <v>0</v>
      </c>
      <c r="K94">
        <v>0</v>
      </c>
      <c r="L94" s="1" t="s">
        <v>62</v>
      </c>
      <c r="N94" s="1" t="s">
        <v>37</v>
      </c>
      <c r="P94" s="1" t="s">
        <v>37</v>
      </c>
      <c r="Q94">
        <v>0</v>
      </c>
      <c r="R94" s="1" t="s">
        <v>37</v>
      </c>
      <c r="S94">
        <v>46.220528000000002</v>
      </c>
      <c r="T94">
        <v>6.1329349999999998</v>
      </c>
      <c r="U94" s="1" t="s">
        <v>61</v>
      </c>
      <c r="V94">
        <v>25</v>
      </c>
      <c r="W94">
        <v>4</v>
      </c>
      <c r="X94">
        <v>0</v>
      </c>
      <c r="Y94">
        <v>3.03</v>
      </c>
      <c r="Z94">
        <v>0</v>
      </c>
    </row>
    <row r="95" spans="1:26">
      <c r="A95" s="2">
        <v>43895</v>
      </c>
      <c r="B95" s="4">
        <v>0.125</v>
      </c>
      <c r="C95" s="1" t="s">
        <v>69</v>
      </c>
      <c r="E95">
        <v>4</v>
      </c>
      <c r="F95">
        <v>1</v>
      </c>
      <c r="G95">
        <v>2</v>
      </c>
      <c r="L95" s="1" t="s">
        <v>280</v>
      </c>
      <c r="N95" s="1" t="s">
        <v>37</v>
      </c>
      <c r="P95" s="1" t="s">
        <v>37</v>
      </c>
      <c r="R95" s="1" t="s">
        <v>37</v>
      </c>
      <c r="S95">
        <v>47.350743999999999</v>
      </c>
      <c r="T95">
        <v>7.1561070000000004</v>
      </c>
      <c r="U95" s="1" t="s">
        <v>70</v>
      </c>
      <c r="V95">
        <v>26</v>
      </c>
      <c r="W95">
        <v>2</v>
      </c>
      <c r="X95">
        <v>0</v>
      </c>
      <c r="Y95">
        <v>5.46</v>
      </c>
    </row>
    <row r="96" spans="1:26">
      <c r="A96" s="2">
        <v>43895</v>
      </c>
      <c r="B96" s="4">
        <v>0.125</v>
      </c>
      <c r="C96" s="1" t="s">
        <v>74</v>
      </c>
      <c r="E96">
        <v>9</v>
      </c>
      <c r="F96">
        <v>0</v>
      </c>
      <c r="G96">
        <v>4</v>
      </c>
      <c r="L96" s="1" t="s">
        <v>76</v>
      </c>
      <c r="N96" s="1" t="s">
        <v>37</v>
      </c>
      <c r="P96" s="1" t="s">
        <v>37</v>
      </c>
      <c r="R96" s="1" t="s">
        <v>37</v>
      </c>
      <c r="S96">
        <v>46.995533999999999</v>
      </c>
      <c r="T96">
        <v>6.7801260000000001</v>
      </c>
      <c r="U96" s="1" t="s">
        <v>75</v>
      </c>
      <c r="V96">
        <v>24</v>
      </c>
      <c r="W96">
        <v>1</v>
      </c>
      <c r="X96">
        <v>0</v>
      </c>
      <c r="Y96">
        <v>5.0599999999999996</v>
      </c>
    </row>
    <row r="97" spans="1:26">
      <c r="A97" s="2">
        <v>43895</v>
      </c>
      <c r="B97" s="4">
        <v>0.125</v>
      </c>
      <c r="C97" s="1" t="s">
        <v>98</v>
      </c>
      <c r="E97">
        <v>18</v>
      </c>
      <c r="F97">
        <v>0</v>
      </c>
      <c r="L97" s="1" t="s">
        <v>154</v>
      </c>
      <c r="N97" s="1" t="s">
        <v>37</v>
      </c>
      <c r="P97" s="1" t="s">
        <v>37</v>
      </c>
      <c r="R97" s="1" t="s">
        <v>37</v>
      </c>
      <c r="S97">
        <v>46.295617</v>
      </c>
      <c r="T97">
        <v>8.8089239999999993</v>
      </c>
      <c r="U97" s="1" t="s">
        <v>99</v>
      </c>
      <c r="V97">
        <v>21</v>
      </c>
      <c r="W97">
        <v>13</v>
      </c>
      <c r="X97">
        <v>0</v>
      </c>
      <c r="Y97">
        <v>5.09</v>
      </c>
    </row>
    <row r="98" spans="1:26">
      <c r="A98" s="2">
        <v>43895</v>
      </c>
      <c r="B98" s="4">
        <v>0.125</v>
      </c>
      <c r="C98" s="1" t="s">
        <v>104</v>
      </c>
      <c r="F98">
        <v>3</v>
      </c>
      <c r="G98">
        <v>14</v>
      </c>
      <c r="H98">
        <v>1</v>
      </c>
      <c r="L98" s="1" t="s">
        <v>122</v>
      </c>
      <c r="N98" s="1" t="s">
        <v>37</v>
      </c>
      <c r="P98" s="1" t="s">
        <v>37</v>
      </c>
      <c r="R98" s="1" t="s">
        <v>37</v>
      </c>
      <c r="S98">
        <v>46.570090999999998</v>
      </c>
      <c r="T98">
        <v>6.5578090000000007</v>
      </c>
      <c r="U98" s="1" t="s">
        <v>105</v>
      </c>
      <c r="V98">
        <v>22</v>
      </c>
      <c r="W98">
        <v>0</v>
      </c>
      <c r="X98">
        <v>0</v>
      </c>
    </row>
    <row r="99" spans="1:26">
      <c r="A99" s="2">
        <v>43895</v>
      </c>
      <c r="B99" s="4">
        <v>0.125</v>
      </c>
      <c r="C99" s="1" t="s">
        <v>107</v>
      </c>
      <c r="E99">
        <v>5</v>
      </c>
      <c r="F99">
        <v>-2</v>
      </c>
      <c r="G99">
        <v>10</v>
      </c>
      <c r="H99">
        <v>0</v>
      </c>
      <c r="I99">
        <v>0</v>
      </c>
      <c r="K99">
        <v>0</v>
      </c>
      <c r="L99" s="1" t="s">
        <v>412</v>
      </c>
      <c r="N99" s="1" t="s">
        <v>37</v>
      </c>
      <c r="P99" s="1" t="s">
        <v>37</v>
      </c>
      <c r="R99" s="1" t="s">
        <v>37</v>
      </c>
      <c r="S99">
        <v>46.209567</v>
      </c>
      <c r="T99">
        <v>7.6046589999999998</v>
      </c>
      <c r="U99" s="1" t="s">
        <v>108</v>
      </c>
      <c r="V99">
        <v>23</v>
      </c>
      <c r="W99">
        <v>1</v>
      </c>
      <c r="X99">
        <v>0</v>
      </c>
      <c r="Y99">
        <v>1.46</v>
      </c>
      <c r="Z99">
        <v>0</v>
      </c>
    </row>
    <row r="100" spans="1:26">
      <c r="A100" s="2">
        <v>43895</v>
      </c>
      <c r="B100" s="4">
        <v>0.33333333333333331</v>
      </c>
      <c r="C100" s="1" t="s">
        <v>109</v>
      </c>
      <c r="E100">
        <v>3</v>
      </c>
      <c r="F100">
        <v>0</v>
      </c>
      <c r="G100">
        <v>0</v>
      </c>
      <c r="H100">
        <v>0</v>
      </c>
      <c r="J100">
        <v>0</v>
      </c>
      <c r="K100">
        <v>0</v>
      </c>
      <c r="L100" s="1" t="s">
        <v>502</v>
      </c>
      <c r="N100" s="1" t="s">
        <v>37</v>
      </c>
      <c r="P100" s="1" t="s">
        <v>37</v>
      </c>
      <c r="R100" s="1" t="s">
        <v>37</v>
      </c>
      <c r="S100">
        <v>47.157296000000002</v>
      </c>
      <c r="T100">
        <v>8.5372939999999993</v>
      </c>
      <c r="U100" s="1" t="s">
        <v>110</v>
      </c>
      <c r="V100">
        <v>9</v>
      </c>
      <c r="W100">
        <v>1</v>
      </c>
      <c r="X100">
        <v>0</v>
      </c>
      <c r="Y100">
        <v>2.39</v>
      </c>
      <c r="Z100">
        <v>0</v>
      </c>
    </row>
    <row r="101" spans="1:26">
      <c r="A101" s="2">
        <v>43895</v>
      </c>
      <c r="B101" s="4">
        <v>0.60416666666666663</v>
      </c>
      <c r="C101" s="1" t="s">
        <v>111</v>
      </c>
      <c r="E101">
        <v>24</v>
      </c>
      <c r="F101">
        <v>0</v>
      </c>
      <c r="L101" s="1" t="s">
        <v>113</v>
      </c>
      <c r="N101" s="1" t="s">
        <v>37</v>
      </c>
      <c r="P101" s="1" t="s">
        <v>37</v>
      </c>
      <c r="R101" s="1" t="s">
        <v>37</v>
      </c>
      <c r="S101">
        <v>47.412750000000003</v>
      </c>
      <c r="T101">
        <v>8.6550799999999999</v>
      </c>
      <c r="U101" s="1" t="s">
        <v>112</v>
      </c>
      <c r="V101">
        <v>1</v>
      </c>
      <c r="W101">
        <v>8</v>
      </c>
      <c r="X101">
        <v>0</v>
      </c>
      <c r="Y101">
        <v>1.6</v>
      </c>
    </row>
    <row r="102" spans="1:26">
      <c r="A102" s="2">
        <v>43896</v>
      </c>
      <c r="B102" s="4">
        <v>0.625</v>
      </c>
      <c r="C102" s="1" t="s">
        <v>35</v>
      </c>
      <c r="E102">
        <v>12</v>
      </c>
      <c r="F102">
        <v>0</v>
      </c>
      <c r="J102">
        <v>1</v>
      </c>
      <c r="L102" s="1" t="s">
        <v>155</v>
      </c>
      <c r="N102" s="1" t="s">
        <v>37</v>
      </c>
      <c r="P102" s="1" t="s">
        <v>37</v>
      </c>
      <c r="R102" s="1" t="s">
        <v>37</v>
      </c>
      <c r="S102">
        <v>47.409660000000002</v>
      </c>
      <c r="T102">
        <v>8.1568799999999992</v>
      </c>
      <c r="U102" s="1" t="s">
        <v>36</v>
      </c>
      <c r="V102">
        <v>1</v>
      </c>
      <c r="W102">
        <v>3</v>
      </c>
      <c r="X102">
        <v>0</v>
      </c>
      <c r="Y102">
        <v>1.79</v>
      </c>
    </row>
    <row r="103" spans="1:26">
      <c r="A103" s="2">
        <v>43896</v>
      </c>
      <c r="B103" s="4">
        <v>0.125</v>
      </c>
      <c r="C103" s="1" t="s">
        <v>45</v>
      </c>
      <c r="E103">
        <v>17</v>
      </c>
      <c r="F103">
        <v>0</v>
      </c>
      <c r="L103" s="1" t="s">
        <v>156</v>
      </c>
      <c r="N103" s="1" t="s">
        <v>37</v>
      </c>
      <c r="P103" s="1" t="s">
        <v>37</v>
      </c>
      <c r="R103" s="1" t="s">
        <v>37</v>
      </c>
      <c r="S103">
        <v>46.823608</v>
      </c>
      <c r="T103">
        <v>7.6366670000000001</v>
      </c>
      <c r="U103" s="1" t="s">
        <v>46</v>
      </c>
      <c r="V103">
        <v>2</v>
      </c>
      <c r="W103">
        <v>11</v>
      </c>
      <c r="X103">
        <v>0</v>
      </c>
      <c r="Y103">
        <v>1.65</v>
      </c>
    </row>
    <row r="104" spans="1:26">
      <c r="A104" s="2">
        <v>43896</v>
      </c>
      <c r="B104" s="4">
        <v>0.125</v>
      </c>
      <c r="C104" s="1" t="s">
        <v>48</v>
      </c>
      <c r="E104">
        <v>6</v>
      </c>
      <c r="F104">
        <v>3</v>
      </c>
      <c r="G104">
        <v>4</v>
      </c>
      <c r="H104">
        <v>2</v>
      </c>
      <c r="L104" s="1" t="s">
        <v>150</v>
      </c>
      <c r="N104" s="1" t="s">
        <v>37</v>
      </c>
      <c r="P104" s="1" t="s">
        <v>37</v>
      </c>
      <c r="R104" s="1" t="s">
        <v>37</v>
      </c>
      <c r="S104">
        <v>47.45176</v>
      </c>
      <c r="T104">
        <v>7.7024140000000001</v>
      </c>
      <c r="U104" s="1" t="s">
        <v>49</v>
      </c>
      <c r="V104">
        <v>13</v>
      </c>
      <c r="W104">
        <v>0</v>
      </c>
      <c r="X104">
        <v>0</v>
      </c>
      <c r="Y104">
        <v>2.09</v>
      </c>
    </row>
    <row r="105" spans="1:26">
      <c r="A105" s="2">
        <v>43896</v>
      </c>
      <c r="B105" s="4">
        <v>0.58333333333333337</v>
      </c>
      <c r="C105" s="1" t="s">
        <v>51</v>
      </c>
      <c r="D105">
        <v>235</v>
      </c>
      <c r="E105">
        <v>15</v>
      </c>
      <c r="F105">
        <v>0</v>
      </c>
      <c r="G105">
        <v>1</v>
      </c>
      <c r="L105" s="1" t="s">
        <v>157</v>
      </c>
      <c r="M105">
        <v>3</v>
      </c>
      <c r="N105" s="1" t="s">
        <v>37</v>
      </c>
      <c r="P105" s="1" t="s">
        <v>37</v>
      </c>
      <c r="R105" s="1" t="s">
        <v>37</v>
      </c>
      <c r="S105">
        <v>47.564869000000002</v>
      </c>
      <c r="T105">
        <v>7.615259</v>
      </c>
      <c r="U105" s="1" t="s">
        <v>52</v>
      </c>
      <c r="V105">
        <v>12</v>
      </c>
      <c r="W105">
        <v>7</v>
      </c>
      <c r="X105">
        <v>0</v>
      </c>
      <c r="Y105">
        <v>7.74</v>
      </c>
    </row>
    <row r="106" spans="1:26">
      <c r="A106" s="2">
        <v>43896</v>
      </c>
      <c r="B106" s="4">
        <v>0.125</v>
      </c>
      <c r="C106" s="1" t="s">
        <v>54</v>
      </c>
      <c r="D106">
        <v>22</v>
      </c>
      <c r="E106">
        <v>1</v>
      </c>
      <c r="F106">
        <v>0</v>
      </c>
      <c r="L106" s="1" t="s">
        <v>158</v>
      </c>
      <c r="N106" s="1" t="s">
        <v>37</v>
      </c>
      <c r="P106" s="1" t="s">
        <v>37</v>
      </c>
      <c r="R106" s="1" t="s">
        <v>37</v>
      </c>
      <c r="S106">
        <v>47.166666999999997</v>
      </c>
      <c r="T106">
        <v>9.509722</v>
      </c>
      <c r="U106" s="1" t="s">
        <v>55</v>
      </c>
      <c r="V106">
        <v>0</v>
      </c>
      <c r="W106">
        <v>0</v>
      </c>
      <c r="X106">
        <v>0</v>
      </c>
      <c r="Y106">
        <v>2.59</v>
      </c>
    </row>
    <row r="107" spans="1:26">
      <c r="A107" s="2">
        <v>43896</v>
      </c>
      <c r="B107" s="4">
        <v>0.125</v>
      </c>
      <c r="C107" s="1" t="s">
        <v>60</v>
      </c>
      <c r="D107">
        <v>1251</v>
      </c>
      <c r="E107">
        <v>19</v>
      </c>
      <c r="F107">
        <v>2</v>
      </c>
      <c r="G107">
        <v>7</v>
      </c>
      <c r="H107">
        <v>0</v>
      </c>
      <c r="I107">
        <v>0</v>
      </c>
      <c r="K107">
        <v>0</v>
      </c>
      <c r="L107" s="1" t="s">
        <v>62</v>
      </c>
      <c r="N107" s="1" t="s">
        <v>37</v>
      </c>
      <c r="P107" s="1" t="s">
        <v>37</v>
      </c>
      <c r="Q107">
        <v>0</v>
      </c>
      <c r="R107" s="1" t="s">
        <v>37</v>
      </c>
      <c r="S107">
        <v>46.220528000000002</v>
      </c>
      <c r="T107">
        <v>6.1329349999999998</v>
      </c>
      <c r="U107" s="1" t="s">
        <v>61</v>
      </c>
      <c r="V107">
        <v>25</v>
      </c>
      <c r="W107">
        <v>4</v>
      </c>
      <c r="X107">
        <v>0</v>
      </c>
      <c r="Y107">
        <v>3.84</v>
      </c>
      <c r="Z107">
        <v>0</v>
      </c>
    </row>
    <row r="108" spans="1:26">
      <c r="A108" s="2">
        <v>43896</v>
      </c>
      <c r="B108" s="4">
        <v>0.125</v>
      </c>
      <c r="C108" s="1" t="s">
        <v>69</v>
      </c>
      <c r="E108">
        <v>4</v>
      </c>
      <c r="F108">
        <v>3</v>
      </c>
      <c r="G108">
        <v>5</v>
      </c>
      <c r="L108" s="1" t="s">
        <v>280</v>
      </c>
      <c r="N108" s="1" t="s">
        <v>37</v>
      </c>
      <c r="P108" s="1" t="s">
        <v>37</v>
      </c>
      <c r="R108" s="1" t="s">
        <v>37</v>
      </c>
      <c r="S108">
        <v>47.350743999999999</v>
      </c>
      <c r="T108">
        <v>7.1561070000000004</v>
      </c>
      <c r="U108" s="1" t="s">
        <v>70</v>
      </c>
      <c r="V108">
        <v>26</v>
      </c>
      <c r="W108">
        <v>0</v>
      </c>
      <c r="X108">
        <v>0</v>
      </c>
      <c r="Y108">
        <v>5.46</v>
      </c>
    </row>
    <row r="109" spans="1:26">
      <c r="A109" s="2">
        <v>43896</v>
      </c>
      <c r="B109" s="4">
        <v>0.125</v>
      </c>
      <c r="C109" s="1" t="s">
        <v>74</v>
      </c>
      <c r="E109">
        <v>13</v>
      </c>
      <c r="F109">
        <v>-2</v>
      </c>
      <c r="G109">
        <v>2</v>
      </c>
      <c r="L109" s="1" t="s">
        <v>76</v>
      </c>
      <c r="N109" s="1" t="s">
        <v>37</v>
      </c>
      <c r="P109" s="1" t="s">
        <v>37</v>
      </c>
      <c r="R109" s="1" t="s">
        <v>37</v>
      </c>
      <c r="S109">
        <v>46.995533999999999</v>
      </c>
      <c r="T109">
        <v>6.7801260000000001</v>
      </c>
      <c r="U109" s="1" t="s">
        <v>75</v>
      </c>
      <c r="V109">
        <v>24</v>
      </c>
      <c r="W109">
        <v>4</v>
      </c>
      <c r="X109">
        <v>0</v>
      </c>
      <c r="Y109">
        <v>7.3</v>
      </c>
    </row>
    <row r="110" spans="1:26">
      <c r="A110" s="2">
        <v>43896</v>
      </c>
      <c r="B110" s="4">
        <v>0.65138888888888891</v>
      </c>
      <c r="C110" s="1" t="s">
        <v>83</v>
      </c>
      <c r="E110">
        <v>2</v>
      </c>
      <c r="F110">
        <v>0</v>
      </c>
      <c r="L110" s="1" t="s">
        <v>159</v>
      </c>
      <c r="N110" s="1" t="s">
        <v>37</v>
      </c>
      <c r="P110" s="1" t="s">
        <v>37</v>
      </c>
      <c r="R110" s="1" t="s">
        <v>37</v>
      </c>
      <c r="S110">
        <v>47.183199999999999</v>
      </c>
      <c r="T110">
        <v>9.2747440000000001</v>
      </c>
      <c r="U110" s="1" t="s">
        <v>84</v>
      </c>
      <c r="V110">
        <v>17</v>
      </c>
      <c r="W110">
        <v>1</v>
      </c>
      <c r="X110">
        <v>0</v>
      </c>
      <c r="Y110">
        <v>0.4</v>
      </c>
    </row>
    <row r="111" spans="1:26">
      <c r="A111" s="2">
        <v>43896</v>
      </c>
      <c r="B111" s="4">
        <v>0.5</v>
      </c>
      <c r="C111" s="1" t="s">
        <v>89</v>
      </c>
      <c r="E111">
        <v>1</v>
      </c>
      <c r="F111">
        <v>0</v>
      </c>
      <c r="L111" s="1" t="s">
        <v>160</v>
      </c>
      <c r="N111" s="1" t="s">
        <v>37</v>
      </c>
      <c r="P111" s="1" t="s">
        <v>37</v>
      </c>
      <c r="R111" s="1" t="s">
        <v>37</v>
      </c>
      <c r="S111">
        <v>47.304135000000002</v>
      </c>
      <c r="T111">
        <v>7.6393880000000003</v>
      </c>
      <c r="U111" s="1" t="s">
        <v>90</v>
      </c>
      <c r="V111">
        <v>11</v>
      </c>
      <c r="W111">
        <v>0</v>
      </c>
      <c r="X111">
        <v>0</v>
      </c>
      <c r="Y111">
        <v>0.37</v>
      </c>
    </row>
    <row r="112" spans="1:26">
      <c r="A112" s="2">
        <v>43896</v>
      </c>
      <c r="B112" s="4">
        <v>0.125</v>
      </c>
      <c r="C112" s="1" t="s">
        <v>92</v>
      </c>
      <c r="D112">
        <v>6</v>
      </c>
      <c r="E112">
        <v>6</v>
      </c>
      <c r="F112">
        <v>0</v>
      </c>
      <c r="G112">
        <v>1</v>
      </c>
      <c r="L112" s="1" t="s">
        <v>161</v>
      </c>
      <c r="N112" s="1" t="s">
        <v>37</v>
      </c>
      <c r="P112" s="1" t="s">
        <v>37</v>
      </c>
      <c r="R112" s="1" t="s">
        <v>37</v>
      </c>
      <c r="S112">
        <v>47.061787000000002</v>
      </c>
      <c r="T112">
        <v>8.7565849999999994</v>
      </c>
      <c r="U112" s="1" t="s">
        <v>93</v>
      </c>
      <c r="V112">
        <v>5</v>
      </c>
      <c r="W112">
        <v>3</v>
      </c>
      <c r="X112">
        <v>0</v>
      </c>
      <c r="Y112">
        <v>3.81</v>
      </c>
    </row>
    <row r="113" spans="1:26">
      <c r="A113" s="2">
        <v>43896</v>
      </c>
      <c r="B113" s="4">
        <v>0.125</v>
      </c>
      <c r="C113" s="1" t="s">
        <v>98</v>
      </c>
      <c r="E113">
        <v>18</v>
      </c>
      <c r="F113">
        <v>0</v>
      </c>
      <c r="L113" s="1" t="s">
        <v>154</v>
      </c>
      <c r="N113" s="1" t="s">
        <v>37</v>
      </c>
      <c r="O113">
        <v>45</v>
      </c>
      <c r="P113" s="1" t="s">
        <v>37</v>
      </c>
      <c r="R113" s="1" t="s">
        <v>37</v>
      </c>
      <c r="S113">
        <v>46.295617</v>
      </c>
      <c r="T113">
        <v>8.8089239999999993</v>
      </c>
      <c r="U113" s="1" t="s">
        <v>99</v>
      </c>
      <c r="V113">
        <v>21</v>
      </c>
      <c r="W113">
        <v>0</v>
      </c>
      <c r="X113">
        <v>0</v>
      </c>
      <c r="Y113">
        <v>5.09</v>
      </c>
    </row>
    <row r="114" spans="1:26">
      <c r="A114" s="2">
        <v>43896</v>
      </c>
      <c r="B114" s="4">
        <v>0.125</v>
      </c>
      <c r="C114" s="1" t="s">
        <v>104</v>
      </c>
      <c r="E114">
        <v>23</v>
      </c>
      <c r="F114">
        <v>1</v>
      </c>
      <c r="G114">
        <v>15</v>
      </c>
      <c r="H114">
        <v>2</v>
      </c>
      <c r="K114">
        <v>1</v>
      </c>
      <c r="L114" s="1" t="s">
        <v>122</v>
      </c>
      <c r="N114" s="1" t="s">
        <v>37</v>
      </c>
      <c r="P114" s="1" t="s">
        <v>37</v>
      </c>
      <c r="R114" s="1" t="s">
        <v>37</v>
      </c>
      <c r="S114">
        <v>46.570090999999998</v>
      </c>
      <c r="T114">
        <v>6.5578090000000007</v>
      </c>
      <c r="U114" s="1" t="s">
        <v>105</v>
      </c>
      <c r="V114">
        <v>22</v>
      </c>
      <c r="W114">
        <v>0</v>
      </c>
      <c r="X114">
        <v>0</v>
      </c>
      <c r="Y114">
        <v>2.9</v>
      </c>
      <c r="Z114">
        <v>0.126</v>
      </c>
    </row>
    <row r="115" spans="1:26">
      <c r="A115" s="2">
        <v>43896</v>
      </c>
      <c r="B115" s="4">
        <v>0.125</v>
      </c>
      <c r="C115" s="1" t="s">
        <v>107</v>
      </c>
      <c r="E115">
        <v>6</v>
      </c>
      <c r="F115">
        <v>1</v>
      </c>
      <c r="G115">
        <v>11</v>
      </c>
      <c r="H115">
        <v>0</v>
      </c>
      <c r="I115">
        <v>0</v>
      </c>
      <c r="K115">
        <v>0</v>
      </c>
      <c r="L115" s="1" t="s">
        <v>412</v>
      </c>
      <c r="N115" s="1" t="s">
        <v>37</v>
      </c>
      <c r="P115" s="1" t="s">
        <v>37</v>
      </c>
      <c r="R115" s="1" t="s">
        <v>37</v>
      </c>
      <c r="S115">
        <v>46.209567</v>
      </c>
      <c r="T115">
        <v>7.6046589999999998</v>
      </c>
      <c r="U115" s="1" t="s">
        <v>108</v>
      </c>
      <c r="V115">
        <v>23</v>
      </c>
      <c r="W115">
        <v>1</v>
      </c>
      <c r="X115">
        <v>0</v>
      </c>
      <c r="Y115">
        <v>1.76</v>
      </c>
      <c r="Z115">
        <v>0</v>
      </c>
    </row>
    <row r="116" spans="1:26">
      <c r="A116" s="2">
        <v>43896</v>
      </c>
      <c r="B116" s="4">
        <v>0.33333333333333331</v>
      </c>
      <c r="C116" s="1" t="s">
        <v>109</v>
      </c>
      <c r="E116">
        <v>3</v>
      </c>
      <c r="F116">
        <v>0</v>
      </c>
      <c r="G116">
        <v>0</v>
      </c>
      <c r="H116">
        <v>0</v>
      </c>
      <c r="J116">
        <v>0</v>
      </c>
      <c r="K116">
        <v>0</v>
      </c>
      <c r="L116" s="1" t="s">
        <v>502</v>
      </c>
      <c r="N116" s="1" t="s">
        <v>37</v>
      </c>
      <c r="P116" s="1" t="s">
        <v>37</v>
      </c>
      <c r="R116" s="1" t="s">
        <v>37</v>
      </c>
      <c r="S116">
        <v>47.157296000000002</v>
      </c>
      <c r="T116">
        <v>8.5372939999999993</v>
      </c>
      <c r="U116" s="1" t="s">
        <v>110</v>
      </c>
      <c r="V116">
        <v>9</v>
      </c>
      <c r="W116">
        <v>0</v>
      </c>
      <c r="X116">
        <v>0</v>
      </c>
      <c r="Y116">
        <v>2.39</v>
      </c>
      <c r="Z116">
        <v>0</v>
      </c>
    </row>
    <row r="117" spans="1:26">
      <c r="A117" s="2">
        <v>43896</v>
      </c>
      <c r="B117" s="4">
        <v>0.60416666666666663</v>
      </c>
      <c r="C117" s="1" t="s">
        <v>111</v>
      </c>
      <c r="E117">
        <v>30</v>
      </c>
      <c r="F117">
        <v>0</v>
      </c>
      <c r="L117" s="1" t="s">
        <v>113</v>
      </c>
      <c r="N117" s="1" t="s">
        <v>37</v>
      </c>
      <c r="P117" s="1" t="s">
        <v>37</v>
      </c>
      <c r="R117" s="1" t="s">
        <v>37</v>
      </c>
      <c r="S117">
        <v>47.412750000000003</v>
      </c>
      <c r="T117">
        <v>8.6550799999999999</v>
      </c>
      <c r="U117" s="1" t="s">
        <v>112</v>
      </c>
      <c r="V117">
        <v>1</v>
      </c>
      <c r="W117">
        <v>6</v>
      </c>
      <c r="X117">
        <v>0</v>
      </c>
      <c r="Y117">
        <v>1.99</v>
      </c>
    </row>
    <row r="118" spans="1:26">
      <c r="A118" s="2">
        <v>43897</v>
      </c>
      <c r="B118" s="4">
        <v>0.125</v>
      </c>
      <c r="C118" s="1" t="s">
        <v>48</v>
      </c>
      <c r="E118">
        <v>15</v>
      </c>
      <c r="F118">
        <v>0</v>
      </c>
      <c r="G118">
        <v>4</v>
      </c>
      <c r="H118">
        <v>2</v>
      </c>
      <c r="L118" s="1" t="s">
        <v>162</v>
      </c>
      <c r="N118" s="1" t="s">
        <v>37</v>
      </c>
      <c r="P118" s="1" t="s">
        <v>37</v>
      </c>
      <c r="R118" s="1" t="s">
        <v>37</v>
      </c>
      <c r="S118">
        <v>47.45176</v>
      </c>
      <c r="T118">
        <v>7.7024140000000001</v>
      </c>
      <c r="U118" s="1" t="s">
        <v>49</v>
      </c>
      <c r="V118">
        <v>13</v>
      </c>
      <c r="W118">
        <v>9</v>
      </c>
      <c r="X118">
        <v>0</v>
      </c>
      <c r="Y118">
        <v>5.23</v>
      </c>
    </row>
    <row r="119" spans="1:26">
      <c r="A119" s="2">
        <v>43897</v>
      </c>
      <c r="B119" s="4">
        <v>0.5</v>
      </c>
      <c r="C119" s="1" t="s">
        <v>51</v>
      </c>
      <c r="D119">
        <v>235</v>
      </c>
      <c r="E119">
        <v>21</v>
      </c>
      <c r="F119">
        <v>0</v>
      </c>
      <c r="G119">
        <v>1</v>
      </c>
      <c r="L119" s="1" t="s">
        <v>163</v>
      </c>
      <c r="M119">
        <v>3</v>
      </c>
      <c r="N119" s="1" t="s">
        <v>37</v>
      </c>
      <c r="P119" s="1" t="s">
        <v>37</v>
      </c>
      <c r="R119" s="1" t="s">
        <v>37</v>
      </c>
      <c r="S119">
        <v>47.564869000000002</v>
      </c>
      <c r="T119">
        <v>7.615259</v>
      </c>
      <c r="U119" s="1" t="s">
        <v>52</v>
      </c>
      <c r="V119">
        <v>12</v>
      </c>
      <c r="W119">
        <v>6</v>
      </c>
      <c r="X119">
        <v>0</v>
      </c>
      <c r="Y119">
        <v>10.83</v>
      </c>
    </row>
    <row r="120" spans="1:26">
      <c r="A120" s="2">
        <v>43897</v>
      </c>
      <c r="B120" s="4">
        <v>0.125</v>
      </c>
      <c r="C120" s="1" t="s">
        <v>60</v>
      </c>
      <c r="D120">
        <v>1327</v>
      </c>
      <c r="E120">
        <v>30</v>
      </c>
      <c r="F120">
        <v>0</v>
      </c>
      <c r="G120">
        <v>7</v>
      </c>
      <c r="H120">
        <v>0</v>
      </c>
      <c r="I120">
        <v>0</v>
      </c>
      <c r="K120">
        <v>0</v>
      </c>
      <c r="L120" s="1" t="s">
        <v>62</v>
      </c>
      <c r="N120" s="1" t="s">
        <v>37</v>
      </c>
      <c r="P120" s="1" t="s">
        <v>37</v>
      </c>
      <c r="Q120">
        <v>0</v>
      </c>
      <c r="R120" s="1" t="s">
        <v>37</v>
      </c>
      <c r="S120">
        <v>46.220528000000002</v>
      </c>
      <c r="T120">
        <v>6.1329349999999998</v>
      </c>
      <c r="U120" s="1" t="s">
        <v>61</v>
      </c>
      <c r="V120">
        <v>25</v>
      </c>
      <c r="W120">
        <v>11</v>
      </c>
      <c r="X120">
        <v>0</v>
      </c>
      <c r="Y120">
        <v>6.06</v>
      </c>
      <c r="Z120">
        <v>0</v>
      </c>
    </row>
    <row r="121" spans="1:26">
      <c r="A121" s="2">
        <v>43897</v>
      </c>
      <c r="B121" s="4">
        <v>0.125</v>
      </c>
      <c r="C121" s="1" t="s">
        <v>69</v>
      </c>
      <c r="E121">
        <v>5</v>
      </c>
      <c r="F121">
        <v>0</v>
      </c>
      <c r="G121">
        <v>5</v>
      </c>
      <c r="L121" s="1" t="s">
        <v>280</v>
      </c>
      <c r="N121" s="1" t="s">
        <v>37</v>
      </c>
      <c r="P121" s="1" t="s">
        <v>37</v>
      </c>
      <c r="R121" s="1" t="s">
        <v>37</v>
      </c>
      <c r="S121">
        <v>47.350743999999999</v>
      </c>
      <c r="T121">
        <v>7.1561070000000004</v>
      </c>
      <c r="U121" s="1" t="s">
        <v>70</v>
      </c>
      <c r="V121">
        <v>26</v>
      </c>
      <c r="W121">
        <v>1</v>
      </c>
      <c r="X121">
        <v>0</v>
      </c>
      <c r="Y121">
        <v>6.82</v>
      </c>
    </row>
    <row r="122" spans="1:26">
      <c r="A122" s="2">
        <v>43897</v>
      </c>
      <c r="B122" s="4">
        <v>0.125</v>
      </c>
      <c r="C122" s="1" t="s">
        <v>74</v>
      </c>
      <c r="E122">
        <v>18</v>
      </c>
      <c r="F122">
        <v>0</v>
      </c>
      <c r="G122">
        <v>2</v>
      </c>
      <c r="L122" s="1" t="s">
        <v>76</v>
      </c>
      <c r="N122" s="1" t="s">
        <v>37</v>
      </c>
      <c r="P122" s="1" t="s">
        <v>37</v>
      </c>
      <c r="R122" s="1" t="s">
        <v>37</v>
      </c>
      <c r="S122">
        <v>46.995533999999999</v>
      </c>
      <c r="T122">
        <v>6.7801260000000001</v>
      </c>
      <c r="U122" s="1" t="s">
        <v>75</v>
      </c>
      <c r="V122">
        <v>24</v>
      </c>
      <c r="W122">
        <v>5</v>
      </c>
      <c r="X122">
        <v>0</v>
      </c>
      <c r="Y122">
        <v>10.11</v>
      </c>
    </row>
    <row r="123" spans="1:26">
      <c r="A123" s="2">
        <v>43897</v>
      </c>
      <c r="B123" s="4">
        <v>0.125</v>
      </c>
      <c r="C123" s="1" t="s">
        <v>98</v>
      </c>
      <c r="E123">
        <v>45</v>
      </c>
      <c r="F123">
        <v>0</v>
      </c>
      <c r="L123" s="1" t="s">
        <v>164</v>
      </c>
      <c r="N123" s="1" t="s">
        <v>37</v>
      </c>
      <c r="O123">
        <v>58</v>
      </c>
      <c r="P123" s="1" t="s">
        <v>37</v>
      </c>
      <c r="R123" s="1" t="s">
        <v>37</v>
      </c>
      <c r="S123">
        <v>46.295617</v>
      </c>
      <c r="T123">
        <v>8.8089239999999993</v>
      </c>
      <c r="U123" s="1" t="s">
        <v>99</v>
      </c>
      <c r="V123">
        <v>21</v>
      </c>
      <c r="W123">
        <v>0</v>
      </c>
      <c r="X123">
        <v>0</v>
      </c>
      <c r="Y123">
        <v>12.72</v>
      </c>
    </row>
    <row r="124" spans="1:26">
      <c r="A124" s="2">
        <v>43897</v>
      </c>
      <c r="B124" s="4">
        <v>0.125</v>
      </c>
      <c r="C124" s="1" t="s">
        <v>104</v>
      </c>
      <c r="E124">
        <v>30</v>
      </c>
      <c r="F124">
        <v>1</v>
      </c>
      <c r="G124">
        <v>16</v>
      </c>
      <c r="H124">
        <v>4</v>
      </c>
      <c r="K124">
        <v>1</v>
      </c>
      <c r="L124" s="1" t="s">
        <v>122</v>
      </c>
      <c r="N124" s="1" t="s">
        <v>37</v>
      </c>
      <c r="P124" s="1" t="s">
        <v>37</v>
      </c>
      <c r="R124" s="1" t="s">
        <v>37</v>
      </c>
      <c r="S124">
        <v>46.570090999999998</v>
      </c>
      <c r="T124">
        <v>6.5578090000000007</v>
      </c>
      <c r="U124" s="1" t="s">
        <v>105</v>
      </c>
      <c r="V124">
        <v>22</v>
      </c>
      <c r="W124">
        <v>7</v>
      </c>
      <c r="X124">
        <v>0</v>
      </c>
      <c r="Y124">
        <v>3.78</v>
      </c>
      <c r="Z124">
        <v>0.126</v>
      </c>
    </row>
    <row r="125" spans="1:26">
      <c r="A125" s="2">
        <v>43897</v>
      </c>
      <c r="B125" s="4">
        <v>0.125</v>
      </c>
      <c r="C125" s="1" t="s">
        <v>107</v>
      </c>
      <c r="E125">
        <v>7</v>
      </c>
      <c r="F125">
        <v>0</v>
      </c>
      <c r="G125">
        <v>11</v>
      </c>
      <c r="H125">
        <v>0</v>
      </c>
      <c r="I125">
        <v>0</v>
      </c>
      <c r="K125">
        <v>0</v>
      </c>
      <c r="L125" s="1" t="s">
        <v>412</v>
      </c>
      <c r="N125" s="1" t="s">
        <v>37</v>
      </c>
      <c r="P125" s="1" t="s">
        <v>37</v>
      </c>
      <c r="R125" s="1" t="s">
        <v>37</v>
      </c>
      <c r="S125">
        <v>46.209567</v>
      </c>
      <c r="T125">
        <v>7.6046589999999998</v>
      </c>
      <c r="U125" s="1" t="s">
        <v>108</v>
      </c>
      <c r="V125">
        <v>23</v>
      </c>
      <c r="W125">
        <v>1</v>
      </c>
      <c r="X125">
        <v>0</v>
      </c>
      <c r="Y125">
        <v>2.0499999999999998</v>
      </c>
      <c r="Z125">
        <v>0</v>
      </c>
    </row>
    <row r="126" spans="1:26">
      <c r="A126" s="2">
        <v>43897</v>
      </c>
      <c r="B126" s="4">
        <v>0.33333333333333331</v>
      </c>
      <c r="C126" s="1" t="s">
        <v>109</v>
      </c>
      <c r="E126">
        <v>3</v>
      </c>
      <c r="F126">
        <v>0</v>
      </c>
      <c r="G126">
        <v>0</v>
      </c>
      <c r="H126">
        <v>0</v>
      </c>
      <c r="J126">
        <v>0</v>
      </c>
      <c r="K126">
        <v>0</v>
      </c>
      <c r="L126" s="1" t="s">
        <v>502</v>
      </c>
      <c r="N126" s="1" t="s">
        <v>37</v>
      </c>
      <c r="P126" s="1" t="s">
        <v>37</v>
      </c>
      <c r="R126" s="1" t="s">
        <v>37</v>
      </c>
      <c r="S126">
        <v>47.157296000000002</v>
      </c>
      <c r="T126">
        <v>8.5372939999999993</v>
      </c>
      <c r="U126" s="1" t="s">
        <v>110</v>
      </c>
      <c r="V126">
        <v>9</v>
      </c>
      <c r="W126">
        <v>0</v>
      </c>
      <c r="X126">
        <v>0</v>
      </c>
      <c r="Y126">
        <v>2.39</v>
      </c>
      <c r="Z126">
        <v>0</v>
      </c>
    </row>
    <row r="127" spans="1:26">
      <c r="A127" s="2">
        <v>43897</v>
      </c>
      <c r="B127" s="4">
        <v>0.60416666666666663</v>
      </c>
      <c r="C127" s="1" t="s">
        <v>111</v>
      </c>
      <c r="E127">
        <v>35</v>
      </c>
      <c r="F127">
        <v>0</v>
      </c>
      <c r="L127" s="1" t="s">
        <v>113</v>
      </c>
      <c r="N127" s="1" t="s">
        <v>37</v>
      </c>
      <c r="P127" s="1" t="s">
        <v>37</v>
      </c>
      <c r="R127" s="1" t="s">
        <v>37</v>
      </c>
      <c r="S127">
        <v>47.412750000000003</v>
      </c>
      <c r="T127">
        <v>8.6550799999999999</v>
      </c>
      <c r="U127" s="1" t="s">
        <v>112</v>
      </c>
      <c r="V127">
        <v>1</v>
      </c>
      <c r="W127">
        <v>5</v>
      </c>
      <c r="X127">
        <v>0</v>
      </c>
      <c r="Y127">
        <v>2.33</v>
      </c>
    </row>
    <row r="128" spans="1:26">
      <c r="A128" s="2">
        <v>43898</v>
      </c>
      <c r="B128" s="4">
        <v>0.125</v>
      </c>
      <c r="C128" s="1" t="s">
        <v>48</v>
      </c>
      <c r="E128">
        <v>19</v>
      </c>
      <c r="F128">
        <v>0</v>
      </c>
      <c r="G128">
        <v>4</v>
      </c>
      <c r="H128">
        <v>2</v>
      </c>
      <c r="K128">
        <v>1</v>
      </c>
      <c r="L128" s="1" t="s">
        <v>165</v>
      </c>
      <c r="N128" s="1" t="s">
        <v>37</v>
      </c>
      <c r="P128" s="1" t="s">
        <v>37</v>
      </c>
      <c r="R128" s="1" t="s">
        <v>37</v>
      </c>
      <c r="S128">
        <v>47.45176</v>
      </c>
      <c r="T128">
        <v>7.7024140000000001</v>
      </c>
      <c r="U128" s="1" t="s">
        <v>49</v>
      </c>
      <c r="V128">
        <v>13</v>
      </c>
      <c r="W128">
        <v>4</v>
      </c>
      <c r="X128">
        <v>0</v>
      </c>
      <c r="Y128">
        <v>6.62</v>
      </c>
      <c r="Z128">
        <v>0.34799999999999998</v>
      </c>
    </row>
    <row r="129" spans="1:26">
      <c r="A129" s="2">
        <v>43898</v>
      </c>
      <c r="B129" s="4">
        <v>0.5</v>
      </c>
      <c r="C129" s="1" t="s">
        <v>51</v>
      </c>
      <c r="D129">
        <v>235</v>
      </c>
      <c r="E129">
        <v>24</v>
      </c>
      <c r="F129">
        <v>0</v>
      </c>
      <c r="G129">
        <v>1</v>
      </c>
      <c r="L129" s="1" t="s">
        <v>166</v>
      </c>
      <c r="M129">
        <v>3</v>
      </c>
      <c r="N129" s="1" t="s">
        <v>37</v>
      </c>
      <c r="P129" s="1" t="s">
        <v>37</v>
      </c>
      <c r="R129" s="1" t="s">
        <v>37</v>
      </c>
      <c r="S129">
        <v>47.564869000000002</v>
      </c>
      <c r="T129">
        <v>7.615259</v>
      </c>
      <c r="U129" s="1" t="s">
        <v>52</v>
      </c>
      <c r="V129">
        <v>12</v>
      </c>
      <c r="W129">
        <v>3</v>
      </c>
      <c r="X129">
        <v>0</v>
      </c>
      <c r="Y129">
        <v>12.38</v>
      </c>
    </row>
    <row r="130" spans="1:26">
      <c r="A130" s="2">
        <v>43898</v>
      </c>
      <c r="B130" s="4">
        <v>0.125</v>
      </c>
      <c r="C130" s="1" t="s">
        <v>57</v>
      </c>
      <c r="D130">
        <v>30</v>
      </c>
      <c r="E130">
        <v>8</v>
      </c>
      <c r="F130">
        <v>0</v>
      </c>
      <c r="L130" s="1" t="s">
        <v>153</v>
      </c>
      <c r="N130" s="1" t="s">
        <v>37</v>
      </c>
      <c r="P130" s="1" t="s">
        <v>37</v>
      </c>
      <c r="R130" s="1" t="s">
        <v>37</v>
      </c>
      <c r="S130">
        <v>46.718390999999997</v>
      </c>
      <c r="T130">
        <v>7.0740080000000001</v>
      </c>
      <c r="U130" s="1" t="s">
        <v>58</v>
      </c>
      <c r="V130">
        <v>10</v>
      </c>
      <c r="W130">
        <v>2</v>
      </c>
      <c r="X130">
        <v>0</v>
      </c>
      <c r="Y130">
        <v>2.54</v>
      </c>
    </row>
    <row r="131" spans="1:26">
      <c r="A131" s="2">
        <v>43898</v>
      </c>
      <c r="B131" s="4">
        <v>0.125</v>
      </c>
      <c r="C131" s="1" t="s">
        <v>60</v>
      </c>
      <c r="D131">
        <v>1398</v>
      </c>
      <c r="E131">
        <v>38</v>
      </c>
      <c r="F131">
        <v>2</v>
      </c>
      <c r="G131">
        <v>9</v>
      </c>
      <c r="H131">
        <v>0</v>
      </c>
      <c r="I131">
        <v>0</v>
      </c>
      <c r="K131">
        <v>0</v>
      </c>
      <c r="L131" s="1" t="s">
        <v>62</v>
      </c>
      <c r="N131" s="1" t="s">
        <v>37</v>
      </c>
      <c r="P131" s="1" t="s">
        <v>37</v>
      </c>
      <c r="Q131">
        <v>0</v>
      </c>
      <c r="R131" s="1" t="s">
        <v>37</v>
      </c>
      <c r="S131">
        <v>46.220528000000002</v>
      </c>
      <c r="T131">
        <v>6.1329349999999998</v>
      </c>
      <c r="U131" s="1" t="s">
        <v>61</v>
      </c>
      <c r="V131">
        <v>25</v>
      </c>
      <c r="W131">
        <v>8</v>
      </c>
      <c r="X131">
        <v>0</v>
      </c>
      <c r="Y131">
        <v>7.67</v>
      </c>
      <c r="Z131">
        <v>0</v>
      </c>
    </row>
    <row r="132" spans="1:26">
      <c r="A132" s="2">
        <v>43898</v>
      </c>
      <c r="B132" s="4">
        <v>0.125</v>
      </c>
      <c r="C132" s="1" t="s">
        <v>69</v>
      </c>
      <c r="E132">
        <v>5</v>
      </c>
      <c r="F132">
        <v>0</v>
      </c>
      <c r="G132">
        <v>5</v>
      </c>
      <c r="L132" s="1" t="s">
        <v>280</v>
      </c>
      <c r="N132" s="1" t="s">
        <v>37</v>
      </c>
      <c r="P132" s="1" t="s">
        <v>37</v>
      </c>
      <c r="R132" s="1" t="s">
        <v>37</v>
      </c>
      <c r="S132">
        <v>47.350743999999999</v>
      </c>
      <c r="T132">
        <v>7.1561070000000004</v>
      </c>
      <c r="U132" s="1" t="s">
        <v>70</v>
      </c>
      <c r="V132">
        <v>26</v>
      </c>
      <c r="W132">
        <v>0</v>
      </c>
      <c r="X132">
        <v>0</v>
      </c>
      <c r="Y132">
        <v>6.82</v>
      </c>
    </row>
    <row r="133" spans="1:26">
      <c r="A133" s="2">
        <v>43898</v>
      </c>
      <c r="B133" s="4">
        <v>0.125</v>
      </c>
      <c r="C133" s="1" t="s">
        <v>74</v>
      </c>
      <c r="E133">
        <v>24</v>
      </c>
      <c r="F133">
        <v>1</v>
      </c>
      <c r="G133">
        <v>3</v>
      </c>
      <c r="L133" s="1" t="s">
        <v>76</v>
      </c>
      <c r="N133" s="1" t="s">
        <v>37</v>
      </c>
      <c r="P133" s="1" t="s">
        <v>37</v>
      </c>
      <c r="R133" s="1" t="s">
        <v>37</v>
      </c>
      <c r="S133">
        <v>46.995533999999999</v>
      </c>
      <c r="T133">
        <v>6.7801260000000001</v>
      </c>
      <c r="U133" s="1" t="s">
        <v>75</v>
      </c>
      <c r="V133">
        <v>24</v>
      </c>
      <c r="W133">
        <v>6</v>
      </c>
      <c r="X133">
        <v>0</v>
      </c>
      <c r="Y133">
        <v>13.48</v>
      </c>
    </row>
    <row r="134" spans="1:26">
      <c r="A134" s="2">
        <v>43898</v>
      </c>
      <c r="B134" s="4">
        <v>0.125</v>
      </c>
      <c r="C134" s="1" t="s">
        <v>98</v>
      </c>
      <c r="E134">
        <v>58</v>
      </c>
      <c r="F134">
        <v>0</v>
      </c>
      <c r="L134" s="1" t="s">
        <v>167</v>
      </c>
      <c r="N134" s="1" t="s">
        <v>37</v>
      </c>
      <c r="O134">
        <v>68</v>
      </c>
      <c r="P134" s="1" t="s">
        <v>37</v>
      </c>
      <c r="R134" s="1" t="s">
        <v>37</v>
      </c>
      <c r="S134">
        <v>46.295617</v>
      </c>
      <c r="T134">
        <v>8.8089239999999993</v>
      </c>
      <c r="U134" s="1" t="s">
        <v>99</v>
      </c>
      <c r="V134">
        <v>21</v>
      </c>
      <c r="W134">
        <v>13</v>
      </c>
      <c r="X134">
        <v>0</v>
      </c>
      <c r="Y134">
        <v>16.399999999999999</v>
      </c>
    </row>
    <row r="135" spans="1:26">
      <c r="A135" s="2">
        <v>43898</v>
      </c>
      <c r="B135" s="4">
        <v>0.125</v>
      </c>
      <c r="C135" s="1" t="s">
        <v>104</v>
      </c>
      <c r="E135">
        <v>40</v>
      </c>
      <c r="F135">
        <v>6</v>
      </c>
      <c r="G135">
        <v>22</v>
      </c>
      <c r="H135">
        <v>3</v>
      </c>
      <c r="K135">
        <v>1</v>
      </c>
      <c r="L135" s="1" t="s">
        <v>122</v>
      </c>
      <c r="N135" s="1" t="s">
        <v>37</v>
      </c>
      <c r="P135" s="1" t="s">
        <v>37</v>
      </c>
      <c r="R135" s="1" t="s">
        <v>37</v>
      </c>
      <c r="S135">
        <v>46.570090999999998</v>
      </c>
      <c r="T135">
        <v>6.5578090000000007</v>
      </c>
      <c r="U135" s="1" t="s">
        <v>105</v>
      </c>
      <c r="V135">
        <v>22</v>
      </c>
      <c r="W135">
        <v>10</v>
      </c>
      <c r="X135">
        <v>0</v>
      </c>
      <c r="Y135">
        <v>5.04</v>
      </c>
      <c r="Z135">
        <v>0.126</v>
      </c>
    </row>
    <row r="136" spans="1:26">
      <c r="A136" s="2">
        <v>43898</v>
      </c>
      <c r="B136" s="4">
        <v>0.125</v>
      </c>
      <c r="C136" s="1" t="s">
        <v>107</v>
      </c>
      <c r="E136">
        <v>12</v>
      </c>
      <c r="F136">
        <v>4</v>
      </c>
      <c r="G136">
        <v>15</v>
      </c>
      <c r="H136">
        <v>1</v>
      </c>
      <c r="I136">
        <v>1</v>
      </c>
      <c r="K136">
        <v>0</v>
      </c>
      <c r="L136" s="1" t="s">
        <v>412</v>
      </c>
      <c r="N136" s="1" t="s">
        <v>37</v>
      </c>
      <c r="P136" s="1" t="s">
        <v>37</v>
      </c>
      <c r="R136" s="1" t="s">
        <v>37</v>
      </c>
      <c r="S136">
        <v>46.209567</v>
      </c>
      <c r="T136">
        <v>7.6046589999999998</v>
      </c>
      <c r="U136" s="1" t="s">
        <v>108</v>
      </c>
      <c r="V136">
        <v>23</v>
      </c>
      <c r="W136">
        <v>5</v>
      </c>
      <c r="X136">
        <v>0</v>
      </c>
      <c r="Y136">
        <v>3.51</v>
      </c>
      <c r="Z136">
        <v>0</v>
      </c>
    </row>
    <row r="137" spans="1:26">
      <c r="A137" s="2">
        <v>43898</v>
      </c>
      <c r="B137" s="4">
        <v>0.33333333333333331</v>
      </c>
      <c r="C137" s="1" t="s">
        <v>109</v>
      </c>
      <c r="E137">
        <v>10</v>
      </c>
      <c r="F137">
        <v>0</v>
      </c>
      <c r="G137">
        <v>0</v>
      </c>
      <c r="H137">
        <v>0</v>
      </c>
      <c r="J137">
        <v>0</v>
      </c>
      <c r="K137">
        <v>0</v>
      </c>
      <c r="L137" s="1" t="s">
        <v>502</v>
      </c>
      <c r="N137" s="1" t="s">
        <v>37</v>
      </c>
      <c r="P137" s="1" t="s">
        <v>37</v>
      </c>
      <c r="R137" s="1" t="s">
        <v>37</v>
      </c>
      <c r="S137">
        <v>47.157296000000002</v>
      </c>
      <c r="T137">
        <v>8.5372939999999993</v>
      </c>
      <c r="U137" s="1" t="s">
        <v>110</v>
      </c>
      <c r="V137">
        <v>9</v>
      </c>
      <c r="W137">
        <v>7</v>
      </c>
      <c r="X137">
        <v>0</v>
      </c>
      <c r="Y137">
        <v>7.97</v>
      </c>
      <c r="Z137">
        <v>0</v>
      </c>
    </row>
    <row r="138" spans="1:26">
      <c r="A138" s="2">
        <v>43898</v>
      </c>
      <c r="B138" s="4">
        <v>0.60416666666666663</v>
      </c>
      <c r="C138" s="1" t="s">
        <v>111</v>
      </c>
      <c r="E138">
        <v>41</v>
      </c>
      <c r="F138">
        <v>0</v>
      </c>
      <c r="L138" s="1" t="s">
        <v>113</v>
      </c>
      <c r="N138" s="1" t="s">
        <v>37</v>
      </c>
      <c r="P138" s="1" t="s">
        <v>37</v>
      </c>
      <c r="R138" s="1" t="s">
        <v>37</v>
      </c>
      <c r="S138">
        <v>47.412750000000003</v>
      </c>
      <c r="T138">
        <v>8.6550799999999999</v>
      </c>
      <c r="U138" s="1" t="s">
        <v>112</v>
      </c>
      <c r="V138">
        <v>1</v>
      </c>
      <c r="W138">
        <v>6</v>
      </c>
      <c r="X138">
        <v>0</v>
      </c>
      <c r="Y138">
        <v>2.73</v>
      </c>
    </row>
    <row r="139" spans="1:26">
      <c r="A139" s="2">
        <v>43899</v>
      </c>
      <c r="B139" s="4">
        <v>0.625</v>
      </c>
      <c r="C139" s="1" t="s">
        <v>35</v>
      </c>
      <c r="E139">
        <v>14</v>
      </c>
      <c r="F139">
        <v>0</v>
      </c>
      <c r="J139">
        <v>2</v>
      </c>
      <c r="L139" s="1" t="s">
        <v>168</v>
      </c>
      <c r="N139" s="1" t="s">
        <v>37</v>
      </c>
      <c r="P139" s="1" t="s">
        <v>37</v>
      </c>
      <c r="R139" s="1" t="s">
        <v>37</v>
      </c>
      <c r="S139">
        <v>47.409660000000002</v>
      </c>
      <c r="T139">
        <v>8.1568799999999992</v>
      </c>
      <c r="U139" s="1" t="s">
        <v>36</v>
      </c>
      <c r="V139">
        <v>1</v>
      </c>
      <c r="W139">
        <v>2</v>
      </c>
      <c r="X139">
        <v>0</v>
      </c>
      <c r="Y139">
        <v>2.09</v>
      </c>
    </row>
    <row r="140" spans="1:26">
      <c r="A140" s="2">
        <v>43899</v>
      </c>
      <c r="B140" s="4">
        <v>0.125</v>
      </c>
      <c r="C140" s="1" t="s">
        <v>42</v>
      </c>
      <c r="E140">
        <v>2</v>
      </c>
      <c r="F140">
        <v>0</v>
      </c>
      <c r="L140" s="1" t="s">
        <v>169</v>
      </c>
      <c r="N140" s="1" t="s">
        <v>37</v>
      </c>
      <c r="P140" s="1" t="s">
        <v>37</v>
      </c>
      <c r="R140" s="1" t="s">
        <v>37</v>
      </c>
      <c r="S140">
        <v>47.416351999999996</v>
      </c>
      <c r="T140">
        <v>9.3679100000000002</v>
      </c>
      <c r="U140" s="1" t="s">
        <v>43</v>
      </c>
      <c r="V140">
        <v>15</v>
      </c>
      <c r="W140">
        <v>1</v>
      </c>
      <c r="X140">
        <v>0</v>
      </c>
      <c r="Y140">
        <v>3.62</v>
      </c>
    </row>
    <row r="141" spans="1:26">
      <c r="A141" s="2">
        <v>43899</v>
      </c>
      <c r="B141" s="4">
        <v>0.125</v>
      </c>
      <c r="C141" s="1" t="s">
        <v>45</v>
      </c>
      <c r="E141">
        <v>34</v>
      </c>
      <c r="F141">
        <v>0</v>
      </c>
      <c r="L141" s="1" t="s">
        <v>170</v>
      </c>
      <c r="N141" s="1" t="s">
        <v>37</v>
      </c>
      <c r="P141" s="1" t="s">
        <v>37</v>
      </c>
      <c r="R141" s="1" t="s">
        <v>37</v>
      </c>
      <c r="S141">
        <v>46.823608</v>
      </c>
      <c r="T141">
        <v>7.6366670000000001</v>
      </c>
      <c r="U141" s="1" t="s">
        <v>46</v>
      </c>
      <c r="V141">
        <v>2</v>
      </c>
      <c r="W141">
        <v>17</v>
      </c>
      <c r="X141">
        <v>0</v>
      </c>
      <c r="Y141">
        <v>3.3</v>
      </c>
    </row>
    <row r="142" spans="1:26">
      <c r="A142" s="2">
        <v>43899</v>
      </c>
      <c r="B142" s="4">
        <v>0.125</v>
      </c>
      <c r="C142" s="1" t="s">
        <v>48</v>
      </c>
      <c r="E142">
        <v>20</v>
      </c>
      <c r="F142">
        <v>0</v>
      </c>
      <c r="G142">
        <v>4</v>
      </c>
      <c r="H142">
        <v>4</v>
      </c>
      <c r="J142">
        <v>1</v>
      </c>
      <c r="K142">
        <v>1</v>
      </c>
      <c r="L142" s="1" t="s">
        <v>171</v>
      </c>
      <c r="N142" s="1" t="s">
        <v>37</v>
      </c>
      <c r="P142" s="1" t="s">
        <v>37</v>
      </c>
      <c r="R142" s="1" t="s">
        <v>37</v>
      </c>
      <c r="S142">
        <v>47.45176</v>
      </c>
      <c r="T142">
        <v>7.7024140000000001</v>
      </c>
      <c r="U142" s="1" t="s">
        <v>49</v>
      </c>
      <c r="V142">
        <v>13</v>
      </c>
      <c r="W142">
        <v>1</v>
      </c>
      <c r="X142">
        <v>0</v>
      </c>
      <c r="Y142">
        <v>6.97</v>
      </c>
      <c r="Z142">
        <v>0.34799999999999998</v>
      </c>
    </row>
    <row r="143" spans="1:26">
      <c r="A143" s="2">
        <v>43899</v>
      </c>
      <c r="B143" s="4">
        <v>0.5</v>
      </c>
      <c r="C143" s="1" t="s">
        <v>51</v>
      </c>
      <c r="D143">
        <v>235</v>
      </c>
      <c r="E143">
        <v>28</v>
      </c>
      <c r="F143">
        <v>0</v>
      </c>
      <c r="G143">
        <v>1</v>
      </c>
      <c r="L143" s="1" t="s">
        <v>172</v>
      </c>
      <c r="M143">
        <v>3</v>
      </c>
      <c r="N143" s="1" t="s">
        <v>37</v>
      </c>
      <c r="P143" s="1" t="s">
        <v>37</v>
      </c>
      <c r="R143" s="1" t="s">
        <v>37</v>
      </c>
      <c r="S143">
        <v>47.564869000000002</v>
      </c>
      <c r="T143">
        <v>7.615259</v>
      </c>
      <c r="U143" s="1" t="s">
        <v>52</v>
      </c>
      <c r="V143">
        <v>12</v>
      </c>
      <c r="W143">
        <v>4</v>
      </c>
      <c r="X143">
        <v>0</v>
      </c>
      <c r="Y143">
        <v>14.44</v>
      </c>
    </row>
    <row r="144" spans="1:26">
      <c r="A144" s="2">
        <v>43899</v>
      </c>
      <c r="B144" s="4">
        <v>0.125</v>
      </c>
      <c r="C144" s="1" t="s">
        <v>54</v>
      </c>
      <c r="D144">
        <v>24</v>
      </c>
      <c r="E144">
        <v>1</v>
      </c>
      <c r="F144">
        <v>0</v>
      </c>
      <c r="L144" s="1" t="s">
        <v>173</v>
      </c>
      <c r="N144" s="1" t="s">
        <v>37</v>
      </c>
      <c r="P144" s="1" t="s">
        <v>37</v>
      </c>
      <c r="R144" s="1" t="s">
        <v>37</v>
      </c>
      <c r="S144">
        <v>47.166666999999997</v>
      </c>
      <c r="T144">
        <v>9.509722</v>
      </c>
      <c r="U144" s="1" t="s">
        <v>55</v>
      </c>
      <c r="V144">
        <v>0</v>
      </c>
      <c r="W144">
        <v>0</v>
      </c>
      <c r="X144">
        <v>0</v>
      </c>
      <c r="Y144">
        <v>2.59</v>
      </c>
    </row>
    <row r="145" spans="1:26">
      <c r="A145" s="2">
        <v>43899</v>
      </c>
      <c r="B145" s="4">
        <v>0.125</v>
      </c>
      <c r="C145" s="1" t="s">
        <v>57</v>
      </c>
      <c r="D145">
        <v>30</v>
      </c>
      <c r="E145">
        <v>11</v>
      </c>
      <c r="F145">
        <v>0</v>
      </c>
      <c r="L145" s="1" t="s">
        <v>153</v>
      </c>
      <c r="N145" s="1" t="s">
        <v>37</v>
      </c>
      <c r="P145" s="1" t="s">
        <v>37</v>
      </c>
      <c r="R145" s="1" t="s">
        <v>37</v>
      </c>
      <c r="S145">
        <v>46.718390999999997</v>
      </c>
      <c r="T145">
        <v>7.0740080000000001</v>
      </c>
      <c r="U145" s="1" t="s">
        <v>58</v>
      </c>
      <c r="V145">
        <v>10</v>
      </c>
      <c r="W145">
        <v>3</v>
      </c>
      <c r="X145">
        <v>0</v>
      </c>
      <c r="Y145">
        <v>3.49</v>
      </c>
    </row>
    <row r="146" spans="1:26">
      <c r="A146" s="2">
        <v>43899</v>
      </c>
      <c r="B146" s="4">
        <v>0.125</v>
      </c>
      <c r="C146" s="1" t="s">
        <v>60</v>
      </c>
      <c r="D146">
        <v>1511</v>
      </c>
      <c r="E146">
        <v>47</v>
      </c>
      <c r="F146">
        <v>4</v>
      </c>
      <c r="G146">
        <v>13</v>
      </c>
      <c r="H146">
        <v>3</v>
      </c>
      <c r="I146">
        <v>1</v>
      </c>
      <c r="K146">
        <v>0</v>
      </c>
      <c r="L146" s="1" t="s">
        <v>62</v>
      </c>
      <c r="N146" s="1" t="s">
        <v>37</v>
      </c>
      <c r="P146" s="1" t="s">
        <v>37</v>
      </c>
      <c r="Q146">
        <v>0</v>
      </c>
      <c r="R146" s="1" t="s">
        <v>37</v>
      </c>
      <c r="S146">
        <v>46.220528000000002</v>
      </c>
      <c r="T146">
        <v>6.1329349999999998</v>
      </c>
      <c r="U146" s="1" t="s">
        <v>61</v>
      </c>
      <c r="V146">
        <v>25</v>
      </c>
      <c r="W146">
        <v>9</v>
      </c>
      <c r="X146">
        <v>0</v>
      </c>
      <c r="Y146">
        <v>9.49</v>
      </c>
      <c r="Z146">
        <v>0</v>
      </c>
    </row>
    <row r="147" spans="1:26">
      <c r="A147" s="2">
        <v>43899</v>
      </c>
      <c r="B147" s="4">
        <v>0.125</v>
      </c>
      <c r="C147" s="1" t="s">
        <v>69</v>
      </c>
      <c r="E147">
        <v>7</v>
      </c>
      <c r="F147">
        <v>0</v>
      </c>
      <c r="G147">
        <v>5</v>
      </c>
      <c r="L147" s="1" t="s">
        <v>280</v>
      </c>
      <c r="N147" s="1" t="s">
        <v>37</v>
      </c>
      <c r="P147" s="1" t="s">
        <v>37</v>
      </c>
      <c r="R147" s="1" t="s">
        <v>37</v>
      </c>
      <c r="S147">
        <v>47.350743999999999</v>
      </c>
      <c r="T147">
        <v>7.1561070000000004</v>
      </c>
      <c r="U147" s="1" t="s">
        <v>70</v>
      </c>
      <c r="V147">
        <v>26</v>
      </c>
      <c r="W147">
        <v>2</v>
      </c>
      <c r="X147">
        <v>0</v>
      </c>
      <c r="Y147">
        <v>9.5500000000000007</v>
      </c>
    </row>
    <row r="148" spans="1:26">
      <c r="A148" s="2">
        <v>43899</v>
      </c>
      <c r="B148" s="4">
        <v>0.125</v>
      </c>
      <c r="C148" s="1" t="s">
        <v>74</v>
      </c>
      <c r="E148">
        <v>27</v>
      </c>
      <c r="F148">
        <v>1</v>
      </c>
      <c r="G148">
        <v>4</v>
      </c>
      <c r="L148" s="1" t="s">
        <v>76</v>
      </c>
      <c r="N148" s="1" t="s">
        <v>37</v>
      </c>
      <c r="P148" s="1" t="s">
        <v>37</v>
      </c>
      <c r="R148" s="1" t="s">
        <v>37</v>
      </c>
      <c r="S148">
        <v>46.995533999999999</v>
      </c>
      <c r="T148">
        <v>6.7801260000000001</v>
      </c>
      <c r="U148" s="1" t="s">
        <v>75</v>
      </c>
      <c r="V148">
        <v>24</v>
      </c>
      <c r="W148">
        <v>3</v>
      </c>
      <c r="X148">
        <v>0</v>
      </c>
      <c r="Y148">
        <v>15.17</v>
      </c>
    </row>
    <row r="149" spans="1:26">
      <c r="A149" s="2">
        <v>43899</v>
      </c>
      <c r="B149" s="4">
        <v>0.125</v>
      </c>
      <c r="C149" s="1" t="s">
        <v>98</v>
      </c>
      <c r="E149">
        <v>68</v>
      </c>
      <c r="F149">
        <v>0</v>
      </c>
      <c r="L149" s="1" t="s">
        <v>174</v>
      </c>
      <c r="N149" s="1" t="s">
        <v>37</v>
      </c>
      <c r="P149" s="1" t="s">
        <v>37</v>
      </c>
      <c r="R149" s="1" t="s">
        <v>37</v>
      </c>
      <c r="S149">
        <v>46.295617</v>
      </c>
      <c r="T149">
        <v>8.8089239999999993</v>
      </c>
      <c r="U149" s="1" t="s">
        <v>99</v>
      </c>
      <c r="V149">
        <v>21</v>
      </c>
      <c r="W149">
        <v>10</v>
      </c>
      <c r="X149">
        <v>0</v>
      </c>
      <c r="Y149">
        <v>19.23</v>
      </c>
    </row>
    <row r="150" spans="1:26">
      <c r="A150" s="2">
        <v>43899</v>
      </c>
      <c r="B150" s="4">
        <v>0.125</v>
      </c>
      <c r="C150" s="1" t="s">
        <v>104</v>
      </c>
      <c r="E150">
        <v>51</v>
      </c>
      <c r="F150">
        <v>7</v>
      </c>
      <c r="G150">
        <v>29</v>
      </c>
      <c r="H150">
        <v>5</v>
      </c>
      <c r="K150">
        <v>1</v>
      </c>
      <c r="L150" s="1" t="s">
        <v>122</v>
      </c>
      <c r="N150" s="1" t="s">
        <v>37</v>
      </c>
      <c r="P150" s="1" t="s">
        <v>37</v>
      </c>
      <c r="R150" s="1" t="s">
        <v>37</v>
      </c>
      <c r="S150">
        <v>46.570090999999998</v>
      </c>
      <c r="T150">
        <v>6.5578090000000007</v>
      </c>
      <c r="U150" s="1" t="s">
        <v>105</v>
      </c>
      <c r="V150">
        <v>22</v>
      </c>
      <c r="W150">
        <v>11</v>
      </c>
      <c r="X150">
        <v>0</v>
      </c>
      <c r="Y150">
        <v>6.43</v>
      </c>
      <c r="Z150">
        <v>0.126</v>
      </c>
    </row>
    <row r="151" spans="1:26">
      <c r="A151" s="2">
        <v>43899</v>
      </c>
      <c r="B151" s="4">
        <v>0.125</v>
      </c>
      <c r="C151" s="1" t="s">
        <v>107</v>
      </c>
      <c r="E151">
        <v>17</v>
      </c>
      <c r="F151">
        <v>1</v>
      </c>
      <c r="G151">
        <v>16</v>
      </c>
      <c r="H151">
        <v>1</v>
      </c>
      <c r="I151">
        <v>1</v>
      </c>
      <c r="K151">
        <v>0</v>
      </c>
      <c r="L151" s="1" t="s">
        <v>412</v>
      </c>
      <c r="N151" s="1" t="s">
        <v>37</v>
      </c>
      <c r="P151" s="1" t="s">
        <v>37</v>
      </c>
      <c r="R151" s="1" t="s">
        <v>37</v>
      </c>
      <c r="S151">
        <v>46.209567</v>
      </c>
      <c r="T151">
        <v>7.6046589999999998</v>
      </c>
      <c r="U151" s="1" t="s">
        <v>108</v>
      </c>
      <c r="V151">
        <v>23</v>
      </c>
      <c r="W151">
        <v>5</v>
      </c>
      <c r="X151">
        <v>0</v>
      </c>
      <c r="Y151">
        <v>4.9800000000000004</v>
      </c>
      <c r="Z151">
        <v>0</v>
      </c>
    </row>
    <row r="152" spans="1:26">
      <c r="A152" s="2">
        <v>43899</v>
      </c>
      <c r="B152" s="4">
        <v>0.33333333333333331</v>
      </c>
      <c r="C152" s="1" t="s">
        <v>109</v>
      </c>
      <c r="E152">
        <v>10</v>
      </c>
      <c r="F152">
        <v>0</v>
      </c>
      <c r="G152">
        <v>0</v>
      </c>
      <c r="H152">
        <v>0</v>
      </c>
      <c r="J152">
        <v>0</v>
      </c>
      <c r="K152">
        <v>0</v>
      </c>
      <c r="L152" s="1" t="s">
        <v>502</v>
      </c>
      <c r="N152" s="1" t="s">
        <v>37</v>
      </c>
      <c r="P152" s="1" t="s">
        <v>37</v>
      </c>
      <c r="R152" s="1" t="s">
        <v>37</v>
      </c>
      <c r="S152">
        <v>47.157296000000002</v>
      </c>
      <c r="T152">
        <v>8.5372939999999993</v>
      </c>
      <c r="U152" s="1" t="s">
        <v>110</v>
      </c>
      <c r="V152">
        <v>9</v>
      </c>
      <c r="W152">
        <v>0</v>
      </c>
      <c r="X152">
        <v>0</v>
      </c>
      <c r="Y152">
        <v>7.97</v>
      </c>
      <c r="Z152">
        <v>0</v>
      </c>
    </row>
    <row r="153" spans="1:26">
      <c r="A153" s="2">
        <v>43899</v>
      </c>
      <c r="B153" s="4">
        <v>0.60416666666666663</v>
      </c>
      <c r="C153" s="1" t="s">
        <v>111</v>
      </c>
      <c r="E153">
        <v>50</v>
      </c>
      <c r="F153">
        <v>0</v>
      </c>
      <c r="L153" s="1" t="s">
        <v>113</v>
      </c>
      <c r="N153" s="1" t="s">
        <v>37</v>
      </c>
      <c r="P153" s="1" t="s">
        <v>37</v>
      </c>
      <c r="R153" s="1" t="s">
        <v>37</v>
      </c>
      <c r="S153">
        <v>47.412750000000003</v>
      </c>
      <c r="T153">
        <v>8.6550799999999999</v>
      </c>
      <c r="U153" s="1" t="s">
        <v>112</v>
      </c>
      <c r="V153">
        <v>1</v>
      </c>
      <c r="W153">
        <v>9</v>
      </c>
      <c r="X153">
        <v>0</v>
      </c>
      <c r="Y153">
        <v>3.32</v>
      </c>
    </row>
    <row r="154" spans="1:26">
      <c r="A154" s="2">
        <v>43900</v>
      </c>
      <c r="B154" s="4">
        <v>0.625</v>
      </c>
      <c r="C154" s="1" t="s">
        <v>35</v>
      </c>
      <c r="E154">
        <v>17</v>
      </c>
      <c r="F154">
        <v>0</v>
      </c>
      <c r="J154">
        <v>2</v>
      </c>
      <c r="L154" s="1" t="s">
        <v>175</v>
      </c>
      <c r="N154" s="1" t="s">
        <v>37</v>
      </c>
      <c r="P154" s="1" t="s">
        <v>37</v>
      </c>
      <c r="R154" s="1" t="s">
        <v>37</v>
      </c>
      <c r="S154">
        <v>47.409660000000002</v>
      </c>
      <c r="T154">
        <v>8.1568799999999992</v>
      </c>
      <c r="U154" s="1" t="s">
        <v>36</v>
      </c>
      <c r="V154">
        <v>1</v>
      </c>
      <c r="W154">
        <v>3</v>
      </c>
      <c r="X154">
        <v>0</v>
      </c>
      <c r="Y154">
        <v>2.5299999999999998</v>
      </c>
    </row>
    <row r="155" spans="1:26">
      <c r="A155" s="2">
        <v>43900</v>
      </c>
      <c r="B155" s="4">
        <v>0.125</v>
      </c>
      <c r="C155" s="1" t="s">
        <v>48</v>
      </c>
      <c r="E155">
        <v>22</v>
      </c>
      <c r="F155">
        <v>1</v>
      </c>
      <c r="G155">
        <v>5</v>
      </c>
      <c r="H155">
        <v>1</v>
      </c>
      <c r="J155">
        <v>2</v>
      </c>
      <c r="K155">
        <v>1</v>
      </c>
      <c r="L155" s="1" t="s">
        <v>176</v>
      </c>
      <c r="N155" s="1" t="s">
        <v>37</v>
      </c>
      <c r="P155" s="1" t="s">
        <v>37</v>
      </c>
      <c r="R155" s="1" t="s">
        <v>37</v>
      </c>
      <c r="S155">
        <v>47.45176</v>
      </c>
      <c r="T155">
        <v>7.7024140000000001</v>
      </c>
      <c r="U155" s="1" t="s">
        <v>49</v>
      </c>
      <c r="V155">
        <v>13</v>
      </c>
      <c r="W155">
        <v>2</v>
      </c>
      <c r="X155">
        <v>0</v>
      </c>
      <c r="Y155">
        <v>7.67</v>
      </c>
      <c r="Z155">
        <v>0.34799999999999998</v>
      </c>
    </row>
    <row r="156" spans="1:26">
      <c r="A156" s="2">
        <v>43900</v>
      </c>
      <c r="B156" s="4">
        <v>0.5</v>
      </c>
      <c r="C156" s="1" t="s">
        <v>51</v>
      </c>
      <c r="D156">
        <v>235</v>
      </c>
      <c r="E156">
        <v>33</v>
      </c>
      <c r="F156">
        <v>0</v>
      </c>
      <c r="G156">
        <v>1</v>
      </c>
      <c r="L156" s="1" t="s">
        <v>177</v>
      </c>
      <c r="M156">
        <v>3</v>
      </c>
      <c r="N156" s="1" t="s">
        <v>37</v>
      </c>
      <c r="P156" s="1" t="s">
        <v>37</v>
      </c>
      <c r="R156" s="1" t="s">
        <v>37</v>
      </c>
      <c r="S156">
        <v>47.564869000000002</v>
      </c>
      <c r="T156">
        <v>7.615259</v>
      </c>
      <c r="U156" s="1" t="s">
        <v>52</v>
      </c>
      <c r="V156">
        <v>12</v>
      </c>
      <c r="W156">
        <v>5</v>
      </c>
      <c r="X156">
        <v>0</v>
      </c>
      <c r="Y156">
        <v>17.02</v>
      </c>
    </row>
    <row r="157" spans="1:26">
      <c r="A157" s="2">
        <v>43900</v>
      </c>
      <c r="B157" s="4">
        <v>0.125</v>
      </c>
      <c r="C157" s="1" t="s">
        <v>54</v>
      </c>
      <c r="D157">
        <v>37</v>
      </c>
      <c r="E157">
        <v>1</v>
      </c>
      <c r="F157">
        <v>0</v>
      </c>
      <c r="L157" s="1" t="s">
        <v>178</v>
      </c>
      <c r="N157" s="1" t="s">
        <v>37</v>
      </c>
      <c r="P157" s="1" t="s">
        <v>37</v>
      </c>
      <c r="R157" s="1" t="s">
        <v>37</v>
      </c>
      <c r="S157">
        <v>47.166666999999997</v>
      </c>
      <c r="T157">
        <v>9.509722</v>
      </c>
      <c r="U157" s="1" t="s">
        <v>55</v>
      </c>
      <c r="V157">
        <v>0</v>
      </c>
      <c r="W157">
        <v>0</v>
      </c>
      <c r="X157">
        <v>0</v>
      </c>
      <c r="Y157">
        <v>2.59</v>
      </c>
    </row>
    <row r="158" spans="1:26">
      <c r="A158" s="2">
        <v>43900</v>
      </c>
      <c r="B158" s="4">
        <v>0.125</v>
      </c>
      <c r="C158" s="1" t="s">
        <v>60</v>
      </c>
      <c r="D158">
        <v>1721</v>
      </c>
      <c r="E158">
        <v>73</v>
      </c>
      <c r="F158">
        <v>5</v>
      </c>
      <c r="G158">
        <v>18</v>
      </c>
      <c r="H158">
        <v>4</v>
      </c>
      <c r="I158">
        <v>1</v>
      </c>
      <c r="K158">
        <v>1</v>
      </c>
      <c r="L158" s="1" t="s">
        <v>62</v>
      </c>
      <c r="N158" s="1" t="s">
        <v>37</v>
      </c>
      <c r="P158" s="1" t="s">
        <v>37</v>
      </c>
      <c r="Q158">
        <v>0</v>
      </c>
      <c r="R158" s="1" t="s">
        <v>37</v>
      </c>
      <c r="S158">
        <v>46.220528000000002</v>
      </c>
      <c r="T158">
        <v>6.1329349999999998</v>
      </c>
      <c r="U158" s="1" t="s">
        <v>61</v>
      </c>
      <c r="V158">
        <v>25</v>
      </c>
      <c r="W158">
        <v>26</v>
      </c>
      <c r="X158">
        <v>1</v>
      </c>
      <c r="Y158">
        <v>14.74</v>
      </c>
      <c r="Z158">
        <v>0.20200000000000001</v>
      </c>
    </row>
    <row r="159" spans="1:26">
      <c r="A159" s="2">
        <v>43900</v>
      </c>
      <c r="B159" s="4">
        <v>0.125</v>
      </c>
      <c r="C159" s="1" t="s">
        <v>69</v>
      </c>
      <c r="E159">
        <v>7</v>
      </c>
      <c r="F159">
        <v>0</v>
      </c>
      <c r="G159">
        <v>5</v>
      </c>
      <c r="L159" s="1" t="s">
        <v>280</v>
      </c>
      <c r="N159" s="1" t="s">
        <v>37</v>
      </c>
      <c r="P159" s="1" t="s">
        <v>37</v>
      </c>
      <c r="R159" s="1" t="s">
        <v>37</v>
      </c>
      <c r="S159">
        <v>47.350743999999999</v>
      </c>
      <c r="T159">
        <v>7.1561070000000004</v>
      </c>
      <c r="U159" s="1" t="s">
        <v>70</v>
      </c>
      <c r="V159">
        <v>26</v>
      </c>
      <c r="W159">
        <v>0</v>
      </c>
      <c r="X159">
        <v>0</v>
      </c>
      <c r="Y159">
        <v>9.5500000000000007</v>
      </c>
    </row>
    <row r="160" spans="1:26">
      <c r="A160" s="2">
        <v>43900</v>
      </c>
      <c r="B160" s="4">
        <v>0.125</v>
      </c>
      <c r="C160" s="1" t="s">
        <v>74</v>
      </c>
      <c r="E160">
        <v>31</v>
      </c>
      <c r="F160">
        <v>0</v>
      </c>
      <c r="G160">
        <v>4</v>
      </c>
      <c r="H160">
        <v>1</v>
      </c>
      <c r="L160" s="1" t="s">
        <v>76</v>
      </c>
      <c r="N160" s="1" t="s">
        <v>37</v>
      </c>
      <c r="P160" s="1" t="s">
        <v>37</v>
      </c>
      <c r="R160" s="1" t="s">
        <v>37</v>
      </c>
      <c r="S160">
        <v>46.995533999999999</v>
      </c>
      <c r="T160">
        <v>6.7801260000000001</v>
      </c>
      <c r="U160" s="1" t="s">
        <v>75</v>
      </c>
      <c r="V160">
        <v>24</v>
      </c>
      <c r="W160">
        <v>4</v>
      </c>
      <c r="X160">
        <v>0</v>
      </c>
      <c r="Y160">
        <v>17.420000000000002</v>
      </c>
    </row>
    <row r="161" spans="1:26">
      <c r="A161" s="2">
        <v>43900</v>
      </c>
      <c r="B161" s="4">
        <v>0.125</v>
      </c>
      <c r="C161" s="1" t="s">
        <v>98</v>
      </c>
      <c r="E161">
        <v>68</v>
      </c>
      <c r="F161">
        <v>0</v>
      </c>
      <c r="K161">
        <v>1</v>
      </c>
      <c r="L161" s="1" t="s">
        <v>179</v>
      </c>
      <c r="N161" s="1" t="s">
        <v>37</v>
      </c>
      <c r="P161" s="1" t="s">
        <v>37</v>
      </c>
      <c r="R161" s="1" t="s">
        <v>37</v>
      </c>
      <c r="S161">
        <v>46.295617</v>
      </c>
      <c r="T161">
        <v>8.8089239999999993</v>
      </c>
      <c r="U161" s="1" t="s">
        <v>99</v>
      </c>
      <c r="V161">
        <v>21</v>
      </c>
      <c r="W161">
        <v>0</v>
      </c>
      <c r="X161">
        <v>0</v>
      </c>
      <c r="Y161">
        <v>19.23</v>
      </c>
      <c r="Z161">
        <v>0.28299999999999997</v>
      </c>
    </row>
    <row r="162" spans="1:26">
      <c r="A162" s="2">
        <v>43900</v>
      </c>
      <c r="B162" s="4">
        <v>0.125</v>
      </c>
      <c r="C162" s="1" t="s">
        <v>104</v>
      </c>
      <c r="E162">
        <v>72</v>
      </c>
      <c r="F162">
        <v>19</v>
      </c>
      <c r="G162">
        <v>48</v>
      </c>
      <c r="H162">
        <v>8</v>
      </c>
      <c r="J162">
        <v>5</v>
      </c>
      <c r="K162">
        <v>1</v>
      </c>
      <c r="L162" s="1" t="s">
        <v>106</v>
      </c>
      <c r="N162" s="1" t="s">
        <v>37</v>
      </c>
      <c r="P162" s="1" t="s">
        <v>37</v>
      </c>
      <c r="R162" s="1" t="s">
        <v>37</v>
      </c>
      <c r="S162">
        <v>46.570090999999998</v>
      </c>
      <c r="T162">
        <v>6.5578090000000007</v>
      </c>
      <c r="U162" s="1" t="s">
        <v>105</v>
      </c>
      <c r="V162">
        <v>22</v>
      </c>
      <c r="W162">
        <v>21</v>
      </c>
      <c r="X162">
        <v>0</v>
      </c>
      <c r="Y162">
        <v>9.08</v>
      </c>
      <c r="Z162">
        <v>0.126</v>
      </c>
    </row>
    <row r="163" spans="1:26">
      <c r="A163" s="2">
        <v>43900</v>
      </c>
      <c r="B163" s="4">
        <v>0.125</v>
      </c>
      <c r="C163" s="1" t="s">
        <v>107</v>
      </c>
      <c r="E163">
        <v>22</v>
      </c>
      <c r="F163">
        <v>3</v>
      </c>
      <c r="G163">
        <v>19</v>
      </c>
      <c r="H163">
        <v>1</v>
      </c>
      <c r="I163">
        <v>1</v>
      </c>
      <c r="J163">
        <v>3</v>
      </c>
      <c r="K163">
        <v>0</v>
      </c>
      <c r="L163" s="1" t="s">
        <v>412</v>
      </c>
      <c r="N163" s="1" t="s">
        <v>37</v>
      </c>
      <c r="P163" s="1" t="s">
        <v>37</v>
      </c>
      <c r="R163" s="1" t="s">
        <v>37</v>
      </c>
      <c r="S163">
        <v>46.209567</v>
      </c>
      <c r="T163">
        <v>7.6046589999999998</v>
      </c>
      <c r="U163" s="1" t="s">
        <v>108</v>
      </c>
      <c r="V163">
        <v>23</v>
      </c>
      <c r="W163">
        <v>5</v>
      </c>
      <c r="X163">
        <v>0</v>
      </c>
      <c r="Y163">
        <v>6.44</v>
      </c>
      <c r="Z163">
        <v>0</v>
      </c>
    </row>
    <row r="164" spans="1:26">
      <c r="A164" s="2">
        <v>43900</v>
      </c>
      <c r="B164" s="4">
        <v>0.33333333333333331</v>
      </c>
      <c r="C164" s="1" t="s">
        <v>109</v>
      </c>
      <c r="E164">
        <v>11</v>
      </c>
      <c r="F164">
        <v>0</v>
      </c>
      <c r="G164">
        <v>0</v>
      </c>
      <c r="H164">
        <v>0</v>
      </c>
      <c r="J164">
        <v>0</v>
      </c>
      <c r="K164">
        <v>0</v>
      </c>
      <c r="L164" s="1" t="s">
        <v>502</v>
      </c>
      <c r="N164" s="1" t="s">
        <v>37</v>
      </c>
      <c r="P164" s="1" t="s">
        <v>37</v>
      </c>
      <c r="R164" s="1" t="s">
        <v>37</v>
      </c>
      <c r="S164">
        <v>47.157296000000002</v>
      </c>
      <c r="T164">
        <v>8.5372939999999993</v>
      </c>
      <c r="U164" s="1" t="s">
        <v>110</v>
      </c>
      <c r="V164">
        <v>9</v>
      </c>
      <c r="W164">
        <v>1</v>
      </c>
      <c r="X164">
        <v>0</v>
      </c>
      <c r="Y164">
        <v>8.77</v>
      </c>
      <c r="Z164">
        <v>0</v>
      </c>
    </row>
    <row r="165" spans="1:26">
      <c r="A165" s="2">
        <v>43900</v>
      </c>
      <c r="B165" s="4">
        <v>0.60416666666666663</v>
      </c>
      <c r="C165" s="1" t="s">
        <v>111</v>
      </c>
      <c r="E165">
        <v>63</v>
      </c>
      <c r="F165">
        <v>0</v>
      </c>
      <c r="L165" s="1" t="s">
        <v>113</v>
      </c>
      <c r="N165" s="1" t="s">
        <v>37</v>
      </c>
      <c r="P165" s="1" t="s">
        <v>37</v>
      </c>
      <c r="R165" s="1" t="s">
        <v>37</v>
      </c>
      <c r="S165">
        <v>47.412750000000003</v>
      </c>
      <c r="T165">
        <v>8.6550799999999999</v>
      </c>
      <c r="U165" s="1" t="s">
        <v>112</v>
      </c>
      <c r="V165">
        <v>1</v>
      </c>
      <c r="W165">
        <v>13</v>
      </c>
      <c r="X165">
        <v>0</v>
      </c>
      <c r="Y165">
        <v>4.1900000000000004</v>
      </c>
    </row>
    <row r="166" spans="1:26">
      <c r="A166" s="2">
        <v>43901</v>
      </c>
      <c r="B166" s="4">
        <v>0.625</v>
      </c>
      <c r="C166" s="1" t="s">
        <v>35</v>
      </c>
      <c r="E166">
        <v>18</v>
      </c>
      <c r="F166">
        <v>0</v>
      </c>
      <c r="J166">
        <v>2</v>
      </c>
      <c r="L166" s="1" t="s">
        <v>180</v>
      </c>
      <c r="N166" s="1" t="s">
        <v>37</v>
      </c>
      <c r="P166" s="1" t="s">
        <v>37</v>
      </c>
      <c r="R166" s="1" t="s">
        <v>37</v>
      </c>
      <c r="S166">
        <v>47.409660000000002</v>
      </c>
      <c r="T166">
        <v>8.1568799999999992</v>
      </c>
      <c r="U166" s="1" t="s">
        <v>36</v>
      </c>
      <c r="V166">
        <v>1</v>
      </c>
      <c r="W166">
        <v>1</v>
      </c>
      <c r="X166">
        <v>0</v>
      </c>
      <c r="Y166">
        <v>2.68</v>
      </c>
    </row>
    <row r="167" spans="1:26">
      <c r="A167" s="2">
        <v>43901</v>
      </c>
      <c r="B167" s="4">
        <v>0.125</v>
      </c>
      <c r="C167" s="1" t="s">
        <v>48</v>
      </c>
      <c r="E167">
        <v>26</v>
      </c>
      <c r="F167">
        <v>-2</v>
      </c>
      <c r="G167">
        <v>3</v>
      </c>
      <c r="H167">
        <v>1</v>
      </c>
      <c r="J167">
        <v>2</v>
      </c>
      <c r="K167">
        <v>2</v>
      </c>
      <c r="L167" s="1" t="s">
        <v>181</v>
      </c>
      <c r="N167" s="1" t="s">
        <v>37</v>
      </c>
      <c r="P167" s="1" t="s">
        <v>37</v>
      </c>
      <c r="R167" s="1" t="s">
        <v>37</v>
      </c>
      <c r="S167">
        <v>47.45176</v>
      </c>
      <c r="T167">
        <v>7.7024140000000001</v>
      </c>
      <c r="U167" s="1" t="s">
        <v>49</v>
      </c>
      <c r="V167">
        <v>13</v>
      </c>
      <c r="W167">
        <v>4</v>
      </c>
      <c r="X167">
        <v>1</v>
      </c>
      <c r="Y167">
        <v>9.06</v>
      </c>
      <c r="Z167">
        <v>0.69699999999999995</v>
      </c>
    </row>
    <row r="168" spans="1:26">
      <c r="A168" s="2">
        <v>43901</v>
      </c>
      <c r="B168" s="4">
        <v>0.5</v>
      </c>
      <c r="C168" s="1" t="s">
        <v>51</v>
      </c>
      <c r="D168">
        <v>235</v>
      </c>
      <c r="E168">
        <v>49</v>
      </c>
      <c r="F168">
        <v>12</v>
      </c>
      <c r="G168">
        <v>13</v>
      </c>
      <c r="H168">
        <v>2</v>
      </c>
      <c r="J168">
        <v>4</v>
      </c>
      <c r="L168" s="1" t="s">
        <v>182</v>
      </c>
      <c r="M168">
        <v>3</v>
      </c>
      <c r="N168" s="1" t="s">
        <v>37</v>
      </c>
      <c r="P168" s="1" t="s">
        <v>37</v>
      </c>
      <c r="R168" s="1" t="s">
        <v>37</v>
      </c>
      <c r="S168">
        <v>47.564869000000002</v>
      </c>
      <c r="T168">
        <v>7.615259</v>
      </c>
      <c r="U168" s="1" t="s">
        <v>52</v>
      </c>
      <c r="V168">
        <v>12</v>
      </c>
      <c r="W168">
        <v>16</v>
      </c>
      <c r="X168">
        <v>0</v>
      </c>
      <c r="Y168">
        <v>25.27</v>
      </c>
    </row>
    <row r="169" spans="1:26">
      <c r="A169" s="2">
        <v>43901</v>
      </c>
      <c r="B169" s="4">
        <v>0.125</v>
      </c>
      <c r="C169" s="1" t="s">
        <v>54</v>
      </c>
      <c r="D169">
        <v>50</v>
      </c>
      <c r="E169">
        <v>3</v>
      </c>
      <c r="F169">
        <v>0</v>
      </c>
      <c r="J169">
        <v>1</v>
      </c>
      <c r="L169" s="1" t="s">
        <v>183</v>
      </c>
      <c r="N169" s="1" t="s">
        <v>37</v>
      </c>
      <c r="P169" s="1" t="s">
        <v>37</v>
      </c>
      <c r="R169" s="1" t="s">
        <v>37</v>
      </c>
      <c r="S169">
        <v>47.166666999999997</v>
      </c>
      <c r="T169">
        <v>9.509722</v>
      </c>
      <c r="U169" s="1" t="s">
        <v>55</v>
      </c>
      <c r="V169">
        <v>0</v>
      </c>
      <c r="W169">
        <v>2</v>
      </c>
      <c r="X169">
        <v>0</v>
      </c>
      <c r="Y169">
        <v>7.77</v>
      </c>
    </row>
    <row r="170" spans="1:26">
      <c r="A170" s="2">
        <v>43901</v>
      </c>
      <c r="B170" s="4">
        <v>0.125</v>
      </c>
      <c r="C170" s="1" t="s">
        <v>57</v>
      </c>
      <c r="D170">
        <v>30</v>
      </c>
      <c r="E170">
        <v>16</v>
      </c>
      <c r="F170">
        <v>0</v>
      </c>
      <c r="L170" s="1" t="s">
        <v>59</v>
      </c>
      <c r="N170" s="1" t="s">
        <v>37</v>
      </c>
      <c r="P170" s="1" t="s">
        <v>37</v>
      </c>
      <c r="R170" s="1" t="s">
        <v>37</v>
      </c>
      <c r="S170">
        <v>46.718390999999997</v>
      </c>
      <c r="T170">
        <v>7.0740080000000001</v>
      </c>
      <c r="U170" s="1" t="s">
        <v>58</v>
      </c>
      <c r="V170">
        <v>10</v>
      </c>
      <c r="W170">
        <v>5</v>
      </c>
      <c r="X170">
        <v>0</v>
      </c>
      <c r="Y170">
        <v>5.08</v>
      </c>
    </row>
    <row r="171" spans="1:26">
      <c r="A171" s="2">
        <v>43901</v>
      </c>
      <c r="B171" s="4">
        <v>0.125</v>
      </c>
      <c r="C171" s="1" t="s">
        <v>60</v>
      </c>
      <c r="D171">
        <v>1972</v>
      </c>
      <c r="E171">
        <v>84</v>
      </c>
      <c r="F171">
        <v>2</v>
      </c>
      <c r="G171">
        <v>20</v>
      </c>
      <c r="H171">
        <v>6</v>
      </c>
      <c r="I171">
        <v>4</v>
      </c>
      <c r="K171">
        <v>1</v>
      </c>
      <c r="L171" s="1" t="s">
        <v>62</v>
      </c>
      <c r="N171" s="1" t="s">
        <v>37</v>
      </c>
      <c r="P171" s="1" t="s">
        <v>37</v>
      </c>
      <c r="Q171">
        <v>0</v>
      </c>
      <c r="R171" s="1" t="s">
        <v>37</v>
      </c>
      <c r="S171">
        <v>46.220528000000002</v>
      </c>
      <c r="T171">
        <v>6.1329349999999998</v>
      </c>
      <c r="U171" s="1" t="s">
        <v>61</v>
      </c>
      <c r="V171">
        <v>25</v>
      </c>
      <c r="W171">
        <v>11</v>
      </c>
      <c r="X171">
        <v>0</v>
      </c>
      <c r="Y171">
        <v>16.96</v>
      </c>
      <c r="Z171">
        <v>0.20200000000000001</v>
      </c>
    </row>
    <row r="172" spans="1:26">
      <c r="A172" s="2">
        <v>43901</v>
      </c>
      <c r="B172" s="4">
        <v>0.125</v>
      </c>
      <c r="C172" s="1" t="s">
        <v>69</v>
      </c>
      <c r="E172">
        <v>7</v>
      </c>
      <c r="F172">
        <v>1</v>
      </c>
      <c r="G172">
        <v>6</v>
      </c>
      <c r="L172" s="1" t="s">
        <v>280</v>
      </c>
      <c r="N172" s="1" t="s">
        <v>37</v>
      </c>
      <c r="P172" s="1" t="s">
        <v>37</v>
      </c>
      <c r="R172" s="1" t="s">
        <v>37</v>
      </c>
      <c r="S172">
        <v>47.350743999999999</v>
      </c>
      <c r="T172">
        <v>7.1561070000000004</v>
      </c>
      <c r="U172" s="1" t="s">
        <v>70</v>
      </c>
      <c r="V172">
        <v>26</v>
      </c>
      <c r="W172">
        <v>0</v>
      </c>
      <c r="X172">
        <v>0</v>
      </c>
      <c r="Y172">
        <v>9.5500000000000007</v>
      </c>
    </row>
    <row r="173" spans="1:26">
      <c r="A173" s="2">
        <v>43901</v>
      </c>
      <c r="B173" s="4">
        <v>0.125</v>
      </c>
      <c r="C173" s="1" t="s">
        <v>74</v>
      </c>
      <c r="E173">
        <v>37</v>
      </c>
      <c r="F173">
        <v>2</v>
      </c>
      <c r="G173">
        <v>6</v>
      </c>
      <c r="H173">
        <v>1</v>
      </c>
      <c r="L173" s="1" t="s">
        <v>76</v>
      </c>
      <c r="N173" s="1" t="s">
        <v>37</v>
      </c>
      <c r="P173" s="1" t="s">
        <v>37</v>
      </c>
      <c r="R173" s="1" t="s">
        <v>37</v>
      </c>
      <c r="S173">
        <v>46.995533999999999</v>
      </c>
      <c r="T173">
        <v>6.7801260000000001</v>
      </c>
      <c r="U173" s="1" t="s">
        <v>75</v>
      </c>
      <c r="V173">
        <v>24</v>
      </c>
      <c r="W173">
        <v>6</v>
      </c>
      <c r="X173">
        <v>0</v>
      </c>
      <c r="Y173">
        <v>20.79</v>
      </c>
    </row>
    <row r="174" spans="1:26">
      <c r="A174" s="2">
        <v>43901</v>
      </c>
      <c r="B174" s="4">
        <v>0.125</v>
      </c>
      <c r="C174" s="1" t="s">
        <v>77</v>
      </c>
      <c r="E174">
        <v>4</v>
      </c>
      <c r="F174">
        <v>0</v>
      </c>
      <c r="L174" s="1" t="s">
        <v>184</v>
      </c>
      <c r="N174" s="1" t="s">
        <v>37</v>
      </c>
      <c r="P174" s="1" t="s">
        <v>37</v>
      </c>
      <c r="R174" s="1" t="s">
        <v>37</v>
      </c>
      <c r="S174">
        <v>46.926755</v>
      </c>
      <c r="T174">
        <v>8.4053020000000007</v>
      </c>
      <c r="U174" s="1" t="s">
        <v>78</v>
      </c>
      <c r="V174">
        <v>7</v>
      </c>
      <c r="W174">
        <v>0</v>
      </c>
      <c r="X174">
        <v>0</v>
      </c>
      <c r="Y174">
        <v>9.3000000000000007</v>
      </c>
    </row>
    <row r="175" spans="1:26">
      <c r="A175" s="2">
        <v>43901</v>
      </c>
      <c r="B175" s="4">
        <v>0.125</v>
      </c>
      <c r="C175" s="1" t="s">
        <v>86</v>
      </c>
      <c r="E175">
        <v>1</v>
      </c>
      <c r="F175">
        <v>0</v>
      </c>
      <c r="K175">
        <v>0</v>
      </c>
      <c r="L175" s="1" t="s">
        <v>88</v>
      </c>
      <c r="N175" s="1" t="s">
        <v>37</v>
      </c>
      <c r="P175" s="1" t="s">
        <v>37</v>
      </c>
      <c r="R175" s="1" t="s">
        <v>37</v>
      </c>
      <c r="S175">
        <v>47.713569999999997</v>
      </c>
      <c r="T175">
        <v>8.5916700000000006</v>
      </c>
      <c r="U175" s="1" t="s">
        <v>87</v>
      </c>
      <c r="V175">
        <v>14</v>
      </c>
      <c r="W175">
        <v>0</v>
      </c>
      <c r="X175">
        <v>0</v>
      </c>
      <c r="Y175">
        <v>1.23</v>
      </c>
      <c r="Z175">
        <v>0</v>
      </c>
    </row>
    <row r="176" spans="1:26">
      <c r="A176" s="2">
        <v>43901</v>
      </c>
      <c r="B176" s="4">
        <v>0.125</v>
      </c>
      <c r="C176" s="1" t="s">
        <v>98</v>
      </c>
      <c r="E176">
        <v>68</v>
      </c>
      <c r="F176">
        <v>0</v>
      </c>
      <c r="K176">
        <v>1</v>
      </c>
      <c r="L176" s="1" t="s">
        <v>179</v>
      </c>
      <c r="N176" s="1" t="s">
        <v>37</v>
      </c>
      <c r="P176" s="1" t="s">
        <v>37</v>
      </c>
      <c r="R176" s="1" t="s">
        <v>37</v>
      </c>
      <c r="S176">
        <v>46.295617</v>
      </c>
      <c r="T176">
        <v>8.8089239999999993</v>
      </c>
      <c r="U176" s="1" t="s">
        <v>99</v>
      </c>
      <c r="V176">
        <v>21</v>
      </c>
      <c r="W176">
        <v>0</v>
      </c>
      <c r="X176">
        <v>0</v>
      </c>
      <c r="Y176">
        <v>19.23</v>
      </c>
      <c r="Z176">
        <v>0.28299999999999997</v>
      </c>
    </row>
    <row r="177" spans="1:26">
      <c r="A177" s="2">
        <v>43901</v>
      </c>
      <c r="B177" s="4">
        <v>0.125</v>
      </c>
      <c r="C177" s="1" t="s">
        <v>104</v>
      </c>
      <c r="E177">
        <v>115</v>
      </c>
      <c r="F177">
        <v>4</v>
      </c>
      <c r="G177">
        <v>52</v>
      </c>
      <c r="H177">
        <v>7</v>
      </c>
      <c r="J177">
        <v>5</v>
      </c>
      <c r="K177">
        <v>1</v>
      </c>
      <c r="L177" s="1" t="s">
        <v>106</v>
      </c>
      <c r="N177" s="1" t="s">
        <v>37</v>
      </c>
      <c r="P177" s="1" t="s">
        <v>37</v>
      </c>
      <c r="R177" s="1" t="s">
        <v>37</v>
      </c>
      <c r="S177">
        <v>46.570090999999998</v>
      </c>
      <c r="T177">
        <v>6.5578090000000007</v>
      </c>
      <c r="U177" s="1" t="s">
        <v>105</v>
      </c>
      <c r="V177">
        <v>22</v>
      </c>
      <c r="W177">
        <v>43</v>
      </c>
      <c r="X177">
        <v>0</v>
      </c>
      <c r="Y177">
        <v>14.5</v>
      </c>
      <c r="Z177">
        <v>0.126</v>
      </c>
    </row>
    <row r="178" spans="1:26">
      <c r="A178" s="2">
        <v>43901</v>
      </c>
      <c r="B178" s="4">
        <v>0.125</v>
      </c>
      <c r="C178" s="1" t="s">
        <v>107</v>
      </c>
      <c r="E178">
        <v>30</v>
      </c>
      <c r="F178">
        <v>1</v>
      </c>
      <c r="G178">
        <v>20</v>
      </c>
      <c r="H178">
        <v>1</v>
      </c>
      <c r="I178">
        <v>1</v>
      </c>
      <c r="J178">
        <v>3</v>
      </c>
      <c r="K178">
        <v>0</v>
      </c>
      <c r="L178" s="1" t="s">
        <v>412</v>
      </c>
      <c r="N178" s="1" t="s">
        <v>37</v>
      </c>
      <c r="P178" s="1" t="s">
        <v>37</v>
      </c>
      <c r="R178" s="1" t="s">
        <v>37</v>
      </c>
      <c r="S178">
        <v>46.209567</v>
      </c>
      <c r="T178">
        <v>7.6046589999999998</v>
      </c>
      <c r="U178" s="1" t="s">
        <v>108</v>
      </c>
      <c r="V178">
        <v>23</v>
      </c>
      <c r="W178">
        <v>8</v>
      </c>
      <c r="X178">
        <v>0</v>
      </c>
      <c r="Y178">
        <v>8.7799999999999994</v>
      </c>
      <c r="Z178">
        <v>0</v>
      </c>
    </row>
    <row r="179" spans="1:26">
      <c r="A179" s="2">
        <v>43901</v>
      </c>
      <c r="B179" s="4">
        <v>0.33333333333333331</v>
      </c>
      <c r="C179" s="1" t="s">
        <v>109</v>
      </c>
      <c r="E179">
        <v>11</v>
      </c>
      <c r="F179">
        <v>0</v>
      </c>
      <c r="G179">
        <v>0</v>
      </c>
      <c r="H179">
        <v>0</v>
      </c>
      <c r="J179">
        <v>0</v>
      </c>
      <c r="K179">
        <v>0</v>
      </c>
      <c r="L179" s="1" t="s">
        <v>502</v>
      </c>
      <c r="N179" s="1" t="s">
        <v>37</v>
      </c>
      <c r="P179" s="1" t="s">
        <v>37</v>
      </c>
      <c r="R179" s="1" t="s">
        <v>37</v>
      </c>
      <c r="S179">
        <v>47.157296000000002</v>
      </c>
      <c r="T179">
        <v>8.5372939999999993</v>
      </c>
      <c r="U179" s="1" t="s">
        <v>110</v>
      </c>
      <c r="V179">
        <v>9</v>
      </c>
      <c r="W179">
        <v>0</v>
      </c>
      <c r="X179">
        <v>0</v>
      </c>
      <c r="Y179">
        <v>8.77</v>
      </c>
      <c r="Z179">
        <v>0</v>
      </c>
    </row>
    <row r="180" spans="1:26">
      <c r="A180" s="2">
        <v>43901</v>
      </c>
      <c r="B180" s="4">
        <v>0.60416666666666663</v>
      </c>
      <c r="C180" s="1" t="s">
        <v>111</v>
      </c>
      <c r="E180">
        <v>102</v>
      </c>
      <c r="F180">
        <v>0</v>
      </c>
      <c r="L180" s="1" t="s">
        <v>113</v>
      </c>
      <c r="N180" s="1" t="s">
        <v>37</v>
      </c>
      <c r="P180" s="1" t="s">
        <v>37</v>
      </c>
      <c r="R180" s="1" t="s">
        <v>37</v>
      </c>
      <c r="S180">
        <v>47.412750000000003</v>
      </c>
      <c r="T180">
        <v>8.6550799999999999</v>
      </c>
      <c r="U180" s="1" t="s">
        <v>112</v>
      </c>
      <c r="V180">
        <v>1</v>
      </c>
      <c r="W180">
        <v>39</v>
      </c>
      <c r="X180">
        <v>0</v>
      </c>
      <c r="Y180">
        <v>6.78</v>
      </c>
    </row>
    <row r="181" spans="1:26">
      <c r="A181" s="2">
        <v>43902</v>
      </c>
      <c r="B181" s="4">
        <v>0.625</v>
      </c>
      <c r="C181" s="1" t="s">
        <v>35</v>
      </c>
      <c r="E181">
        <v>27</v>
      </c>
      <c r="F181">
        <v>0</v>
      </c>
      <c r="G181">
        <v>1</v>
      </c>
      <c r="J181">
        <v>3</v>
      </c>
      <c r="L181" s="1" t="s">
        <v>185</v>
      </c>
      <c r="N181" s="1" t="s">
        <v>37</v>
      </c>
      <c r="P181" s="1" t="s">
        <v>37</v>
      </c>
      <c r="R181" s="1" t="s">
        <v>37</v>
      </c>
      <c r="S181">
        <v>47.409660000000002</v>
      </c>
      <c r="T181">
        <v>8.1568799999999992</v>
      </c>
      <c r="U181" s="1" t="s">
        <v>36</v>
      </c>
      <c r="V181">
        <v>1</v>
      </c>
      <c r="W181">
        <v>9</v>
      </c>
      <c r="X181">
        <v>0</v>
      </c>
      <c r="Y181">
        <v>4.0199999999999996</v>
      </c>
    </row>
    <row r="182" spans="1:26">
      <c r="A182" s="2">
        <v>43902</v>
      </c>
      <c r="B182" s="4">
        <v>0.125</v>
      </c>
      <c r="C182" s="1" t="s">
        <v>42</v>
      </c>
      <c r="E182">
        <v>5</v>
      </c>
      <c r="F182">
        <v>0</v>
      </c>
      <c r="L182" s="1" t="s">
        <v>186</v>
      </c>
      <c r="N182" s="1" t="s">
        <v>37</v>
      </c>
      <c r="P182" s="1" t="s">
        <v>37</v>
      </c>
      <c r="R182" s="1" t="s">
        <v>37</v>
      </c>
      <c r="S182">
        <v>47.416351999999996</v>
      </c>
      <c r="T182">
        <v>9.3679100000000002</v>
      </c>
      <c r="U182" s="1" t="s">
        <v>43</v>
      </c>
      <c r="V182">
        <v>15</v>
      </c>
      <c r="W182">
        <v>3</v>
      </c>
      <c r="X182">
        <v>0</v>
      </c>
      <c r="Y182">
        <v>9.06</v>
      </c>
    </row>
    <row r="183" spans="1:26">
      <c r="A183" s="2">
        <v>43902</v>
      </c>
      <c r="B183" s="4">
        <v>0.125</v>
      </c>
      <c r="C183" s="1" t="s">
        <v>48</v>
      </c>
      <c r="E183">
        <v>26</v>
      </c>
      <c r="F183">
        <v>6</v>
      </c>
      <c r="G183">
        <v>9</v>
      </c>
      <c r="H183">
        <v>3</v>
      </c>
      <c r="J183">
        <v>2</v>
      </c>
      <c r="K183">
        <v>2</v>
      </c>
      <c r="L183" s="1" t="s">
        <v>181</v>
      </c>
      <c r="N183" s="1" t="s">
        <v>37</v>
      </c>
      <c r="P183" s="1" t="s">
        <v>37</v>
      </c>
      <c r="R183" s="1" t="s">
        <v>37</v>
      </c>
      <c r="S183">
        <v>47.45176</v>
      </c>
      <c r="T183">
        <v>7.7024140000000001</v>
      </c>
      <c r="U183" s="1" t="s">
        <v>49</v>
      </c>
      <c r="V183">
        <v>13</v>
      </c>
      <c r="W183">
        <v>0</v>
      </c>
      <c r="X183">
        <v>0</v>
      </c>
      <c r="Y183">
        <v>9.06</v>
      </c>
      <c r="Z183">
        <v>0.69699999999999995</v>
      </c>
    </row>
    <row r="184" spans="1:26">
      <c r="A184" s="2">
        <v>43902</v>
      </c>
      <c r="B184" s="4">
        <v>0.5</v>
      </c>
      <c r="C184" s="1" t="s">
        <v>51</v>
      </c>
      <c r="D184">
        <v>235</v>
      </c>
      <c r="E184">
        <v>73</v>
      </c>
      <c r="F184">
        <v>0</v>
      </c>
      <c r="G184">
        <v>13</v>
      </c>
      <c r="H184">
        <v>2</v>
      </c>
      <c r="J184">
        <v>4</v>
      </c>
      <c r="K184">
        <v>1</v>
      </c>
      <c r="L184" s="1" t="s">
        <v>187</v>
      </c>
      <c r="M184">
        <v>3</v>
      </c>
      <c r="N184" s="1" t="s">
        <v>37</v>
      </c>
      <c r="P184" s="1" t="s">
        <v>37</v>
      </c>
      <c r="R184" s="1" t="s">
        <v>37</v>
      </c>
      <c r="S184">
        <v>47.564869000000002</v>
      </c>
      <c r="T184">
        <v>7.615259</v>
      </c>
      <c r="U184" s="1" t="s">
        <v>52</v>
      </c>
      <c r="V184">
        <v>12</v>
      </c>
      <c r="W184">
        <v>24</v>
      </c>
      <c r="X184">
        <v>0</v>
      </c>
      <c r="Y184">
        <v>37.65</v>
      </c>
      <c r="Z184">
        <v>0.51600000000000001</v>
      </c>
    </row>
    <row r="185" spans="1:26">
      <c r="A185" s="2">
        <v>43902</v>
      </c>
      <c r="B185" s="4">
        <v>0.125</v>
      </c>
      <c r="C185" s="1" t="s">
        <v>54</v>
      </c>
      <c r="D185">
        <v>57</v>
      </c>
      <c r="E185">
        <v>3</v>
      </c>
      <c r="F185">
        <v>0</v>
      </c>
      <c r="J185">
        <v>1</v>
      </c>
      <c r="L185" s="1" t="s">
        <v>188</v>
      </c>
      <c r="N185" s="1" t="s">
        <v>37</v>
      </c>
      <c r="P185" s="1" t="s">
        <v>37</v>
      </c>
      <c r="R185" s="1" t="s">
        <v>37</v>
      </c>
      <c r="S185">
        <v>47.166666999999997</v>
      </c>
      <c r="T185">
        <v>9.509722</v>
      </c>
      <c r="U185" s="1" t="s">
        <v>55</v>
      </c>
      <c r="V185">
        <v>0</v>
      </c>
      <c r="W185">
        <v>0</v>
      </c>
      <c r="X185">
        <v>0</v>
      </c>
      <c r="Y185">
        <v>7.77</v>
      </c>
    </row>
    <row r="186" spans="1:26">
      <c r="A186" s="2">
        <v>43902</v>
      </c>
      <c r="B186" s="4">
        <v>0.125</v>
      </c>
      <c r="C186" s="1" t="s">
        <v>57</v>
      </c>
      <c r="D186">
        <v>30</v>
      </c>
      <c r="E186">
        <v>22</v>
      </c>
      <c r="F186">
        <v>0</v>
      </c>
      <c r="L186" s="1" t="s">
        <v>59</v>
      </c>
      <c r="N186" s="1" t="s">
        <v>37</v>
      </c>
      <c r="P186" s="1" t="s">
        <v>37</v>
      </c>
      <c r="R186" s="1" t="s">
        <v>37</v>
      </c>
      <c r="S186">
        <v>46.718390999999997</v>
      </c>
      <c r="T186">
        <v>7.0740080000000001</v>
      </c>
      <c r="U186" s="1" t="s">
        <v>58</v>
      </c>
      <c r="V186">
        <v>10</v>
      </c>
      <c r="W186">
        <v>6</v>
      </c>
      <c r="X186">
        <v>0</v>
      </c>
      <c r="Y186">
        <v>6.98</v>
      </c>
    </row>
    <row r="187" spans="1:26">
      <c r="A187" s="2">
        <v>43902</v>
      </c>
      <c r="B187" s="4">
        <v>0.125</v>
      </c>
      <c r="C187" s="1" t="s">
        <v>60</v>
      </c>
      <c r="D187">
        <v>2345</v>
      </c>
      <c r="E187">
        <v>114</v>
      </c>
      <c r="F187">
        <v>3</v>
      </c>
      <c r="G187">
        <v>23</v>
      </c>
      <c r="H187">
        <v>6</v>
      </c>
      <c r="I187">
        <v>4</v>
      </c>
      <c r="K187">
        <v>1</v>
      </c>
      <c r="L187" s="1" t="s">
        <v>62</v>
      </c>
      <c r="N187" s="1" t="s">
        <v>37</v>
      </c>
      <c r="P187" s="1" t="s">
        <v>37</v>
      </c>
      <c r="Q187">
        <v>0</v>
      </c>
      <c r="R187" s="1" t="s">
        <v>37</v>
      </c>
      <c r="S187">
        <v>46.220528000000002</v>
      </c>
      <c r="T187">
        <v>6.1329349999999998</v>
      </c>
      <c r="U187" s="1" t="s">
        <v>61</v>
      </c>
      <c r="V187">
        <v>25</v>
      </c>
      <c r="W187">
        <v>30</v>
      </c>
      <c r="X187">
        <v>0</v>
      </c>
      <c r="Y187">
        <v>23.02</v>
      </c>
      <c r="Z187">
        <v>0.20200000000000001</v>
      </c>
    </row>
    <row r="188" spans="1:26">
      <c r="A188" s="2">
        <v>43902</v>
      </c>
      <c r="B188" s="4">
        <v>0.125</v>
      </c>
      <c r="C188" s="1" t="s">
        <v>69</v>
      </c>
      <c r="E188">
        <v>12</v>
      </c>
      <c r="F188">
        <v>0</v>
      </c>
      <c r="G188">
        <v>6</v>
      </c>
      <c r="L188" s="1" t="s">
        <v>280</v>
      </c>
      <c r="N188" s="1" t="s">
        <v>37</v>
      </c>
      <c r="P188" s="1" t="s">
        <v>37</v>
      </c>
      <c r="R188" s="1" t="s">
        <v>37</v>
      </c>
      <c r="S188">
        <v>47.350743999999999</v>
      </c>
      <c r="T188">
        <v>7.1561070000000004</v>
      </c>
      <c r="U188" s="1" t="s">
        <v>70</v>
      </c>
      <c r="V188">
        <v>26</v>
      </c>
      <c r="W188">
        <v>5</v>
      </c>
      <c r="X188">
        <v>0</v>
      </c>
      <c r="Y188">
        <v>16.37</v>
      </c>
    </row>
    <row r="189" spans="1:26">
      <c r="A189" s="2">
        <v>43902</v>
      </c>
      <c r="B189" s="4">
        <v>0.125</v>
      </c>
      <c r="C189" s="1" t="s">
        <v>74</v>
      </c>
      <c r="E189">
        <v>46</v>
      </c>
      <c r="F189">
        <v>0</v>
      </c>
      <c r="G189">
        <v>6</v>
      </c>
      <c r="H189">
        <v>1</v>
      </c>
      <c r="L189" s="1" t="s">
        <v>76</v>
      </c>
      <c r="N189" s="1" t="s">
        <v>37</v>
      </c>
      <c r="P189" s="1" t="s">
        <v>37</v>
      </c>
      <c r="R189" s="1" t="s">
        <v>37</v>
      </c>
      <c r="S189">
        <v>46.995533999999999</v>
      </c>
      <c r="T189">
        <v>6.7801260000000001</v>
      </c>
      <c r="U189" s="1" t="s">
        <v>75</v>
      </c>
      <c r="V189">
        <v>24</v>
      </c>
      <c r="W189">
        <v>9</v>
      </c>
      <c r="X189">
        <v>0</v>
      </c>
      <c r="Y189">
        <v>25.84</v>
      </c>
    </row>
    <row r="190" spans="1:26">
      <c r="A190" s="2">
        <v>43902</v>
      </c>
      <c r="B190" s="4">
        <v>0.125</v>
      </c>
      <c r="C190" s="1" t="s">
        <v>83</v>
      </c>
      <c r="E190">
        <v>15</v>
      </c>
      <c r="F190">
        <v>0</v>
      </c>
      <c r="L190" s="1" t="s">
        <v>85</v>
      </c>
      <c r="N190" s="1" t="s">
        <v>37</v>
      </c>
      <c r="P190" s="1" t="s">
        <v>37</v>
      </c>
      <c r="R190" s="1" t="s">
        <v>37</v>
      </c>
      <c r="S190">
        <v>47.183199999999999</v>
      </c>
      <c r="T190">
        <v>9.2747440000000001</v>
      </c>
      <c r="U190" s="1" t="s">
        <v>84</v>
      </c>
      <c r="V190">
        <v>17</v>
      </c>
      <c r="W190">
        <v>13</v>
      </c>
      <c r="X190">
        <v>0</v>
      </c>
      <c r="Y190">
        <v>2.97</v>
      </c>
    </row>
    <row r="191" spans="1:26">
      <c r="A191" s="2">
        <v>43902</v>
      </c>
      <c r="B191" s="4">
        <v>0.125</v>
      </c>
      <c r="C191" s="1" t="s">
        <v>86</v>
      </c>
      <c r="E191">
        <v>1</v>
      </c>
      <c r="F191">
        <v>0</v>
      </c>
      <c r="K191">
        <v>0</v>
      </c>
      <c r="L191" s="1" t="s">
        <v>88</v>
      </c>
      <c r="N191" s="1" t="s">
        <v>37</v>
      </c>
      <c r="P191" s="1" t="s">
        <v>37</v>
      </c>
      <c r="R191" s="1" t="s">
        <v>37</v>
      </c>
      <c r="S191">
        <v>47.713569999999997</v>
      </c>
      <c r="T191">
        <v>8.5916700000000006</v>
      </c>
      <c r="U191" s="1" t="s">
        <v>87</v>
      </c>
      <c r="V191">
        <v>14</v>
      </c>
      <c r="W191">
        <v>0</v>
      </c>
      <c r="X191">
        <v>0</v>
      </c>
      <c r="Y191">
        <v>1.23</v>
      </c>
      <c r="Z191">
        <v>0</v>
      </c>
    </row>
    <row r="192" spans="1:26">
      <c r="A192" s="2">
        <v>43902</v>
      </c>
      <c r="B192" s="4">
        <v>0.125</v>
      </c>
      <c r="C192" s="1" t="s">
        <v>98</v>
      </c>
      <c r="E192">
        <v>180</v>
      </c>
      <c r="F192">
        <v>0</v>
      </c>
      <c r="K192">
        <v>1</v>
      </c>
      <c r="L192" s="1" t="s">
        <v>189</v>
      </c>
      <c r="N192" s="1" t="s">
        <v>37</v>
      </c>
      <c r="P192" s="1" t="s">
        <v>37</v>
      </c>
      <c r="R192" s="1" t="s">
        <v>37</v>
      </c>
      <c r="S192">
        <v>46.295617</v>
      </c>
      <c r="T192">
        <v>8.8089239999999993</v>
      </c>
      <c r="U192" s="1" t="s">
        <v>99</v>
      </c>
      <c r="V192">
        <v>21</v>
      </c>
      <c r="W192">
        <v>0</v>
      </c>
      <c r="X192">
        <v>0</v>
      </c>
      <c r="Y192">
        <v>50.89</v>
      </c>
      <c r="Z192">
        <v>0.28299999999999997</v>
      </c>
    </row>
    <row r="193" spans="1:26">
      <c r="A193" s="2">
        <v>43902</v>
      </c>
      <c r="B193" s="4">
        <v>0.125</v>
      </c>
      <c r="C193" s="1" t="s">
        <v>101</v>
      </c>
      <c r="E193">
        <v>2</v>
      </c>
      <c r="F193">
        <v>0</v>
      </c>
      <c r="L193" s="1" t="s">
        <v>37</v>
      </c>
      <c r="N193" s="1" t="s">
        <v>37</v>
      </c>
      <c r="P193" s="1" t="s">
        <v>37</v>
      </c>
      <c r="R193" s="1" t="s">
        <v>37</v>
      </c>
      <c r="S193">
        <v>46.771849000000003</v>
      </c>
      <c r="T193">
        <v>8.6285860000000003</v>
      </c>
      <c r="U193" s="1" t="s">
        <v>102</v>
      </c>
      <c r="V193">
        <v>4</v>
      </c>
      <c r="W193">
        <v>0</v>
      </c>
      <c r="X193">
        <v>0</v>
      </c>
      <c r="Y193">
        <v>5.51</v>
      </c>
    </row>
    <row r="194" spans="1:26">
      <c r="A194" s="2">
        <v>43902</v>
      </c>
      <c r="B194" s="4">
        <v>0.125</v>
      </c>
      <c r="C194" s="1" t="s">
        <v>104</v>
      </c>
      <c r="E194">
        <v>187</v>
      </c>
      <c r="F194">
        <v>4</v>
      </c>
      <c r="G194">
        <v>56</v>
      </c>
      <c r="H194">
        <v>6</v>
      </c>
      <c r="J194">
        <v>5</v>
      </c>
      <c r="K194">
        <v>3</v>
      </c>
      <c r="L194" s="1" t="s">
        <v>106</v>
      </c>
      <c r="N194" s="1" t="s">
        <v>37</v>
      </c>
      <c r="P194" s="1" t="s">
        <v>37</v>
      </c>
      <c r="R194" s="1" t="s">
        <v>37</v>
      </c>
      <c r="S194">
        <v>46.570090999999998</v>
      </c>
      <c r="T194">
        <v>6.5578090000000007</v>
      </c>
      <c r="U194" s="1" t="s">
        <v>105</v>
      </c>
      <c r="V194">
        <v>22</v>
      </c>
      <c r="W194">
        <v>72</v>
      </c>
      <c r="X194">
        <v>2</v>
      </c>
      <c r="Y194">
        <v>23.58</v>
      </c>
      <c r="Z194">
        <v>0.378</v>
      </c>
    </row>
    <row r="195" spans="1:26">
      <c r="A195" s="2">
        <v>43902</v>
      </c>
      <c r="B195" s="4">
        <v>0.125</v>
      </c>
      <c r="C195" s="1" t="s">
        <v>107</v>
      </c>
      <c r="E195">
        <v>53</v>
      </c>
      <c r="F195">
        <v>7</v>
      </c>
      <c r="G195">
        <v>27</v>
      </c>
      <c r="H195">
        <v>1</v>
      </c>
      <c r="I195">
        <v>1</v>
      </c>
      <c r="J195">
        <v>3</v>
      </c>
      <c r="K195">
        <v>0</v>
      </c>
      <c r="L195" s="1" t="s">
        <v>412</v>
      </c>
      <c r="N195" s="1" t="s">
        <v>37</v>
      </c>
      <c r="P195" s="1" t="s">
        <v>37</v>
      </c>
      <c r="R195" s="1" t="s">
        <v>37</v>
      </c>
      <c r="S195">
        <v>46.209567</v>
      </c>
      <c r="T195">
        <v>7.6046589999999998</v>
      </c>
      <c r="U195" s="1" t="s">
        <v>108</v>
      </c>
      <c r="V195">
        <v>23</v>
      </c>
      <c r="W195">
        <v>23</v>
      </c>
      <c r="X195">
        <v>0</v>
      </c>
      <c r="Y195">
        <v>15.52</v>
      </c>
      <c r="Z195">
        <v>0</v>
      </c>
    </row>
    <row r="196" spans="1:26">
      <c r="A196" s="2">
        <v>43902</v>
      </c>
      <c r="B196" s="4">
        <v>0.33333333333333331</v>
      </c>
      <c r="C196" s="1" t="s">
        <v>109</v>
      </c>
      <c r="E196">
        <v>11</v>
      </c>
      <c r="F196">
        <v>0</v>
      </c>
      <c r="G196">
        <v>0</v>
      </c>
      <c r="H196">
        <v>0</v>
      </c>
      <c r="J196">
        <v>0</v>
      </c>
      <c r="K196">
        <v>0</v>
      </c>
      <c r="L196" s="1" t="s">
        <v>502</v>
      </c>
      <c r="N196" s="1" t="s">
        <v>37</v>
      </c>
      <c r="P196" s="1" t="s">
        <v>37</v>
      </c>
      <c r="R196" s="1" t="s">
        <v>37</v>
      </c>
      <c r="S196">
        <v>47.157296000000002</v>
      </c>
      <c r="T196">
        <v>8.5372939999999993</v>
      </c>
      <c r="U196" s="1" t="s">
        <v>110</v>
      </c>
      <c r="V196">
        <v>9</v>
      </c>
      <c r="W196">
        <v>0</v>
      </c>
      <c r="X196">
        <v>0</v>
      </c>
      <c r="Y196">
        <v>8.77</v>
      </c>
      <c r="Z196">
        <v>0</v>
      </c>
    </row>
    <row r="197" spans="1:26">
      <c r="A197" s="2">
        <v>43902</v>
      </c>
      <c r="B197" s="4">
        <v>0.60416666666666663</v>
      </c>
      <c r="C197" s="1" t="s">
        <v>111</v>
      </c>
      <c r="E197">
        <v>141</v>
      </c>
      <c r="F197">
        <v>0</v>
      </c>
      <c r="L197" s="1" t="s">
        <v>113</v>
      </c>
      <c r="N197" s="1" t="s">
        <v>37</v>
      </c>
      <c r="P197" s="1" t="s">
        <v>37</v>
      </c>
      <c r="R197" s="1" t="s">
        <v>37</v>
      </c>
      <c r="S197">
        <v>47.412750000000003</v>
      </c>
      <c r="T197">
        <v>8.6550799999999999</v>
      </c>
      <c r="U197" s="1" t="s">
        <v>112</v>
      </c>
      <c r="V197">
        <v>1</v>
      </c>
      <c r="W197">
        <v>39</v>
      </c>
      <c r="X197">
        <v>0</v>
      </c>
      <c r="Y197">
        <v>9.3699999999999992</v>
      </c>
    </row>
    <row r="198" spans="1:26">
      <c r="A198" s="2">
        <v>43903</v>
      </c>
      <c r="B198" s="4">
        <v>0.54166666666666663</v>
      </c>
      <c r="C198" s="1" t="s">
        <v>35</v>
      </c>
      <c r="E198">
        <v>32</v>
      </c>
      <c r="F198">
        <v>0</v>
      </c>
      <c r="G198">
        <v>1</v>
      </c>
      <c r="J198">
        <v>3</v>
      </c>
      <c r="L198" s="1" t="s">
        <v>190</v>
      </c>
      <c r="N198" s="1" t="s">
        <v>37</v>
      </c>
      <c r="P198" s="1" t="s">
        <v>37</v>
      </c>
      <c r="R198" s="1" t="s">
        <v>37</v>
      </c>
      <c r="S198">
        <v>47.409660000000002</v>
      </c>
      <c r="T198">
        <v>8.1568799999999992</v>
      </c>
      <c r="U198" s="1" t="s">
        <v>36</v>
      </c>
      <c r="V198">
        <v>1</v>
      </c>
      <c r="W198">
        <v>5</v>
      </c>
      <c r="X198">
        <v>0</v>
      </c>
      <c r="Y198">
        <v>4.7699999999999996</v>
      </c>
    </row>
    <row r="199" spans="1:26">
      <c r="A199" s="2">
        <v>43903</v>
      </c>
      <c r="B199" s="4">
        <v>0.125</v>
      </c>
      <c r="C199" s="1" t="s">
        <v>48</v>
      </c>
      <c r="E199">
        <v>42</v>
      </c>
      <c r="F199">
        <v>3</v>
      </c>
      <c r="G199">
        <v>12</v>
      </c>
      <c r="H199">
        <v>3</v>
      </c>
      <c r="J199">
        <v>2</v>
      </c>
      <c r="K199">
        <v>2</v>
      </c>
      <c r="L199" s="1" t="s">
        <v>191</v>
      </c>
      <c r="N199" s="1" t="s">
        <v>37</v>
      </c>
      <c r="P199" s="1" t="s">
        <v>37</v>
      </c>
      <c r="R199" s="1" t="s">
        <v>37</v>
      </c>
      <c r="S199">
        <v>47.45176</v>
      </c>
      <c r="T199">
        <v>7.7024140000000001</v>
      </c>
      <c r="U199" s="1" t="s">
        <v>49</v>
      </c>
      <c r="V199">
        <v>13</v>
      </c>
      <c r="W199">
        <v>16</v>
      </c>
      <c r="X199">
        <v>0</v>
      </c>
      <c r="Y199">
        <v>14.63</v>
      </c>
      <c r="Z199">
        <v>0.69699999999999995</v>
      </c>
    </row>
    <row r="200" spans="1:26">
      <c r="A200" s="2">
        <v>43903</v>
      </c>
      <c r="B200" s="4">
        <v>0.52083333333333337</v>
      </c>
      <c r="C200" s="1" t="s">
        <v>51</v>
      </c>
      <c r="D200">
        <v>235</v>
      </c>
      <c r="E200">
        <v>92</v>
      </c>
      <c r="F200">
        <v>0</v>
      </c>
      <c r="G200">
        <v>13</v>
      </c>
      <c r="H200">
        <v>2</v>
      </c>
      <c r="J200">
        <v>4</v>
      </c>
      <c r="K200">
        <v>1</v>
      </c>
      <c r="L200" s="1" t="s">
        <v>192</v>
      </c>
      <c r="M200">
        <v>3</v>
      </c>
      <c r="N200" s="1" t="s">
        <v>37</v>
      </c>
      <c r="P200" s="1" t="s">
        <v>37</v>
      </c>
      <c r="R200" s="1" t="s">
        <v>37</v>
      </c>
      <c r="S200">
        <v>47.564869000000002</v>
      </c>
      <c r="T200">
        <v>7.615259</v>
      </c>
      <c r="U200" s="1" t="s">
        <v>52</v>
      </c>
      <c r="V200">
        <v>12</v>
      </c>
      <c r="W200">
        <v>19</v>
      </c>
      <c r="X200">
        <v>0</v>
      </c>
      <c r="Y200">
        <v>47.45</v>
      </c>
      <c r="Z200">
        <v>0.51600000000000001</v>
      </c>
    </row>
    <row r="201" spans="1:26">
      <c r="A201" s="2">
        <v>43903</v>
      </c>
      <c r="B201" s="4">
        <v>0.125</v>
      </c>
      <c r="C201" s="1" t="s">
        <v>57</v>
      </c>
      <c r="D201">
        <v>30</v>
      </c>
      <c r="E201">
        <v>29</v>
      </c>
      <c r="F201">
        <v>0</v>
      </c>
      <c r="L201" s="1" t="s">
        <v>59</v>
      </c>
      <c r="N201" s="1" t="s">
        <v>37</v>
      </c>
      <c r="P201" s="1" t="s">
        <v>37</v>
      </c>
      <c r="R201" s="1" t="s">
        <v>37</v>
      </c>
      <c r="S201">
        <v>46.718390999999997</v>
      </c>
      <c r="T201">
        <v>7.0740080000000001</v>
      </c>
      <c r="U201" s="1" t="s">
        <v>58</v>
      </c>
      <c r="V201">
        <v>10</v>
      </c>
      <c r="W201">
        <v>7</v>
      </c>
      <c r="X201">
        <v>0</v>
      </c>
      <c r="Y201">
        <v>9.1999999999999993</v>
      </c>
    </row>
    <row r="202" spans="1:26">
      <c r="A202" s="2">
        <v>43903</v>
      </c>
      <c r="B202" s="4">
        <v>0.125</v>
      </c>
      <c r="C202" s="1" t="s">
        <v>60</v>
      </c>
      <c r="D202">
        <v>2817</v>
      </c>
      <c r="E202">
        <v>178</v>
      </c>
      <c r="F202">
        <v>10</v>
      </c>
      <c r="G202">
        <v>33</v>
      </c>
      <c r="H202">
        <v>7</v>
      </c>
      <c r="I202">
        <v>5</v>
      </c>
      <c r="K202">
        <v>1</v>
      </c>
      <c r="L202" s="1" t="s">
        <v>62</v>
      </c>
      <c r="N202" s="1" t="s">
        <v>37</v>
      </c>
      <c r="P202" s="1" t="s">
        <v>37</v>
      </c>
      <c r="Q202">
        <v>0</v>
      </c>
      <c r="R202" s="1" t="s">
        <v>37</v>
      </c>
      <c r="S202">
        <v>46.220528000000002</v>
      </c>
      <c r="T202">
        <v>6.1329349999999998</v>
      </c>
      <c r="U202" s="1" t="s">
        <v>61</v>
      </c>
      <c r="V202">
        <v>25</v>
      </c>
      <c r="W202">
        <v>64</v>
      </c>
      <c r="X202">
        <v>0</v>
      </c>
      <c r="Y202">
        <v>35.950000000000003</v>
      </c>
      <c r="Z202">
        <v>0.20200000000000001</v>
      </c>
    </row>
    <row r="203" spans="1:26">
      <c r="A203" s="2">
        <v>43903</v>
      </c>
      <c r="B203" s="4">
        <v>0.125</v>
      </c>
      <c r="C203" s="1" t="s">
        <v>69</v>
      </c>
      <c r="E203">
        <v>17</v>
      </c>
      <c r="F203">
        <v>2</v>
      </c>
      <c r="G203">
        <v>8</v>
      </c>
      <c r="L203" s="1" t="s">
        <v>280</v>
      </c>
      <c r="N203" s="1" t="s">
        <v>37</v>
      </c>
      <c r="P203" s="1" t="s">
        <v>37</v>
      </c>
      <c r="R203" s="1" t="s">
        <v>37</v>
      </c>
      <c r="S203">
        <v>47.350743999999999</v>
      </c>
      <c r="T203">
        <v>7.1561070000000004</v>
      </c>
      <c r="U203" s="1" t="s">
        <v>70</v>
      </c>
      <c r="V203">
        <v>26</v>
      </c>
      <c r="W203">
        <v>5</v>
      </c>
      <c r="X203">
        <v>0</v>
      </c>
      <c r="Y203">
        <v>23.19</v>
      </c>
    </row>
    <row r="204" spans="1:26">
      <c r="A204" s="2">
        <v>43903</v>
      </c>
      <c r="B204" s="4">
        <v>0.125</v>
      </c>
      <c r="C204" s="1" t="s">
        <v>74</v>
      </c>
      <c r="E204">
        <v>59</v>
      </c>
      <c r="F204">
        <v>3</v>
      </c>
      <c r="G204">
        <v>9</v>
      </c>
      <c r="H204">
        <v>1</v>
      </c>
      <c r="L204" s="1" t="s">
        <v>76</v>
      </c>
      <c r="N204" s="1" t="s">
        <v>37</v>
      </c>
      <c r="P204" s="1" t="s">
        <v>37</v>
      </c>
      <c r="R204" s="1" t="s">
        <v>37</v>
      </c>
      <c r="S204">
        <v>46.995533999999999</v>
      </c>
      <c r="T204">
        <v>6.7801260000000001</v>
      </c>
      <c r="U204" s="1" t="s">
        <v>75</v>
      </c>
      <c r="V204">
        <v>24</v>
      </c>
      <c r="W204">
        <v>13</v>
      </c>
      <c r="X204">
        <v>0</v>
      </c>
      <c r="Y204">
        <v>33.15</v>
      </c>
    </row>
    <row r="205" spans="1:26">
      <c r="A205" s="2">
        <v>43903</v>
      </c>
      <c r="B205" s="4">
        <v>0.5</v>
      </c>
      <c r="C205" s="1" t="s">
        <v>80</v>
      </c>
      <c r="D205">
        <v>6</v>
      </c>
      <c r="E205">
        <v>1</v>
      </c>
      <c r="F205">
        <v>0</v>
      </c>
      <c r="L205" s="1" t="s">
        <v>193</v>
      </c>
      <c r="N205" s="1" t="s">
        <v>37</v>
      </c>
      <c r="P205" s="1" t="s">
        <v>37</v>
      </c>
      <c r="R205" s="1" t="s">
        <v>37</v>
      </c>
      <c r="S205">
        <v>46.804527</v>
      </c>
      <c r="T205">
        <v>8.1443170000000009</v>
      </c>
      <c r="U205" s="1" t="s">
        <v>81</v>
      </c>
      <c r="V205">
        <v>6</v>
      </c>
      <c r="W205">
        <v>0</v>
      </c>
      <c r="X205">
        <v>0</v>
      </c>
      <c r="Y205">
        <v>2.66</v>
      </c>
    </row>
    <row r="206" spans="1:26">
      <c r="A206" s="2">
        <v>43903</v>
      </c>
      <c r="B206" s="4">
        <v>0.125</v>
      </c>
      <c r="C206" s="1" t="s">
        <v>86</v>
      </c>
      <c r="E206">
        <v>1</v>
      </c>
      <c r="F206">
        <v>0</v>
      </c>
      <c r="K206">
        <v>0</v>
      </c>
      <c r="L206" s="1" t="s">
        <v>88</v>
      </c>
      <c r="N206" s="1" t="s">
        <v>37</v>
      </c>
      <c r="P206" s="1" t="s">
        <v>37</v>
      </c>
      <c r="R206" s="1" t="s">
        <v>37</v>
      </c>
      <c r="S206">
        <v>47.713569999999997</v>
      </c>
      <c r="T206">
        <v>8.5916700000000006</v>
      </c>
      <c r="U206" s="1" t="s">
        <v>87</v>
      </c>
      <c r="V206">
        <v>14</v>
      </c>
      <c r="W206">
        <v>0</v>
      </c>
      <c r="X206">
        <v>0</v>
      </c>
      <c r="Y206">
        <v>1.23</v>
      </c>
      <c r="Z206">
        <v>0</v>
      </c>
    </row>
    <row r="207" spans="1:26">
      <c r="A207" s="2">
        <v>43903</v>
      </c>
      <c r="B207" s="4">
        <v>0.5</v>
      </c>
      <c r="C207" s="1" t="s">
        <v>92</v>
      </c>
      <c r="D207">
        <v>10</v>
      </c>
      <c r="E207">
        <v>9</v>
      </c>
      <c r="F207">
        <v>0</v>
      </c>
      <c r="G207">
        <v>1</v>
      </c>
      <c r="L207" s="1" t="s">
        <v>194</v>
      </c>
      <c r="N207" s="1" t="s">
        <v>37</v>
      </c>
      <c r="P207" s="1" t="s">
        <v>37</v>
      </c>
      <c r="R207" s="1" t="s">
        <v>37</v>
      </c>
      <c r="S207">
        <v>47.061787000000002</v>
      </c>
      <c r="T207">
        <v>8.7565849999999994</v>
      </c>
      <c r="U207" s="1" t="s">
        <v>93</v>
      </c>
      <c r="V207">
        <v>5</v>
      </c>
      <c r="W207">
        <v>3</v>
      </c>
      <c r="X207">
        <v>0</v>
      </c>
      <c r="Y207">
        <v>5.72</v>
      </c>
    </row>
    <row r="208" spans="1:26">
      <c r="A208" s="2">
        <v>43903</v>
      </c>
      <c r="B208" s="4">
        <v>0.125</v>
      </c>
      <c r="C208" s="1" t="s">
        <v>98</v>
      </c>
      <c r="E208">
        <v>258</v>
      </c>
      <c r="F208">
        <v>0</v>
      </c>
      <c r="G208">
        <v>65</v>
      </c>
      <c r="H208">
        <v>13</v>
      </c>
      <c r="K208">
        <v>1</v>
      </c>
      <c r="L208" s="1" t="s">
        <v>195</v>
      </c>
      <c r="N208" s="1" t="s">
        <v>37</v>
      </c>
      <c r="P208" s="1" t="s">
        <v>37</v>
      </c>
      <c r="R208" s="1" t="s">
        <v>37</v>
      </c>
      <c r="S208">
        <v>46.295617</v>
      </c>
      <c r="T208">
        <v>8.8089239999999993</v>
      </c>
      <c r="U208" s="1" t="s">
        <v>99</v>
      </c>
      <c r="V208">
        <v>21</v>
      </c>
      <c r="W208">
        <v>78</v>
      </c>
      <c r="X208">
        <v>0</v>
      </c>
      <c r="Y208">
        <v>72.94</v>
      </c>
      <c r="Z208">
        <v>0.28299999999999997</v>
      </c>
    </row>
    <row r="209" spans="1:26">
      <c r="A209" s="2">
        <v>43903</v>
      </c>
      <c r="B209" s="4">
        <v>0.125</v>
      </c>
      <c r="C209" s="1" t="s">
        <v>104</v>
      </c>
      <c r="E209">
        <v>257</v>
      </c>
      <c r="F209">
        <v>6</v>
      </c>
      <c r="G209">
        <v>62</v>
      </c>
      <c r="H209">
        <v>7</v>
      </c>
      <c r="J209">
        <v>5</v>
      </c>
      <c r="K209">
        <v>3</v>
      </c>
      <c r="L209" s="1" t="s">
        <v>106</v>
      </c>
      <c r="N209" s="1" t="s">
        <v>37</v>
      </c>
      <c r="P209" s="1" t="s">
        <v>37</v>
      </c>
      <c r="R209" s="1" t="s">
        <v>37</v>
      </c>
      <c r="S209">
        <v>46.570090999999998</v>
      </c>
      <c r="T209">
        <v>6.5578090000000007</v>
      </c>
      <c r="U209" s="1" t="s">
        <v>105</v>
      </c>
      <c r="V209">
        <v>22</v>
      </c>
      <c r="W209">
        <v>70</v>
      </c>
      <c r="X209">
        <v>0</v>
      </c>
      <c r="Y209">
        <v>32.4</v>
      </c>
      <c r="Z209">
        <v>0.378</v>
      </c>
    </row>
    <row r="210" spans="1:26">
      <c r="A210" s="2">
        <v>43903</v>
      </c>
      <c r="B210" s="4">
        <v>0.125</v>
      </c>
      <c r="C210" s="1" t="s">
        <v>107</v>
      </c>
      <c r="E210">
        <v>76</v>
      </c>
      <c r="F210">
        <v>2</v>
      </c>
      <c r="G210">
        <v>29</v>
      </c>
      <c r="H210">
        <v>1</v>
      </c>
      <c r="I210">
        <v>1</v>
      </c>
      <c r="J210">
        <v>3</v>
      </c>
      <c r="K210">
        <v>1</v>
      </c>
      <c r="L210" s="1" t="s">
        <v>412</v>
      </c>
      <c r="N210" s="1" t="s">
        <v>37</v>
      </c>
      <c r="P210" s="1" t="s">
        <v>37</v>
      </c>
      <c r="R210" s="1" t="s">
        <v>37</v>
      </c>
      <c r="S210">
        <v>46.209567</v>
      </c>
      <c r="T210">
        <v>7.6046589999999998</v>
      </c>
      <c r="U210" s="1" t="s">
        <v>108</v>
      </c>
      <c r="V210">
        <v>23</v>
      </c>
      <c r="W210">
        <v>23</v>
      </c>
      <c r="X210">
        <v>1</v>
      </c>
      <c r="Y210">
        <v>22.25</v>
      </c>
      <c r="Z210">
        <v>0.29299999999999998</v>
      </c>
    </row>
    <row r="211" spans="1:26">
      <c r="A211" s="2">
        <v>43903</v>
      </c>
      <c r="B211" s="4">
        <v>0.33333333333333331</v>
      </c>
      <c r="C211" s="1" t="s">
        <v>109</v>
      </c>
      <c r="E211">
        <v>13</v>
      </c>
      <c r="F211">
        <v>0</v>
      </c>
      <c r="G211">
        <v>0</v>
      </c>
      <c r="H211">
        <v>0</v>
      </c>
      <c r="J211">
        <v>0</v>
      </c>
      <c r="K211">
        <v>0</v>
      </c>
      <c r="L211" s="1" t="s">
        <v>502</v>
      </c>
      <c r="N211" s="1" t="s">
        <v>37</v>
      </c>
      <c r="P211" s="1" t="s">
        <v>37</v>
      </c>
      <c r="R211" s="1" t="s">
        <v>37</v>
      </c>
      <c r="S211">
        <v>47.157296000000002</v>
      </c>
      <c r="T211">
        <v>8.5372939999999993</v>
      </c>
      <c r="U211" s="1" t="s">
        <v>110</v>
      </c>
      <c r="V211">
        <v>9</v>
      </c>
      <c r="W211">
        <v>2</v>
      </c>
      <c r="X211">
        <v>0</v>
      </c>
      <c r="Y211">
        <v>10.37</v>
      </c>
      <c r="Z211">
        <v>0</v>
      </c>
    </row>
    <row r="212" spans="1:26">
      <c r="A212" s="2">
        <v>43903</v>
      </c>
      <c r="B212" s="4">
        <v>0.60416666666666663</v>
      </c>
      <c r="C212" s="1" t="s">
        <v>111</v>
      </c>
      <c r="E212">
        <v>164</v>
      </c>
      <c r="F212">
        <v>0</v>
      </c>
      <c r="L212" s="1" t="s">
        <v>113</v>
      </c>
      <c r="N212" s="1" t="s">
        <v>37</v>
      </c>
      <c r="P212" s="1" t="s">
        <v>37</v>
      </c>
      <c r="R212" s="1" t="s">
        <v>37</v>
      </c>
      <c r="S212">
        <v>47.412750000000003</v>
      </c>
      <c r="T212">
        <v>8.6550799999999999</v>
      </c>
      <c r="U212" s="1" t="s">
        <v>112</v>
      </c>
      <c r="V212">
        <v>1</v>
      </c>
      <c r="W212">
        <v>23</v>
      </c>
      <c r="X212">
        <v>0</v>
      </c>
      <c r="Y212">
        <v>10.9</v>
      </c>
    </row>
    <row r="213" spans="1:26">
      <c r="A213" s="2">
        <v>43904</v>
      </c>
      <c r="B213" s="4">
        <v>0.125</v>
      </c>
      <c r="C213" s="1" t="s">
        <v>39</v>
      </c>
      <c r="E213">
        <v>2</v>
      </c>
      <c r="F213">
        <v>0</v>
      </c>
      <c r="L213" s="1" t="s">
        <v>196</v>
      </c>
      <c r="N213" s="1" t="s">
        <v>37</v>
      </c>
      <c r="P213" s="1" t="s">
        <v>37</v>
      </c>
      <c r="R213" s="1" t="s">
        <v>37</v>
      </c>
      <c r="S213">
        <v>47.317264000000002</v>
      </c>
      <c r="T213">
        <v>9.4167539999999992</v>
      </c>
      <c r="U213" s="1" t="s">
        <v>40</v>
      </c>
      <c r="V213">
        <v>16</v>
      </c>
      <c r="W213">
        <v>0</v>
      </c>
      <c r="X213">
        <v>0</v>
      </c>
      <c r="Y213">
        <v>12.42</v>
      </c>
    </row>
    <row r="214" spans="1:26">
      <c r="A214" s="2">
        <v>43904</v>
      </c>
      <c r="B214" s="4">
        <v>0.125</v>
      </c>
      <c r="C214" s="1" t="s">
        <v>48</v>
      </c>
      <c r="E214">
        <v>47</v>
      </c>
      <c r="F214">
        <v>-4</v>
      </c>
      <c r="G214">
        <v>8</v>
      </c>
      <c r="H214">
        <v>2</v>
      </c>
      <c r="J214">
        <v>2</v>
      </c>
      <c r="K214">
        <v>2</v>
      </c>
      <c r="L214" s="1" t="s">
        <v>197</v>
      </c>
      <c r="N214" s="1" t="s">
        <v>37</v>
      </c>
      <c r="P214" s="1" t="s">
        <v>37</v>
      </c>
      <c r="R214" s="1" t="s">
        <v>37</v>
      </c>
      <c r="S214">
        <v>47.45176</v>
      </c>
      <c r="T214">
        <v>7.7024140000000001</v>
      </c>
      <c r="U214" s="1" t="s">
        <v>49</v>
      </c>
      <c r="V214">
        <v>13</v>
      </c>
      <c r="W214">
        <v>5</v>
      </c>
      <c r="X214">
        <v>0</v>
      </c>
      <c r="Y214">
        <v>16.38</v>
      </c>
      <c r="Z214">
        <v>0.69699999999999995</v>
      </c>
    </row>
    <row r="215" spans="1:26">
      <c r="A215" s="2">
        <v>43904</v>
      </c>
      <c r="B215" s="4">
        <v>0.47708333333333336</v>
      </c>
      <c r="C215" s="1" t="s">
        <v>51</v>
      </c>
      <c r="D215">
        <v>235</v>
      </c>
      <c r="E215">
        <v>100</v>
      </c>
      <c r="F215">
        <v>0</v>
      </c>
      <c r="G215">
        <v>13</v>
      </c>
      <c r="H215">
        <v>2</v>
      </c>
      <c r="J215">
        <v>4</v>
      </c>
      <c r="K215">
        <v>1</v>
      </c>
      <c r="L215" s="1" t="s">
        <v>198</v>
      </c>
      <c r="M215">
        <v>3</v>
      </c>
      <c r="N215" s="1" t="s">
        <v>37</v>
      </c>
      <c r="P215" s="1" t="s">
        <v>37</v>
      </c>
      <c r="R215" s="1" t="s">
        <v>37</v>
      </c>
      <c r="S215">
        <v>47.564869000000002</v>
      </c>
      <c r="T215">
        <v>7.615259</v>
      </c>
      <c r="U215" s="1" t="s">
        <v>52</v>
      </c>
      <c r="V215">
        <v>12</v>
      </c>
      <c r="W215">
        <v>8</v>
      </c>
      <c r="X215">
        <v>0</v>
      </c>
      <c r="Y215">
        <v>51.57</v>
      </c>
      <c r="Z215">
        <v>0.51600000000000001</v>
      </c>
    </row>
    <row r="216" spans="1:26">
      <c r="A216" s="2">
        <v>43904</v>
      </c>
      <c r="B216" s="4">
        <v>0.125</v>
      </c>
      <c r="C216" s="1" t="s">
        <v>54</v>
      </c>
      <c r="D216">
        <v>99</v>
      </c>
      <c r="E216">
        <v>3</v>
      </c>
      <c r="F216">
        <v>0</v>
      </c>
      <c r="J216">
        <v>1</v>
      </c>
      <c r="L216" s="1" t="s">
        <v>199</v>
      </c>
      <c r="N216" s="1" t="s">
        <v>37</v>
      </c>
      <c r="P216" s="1" t="s">
        <v>37</v>
      </c>
      <c r="R216" s="1" t="s">
        <v>37</v>
      </c>
      <c r="S216">
        <v>47.166666999999997</v>
      </c>
      <c r="T216">
        <v>9.509722</v>
      </c>
      <c r="U216" s="1" t="s">
        <v>55</v>
      </c>
      <c r="V216">
        <v>0</v>
      </c>
      <c r="W216">
        <v>0</v>
      </c>
      <c r="X216">
        <v>0</v>
      </c>
      <c r="Y216">
        <v>7.77</v>
      </c>
    </row>
    <row r="217" spans="1:26">
      <c r="A217" s="2">
        <v>43904</v>
      </c>
      <c r="B217" s="4">
        <v>0.125</v>
      </c>
      <c r="C217" s="1" t="s">
        <v>57</v>
      </c>
      <c r="D217">
        <v>30</v>
      </c>
      <c r="E217">
        <v>36</v>
      </c>
      <c r="F217">
        <v>0</v>
      </c>
      <c r="L217" s="1" t="s">
        <v>59</v>
      </c>
      <c r="N217" s="1" t="s">
        <v>37</v>
      </c>
      <c r="P217" s="1" t="s">
        <v>37</v>
      </c>
      <c r="R217" s="1" t="s">
        <v>37</v>
      </c>
      <c r="S217">
        <v>46.718390999999997</v>
      </c>
      <c r="T217">
        <v>7.0740080000000001</v>
      </c>
      <c r="U217" s="1" t="s">
        <v>58</v>
      </c>
      <c r="V217">
        <v>10</v>
      </c>
      <c r="W217">
        <v>7</v>
      </c>
      <c r="X217">
        <v>0</v>
      </c>
      <c r="Y217">
        <v>11.42</v>
      </c>
    </row>
    <row r="218" spans="1:26">
      <c r="A218" s="2">
        <v>43904</v>
      </c>
      <c r="B218" s="4">
        <v>0.125</v>
      </c>
      <c r="C218" s="1" t="s">
        <v>60</v>
      </c>
      <c r="D218">
        <v>3461</v>
      </c>
      <c r="E218">
        <v>281</v>
      </c>
      <c r="F218">
        <v>10</v>
      </c>
      <c r="G218">
        <v>43</v>
      </c>
      <c r="H218">
        <v>8</v>
      </c>
      <c r="I218">
        <v>5</v>
      </c>
      <c r="K218">
        <v>1</v>
      </c>
      <c r="L218" s="1" t="s">
        <v>62</v>
      </c>
      <c r="N218" s="1" t="s">
        <v>37</v>
      </c>
      <c r="P218" s="1" t="s">
        <v>37</v>
      </c>
      <c r="Q218">
        <v>2</v>
      </c>
      <c r="R218" s="1" t="s">
        <v>37</v>
      </c>
      <c r="S218">
        <v>46.220528000000002</v>
      </c>
      <c r="T218">
        <v>6.1329349999999998</v>
      </c>
      <c r="U218" s="1" t="s">
        <v>61</v>
      </c>
      <c r="V218">
        <v>25</v>
      </c>
      <c r="W218">
        <v>103</v>
      </c>
      <c r="X218">
        <v>0</v>
      </c>
      <c r="Y218">
        <v>56.74</v>
      </c>
      <c r="Z218">
        <v>0.20200000000000001</v>
      </c>
    </row>
    <row r="219" spans="1:26">
      <c r="A219" s="2">
        <v>43904</v>
      </c>
      <c r="B219" s="4">
        <v>0.125</v>
      </c>
      <c r="C219" s="1" t="s">
        <v>69</v>
      </c>
      <c r="E219">
        <v>18</v>
      </c>
      <c r="F219">
        <v>0</v>
      </c>
      <c r="G219">
        <v>8</v>
      </c>
      <c r="L219" s="1" t="s">
        <v>280</v>
      </c>
      <c r="N219" s="1" t="s">
        <v>37</v>
      </c>
      <c r="P219" s="1" t="s">
        <v>37</v>
      </c>
      <c r="R219" s="1" t="s">
        <v>37</v>
      </c>
      <c r="S219">
        <v>47.350743999999999</v>
      </c>
      <c r="T219">
        <v>7.1561070000000004</v>
      </c>
      <c r="U219" s="1" t="s">
        <v>70</v>
      </c>
      <c r="V219">
        <v>26</v>
      </c>
      <c r="W219">
        <v>1</v>
      </c>
      <c r="X219">
        <v>0</v>
      </c>
      <c r="Y219">
        <v>24.56</v>
      </c>
    </row>
    <row r="220" spans="1:26">
      <c r="A220" s="2">
        <v>43904</v>
      </c>
      <c r="B220" s="4">
        <v>0.125</v>
      </c>
      <c r="C220" s="1" t="s">
        <v>74</v>
      </c>
      <c r="E220">
        <v>68</v>
      </c>
      <c r="F220">
        <v>1</v>
      </c>
      <c r="G220">
        <v>10</v>
      </c>
      <c r="H220">
        <v>1</v>
      </c>
      <c r="L220" s="1" t="s">
        <v>76</v>
      </c>
      <c r="N220" s="1" t="s">
        <v>37</v>
      </c>
      <c r="P220" s="1" t="s">
        <v>37</v>
      </c>
      <c r="R220" s="1" t="s">
        <v>37</v>
      </c>
      <c r="S220">
        <v>46.995533999999999</v>
      </c>
      <c r="T220">
        <v>6.7801260000000001</v>
      </c>
      <c r="U220" s="1" t="s">
        <v>75</v>
      </c>
      <c r="V220">
        <v>24</v>
      </c>
      <c r="W220">
        <v>9</v>
      </c>
      <c r="X220">
        <v>0</v>
      </c>
      <c r="Y220">
        <v>38.200000000000003</v>
      </c>
    </row>
    <row r="221" spans="1:26">
      <c r="A221" s="2">
        <v>43904</v>
      </c>
      <c r="B221" s="4">
        <v>0.125</v>
      </c>
      <c r="C221" s="1" t="s">
        <v>86</v>
      </c>
      <c r="E221">
        <v>1</v>
      </c>
      <c r="F221">
        <v>0</v>
      </c>
      <c r="K221">
        <v>0</v>
      </c>
      <c r="L221" s="1" t="s">
        <v>88</v>
      </c>
      <c r="N221" s="1" t="s">
        <v>37</v>
      </c>
      <c r="P221" s="1" t="s">
        <v>37</v>
      </c>
      <c r="R221" s="1" t="s">
        <v>37</v>
      </c>
      <c r="S221">
        <v>47.713569999999997</v>
      </c>
      <c r="T221">
        <v>8.5916700000000006</v>
      </c>
      <c r="U221" s="1" t="s">
        <v>87</v>
      </c>
      <c r="V221">
        <v>14</v>
      </c>
      <c r="W221">
        <v>0</v>
      </c>
      <c r="X221">
        <v>0</v>
      </c>
      <c r="Y221">
        <v>1.23</v>
      </c>
      <c r="Z221">
        <v>0</v>
      </c>
    </row>
    <row r="222" spans="1:26">
      <c r="A222" s="2">
        <v>43904</v>
      </c>
      <c r="B222" s="4">
        <v>0.12708333333333333</v>
      </c>
      <c r="C222" s="1" t="s">
        <v>92</v>
      </c>
      <c r="D222">
        <v>10</v>
      </c>
      <c r="E222">
        <v>12</v>
      </c>
      <c r="F222">
        <v>0</v>
      </c>
      <c r="G222">
        <v>1</v>
      </c>
      <c r="L222" s="1" t="s">
        <v>200</v>
      </c>
      <c r="N222" s="1" t="s">
        <v>37</v>
      </c>
      <c r="P222" s="1" t="s">
        <v>37</v>
      </c>
      <c r="R222" s="1" t="s">
        <v>37</v>
      </c>
      <c r="S222">
        <v>47.061787000000002</v>
      </c>
      <c r="T222">
        <v>8.7565849999999994</v>
      </c>
      <c r="U222" s="1" t="s">
        <v>93</v>
      </c>
      <c r="V222">
        <v>5</v>
      </c>
      <c r="W222">
        <v>3</v>
      </c>
      <c r="X222">
        <v>0</v>
      </c>
      <c r="Y222">
        <v>7.63</v>
      </c>
    </row>
    <row r="223" spans="1:26">
      <c r="A223" s="2">
        <v>43904</v>
      </c>
      <c r="B223" s="4">
        <v>0.125</v>
      </c>
      <c r="C223" s="1" t="s">
        <v>98</v>
      </c>
      <c r="E223">
        <v>265</v>
      </c>
      <c r="F223">
        <v>0</v>
      </c>
      <c r="G223">
        <v>65</v>
      </c>
      <c r="H223">
        <v>13</v>
      </c>
      <c r="K223">
        <v>3</v>
      </c>
      <c r="L223" s="1" t="s">
        <v>201</v>
      </c>
      <c r="N223" s="1" t="s">
        <v>37</v>
      </c>
      <c r="P223" s="1" t="s">
        <v>37</v>
      </c>
      <c r="R223" s="1" t="s">
        <v>37</v>
      </c>
      <c r="S223">
        <v>46.295617</v>
      </c>
      <c r="T223">
        <v>8.8089239999999993</v>
      </c>
      <c r="U223" s="1" t="s">
        <v>99</v>
      </c>
      <c r="V223">
        <v>21</v>
      </c>
      <c r="W223">
        <v>7</v>
      </c>
      <c r="X223">
        <v>0</v>
      </c>
      <c r="Y223">
        <v>74.92</v>
      </c>
      <c r="Z223">
        <v>0.84799999999999998</v>
      </c>
    </row>
    <row r="224" spans="1:26">
      <c r="A224" s="2">
        <v>43904</v>
      </c>
      <c r="B224" s="4">
        <v>0.125</v>
      </c>
      <c r="C224" s="1" t="s">
        <v>104</v>
      </c>
      <c r="E224">
        <v>311</v>
      </c>
      <c r="F224">
        <v>14</v>
      </c>
      <c r="G224">
        <v>76</v>
      </c>
      <c r="H224">
        <v>10</v>
      </c>
      <c r="J224">
        <v>5</v>
      </c>
      <c r="K224">
        <v>4</v>
      </c>
      <c r="L224" s="1" t="s">
        <v>106</v>
      </c>
      <c r="N224" s="1" t="s">
        <v>37</v>
      </c>
      <c r="P224" s="1" t="s">
        <v>37</v>
      </c>
      <c r="R224" s="1" t="s">
        <v>37</v>
      </c>
      <c r="S224">
        <v>46.570090999999998</v>
      </c>
      <c r="T224">
        <v>6.5578090000000007</v>
      </c>
      <c r="U224" s="1" t="s">
        <v>105</v>
      </c>
      <c r="V224">
        <v>22</v>
      </c>
      <c r="W224">
        <v>54</v>
      </c>
      <c r="X224">
        <v>1</v>
      </c>
      <c r="Y224">
        <v>39.21</v>
      </c>
      <c r="Z224">
        <v>0.504</v>
      </c>
    </row>
    <row r="225" spans="1:26">
      <c r="A225" s="2">
        <v>43904</v>
      </c>
      <c r="B225" s="4">
        <v>0.125</v>
      </c>
      <c r="C225" s="1" t="s">
        <v>107</v>
      </c>
      <c r="E225">
        <v>98</v>
      </c>
      <c r="F225">
        <v>4</v>
      </c>
      <c r="G225">
        <v>33</v>
      </c>
      <c r="H225">
        <v>1</v>
      </c>
      <c r="I225">
        <v>1</v>
      </c>
      <c r="J225">
        <v>3</v>
      </c>
      <c r="K225">
        <v>1</v>
      </c>
      <c r="L225" s="1" t="s">
        <v>412</v>
      </c>
      <c r="N225" s="1" t="s">
        <v>37</v>
      </c>
      <c r="P225" s="1" t="s">
        <v>37</v>
      </c>
      <c r="R225" s="1" t="s">
        <v>37</v>
      </c>
      <c r="S225">
        <v>46.209567</v>
      </c>
      <c r="T225">
        <v>7.6046589999999998</v>
      </c>
      <c r="U225" s="1" t="s">
        <v>108</v>
      </c>
      <c r="V225">
        <v>23</v>
      </c>
      <c r="W225">
        <v>22</v>
      </c>
      <c r="X225">
        <v>0</v>
      </c>
      <c r="Y225">
        <v>28.7</v>
      </c>
      <c r="Z225">
        <v>0.29299999999999998</v>
      </c>
    </row>
    <row r="226" spans="1:26">
      <c r="A226" s="2">
        <v>43904</v>
      </c>
      <c r="B226" s="4">
        <v>0.33333333333333331</v>
      </c>
      <c r="C226" s="1" t="s">
        <v>109</v>
      </c>
      <c r="E226">
        <v>13</v>
      </c>
      <c r="F226">
        <v>0</v>
      </c>
      <c r="G226">
        <v>0</v>
      </c>
      <c r="H226">
        <v>0</v>
      </c>
      <c r="J226">
        <v>0</v>
      </c>
      <c r="K226">
        <v>0</v>
      </c>
      <c r="L226" s="1" t="s">
        <v>502</v>
      </c>
      <c r="N226" s="1" t="s">
        <v>37</v>
      </c>
      <c r="P226" s="1" t="s">
        <v>37</v>
      </c>
      <c r="R226" s="1" t="s">
        <v>37</v>
      </c>
      <c r="S226">
        <v>47.157296000000002</v>
      </c>
      <c r="T226">
        <v>8.5372939999999993</v>
      </c>
      <c r="U226" s="1" t="s">
        <v>110</v>
      </c>
      <c r="V226">
        <v>9</v>
      </c>
      <c r="W226">
        <v>0</v>
      </c>
      <c r="X226">
        <v>0</v>
      </c>
      <c r="Y226">
        <v>10.37</v>
      </c>
      <c r="Z226">
        <v>0</v>
      </c>
    </row>
    <row r="227" spans="1:26">
      <c r="A227" s="2">
        <v>43904</v>
      </c>
      <c r="B227" s="4">
        <v>0.60416666666666663</v>
      </c>
      <c r="C227" s="1" t="s">
        <v>111</v>
      </c>
      <c r="E227">
        <v>219</v>
      </c>
      <c r="F227">
        <v>0</v>
      </c>
      <c r="L227" s="1" t="s">
        <v>113</v>
      </c>
      <c r="N227" s="1" t="s">
        <v>37</v>
      </c>
      <c r="P227" s="1" t="s">
        <v>37</v>
      </c>
      <c r="R227" s="1" t="s">
        <v>37</v>
      </c>
      <c r="S227">
        <v>47.412750000000003</v>
      </c>
      <c r="T227">
        <v>8.6550799999999999</v>
      </c>
      <c r="U227" s="1" t="s">
        <v>112</v>
      </c>
      <c r="V227">
        <v>1</v>
      </c>
      <c r="W227">
        <v>55</v>
      </c>
      <c r="X227">
        <v>0</v>
      </c>
      <c r="Y227">
        <v>14.56</v>
      </c>
    </row>
    <row r="228" spans="1:26">
      <c r="A228" s="2">
        <v>43905</v>
      </c>
      <c r="B228" s="4">
        <v>0.125</v>
      </c>
      <c r="C228" s="1" t="s">
        <v>48</v>
      </c>
      <c r="E228">
        <v>54</v>
      </c>
      <c r="F228">
        <v>4</v>
      </c>
      <c r="G228">
        <v>12</v>
      </c>
      <c r="H228">
        <v>2</v>
      </c>
      <c r="J228">
        <v>5</v>
      </c>
      <c r="K228">
        <v>2</v>
      </c>
      <c r="L228" s="1" t="s">
        <v>202</v>
      </c>
      <c r="N228" s="1" t="s">
        <v>37</v>
      </c>
      <c r="P228" s="1" t="s">
        <v>37</v>
      </c>
      <c r="R228" s="1" t="s">
        <v>37</v>
      </c>
      <c r="S228">
        <v>47.45176</v>
      </c>
      <c r="T228">
        <v>7.7024140000000001</v>
      </c>
      <c r="U228" s="1" t="s">
        <v>49</v>
      </c>
      <c r="V228">
        <v>13</v>
      </c>
      <c r="W228">
        <v>7</v>
      </c>
      <c r="X228">
        <v>0</v>
      </c>
      <c r="Y228">
        <v>18.82</v>
      </c>
      <c r="Z228">
        <v>0.69699999999999995</v>
      </c>
    </row>
    <row r="229" spans="1:26">
      <c r="A229" s="2">
        <v>43905</v>
      </c>
      <c r="B229" s="4">
        <v>0.125</v>
      </c>
      <c r="C229" s="1" t="s">
        <v>54</v>
      </c>
      <c r="D229">
        <v>99</v>
      </c>
      <c r="E229">
        <v>7</v>
      </c>
      <c r="F229">
        <v>0</v>
      </c>
      <c r="J229">
        <v>1</v>
      </c>
      <c r="L229" s="1" t="s">
        <v>203</v>
      </c>
      <c r="N229" s="1" t="s">
        <v>37</v>
      </c>
      <c r="P229" s="1" t="s">
        <v>37</v>
      </c>
      <c r="R229" s="1" t="s">
        <v>37</v>
      </c>
      <c r="S229">
        <v>47.166666999999997</v>
      </c>
      <c r="T229">
        <v>9.509722</v>
      </c>
      <c r="U229" s="1" t="s">
        <v>55</v>
      </c>
      <c r="V229">
        <v>0</v>
      </c>
      <c r="W229">
        <v>4</v>
      </c>
      <c r="X229">
        <v>0</v>
      </c>
      <c r="Y229">
        <v>18.13</v>
      </c>
    </row>
    <row r="230" spans="1:26">
      <c r="A230" s="2">
        <v>43905</v>
      </c>
      <c r="B230" s="4">
        <v>0.125</v>
      </c>
      <c r="C230" s="1" t="s">
        <v>57</v>
      </c>
      <c r="D230">
        <v>30</v>
      </c>
      <c r="E230">
        <v>40</v>
      </c>
      <c r="F230">
        <v>0</v>
      </c>
      <c r="L230" s="1" t="s">
        <v>59</v>
      </c>
      <c r="N230" s="1" t="s">
        <v>37</v>
      </c>
      <c r="P230" s="1" t="s">
        <v>37</v>
      </c>
      <c r="R230" s="1" t="s">
        <v>37</v>
      </c>
      <c r="S230">
        <v>46.718390999999997</v>
      </c>
      <c r="T230">
        <v>7.0740080000000001</v>
      </c>
      <c r="U230" s="1" t="s">
        <v>58</v>
      </c>
      <c r="V230">
        <v>10</v>
      </c>
      <c r="W230">
        <v>4</v>
      </c>
      <c r="X230">
        <v>0</v>
      </c>
      <c r="Y230">
        <v>12.69</v>
      </c>
    </row>
    <row r="231" spans="1:26">
      <c r="A231" s="2">
        <v>43905</v>
      </c>
      <c r="B231" s="4">
        <v>0.125</v>
      </c>
      <c r="C231" s="1" t="s">
        <v>60</v>
      </c>
      <c r="D231">
        <v>3896</v>
      </c>
      <c r="E231">
        <v>374</v>
      </c>
      <c r="F231">
        <v>3</v>
      </c>
      <c r="G231">
        <v>46</v>
      </c>
      <c r="H231">
        <v>12</v>
      </c>
      <c r="I231">
        <v>8</v>
      </c>
      <c r="K231">
        <v>3</v>
      </c>
      <c r="L231" s="1" t="s">
        <v>62</v>
      </c>
      <c r="N231" s="1" t="s">
        <v>37</v>
      </c>
      <c r="P231" s="1" t="s">
        <v>37</v>
      </c>
      <c r="Q231">
        <v>2</v>
      </c>
      <c r="R231" s="1" t="s">
        <v>37</v>
      </c>
      <c r="S231">
        <v>46.220528000000002</v>
      </c>
      <c r="T231">
        <v>6.1329349999999998</v>
      </c>
      <c r="U231" s="1" t="s">
        <v>61</v>
      </c>
      <c r="V231">
        <v>25</v>
      </c>
      <c r="W231">
        <v>93</v>
      </c>
      <c r="X231">
        <v>2</v>
      </c>
      <c r="Y231">
        <v>75.53</v>
      </c>
      <c r="Z231">
        <v>0.60599999999999998</v>
      </c>
    </row>
    <row r="232" spans="1:26">
      <c r="A232" s="2">
        <v>43905</v>
      </c>
      <c r="B232" s="4">
        <v>0.125</v>
      </c>
      <c r="C232" s="1" t="s">
        <v>69</v>
      </c>
      <c r="E232">
        <v>19</v>
      </c>
      <c r="F232">
        <v>1</v>
      </c>
      <c r="G232">
        <v>9</v>
      </c>
      <c r="L232" s="1" t="s">
        <v>280</v>
      </c>
      <c r="N232" s="1" t="s">
        <v>37</v>
      </c>
      <c r="P232" s="1" t="s">
        <v>37</v>
      </c>
      <c r="R232" s="1" t="s">
        <v>37</v>
      </c>
      <c r="S232">
        <v>47.350743999999999</v>
      </c>
      <c r="T232">
        <v>7.1561070000000004</v>
      </c>
      <c r="U232" s="1" t="s">
        <v>70</v>
      </c>
      <c r="V232">
        <v>26</v>
      </c>
      <c r="W232">
        <v>1</v>
      </c>
      <c r="X232">
        <v>0</v>
      </c>
      <c r="Y232">
        <v>25.92</v>
      </c>
    </row>
    <row r="233" spans="1:26">
      <c r="A233" s="2">
        <v>43905</v>
      </c>
      <c r="B233" s="4">
        <v>0.125</v>
      </c>
      <c r="C233" s="1" t="s">
        <v>74</v>
      </c>
      <c r="E233">
        <v>74</v>
      </c>
      <c r="F233">
        <v>-1</v>
      </c>
      <c r="G233">
        <v>9</v>
      </c>
      <c r="H233">
        <v>1</v>
      </c>
      <c r="L233" s="1" t="s">
        <v>76</v>
      </c>
      <c r="N233" s="1" t="s">
        <v>37</v>
      </c>
      <c r="P233" s="1" t="s">
        <v>37</v>
      </c>
      <c r="R233" s="1" t="s">
        <v>37</v>
      </c>
      <c r="S233">
        <v>46.995533999999999</v>
      </c>
      <c r="T233">
        <v>6.7801260000000001</v>
      </c>
      <c r="U233" s="1" t="s">
        <v>75</v>
      </c>
      <c r="V233">
        <v>24</v>
      </c>
      <c r="W233">
        <v>6</v>
      </c>
      <c r="X233">
        <v>0</v>
      </c>
      <c r="Y233">
        <v>41.57</v>
      </c>
    </row>
    <row r="234" spans="1:26">
      <c r="A234" s="2">
        <v>43905</v>
      </c>
      <c r="B234" s="4">
        <v>0.125</v>
      </c>
      <c r="C234" s="1" t="s">
        <v>86</v>
      </c>
      <c r="E234">
        <v>1</v>
      </c>
      <c r="F234">
        <v>0</v>
      </c>
      <c r="K234">
        <v>0</v>
      </c>
      <c r="L234" s="1" t="s">
        <v>88</v>
      </c>
      <c r="N234" s="1" t="s">
        <v>37</v>
      </c>
      <c r="P234" s="1" t="s">
        <v>37</v>
      </c>
      <c r="R234" s="1" t="s">
        <v>37</v>
      </c>
      <c r="S234">
        <v>47.713569999999997</v>
      </c>
      <c r="T234">
        <v>8.5916700000000006</v>
      </c>
      <c r="U234" s="1" t="s">
        <v>87</v>
      </c>
      <c r="V234">
        <v>14</v>
      </c>
      <c r="W234">
        <v>0</v>
      </c>
      <c r="X234">
        <v>0</v>
      </c>
      <c r="Y234">
        <v>1.23</v>
      </c>
      <c r="Z234">
        <v>0</v>
      </c>
    </row>
    <row r="235" spans="1:26">
      <c r="A235" s="2">
        <v>43905</v>
      </c>
      <c r="B235" s="4">
        <v>0.125</v>
      </c>
      <c r="C235" s="1" t="s">
        <v>92</v>
      </c>
      <c r="D235">
        <v>10</v>
      </c>
      <c r="E235">
        <v>13</v>
      </c>
      <c r="F235">
        <v>0</v>
      </c>
      <c r="G235">
        <v>1</v>
      </c>
      <c r="L235" s="1" t="s">
        <v>204</v>
      </c>
      <c r="N235" s="1" t="s">
        <v>37</v>
      </c>
      <c r="P235" s="1" t="s">
        <v>37</v>
      </c>
      <c r="R235" s="1" t="s">
        <v>37</v>
      </c>
      <c r="S235">
        <v>47.061787000000002</v>
      </c>
      <c r="T235">
        <v>8.7565849999999994</v>
      </c>
      <c r="U235" s="1" t="s">
        <v>93</v>
      </c>
      <c r="V235">
        <v>5</v>
      </c>
      <c r="W235">
        <v>1</v>
      </c>
      <c r="X235">
        <v>0</v>
      </c>
      <c r="Y235">
        <v>8.26</v>
      </c>
    </row>
    <row r="236" spans="1:26">
      <c r="A236" s="2">
        <v>43905</v>
      </c>
      <c r="B236" s="4">
        <v>0.125</v>
      </c>
      <c r="C236" s="1" t="s">
        <v>98</v>
      </c>
      <c r="E236">
        <v>291</v>
      </c>
      <c r="F236">
        <v>0</v>
      </c>
      <c r="G236">
        <v>65</v>
      </c>
      <c r="H236">
        <v>13</v>
      </c>
      <c r="K236">
        <v>6</v>
      </c>
      <c r="L236" s="1" t="s">
        <v>205</v>
      </c>
      <c r="N236" s="1" t="s">
        <v>37</v>
      </c>
      <c r="P236" s="1" t="s">
        <v>37</v>
      </c>
      <c r="R236" s="1" t="s">
        <v>37</v>
      </c>
      <c r="S236">
        <v>46.295617</v>
      </c>
      <c r="T236">
        <v>8.8089239999999993</v>
      </c>
      <c r="U236" s="1" t="s">
        <v>99</v>
      </c>
      <c r="V236">
        <v>21</v>
      </c>
      <c r="W236">
        <v>26</v>
      </c>
      <c r="X236">
        <v>3</v>
      </c>
      <c r="Y236">
        <v>82.27</v>
      </c>
      <c r="Z236">
        <v>1.696</v>
      </c>
    </row>
    <row r="237" spans="1:26">
      <c r="A237" s="2">
        <v>43905</v>
      </c>
      <c r="B237" s="4">
        <v>0.125</v>
      </c>
      <c r="C237" s="1" t="s">
        <v>104</v>
      </c>
      <c r="E237">
        <v>410</v>
      </c>
      <c r="F237">
        <v>15</v>
      </c>
      <c r="G237">
        <v>91</v>
      </c>
      <c r="H237">
        <v>10</v>
      </c>
      <c r="J237">
        <v>5</v>
      </c>
      <c r="K237">
        <v>5</v>
      </c>
      <c r="L237" s="1" t="s">
        <v>106</v>
      </c>
      <c r="N237" s="1" t="s">
        <v>37</v>
      </c>
      <c r="P237" s="1" t="s">
        <v>37</v>
      </c>
      <c r="R237" s="1" t="s">
        <v>37</v>
      </c>
      <c r="S237">
        <v>46.570090999999998</v>
      </c>
      <c r="T237">
        <v>6.5578090000000007</v>
      </c>
      <c r="U237" s="1" t="s">
        <v>105</v>
      </c>
      <c r="V237">
        <v>22</v>
      </c>
      <c r="W237">
        <v>99</v>
      </c>
      <c r="X237">
        <v>1</v>
      </c>
      <c r="Y237">
        <v>51.7</v>
      </c>
      <c r="Z237">
        <v>0.63</v>
      </c>
    </row>
    <row r="238" spans="1:26">
      <c r="A238" s="2">
        <v>43905</v>
      </c>
      <c r="B238" s="4">
        <v>0.125</v>
      </c>
      <c r="C238" s="1" t="s">
        <v>107</v>
      </c>
      <c r="E238">
        <v>115</v>
      </c>
      <c r="F238">
        <v>2</v>
      </c>
      <c r="G238">
        <v>35</v>
      </c>
      <c r="H238">
        <v>1</v>
      </c>
      <c r="I238">
        <v>1</v>
      </c>
      <c r="J238">
        <v>3</v>
      </c>
      <c r="K238">
        <v>2</v>
      </c>
      <c r="L238" s="1" t="s">
        <v>412</v>
      </c>
      <c r="N238" s="1" t="s">
        <v>37</v>
      </c>
      <c r="P238" s="1" t="s">
        <v>37</v>
      </c>
      <c r="R238" s="1" t="s">
        <v>37</v>
      </c>
      <c r="S238">
        <v>46.209567</v>
      </c>
      <c r="T238">
        <v>7.6046589999999998</v>
      </c>
      <c r="U238" s="1" t="s">
        <v>108</v>
      </c>
      <c r="V238">
        <v>23</v>
      </c>
      <c r="W238">
        <v>17</v>
      </c>
      <c r="X238">
        <v>1</v>
      </c>
      <c r="Y238">
        <v>33.67</v>
      </c>
      <c r="Z238">
        <v>0.58599999999999997</v>
      </c>
    </row>
    <row r="239" spans="1:26">
      <c r="A239" s="2">
        <v>43905</v>
      </c>
      <c r="B239" s="4">
        <v>0.33333333333333331</v>
      </c>
      <c r="C239" s="1" t="s">
        <v>109</v>
      </c>
      <c r="E239">
        <v>20</v>
      </c>
      <c r="F239">
        <v>0</v>
      </c>
      <c r="G239">
        <v>0</v>
      </c>
      <c r="H239">
        <v>0</v>
      </c>
      <c r="J239">
        <v>0</v>
      </c>
      <c r="K239">
        <v>0</v>
      </c>
      <c r="L239" s="1" t="s">
        <v>502</v>
      </c>
      <c r="N239" s="1" t="s">
        <v>37</v>
      </c>
      <c r="P239" s="1" t="s">
        <v>37</v>
      </c>
      <c r="R239" s="1" t="s">
        <v>37</v>
      </c>
      <c r="S239">
        <v>47.157296000000002</v>
      </c>
      <c r="T239">
        <v>8.5372939999999993</v>
      </c>
      <c r="U239" s="1" t="s">
        <v>110</v>
      </c>
      <c r="V239">
        <v>9</v>
      </c>
      <c r="W239">
        <v>7</v>
      </c>
      <c r="X239">
        <v>0</v>
      </c>
      <c r="Y239">
        <v>15.95</v>
      </c>
      <c r="Z239">
        <v>0</v>
      </c>
    </row>
    <row r="240" spans="1:26">
      <c r="A240" s="2">
        <v>43905</v>
      </c>
      <c r="B240" s="4">
        <v>0.60416666666666663</v>
      </c>
      <c r="C240" s="1" t="s">
        <v>111</v>
      </c>
      <c r="E240">
        <v>251</v>
      </c>
      <c r="F240">
        <v>0</v>
      </c>
      <c r="K240">
        <v>1</v>
      </c>
      <c r="L240" s="1" t="s">
        <v>113</v>
      </c>
      <c r="N240" s="1" t="s">
        <v>37</v>
      </c>
      <c r="P240" s="1" t="s">
        <v>37</v>
      </c>
      <c r="R240" s="1" t="s">
        <v>37</v>
      </c>
      <c r="S240">
        <v>47.412750000000003</v>
      </c>
      <c r="T240">
        <v>8.6550799999999999</v>
      </c>
      <c r="U240" s="1" t="s">
        <v>112</v>
      </c>
      <c r="V240">
        <v>1</v>
      </c>
      <c r="W240">
        <v>32</v>
      </c>
      <c r="X240">
        <v>0</v>
      </c>
      <c r="Y240">
        <v>16.690000000000001</v>
      </c>
      <c r="Z240">
        <v>6.6000000000000003E-2</v>
      </c>
    </row>
    <row r="241" spans="1:26">
      <c r="A241" s="2">
        <v>43906</v>
      </c>
      <c r="B241" s="4">
        <v>0.625</v>
      </c>
      <c r="C241" s="1" t="s">
        <v>35</v>
      </c>
      <c r="E241">
        <v>52</v>
      </c>
      <c r="F241">
        <v>0</v>
      </c>
      <c r="G241">
        <v>2</v>
      </c>
      <c r="J241">
        <v>4</v>
      </c>
      <c r="L241" s="1" t="s">
        <v>206</v>
      </c>
      <c r="N241" s="1" t="s">
        <v>37</v>
      </c>
      <c r="P241" s="1" t="s">
        <v>37</v>
      </c>
      <c r="R241" s="1" t="s">
        <v>37</v>
      </c>
      <c r="S241">
        <v>47.409660000000002</v>
      </c>
      <c r="T241">
        <v>8.1568799999999992</v>
      </c>
      <c r="U241" s="1" t="s">
        <v>36</v>
      </c>
      <c r="V241">
        <v>1</v>
      </c>
      <c r="W241">
        <v>20</v>
      </c>
      <c r="X241">
        <v>0</v>
      </c>
      <c r="Y241">
        <v>7.75</v>
      </c>
    </row>
    <row r="242" spans="1:26">
      <c r="A242" s="2">
        <v>43906</v>
      </c>
      <c r="B242" s="4">
        <v>0.125</v>
      </c>
      <c r="C242" s="1" t="s">
        <v>39</v>
      </c>
      <c r="E242">
        <v>4</v>
      </c>
      <c r="F242">
        <v>0</v>
      </c>
      <c r="L242" s="1" t="s">
        <v>207</v>
      </c>
      <c r="N242" s="1" t="s">
        <v>37</v>
      </c>
      <c r="P242" s="1" t="s">
        <v>37</v>
      </c>
      <c r="R242" s="1" t="s">
        <v>37</v>
      </c>
      <c r="S242">
        <v>47.317264000000002</v>
      </c>
      <c r="T242">
        <v>9.4167539999999992</v>
      </c>
      <c r="U242" s="1" t="s">
        <v>40</v>
      </c>
      <c r="V242">
        <v>16</v>
      </c>
      <c r="W242">
        <v>2</v>
      </c>
      <c r="X242">
        <v>0</v>
      </c>
      <c r="Y242">
        <v>24.84</v>
      </c>
    </row>
    <row r="243" spans="1:26">
      <c r="A243" s="2">
        <v>43906</v>
      </c>
      <c r="B243" s="4">
        <v>0.125</v>
      </c>
      <c r="C243" s="1" t="s">
        <v>45</v>
      </c>
      <c r="E243">
        <v>123</v>
      </c>
      <c r="F243">
        <v>0</v>
      </c>
      <c r="K243">
        <v>1</v>
      </c>
      <c r="L243" s="1" t="s">
        <v>47</v>
      </c>
      <c r="N243" s="1" t="s">
        <v>37</v>
      </c>
      <c r="P243" s="1" t="s">
        <v>37</v>
      </c>
      <c r="R243" s="1" t="s">
        <v>37</v>
      </c>
      <c r="S243">
        <v>46.823608</v>
      </c>
      <c r="T243">
        <v>7.6366670000000001</v>
      </c>
      <c r="U243" s="1" t="s">
        <v>46</v>
      </c>
      <c r="V243">
        <v>2</v>
      </c>
      <c r="W243">
        <v>89</v>
      </c>
      <c r="X243">
        <v>0</v>
      </c>
      <c r="Y243">
        <v>11.93</v>
      </c>
      <c r="Z243">
        <v>9.7000000000000003E-2</v>
      </c>
    </row>
    <row r="244" spans="1:26">
      <c r="A244" s="2">
        <v>43906</v>
      </c>
      <c r="B244" s="4">
        <v>0.125</v>
      </c>
      <c r="C244" s="1" t="s">
        <v>48</v>
      </c>
      <c r="E244">
        <v>76</v>
      </c>
      <c r="F244">
        <v>5</v>
      </c>
      <c r="G244">
        <v>17</v>
      </c>
      <c r="H244">
        <v>4</v>
      </c>
      <c r="J244">
        <v>5</v>
      </c>
      <c r="K244">
        <v>2</v>
      </c>
      <c r="L244" s="1" t="s">
        <v>208</v>
      </c>
      <c r="N244" s="1" t="s">
        <v>37</v>
      </c>
      <c r="P244" s="1" t="s">
        <v>37</v>
      </c>
      <c r="R244" s="1" t="s">
        <v>37</v>
      </c>
      <c r="S244">
        <v>47.45176</v>
      </c>
      <c r="T244">
        <v>7.7024140000000001</v>
      </c>
      <c r="U244" s="1" t="s">
        <v>49</v>
      </c>
      <c r="V244">
        <v>13</v>
      </c>
      <c r="W244">
        <v>22</v>
      </c>
      <c r="X244">
        <v>0</v>
      </c>
      <c r="Y244">
        <v>26.48</v>
      </c>
      <c r="Z244">
        <v>0.69699999999999995</v>
      </c>
    </row>
    <row r="245" spans="1:26">
      <c r="A245" s="2">
        <v>43906</v>
      </c>
      <c r="B245" s="4">
        <v>0.5</v>
      </c>
      <c r="C245" s="1" t="s">
        <v>51</v>
      </c>
      <c r="D245">
        <v>235</v>
      </c>
      <c r="E245">
        <v>144</v>
      </c>
      <c r="F245">
        <v>0</v>
      </c>
      <c r="G245">
        <v>13</v>
      </c>
      <c r="H245">
        <v>2</v>
      </c>
      <c r="J245">
        <v>4</v>
      </c>
      <c r="K245">
        <v>4</v>
      </c>
      <c r="L245" s="1" t="s">
        <v>209</v>
      </c>
      <c r="M245">
        <v>126</v>
      </c>
      <c r="N245" s="1" t="s">
        <v>37</v>
      </c>
      <c r="P245" s="1" t="s">
        <v>37</v>
      </c>
      <c r="R245" s="1" t="s">
        <v>37</v>
      </c>
      <c r="S245">
        <v>47.564869000000002</v>
      </c>
      <c r="T245">
        <v>7.615259</v>
      </c>
      <c r="U245" s="1" t="s">
        <v>52</v>
      </c>
      <c r="V245">
        <v>12</v>
      </c>
      <c r="W245">
        <v>44</v>
      </c>
      <c r="X245">
        <v>3</v>
      </c>
      <c r="Y245">
        <v>74.27</v>
      </c>
      <c r="Z245">
        <v>2.0630000000000002</v>
      </c>
    </row>
    <row r="246" spans="1:26">
      <c r="A246" s="2">
        <v>43906</v>
      </c>
      <c r="B246" s="4">
        <v>0.125</v>
      </c>
      <c r="C246" s="1" t="s">
        <v>57</v>
      </c>
      <c r="D246">
        <v>30</v>
      </c>
      <c r="E246">
        <v>45</v>
      </c>
      <c r="F246">
        <v>0</v>
      </c>
      <c r="L246" s="1" t="s">
        <v>59</v>
      </c>
      <c r="N246" s="1" t="s">
        <v>37</v>
      </c>
      <c r="P246" s="1" t="s">
        <v>37</v>
      </c>
      <c r="R246" s="1" t="s">
        <v>37</v>
      </c>
      <c r="S246">
        <v>46.718390999999997</v>
      </c>
      <c r="T246">
        <v>7.0740080000000001</v>
      </c>
      <c r="U246" s="1" t="s">
        <v>58</v>
      </c>
      <c r="V246">
        <v>10</v>
      </c>
      <c r="W246">
        <v>5</v>
      </c>
      <c r="X246">
        <v>0</v>
      </c>
      <c r="Y246">
        <v>14.28</v>
      </c>
    </row>
    <row r="247" spans="1:26">
      <c r="A247" s="2">
        <v>43906</v>
      </c>
      <c r="B247" s="4">
        <v>0.125</v>
      </c>
      <c r="C247" s="1" t="s">
        <v>60</v>
      </c>
      <c r="D247">
        <v>4347</v>
      </c>
      <c r="E247">
        <v>461</v>
      </c>
      <c r="F247">
        <v>20</v>
      </c>
      <c r="G247">
        <v>66</v>
      </c>
      <c r="H247">
        <v>10</v>
      </c>
      <c r="I247">
        <v>9</v>
      </c>
      <c r="K247">
        <v>3</v>
      </c>
      <c r="L247" s="1" t="s">
        <v>62</v>
      </c>
      <c r="N247" s="1" t="s">
        <v>37</v>
      </c>
      <c r="P247" s="1" t="s">
        <v>37</v>
      </c>
      <c r="Q247">
        <v>4</v>
      </c>
      <c r="R247" s="1" t="s">
        <v>37</v>
      </c>
      <c r="S247">
        <v>46.220528000000002</v>
      </c>
      <c r="T247">
        <v>6.1329349999999998</v>
      </c>
      <c r="U247" s="1" t="s">
        <v>61</v>
      </c>
      <c r="V247">
        <v>25</v>
      </c>
      <c r="W247">
        <v>87</v>
      </c>
      <c r="X247">
        <v>0</v>
      </c>
      <c r="Y247">
        <v>93.09</v>
      </c>
      <c r="Z247">
        <v>0.60599999999999998</v>
      </c>
    </row>
    <row r="248" spans="1:26">
      <c r="A248" s="2">
        <v>43906</v>
      </c>
      <c r="B248" s="4">
        <v>0.125</v>
      </c>
      <c r="C248" s="1" t="s">
        <v>69</v>
      </c>
      <c r="E248">
        <v>25</v>
      </c>
      <c r="F248">
        <v>0</v>
      </c>
      <c r="G248">
        <v>9</v>
      </c>
      <c r="L248" s="1" t="s">
        <v>280</v>
      </c>
      <c r="N248" s="1" t="s">
        <v>37</v>
      </c>
      <c r="P248" s="1" t="s">
        <v>37</v>
      </c>
      <c r="R248" s="1" t="s">
        <v>37</v>
      </c>
      <c r="S248">
        <v>47.350743999999999</v>
      </c>
      <c r="T248">
        <v>7.1561070000000004</v>
      </c>
      <c r="U248" s="1" t="s">
        <v>70</v>
      </c>
      <c r="V248">
        <v>26</v>
      </c>
      <c r="W248">
        <v>6</v>
      </c>
      <c r="X248">
        <v>0</v>
      </c>
      <c r="Y248">
        <v>34.11</v>
      </c>
    </row>
    <row r="249" spans="1:26">
      <c r="A249" s="2">
        <v>43906</v>
      </c>
      <c r="B249" s="4">
        <v>0.125</v>
      </c>
      <c r="C249" s="1" t="s">
        <v>74</v>
      </c>
      <c r="E249">
        <v>93</v>
      </c>
      <c r="F249">
        <v>4</v>
      </c>
      <c r="G249">
        <v>13</v>
      </c>
      <c r="H249">
        <v>2</v>
      </c>
      <c r="L249" s="1" t="s">
        <v>76</v>
      </c>
      <c r="N249" s="1" t="s">
        <v>37</v>
      </c>
      <c r="P249" s="1" t="s">
        <v>37</v>
      </c>
      <c r="R249" s="1" t="s">
        <v>37</v>
      </c>
      <c r="S249">
        <v>46.995533999999999</v>
      </c>
      <c r="T249">
        <v>6.7801260000000001</v>
      </c>
      <c r="U249" s="1" t="s">
        <v>75</v>
      </c>
      <c r="V249">
        <v>24</v>
      </c>
      <c r="W249">
        <v>19</v>
      </c>
      <c r="X249">
        <v>0</v>
      </c>
      <c r="Y249">
        <v>52.25</v>
      </c>
    </row>
    <row r="250" spans="1:26">
      <c r="A250" s="2">
        <v>43906</v>
      </c>
      <c r="B250" s="4">
        <v>0.125</v>
      </c>
      <c r="C250" s="1" t="s">
        <v>86</v>
      </c>
      <c r="E250">
        <v>2</v>
      </c>
      <c r="F250">
        <v>0</v>
      </c>
      <c r="K250">
        <v>0</v>
      </c>
      <c r="L250" s="1" t="s">
        <v>88</v>
      </c>
      <c r="N250" s="1" t="s">
        <v>37</v>
      </c>
      <c r="P250" s="1" t="s">
        <v>37</v>
      </c>
      <c r="R250" s="1" t="s">
        <v>37</v>
      </c>
      <c r="S250">
        <v>47.713569999999997</v>
      </c>
      <c r="T250">
        <v>8.5916700000000006</v>
      </c>
      <c r="U250" s="1" t="s">
        <v>87</v>
      </c>
      <c r="V250">
        <v>14</v>
      </c>
      <c r="W250">
        <v>1</v>
      </c>
      <c r="X250">
        <v>0</v>
      </c>
      <c r="Y250">
        <v>2.46</v>
      </c>
      <c r="Z250">
        <v>0</v>
      </c>
    </row>
    <row r="251" spans="1:26">
      <c r="A251" s="2">
        <v>43906</v>
      </c>
      <c r="B251" s="4">
        <v>0.125</v>
      </c>
      <c r="C251" s="1" t="s">
        <v>95</v>
      </c>
      <c r="D251">
        <v>246</v>
      </c>
      <c r="E251">
        <v>17</v>
      </c>
      <c r="F251">
        <v>0</v>
      </c>
      <c r="L251" s="1" t="s">
        <v>37</v>
      </c>
      <c r="N251" s="1" t="s">
        <v>37</v>
      </c>
      <c r="P251" s="1" t="s">
        <v>37</v>
      </c>
      <c r="R251" s="1" t="s">
        <v>37</v>
      </c>
      <c r="S251">
        <v>47.568714999999997</v>
      </c>
      <c r="T251">
        <v>9.0919570000000007</v>
      </c>
      <c r="U251" s="1" t="s">
        <v>96</v>
      </c>
      <c r="V251">
        <v>1</v>
      </c>
      <c r="W251">
        <v>0</v>
      </c>
      <c r="X251">
        <v>0</v>
      </c>
      <c r="Y251">
        <v>6.21</v>
      </c>
    </row>
    <row r="252" spans="1:26">
      <c r="A252" s="2">
        <v>43906</v>
      </c>
      <c r="B252" s="4">
        <v>0.125</v>
      </c>
      <c r="C252" s="1" t="s">
        <v>98</v>
      </c>
      <c r="E252">
        <v>330</v>
      </c>
      <c r="F252">
        <v>0</v>
      </c>
      <c r="G252">
        <v>65</v>
      </c>
      <c r="H252">
        <v>13</v>
      </c>
      <c r="K252">
        <v>8</v>
      </c>
      <c r="L252" s="1" t="s">
        <v>210</v>
      </c>
      <c r="N252" s="1" t="s">
        <v>37</v>
      </c>
      <c r="P252" s="1" t="s">
        <v>37</v>
      </c>
      <c r="R252" s="1" t="s">
        <v>37</v>
      </c>
      <c r="S252">
        <v>46.295617</v>
      </c>
      <c r="T252">
        <v>8.8089239999999993</v>
      </c>
      <c r="U252" s="1" t="s">
        <v>99</v>
      </c>
      <c r="V252">
        <v>21</v>
      </c>
      <c r="W252">
        <v>39</v>
      </c>
      <c r="X252">
        <v>2</v>
      </c>
      <c r="Y252">
        <v>93.3</v>
      </c>
      <c r="Z252">
        <v>2.262</v>
      </c>
    </row>
    <row r="253" spans="1:26">
      <c r="A253" s="2">
        <v>43906</v>
      </c>
      <c r="B253" s="4">
        <v>0.125</v>
      </c>
      <c r="C253" s="1" t="s">
        <v>104</v>
      </c>
      <c r="E253">
        <v>492</v>
      </c>
      <c r="F253">
        <v>36</v>
      </c>
      <c r="G253">
        <v>127</v>
      </c>
      <c r="H253">
        <v>20</v>
      </c>
      <c r="J253">
        <v>5</v>
      </c>
      <c r="K253">
        <v>7</v>
      </c>
      <c r="L253" s="1" t="s">
        <v>106</v>
      </c>
      <c r="N253" s="1" t="s">
        <v>37</v>
      </c>
      <c r="P253" s="1" t="s">
        <v>37</v>
      </c>
      <c r="R253" s="1" t="s">
        <v>37</v>
      </c>
      <c r="S253">
        <v>46.570090999999998</v>
      </c>
      <c r="T253">
        <v>6.5578090000000007</v>
      </c>
      <c r="U253" s="1" t="s">
        <v>105</v>
      </c>
      <c r="V253">
        <v>22</v>
      </c>
      <c r="W253">
        <v>82</v>
      </c>
      <c r="X253">
        <v>2</v>
      </c>
      <c r="Y253">
        <v>62.04</v>
      </c>
      <c r="Z253">
        <v>0.88300000000000001</v>
      </c>
    </row>
    <row r="254" spans="1:26">
      <c r="A254" s="2">
        <v>43906</v>
      </c>
      <c r="B254" s="4">
        <v>0.125</v>
      </c>
      <c r="C254" s="1" t="s">
        <v>107</v>
      </c>
      <c r="E254">
        <v>172</v>
      </c>
      <c r="F254">
        <v>6</v>
      </c>
      <c r="G254">
        <v>41</v>
      </c>
      <c r="H254">
        <v>2</v>
      </c>
      <c r="I254">
        <v>1</v>
      </c>
      <c r="J254">
        <v>3</v>
      </c>
      <c r="K254">
        <v>3</v>
      </c>
      <c r="L254" s="1" t="s">
        <v>412</v>
      </c>
      <c r="N254" s="1" t="s">
        <v>37</v>
      </c>
      <c r="P254" s="1" t="s">
        <v>37</v>
      </c>
      <c r="R254" s="1" t="s">
        <v>37</v>
      </c>
      <c r="S254">
        <v>46.209567</v>
      </c>
      <c r="T254">
        <v>7.6046589999999998</v>
      </c>
      <c r="U254" s="1" t="s">
        <v>108</v>
      </c>
      <c r="V254">
        <v>23</v>
      </c>
      <c r="W254">
        <v>57</v>
      </c>
      <c r="X254">
        <v>1</v>
      </c>
      <c r="Y254">
        <v>50.37</v>
      </c>
      <c r="Z254">
        <v>0.878</v>
      </c>
    </row>
    <row r="255" spans="1:26">
      <c r="A255" s="2">
        <v>43906</v>
      </c>
      <c r="B255" s="4">
        <v>0.33333333333333331</v>
      </c>
      <c r="C255" s="1" t="s">
        <v>109</v>
      </c>
      <c r="E255">
        <v>29</v>
      </c>
      <c r="F255">
        <v>0</v>
      </c>
      <c r="G255">
        <v>0</v>
      </c>
      <c r="H255">
        <v>0</v>
      </c>
      <c r="J255">
        <v>0</v>
      </c>
      <c r="K255">
        <v>0</v>
      </c>
      <c r="L255" s="1" t="s">
        <v>502</v>
      </c>
      <c r="N255" s="1" t="s">
        <v>37</v>
      </c>
      <c r="P255" s="1" t="s">
        <v>37</v>
      </c>
      <c r="R255" s="1" t="s">
        <v>37</v>
      </c>
      <c r="S255">
        <v>47.157296000000002</v>
      </c>
      <c r="T255">
        <v>8.5372939999999993</v>
      </c>
      <c r="U255" s="1" t="s">
        <v>110</v>
      </c>
      <c r="V255">
        <v>9</v>
      </c>
      <c r="W255">
        <v>9</v>
      </c>
      <c r="X255">
        <v>0</v>
      </c>
      <c r="Y255">
        <v>23.13</v>
      </c>
      <c r="Z255">
        <v>0</v>
      </c>
    </row>
    <row r="256" spans="1:26">
      <c r="A256" s="2">
        <v>43906</v>
      </c>
      <c r="B256" s="4">
        <v>0.60416666666666663</v>
      </c>
      <c r="C256" s="1" t="s">
        <v>111</v>
      </c>
      <c r="E256">
        <v>327</v>
      </c>
      <c r="F256">
        <v>0</v>
      </c>
      <c r="K256">
        <v>1</v>
      </c>
      <c r="L256" s="1" t="s">
        <v>113</v>
      </c>
      <c r="N256" s="1" t="s">
        <v>37</v>
      </c>
      <c r="P256" s="1" t="s">
        <v>37</v>
      </c>
      <c r="R256" s="1" t="s">
        <v>37</v>
      </c>
      <c r="S256">
        <v>47.412750000000003</v>
      </c>
      <c r="T256">
        <v>8.6550799999999999</v>
      </c>
      <c r="U256" s="1" t="s">
        <v>112</v>
      </c>
      <c r="V256">
        <v>1</v>
      </c>
      <c r="W256">
        <v>76</v>
      </c>
      <c r="X256">
        <v>0</v>
      </c>
      <c r="Y256">
        <v>21.74</v>
      </c>
      <c r="Z256">
        <v>6.6000000000000003E-2</v>
      </c>
    </row>
    <row r="257" spans="1:26">
      <c r="A257" s="2">
        <v>43907</v>
      </c>
      <c r="B257" s="4">
        <v>0.66666666666666663</v>
      </c>
      <c r="C257" s="1" t="s">
        <v>35</v>
      </c>
      <c r="E257">
        <v>67</v>
      </c>
      <c r="F257">
        <v>0</v>
      </c>
      <c r="G257">
        <v>2</v>
      </c>
      <c r="J257">
        <v>4</v>
      </c>
      <c r="L257" s="1" t="s">
        <v>211</v>
      </c>
      <c r="N257" s="1" t="s">
        <v>37</v>
      </c>
      <c r="P257" s="1" t="s">
        <v>37</v>
      </c>
      <c r="R257" s="1" t="s">
        <v>37</v>
      </c>
      <c r="S257">
        <v>47.409660000000002</v>
      </c>
      <c r="T257">
        <v>8.1568799999999992</v>
      </c>
      <c r="U257" s="1" t="s">
        <v>36</v>
      </c>
      <c r="V257">
        <v>1</v>
      </c>
      <c r="W257">
        <v>15</v>
      </c>
      <c r="X257">
        <v>0</v>
      </c>
      <c r="Y257">
        <v>9.99</v>
      </c>
    </row>
    <row r="258" spans="1:26">
      <c r="A258" s="2">
        <v>43907</v>
      </c>
      <c r="B258" s="4">
        <v>0.125</v>
      </c>
      <c r="C258" s="1" t="s">
        <v>39</v>
      </c>
      <c r="E258">
        <v>5</v>
      </c>
      <c r="F258">
        <v>0</v>
      </c>
      <c r="L258" s="1" t="s">
        <v>207</v>
      </c>
      <c r="N258" s="1" t="s">
        <v>37</v>
      </c>
      <c r="P258" s="1" t="s">
        <v>37</v>
      </c>
      <c r="R258" s="1" t="s">
        <v>37</v>
      </c>
      <c r="S258">
        <v>47.317264000000002</v>
      </c>
      <c r="T258">
        <v>9.4167539999999992</v>
      </c>
      <c r="U258" s="1" t="s">
        <v>40</v>
      </c>
      <c r="V258">
        <v>16</v>
      </c>
      <c r="W258">
        <v>1</v>
      </c>
      <c r="X258">
        <v>0</v>
      </c>
      <c r="Y258">
        <v>31.06</v>
      </c>
    </row>
    <row r="259" spans="1:26">
      <c r="A259" s="2">
        <v>43907</v>
      </c>
      <c r="B259" s="4">
        <v>0.125</v>
      </c>
      <c r="C259" s="1" t="s">
        <v>48</v>
      </c>
      <c r="E259">
        <v>89</v>
      </c>
      <c r="F259">
        <v>9</v>
      </c>
      <c r="G259">
        <v>26</v>
      </c>
      <c r="H259">
        <v>5</v>
      </c>
      <c r="J259">
        <v>13</v>
      </c>
      <c r="K259">
        <v>2</v>
      </c>
      <c r="L259" s="1" t="s">
        <v>212</v>
      </c>
      <c r="N259" s="1" t="s">
        <v>37</v>
      </c>
      <c r="P259" s="1" t="s">
        <v>37</v>
      </c>
      <c r="R259" s="1" t="s">
        <v>37</v>
      </c>
      <c r="S259">
        <v>47.45176</v>
      </c>
      <c r="T259">
        <v>7.7024140000000001</v>
      </c>
      <c r="U259" s="1" t="s">
        <v>49</v>
      </c>
      <c r="V259">
        <v>13</v>
      </c>
      <c r="W259">
        <v>13</v>
      </c>
      <c r="X259">
        <v>0</v>
      </c>
      <c r="Y259">
        <v>31.01</v>
      </c>
      <c r="Z259">
        <v>0.69699999999999995</v>
      </c>
    </row>
    <row r="260" spans="1:26">
      <c r="A260" s="2">
        <v>43907</v>
      </c>
      <c r="B260" s="4">
        <v>0.5</v>
      </c>
      <c r="C260" s="1" t="s">
        <v>51</v>
      </c>
      <c r="D260">
        <v>235</v>
      </c>
      <c r="E260">
        <v>165</v>
      </c>
      <c r="F260">
        <v>17</v>
      </c>
      <c r="G260">
        <v>30</v>
      </c>
      <c r="H260">
        <v>2</v>
      </c>
      <c r="J260">
        <v>25</v>
      </c>
      <c r="K260">
        <v>4</v>
      </c>
      <c r="L260" s="1" t="s">
        <v>213</v>
      </c>
      <c r="M260">
        <v>145</v>
      </c>
      <c r="N260" s="1" t="s">
        <v>37</v>
      </c>
      <c r="P260" s="1" t="s">
        <v>37</v>
      </c>
      <c r="R260" s="1" t="s">
        <v>37</v>
      </c>
      <c r="S260">
        <v>47.564869000000002</v>
      </c>
      <c r="T260">
        <v>7.615259</v>
      </c>
      <c r="U260" s="1" t="s">
        <v>52</v>
      </c>
      <c r="V260">
        <v>12</v>
      </c>
      <c r="W260">
        <v>21</v>
      </c>
      <c r="X260">
        <v>0</v>
      </c>
      <c r="Y260">
        <v>85.1</v>
      </c>
      <c r="Z260">
        <v>2.0630000000000002</v>
      </c>
    </row>
    <row r="261" spans="1:26">
      <c r="A261" s="2">
        <v>43907</v>
      </c>
      <c r="B261" s="4">
        <v>0.125</v>
      </c>
      <c r="C261" s="1" t="s">
        <v>54</v>
      </c>
      <c r="D261">
        <v>99</v>
      </c>
      <c r="E261">
        <v>19</v>
      </c>
      <c r="F261">
        <v>0</v>
      </c>
      <c r="J261">
        <v>1</v>
      </c>
      <c r="L261" s="1" t="s">
        <v>214</v>
      </c>
      <c r="N261" s="1" t="s">
        <v>37</v>
      </c>
      <c r="P261" s="1" t="s">
        <v>37</v>
      </c>
      <c r="R261" s="1" t="s">
        <v>37</v>
      </c>
      <c r="S261">
        <v>47.166666999999997</v>
      </c>
      <c r="T261">
        <v>9.509722</v>
      </c>
      <c r="U261" s="1" t="s">
        <v>55</v>
      </c>
      <c r="V261">
        <v>0</v>
      </c>
      <c r="W261">
        <v>12</v>
      </c>
      <c r="X261">
        <v>0</v>
      </c>
      <c r="Y261">
        <v>49.22</v>
      </c>
    </row>
    <row r="262" spans="1:26">
      <c r="A262" s="2">
        <v>43907</v>
      </c>
      <c r="B262" s="4">
        <v>0.125</v>
      </c>
      <c r="C262" s="1" t="s">
        <v>57</v>
      </c>
      <c r="D262">
        <v>30</v>
      </c>
      <c r="E262">
        <v>59</v>
      </c>
      <c r="F262">
        <v>0</v>
      </c>
      <c r="L262" s="1" t="s">
        <v>59</v>
      </c>
      <c r="N262" s="1" t="s">
        <v>37</v>
      </c>
      <c r="P262" s="1" t="s">
        <v>37</v>
      </c>
      <c r="R262" s="1" t="s">
        <v>37</v>
      </c>
      <c r="S262">
        <v>46.718390999999997</v>
      </c>
      <c r="T262">
        <v>7.0740080000000001</v>
      </c>
      <c r="U262" s="1" t="s">
        <v>58</v>
      </c>
      <c r="V262">
        <v>10</v>
      </c>
      <c r="W262">
        <v>14</v>
      </c>
      <c r="X262">
        <v>0</v>
      </c>
      <c r="Y262">
        <v>18.72</v>
      </c>
    </row>
    <row r="263" spans="1:26">
      <c r="A263" s="2">
        <v>43907</v>
      </c>
      <c r="B263" s="4">
        <v>0.125</v>
      </c>
      <c r="C263" s="1" t="s">
        <v>60</v>
      </c>
      <c r="D263">
        <v>4949</v>
      </c>
      <c r="E263">
        <v>588</v>
      </c>
      <c r="F263">
        <v>9</v>
      </c>
      <c r="G263">
        <v>75</v>
      </c>
      <c r="H263">
        <v>19</v>
      </c>
      <c r="I263">
        <v>17</v>
      </c>
      <c r="K263">
        <v>4</v>
      </c>
      <c r="L263" s="1" t="s">
        <v>62</v>
      </c>
      <c r="N263" s="1" t="s">
        <v>37</v>
      </c>
      <c r="P263" s="1" t="s">
        <v>37</v>
      </c>
      <c r="Q263">
        <v>2</v>
      </c>
      <c r="R263" s="1" t="s">
        <v>37</v>
      </c>
      <c r="S263">
        <v>46.220528000000002</v>
      </c>
      <c r="T263">
        <v>6.1329349999999998</v>
      </c>
      <c r="U263" s="1" t="s">
        <v>61</v>
      </c>
      <c r="V263">
        <v>25</v>
      </c>
      <c r="W263">
        <v>127</v>
      </c>
      <c r="X263">
        <v>1</v>
      </c>
      <c r="Y263">
        <v>118.74</v>
      </c>
      <c r="Z263">
        <v>0.80800000000000005</v>
      </c>
    </row>
    <row r="264" spans="1:26">
      <c r="A264" s="2">
        <v>43907</v>
      </c>
      <c r="B264" s="4">
        <v>0.125</v>
      </c>
      <c r="C264" s="1" t="s">
        <v>63</v>
      </c>
      <c r="E264">
        <v>10</v>
      </c>
      <c r="F264">
        <v>0</v>
      </c>
      <c r="L264" s="1" t="s">
        <v>215</v>
      </c>
      <c r="N264" s="1" t="s">
        <v>37</v>
      </c>
      <c r="P264" s="1" t="s">
        <v>37</v>
      </c>
      <c r="R264" s="1" t="s">
        <v>37</v>
      </c>
      <c r="S264">
        <v>46.931042000000005</v>
      </c>
      <c r="T264">
        <v>9.0657510000000006</v>
      </c>
      <c r="U264" s="1" t="s">
        <v>64</v>
      </c>
      <c r="V264">
        <v>8</v>
      </c>
      <c r="W264">
        <v>10</v>
      </c>
      <c r="X264">
        <v>0</v>
      </c>
      <c r="Y264">
        <v>24.81</v>
      </c>
    </row>
    <row r="265" spans="1:26">
      <c r="A265" s="2">
        <v>43907</v>
      </c>
      <c r="B265" s="4">
        <v>0.125</v>
      </c>
      <c r="C265" s="1" t="s">
        <v>69</v>
      </c>
      <c r="E265">
        <v>29</v>
      </c>
      <c r="F265">
        <v>2</v>
      </c>
      <c r="G265">
        <v>11</v>
      </c>
      <c r="L265" s="1" t="s">
        <v>280</v>
      </c>
      <c r="N265" s="1" t="s">
        <v>37</v>
      </c>
      <c r="P265" s="1" t="s">
        <v>37</v>
      </c>
      <c r="R265" s="1" t="s">
        <v>37</v>
      </c>
      <c r="S265">
        <v>47.350743999999999</v>
      </c>
      <c r="T265">
        <v>7.1561070000000004</v>
      </c>
      <c r="U265" s="1" t="s">
        <v>70</v>
      </c>
      <c r="V265">
        <v>26</v>
      </c>
      <c r="W265">
        <v>4</v>
      </c>
      <c r="X265">
        <v>0</v>
      </c>
      <c r="Y265">
        <v>39.56</v>
      </c>
    </row>
    <row r="266" spans="1:26">
      <c r="A266" s="2">
        <v>43907</v>
      </c>
      <c r="B266" s="4">
        <v>0.125</v>
      </c>
      <c r="C266" s="1" t="s">
        <v>74</v>
      </c>
      <c r="E266">
        <v>114</v>
      </c>
      <c r="F266">
        <v>3</v>
      </c>
      <c r="G266">
        <v>16</v>
      </c>
      <c r="H266">
        <v>4</v>
      </c>
      <c r="K266">
        <v>1</v>
      </c>
      <c r="L266" s="1" t="s">
        <v>76</v>
      </c>
      <c r="N266" s="1" t="s">
        <v>37</v>
      </c>
      <c r="P266" s="1" t="s">
        <v>37</v>
      </c>
      <c r="R266" s="1" t="s">
        <v>37</v>
      </c>
      <c r="S266">
        <v>46.995533999999999</v>
      </c>
      <c r="T266">
        <v>6.7801260000000001</v>
      </c>
      <c r="U266" s="1" t="s">
        <v>75</v>
      </c>
      <c r="V266">
        <v>24</v>
      </c>
      <c r="W266">
        <v>21</v>
      </c>
      <c r="X266">
        <v>0</v>
      </c>
      <c r="Y266">
        <v>64.040000000000006</v>
      </c>
      <c r="Z266">
        <v>0.56200000000000006</v>
      </c>
    </row>
    <row r="267" spans="1:26">
      <c r="A267" s="2">
        <v>43907</v>
      </c>
      <c r="B267" s="4">
        <v>0.125</v>
      </c>
      <c r="C267" s="1" t="s">
        <v>83</v>
      </c>
      <c r="E267">
        <v>47</v>
      </c>
      <c r="F267">
        <v>0</v>
      </c>
      <c r="L267" s="1" t="s">
        <v>85</v>
      </c>
      <c r="N267" s="1" t="s">
        <v>37</v>
      </c>
      <c r="P267" s="1" t="s">
        <v>37</v>
      </c>
      <c r="R267" s="1" t="s">
        <v>37</v>
      </c>
      <c r="S267">
        <v>47.183199999999999</v>
      </c>
      <c r="T267">
        <v>9.2747440000000001</v>
      </c>
      <c r="U267" s="1" t="s">
        <v>84</v>
      </c>
      <c r="V267">
        <v>17</v>
      </c>
      <c r="W267">
        <v>32</v>
      </c>
      <c r="X267">
        <v>0</v>
      </c>
      <c r="Y267">
        <v>9.31</v>
      </c>
    </row>
    <row r="268" spans="1:26">
      <c r="A268" s="2">
        <v>43907</v>
      </c>
      <c r="B268" s="4">
        <v>0.125</v>
      </c>
      <c r="C268" s="1" t="s">
        <v>86</v>
      </c>
      <c r="E268">
        <v>2</v>
      </c>
      <c r="F268">
        <v>0</v>
      </c>
      <c r="K268">
        <v>0</v>
      </c>
      <c r="L268" s="1" t="s">
        <v>88</v>
      </c>
      <c r="N268" s="1" t="s">
        <v>37</v>
      </c>
      <c r="P268" s="1" t="s">
        <v>37</v>
      </c>
      <c r="R268" s="1" t="s">
        <v>37</v>
      </c>
      <c r="S268">
        <v>47.713569999999997</v>
      </c>
      <c r="T268">
        <v>8.5916700000000006</v>
      </c>
      <c r="U268" s="1" t="s">
        <v>87</v>
      </c>
      <c r="V268">
        <v>14</v>
      </c>
      <c r="W268">
        <v>0</v>
      </c>
      <c r="X268">
        <v>0</v>
      </c>
      <c r="Y268">
        <v>2.46</v>
      </c>
      <c r="Z268">
        <v>0</v>
      </c>
    </row>
    <row r="269" spans="1:26">
      <c r="A269" s="2">
        <v>43907</v>
      </c>
      <c r="B269" s="4">
        <v>0.125</v>
      </c>
      <c r="C269" s="1" t="s">
        <v>95</v>
      </c>
      <c r="D269">
        <v>276</v>
      </c>
      <c r="E269">
        <v>23</v>
      </c>
      <c r="F269">
        <v>0</v>
      </c>
      <c r="L269" s="1" t="s">
        <v>37</v>
      </c>
      <c r="N269" s="1" t="s">
        <v>37</v>
      </c>
      <c r="P269" s="1" t="s">
        <v>37</v>
      </c>
      <c r="R269" s="1" t="s">
        <v>37</v>
      </c>
      <c r="S269">
        <v>47.568714999999997</v>
      </c>
      <c r="T269">
        <v>9.0919570000000007</v>
      </c>
      <c r="U269" s="1" t="s">
        <v>96</v>
      </c>
      <c r="V269">
        <v>1</v>
      </c>
      <c r="W269">
        <v>6</v>
      </c>
      <c r="X269">
        <v>0</v>
      </c>
      <c r="Y269">
        <v>8.4</v>
      </c>
    </row>
    <row r="270" spans="1:26">
      <c r="A270" s="2">
        <v>43907</v>
      </c>
      <c r="B270" s="4">
        <v>0.125</v>
      </c>
      <c r="C270" s="1" t="s">
        <v>98</v>
      </c>
      <c r="E270">
        <v>422</v>
      </c>
      <c r="F270">
        <v>0</v>
      </c>
      <c r="G270">
        <v>65</v>
      </c>
      <c r="H270">
        <v>13</v>
      </c>
      <c r="K270">
        <v>10</v>
      </c>
      <c r="L270" s="1" t="s">
        <v>216</v>
      </c>
      <c r="N270" s="1" t="s">
        <v>37</v>
      </c>
      <c r="P270" s="1" t="s">
        <v>37</v>
      </c>
      <c r="R270" s="1" t="s">
        <v>37</v>
      </c>
      <c r="S270">
        <v>46.295617</v>
      </c>
      <c r="T270">
        <v>8.8089239999999993</v>
      </c>
      <c r="U270" s="1" t="s">
        <v>99</v>
      </c>
      <c r="V270">
        <v>21</v>
      </c>
      <c r="W270">
        <v>92</v>
      </c>
      <c r="X270">
        <v>2</v>
      </c>
      <c r="Y270">
        <v>119.31</v>
      </c>
      <c r="Z270">
        <v>2.827</v>
      </c>
    </row>
    <row r="271" spans="1:26">
      <c r="A271" s="2">
        <v>43907</v>
      </c>
      <c r="B271" s="4">
        <v>0.125</v>
      </c>
      <c r="C271" s="1" t="s">
        <v>104</v>
      </c>
      <c r="E271">
        <v>656</v>
      </c>
      <c r="F271">
        <v>14</v>
      </c>
      <c r="G271">
        <v>141</v>
      </c>
      <c r="H271">
        <v>24</v>
      </c>
      <c r="J271">
        <v>9</v>
      </c>
      <c r="K271">
        <v>9</v>
      </c>
      <c r="L271" s="1" t="s">
        <v>106</v>
      </c>
      <c r="N271" s="1" t="s">
        <v>37</v>
      </c>
      <c r="P271" s="1" t="s">
        <v>37</v>
      </c>
      <c r="R271" s="1" t="s">
        <v>37</v>
      </c>
      <c r="S271">
        <v>46.570090999999998</v>
      </c>
      <c r="T271">
        <v>6.5578090000000007</v>
      </c>
      <c r="U271" s="1" t="s">
        <v>105</v>
      </c>
      <c r="V271">
        <v>22</v>
      </c>
      <c r="W271">
        <v>164</v>
      </c>
      <c r="X271">
        <v>2</v>
      </c>
      <c r="Y271">
        <v>82.71</v>
      </c>
      <c r="Z271">
        <v>1.135</v>
      </c>
    </row>
    <row r="272" spans="1:26">
      <c r="A272" s="2">
        <v>43907</v>
      </c>
      <c r="B272" s="4">
        <v>0.125</v>
      </c>
      <c r="C272" s="1" t="s">
        <v>107</v>
      </c>
      <c r="E272">
        <v>225</v>
      </c>
      <c r="F272">
        <v>5</v>
      </c>
      <c r="G272">
        <v>46</v>
      </c>
      <c r="H272">
        <v>2</v>
      </c>
      <c r="I272">
        <v>2</v>
      </c>
      <c r="J272">
        <v>3</v>
      </c>
      <c r="K272">
        <v>3</v>
      </c>
      <c r="L272" s="1" t="s">
        <v>412</v>
      </c>
      <c r="N272" s="1" t="s">
        <v>37</v>
      </c>
      <c r="P272" s="1" t="s">
        <v>37</v>
      </c>
      <c r="R272" s="1" t="s">
        <v>37</v>
      </c>
      <c r="S272">
        <v>46.209567</v>
      </c>
      <c r="T272">
        <v>7.6046589999999998</v>
      </c>
      <c r="U272" s="1" t="s">
        <v>108</v>
      </c>
      <c r="V272">
        <v>23</v>
      </c>
      <c r="W272">
        <v>53</v>
      </c>
      <c r="X272">
        <v>0</v>
      </c>
      <c r="Y272">
        <v>65.89</v>
      </c>
      <c r="Z272">
        <v>0.878</v>
      </c>
    </row>
    <row r="273" spans="1:26">
      <c r="A273" s="2">
        <v>43907</v>
      </c>
      <c r="B273" s="4">
        <v>0.33333333333333331</v>
      </c>
      <c r="C273" s="1" t="s">
        <v>109</v>
      </c>
      <c r="E273">
        <v>33</v>
      </c>
      <c r="F273">
        <v>0</v>
      </c>
      <c r="G273">
        <v>0</v>
      </c>
      <c r="H273">
        <v>0</v>
      </c>
      <c r="J273">
        <v>1</v>
      </c>
      <c r="K273">
        <v>0</v>
      </c>
      <c r="L273" s="1" t="s">
        <v>502</v>
      </c>
      <c r="N273" s="1" t="s">
        <v>37</v>
      </c>
      <c r="P273" s="1" t="s">
        <v>37</v>
      </c>
      <c r="R273" s="1" t="s">
        <v>37</v>
      </c>
      <c r="S273">
        <v>47.157296000000002</v>
      </c>
      <c r="T273">
        <v>8.5372939999999993</v>
      </c>
      <c r="U273" s="1" t="s">
        <v>110</v>
      </c>
      <c r="V273">
        <v>9</v>
      </c>
      <c r="W273">
        <v>4</v>
      </c>
      <c r="X273">
        <v>0</v>
      </c>
      <c r="Y273">
        <v>26.32</v>
      </c>
      <c r="Z273">
        <v>0</v>
      </c>
    </row>
    <row r="274" spans="1:26">
      <c r="A274" s="2">
        <v>43907</v>
      </c>
      <c r="B274" s="4">
        <v>0.60416666666666663</v>
      </c>
      <c r="C274" s="1" t="s">
        <v>111</v>
      </c>
      <c r="E274">
        <v>430</v>
      </c>
      <c r="F274">
        <v>0</v>
      </c>
      <c r="K274">
        <v>1</v>
      </c>
      <c r="L274" s="1" t="s">
        <v>113</v>
      </c>
      <c r="N274" s="1" t="s">
        <v>37</v>
      </c>
      <c r="P274" s="1" t="s">
        <v>37</v>
      </c>
      <c r="R274" s="1" t="s">
        <v>37</v>
      </c>
      <c r="S274">
        <v>47.412750000000003</v>
      </c>
      <c r="T274">
        <v>8.6550799999999999</v>
      </c>
      <c r="U274" s="1" t="s">
        <v>112</v>
      </c>
      <c r="V274">
        <v>1</v>
      </c>
      <c r="W274">
        <v>103</v>
      </c>
      <c r="X274">
        <v>0</v>
      </c>
      <c r="Y274">
        <v>28.58</v>
      </c>
      <c r="Z274">
        <v>6.6000000000000003E-2</v>
      </c>
    </row>
    <row r="275" spans="1:26">
      <c r="A275" s="2">
        <v>43908</v>
      </c>
      <c r="B275" s="4">
        <v>0.66666666666666663</v>
      </c>
      <c r="C275" s="1" t="s">
        <v>35</v>
      </c>
      <c r="E275">
        <v>101</v>
      </c>
      <c r="F275">
        <v>4</v>
      </c>
      <c r="G275">
        <v>6</v>
      </c>
      <c r="J275">
        <v>4</v>
      </c>
      <c r="L275" s="1" t="s">
        <v>217</v>
      </c>
      <c r="N275" s="1" t="s">
        <v>37</v>
      </c>
      <c r="P275" s="1" t="s">
        <v>37</v>
      </c>
      <c r="R275" s="1" t="s">
        <v>37</v>
      </c>
      <c r="S275">
        <v>47.409660000000002</v>
      </c>
      <c r="T275">
        <v>8.1568799999999992</v>
      </c>
      <c r="U275" s="1" t="s">
        <v>36</v>
      </c>
      <c r="V275">
        <v>1</v>
      </c>
      <c r="W275">
        <v>34</v>
      </c>
      <c r="X275">
        <v>0</v>
      </c>
      <c r="Y275">
        <v>15.05</v>
      </c>
    </row>
    <row r="276" spans="1:26">
      <c r="A276" s="2">
        <v>43908</v>
      </c>
      <c r="B276" s="4">
        <v>0.125</v>
      </c>
      <c r="C276" s="1" t="s">
        <v>42</v>
      </c>
      <c r="E276">
        <v>11</v>
      </c>
      <c r="F276">
        <v>0</v>
      </c>
      <c r="G276">
        <v>3</v>
      </c>
      <c r="L276" s="1" t="s">
        <v>218</v>
      </c>
      <c r="N276" s="1" t="s">
        <v>37</v>
      </c>
      <c r="P276" s="1" t="s">
        <v>37</v>
      </c>
      <c r="R276" s="1" t="s">
        <v>37</v>
      </c>
      <c r="S276">
        <v>47.416351999999996</v>
      </c>
      <c r="T276">
        <v>9.3679100000000002</v>
      </c>
      <c r="U276" s="1" t="s">
        <v>43</v>
      </c>
      <c r="V276">
        <v>15</v>
      </c>
      <c r="W276">
        <v>6</v>
      </c>
      <c r="X276">
        <v>0</v>
      </c>
      <c r="Y276">
        <v>19.93</v>
      </c>
    </row>
    <row r="277" spans="1:26">
      <c r="A277" s="2">
        <v>43908</v>
      </c>
      <c r="B277" s="4">
        <v>0.125</v>
      </c>
      <c r="C277" s="1" t="s">
        <v>45</v>
      </c>
      <c r="E277">
        <v>193</v>
      </c>
      <c r="F277">
        <v>0</v>
      </c>
      <c r="K277">
        <v>1</v>
      </c>
      <c r="L277" s="1" t="s">
        <v>47</v>
      </c>
      <c r="N277" s="1" t="s">
        <v>37</v>
      </c>
      <c r="P277" s="1" t="s">
        <v>37</v>
      </c>
      <c r="R277" s="1" t="s">
        <v>37</v>
      </c>
      <c r="S277">
        <v>46.823608</v>
      </c>
      <c r="T277">
        <v>7.6366670000000001</v>
      </c>
      <c r="U277" s="1" t="s">
        <v>46</v>
      </c>
      <c r="V277">
        <v>2</v>
      </c>
      <c r="W277">
        <v>70</v>
      </c>
      <c r="X277">
        <v>0</v>
      </c>
      <c r="Y277">
        <v>18.72</v>
      </c>
      <c r="Z277">
        <v>9.7000000000000003E-2</v>
      </c>
    </row>
    <row r="278" spans="1:26">
      <c r="A278" s="2">
        <v>43908</v>
      </c>
      <c r="B278" s="4">
        <v>0.125</v>
      </c>
      <c r="C278" s="1" t="s">
        <v>48</v>
      </c>
      <c r="E278">
        <v>116</v>
      </c>
      <c r="F278">
        <v>1</v>
      </c>
      <c r="G278">
        <v>27</v>
      </c>
      <c r="H278">
        <v>2</v>
      </c>
      <c r="J278">
        <v>16</v>
      </c>
      <c r="K278">
        <v>2</v>
      </c>
      <c r="L278" s="1" t="s">
        <v>219</v>
      </c>
      <c r="N278" s="1" t="s">
        <v>37</v>
      </c>
      <c r="P278" s="1" t="s">
        <v>37</v>
      </c>
      <c r="R278" s="1" t="s">
        <v>37</v>
      </c>
      <c r="S278">
        <v>47.45176</v>
      </c>
      <c r="T278">
        <v>7.7024140000000001</v>
      </c>
      <c r="U278" s="1" t="s">
        <v>49</v>
      </c>
      <c r="V278">
        <v>13</v>
      </c>
      <c r="W278">
        <v>27</v>
      </c>
      <c r="X278">
        <v>0</v>
      </c>
      <c r="Y278">
        <v>40.42</v>
      </c>
      <c r="Z278">
        <v>0.69699999999999995</v>
      </c>
    </row>
    <row r="279" spans="1:26">
      <c r="A279" s="2">
        <v>43908</v>
      </c>
      <c r="B279" s="4">
        <v>0.46875</v>
      </c>
      <c r="C279" s="1" t="s">
        <v>51</v>
      </c>
      <c r="D279">
        <v>235</v>
      </c>
      <c r="E279">
        <v>182</v>
      </c>
      <c r="F279">
        <v>10</v>
      </c>
      <c r="G279">
        <v>40</v>
      </c>
      <c r="H279">
        <v>2</v>
      </c>
      <c r="J279">
        <v>36</v>
      </c>
      <c r="K279">
        <v>4</v>
      </c>
      <c r="L279" s="1" t="s">
        <v>220</v>
      </c>
      <c r="M279">
        <v>164</v>
      </c>
      <c r="N279" s="1" t="s">
        <v>37</v>
      </c>
      <c r="P279" s="1" t="s">
        <v>37</v>
      </c>
      <c r="R279" s="1" t="s">
        <v>37</v>
      </c>
      <c r="S279">
        <v>47.564869000000002</v>
      </c>
      <c r="T279">
        <v>7.615259</v>
      </c>
      <c r="U279" s="1" t="s">
        <v>52</v>
      </c>
      <c r="V279">
        <v>12</v>
      </c>
      <c r="W279">
        <v>17</v>
      </c>
      <c r="X279">
        <v>0</v>
      </c>
      <c r="Y279">
        <v>93.86</v>
      </c>
      <c r="Z279">
        <v>2.0630000000000002</v>
      </c>
    </row>
    <row r="280" spans="1:26">
      <c r="A280" s="2">
        <v>43908</v>
      </c>
      <c r="B280" s="4">
        <v>0.125</v>
      </c>
      <c r="C280" s="1" t="s">
        <v>54</v>
      </c>
      <c r="D280">
        <v>99</v>
      </c>
      <c r="E280">
        <v>28</v>
      </c>
      <c r="F280">
        <v>0</v>
      </c>
      <c r="J280">
        <v>1</v>
      </c>
      <c r="L280" s="1" t="s">
        <v>221</v>
      </c>
      <c r="N280" s="1" t="s">
        <v>37</v>
      </c>
      <c r="P280" s="1" t="s">
        <v>37</v>
      </c>
      <c r="R280" s="1" t="s">
        <v>37</v>
      </c>
      <c r="S280">
        <v>47.166666999999997</v>
      </c>
      <c r="T280">
        <v>9.509722</v>
      </c>
      <c r="U280" s="1" t="s">
        <v>55</v>
      </c>
      <c r="V280">
        <v>0</v>
      </c>
      <c r="W280">
        <v>9</v>
      </c>
      <c r="X280">
        <v>0</v>
      </c>
      <c r="Y280">
        <v>72.540000000000006</v>
      </c>
    </row>
    <row r="281" spans="1:26">
      <c r="A281" s="2">
        <v>43908</v>
      </c>
      <c r="B281" s="4">
        <v>0.70833333333333337</v>
      </c>
      <c r="C281" s="1" t="s">
        <v>57</v>
      </c>
      <c r="D281">
        <v>30</v>
      </c>
      <c r="E281">
        <v>86</v>
      </c>
      <c r="F281">
        <v>0</v>
      </c>
      <c r="G281">
        <v>11</v>
      </c>
      <c r="H281">
        <v>5</v>
      </c>
      <c r="K281">
        <v>1</v>
      </c>
      <c r="L281" s="1" t="s">
        <v>222</v>
      </c>
      <c r="N281" s="1" t="s">
        <v>37</v>
      </c>
      <c r="P281" s="1" t="s">
        <v>37</v>
      </c>
      <c r="R281" s="1" t="s">
        <v>37</v>
      </c>
      <c r="S281">
        <v>46.718390999999997</v>
      </c>
      <c r="T281">
        <v>7.0740080000000001</v>
      </c>
      <c r="U281" s="1" t="s">
        <v>58</v>
      </c>
      <c r="V281">
        <v>10</v>
      </c>
      <c r="W281">
        <v>27</v>
      </c>
      <c r="X281">
        <v>0</v>
      </c>
      <c r="Y281">
        <v>27.29</v>
      </c>
      <c r="Z281">
        <v>0.317</v>
      </c>
    </row>
    <row r="282" spans="1:26">
      <c r="A282" s="2">
        <v>43908</v>
      </c>
      <c r="B282" s="4">
        <v>0.125</v>
      </c>
      <c r="C282" s="1" t="s">
        <v>60</v>
      </c>
      <c r="D282">
        <v>5657</v>
      </c>
      <c r="E282">
        <v>786</v>
      </c>
      <c r="F282">
        <v>3</v>
      </c>
      <c r="G282">
        <v>78</v>
      </c>
      <c r="H282">
        <v>20</v>
      </c>
      <c r="I282">
        <v>17</v>
      </c>
      <c r="K282">
        <v>5</v>
      </c>
      <c r="L282" s="1" t="s">
        <v>62</v>
      </c>
      <c r="N282" s="1" t="s">
        <v>37</v>
      </c>
      <c r="P282" s="1" t="s">
        <v>37</v>
      </c>
      <c r="Q282">
        <v>2</v>
      </c>
      <c r="R282" s="1" t="s">
        <v>37</v>
      </c>
      <c r="S282">
        <v>46.220528000000002</v>
      </c>
      <c r="T282">
        <v>6.1329349999999998</v>
      </c>
      <c r="U282" s="1" t="s">
        <v>61</v>
      </c>
      <c r="V282">
        <v>25</v>
      </c>
      <c r="W282">
        <v>198</v>
      </c>
      <c r="X282">
        <v>1</v>
      </c>
      <c r="Y282">
        <v>158.72</v>
      </c>
      <c r="Z282">
        <v>1.01</v>
      </c>
    </row>
    <row r="283" spans="1:26">
      <c r="A283" s="2">
        <v>43908</v>
      </c>
      <c r="B283" s="4">
        <v>0.125</v>
      </c>
      <c r="C283" s="1" t="s">
        <v>66</v>
      </c>
      <c r="E283">
        <v>116</v>
      </c>
      <c r="F283">
        <v>0</v>
      </c>
      <c r="G283">
        <v>13</v>
      </c>
      <c r="K283">
        <v>1</v>
      </c>
      <c r="L283" s="1" t="s">
        <v>68</v>
      </c>
      <c r="N283" s="1" t="s">
        <v>37</v>
      </c>
      <c r="P283" s="1" t="s">
        <v>37</v>
      </c>
      <c r="R283" s="1" t="s">
        <v>37</v>
      </c>
      <c r="S283">
        <v>46.656247999999998</v>
      </c>
      <c r="T283">
        <v>9.6281979999999994</v>
      </c>
      <c r="U283" s="1" t="s">
        <v>67</v>
      </c>
      <c r="V283">
        <v>1</v>
      </c>
      <c r="W283">
        <v>0</v>
      </c>
      <c r="X283">
        <v>0</v>
      </c>
      <c r="Y283">
        <v>58.62</v>
      </c>
      <c r="Z283">
        <v>0.505</v>
      </c>
    </row>
    <row r="284" spans="1:26">
      <c r="A284" s="2">
        <v>43908</v>
      </c>
      <c r="B284" s="4">
        <v>0.125</v>
      </c>
      <c r="C284" s="1" t="s">
        <v>69</v>
      </c>
      <c r="E284">
        <v>32</v>
      </c>
      <c r="F284">
        <v>0</v>
      </c>
      <c r="G284">
        <v>11</v>
      </c>
      <c r="L284" s="1" t="s">
        <v>280</v>
      </c>
      <c r="N284" s="1" t="s">
        <v>37</v>
      </c>
      <c r="P284" s="1" t="s">
        <v>37</v>
      </c>
      <c r="R284" s="1" t="s">
        <v>37</v>
      </c>
      <c r="S284">
        <v>47.350743999999999</v>
      </c>
      <c r="T284">
        <v>7.1561070000000004</v>
      </c>
      <c r="U284" s="1" t="s">
        <v>70</v>
      </c>
      <c r="V284">
        <v>26</v>
      </c>
      <c r="W284">
        <v>3</v>
      </c>
      <c r="X284">
        <v>0</v>
      </c>
      <c r="Y284">
        <v>43.66</v>
      </c>
    </row>
    <row r="285" spans="1:26">
      <c r="A285" s="2">
        <v>43908</v>
      </c>
      <c r="B285" s="4">
        <v>0.66666666666666663</v>
      </c>
      <c r="C285" s="1" t="s">
        <v>71</v>
      </c>
      <c r="E285">
        <v>65</v>
      </c>
      <c r="F285">
        <v>0</v>
      </c>
      <c r="L285" s="1" t="s">
        <v>223</v>
      </c>
      <c r="N285" s="1" t="s">
        <v>37</v>
      </c>
      <c r="P285" s="1" t="s">
        <v>37</v>
      </c>
      <c r="R285" s="1" t="s">
        <v>37</v>
      </c>
      <c r="S285">
        <v>47.067762999999999</v>
      </c>
      <c r="T285">
        <v>8.1102000000000007</v>
      </c>
      <c r="U285" s="1" t="s">
        <v>72</v>
      </c>
      <c r="V285">
        <v>3</v>
      </c>
      <c r="W285">
        <v>65</v>
      </c>
      <c r="X285">
        <v>0</v>
      </c>
      <c r="Y285">
        <v>15.99</v>
      </c>
    </row>
    <row r="286" spans="1:26">
      <c r="A286" s="2">
        <v>43908</v>
      </c>
      <c r="B286" s="4">
        <v>0.125</v>
      </c>
      <c r="C286" s="1" t="s">
        <v>74</v>
      </c>
      <c r="E286">
        <v>146</v>
      </c>
      <c r="F286">
        <v>2</v>
      </c>
      <c r="G286">
        <v>18</v>
      </c>
      <c r="H286">
        <v>3</v>
      </c>
      <c r="K286">
        <v>2</v>
      </c>
      <c r="L286" s="1" t="s">
        <v>76</v>
      </c>
      <c r="N286" s="1" t="s">
        <v>37</v>
      </c>
      <c r="P286" s="1" t="s">
        <v>37</v>
      </c>
      <c r="R286" s="1" t="s">
        <v>37</v>
      </c>
      <c r="S286">
        <v>46.995533999999999</v>
      </c>
      <c r="T286">
        <v>6.7801260000000001</v>
      </c>
      <c r="U286" s="1" t="s">
        <v>75</v>
      </c>
      <c r="V286">
        <v>24</v>
      </c>
      <c r="W286">
        <v>32</v>
      </c>
      <c r="X286">
        <v>1</v>
      </c>
      <c r="Y286">
        <v>82.02</v>
      </c>
      <c r="Z286">
        <v>1.1240000000000001</v>
      </c>
    </row>
    <row r="287" spans="1:26">
      <c r="A287" s="2">
        <v>43908</v>
      </c>
      <c r="B287" s="4">
        <v>0.125</v>
      </c>
      <c r="C287" s="1" t="s">
        <v>83</v>
      </c>
      <c r="E287">
        <v>61</v>
      </c>
      <c r="F287">
        <v>0</v>
      </c>
      <c r="L287" s="1" t="s">
        <v>85</v>
      </c>
      <c r="N287" s="1" t="s">
        <v>37</v>
      </c>
      <c r="P287" s="1" t="s">
        <v>37</v>
      </c>
      <c r="R287" s="1" t="s">
        <v>37</v>
      </c>
      <c r="S287">
        <v>47.183199999999999</v>
      </c>
      <c r="T287">
        <v>9.2747440000000001</v>
      </c>
      <c r="U287" s="1" t="s">
        <v>84</v>
      </c>
      <c r="V287">
        <v>17</v>
      </c>
      <c r="W287">
        <v>14</v>
      </c>
      <c r="X287">
        <v>0</v>
      </c>
      <c r="Y287">
        <v>12.09</v>
      </c>
    </row>
    <row r="288" spans="1:26">
      <c r="A288" s="2">
        <v>43908</v>
      </c>
      <c r="B288" s="4">
        <v>0.125</v>
      </c>
      <c r="C288" s="1" t="s">
        <v>86</v>
      </c>
      <c r="E288">
        <v>8</v>
      </c>
      <c r="F288">
        <v>0</v>
      </c>
      <c r="K288">
        <v>0</v>
      </c>
      <c r="L288" s="1" t="s">
        <v>88</v>
      </c>
      <c r="N288" s="1" t="s">
        <v>37</v>
      </c>
      <c r="P288" s="1" t="s">
        <v>37</v>
      </c>
      <c r="R288" s="1" t="s">
        <v>37</v>
      </c>
      <c r="S288">
        <v>47.713569999999997</v>
      </c>
      <c r="T288">
        <v>8.5916700000000006</v>
      </c>
      <c r="U288" s="1" t="s">
        <v>87</v>
      </c>
      <c r="V288">
        <v>14</v>
      </c>
      <c r="W288">
        <v>6</v>
      </c>
      <c r="X288">
        <v>0</v>
      </c>
      <c r="Y288">
        <v>9.83</v>
      </c>
      <c r="Z288">
        <v>0</v>
      </c>
    </row>
    <row r="289" spans="1:26">
      <c r="A289" s="2">
        <v>43908</v>
      </c>
      <c r="B289" s="4">
        <v>0.125</v>
      </c>
      <c r="C289" s="1" t="s">
        <v>89</v>
      </c>
      <c r="E289">
        <v>43</v>
      </c>
      <c r="F289">
        <v>0</v>
      </c>
      <c r="L289" s="1" t="s">
        <v>224</v>
      </c>
      <c r="N289" s="1" t="s">
        <v>37</v>
      </c>
      <c r="P289" s="1" t="s">
        <v>37</v>
      </c>
      <c r="R289" s="1" t="s">
        <v>37</v>
      </c>
      <c r="S289">
        <v>47.304135000000002</v>
      </c>
      <c r="T289">
        <v>7.6393880000000003</v>
      </c>
      <c r="U289" s="1" t="s">
        <v>90</v>
      </c>
      <c r="V289">
        <v>11</v>
      </c>
      <c r="W289">
        <v>42</v>
      </c>
      <c r="X289">
        <v>0</v>
      </c>
      <c r="Y289">
        <v>15.84</v>
      </c>
    </row>
    <row r="290" spans="1:26">
      <c r="A290" s="2">
        <v>43908</v>
      </c>
      <c r="B290" s="4">
        <v>0.125</v>
      </c>
      <c r="C290" s="1" t="s">
        <v>95</v>
      </c>
      <c r="D290">
        <v>276</v>
      </c>
      <c r="E290">
        <v>32</v>
      </c>
      <c r="F290">
        <v>0</v>
      </c>
      <c r="L290" s="1" t="s">
        <v>97</v>
      </c>
      <c r="N290" s="1" t="s">
        <v>37</v>
      </c>
      <c r="P290" s="1" t="s">
        <v>37</v>
      </c>
      <c r="R290" s="1" t="s">
        <v>37</v>
      </c>
      <c r="S290">
        <v>47.568714999999997</v>
      </c>
      <c r="T290">
        <v>9.0919570000000007</v>
      </c>
      <c r="U290" s="1" t="s">
        <v>96</v>
      </c>
      <c r="V290">
        <v>1</v>
      </c>
      <c r="W290">
        <v>9</v>
      </c>
      <c r="X290">
        <v>0</v>
      </c>
      <c r="Y290">
        <v>11.69</v>
      </c>
    </row>
    <row r="291" spans="1:26">
      <c r="A291" s="2">
        <v>43908</v>
      </c>
      <c r="B291" s="4">
        <v>0.125</v>
      </c>
      <c r="C291" s="1" t="s">
        <v>98</v>
      </c>
      <c r="E291">
        <v>511</v>
      </c>
      <c r="F291">
        <v>0</v>
      </c>
      <c r="G291">
        <v>65</v>
      </c>
      <c r="H291">
        <v>13</v>
      </c>
      <c r="K291">
        <v>14</v>
      </c>
      <c r="L291" s="1" t="s">
        <v>225</v>
      </c>
      <c r="N291" s="1" t="s">
        <v>37</v>
      </c>
      <c r="P291" s="1" t="s">
        <v>37</v>
      </c>
      <c r="R291" s="1" t="s">
        <v>37</v>
      </c>
      <c r="S291">
        <v>46.295617</v>
      </c>
      <c r="T291">
        <v>8.8089239999999993</v>
      </c>
      <c r="U291" s="1" t="s">
        <v>99</v>
      </c>
      <c r="V291">
        <v>21</v>
      </c>
      <c r="W291">
        <v>89</v>
      </c>
      <c r="X291">
        <v>4</v>
      </c>
      <c r="Y291">
        <v>144.47</v>
      </c>
      <c r="Z291">
        <v>3.9580000000000002</v>
      </c>
    </row>
    <row r="292" spans="1:26">
      <c r="A292" s="2">
        <v>43908</v>
      </c>
      <c r="B292" s="4">
        <v>0.125</v>
      </c>
      <c r="C292" s="1" t="s">
        <v>101</v>
      </c>
      <c r="D292">
        <v>85</v>
      </c>
      <c r="E292">
        <v>5</v>
      </c>
      <c r="F292">
        <v>0</v>
      </c>
      <c r="L292" s="1" t="s">
        <v>226</v>
      </c>
      <c r="N292" s="1" t="s">
        <v>37</v>
      </c>
      <c r="P292" s="1" t="s">
        <v>37</v>
      </c>
      <c r="R292" s="1" t="s">
        <v>37</v>
      </c>
      <c r="S292">
        <v>46.771849000000003</v>
      </c>
      <c r="T292">
        <v>8.6285860000000003</v>
      </c>
      <c r="U292" s="1" t="s">
        <v>102</v>
      </c>
      <c r="V292">
        <v>4</v>
      </c>
      <c r="W292">
        <v>3</v>
      </c>
      <c r="X292">
        <v>0</v>
      </c>
      <c r="Y292">
        <v>13.77</v>
      </c>
    </row>
    <row r="293" spans="1:26">
      <c r="A293" s="2">
        <v>43908</v>
      </c>
      <c r="B293" s="4">
        <v>0.125</v>
      </c>
      <c r="C293" s="1" t="s">
        <v>104</v>
      </c>
      <c r="E293">
        <v>843</v>
      </c>
      <c r="F293">
        <v>13</v>
      </c>
      <c r="G293">
        <v>154</v>
      </c>
      <c r="H293">
        <v>24</v>
      </c>
      <c r="J293">
        <v>16</v>
      </c>
      <c r="K293">
        <v>12</v>
      </c>
      <c r="L293" s="1" t="s">
        <v>106</v>
      </c>
      <c r="N293" s="1" t="s">
        <v>37</v>
      </c>
      <c r="P293" s="1" t="s">
        <v>37</v>
      </c>
      <c r="R293" s="1" t="s">
        <v>37</v>
      </c>
      <c r="S293">
        <v>46.570090999999998</v>
      </c>
      <c r="T293">
        <v>6.5578090000000007</v>
      </c>
      <c r="U293" s="1" t="s">
        <v>105</v>
      </c>
      <c r="V293">
        <v>22</v>
      </c>
      <c r="W293">
        <v>187</v>
      </c>
      <c r="X293">
        <v>3</v>
      </c>
      <c r="Y293">
        <v>106.29</v>
      </c>
      <c r="Z293">
        <v>1.5129999999999999</v>
      </c>
    </row>
    <row r="294" spans="1:26">
      <c r="A294" s="2">
        <v>43908</v>
      </c>
      <c r="B294" s="4">
        <v>0.125</v>
      </c>
      <c r="C294" s="1" t="s">
        <v>107</v>
      </c>
      <c r="E294">
        <v>312</v>
      </c>
      <c r="F294">
        <v>12</v>
      </c>
      <c r="G294">
        <v>58</v>
      </c>
      <c r="H294">
        <v>2</v>
      </c>
      <c r="I294">
        <v>2</v>
      </c>
      <c r="J294">
        <v>3</v>
      </c>
      <c r="K294">
        <v>4</v>
      </c>
      <c r="L294" s="1" t="s">
        <v>412</v>
      </c>
      <c r="N294" s="1" t="s">
        <v>37</v>
      </c>
      <c r="P294" s="1" t="s">
        <v>37</v>
      </c>
      <c r="R294" s="1" t="s">
        <v>37</v>
      </c>
      <c r="S294">
        <v>46.209567</v>
      </c>
      <c r="T294">
        <v>7.6046589999999998</v>
      </c>
      <c r="U294" s="1" t="s">
        <v>108</v>
      </c>
      <c r="V294">
        <v>23</v>
      </c>
      <c r="W294">
        <v>87</v>
      </c>
      <c r="X294">
        <v>1</v>
      </c>
      <c r="Y294">
        <v>91.36</v>
      </c>
      <c r="Z294">
        <v>1.171</v>
      </c>
    </row>
    <row r="295" spans="1:26">
      <c r="A295" s="2">
        <v>43908</v>
      </c>
      <c r="B295" s="4">
        <v>0.33333333333333331</v>
      </c>
      <c r="C295" s="1" t="s">
        <v>109</v>
      </c>
      <c r="E295">
        <v>37</v>
      </c>
      <c r="F295">
        <v>1</v>
      </c>
      <c r="G295">
        <v>1</v>
      </c>
      <c r="H295">
        <v>0</v>
      </c>
      <c r="J295">
        <v>5</v>
      </c>
      <c r="K295">
        <v>0</v>
      </c>
      <c r="L295" s="1" t="s">
        <v>502</v>
      </c>
      <c r="N295" s="1" t="s">
        <v>37</v>
      </c>
      <c r="P295" s="1" t="s">
        <v>37</v>
      </c>
      <c r="R295" s="1" t="s">
        <v>37</v>
      </c>
      <c r="S295">
        <v>47.157296000000002</v>
      </c>
      <c r="T295">
        <v>8.5372939999999993</v>
      </c>
      <c r="U295" s="1" t="s">
        <v>110</v>
      </c>
      <c r="V295">
        <v>9</v>
      </c>
      <c r="W295">
        <v>4</v>
      </c>
      <c r="X295">
        <v>0</v>
      </c>
      <c r="Y295">
        <v>29.51</v>
      </c>
      <c r="Z295">
        <v>0</v>
      </c>
    </row>
    <row r="296" spans="1:26">
      <c r="A296" s="2">
        <v>43908</v>
      </c>
      <c r="B296" s="4">
        <v>0.60416666666666663</v>
      </c>
      <c r="C296" s="1" t="s">
        <v>111</v>
      </c>
      <c r="E296">
        <v>569</v>
      </c>
      <c r="F296">
        <v>0</v>
      </c>
      <c r="K296">
        <v>2</v>
      </c>
      <c r="L296" s="1" t="s">
        <v>113</v>
      </c>
      <c r="N296" s="1" t="s">
        <v>37</v>
      </c>
      <c r="P296" s="1" t="s">
        <v>37</v>
      </c>
      <c r="R296" s="1" t="s">
        <v>37</v>
      </c>
      <c r="S296">
        <v>47.412750000000003</v>
      </c>
      <c r="T296">
        <v>8.6550799999999999</v>
      </c>
      <c r="U296" s="1" t="s">
        <v>112</v>
      </c>
      <c r="V296">
        <v>1</v>
      </c>
      <c r="W296">
        <v>139</v>
      </c>
      <c r="X296">
        <v>1</v>
      </c>
      <c r="Y296">
        <v>37.82</v>
      </c>
      <c r="Z296">
        <v>0.13300000000000001</v>
      </c>
    </row>
    <row r="297" spans="1:26">
      <c r="A297" s="2">
        <v>43909</v>
      </c>
      <c r="B297" s="4">
        <v>0.625</v>
      </c>
      <c r="C297" s="1" t="s">
        <v>35</v>
      </c>
      <c r="E297">
        <v>118</v>
      </c>
      <c r="F297">
        <v>11</v>
      </c>
      <c r="G297">
        <v>17</v>
      </c>
      <c r="H297">
        <v>6</v>
      </c>
      <c r="I297">
        <v>3</v>
      </c>
      <c r="J297">
        <v>4</v>
      </c>
      <c r="L297" s="1" t="s">
        <v>227</v>
      </c>
      <c r="N297" s="1" t="s">
        <v>37</v>
      </c>
      <c r="P297" s="1" t="s">
        <v>37</v>
      </c>
      <c r="R297" s="1" t="s">
        <v>37</v>
      </c>
      <c r="S297">
        <v>47.409660000000002</v>
      </c>
      <c r="T297">
        <v>8.1568799999999992</v>
      </c>
      <c r="U297" s="1" t="s">
        <v>36</v>
      </c>
      <c r="V297">
        <v>1</v>
      </c>
      <c r="W297">
        <v>17</v>
      </c>
      <c r="X297">
        <v>0</v>
      </c>
      <c r="Y297">
        <v>17.59</v>
      </c>
    </row>
    <row r="298" spans="1:26">
      <c r="A298" s="2">
        <v>43909</v>
      </c>
      <c r="B298" s="4">
        <v>0.125</v>
      </c>
      <c r="C298" s="1" t="s">
        <v>39</v>
      </c>
      <c r="E298">
        <v>6</v>
      </c>
      <c r="F298">
        <v>0</v>
      </c>
      <c r="G298">
        <v>1</v>
      </c>
      <c r="L298" s="1" t="s">
        <v>207</v>
      </c>
      <c r="N298" s="1" t="s">
        <v>37</v>
      </c>
      <c r="P298" s="1" t="s">
        <v>37</v>
      </c>
      <c r="R298" s="1" t="s">
        <v>37</v>
      </c>
      <c r="S298">
        <v>47.317264000000002</v>
      </c>
      <c r="T298">
        <v>9.4167539999999992</v>
      </c>
      <c r="U298" s="1" t="s">
        <v>40</v>
      </c>
      <c r="V298">
        <v>16</v>
      </c>
      <c r="W298">
        <v>1</v>
      </c>
      <c r="X298">
        <v>0</v>
      </c>
      <c r="Y298">
        <v>37.270000000000003</v>
      </c>
    </row>
    <row r="299" spans="1:26">
      <c r="A299" s="2">
        <v>43909</v>
      </c>
      <c r="B299" s="4">
        <v>0.125</v>
      </c>
      <c r="C299" s="1" t="s">
        <v>45</v>
      </c>
      <c r="E299">
        <v>282</v>
      </c>
      <c r="F299">
        <v>0</v>
      </c>
      <c r="K299">
        <v>1</v>
      </c>
      <c r="L299" s="1" t="s">
        <v>47</v>
      </c>
      <c r="N299" s="1" t="s">
        <v>37</v>
      </c>
      <c r="P299" s="1" t="s">
        <v>37</v>
      </c>
      <c r="R299" s="1" t="s">
        <v>37</v>
      </c>
      <c r="S299">
        <v>46.823608</v>
      </c>
      <c r="T299">
        <v>7.6366670000000001</v>
      </c>
      <c r="U299" s="1" t="s">
        <v>46</v>
      </c>
      <c r="V299">
        <v>2</v>
      </c>
      <c r="W299">
        <v>89</v>
      </c>
      <c r="X299">
        <v>0</v>
      </c>
      <c r="Y299">
        <v>27.35</v>
      </c>
      <c r="Z299">
        <v>9.7000000000000003E-2</v>
      </c>
    </row>
    <row r="300" spans="1:26">
      <c r="A300" s="2">
        <v>43909</v>
      </c>
      <c r="B300" s="4">
        <v>0.125</v>
      </c>
      <c r="C300" s="1" t="s">
        <v>48</v>
      </c>
      <c r="E300">
        <v>134</v>
      </c>
      <c r="F300">
        <v>-8</v>
      </c>
      <c r="G300">
        <v>19</v>
      </c>
      <c r="H300">
        <v>2</v>
      </c>
      <c r="J300">
        <v>16</v>
      </c>
      <c r="K300">
        <v>2</v>
      </c>
      <c r="L300" s="1" t="s">
        <v>228</v>
      </c>
      <c r="N300" s="1" t="s">
        <v>37</v>
      </c>
      <c r="P300" s="1" t="s">
        <v>37</v>
      </c>
      <c r="R300" s="1" t="s">
        <v>37</v>
      </c>
      <c r="S300">
        <v>47.45176</v>
      </c>
      <c r="T300">
        <v>7.7024140000000001</v>
      </c>
      <c r="U300" s="1" t="s">
        <v>49</v>
      </c>
      <c r="V300">
        <v>13</v>
      </c>
      <c r="W300">
        <v>18</v>
      </c>
      <c r="X300">
        <v>0</v>
      </c>
      <c r="Y300">
        <v>46.69</v>
      </c>
      <c r="Z300">
        <v>0.69699999999999995</v>
      </c>
    </row>
    <row r="301" spans="1:26">
      <c r="A301" s="2">
        <v>43909</v>
      </c>
      <c r="B301" s="4">
        <v>0.45833333333333331</v>
      </c>
      <c r="C301" s="1" t="s">
        <v>51</v>
      </c>
      <c r="D301">
        <v>235</v>
      </c>
      <c r="E301">
        <v>222</v>
      </c>
      <c r="F301">
        <v>0</v>
      </c>
      <c r="G301">
        <v>40</v>
      </c>
      <c r="H301">
        <v>2</v>
      </c>
      <c r="J301">
        <v>44</v>
      </c>
      <c r="K301">
        <v>4</v>
      </c>
      <c r="L301" s="1" t="s">
        <v>229</v>
      </c>
      <c r="M301">
        <v>199</v>
      </c>
      <c r="N301" s="1" t="s">
        <v>37</v>
      </c>
      <c r="P301" s="1" t="s">
        <v>37</v>
      </c>
      <c r="R301" s="1" t="s">
        <v>37</v>
      </c>
      <c r="S301">
        <v>47.564869000000002</v>
      </c>
      <c r="T301">
        <v>7.615259</v>
      </c>
      <c r="U301" s="1" t="s">
        <v>52</v>
      </c>
      <c r="V301">
        <v>12</v>
      </c>
      <c r="W301">
        <v>40</v>
      </c>
      <c r="X301">
        <v>0</v>
      </c>
      <c r="Y301">
        <v>114.49</v>
      </c>
      <c r="Z301">
        <v>2.0630000000000002</v>
      </c>
    </row>
    <row r="302" spans="1:26">
      <c r="A302" s="2">
        <v>43909</v>
      </c>
      <c r="B302" s="4">
        <v>0.125</v>
      </c>
      <c r="C302" s="1" t="s">
        <v>57</v>
      </c>
      <c r="D302">
        <v>30</v>
      </c>
      <c r="E302">
        <v>111</v>
      </c>
      <c r="F302">
        <v>1</v>
      </c>
      <c r="G302">
        <v>12</v>
      </c>
      <c r="H302">
        <v>5</v>
      </c>
      <c r="K302">
        <v>1</v>
      </c>
      <c r="L302" s="1" t="s">
        <v>59</v>
      </c>
      <c r="N302" s="1" t="s">
        <v>37</v>
      </c>
      <c r="P302" s="1" t="s">
        <v>37</v>
      </c>
      <c r="R302" s="1" t="s">
        <v>37</v>
      </c>
      <c r="S302">
        <v>46.718390999999997</v>
      </c>
      <c r="T302">
        <v>7.0740080000000001</v>
      </c>
      <c r="U302" s="1" t="s">
        <v>58</v>
      </c>
      <c r="V302">
        <v>10</v>
      </c>
      <c r="W302">
        <v>25</v>
      </c>
      <c r="X302">
        <v>0</v>
      </c>
      <c r="Y302">
        <v>35.229999999999997</v>
      </c>
      <c r="Z302">
        <v>0.317</v>
      </c>
    </row>
    <row r="303" spans="1:26">
      <c r="A303" s="2">
        <v>43909</v>
      </c>
      <c r="B303" s="4">
        <v>0.125</v>
      </c>
      <c r="C303" s="1" t="s">
        <v>60</v>
      </c>
      <c r="D303">
        <v>6252</v>
      </c>
      <c r="E303">
        <v>1026</v>
      </c>
      <c r="F303">
        <v>14</v>
      </c>
      <c r="G303">
        <v>92</v>
      </c>
      <c r="H303">
        <v>19</v>
      </c>
      <c r="I303">
        <v>18</v>
      </c>
      <c r="K303">
        <v>6</v>
      </c>
      <c r="L303" s="1" t="s">
        <v>62</v>
      </c>
      <c r="N303" s="1" t="s">
        <v>37</v>
      </c>
      <c r="P303" s="1" t="s">
        <v>37</v>
      </c>
      <c r="Q303">
        <v>5</v>
      </c>
      <c r="R303" s="1" t="s">
        <v>37</v>
      </c>
      <c r="S303">
        <v>46.220528000000002</v>
      </c>
      <c r="T303">
        <v>6.1329349999999998</v>
      </c>
      <c r="U303" s="1" t="s">
        <v>61</v>
      </c>
      <c r="V303">
        <v>25</v>
      </c>
      <c r="W303">
        <v>240</v>
      </c>
      <c r="X303">
        <v>1</v>
      </c>
      <c r="Y303">
        <v>207.19</v>
      </c>
      <c r="Z303">
        <v>1.212</v>
      </c>
    </row>
    <row r="304" spans="1:26">
      <c r="A304" s="2">
        <v>43909</v>
      </c>
      <c r="B304" s="4">
        <v>0.125</v>
      </c>
      <c r="C304" s="1" t="s">
        <v>63</v>
      </c>
      <c r="E304">
        <v>17</v>
      </c>
      <c r="F304">
        <v>0</v>
      </c>
      <c r="L304" s="1" t="s">
        <v>215</v>
      </c>
      <c r="N304" s="1" t="s">
        <v>37</v>
      </c>
      <c r="P304" s="1" t="s">
        <v>37</v>
      </c>
      <c r="R304" s="1" t="s">
        <v>37</v>
      </c>
      <c r="S304">
        <v>46.931042000000005</v>
      </c>
      <c r="T304">
        <v>9.0657510000000006</v>
      </c>
      <c r="U304" s="1" t="s">
        <v>64</v>
      </c>
      <c r="V304">
        <v>8</v>
      </c>
      <c r="W304">
        <v>7</v>
      </c>
      <c r="X304">
        <v>0</v>
      </c>
      <c r="Y304">
        <v>42.18</v>
      </c>
    </row>
    <row r="305" spans="1:26">
      <c r="A305" s="2">
        <v>43909</v>
      </c>
      <c r="B305" s="4">
        <v>0.125</v>
      </c>
      <c r="C305" s="1" t="s">
        <v>66</v>
      </c>
      <c r="E305">
        <v>145</v>
      </c>
      <c r="F305">
        <v>5</v>
      </c>
      <c r="G305">
        <v>18</v>
      </c>
      <c r="K305">
        <v>1</v>
      </c>
      <c r="L305" s="1" t="s">
        <v>68</v>
      </c>
      <c r="N305" s="1" t="s">
        <v>37</v>
      </c>
      <c r="P305" s="1" t="s">
        <v>37</v>
      </c>
      <c r="R305" s="1" t="s">
        <v>37</v>
      </c>
      <c r="S305">
        <v>46.656247999999998</v>
      </c>
      <c r="T305">
        <v>9.6281979999999994</v>
      </c>
      <c r="U305" s="1" t="s">
        <v>67</v>
      </c>
      <c r="V305">
        <v>1</v>
      </c>
      <c r="W305">
        <v>29</v>
      </c>
      <c r="X305">
        <v>0</v>
      </c>
      <c r="Y305">
        <v>73.27</v>
      </c>
      <c r="Z305">
        <v>0.505</v>
      </c>
    </row>
    <row r="306" spans="1:26">
      <c r="A306" s="2">
        <v>43909</v>
      </c>
      <c r="B306" s="4">
        <v>0.66666666666666663</v>
      </c>
      <c r="C306" s="1" t="s">
        <v>69</v>
      </c>
      <c r="E306">
        <v>36</v>
      </c>
      <c r="F306">
        <v>1</v>
      </c>
      <c r="G306">
        <v>12</v>
      </c>
      <c r="L306" s="1" t="s">
        <v>280</v>
      </c>
      <c r="N306" s="1" t="s">
        <v>37</v>
      </c>
      <c r="P306" s="1" t="s">
        <v>37</v>
      </c>
      <c r="R306" s="1" t="s">
        <v>37</v>
      </c>
      <c r="S306">
        <v>47.350743999999999</v>
      </c>
      <c r="T306">
        <v>7.1561070000000004</v>
      </c>
      <c r="U306" s="1" t="s">
        <v>70</v>
      </c>
      <c r="V306">
        <v>26</v>
      </c>
      <c r="W306">
        <v>4</v>
      </c>
      <c r="X306">
        <v>0</v>
      </c>
      <c r="Y306">
        <v>49.11</v>
      </c>
    </row>
    <row r="307" spans="1:26">
      <c r="A307" s="2">
        <v>43909</v>
      </c>
      <c r="B307" s="4">
        <v>0.125</v>
      </c>
      <c r="C307" s="1" t="s">
        <v>74</v>
      </c>
      <c r="E307">
        <v>175</v>
      </c>
      <c r="F307">
        <v>1</v>
      </c>
      <c r="G307">
        <v>19</v>
      </c>
      <c r="H307">
        <v>3</v>
      </c>
      <c r="K307">
        <v>3</v>
      </c>
      <c r="L307" s="1" t="s">
        <v>76</v>
      </c>
      <c r="N307" s="1" t="s">
        <v>37</v>
      </c>
      <c r="P307" s="1" t="s">
        <v>37</v>
      </c>
      <c r="R307" s="1" t="s">
        <v>37</v>
      </c>
      <c r="S307">
        <v>46.995533999999999</v>
      </c>
      <c r="T307">
        <v>6.7801260000000001</v>
      </c>
      <c r="U307" s="1" t="s">
        <v>75</v>
      </c>
      <c r="V307">
        <v>24</v>
      </c>
      <c r="W307">
        <v>29</v>
      </c>
      <c r="X307">
        <v>1</v>
      </c>
      <c r="Y307">
        <v>98.31</v>
      </c>
      <c r="Z307">
        <v>1.6850000000000001</v>
      </c>
    </row>
    <row r="308" spans="1:26">
      <c r="A308" s="2">
        <v>43909</v>
      </c>
      <c r="B308" s="4">
        <v>0.125</v>
      </c>
      <c r="C308" s="1" t="s">
        <v>77</v>
      </c>
      <c r="E308">
        <v>25</v>
      </c>
      <c r="F308">
        <v>0</v>
      </c>
      <c r="L308" s="1" t="s">
        <v>79</v>
      </c>
      <c r="N308" s="1" t="s">
        <v>37</v>
      </c>
      <c r="P308" s="1" t="s">
        <v>37</v>
      </c>
      <c r="R308" s="1" t="s">
        <v>37</v>
      </c>
      <c r="S308">
        <v>46.926755</v>
      </c>
      <c r="T308">
        <v>8.4053020000000007</v>
      </c>
      <c r="U308" s="1" t="s">
        <v>78</v>
      </c>
      <c r="V308">
        <v>7</v>
      </c>
      <c r="W308">
        <v>21</v>
      </c>
      <c r="X308">
        <v>0</v>
      </c>
      <c r="Y308">
        <v>58.14</v>
      </c>
    </row>
    <row r="309" spans="1:26">
      <c r="A309" s="2">
        <v>43909</v>
      </c>
      <c r="B309" s="4">
        <v>0.125</v>
      </c>
      <c r="C309" s="1" t="s">
        <v>83</v>
      </c>
      <c r="E309">
        <v>85</v>
      </c>
      <c r="F309">
        <v>0</v>
      </c>
      <c r="L309" s="1" t="s">
        <v>85</v>
      </c>
      <c r="N309" s="1" t="s">
        <v>37</v>
      </c>
      <c r="P309" s="1" t="s">
        <v>37</v>
      </c>
      <c r="R309" s="1" t="s">
        <v>37</v>
      </c>
      <c r="S309">
        <v>47.183199999999999</v>
      </c>
      <c r="T309">
        <v>9.2747440000000001</v>
      </c>
      <c r="U309" s="1" t="s">
        <v>84</v>
      </c>
      <c r="V309">
        <v>17</v>
      </c>
      <c r="W309">
        <v>24</v>
      </c>
      <c r="X309">
        <v>0</v>
      </c>
      <c r="Y309">
        <v>16.84</v>
      </c>
    </row>
    <row r="310" spans="1:26">
      <c r="A310" s="2">
        <v>43909</v>
      </c>
      <c r="B310" s="4">
        <v>0.125</v>
      </c>
      <c r="C310" s="1" t="s">
        <v>86</v>
      </c>
      <c r="E310">
        <v>12</v>
      </c>
      <c r="F310">
        <v>0</v>
      </c>
      <c r="K310">
        <v>0</v>
      </c>
      <c r="L310" s="1" t="s">
        <v>88</v>
      </c>
      <c r="N310" s="1" t="s">
        <v>37</v>
      </c>
      <c r="P310" s="1" t="s">
        <v>37</v>
      </c>
      <c r="R310" s="1" t="s">
        <v>37</v>
      </c>
      <c r="S310">
        <v>47.713569999999997</v>
      </c>
      <c r="T310">
        <v>8.5916700000000006</v>
      </c>
      <c r="U310" s="1" t="s">
        <v>87</v>
      </c>
      <c r="V310">
        <v>14</v>
      </c>
      <c r="W310">
        <v>4</v>
      </c>
      <c r="X310">
        <v>0</v>
      </c>
      <c r="Y310">
        <v>14.74</v>
      </c>
      <c r="Z310">
        <v>0</v>
      </c>
    </row>
    <row r="311" spans="1:26">
      <c r="A311" s="2">
        <v>43909</v>
      </c>
      <c r="B311" s="4">
        <v>0.125</v>
      </c>
      <c r="C311" s="1" t="s">
        <v>95</v>
      </c>
      <c r="D311">
        <v>276</v>
      </c>
      <c r="E311">
        <v>36</v>
      </c>
      <c r="F311">
        <v>0</v>
      </c>
      <c r="L311" s="1" t="s">
        <v>97</v>
      </c>
      <c r="N311" s="1" t="s">
        <v>37</v>
      </c>
      <c r="P311" s="1" t="s">
        <v>37</v>
      </c>
      <c r="R311" s="1" t="s">
        <v>37</v>
      </c>
      <c r="S311">
        <v>47.568714999999997</v>
      </c>
      <c r="T311">
        <v>9.0919570000000007</v>
      </c>
      <c r="U311" s="1" t="s">
        <v>96</v>
      </c>
      <c r="V311">
        <v>1</v>
      </c>
      <c r="W311">
        <v>4</v>
      </c>
      <c r="X311">
        <v>0</v>
      </c>
      <c r="Y311">
        <v>13.15</v>
      </c>
    </row>
    <row r="312" spans="1:26">
      <c r="A312" s="2">
        <v>43909</v>
      </c>
      <c r="B312" s="4">
        <v>0.125</v>
      </c>
      <c r="C312" s="1" t="s">
        <v>98</v>
      </c>
      <c r="E312">
        <v>638</v>
      </c>
      <c r="F312">
        <v>0</v>
      </c>
      <c r="G312">
        <v>155</v>
      </c>
      <c r="H312">
        <v>33</v>
      </c>
      <c r="K312">
        <v>15</v>
      </c>
      <c r="L312" s="1" t="s">
        <v>230</v>
      </c>
      <c r="N312" s="1" t="s">
        <v>37</v>
      </c>
      <c r="P312" s="1" t="s">
        <v>37</v>
      </c>
      <c r="R312" s="1" t="s">
        <v>37</v>
      </c>
      <c r="S312">
        <v>46.295617</v>
      </c>
      <c r="T312">
        <v>8.8089239999999993</v>
      </c>
      <c r="U312" s="1" t="s">
        <v>99</v>
      </c>
      <c r="V312">
        <v>21</v>
      </c>
      <c r="W312">
        <v>127</v>
      </c>
      <c r="X312">
        <v>1</v>
      </c>
      <c r="Y312">
        <v>180.38</v>
      </c>
      <c r="Z312">
        <v>4.2409999999999997</v>
      </c>
    </row>
    <row r="313" spans="1:26">
      <c r="A313" s="2">
        <v>43909</v>
      </c>
      <c r="B313" s="4">
        <v>0.125</v>
      </c>
      <c r="C313" s="1" t="s">
        <v>101</v>
      </c>
      <c r="D313">
        <v>85</v>
      </c>
      <c r="E313">
        <v>7</v>
      </c>
      <c r="F313">
        <v>0</v>
      </c>
      <c r="L313" s="1" t="s">
        <v>231</v>
      </c>
      <c r="N313" s="1" t="s">
        <v>37</v>
      </c>
      <c r="P313" s="1" t="s">
        <v>37</v>
      </c>
      <c r="R313" s="1" t="s">
        <v>37</v>
      </c>
      <c r="S313">
        <v>46.771849000000003</v>
      </c>
      <c r="T313">
        <v>8.6285860000000003</v>
      </c>
      <c r="U313" s="1" t="s">
        <v>102</v>
      </c>
      <c r="V313">
        <v>4</v>
      </c>
      <c r="W313">
        <v>2</v>
      </c>
      <c r="X313">
        <v>0</v>
      </c>
      <c r="Y313">
        <v>19.28</v>
      </c>
    </row>
    <row r="314" spans="1:26">
      <c r="A314" s="2">
        <v>43909</v>
      </c>
      <c r="B314" s="4">
        <v>0.125</v>
      </c>
      <c r="C314" s="1" t="s">
        <v>104</v>
      </c>
      <c r="E314">
        <v>1156</v>
      </c>
      <c r="F314">
        <v>17</v>
      </c>
      <c r="G314">
        <v>171</v>
      </c>
      <c r="H314">
        <v>23</v>
      </c>
      <c r="J314">
        <v>52</v>
      </c>
      <c r="K314">
        <v>13</v>
      </c>
      <c r="L314" s="1" t="s">
        <v>106</v>
      </c>
      <c r="N314" s="1" t="s">
        <v>37</v>
      </c>
      <c r="P314" s="1" t="s">
        <v>37</v>
      </c>
      <c r="R314" s="1" t="s">
        <v>37</v>
      </c>
      <c r="S314">
        <v>46.570090999999998</v>
      </c>
      <c r="T314">
        <v>6.5578090000000007</v>
      </c>
      <c r="U314" s="1" t="s">
        <v>105</v>
      </c>
      <c r="V314">
        <v>22</v>
      </c>
      <c r="W314">
        <v>313</v>
      </c>
      <c r="X314">
        <v>1</v>
      </c>
      <c r="Y314">
        <v>145.76</v>
      </c>
      <c r="Z314">
        <v>1.639</v>
      </c>
    </row>
    <row r="315" spans="1:26">
      <c r="A315" s="2">
        <v>43909</v>
      </c>
      <c r="B315" s="4">
        <v>0.125</v>
      </c>
      <c r="C315" s="1" t="s">
        <v>107</v>
      </c>
      <c r="E315">
        <v>349</v>
      </c>
      <c r="F315">
        <v>6</v>
      </c>
      <c r="G315">
        <v>64</v>
      </c>
      <c r="H315">
        <v>5</v>
      </c>
      <c r="I315">
        <v>5</v>
      </c>
      <c r="J315">
        <v>3</v>
      </c>
      <c r="K315">
        <v>6</v>
      </c>
      <c r="L315" s="1" t="s">
        <v>412</v>
      </c>
      <c r="N315" s="1" t="s">
        <v>37</v>
      </c>
      <c r="P315" s="1" t="s">
        <v>37</v>
      </c>
      <c r="R315" s="1" t="s">
        <v>37</v>
      </c>
      <c r="S315">
        <v>46.209567</v>
      </c>
      <c r="T315">
        <v>7.6046589999999998</v>
      </c>
      <c r="U315" s="1" t="s">
        <v>108</v>
      </c>
      <c r="V315">
        <v>23</v>
      </c>
      <c r="W315">
        <v>37</v>
      </c>
      <c r="X315">
        <v>2</v>
      </c>
      <c r="Y315">
        <v>102.2</v>
      </c>
      <c r="Z315">
        <v>1.7569999999999999</v>
      </c>
    </row>
    <row r="316" spans="1:26">
      <c r="A316" s="2">
        <v>43909</v>
      </c>
      <c r="B316" s="4">
        <v>0.33333333333333331</v>
      </c>
      <c r="C316" s="1" t="s">
        <v>109</v>
      </c>
      <c r="E316">
        <v>48</v>
      </c>
      <c r="F316">
        <v>0</v>
      </c>
      <c r="G316">
        <v>1</v>
      </c>
      <c r="H316">
        <v>0</v>
      </c>
      <c r="J316">
        <v>5</v>
      </c>
      <c r="K316">
        <v>0</v>
      </c>
      <c r="L316" s="1" t="s">
        <v>502</v>
      </c>
      <c r="N316" s="1" t="s">
        <v>37</v>
      </c>
      <c r="P316" s="1" t="s">
        <v>37</v>
      </c>
      <c r="R316" s="1" t="s">
        <v>37</v>
      </c>
      <c r="S316">
        <v>47.157296000000002</v>
      </c>
      <c r="T316">
        <v>8.5372939999999993</v>
      </c>
      <c r="U316" s="1" t="s">
        <v>110</v>
      </c>
      <c r="V316">
        <v>9</v>
      </c>
      <c r="W316">
        <v>11</v>
      </c>
      <c r="X316">
        <v>0</v>
      </c>
      <c r="Y316">
        <v>38.28</v>
      </c>
      <c r="Z316">
        <v>0</v>
      </c>
    </row>
    <row r="317" spans="1:26">
      <c r="A317" s="2">
        <v>43909</v>
      </c>
      <c r="B317" s="4">
        <v>0.60416666666666663</v>
      </c>
      <c r="C317" s="1" t="s">
        <v>111</v>
      </c>
      <c r="E317">
        <v>680</v>
      </c>
      <c r="F317">
        <v>0</v>
      </c>
      <c r="G317">
        <v>60</v>
      </c>
      <c r="I317">
        <v>12</v>
      </c>
      <c r="K317">
        <v>3</v>
      </c>
      <c r="L317" s="1" t="s">
        <v>113</v>
      </c>
      <c r="N317" s="1" t="s">
        <v>37</v>
      </c>
      <c r="P317" s="1" t="s">
        <v>37</v>
      </c>
      <c r="R317" s="1" t="s">
        <v>37</v>
      </c>
      <c r="S317">
        <v>47.412750000000003</v>
      </c>
      <c r="T317">
        <v>8.6550799999999999</v>
      </c>
      <c r="U317" s="1" t="s">
        <v>112</v>
      </c>
      <c r="V317">
        <v>1</v>
      </c>
      <c r="W317">
        <v>111</v>
      </c>
      <c r="X317">
        <v>1</v>
      </c>
      <c r="Y317">
        <v>45.2</v>
      </c>
      <c r="Z317">
        <v>0.19900000000000001</v>
      </c>
    </row>
    <row r="318" spans="1:26">
      <c r="A318" s="2">
        <v>43910</v>
      </c>
      <c r="B318" s="4">
        <v>0.625</v>
      </c>
      <c r="C318" s="1" t="s">
        <v>35</v>
      </c>
      <c r="E318">
        <v>168</v>
      </c>
      <c r="F318">
        <v>8</v>
      </c>
      <c r="G318">
        <v>25</v>
      </c>
      <c r="H318">
        <v>4</v>
      </c>
      <c r="I318">
        <v>2</v>
      </c>
      <c r="J318">
        <v>4</v>
      </c>
      <c r="K318">
        <v>1</v>
      </c>
      <c r="L318" s="1" t="s">
        <v>232</v>
      </c>
      <c r="N318" s="1" t="s">
        <v>37</v>
      </c>
      <c r="P318" s="1" t="s">
        <v>37</v>
      </c>
      <c r="R318" s="1" t="s">
        <v>37</v>
      </c>
      <c r="S318">
        <v>47.409660000000002</v>
      </c>
      <c r="T318">
        <v>8.1568799999999992</v>
      </c>
      <c r="U318" s="1" t="s">
        <v>36</v>
      </c>
      <c r="V318">
        <v>1</v>
      </c>
      <c r="W318">
        <v>50</v>
      </c>
      <c r="X318">
        <v>0</v>
      </c>
      <c r="Y318">
        <v>25.04</v>
      </c>
      <c r="Z318">
        <v>0.14899999999999999</v>
      </c>
    </row>
    <row r="319" spans="1:26">
      <c r="A319" s="2">
        <v>43910</v>
      </c>
      <c r="B319" s="4">
        <v>0.125</v>
      </c>
      <c r="C319" s="1" t="s">
        <v>45</v>
      </c>
      <c r="E319">
        <v>377</v>
      </c>
      <c r="F319">
        <v>0</v>
      </c>
      <c r="K319">
        <v>2</v>
      </c>
      <c r="L319" s="1" t="s">
        <v>47</v>
      </c>
      <c r="N319" s="1" t="s">
        <v>37</v>
      </c>
      <c r="P319" s="1" t="s">
        <v>37</v>
      </c>
      <c r="R319" s="1" t="s">
        <v>37</v>
      </c>
      <c r="S319">
        <v>46.823608</v>
      </c>
      <c r="T319">
        <v>7.6366670000000001</v>
      </c>
      <c r="U319" s="1" t="s">
        <v>46</v>
      </c>
      <c r="V319">
        <v>2</v>
      </c>
      <c r="W319">
        <v>95</v>
      </c>
      <c r="X319">
        <v>1</v>
      </c>
      <c r="Y319">
        <v>36.56</v>
      </c>
      <c r="Z319">
        <v>0.19400000000000001</v>
      </c>
    </row>
    <row r="320" spans="1:26">
      <c r="A320" s="2">
        <v>43910</v>
      </c>
      <c r="B320" s="4">
        <v>0.125</v>
      </c>
      <c r="C320" s="1" t="s">
        <v>48</v>
      </c>
      <c r="E320">
        <v>184</v>
      </c>
      <c r="F320">
        <v>8</v>
      </c>
      <c r="G320">
        <v>27</v>
      </c>
      <c r="H320">
        <v>2</v>
      </c>
      <c r="J320">
        <v>18</v>
      </c>
      <c r="K320">
        <v>3</v>
      </c>
      <c r="L320" s="1" t="s">
        <v>233</v>
      </c>
      <c r="N320" s="1" t="s">
        <v>37</v>
      </c>
      <c r="P320" s="1" t="s">
        <v>37</v>
      </c>
      <c r="R320" s="1" t="s">
        <v>37</v>
      </c>
      <c r="S320">
        <v>47.45176</v>
      </c>
      <c r="T320">
        <v>7.7024140000000001</v>
      </c>
      <c r="U320" s="1" t="s">
        <v>49</v>
      </c>
      <c r="V320">
        <v>13</v>
      </c>
      <c r="W320">
        <v>50</v>
      </c>
      <c r="X320">
        <v>1</v>
      </c>
      <c r="Y320">
        <v>64.11</v>
      </c>
      <c r="Z320">
        <v>1.0449999999999999</v>
      </c>
    </row>
    <row r="321" spans="1:26">
      <c r="A321" s="2">
        <v>43910</v>
      </c>
      <c r="B321" s="4">
        <v>0.41666666666666669</v>
      </c>
      <c r="C321" s="1" t="s">
        <v>51</v>
      </c>
      <c r="D321">
        <v>235</v>
      </c>
      <c r="E321">
        <v>272</v>
      </c>
      <c r="F321">
        <v>5</v>
      </c>
      <c r="G321">
        <v>45</v>
      </c>
      <c r="H321">
        <v>2</v>
      </c>
      <c r="J321">
        <v>46</v>
      </c>
      <c r="K321">
        <v>4</v>
      </c>
      <c r="L321" s="1" t="s">
        <v>234</v>
      </c>
      <c r="M321">
        <v>232</v>
      </c>
      <c r="N321" s="1" t="s">
        <v>37</v>
      </c>
      <c r="P321" s="1" t="s">
        <v>37</v>
      </c>
      <c r="R321" s="1" t="s">
        <v>37</v>
      </c>
      <c r="S321">
        <v>47.564869000000002</v>
      </c>
      <c r="T321">
        <v>7.615259</v>
      </c>
      <c r="U321" s="1" t="s">
        <v>52</v>
      </c>
      <c r="V321">
        <v>12</v>
      </c>
      <c r="W321">
        <v>50</v>
      </c>
      <c r="X321">
        <v>0</v>
      </c>
      <c r="Y321">
        <v>140.28</v>
      </c>
      <c r="Z321">
        <v>2.0630000000000002</v>
      </c>
    </row>
    <row r="322" spans="1:26">
      <c r="A322" s="2">
        <v>43910</v>
      </c>
      <c r="B322" s="4">
        <v>0.125</v>
      </c>
      <c r="C322" s="1" t="s">
        <v>54</v>
      </c>
      <c r="D322">
        <v>99</v>
      </c>
      <c r="E322">
        <v>37</v>
      </c>
      <c r="F322">
        <v>0</v>
      </c>
      <c r="J322">
        <v>1</v>
      </c>
      <c r="L322" s="1" t="s">
        <v>235</v>
      </c>
      <c r="N322" s="1" t="s">
        <v>37</v>
      </c>
      <c r="P322" s="1" t="s">
        <v>37</v>
      </c>
      <c r="R322" s="1" t="s">
        <v>37</v>
      </c>
      <c r="S322">
        <v>47.166666999999997</v>
      </c>
      <c r="T322">
        <v>9.509722</v>
      </c>
      <c r="U322" s="1" t="s">
        <v>55</v>
      </c>
      <c r="V322">
        <v>0</v>
      </c>
      <c r="W322">
        <v>9</v>
      </c>
      <c r="X322">
        <v>0</v>
      </c>
      <c r="Y322">
        <v>95.85</v>
      </c>
    </row>
    <row r="323" spans="1:26">
      <c r="A323" s="2">
        <v>43910</v>
      </c>
      <c r="B323" s="4">
        <v>0.125</v>
      </c>
      <c r="C323" s="1" t="s">
        <v>57</v>
      </c>
      <c r="D323">
        <v>30</v>
      </c>
      <c r="E323">
        <v>145</v>
      </c>
      <c r="F323">
        <v>8</v>
      </c>
      <c r="G323">
        <v>20</v>
      </c>
      <c r="H323">
        <v>6</v>
      </c>
      <c r="K323">
        <v>1</v>
      </c>
      <c r="L323" s="1" t="s">
        <v>59</v>
      </c>
      <c r="N323" s="1" t="s">
        <v>37</v>
      </c>
      <c r="P323" s="1" t="s">
        <v>37</v>
      </c>
      <c r="R323" s="1" t="s">
        <v>37</v>
      </c>
      <c r="S323">
        <v>46.718390999999997</v>
      </c>
      <c r="T323">
        <v>7.0740080000000001</v>
      </c>
      <c r="U323" s="1" t="s">
        <v>58</v>
      </c>
      <c r="V323">
        <v>10</v>
      </c>
      <c r="W323">
        <v>34</v>
      </c>
      <c r="X323">
        <v>0</v>
      </c>
      <c r="Y323">
        <v>46.02</v>
      </c>
      <c r="Z323">
        <v>0.317</v>
      </c>
    </row>
    <row r="324" spans="1:26">
      <c r="A324" s="2">
        <v>43910</v>
      </c>
      <c r="B324" s="4">
        <v>0.125</v>
      </c>
      <c r="C324" s="1" t="s">
        <v>60</v>
      </c>
      <c r="D324">
        <v>6659</v>
      </c>
      <c r="E324">
        <v>1152</v>
      </c>
      <c r="F324">
        <v>17</v>
      </c>
      <c r="G324">
        <v>109</v>
      </c>
      <c r="H324">
        <v>22</v>
      </c>
      <c r="I324">
        <v>21</v>
      </c>
      <c r="K324">
        <v>8</v>
      </c>
      <c r="L324" s="1" t="s">
        <v>62</v>
      </c>
      <c r="N324" s="1" t="s">
        <v>37</v>
      </c>
      <c r="P324" s="1" t="s">
        <v>37</v>
      </c>
      <c r="Q324">
        <v>5</v>
      </c>
      <c r="R324" s="1" t="s">
        <v>37</v>
      </c>
      <c r="S324">
        <v>46.220528000000002</v>
      </c>
      <c r="T324">
        <v>6.1329349999999998</v>
      </c>
      <c r="U324" s="1" t="s">
        <v>61</v>
      </c>
      <c r="V324">
        <v>25</v>
      </c>
      <c r="W324">
        <v>126</v>
      </c>
      <c r="X324">
        <v>2</v>
      </c>
      <c r="Y324">
        <v>232.63</v>
      </c>
      <c r="Z324">
        <v>1.6160000000000001</v>
      </c>
    </row>
    <row r="325" spans="1:26">
      <c r="A325" s="2">
        <v>43910</v>
      </c>
      <c r="B325" s="4">
        <v>0.125</v>
      </c>
      <c r="C325" s="1" t="s">
        <v>66</v>
      </c>
      <c r="E325">
        <v>213</v>
      </c>
      <c r="F325">
        <v>6</v>
      </c>
      <c r="G325">
        <v>24</v>
      </c>
      <c r="K325">
        <v>3</v>
      </c>
      <c r="L325" s="1" t="s">
        <v>68</v>
      </c>
      <c r="N325" s="1" t="s">
        <v>37</v>
      </c>
      <c r="P325" s="1" t="s">
        <v>37</v>
      </c>
      <c r="R325" s="1" t="s">
        <v>37</v>
      </c>
      <c r="S325">
        <v>46.656247999999998</v>
      </c>
      <c r="T325">
        <v>9.6281979999999994</v>
      </c>
      <c r="U325" s="1" t="s">
        <v>67</v>
      </c>
      <c r="V325">
        <v>1</v>
      </c>
      <c r="W325">
        <v>68</v>
      </c>
      <c r="X325">
        <v>2</v>
      </c>
      <c r="Y325">
        <v>107.63</v>
      </c>
      <c r="Z325">
        <v>1.516</v>
      </c>
    </row>
    <row r="326" spans="1:26">
      <c r="A326" s="2">
        <v>43910</v>
      </c>
      <c r="B326" s="4">
        <v>0.66666666666666663</v>
      </c>
      <c r="C326" s="1" t="s">
        <v>69</v>
      </c>
      <c r="E326">
        <v>44</v>
      </c>
      <c r="F326">
        <v>2</v>
      </c>
      <c r="G326">
        <v>14</v>
      </c>
      <c r="H326">
        <v>1</v>
      </c>
      <c r="L326" s="1" t="s">
        <v>280</v>
      </c>
      <c r="N326" s="1" t="s">
        <v>37</v>
      </c>
      <c r="P326" s="1" t="s">
        <v>37</v>
      </c>
      <c r="R326" s="1" t="s">
        <v>37</v>
      </c>
      <c r="S326">
        <v>47.350743999999999</v>
      </c>
      <c r="T326">
        <v>7.1561070000000004</v>
      </c>
      <c r="U326" s="1" t="s">
        <v>70</v>
      </c>
      <c r="V326">
        <v>26</v>
      </c>
      <c r="W326">
        <v>8</v>
      </c>
      <c r="X326">
        <v>0</v>
      </c>
      <c r="Y326">
        <v>60.03</v>
      </c>
    </row>
    <row r="327" spans="1:26">
      <c r="A327" s="2">
        <v>43910</v>
      </c>
      <c r="B327" s="4">
        <v>0.40277777777777779</v>
      </c>
      <c r="C327" s="1" t="s">
        <v>71</v>
      </c>
      <c r="E327">
        <v>92</v>
      </c>
      <c r="F327">
        <v>0</v>
      </c>
      <c r="L327" s="1" t="s">
        <v>73</v>
      </c>
      <c r="N327" s="1" t="s">
        <v>37</v>
      </c>
      <c r="P327" s="1" t="s">
        <v>37</v>
      </c>
      <c r="R327" s="1" t="s">
        <v>37</v>
      </c>
      <c r="S327">
        <v>47.067762999999999</v>
      </c>
      <c r="T327">
        <v>8.1102000000000007</v>
      </c>
      <c r="U327" s="1" t="s">
        <v>72</v>
      </c>
      <c r="V327">
        <v>3</v>
      </c>
      <c r="W327">
        <v>27</v>
      </c>
      <c r="X327">
        <v>0</v>
      </c>
      <c r="Y327">
        <v>22.63</v>
      </c>
    </row>
    <row r="328" spans="1:26">
      <c r="A328" s="2">
        <v>43910</v>
      </c>
      <c r="B328" s="4">
        <v>0.66666666666666663</v>
      </c>
      <c r="C328" s="1" t="s">
        <v>74</v>
      </c>
      <c r="E328">
        <v>189</v>
      </c>
      <c r="F328">
        <v>2</v>
      </c>
      <c r="G328">
        <v>21</v>
      </c>
      <c r="H328">
        <v>4</v>
      </c>
      <c r="K328">
        <v>3</v>
      </c>
      <c r="L328" s="1" t="s">
        <v>76</v>
      </c>
      <c r="N328" s="1" t="s">
        <v>37</v>
      </c>
      <c r="P328" s="1" t="s">
        <v>37</v>
      </c>
      <c r="R328" s="1" t="s">
        <v>37</v>
      </c>
      <c r="S328">
        <v>46.995533999999999</v>
      </c>
      <c r="T328">
        <v>6.7801260000000001</v>
      </c>
      <c r="U328" s="1" t="s">
        <v>75</v>
      </c>
      <c r="V328">
        <v>24</v>
      </c>
      <c r="W328">
        <v>14</v>
      </c>
      <c r="X328">
        <v>0</v>
      </c>
      <c r="Y328">
        <v>106.18</v>
      </c>
      <c r="Z328">
        <v>1.6850000000000001</v>
      </c>
    </row>
    <row r="329" spans="1:26">
      <c r="A329" s="2">
        <v>43910</v>
      </c>
      <c r="B329" s="4">
        <v>0.63888888888888884</v>
      </c>
      <c r="C329" s="1" t="s">
        <v>77</v>
      </c>
      <c r="E329">
        <v>28</v>
      </c>
      <c r="F329">
        <v>0</v>
      </c>
      <c r="L329" s="1" t="s">
        <v>79</v>
      </c>
      <c r="N329" s="1" t="s">
        <v>37</v>
      </c>
      <c r="P329" s="1" t="s">
        <v>37</v>
      </c>
      <c r="R329" s="1" t="s">
        <v>37</v>
      </c>
      <c r="S329">
        <v>46.926755</v>
      </c>
      <c r="T329">
        <v>8.4053020000000007</v>
      </c>
      <c r="U329" s="1" t="s">
        <v>78</v>
      </c>
      <c r="V329">
        <v>7</v>
      </c>
      <c r="W329">
        <v>3</v>
      </c>
      <c r="X329">
        <v>0</v>
      </c>
      <c r="Y329">
        <v>65.12</v>
      </c>
    </row>
    <row r="330" spans="1:26">
      <c r="A330" s="2">
        <v>43910</v>
      </c>
      <c r="B330" s="4">
        <v>0.125</v>
      </c>
      <c r="C330" s="1" t="s">
        <v>83</v>
      </c>
      <c r="E330">
        <v>98</v>
      </c>
      <c r="F330">
        <v>0</v>
      </c>
      <c r="L330" s="1" t="s">
        <v>85</v>
      </c>
      <c r="N330" s="1" t="s">
        <v>37</v>
      </c>
      <c r="P330" s="1" t="s">
        <v>37</v>
      </c>
      <c r="R330" s="1" t="s">
        <v>37</v>
      </c>
      <c r="S330">
        <v>47.183199999999999</v>
      </c>
      <c r="T330">
        <v>9.2747440000000001</v>
      </c>
      <c r="U330" s="1" t="s">
        <v>84</v>
      </c>
      <c r="V330">
        <v>17</v>
      </c>
      <c r="W330">
        <v>13</v>
      </c>
      <c r="X330">
        <v>0</v>
      </c>
      <c r="Y330">
        <v>19.420000000000002</v>
      </c>
    </row>
    <row r="331" spans="1:26">
      <c r="A331" s="2">
        <v>43910</v>
      </c>
      <c r="B331" s="4">
        <v>0.125</v>
      </c>
      <c r="C331" s="1" t="s">
        <v>86</v>
      </c>
      <c r="E331">
        <v>17</v>
      </c>
      <c r="F331">
        <v>0</v>
      </c>
      <c r="K331">
        <v>0</v>
      </c>
      <c r="L331" s="1" t="s">
        <v>88</v>
      </c>
      <c r="N331" s="1" t="s">
        <v>37</v>
      </c>
      <c r="P331" s="1" t="s">
        <v>37</v>
      </c>
      <c r="R331" s="1" t="s">
        <v>37</v>
      </c>
      <c r="S331">
        <v>47.713569999999997</v>
      </c>
      <c r="T331">
        <v>8.5916700000000006</v>
      </c>
      <c r="U331" s="1" t="s">
        <v>87</v>
      </c>
      <c r="V331">
        <v>14</v>
      </c>
      <c r="W331">
        <v>5</v>
      </c>
      <c r="X331">
        <v>0</v>
      </c>
      <c r="Y331">
        <v>20.88</v>
      </c>
      <c r="Z331">
        <v>0</v>
      </c>
    </row>
    <row r="332" spans="1:26">
      <c r="A332" s="2">
        <v>43910</v>
      </c>
      <c r="B332" s="4">
        <v>0.73402777777777772</v>
      </c>
      <c r="C332" s="1" t="s">
        <v>89</v>
      </c>
      <c r="E332">
        <v>66</v>
      </c>
      <c r="F332">
        <v>0</v>
      </c>
      <c r="L332" s="1" t="s">
        <v>236</v>
      </c>
      <c r="N332" s="1" t="s">
        <v>37</v>
      </c>
      <c r="P332" s="1" t="s">
        <v>37</v>
      </c>
      <c r="R332" s="1" t="s">
        <v>37</v>
      </c>
      <c r="S332">
        <v>47.304135000000002</v>
      </c>
      <c r="T332">
        <v>7.6393880000000003</v>
      </c>
      <c r="U332" s="1" t="s">
        <v>90</v>
      </c>
      <c r="V332">
        <v>11</v>
      </c>
      <c r="W332">
        <v>23</v>
      </c>
      <c r="X332">
        <v>0</v>
      </c>
      <c r="Y332">
        <v>24.32</v>
      </c>
    </row>
    <row r="333" spans="1:26">
      <c r="A333" s="2">
        <v>43910</v>
      </c>
      <c r="B333" s="4">
        <v>0.125</v>
      </c>
      <c r="C333" s="1" t="s">
        <v>95</v>
      </c>
      <c r="D333">
        <v>276</v>
      </c>
      <c r="E333">
        <v>49</v>
      </c>
      <c r="F333">
        <v>0</v>
      </c>
      <c r="L333" s="1" t="s">
        <v>97</v>
      </c>
      <c r="N333" s="1" t="s">
        <v>37</v>
      </c>
      <c r="P333" s="1" t="s">
        <v>37</v>
      </c>
      <c r="R333" s="1" t="s">
        <v>37</v>
      </c>
      <c r="S333">
        <v>47.568714999999997</v>
      </c>
      <c r="T333">
        <v>9.0919570000000007</v>
      </c>
      <c r="U333" s="1" t="s">
        <v>96</v>
      </c>
      <c r="V333">
        <v>1</v>
      </c>
      <c r="W333">
        <v>13</v>
      </c>
      <c r="X333">
        <v>0</v>
      </c>
      <c r="Y333">
        <v>17.899999999999999</v>
      </c>
    </row>
    <row r="334" spans="1:26">
      <c r="A334" s="2">
        <v>43910</v>
      </c>
      <c r="B334" s="4">
        <v>0.33333333333333331</v>
      </c>
      <c r="C334" s="1" t="s">
        <v>98</v>
      </c>
      <c r="E334">
        <v>834</v>
      </c>
      <c r="F334">
        <v>13</v>
      </c>
      <c r="G334">
        <v>168</v>
      </c>
      <c r="H334">
        <v>35</v>
      </c>
      <c r="K334">
        <v>22</v>
      </c>
      <c r="L334" s="1" t="s">
        <v>237</v>
      </c>
      <c r="N334" s="1" t="s">
        <v>37</v>
      </c>
      <c r="P334" s="1" t="s">
        <v>37</v>
      </c>
      <c r="R334" s="1" t="s">
        <v>37</v>
      </c>
      <c r="S334">
        <v>46.295617</v>
      </c>
      <c r="T334">
        <v>8.8089239999999993</v>
      </c>
      <c r="U334" s="1" t="s">
        <v>99</v>
      </c>
      <c r="V334">
        <v>21</v>
      </c>
      <c r="W334">
        <v>196</v>
      </c>
      <c r="X334">
        <v>7</v>
      </c>
      <c r="Y334">
        <v>235.79</v>
      </c>
      <c r="Z334">
        <v>6.22</v>
      </c>
    </row>
    <row r="335" spans="1:26">
      <c r="A335" s="2">
        <v>43910</v>
      </c>
      <c r="B335" s="4">
        <v>0.5</v>
      </c>
      <c r="C335" s="1" t="s">
        <v>101</v>
      </c>
      <c r="D335">
        <v>85</v>
      </c>
      <c r="E335">
        <v>7</v>
      </c>
      <c r="F335">
        <v>0</v>
      </c>
      <c r="L335" s="1" t="s">
        <v>238</v>
      </c>
      <c r="N335" s="1" t="s">
        <v>37</v>
      </c>
      <c r="P335" s="1" t="s">
        <v>37</v>
      </c>
      <c r="R335" s="1" t="s">
        <v>37</v>
      </c>
      <c r="S335">
        <v>46.771849000000003</v>
      </c>
      <c r="T335">
        <v>8.6285860000000003</v>
      </c>
      <c r="U335" s="1" t="s">
        <v>102</v>
      </c>
      <c r="V335">
        <v>4</v>
      </c>
      <c r="W335">
        <v>0</v>
      </c>
      <c r="X335">
        <v>0</v>
      </c>
      <c r="Y335">
        <v>19.28</v>
      </c>
    </row>
    <row r="336" spans="1:26">
      <c r="A336" s="2">
        <v>43910</v>
      </c>
      <c r="B336" s="4">
        <v>0.125</v>
      </c>
      <c r="C336" s="1" t="s">
        <v>104</v>
      </c>
      <c r="E336">
        <v>1398</v>
      </c>
      <c r="F336">
        <v>12</v>
      </c>
      <c r="G336">
        <v>183</v>
      </c>
      <c r="H336">
        <v>23</v>
      </c>
      <c r="J336">
        <v>62</v>
      </c>
      <c r="K336">
        <v>19</v>
      </c>
      <c r="L336" s="1" t="s">
        <v>106</v>
      </c>
      <c r="N336" s="1" t="s">
        <v>37</v>
      </c>
      <c r="P336" s="1" t="s">
        <v>37</v>
      </c>
      <c r="R336" s="1" t="s">
        <v>37</v>
      </c>
      <c r="S336">
        <v>46.570090999999998</v>
      </c>
      <c r="T336">
        <v>6.5578090000000007</v>
      </c>
      <c r="U336" s="1" t="s">
        <v>105</v>
      </c>
      <c r="V336">
        <v>22</v>
      </c>
      <c r="W336">
        <v>242</v>
      </c>
      <c r="X336">
        <v>6</v>
      </c>
      <c r="Y336">
        <v>176.27</v>
      </c>
      <c r="Z336">
        <v>2.3959999999999999</v>
      </c>
    </row>
    <row r="337" spans="1:26">
      <c r="A337" s="2">
        <v>43910</v>
      </c>
      <c r="B337" s="4">
        <v>0.125</v>
      </c>
      <c r="C337" s="1" t="s">
        <v>107</v>
      </c>
      <c r="E337">
        <v>436</v>
      </c>
      <c r="F337">
        <v>9</v>
      </c>
      <c r="G337">
        <v>73</v>
      </c>
      <c r="H337">
        <v>6</v>
      </c>
      <c r="I337">
        <v>5</v>
      </c>
      <c r="J337">
        <v>3</v>
      </c>
      <c r="K337">
        <v>7</v>
      </c>
      <c r="L337" s="1" t="s">
        <v>412</v>
      </c>
      <c r="N337" s="1" t="s">
        <v>37</v>
      </c>
      <c r="P337" s="1" t="s">
        <v>37</v>
      </c>
      <c r="R337" s="1" t="s">
        <v>37</v>
      </c>
      <c r="S337">
        <v>46.209567</v>
      </c>
      <c r="T337">
        <v>7.6046589999999998</v>
      </c>
      <c r="U337" s="1" t="s">
        <v>108</v>
      </c>
      <c r="V337">
        <v>23</v>
      </c>
      <c r="W337">
        <v>87</v>
      </c>
      <c r="X337">
        <v>1</v>
      </c>
      <c r="Y337">
        <v>127.67</v>
      </c>
      <c r="Z337">
        <v>2.0499999999999998</v>
      </c>
    </row>
    <row r="338" spans="1:26">
      <c r="A338" s="2">
        <v>43910</v>
      </c>
      <c r="B338" s="4">
        <v>0.33333333333333331</v>
      </c>
      <c r="C338" s="1" t="s">
        <v>109</v>
      </c>
      <c r="E338">
        <v>53</v>
      </c>
      <c r="F338">
        <v>2</v>
      </c>
      <c r="G338">
        <v>3</v>
      </c>
      <c r="H338">
        <v>0</v>
      </c>
      <c r="J338">
        <v>5</v>
      </c>
      <c r="K338">
        <v>0</v>
      </c>
      <c r="L338" s="1" t="s">
        <v>502</v>
      </c>
      <c r="N338" s="1" t="s">
        <v>37</v>
      </c>
      <c r="P338" s="1" t="s">
        <v>37</v>
      </c>
      <c r="R338" s="1" t="s">
        <v>37</v>
      </c>
      <c r="S338">
        <v>47.157296000000002</v>
      </c>
      <c r="T338">
        <v>8.5372939999999993</v>
      </c>
      <c r="U338" s="1" t="s">
        <v>110</v>
      </c>
      <c r="V338">
        <v>9</v>
      </c>
      <c r="W338">
        <v>5</v>
      </c>
      <c r="X338">
        <v>0</v>
      </c>
      <c r="Y338">
        <v>42.26</v>
      </c>
      <c r="Z338">
        <v>0</v>
      </c>
    </row>
    <row r="339" spans="1:26">
      <c r="A339" s="2">
        <v>43910</v>
      </c>
      <c r="B339" s="4">
        <v>0.60416666666666663</v>
      </c>
      <c r="C339" s="1" t="s">
        <v>111</v>
      </c>
      <c r="E339">
        <v>712</v>
      </c>
      <c r="F339">
        <v>18</v>
      </c>
      <c r="G339">
        <v>78</v>
      </c>
      <c r="I339">
        <v>15</v>
      </c>
      <c r="K339">
        <v>4</v>
      </c>
      <c r="L339" s="1" t="s">
        <v>113</v>
      </c>
      <c r="N339" s="1" t="s">
        <v>37</v>
      </c>
      <c r="P339" s="1" t="s">
        <v>37</v>
      </c>
      <c r="R339" s="1" t="s">
        <v>37</v>
      </c>
      <c r="S339">
        <v>47.412750000000003</v>
      </c>
      <c r="T339">
        <v>8.6550799999999999</v>
      </c>
      <c r="U339" s="1" t="s">
        <v>112</v>
      </c>
      <c r="V339">
        <v>1</v>
      </c>
      <c r="W339">
        <v>32</v>
      </c>
      <c r="X339">
        <v>1</v>
      </c>
      <c r="Y339">
        <v>47.33</v>
      </c>
      <c r="Z339">
        <v>0.26600000000000001</v>
      </c>
    </row>
    <row r="340" spans="1:26">
      <c r="A340" s="2">
        <v>43911</v>
      </c>
      <c r="B340" s="4">
        <v>0.125</v>
      </c>
      <c r="C340" s="1" t="s">
        <v>42</v>
      </c>
      <c r="E340">
        <v>11</v>
      </c>
      <c r="F340">
        <v>0</v>
      </c>
      <c r="G340">
        <v>3</v>
      </c>
      <c r="K340">
        <v>1</v>
      </c>
      <c r="L340" s="1" t="s">
        <v>239</v>
      </c>
      <c r="N340" s="1" t="s">
        <v>37</v>
      </c>
      <c r="P340" s="1" t="s">
        <v>37</v>
      </c>
      <c r="R340" s="1" t="s">
        <v>37</v>
      </c>
      <c r="S340">
        <v>47.416351999999996</v>
      </c>
      <c r="T340">
        <v>9.3679100000000002</v>
      </c>
      <c r="U340" s="1" t="s">
        <v>43</v>
      </c>
      <c r="V340">
        <v>15</v>
      </c>
      <c r="W340">
        <v>0</v>
      </c>
      <c r="X340">
        <v>0</v>
      </c>
      <c r="Y340">
        <v>19.93</v>
      </c>
      <c r="Z340">
        <v>1.8120000000000001</v>
      </c>
    </row>
    <row r="341" spans="1:26">
      <c r="A341" s="2">
        <v>43911</v>
      </c>
      <c r="B341" s="4">
        <v>0.125</v>
      </c>
      <c r="C341" s="1" t="s">
        <v>45</v>
      </c>
      <c r="E341">
        <v>418</v>
      </c>
      <c r="F341">
        <v>0</v>
      </c>
      <c r="K341">
        <v>3</v>
      </c>
      <c r="L341" s="1" t="s">
        <v>47</v>
      </c>
      <c r="N341" s="1" t="s">
        <v>37</v>
      </c>
      <c r="P341" s="1" t="s">
        <v>37</v>
      </c>
      <c r="R341" s="1" t="s">
        <v>37</v>
      </c>
      <c r="S341">
        <v>46.823608</v>
      </c>
      <c r="T341">
        <v>7.6366670000000001</v>
      </c>
      <c r="U341" s="1" t="s">
        <v>46</v>
      </c>
      <c r="V341">
        <v>2</v>
      </c>
      <c r="W341">
        <v>41</v>
      </c>
      <c r="X341">
        <v>1</v>
      </c>
      <c r="Y341">
        <v>40.54</v>
      </c>
      <c r="Z341">
        <v>0.29099999999999998</v>
      </c>
    </row>
    <row r="342" spans="1:26">
      <c r="A342" s="2">
        <v>43911</v>
      </c>
      <c r="B342" s="4">
        <v>0.125</v>
      </c>
      <c r="C342" s="1" t="s">
        <v>48</v>
      </c>
      <c r="E342">
        <v>282</v>
      </c>
      <c r="F342">
        <v>3</v>
      </c>
      <c r="G342">
        <v>30</v>
      </c>
      <c r="H342">
        <v>4</v>
      </c>
      <c r="J342">
        <v>21</v>
      </c>
      <c r="K342">
        <v>3</v>
      </c>
      <c r="L342" s="1" t="s">
        <v>240</v>
      </c>
      <c r="N342" s="1" t="s">
        <v>37</v>
      </c>
      <c r="P342" s="1" t="s">
        <v>37</v>
      </c>
      <c r="R342" s="1" t="s">
        <v>37</v>
      </c>
      <c r="S342">
        <v>47.45176</v>
      </c>
      <c r="T342">
        <v>7.7024140000000001</v>
      </c>
      <c r="U342" s="1" t="s">
        <v>49</v>
      </c>
      <c r="V342">
        <v>13</v>
      </c>
      <c r="W342">
        <v>98</v>
      </c>
      <c r="X342">
        <v>0</v>
      </c>
      <c r="Y342">
        <v>98.26</v>
      </c>
      <c r="Z342">
        <v>1.0449999999999999</v>
      </c>
    </row>
    <row r="343" spans="1:26">
      <c r="A343" s="2">
        <v>43911</v>
      </c>
      <c r="B343" s="4">
        <v>0.41666666666666669</v>
      </c>
      <c r="C343" s="1" t="s">
        <v>51</v>
      </c>
      <c r="D343">
        <v>235</v>
      </c>
      <c r="E343">
        <v>299</v>
      </c>
      <c r="F343">
        <v>1</v>
      </c>
      <c r="G343">
        <v>46</v>
      </c>
      <c r="H343">
        <v>2</v>
      </c>
      <c r="J343">
        <v>57</v>
      </c>
      <c r="K343">
        <v>5</v>
      </c>
      <c r="L343" s="1" t="s">
        <v>241</v>
      </c>
      <c r="M343">
        <v>242</v>
      </c>
      <c r="N343" s="1" t="s">
        <v>37</v>
      </c>
      <c r="P343" s="1" t="s">
        <v>37</v>
      </c>
      <c r="R343" s="1" t="s">
        <v>37</v>
      </c>
      <c r="S343">
        <v>47.564869000000002</v>
      </c>
      <c r="T343">
        <v>7.615259</v>
      </c>
      <c r="U343" s="1" t="s">
        <v>52</v>
      </c>
      <c r="V343">
        <v>12</v>
      </c>
      <c r="W343">
        <v>27</v>
      </c>
      <c r="X343">
        <v>1</v>
      </c>
      <c r="Y343">
        <v>154.19999999999999</v>
      </c>
      <c r="Z343">
        <v>2.5790000000000002</v>
      </c>
    </row>
    <row r="344" spans="1:26">
      <c r="A344" s="2">
        <v>43911</v>
      </c>
      <c r="B344" s="4">
        <v>0.125</v>
      </c>
      <c r="C344" s="1" t="s">
        <v>54</v>
      </c>
      <c r="D344">
        <v>99</v>
      </c>
      <c r="E344">
        <v>44</v>
      </c>
      <c r="F344">
        <v>0</v>
      </c>
      <c r="J344">
        <v>1</v>
      </c>
      <c r="L344" s="1" t="s">
        <v>242</v>
      </c>
      <c r="N344" s="1" t="s">
        <v>37</v>
      </c>
      <c r="P344" s="1" t="s">
        <v>37</v>
      </c>
      <c r="R344" s="1" t="s">
        <v>37</v>
      </c>
      <c r="S344">
        <v>47.166666999999997</v>
      </c>
      <c r="T344">
        <v>9.509722</v>
      </c>
      <c r="U344" s="1" t="s">
        <v>55</v>
      </c>
      <c r="V344">
        <v>0</v>
      </c>
      <c r="W344">
        <v>7</v>
      </c>
      <c r="X344">
        <v>0</v>
      </c>
      <c r="Y344">
        <v>113.99</v>
      </c>
    </row>
    <row r="345" spans="1:26">
      <c r="A345" s="2">
        <v>43911</v>
      </c>
      <c r="B345" s="4">
        <v>0.125</v>
      </c>
      <c r="C345" s="1" t="s">
        <v>57</v>
      </c>
      <c r="D345">
        <v>30</v>
      </c>
      <c r="E345">
        <v>167</v>
      </c>
      <c r="F345">
        <v>8</v>
      </c>
      <c r="G345">
        <v>28</v>
      </c>
      <c r="H345">
        <v>6</v>
      </c>
      <c r="K345">
        <v>2</v>
      </c>
      <c r="L345" s="1" t="s">
        <v>59</v>
      </c>
      <c r="N345" s="1" t="s">
        <v>37</v>
      </c>
      <c r="P345" s="1" t="s">
        <v>37</v>
      </c>
      <c r="R345" s="1" t="s">
        <v>37</v>
      </c>
      <c r="S345">
        <v>46.718390999999997</v>
      </c>
      <c r="T345">
        <v>7.0740080000000001</v>
      </c>
      <c r="U345" s="1" t="s">
        <v>58</v>
      </c>
      <c r="V345">
        <v>10</v>
      </c>
      <c r="W345">
        <v>22</v>
      </c>
      <c r="X345">
        <v>1</v>
      </c>
      <c r="Y345">
        <v>53</v>
      </c>
      <c r="Z345">
        <v>0.63500000000000001</v>
      </c>
    </row>
    <row r="346" spans="1:26">
      <c r="A346" s="2">
        <v>43911</v>
      </c>
      <c r="B346" s="4">
        <v>0.125</v>
      </c>
      <c r="C346" s="1" t="s">
        <v>60</v>
      </c>
      <c r="D346">
        <v>7027</v>
      </c>
      <c r="E346">
        <v>1281</v>
      </c>
      <c r="F346">
        <v>36</v>
      </c>
      <c r="G346">
        <v>145</v>
      </c>
      <c r="H346">
        <v>25</v>
      </c>
      <c r="I346">
        <v>24</v>
      </c>
      <c r="K346">
        <v>8</v>
      </c>
      <c r="L346" s="1" t="s">
        <v>62</v>
      </c>
      <c r="N346" s="1" t="s">
        <v>37</v>
      </c>
      <c r="P346" s="1" t="s">
        <v>37</v>
      </c>
      <c r="Q346">
        <v>13</v>
      </c>
      <c r="R346" s="1" t="s">
        <v>37</v>
      </c>
      <c r="S346">
        <v>46.220528000000002</v>
      </c>
      <c r="T346">
        <v>6.1329349999999998</v>
      </c>
      <c r="U346" s="1" t="s">
        <v>61</v>
      </c>
      <c r="V346">
        <v>25</v>
      </c>
      <c r="W346">
        <v>129</v>
      </c>
      <c r="X346">
        <v>0</v>
      </c>
      <c r="Y346">
        <v>258.68</v>
      </c>
      <c r="Z346">
        <v>1.6160000000000001</v>
      </c>
    </row>
    <row r="347" spans="1:26">
      <c r="A347" s="2">
        <v>43911</v>
      </c>
      <c r="B347" s="4">
        <v>0.125</v>
      </c>
      <c r="C347" s="1" t="s">
        <v>66</v>
      </c>
      <c r="E347">
        <v>239</v>
      </c>
      <c r="F347">
        <v>0</v>
      </c>
      <c r="G347">
        <v>24</v>
      </c>
      <c r="K347">
        <v>3</v>
      </c>
      <c r="L347" s="1" t="s">
        <v>68</v>
      </c>
      <c r="N347" s="1" t="s">
        <v>37</v>
      </c>
      <c r="P347" s="1" t="s">
        <v>37</v>
      </c>
      <c r="R347" s="1" t="s">
        <v>37</v>
      </c>
      <c r="S347">
        <v>46.656247999999998</v>
      </c>
      <c r="T347">
        <v>9.6281979999999994</v>
      </c>
      <c r="U347" s="1" t="s">
        <v>67</v>
      </c>
      <c r="V347">
        <v>1</v>
      </c>
      <c r="W347">
        <v>26</v>
      </c>
      <c r="X347">
        <v>0</v>
      </c>
      <c r="Y347">
        <v>120.77</v>
      </c>
      <c r="Z347">
        <v>1.516</v>
      </c>
    </row>
    <row r="348" spans="1:26">
      <c r="A348" s="2">
        <v>43911</v>
      </c>
      <c r="B348" s="4">
        <v>0.75</v>
      </c>
      <c r="C348" s="1" t="s">
        <v>69</v>
      </c>
      <c r="E348">
        <v>54</v>
      </c>
      <c r="F348">
        <v>-1</v>
      </c>
      <c r="G348">
        <v>13</v>
      </c>
      <c r="H348">
        <v>1</v>
      </c>
      <c r="L348" s="1" t="s">
        <v>280</v>
      </c>
      <c r="N348" s="1" t="s">
        <v>37</v>
      </c>
      <c r="P348" s="1" t="s">
        <v>37</v>
      </c>
      <c r="R348" s="1" t="s">
        <v>37</v>
      </c>
      <c r="S348">
        <v>47.350743999999999</v>
      </c>
      <c r="T348">
        <v>7.1561070000000004</v>
      </c>
      <c r="U348" s="1" t="s">
        <v>70</v>
      </c>
      <c r="V348">
        <v>26</v>
      </c>
      <c r="W348">
        <v>10</v>
      </c>
      <c r="X348">
        <v>0</v>
      </c>
      <c r="Y348">
        <v>73.67</v>
      </c>
    </row>
    <row r="349" spans="1:26">
      <c r="A349" s="2">
        <v>43911</v>
      </c>
      <c r="B349" s="4">
        <v>0.45833333333333331</v>
      </c>
      <c r="C349" s="1" t="s">
        <v>71</v>
      </c>
      <c r="E349">
        <v>109</v>
      </c>
      <c r="F349">
        <v>0</v>
      </c>
      <c r="K349">
        <v>1</v>
      </c>
      <c r="L349" s="1" t="s">
        <v>243</v>
      </c>
      <c r="N349" s="1" t="s">
        <v>37</v>
      </c>
      <c r="P349" s="1" t="s">
        <v>37</v>
      </c>
      <c r="R349" s="1" t="s">
        <v>37</v>
      </c>
      <c r="S349">
        <v>47.067762999999999</v>
      </c>
      <c r="T349">
        <v>8.1102000000000007</v>
      </c>
      <c r="U349" s="1" t="s">
        <v>72</v>
      </c>
      <c r="V349">
        <v>3</v>
      </c>
      <c r="W349">
        <v>17</v>
      </c>
      <c r="X349">
        <v>0</v>
      </c>
      <c r="Y349">
        <v>26.81</v>
      </c>
      <c r="Z349">
        <v>0.246</v>
      </c>
    </row>
    <row r="350" spans="1:26">
      <c r="A350" s="2">
        <v>43911</v>
      </c>
      <c r="B350" s="4">
        <v>0.64583333333333337</v>
      </c>
      <c r="C350" s="1" t="s">
        <v>74</v>
      </c>
      <c r="E350">
        <v>200</v>
      </c>
      <c r="F350">
        <v>-1</v>
      </c>
      <c r="G350">
        <v>20</v>
      </c>
      <c r="H350">
        <v>5</v>
      </c>
      <c r="K350">
        <v>4</v>
      </c>
      <c r="L350" s="1" t="s">
        <v>76</v>
      </c>
      <c r="N350" s="1" t="s">
        <v>37</v>
      </c>
      <c r="P350" s="1" t="s">
        <v>37</v>
      </c>
      <c r="R350" s="1" t="s">
        <v>37</v>
      </c>
      <c r="S350">
        <v>46.995533999999999</v>
      </c>
      <c r="T350">
        <v>6.7801260000000001</v>
      </c>
      <c r="U350" s="1" t="s">
        <v>75</v>
      </c>
      <c r="V350">
        <v>24</v>
      </c>
      <c r="W350">
        <v>11</v>
      </c>
      <c r="X350">
        <v>1</v>
      </c>
      <c r="Y350">
        <v>112.36</v>
      </c>
      <c r="Z350">
        <v>2.2469999999999999</v>
      </c>
    </row>
    <row r="351" spans="1:26">
      <c r="A351" s="2">
        <v>43911</v>
      </c>
      <c r="B351" s="4">
        <v>0.76041666666666663</v>
      </c>
      <c r="C351" s="1" t="s">
        <v>77</v>
      </c>
      <c r="E351">
        <v>33</v>
      </c>
      <c r="F351">
        <v>0</v>
      </c>
      <c r="L351" s="1" t="s">
        <v>79</v>
      </c>
      <c r="N351" s="1" t="s">
        <v>37</v>
      </c>
      <c r="P351" s="1" t="s">
        <v>37</v>
      </c>
      <c r="R351" s="1" t="s">
        <v>37</v>
      </c>
      <c r="S351">
        <v>46.926755</v>
      </c>
      <c r="T351">
        <v>8.4053020000000007</v>
      </c>
      <c r="U351" s="1" t="s">
        <v>78</v>
      </c>
      <c r="V351">
        <v>7</v>
      </c>
      <c r="W351">
        <v>5</v>
      </c>
      <c r="X351">
        <v>0</v>
      </c>
      <c r="Y351">
        <v>76.739999999999995</v>
      </c>
    </row>
    <row r="352" spans="1:26">
      <c r="A352" s="2">
        <v>43911</v>
      </c>
      <c r="B352" s="4">
        <v>0.125</v>
      </c>
      <c r="C352" s="1" t="s">
        <v>86</v>
      </c>
      <c r="E352">
        <v>28</v>
      </c>
      <c r="F352">
        <v>0</v>
      </c>
      <c r="K352">
        <v>0</v>
      </c>
      <c r="L352" s="1" t="s">
        <v>88</v>
      </c>
      <c r="N352" s="1" t="s">
        <v>37</v>
      </c>
      <c r="P352" s="1" t="s">
        <v>37</v>
      </c>
      <c r="R352" s="1" t="s">
        <v>37</v>
      </c>
      <c r="S352">
        <v>47.713569999999997</v>
      </c>
      <c r="T352">
        <v>8.5916700000000006</v>
      </c>
      <c r="U352" s="1" t="s">
        <v>87</v>
      </c>
      <c r="V352">
        <v>14</v>
      </c>
      <c r="W352">
        <v>11</v>
      </c>
      <c r="X352">
        <v>0</v>
      </c>
      <c r="Y352">
        <v>34.4</v>
      </c>
      <c r="Z352">
        <v>0</v>
      </c>
    </row>
    <row r="353" spans="1:26">
      <c r="A353" s="2">
        <v>43911</v>
      </c>
      <c r="B353" s="4">
        <v>0.125</v>
      </c>
      <c r="C353" s="1" t="s">
        <v>95</v>
      </c>
      <c r="D353">
        <v>276</v>
      </c>
      <c r="E353">
        <v>56</v>
      </c>
      <c r="F353">
        <v>0</v>
      </c>
      <c r="L353" s="1" t="s">
        <v>97</v>
      </c>
      <c r="N353" s="1" t="s">
        <v>37</v>
      </c>
      <c r="P353" s="1" t="s">
        <v>37</v>
      </c>
      <c r="R353" s="1" t="s">
        <v>37</v>
      </c>
      <c r="S353">
        <v>47.568714999999997</v>
      </c>
      <c r="T353">
        <v>9.0919570000000007</v>
      </c>
      <c r="U353" s="1" t="s">
        <v>96</v>
      </c>
      <c r="V353">
        <v>1</v>
      </c>
      <c r="W353">
        <v>7</v>
      </c>
      <c r="X353">
        <v>0</v>
      </c>
      <c r="Y353">
        <v>20.45</v>
      </c>
    </row>
    <row r="354" spans="1:26">
      <c r="A354" s="2">
        <v>43911</v>
      </c>
      <c r="B354" s="4">
        <v>0.33333333333333331</v>
      </c>
      <c r="C354" s="1" t="s">
        <v>98</v>
      </c>
      <c r="E354">
        <v>918</v>
      </c>
      <c r="F354">
        <v>16</v>
      </c>
      <c r="G354">
        <v>184</v>
      </c>
      <c r="H354">
        <v>40</v>
      </c>
      <c r="I354">
        <v>37</v>
      </c>
      <c r="K354">
        <v>28</v>
      </c>
      <c r="L354" s="1" t="s">
        <v>244</v>
      </c>
      <c r="N354" s="1" t="s">
        <v>37</v>
      </c>
      <c r="P354" s="1" t="s">
        <v>245</v>
      </c>
      <c r="R354" s="1" t="s">
        <v>37</v>
      </c>
      <c r="S354">
        <v>46.295617</v>
      </c>
      <c r="T354">
        <v>8.8089239999999993</v>
      </c>
      <c r="U354" s="1" t="s">
        <v>99</v>
      </c>
      <c r="V354">
        <v>21</v>
      </c>
      <c r="W354">
        <v>84</v>
      </c>
      <c r="X354">
        <v>6</v>
      </c>
      <c r="Y354">
        <v>259.54000000000002</v>
      </c>
      <c r="Z354">
        <v>7.9160000000000004</v>
      </c>
    </row>
    <row r="355" spans="1:26">
      <c r="A355" s="2">
        <v>43911</v>
      </c>
      <c r="B355" s="4">
        <v>0.33333333333333331</v>
      </c>
      <c r="C355" s="1" t="s">
        <v>101</v>
      </c>
      <c r="D355">
        <v>85</v>
      </c>
      <c r="E355">
        <v>12</v>
      </c>
      <c r="F355">
        <v>0</v>
      </c>
      <c r="L355" s="1" t="s">
        <v>238</v>
      </c>
      <c r="N355" s="1" t="s">
        <v>37</v>
      </c>
      <c r="P355" s="1" t="s">
        <v>37</v>
      </c>
      <c r="R355" s="1" t="s">
        <v>37</v>
      </c>
      <c r="S355">
        <v>46.771849000000003</v>
      </c>
      <c r="T355">
        <v>8.6285860000000003</v>
      </c>
      <c r="U355" s="1" t="s">
        <v>102</v>
      </c>
      <c r="V355">
        <v>4</v>
      </c>
      <c r="W355">
        <v>5</v>
      </c>
      <c r="X355">
        <v>0</v>
      </c>
      <c r="Y355">
        <v>33.06</v>
      </c>
    </row>
    <row r="356" spans="1:26">
      <c r="A356" s="2">
        <v>43911</v>
      </c>
      <c r="B356" s="4">
        <v>0.125</v>
      </c>
      <c r="C356" s="1" t="s">
        <v>104</v>
      </c>
      <c r="E356">
        <v>1572</v>
      </c>
      <c r="F356">
        <v>28</v>
      </c>
      <c r="G356">
        <v>211</v>
      </c>
      <c r="H356">
        <v>24</v>
      </c>
      <c r="J356">
        <v>70</v>
      </c>
      <c r="K356">
        <v>22</v>
      </c>
      <c r="L356" s="1" t="s">
        <v>106</v>
      </c>
      <c r="N356" s="1" t="s">
        <v>37</v>
      </c>
      <c r="P356" s="1" t="s">
        <v>37</v>
      </c>
      <c r="R356" s="1" t="s">
        <v>37</v>
      </c>
      <c r="S356">
        <v>46.570090999999998</v>
      </c>
      <c r="T356">
        <v>6.5578090000000007</v>
      </c>
      <c r="U356" s="1" t="s">
        <v>105</v>
      </c>
      <c r="V356">
        <v>22</v>
      </c>
      <c r="W356">
        <v>174</v>
      </c>
      <c r="X356">
        <v>3</v>
      </c>
      <c r="Y356">
        <v>198.21</v>
      </c>
      <c r="Z356">
        <v>2.774</v>
      </c>
    </row>
    <row r="357" spans="1:26">
      <c r="A357" s="2">
        <v>43911</v>
      </c>
      <c r="B357" s="4">
        <v>0.125</v>
      </c>
      <c r="C357" s="1" t="s">
        <v>107</v>
      </c>
      <c r="E357">
        <v>498</v>
      </c>
      <c r="F357">
        <v>10</v>
      </c>
      <c r="G357">
        <v>83</v>
      </c>
      <c r="H357">
        <v>8</v>
      </c>
      <c r="I357">
        <v>6</v>
      </c>
      <c r="J357">
        <v>3</v>
      </c>
      <c r="K357">
        <v>10</v>
      </c>
      <c r="L357" s="1" t="s">
        <v>412</v>
      </c>
      <c r="N357" s="1" t="s">
        <v>37</v>
      </c>
      <c r="P357" s="1" t="s">
        <v>37</v>
      </c>
      <c r="R357" s="1" t="s">
        <v>37</v>
      </c>
      <c r="S357">
        <v>46.209567</v>
      </c>
      <c r="T357">
        <v>7.6046589999999998</v>
      </c>
      <c r="U357" s="1" t="s">
        <v>108</v>
      </c>
      <c r="V357">
        <v>23</v>
      </c>
      <c r="W357">
        <v>62</v>
      </c>
      <c r="X357">
        <v>3</v>
      </c>
      <c r="Y357">
        <v>145.83000000000001</v>
      </c>
      <c r="Z357">
        <v>2.9279999999999999</v>
      </c>
    </row>
    <row r="358" spans="1:26">
      <c r="A358" s="2">
        <v>43911</v>
      </c>
      <c r="B358" s="4">
        <v>0.33333333333333331</v>
      </c>
      <c r="C358" s="1" t="s">
        <v>109</v>
      </c>
      <c r="E358">
        <v>53</v>
      </c>
      <c r="F358">
        <v>0</v>
      </c>
      <c r="G358">
        <v>3</v>
      </c>
      <c r="H358">
        <v>0</v>
      </c>
      <c r="J358">
        <v>5</v>
      </c>
      <c r="K358">
        <v>0</v>
      </c>
      <c r="L358" s="1" t="s">
        <v>502</v>
      </c>
      <c r="N358" s="1" t="s">
        <v>37</v>
      </c>
      <c r="P358" s="1" t="s">
        <v>37</v>
      </c>
      <c r="R358" s="1" t="s">
        <v>37</v>
      </c>
      <c r="S358">
        <v>47.157296000000002</v>
      </c>
      <c r="T358">
        <v>8.5372939999999993</v>
      </c>
      <c r="U358" s="1" t="s">
        <v>110</v>
      </c>
      <c r="V358">
        <v>9</v>
      </c>
      <c r="W358">
        <v>0</v>
      </c>
      <c r="X358">
        <v>0</v>
      </c>
      <c r="Y358">
        <v>42.26</v>
      </c>
      <c r="Z358">
        <v>0</v>
      </c>
    </row>
    <row r="359" spans="1:26">
      <c r="A359" s="2">
        <v>43911</v>
      </c>
      <c r="B359" s="4">
        <v>0.60416666666666663</v>
      </c>
      <c r="C359" s="1" t="s">
        <v>111</v>
      </c>
      <c r="E359">
        <v>712</v>
      </c>
      <c r="F359">
        <v>5</v>
      </c>
      <c r="G359">
        <v>83</v>
      </c>
      <c r="I359">
        <v>23</v>
      </c>
      <c r="K359">
        <v>5</v>
      </c>
      <c r="L359" s="1" t="s">
        <v>113</v>
      </c>
      <c r="N359" s="1" t="s">
        <v>37</v>
      </c>
      <c r="P359" s="1" t="s">
        <v>37</v>
      </c>
      <c r="R359" s="1" t="s">
        <v>37</v>
      </c>
      <c r="S359">
        <v>47.412750000000003</v>
      </c>
      <c r="T359">
        <v>8.6550799999999999</v>
      </c>
      <c r="U359" s="1" t="s">
        <v>112</v>
      </c>
      <c r="V359">
        <v>1</v>
      </c>
      <c r="W359">
        <v>0</v>
      </c>
      <c r="X359">
        <v>1</v>
      </c>
      <c r="Y359">
        <v>47.33</v>
      </c>
      <c r="Z359">
        <v>0.33200000000000002</v>
      </c>
    </row>
    <row r="360" spans="1:26">
      <c r="A360" s="2">
        <v>43912</v>
      </c>
      <c r="B360" s="4">
        <v>0.5</v>
      </c>
      <c r="C360" s="1" t="s">
        <v>35</v>
      </c>
      <c r="E360">
        <v>232</v>
      </c>
      <c r="F360">
        <v>0</v>
      </c>
      <c r="G360">
        <v>25</v>
      </c>
      <c r="H360">
        <v>4</v>
      </c>
      <c r="I360">
        <v>2</v>
      </c>
      <c r="J360">
        <v>4</v>
      </c>
      <c r="K360">
        <v>1</v>
      </c>
      <c r="L360" s="1" t="s">
        <v>246</v>
      </c>
      <c r="N360" s="1" t="s">
        <v>37</v>
      </c>
      <c r="P360" s="1" t="s">
        <v>37</v>
      </c>
      <c r="R360" s="1" t="s">
        <v>37</v>
      </c>
      <c r="S360">
        <v>47.409660000000002</v>
      </c>
      <c r="T360">
        <v>8.1568799999999992</v>
      </c>
      <c r="U360" s="1" t="s">
        <v>36</v>
      </c>
      <c r="V360">
        <v>1</v>
      </c>
      <c r="W360">
        <v>64</v>
      </c>
      <c r="X360">
        <v>0</v>
      </c>
      <c r="Y360">
        <v>34.58</v>
      </c>
      <c r="Z360">
        <v>0.14899999999999999</v>
      </c>
    </row>
    <row r="361" spans="1:26">
      <c r="A361" s="2">
        <v>43912</v>
      </c>
      <c r="B361" s="4">
        <v>0.125</v>
      </c>
      <c r="C361" s="1" t="s">
        <v>48</v>
      </c>
      <c r="E361">
        <v>289</v>
      </c>
      <c r="F361">
        <v>10</v>
      </c>
      <c r="G361">
        <v>40</v>
      </c>
      <c r="H361">
        <v>7</v>
      </c>
      <c r="J361">
        <v>21</v>
      </c>
      <c r="K361">
        <v>3</v>
      </c>
      <c r="L361" s="1" t="s">
        <v>247</v>
      </c>
      <c r="N361" s="1" t="s">
        <v>37</v>
      </c>
      <c r="P361" s="1" t="s">
        <v>37</v>
      </c>
      <c r="R361" s="1" t="s">
        <v>37</v>
      </c>
      <c r="S361">
        <v>47.45176</v>
      </c>
      <c r="T361">
        <v>7.7024140000000001</v>
      </c>
      <c r="U361" s="1" t="s">
        <v>49</v>
      </c>
      <c r="V361">
        <v>13</v>
      </c>
      <c r="W361">
        <v>7</v>
      </c>
      <c r="X361">
        <v>0</v>
      </c>
      <c r="Y361">
        <v>100.7</v>
      </c>
      <c r="Z361">
        <v>1.0449999999999999</v>
      </c>
    </row>
    <row r="362" spans="1:26">
      <c r="A362" s="2">
        <v>43912</v>
      </c>
      <c r="B362" s="4">
        <v>0.4375</v>
      </c>
      <c r="C362" s="1" t="s">
        <v>51</v>
      </c>
      <c r="D362">
        <v>235</v>
      </c>
      <c r="E362">
        <v>358</v>
      </c>
      <c r="F362">
        <v>4</v>
      </c>
      <c r="G362">
        <v>50</v>
      </c>
      <c r="H362">
        <v>2</v>
      </c>
      <c r="J362">
        <v>73</v>
      </c>
      <c r="K362">
        <v>5</v>
      </c>
      <c r="L362" s="1" t="s">
        <v>248</v>
      </c>
      <c r="M362">
        <v>265</v>
      </c>
      <c r="N362" s="1" t="s">
        <v>37</v>
      </c>
      <c r="P362" s="1" t="s">
        <v>37</v>
      </c>
      <c r="R362" s="1" t="s">
        <v>37</v>
      </c>
      <c r="S362">
        <v>47.564869000000002</v>
      </c>
      <c r="T362">
        <v>7.615259</v>
      </c>
      <c r="U362" s="1" t="s">
        <v>52</v>
      </c>
      <c r="V362">
        <v>12</v>
      </c>
      <c r="W362">
        <v>59</v>
      </c>
      <c r="X362">
        <v>0</v>
      </c>
      <c r="Y362">
        <v>184.63</v>
      </c>
      <c r="Z362">
        <v>2.5790000000000002</v>
      </c>
    </row>
    <row r="363" spans="1:26">
      <c r="A363" s="2">
        <v>43912</v>
      </c>
      <c r="B363" s="4">
        <v>0.125</v>
      </c>
      <c r="C363" s="1" t="s">
        <v>54</v>
      </c>
      <c r="D363">
        <v>99</v>
      </c>
      <c r="E363">
        <v>46</v>
      </c>
      <c r="F363">
        <v>0</v>
      </c>
      <c r="J363">
        <v>1</v>
      </c>
      <c r="L363" s="1" t="s">
        <v>249</v>
      </c>
      <c r="N363" s="1" t="s">
        <v>37</v>
      </c>
      <c r="P363" s="1" t="s">
        <v>37</v>
      </c>
      <c r="R363" s="1" t="s">
        <v>37</v>
      </c>
      <c r="S363">
        <v>47.166666999999997</v>
      </c>
      <c r="T363">
        <v>9.509722</v>
      </c>
      <c r="U363" s="1" t="s">
        <v>55</v>
      </c>
      <c r="V363">
        <v>0</v>
      </c>
      <c r="W363">
        <v>2</v>
      </c>
      <c r="X363">
        <v>0</v>
      </c>
      <c r="Y363">
        <v>119.17</v>
      </c>
    </row>
    <row r="364" spans="1:26">
      <c r="A364" s="2">
        <v>43912</v>
      </c>
      <c r="B364" s="4">
        <v>0.125</v>
      </c>
      <c r="C364" s="1" t="s">
        <v>57</v>
      </c>
      <c r="D364">
        <v>30</v>
      </c>
      <c r="E364">
        <v>202</v>
      </c>
      <c r="F364">
        <v>4</v>
      </c>
      <c r="G364">
        <v>32</v>
      </c>
      <c r="H364">
        <v>8</v>
      </c>
      <c r="K364">
        <v>3</v>
      </c>
      <c r="L364" s="1" t="s">
        <v>59</v>
      </c>
      <c r="N364" s="1" t="s">
        <v>37</v>
      </c>
      <c r="P364" s="1" t="s">
        <v>37</v>
      </c>
      <c r="R364" s="1" t="s">
        <v>37</v>
      </c>
      <c r="S364">
        <v>46.718390999999997</v>
      </c>
      <c r="T364">
        <v>7.0740080000000001</v>
      </c>
      <c r="U364" s="1" t="s">
        <v>58</v>
      </c>
      <c r="V364">
        <v>10</v>
      </c>
      <c r="W364">
        <v>35</v>
      </c>
      <c r="X364">
        <v>1</v>
      </c>
      <c r="Y364">
        <v>64.11</v>
      </c>
      <c r="Z364">
        <v>0.95199999999999996</v>
      </c>
    </row>
    <row r="365" spans="1:26">
      <c r="A365" s="2">
        <v>43912</v>
      </c>
      <c r="B365" s="4">
        <v>0.125</v>
      </c>
      <c r="C365" s="1" t="s">
        <v>60</v>
      </c>
      <c r="D365">
        <v>7268</v>
      </c>
      <c r="E365">
        <v>1424</v>
      </c>
      <c r="F365">
        <v>34</v>
      </c>
      <c r="G365">
        <v>179</v>
      </c>
      <c r="H365">
        <v>36</v>
      </c>
      <c r="I365">
        <v>36</v>
      </c>
      <c r="K365">
        <v>9</v>
      </c>
      <c r="L365" s="1" t="s">
        <v>62</v>
      </c>
      <c r="N365" s="1" t="s">
        <v>37</v>
      </c>
      <c r="P365" s="1" t="s">
        <v>37</v>
      </c>
      <c r="Q365">
        <v>6</v>
      </c>
      <c r="R365" s="1" t="s">
        <v>250</v>
      </c>
      <c r="S365">
        <v>46.220528000000002</v>
      </c>
      <c r="T365">
        <v>6.1329349999999998</v>
      </c>
      <c r="U365" s="1" t="s">
        <v>61</v>
      </c>
      <c r="V365">
        <v>25</v>
      </c>
      <c r="W365">
        <v>143</v>
      </c>
      <c r="X365">
        <v>1</v>
      </c>
      <c r="Y365">
        <v>287.56</v>
      </c>
      <c r="Z365">
        <v>1.8169999999999999</v>
      </c>
    </row>
    <row r="366" spans="1:26">
      <c r="A366" s="2">
        <v>43912</v>
      </c>
      <c r="B366" s="4">
        <v>0.5625</v>
      </c>
      <c r="C366" s="1" t="s">
        <v>63</v>
      </c>
      <c r="E366">
        <v>31</v>
      </c>
      <c r="F366">
        <v>0</v>
      </c>
      <c r="G366">
        <v>3</v>
      </c>
      <c r="L366" s="1" t="s">
        <v>65</v>
      </c>
      <c r="N366" s="1" t="s">
        <v>37</v>
      </c>
      <c r="P366" s="1" t="s">
        <v>37</v>
      </c>
      <c r="R366" s="1" t="s">
        <v>37</v>
      </c>
      <c r="S366">
        <v>46.931042000000005</v>
      </c>
      <c r="T366">
        <v>9.0657510000000006</v>
      </c>
      <c r="U366" s="1" t="s">
        <v>64</v>
      </c>
      <c r="V366">
        <v>8</v>
      </c>
      <c r="W366">
        <v>14</v>
      </c>
      <c r="X366">
        <v>0</v>
      </c>
      <c r="Y366">
        <v>76.92</v>
      </c>
    </row>
    <row r="367" spans="1:26">
      <c r="A367" s="2">
        <v>43912</v>
      </c>
      <c r="B367" s="4">
        <v>0.125</v>
      </c>
      <c r="C367" s="1" t="s">
        <v>66</v>
      </c>
      <c r="E367">
        <v>266</v>
      </c>
      <c r="F367">
        <v>3</v>
      </c>
      <c r="G367">
        <v>27</v>
      </c>
      <c r="K367">
        <v>6</v>
      </c>
      <c r="L367" s="1" t="s">
        <v>68</v>
      </c>
      <c r="N367" s="1" t="s">
        <v>37</v>
      </c>
      <c r="P367" s="1" t="s">
        <v>37</v>
      </c>
      <c r="R367" s="1" t="s">
        <v>37</v>
      </c>
      <c r="S367">
        <v>46.656247999999998</v>
      </c>
      <c r="T367">
        <v>9.6281979999999994</v>
      </c>
      <c r="U367" s="1" t="s">
        <v>67</v>
      </c>
      <c r="V367">
        <v>1</v>
      </c>
      <c r="W367">
        <v>27</v>
      </c>
      <c r="X367">
        <v>3</v>
      </c>
      <c r="Y367">
        <v>134.41</v>
      </c>
      <c r="Z367">
        <v>3.032</v>
      </c>
    </row>
    <row r="368" spans="1:26">
      <c r="A368" s="2">
        <v>43912</v>
      </c>
      <c r="B368" s="4">
        <v>0.70833333333333337</v>
      </c>
      <c r="C368" s="1" t="s">
        <v>69</v>
      </c>
      <c r="E368">
        <v>61</v>
      </c>
      <c r="F368">
        <v>5</v>
      </c>
      <c r="G368">
        <v>18</v>
      </c>
      <c r="H368">
        <v>2</v>
      </c>
      <c r="L368" s="1" t="s">
        <v>280</v>
      </c>
      <c r="N368" s="1" t="s">
        <v>37</v>
      </c>
      <c r="P368" s="1" t="s">
        <v>37</v>
      </c>
      <c r="R368" s="1" t="s">
        <v>37</v>
      </c>
      <c r="S368">
        <v>47.350743999999999</v>
      </c>
      <c r="T368">
        <v>7.1561070000000004</v>
      </c>
      <c r="U368" s="1" t="s">
        <v>70</v>
      </c>
      <c r="V368">
        <v>26</v>
      </c>
      <c r="W368">
        <v>7</v>
      </c>
      <c r="X368">
        <v>0</v>
      </c>
      <c r="Y368">
        <v>83.22</v>
      </c>
    </row>
    <row r="369" spans="1:26">
      <c r="A369" s="2">
        <v>43912</v>
      </c>
      <c r="B369" s="4">
        <v>0.45833333333333331</v>
      </c>
      <c r="C369" s="1" t="s">
        <v>71</v>
      </c>
      <c r="E369">
        <v>131</v>
      </c>
      <c r="F369">
        <v>0</v>
      </c>
      <c r="K369">
        <v>1</v>
      </c>
      <c r="L369" s="1" t="s">
        <v>73</v>
      </c>
      <c r="N369" s="1" t="s">
        <v>37</v>
      </c>
      <c r="P369" s="1" t="s">
        <v>37</v>
      </c>
      <c r="R369" s="1" t="s">
        <v>37</v>
      </c>
      <c r="S369">
        <v>47.067762999999999</v>
      </c>
      <c r="T369">
        <v>8.1102000000000007</v>
      </c>
      <c r="U369" s="1" t="s">
        <v>72</v>
      </c>
      <c r="V369">
        <v>3</v>
      </c>
      <c r="W369">
        <v>22</v>
      </c>
      <c r="X369">
        <v>0</v>
      </c>
      <c r="Y369">
        <v>32.229999999999997</v>
      </c>
      <c r="Z369">
        <v>0.246</v>
      </c>
    </row>
    <row r="370" spans="1:26">
      <c r="A370" s="2">
        <v>43912</v>
      </c>
      <c r="B370" s="4">
        <v>0.625</v>
      </c>
      <c r="C370" s="1" t="s">
        <v>74</v>
      </c>
      <c r="E370">
        <v>216</v>
      </c>
      <c r="F370">
        <v>8</v>
      </c>
      <c r="G370">
        <v>28</v>
      </c>
      <c r="H370">
        <v>6</v>
      </c>
      <c r="K370">
        <v>4</v>
      </c>
      <c r="L370" s="1" t="s">
        <v>76</v>
      </c>
      <c r="N370" s="1" t="s">
        <v>37</v>
      </c>
      <c r="P370" s="1" t="s">
        <v>37</v>
      </c>
      <c r="R370" s="1" t="s">
        <v>37</v>
      </c>
      <c r="S370">
        <v>46.995533999999999</v>
      </c>
      <c r="T370">
        <v>6.7801260000000001</v>
      </c>
      <c r="U370" s="1" t="s">
        <v>75</v>
      </c>
      <c r="V370">
        <v>24</v>
      </c>
      <c r="W370">
        <v>16</v>
      </c>
      <c r="X370">
        <v>0</v>
      </c>
      <c r="Y370">
        <v>121.35</v>
      </c>
      <c r="Z370">
        <v>2.2469999999999999</v>
      </c>
    </row>
    <row r="371" spans="1:26">
      <c r="A371" s="2">
        <v>43912</v>
      </c>
      <c r="B371" s="4">
        <v>0.68402777777777779</v>
      </c>
      <c r="C371" s="1" t="s">
        <v>77</v>
      </c>
      <c r="E371">
        <v>36</v>
      </c>
      <c r="F371">
        <v>0</v>
      </c>
      <c r="L371" s="1" t="s">
        <v>79</v>
      </c>
      <c r="N371" s="1" t="s">
        <v>37</v>
      </c>
      <c r="P371" s="1" t="s">
        <v>37</v>
      </c>
      <c r="R371" s="1" t="s">
        <v>37</v>
      </c>
      <c r="S371">
        <v>46.926755</v>
      </c>
      <c r="T371">
        <v>8.4053020000000007</v>
      </c>
      <c r="U371" s="1" t="s">
        <v>78</v>
      </c>
      <c r="V371">
        <v>7</v>
      </c>
      <c r="W371">
        <v>3</v>
      </c>
      <c r="X371">
        <v>0</v>
      </c>
      <c r="Y371">
        <v>83.72</v>
      </c>
    </row>
    <row r="372" spans="1:26">
      <c r="A372" s="2">
        <v>43912</v>
      </c>
      <c r="B372" s="4">
        <v>0.125</v>
      </c>
      <c r="C372" s="1" t="s">
        <v>86</v>
      </c>
      <c r="E372">
        <v>30</v>
      </c>
      <c r="F372">
        <v>0</v>
      </c>
      <c r="K372">
        <v>0</v>
      </c>
      <c r="L372" s="1" t="s">
        <v>88</v>
      </c>
      <c r="N372" s="1" t="s">
        <v>37</v>
      </c>
      <c r="P372" s="1" t="s">
        <v>37</v>
      </c>
      <c r="R372" s="1" t="s">
        <v>37</v>
      </c>
      <c r="S372">
        <v>47.713569999999997</v>
      </c>
      <c r="T372">
        <v>8.5916700000000006</v>
      </c>
      <c r="U372" s="1" t="s">
        <v>87</v>
      </c>
      <c r="V372">
        <v>14</v>
      </c>
      <c r="W372">
        <v>2</v>
      </c>
      <c r="X372">
        <v>0</v>
      </c>
      <c r="Y372">
        <v>36.86</v>
      </c>
      <c r="Z372">
        <v>0</v>
      </c>
    </row>
    <row r="373" spans="1:26">
      <c r="A373" s="2">
        <v>43912</v>
      </c>
      <c r="B373" s="4">
        <v>0.125</v>
      </c>
      <c r="C373" s="1" t="s">
        <v>95</v>
      </c>
      <c r="D373">
        <v>276</v>
      </c>
      <c r="E373">
        <v>75</v>
      </c>
      <c r="F373">
        <v>0</v>
      </c>
      <c r="L373" s="1" t="s">
        <v>97</v>
      </c>
      <c r="N373" s="1" t="s">
        <v>37</v>
      </c>
      <c r="P373" s="1" t="s">
        <v>37</v>
      </c>
      <c r="R373" s="1" t="s">
        <v>37</v>
      </c>
      <c r="S373">
        <v>47.568714999999997</v>
      </c>
      <c r="T373">
        <v>9.0919570000000007</v>
      </c>
      <c r="U373" s="1" t="s">
        <v>96</v>
      </c>
      <c r="V373">
        <v>1</v>
      </c>
      <c r="W373">
        <v>19</v>
      </c>
      <c r="X373">
        <v>0</v>
      </c>
      <c r="Y373">
        <v>27.39</v>
      </c>
    </row>
    <row r="374" spans="1:26">
      <c r="A374" s="2">
        <v>43912</v>
      </c>
      <c r="B374" s="4">
        <v>0.33333333333333331</v>
      </c>
      <c r="C374" s="1" t="s">
        <v>98</v>
      </c>
      <c r="E374">
        <v>939</v>
      </c>
      <c r="F374">
        <v>62</v>
      </c>
      <c r="G374">
        <v>246</v>
      </c>
      <c r="H374">
        <v>46</v>
      </c>
      <c r="I374">
        <v>43</v>
      </c>
      <c r="K374">
        <v>37</v>
      </c>
      <c r="L374" s="1" t="s">
        <v>251</v>
      </c>
      <c r="N374" s="1" t="s">
        <v>37</v>
      </c>
      <c r="P374" s="1" t="s">
        <v>252</v>
      </c>
      <c r="R374" s="1" t="s">
        <v>37</v>
      </c>
      <c r="S374">
        <v>46.295617</v>
      </c>
      <c r="T374">
        <v>8.8089239999999993</v>
      </c>
      <c r="U374" s="1" t="s">
        <v>99</v>
      </c>
      <c r="V374">
        <v>21</v>
      </c>
      <c r="W374">
        <v>21</v>
      </c>
      <c r="X374">
        <v>9</v>
      </c>
      <c r="Y374">
        <v>265.48</v>
      </c>
      <c r="Z374">
        <v>10.461</v>
      </c>
    </row>
    <row r="375" spans="1:26">
      <c r="A375" s="2">
        <v>43912</v>
      </c>
      <c r="B375" s="4">
        <v>0.125</v>
      </c>
      <c r="C375" s="1" t="s">
        <v>104</v>
      </c>
      <c r="E375">
        <v>1799</v>
      </c>
      <c r="F375">
        <v>20</v>
      </c>
      <c r="G375">
        <v>231</v>
      </c>
      <c r="H375">
        <v>31</v>
      </c>
      <c r="J375">
        <v>75</v>
      </c>
      <c r="K375">
        <v>24</v>
      </c>
      <c r="L375" s="1" t="s">
        <v>106</v>
      </c>
      <c r="N375" s="1" t="s">
        <v>37</v>
      </c>
      <c r="P375" s="1" t="s">
        <v>37</v>
      </c>
      <c r="R375" s="1" t="s">
        <v>37</v>
      </c>
      <c r="S375">
        <v>46.570090999999998</v>
      </c>
      <c r="T375">
        <v>6.5578090000000007</v>
      </c>
      <c r="U375" s="1" t="s">
        <v>105</v>
      </c>
      <c r="V375">
        <v>22</v>
      </c>
      <c r="W375">
        <v>227</v>
      </c>
      <c r="X375">
        <v>2</v>
      </c>
      <c r="Y375">
        <v>226.83</v>
      </c>
      <c r="Z375">
        <v>3.0259999999999998</v>
      </c>
    </row>
    <row r="376" spans="1:26">
      <c r="A376" s="2">
        <v>43912</v>
      </c>
      <c r="B376" s="4">
        <v>0.125</v>
      </c>
      <c r="C376" s="1" t="s">
        <v>107</v>
      </c>
      <c r="E376">
        <v>535</v>
      </c>
      <c r="F376">
        <v>9</v>
      </c>
      <c r="G376">
        <v>92</v>
      </c>
      <c r="H376">
        <v>11</v>
      </c>
      <c r="I376">
        <v>7</v>
      </c>
      <c r="J376">
        <v>3</v>
      </c>
      <c r="K376">
        <v>11</v>
      </c>
      <c r="L376" s="1" t="s">
        <v>412</v>
      </c>
      <c r="N376" s="1" t="s">
        <v>37</v>
      </c>
      <c r="P376" s="1" t="s">
        <v>37</v>
      </c>
      <c r="R376" s="1" t="s">
        <v>37</v>
      </c>
      <c r="S376">
        <v>46.209567</v>
      </c>
      <c r="T376">
        <v>7.6046589999999998</v>
      </c>
      <c r="U376" s="1" t="s">
        <v>108</v>
      </c>
      <c r="V376">
        <v>23</v>
      </c>
      <c r="W376">
        <v>37</v>
      </c>
      <c r="X376">
        <v>1</v>
      </c>
      <c r="Y376">
        <v>156.66</v>
      </c>
      <c r="Z376">
        <v>3.2210000000000001</v>
      </c>
    </row>
    <row r="377" spans="1:26">
      <c r="A377" s="2">
        <v>43912</v>
      </c>
      <c r="B377" s="4">
        <v>0.33333333333333331</v>
      </c>
      <c r="C377" s="1" t="s">
        <v>109</v>
      </c>
      <c r="E377">
        <v>53</v>
      </c>
      <c r="F377">
        <v>0</v>
      </c>
      <c r="G377">
        <v>3</v>
      </c>
      <c r="H377">
        <v>0</v>
      </c>
      <c r="J377">
        <v>5</v>
      </c>
      <c r="K377">
        <v>0</v>
      </c>
      <c r="L377" s="1" t="s">
        <v>502</v>
      </c>
      <c r="N377" s="1" t="s">
        <v>37</v>
      </c>
      <c r="P377" s="1" t="s">
        <v>37</v>
      </c>
      <c r="R377" s="1" t="s">
        <v>37</v>
      </c>
      <c r="S377">
        <v>47.157296000000002</v>
      </c>
      <c r="T377">
        <v>8.5372939999999993</v>
      </c>
      <c r="U377" s="1" t="s">
        <v>110</v>
      </c>
      <c r="V377">
        <v>9</v>
      </c>
      <c r="W377">
        <v>0</v>
      </c>
      <c r="X377">
        <v>0</v>
      </c>
      <c r="Y377">
        <v>42.26</v>
      </c>
      <c r="Z377">
        <v>0</v>
      </c>
    </row>
    <row r="378" spans="1:26">
      <c r="A378" s="2">
        <v>43912</v>
      </c>
      <c r="B378" s="4">
        <v>0.60416666666666663</v>
      </c>
      <c r="C378" s="1" t="s">
        <v>111</v>
      </c>
      <c r="E378">
        <v>712</v>
      </c>
      <c r="F378">
        <v>27</v>
      </c>
      <c r="G378">
        <v>110</v>
      </c>
      <c r="I378">
        <v>22</v>
      </c>
      <c r="K378">
        <v>6</v>
      </c>
      <c r="L378" s="1" t="s">
        <v>113</v>
      </c>
      <c r="N378" s="1" t="s">
        <v>37</v>
      </c>
      <c r="P378" s="1" t="s">
        <v>37</v>
      </c>
      <c r="R378" s="1" t="s">
        <v>37</v>
      </c>
      <c r="S378">
        <v>47.412750000000003</v>
      </c>
      <c r="T378">
        <v>8.6550799999999999</v>
      </c>
      <c r="U378" s="1" t="s">
        <v>112</v>
      </c>
      <c r="V378">
        <v>1</v>
      </c>
      <c r="W378">
        <v>0</v>
      </c>
      <c r="X378">
        <v>1</v>
      </c>
      <c r="Y378">
        <v>47.33</v>
      </c>
      <c r="Z378">
        <v>0.39900000000000002</v>
      </c>
    </row>
    <row r="379" spans="1:26">
      <c r="A379" s="2">
        <v>43913</v>
      </c>
      <c r="B379" s="4">
        <v>0.625</v>
      </c>
      <c r="C379" s="1" t="s">
        <v>35</v>
      </c>
      <c r="E379">
        <v>241</v>
      </c>
      <c r="F379">
        <v>0</v>
      </c>
      <c r="G379">
        <v>10</v>
      </c>
      <c r="H379">
        <v>3</v>
      </c>
      <c r="I379">
        <v>2</v>
      </c>
      <c r="J379">
        <v>4</v>
      </c>
      <c r="K379">
        <v>1</v>
      </c>
      <c r="L379" s="1" t="s">
        <v>253</v>
      </c>
      <c r="N379" s="1" t="s">
        <v>37</v>
      </c>
      <c r="P379" s="1" t="s">
        <v>37</v>
      </c>
      <c r="R379" s="1" t="s">
        <v>37</v>
      </c>
      <c r="S379">
        <v>47.409660000000002</v>
      </c>
      <c r="T379">
        <v>8.1568799999999992</v>
      </c>
      <c r="U379" s="1" t="s">
        <v>36</v>
      </c>
      <c r="V379">
        <v>1</v>
      </c>
      <c r="W379">
        <v>9</v>
      </c>
      <c r="X379">
        <v>0</v>
      </c>
      <c r="Y379">
        <v>35.92</v>
      </c>
      <c r="Z379">
        <v>0.14899999999999999</v>
      </c>
    </row>
    <row r="380" spans="1:26">
      <c r="A380" s="2">
        <v>43913</v>
      </c>
      <c r="B380" s="4">
        <v>0.41666666666666669</v>
      </c>
      <c r="C380" s="1" t="s">
        <v>42</v>
      </c>
      <c r="E380">
        <v>30</v>
      </c>
      <c r="F380">
        <v>0</v>
      </c>
      <c r="G380">
        <v>7</v>
      </c>
      <c r="K380">
        <v>1</v>
      </c>
      <c r="L380" s="1" t="s">
        <v>44</v>
      </c>
      <c r="N380" s="1" t="s">
        <v>37</v>
      </c>
      <c r="P380" s="1" t="s">
        <v>37</v>
      </c>
      <c r="R380" s="1" t="s">
        <v>37</v>
      </c>
      <c r="S380">
        <v>47.416351999999996</v>
      </c>
      <c r="T380">
        <v>9.3679100000000002</v>
      </c>
      <c r="U380" s="1" t="s">
        <v>43</v>
      </c>
      <c r="V380">
        <v>15</v>
      </c>
      <c r="W380">
        <v>0</v>
      </c>
      <c r="X380">
        <v>0</v>
      </c>
      <c r="Y380">
        <v>54.35</v>
      </c>
      <c r="Z380">
        <v>1.8120000000000001</v>
      </c>
    </row>
    <row r="381" spans="1:26">
      <c r="A381" s="2">
        <v>43913</v>
      </c>
      <c r="B381" s="4">
        <v>0.125</v>
      </c>
      <c r="C381" s="1" t="s">
        <v>45</v>
      </c>
      <c r="E381">
        <v>470</v>
      </c>
      <c r="F381">
        <v>0</v>
      </c>
      <c r="K381">
        <v>5</v>
      </c>
      <c r="L381" s="1" t="s">
        <v>47</v>
      </c>
      <c r="N381" s="1" t="s">
        <v>37</v>
      </c>
      <c r="P381" s="1" t="s">
        <v>37</v>
      </c>
      <c r="R381" s="1" t="s">
        <v>37</v>
      </c>
      <c r="S381">
        <v>46.823608</v>
      </c>
      <c r="T381">
        <v>7.6366670000000001</v>
      </c>
      <c r="U381" s="1" t="s">
        <v>46</v>
      </c>
      <c r="V381">
        <v>2</v>
      </c>
      <c r="W381">
        <v>52</v>
      </c>
      <c r="X381">
        <v>2</v>
      </c>
      <c r="Y381">
        <v>45.58</v>
      </c>
      <c r="Z381">
        <v>0.48499999999999999</v>
      </c>
    </row>
    <row r="382" spans="1:26">
      <c r="A382" s="2">
        <v>43913</v>
      </c>
      <c r="B382" s="4">
        <v>0.125</v>
      </c>
      <c r="C382" s="1" t="s">
        <v>48</v>
      </c>
      <c r="E382">
        <v>302</v>
      </c>
      <c r="F382">
        <v>11</v>
      </c>
      <c r="G382">
        <v>51</v>
      </c>
      <c r="H382">
        <v>10</v>
      </c>
      <c r="J382">
        <v>35</v>
      </c>
      <c r="K382">
        <v>3</v>
      </c>
      <c r="L382" s="1" t="s">
        <v>254</v>
      </c>
      <c r="N382" s="1" t="s">
        <v>37</v>
      </c>
      <c r="P382" s="1" t="s">
        <v>37</v>
      </c>
      <c r="R382" s="1" t="s">
        <v>37</v>
      </c>
      <c r="S382">
        <v>47.45176</v>
      </c>
      <c r="T382">
        <v>7.7024140000000001</v>
      </c>
      <c r="U382" s="1" t="s">
        <v>49</v>
      </c>
      <c r="V382">
        <v>13</v>
      </c>
      <c r="W382">
        <v>13</v>
      </c>
      <c r="X382">
        <v>0</v>
      </c>
      <c r="Y382">
        <v>105.23</v>
      </c>
      <c r="Z382">
        <v>1.0449999999999999</v>
      </c>
    </row>
    <row r="383" spans="1:26">
      <c r="A383" s="2">
        <v>43913</v>
      </c>
      <c r="B383" s="4">
        <v>0.41666666666666669</v>
      </c>
      <c r="C383" s="1" t="s">
        <v>51</v>
      </c>
      <c r="D383">
        <v>235</v>
      </c>
      <c r="E383">
        <v>376</v>
      </c>
      <c r="F383">
        <v>6</v>
      </c>
      <c r="G383">
        <v>56</v>
      </c>
      <c r="H383">
        <v>2</v>
      </c>
      <c r="J383">
        <v>78</v>
      </c>
      <c r="K383">
        <v>5</v>
      </c>
      <c r="L383" s="1" t="s">
        <v>255</v>
      </c>
      <c r="M383">
        <v>276</v>
      </c>
      <c r="N383" s="1" t="s">
        <v>37</v>
      </c>
      <c r="P383" s="1" t="s">
        <v>37</v>
      </c>
      <c r="R383" s="1" t="s">
        <v>37</v>
      </c>
      <c r="S383">
        <v>47.564869000000002</v>
      </c>
      <c r="T383">
        <v>7.615259</v>
      </c>
      <c r="U383" s="1" t="s">
        <v>52</v>
      </c>
      <c r="V383">
        <v>12</v>
      </c>
      <c r="W383">
        <v>18</v>
      </c>
      <c r="X383">
        <v>0</v>
      </c>
      <c r="Y383">
        <v>193.91</v>
      </c>
      <c r="Z383">
        <v>2.5790000000000002</v>
      </c>
    </row>
    <row r="384" spans="1:26">
      <c r="A384" s="2">
        <v>43913</v>
      </c>
      <c r="B384" s="4">
        <v>0.75</v>
      </c>
      <c r="C384" s="1" t="s">
        <v>54</v>
      </c>
      <c r="D384">
        <v>99</v>
      </c>
      <c r="E384">
        <v>51</v>
      </c>
      <c r="F384">
        <v>0</v>
      </c>
      <c r="J384">
        <v>1</v>
      </c>
      <c r="L384" s="1" t="s">
        <v>256</v>
      </c>
      <c r="N384" s="1" t="s">
        <v>37</v>
      </c>
      <c r="P384" s="1" t="s">
        <v>37</v>
      </c>
      <c r="R384" s="1" t="s">
        <v>37</v>
      </c>
      <c r="S384">
        <v>47.166666999999997</v>
      </c>
      <c r="T384">
        <v>9.509722</v>
      </c>
      <c r="U384" s="1" t="s">
        <v>55</v>
      </c>
      <c r="V384">
        <v>0</v>
      </c>
      <c r="W384">
        <v>5</v>
      </c>
      <c r="X384">
        <v>0</v>
      </c>
      <c r="Y384">
        <v>132.12</v>
      </c>
    </row>
    <row r="385" spans="1:26">
      <c r="A385" s="2">
        <v>43913</v>
      </c>
      <c r="B385" s="4">
        <v>0.125</v>
      </c>
      <c r="C385" s="1" t="s">
        <v>57</v>
      </c>
      <c r="D385">
        <v>30</v>
      </c>
      <c r="E385">
        <v>226</v>
      </c>
      <c r="F385">
        <v>3</v>
      </c>
      <c r="G385">
        <v>35</v>
      </c>
      <c r="H385">
        <v>7</v>
      </c>
      <c r="K385">
        <v>4</v>
      </c>
      <c r="L385" s="1" t="s">
        <v>59</v>
      </c>
      <c r="N385" s="1" t="s">
        <v>37</v>
      </c>
      <c r="P385" s="1" t="s">
        <v>37</v>
      </c>
      <c r="R385" s="1" t="s">
        <v>37</v>
      </c>
      <c r="S385">
        <v>46.718390999999997</v>
      </c>
      <c r="T385">
        <v>7.0740080000000001</v>
      </c>
      <c r="U385" s="1" t="s">
        <v>58</v>
      </c>
      <c r="V385">
        <v>10</v>
      </c>
      <c r="W385">
        <v>24</v>
      </c>
      <c r="X385">
        <v>1</v>
      </c>
      <c r="Y385">
        <v>71.72</v>
      </c>
      <c r="Z385">
        <v>1.2689999999999999</v>
      </c>
    </row>
    <row r="386" spans="1:26">
      <c r="A386" s="2">
        <v>43913</v>
      </c>
      <c r="B386" s="4">
        <v>0.125</v>
      </c>
      <c r="C386" s="1" t="s">
        <v>60</v>
      </c>
      <c r="D386">
        <v>7664</v>
      </c>
      <c r="E386">
        <v>1571</v>
      </c>
      <c r="F386">
        <v>35</v>
      </c>
      <c r="G386">
        <v>214</v>
      </c>
      <c r="H386">
        <v>43</v>
      </c>
      <c r="I386">
        <v>41</v>
      </c>
      <c r="K386">
        <v>14</v>
      </c>
      <c r="L386" s="1" t="s">
        <v>62</v>
      </c>
      <c r="N386" s="1" t="s">
        <v>37</v>
      </c>
      <c r="P386" s="1" t="s">
        <v>37</v>
      </c>
      <c r="Q386">
        <v>11</v>
      </c>
      <c r="R386" s="1" t="s">
        <v>37</v>
      </c>
      <c r="S386">
        <v>46.220528000000002</v>
      </c>
      <c r="T386">
        <v>6.1329349999999998</v>
      </c>
      <c r="U386" s="1" t="s">
        <v>61</v>
      </c>
      <c r="V386">
        <v>25</v>
      </c>
      <c r="W386">
        <v>147</v>
      </c>
      <c r="X386">
        <v>5</v>
      </c>
      <c r="Y386">
        <v>317.25</v>
      </c>
      <c r="Z386">
        <v>2.827</v>
      </c>
    </row>
    <row r="387" spans="1:26">
      <c r="A387" s="2">
        <v>43913</v>
      </c>
      <c r="B387" s="4">
        <v>0.75</v>
      </c>
      <c r="C387" s="1" t="s">
        <v>69</v>
      </c>
      <c r="E387">
        <v>69</v>
      </c>
      <c r="F387">
        <v>0</v>
      </c>
      <c r="G387">
        <v>18</v>
      </c>
      <c r="H387">
        <v>3</v>
      </c>
      <c r="L387" s="1" t="s">
        <v>280</v>
      </c>
      <c r="N387" s="1" t="s">
        <v>37</v>
      </c>
      <c r="P387" s="1" t="s">
        <v>37</v>
      </c>
      <c r="R387" s="1" t="s">
        <v>37</v>
      </c>
      <c r="S387">
        <v>47.350743999999999</v>
      </c>
      <c r="T387">
        <v>7.1561070000000004</v>
      </c>
      <c r="U387" s="1" t="s">
        <v>70</v>
      </c>
      <c r="V387">
        <v>26</v>
      </c>
      <c r="W387">
        <v>8</v>
      </c>
      <c r="X387">
        <v>0</v>
      </c>
      <c r="Y387">
        <v>94.13</v>
      </c>
    </row>
    <row r="388" spans="1:26">
      <c r="A388" s="2">
        <v>43913</v>
      </c>
      <c r="B388" s="4">
        <v>0.45833333333333331</v>
      </c>
      <c r="C388" s="1" t="s">
        <v>71</v>
      </c>
      <c r="E388">
        <v>156</v>
      </c>
      <c r="F388">
        <v>0</v>
      </c>
      <c r="K388">
        <v>1</v>
      </c>
      <c r="L388" s="1" t="s">
        <v>73</v>
      </c>
      <c r="N388" s="1" t="s">
        <v>37</v>
      </c>
      <c r="P388" s="1" t="s">
        <v>37</v>
      </c>
      <c r="R388" s="1" t="s">
        <v>37</v>
      </c>
      <c r="S388">
        <v>47.067762999999999</v>
      </c>
      <c r="T388">
        <v>8.1102000000000007</v>
      </c>
      <c r="U388" s="1" t="s">
        <v>72</v>
      </c>
      <c r="V388">
        <v>3</v>
      </c>
      <c r="W388">
        <v>25</v>
      </c>
      <c r="X388">
        <v>0</v>
      </c>
      <c r="Y388">
        <v>38.380000000000003</v>
      </c>
      <c r="Z388">
        <v>0.246</v>
      </c>
    </row>
    <row r="389" spans="1:26">
      <c r="A389" s="2">
        <v>43913</v>
      </c>
      <c r="B389" s="4">
        <v>0.625</v>
      </c>
      <c r="C389" s="1" t="s">
        <v>74</v>
      </c>
      <c r="E389">
        <v>247</v>
      </c>
      <c r="F389">
        <v>5</v>
      </c>
      <c r="G389">
        <v>33</v>
      </c>
      <c r="H389">
        <v>11</v>
      </c>
      <c r="I389">
        <v>6</v>
      </c>
      <c r="K389">
        <v>5</v>
      </c>
      <c r="L389" s="1" t="s">
        <v>76</v>
      </c>
      <c r="N389" s="1" t="s">
        <v>37</v>
      </c>
      <c r="P389" s="1" t="s">
        <v>37</v>
      </c>
      <c r="R389" s="1" t="s">
        <v>37</v>
      </c>
      <c r="S389">
        <v>46.995533999999999</v>
      </c>
      <c r="T389">
        <v>6.7801260000000001</v>
      </c>
      <c r="U389" s="1" t="s">
        <v>75</v>
      </c>
      <c r="V389">
        <v>24</v>
      </c>
      <c r="W389">
        <v>31</v>
      </c>
      <c r="X389">
        <v>1</v>
      </c>
      <c r="Y389">
        <v>138.76</v>
      </c>
      <c r="Z389">
        <v>2.8090000000000002</v>
      </c>
    </row>
    <row r="390" spans="1:26">
      <c r="A390" s="2">
        <v>43913</v>
      </c>
      <c r="B390" s="4">
        <v>0.79166666666666663</v>
      </c>
      <c r="C390" s="1" t="s">
        <v>77</v>
      </c>
      <c r="E390">
        <v>39</v>
      </c>
      <c r="F390">
        <v>0</v>
      </c>
      <c r="L390" s="1" t="s">
        <v>79</v>
      </c>
      <c r="N390" s="1" t="s">
        <v>37</v>
      </c>
      <c r="P390" s="1" t="s">
        <v>37</v>
      </c>
      <c r="R390" s="1" t="s">
        <v>37</v>
      </c>
      <c r="S390">
        <v>46.926755</v>
      </c>
      <c r="T390">
        <v>8.4053020000000007</v>
      </c>
      <c r="U390" s="1" t="s">
        <v>78</v>
      </c>
      <c r="V390">
        <v>7</v>
      </c>
      <c r="W390">
        <v>3</v>
      </c>
      <c r="X390">
        <v>0</v>
      </c>
      <c r="Y390">
        <v>90.7</v>
      </c>
    </row>
    <row r="391" spans="1:26">
      <c r="A391" s="2">
        <v>43913</v>
      </c>
      <c r="B391" s="4">
        <v>0.125</v>
      </c>
      <c r="C391" s="1" t="s">
        <v>80</v>
      </c>
      <c r="D391">
        <v>6</v>
      </c>
      <c r="E391">
        <v>25</v>
      </c>
      <c r="F391">
        <v>0</v>
      </c>
      <c r="L391" s="1" t="s">
        <v>82</v>
      </c>
      <c r="N391" s="1" t="s">
        <v>37</v>
      </c>
      <c r="P391" s="1" t="s">
        <v>37</v>
      </c>
      <c r="R391" s="1" t="s">
        <v>37</v>
      </c>
      <c r="S391">
        <v>46.804527</v>
      </c>
      <c r="T391">
        <v>8.1443170000000009</v>
      </c>
      <c r="U391" s="1" t="s">
        <v>81</v>
      </c>
      <c r="V391">
        <v>6</v>
      </c>
      <c r="W391">
        <v>24</v>
      </c>
      <c r="X391">
        <v>0</v>
      </c>
      <c r="Y391">
        <v>66.489999999999995</v>
      </c>
    </row>
    <row r="392" spans="1:26">
      <c r="A392" s="2">
        <v>43913</v>
      </c>
      <c r="B392" s="4">
        <v>0.125</v>
      </c>
      <c r="C392" s="1" t="s">
        <v>83</v>
      </c>
      <c r="E392">
        <v>228</v>
      </c>
      <c r="F392">
        <v>0</v>
      </c>
      <c r="K392">
        <v>1</v>
      </c>
      <c r="L392" s="1" t="s">
        <v>85</v>
      </c>
      <c r="N392" s="1" t="s">
        <v>37</v>
      </c>
      <c r="P392" s="1" t="s">
        <v>37</v>
      </c>
      <c r="R392" s="1" t="s">
        <v>37</v>
      </c>
      <c r="S392">
        <v>47.183199999999999</v>
      </c>
      <c r="T392">
        <v>9.2747440000000001</v>
      </c>
      <c r="U392" s="1" t="s">
        <v>84</v>
      </c>
      <c r="V392">
        <v>17</v>
      </c>
      <c r="W392">
        <v>130</v>
      </c>
      <c r="X392">
        <v>0</v>
      </c>
      <c r="Y392">
        <v>45.18</v>
      </c>
      <c r="Z392">
        <v>0.19800000000000001</v>
      </c>
    </row>
    <row r="393" spans="1:26">
      <c r="A393" s="2">
        <v>43913</v>
      </c>
      <c r="B393" s="4">
        <v>0.125</v>
      </c>
      <c r="C393" s="1" t="s">
        <v>86</v>
      </c>
      <c r="E393">
        <v>32</v>
      </c>
      <c r="F393">
        <v>0</v>
      </c>
      <c r="K393">
        <v>0</v>
      </c>
      <c r="L393" s="1" t="s">
        <v>88</v>
      </c>
      <c r="N393" s="1" t="s">
        <v>37</v>
      </c>
      <c r="P393" s="1" t="s">
        <v>37</v>
      </c>
      <c r="R393" s="1" t="s">
        <v>37</v>
      </c>
      <c r="S393">
        <v>47.713569999999997</v>
      </c>
      <c r="T393">
        <v>8.5916700000000006</v>
      </c>
      <c r="U393" s="1" t="s">
        <v>87</v>
      </c>
      <c r="V393">
        <v>14</v>
      </c>
      <c r="W393">
        <v>2</v>
      </c>
      <c r="X393">
        <v>0</v>
      </c>
      <c r="Y393">
        <v>39.31</v>
      </c>
      <c r="Z393">
        <v>0</v>
      </c>
    </row>
    <row r="394" spans="1:26">
      <c r="A394" s="2">
        <v>43913</v>
      </c>
      <c r="B394" s="4">
        <v>0.5</v>
      </c>
      <c r="C394" s="1" t="s">
        <v>89</v>
      </c>
      <c r="E394">
        <v>95</v>
      </c>
      <c r="F394">
        <v>0</v>
      </c>
      <c r="K394">
        <v>1</v>
      </c>
      <c r="L394" s="1" t="s">
        <v>91</v>
      </c>
      <c r="N394" s="1" t="s">
        <v>37</v>
      </c>
      <c r="P394" s="1" t="s">
        <v>37</v>
      </c>
      <c r="R394" s="1" t="s">
        <v>37</v>
      </c>
      <c r="S394">
        <v>47.304135000000002</v>
      </c>
      <c r="T394">
        <v>7.6393880000000003</v>
      </c>
      <c r="U394" s="1" t="s">
        <v>90</v>
      </c>
      <c r="V394">
        <v>11</v>
      </c>
      <c r="W394">
        <v>29</v>
      </c>
      <c r="X394">
        <v>0</v>
      </c>
      <c r="Y394">
        <v>35</v>
      </c>
      <c r="Z394">
        <v>0.36799999999999999</v>
      </c>
    </row>
    <row r="395" spans="1:26">
      <c r="A395" s="2">
        <v>43913</v>
      </c>
      <c r="B395" s="4">
        <v>0.125</v>
      </c>
      <c r="C395" s="1" t="s">
        <v>95</v>
      </c>
      <c r="D395">
        <v>276</v>
      </c>
      <c r="E395">
        <v>81</v>
      </c>
      <c r="F395">
        <v>0</v>
      </c>
      <c r="L395" s="1" t="s">
        <v>97</v>
      </c>
      <c r="N395" s="1" t="s">
        <v>37</v>
      </c>
      <c r="P395" s="1" t="s">
        <v>37</v>
      </c>
      <c r="R395" s="1" t="s">
        <v>37</v>
      </c>
      <c r="S395">
        <v>47.568714999999997</v>
      </c>
      <c r="T395">
        <v>9.0919570000000007</v>
      </c>
      <c r="U395" s="1" t="s">
        <v>96</v>
      </c>
      <c r="V395">
        <v>1</v>
      </c>
      <c r="W395">
        <v>6</v>
      </c>
      <c r="X395">
        <v>0</v>
      </c>
      <c r="Y395">
        <v>29.58</v>
      </c>
    </row>
    <row r="396" spans="1:26">
      <c r="A396" s="2">
        <v>43913</v>
      </c>
      <c r="B396" s="4">
        <v>0.33333333333333331</v>
      </c>
      <c r="C396" s="1" t="s">
        <v>98</v>
      </c>
      <c r="E396">
        <v>1165</v>
      </c>
      <c r="F396">
        <v>15</v>
      </c>
      <c r="G396">
        <v>261</v>
      </c>
      <c r="H396">
        <v>45</v>
      </c>
      <c r="I396">
        <v>43</v>
      </c>
      <c r="K396">
        <v>48</v>
      </c>
      <c r="L396" s="1" t="s">
        <v>257</v>
      </c>
      <c r="N396" s="1" t="s">
        <v>37</v>
      </c>
      <c r="P396" s="1" t="s">
        <v>252</v>
      </c>
      <c r="R396" s="1" t="s">
        <v>37</v>
      </c>
      <c r="S396">
        <v>46.295617</v>
      </c>
      <c r="T396">
        <v>8.8089239999999993</v>
      </c>
      <c r="U396" s="1" t="s">
        <v>99</v>
      </c>
      <c r="V396">
        <v>21</v>
      </c>
      <c r="W396">
        <v>226</v>
      </c>
      <c r="X396">
        <v>11</v>
      </c>
      <c r="Y396">
        <v>329.38</v>
      </c>
      <c r="Z396">
        <v>13.571</v>
      </c>
    </row>
    <row r="397" spans="1:26">
      <c r="A397" s="2">
        <v>43913</v>
      </c>
      <c r="B397" s="4">
        <v>0.125</v>
      </c>
      <c r="C397" s="1" t="s">
        <v>101</v>
      </c>
      <c r="D397">
        <v>85</v>
      </c>
      <c r="E397">
        <v>22</v>
      </c>
      <c r="F397">
        <v>0</v>
      </c>
      <c r="G397">
        <v>1</v>
      </c>
      <c r="J397">
        <v>1</v>
      </c>
      <c r="L397" s="1" t="s">
        <v>238</v>
      </c>
      <c r="N397" s="1" t="s">
        <v>37</v>
      </c>
      <c r="P397" s="1" t="s">
        <v>37</v>
      </c>
      <c r="R397" s="1" t="s">
        <v>37</v>
      </c>
      <c r="S397">
        <v>46.771849000000003</v>
      </c>
      <c r="T397">
        <v>8.6285860000000003</v>
      </c>
      <c r="U397" s="1" t="s">
        <v>102</v>
      </c>
      <c r="V397">
        <v>4</v>
      </c>
      <c r="W397">
        <v>10</v>
      </c>
      <c r="X397">
        <v>0</v>
      </c>
      <c r="Y397">
        <v>60.61</v>
      </c>
    </row>
    <row r="398" spans="1:26">
      <c r="A398" s="2">
        <v>43913</v>
      </c>
      <c r="B398" s="4">
        <v>0.125</v>
      </c>
      <c r="C398" s="1" t="s">
        <v>104</v>
      </c>
      <c r="E398">
        <v>1845</v>
      </c>
      <c r="F398">
        <v>18</v>
      </c>
      <c r="G398">
        <v>249</v>
      </c>
      <c r="H398">
        <v>40</v>
      </c>
      <c r="J398">
        <v>91</v>
      </c>
      <c r="K398">
        <v>28</v>
      </c>
      <c r="L398" s="1" t="s">
        <v>106</v>
      </c>
      <c r="N398" s="1" t="s">
        <v>37</v>
      </c>
      <c r="P398" s="1" t="s">
        <v>37</v>
      </c>
      <c r="R398" s="1" t="s">
        <v>37</v>
      </c>
      <c r="S398">
        <v>46.570090999999998</v>
      </c>
      <c r="T398">
        <v>6.5578090000000007</v>
      </c>
      <c r="U398" s="1" t="s">
        <v>105</v>
      </c>
      <c r="V398">
        <v>22</v>
      </c>
      <c r="W398">
        <v>46</v>
      </c>
      <c r="X398">
        <v>4</v>
      </c>
      <c r="Y398">
        <v>232.63</v>
      </c>
      <c r="Z398">
        <v>3.53</v>
      </c>
    </row>
    <row r="399" spans="1:26">
      <c r="A399" s="2">
        <v>43913</v>
      </c>
      <c r="B399" s="4">
        <v>0.125</v>
      </c>
      <c r="C399" s="1" t="s">
        <v>107</v>
      </c>
      <c r="E399">
        <v>628</v>
      </c>
      <c r="F399">
        <v>12</v>
      </c>
      <c r="G399">
        <v>104</v>
      </c>
      <c r="H399">
        <v>12</v>
      </c>
      <c r="I399">
        <v>9</v>
      </c>
      <c r="J399">
        <v>3</v>
      </c>
      <c r="K399">
        <v>13</v>
      </c>
      <c r="L399" s="1" t="s">
        <v>412</v>
      </c>
      <c r="N399" s="1" t="s">
        <v>37</v>
      </c>
      <c r="P399" s="1" t="s">
        <v>37</v>
      </c>
      <c r="R399" s="1" t="s">
        <v>37</v>
      </c>
      <c r="S399">
        <v>46.209567</v>
      </c>
      <c r="T399">
        <v>7.6046589999999998</v>
      </c>
      <c r="U399" s="1" t="s">
        <v>108</v>
      </c>
      <c r="V399">
        <v>23</v>
      </c>
      <c r="W399">
        <v>93</v>
      </c>
      <c r="X399">
        <v>2</v>
      </c>
      <c r="Y399">
        <v>183.89</v>
      </c>
      <c r="Z399">
        <v>3.8069999999999999</v>
      </c>
    </row>
    <row r="400" spans="1:26">
      <c r="A400" s="2">
        <v>43913</v>
      </c>
      <c r="B400" s="4">
        <v>0.33333333333333331</v>
      </c>
      <c r="C400" s="1" t="s">
        <v>109</v>
      </c>
      <c r="E400">
        <v>72</v>
      </c>
      <c r="F400">
        <v>3</v>
      </c>
      <c r="G400">
        <v>6</v>
      </c>
      <c r="H400">
        <v>0</v>
      </c>
      <c r="J400">
        <v>5</v>
      </c>
      <c r="K400">
        <v>0</v>
      </c>
      <c r="L400" s="1" t="s">
        <v>502</v>
      </c>
      <c r="N400" s="1" t="s">
        <v>37</v>
      </c>
      <c r="P400" s="1" t="s">
        <v>37</v>
      </c>
      <c r="R400" s="1" t="s">
        <v>37</v>
      </c>
      <c r="S400">
        <v>47.157296000000002</v>
      </c>
      <c r="T400">
        <v>8.5372939999999993</v>
      </c>
      <c r="U400" s="1" t="s">
        <v>110</v>
      </c>
      <c r="V400">
        <v>9</v>
      </c>
      <c r="W400">
        <v>19</v>
      </c>
      <c r="X400">
        <v>0</v>
      </c>
      <c r="Y400">
        <v>57.42</v>
      </c>
      <c r="Z400">
        <v>0</v>
      </c>
    </row>
    <row r="401" spans="1:26">
      <c r="A401" s="2">
        <v>43913</v>
      </c>
      <c r="B401" s="4">
        <v>0.60416666666666663</v>
      </c>
      <c r="C401" s="1" t="s">
        <v>111</v>
      </c>
      <c r="E401">
        <v>1076</v>
      </c>
      <c r="F401">
        <v>17</v>
      </c>
      <c r="G401">
        <v>127</v>
      </c>
      <c r="I401">
        <v>27</v>
      </c>
      <c r="K401">
        <v>6</v>
      </c>
      <c r="L401" s="1" t="s">
        <v>113</v>
      </c>
      <c r="N401" s="1" t="s">
        <v>37</v>
      </c>
      <c r="P401" s="1" t="s">
        <v>37</v>
      </c>
      <c r="R401" s="1" t="s">
        <v>37</v>
      </c>
      <c r="S401">
        <v>47.412750000000003</v>
      </c>
      <c r="T401">
        <v>8.6550799999999999</v>
      </c>
      <c r="U401" s="1" t="s">
        <v>112</v>
      </c>
      <c r="V401">
        <v>1</v>
      </c>
      <c r="W401">
        <v>364</v>
      </c>
      <c r="X401">
        <v>0</v>
      </c>
      <c r="Y401">
        <v>71.53</v>
      </c>
      <c r="Z401">
        <v>0.39900000000000002</v>
      </c>
    </row>
    <row r="402" spans="1:26">
      <c r="A402" s="2">
        <v>43914</v>
      </c>
      <c r="B402" s="4">
        <v>0.625</v>
      </c>
      <c r="C402" s="1" t="s">
        <v>35</v>
      </c>
      <c r="E402">
        <v>266</v>
      </c>
      <c r="F402">
        <v>14</v>
      </c>
      <c r="G402">
        <v>24</v>
      </c>
      <c r="H402">
        <v>2</v>
      </c>
      <c r="I402">
        <v>2</v>
      </c>
      <c r="J402">
        <v>4</v>
      </c>
      <c r="K402">
        <v>2</v>
      </c>
      <c r="L402" s="1" t="s">
        <v>258</v>
      </c>
      <c r="N402" s="1" t="s">
        <v>37</v>
      </c>
      <c r="P402" s="1" t="s">
        <v>37</v>
      </c>
      <c r="R402" s="1" t="s">
        <v>37</v>
      </c>
      <c r="S402">
        <v>47.409660000000002</v>
      </c>
      <c r="T402">
        <v>8.1568799999999992</v>
      </c>
      <c r="U402" s="1" t="s">
        <v>36</v>
      </c>
      <c r="V402">
        <v>1</v>
      </c>
      <c r="W402">
        <v>25</v>
      </c>
      <c r="X402">
        <v>1</v>
      </c>
      <c r="Y402">
        <v>39.64</v>
      </c>
      <c r="Z402">
        <v>0.29799999999999999</v>
      </c>
    </row>
    <row r="403" spans="1:26">
      <c r="A403" s="2">
        <v>43914</v>
      </c>
      <c r="B403" s="4">
        <v>0.70833333333333337</v>
      </c>
      <c r="C403" s="1" t="s">
        <v>39</v>
      </c>
      <c r="E403">
        <v>8</v>
      </c>
      <c r="F403">
        <v>0</v>
      </c>
      <c r="G403">
        <v>1</v>
      </c>
      <c r="L403" s="1" t="s">
        <v>41</v>
      </c>
      <c r="N403" s="1" t="s">
        <v>37</v>
      </c>
      <c r="P403" s="1" t="s">
        <v>37</v>
      </c>
      <c r="R403" s="1" t="s">
        <v>37</v>
      </c>
      <c r="S403">
        <v>47.317264000000002</v>
      </c>
      <c r="T403">
        <v>9.4167539999999992</v>
      </c>
      <c r="U403" s="1" t="s">
        <v>40</v>
      </c>
      <c r="V403">
        <v>16</v>
      </c>
      <c r="W403">
        <v>2</v>
      </c>
      <c r="X403">
        <v>0</v>
      </c>
      <c r="Y403">
        <v>49.69</v>
      </c>
    </row>
    <row r="404" spans="1:26">
      <c r="A404" s="2">
        <v>43914</v>
      </c>
      <c r="B404" s="4">
        <v>0.41666666666666669</v>
      </c>
      <c r="C404" s="1" t="s">
        <v>42</v>
      </c>
      <c r="E404">
        <v>33</v>
      </c>
      <c r="F404">
        <v>-1</v>
      </c>
      <c r="G404">
        <v>6</v>
      </c>
      <c r="K404">
        <v>2</v>
      </c>
      <c r="L404" s="1" t="s">
        <v>44</v>
      </c>
      <c r="N404" s="1" t="s">
        <v>37</v>
      </c>
      <c r="P404" s="1" t="s">
        <v>37</v>
      </c>
      <c r="R404" s="1" t="s">
        <v>37</v>
      </c>
      <c r="S404">
        <v>47.416351999999996</v>
      </c>
      <c r="T404">
        <v>9.3679100000000002</v>
      </c>
      <c r="U404" s="1" t="s">
        <v>43</v>
      </c>
      <c r="V404">
        <v>15</v>
      </c>
      <c r="W404">
        <v>3</v>
      </c>
      <c r="X404">
        <v>1</v>
      </c>
      <c r="Y404">
        <v>59.78</v>
      </c>
      <c r="Z404">
        <v>3.6230000000000002</v>
      </c>
    </row>
    <row r="405" spans="1:26">
      <c r="A405" s="2">
        <v>43914</v>
      </c>
      <c r="B405" s="4">
        <v>0.125</v>
      </c>
      <c r="C405" s="1" t="s">
        <v>45</v>
      </c>
      <c r="E405">
        <v>532</v>
      </c>
      <c r="F405">
        <v>0</v>
      </c>
      <c r="K405">
        <v>6</v>
      </c>
      <c r="L405" s="1" t="s">
        <v>47</v>
      </c>
      <c r="N405" s="1" t="s">
        <v>37</v>
      </c>
      <c r="P405" s="1" t="s">
        <v>37</v>
      </c>
      <c r="R405" s="1" t="s">
        <v>37</v>
      </c>
      <c r="S405">
        <v>46.823608</v>
      </c>
      <c r="T405">
        <v>7.6366670000000001</v>
      </c>
      <c r="U405" s="1" t="s">
        <v>46</v>
      </c>
      <c r="V405">
        <v>2</v>
      </c>
      <c r="W405">
        <v>62</v>
      </c>
      <c r="X405">
        <v>1</v>
      </c>
      <c r="Y405">
        <v>51.6</v>
      </c>
      <c r="Z405">
        <v>0.58199999999999996</v>
      </c>
    </row>
    <row r="406" spans="1:26">
      <c r="A406" s="2">
        <v>43914</v>
      </c>
      <c r="B406" s="4">
        <v>0.125</v>
      </c>
      <c r="C406" s="1" t="s">
        <v>48</v>
      </c>
      <c r="E406">
        <v>306</v>
      </c>
      <c r="F406">
        <v>15</v>
      </c>
      <c r="G406">
        <v>66</v>
      </c>
      <c r="H406">
        <v>11</v>
      </c>
      <c r="J406">
        <v>40</v>
      </c>
      <c r="K406">
        <v>4</v>
      </c>
      <c r="L406" s="1" t="s">
        <v>50</v>
      </c>
      <c r="N406" s="1" t="s">
        <v>37</v>
      </c>
      <c r="P406" s="1" t="s">
        <v>37</v>
      </c>
      <c r="R406" s="1" t="s">
        <v>37</v>
      </c>
      <c r="S406">
        <v>47.45176</v>
      </c>
      <c r="T406">
        <v>7.7024140000000001</v>
      </c>
      <c r="U406" s="1" t="s">
        <v>49</v>
      </c>
      <c r="V406">
        <v>13</v>
      </c>
      <c r="W406">
        <v>4</v>
      </c>
      <c r="X406">
        <v>1</v>
      </c>
      <c r="Y406">
        <v>106.62</v>
      </c>
      <c r="Z406">
        <v>1.3939999999999999</v>
      </c>
    </row>
    <row r="407" spans="1:26">
      <c r="A407" s="2">
        <v>43914</v>
      </c>
      <c r="B407" s="4">
        <v>0.375</v>
      </c>
      <c r="C407" s="1" t="s">
        <v>51</v>
      </c>
      <c r="D407">
        <v>235</v>
      </c>
      <c r="E407">
        <v>414</v>
      </c>
      <c r="F407">
        <v>2</v>
      </c>
      <c r="G407">
        <v>58</v>
      </c>
      <c r="H407">
        <v>2</v>
      </c>
      <c r="J407">
        <v>105</v>
      </c>
      <c r="K407">
        <v>5</v>
      </c>
      <c r="L407" s="1" t="s">
        <v>259</v>
      </c>
      <c r="M407">
        <v>291</v>
      </c>
      <c r="N407" s="1" t="s">
        <v>37</v>
      </c>
      <c r="P407" s="1" t="s">
        <v>37</v>
      </c>
      <c r="R407" s="1" t="s">
        <v>37</v>
      </c>
      <c r="S407">
        <v>47.564869000000002</v>
      </c>
      <c r="T407">
        <v>7.615259</v>
      </c>
      <c r="U407" s="1" t="s">
        <v>52</v>
      </c>
      <c r="V407">
        <v>12</v>
      </c>
      <c r="W407">
        <v>38</v>
      </c>
      <c r="X407">
        <v>0</v>
      </c>
      <c r="Y407">
        <v>213.51</v>
      </c>
      <c r="Z407">
        <v>2.5790000000000002</v>
      </c>
    </row>
    <row r="408" spans="1:26">
      <c r="A408" s="2">
        <v>43914</v>
      </c>
      <c r="B408" s="4">
        <v>0.125</v>
      </c>
      <c r="C408" s="1" t="s">
        <v>54</v>
      </c>
      <c r="D408">
        <v>99</v>
      </c>
      <c r="E408">
        <v>51</v>
      </c>
      <c r="F408">
        <v>0</v>
      </c>
      <c r="J408">
        <v>1</v>
      </c>
      <c r="L408" s="1" t="s">
        <v>260</v>
      </c>
      <c r="N408" s="1" t="s">
        <v>37</v>
      </c>
      <c r="P408" s="1" t="s">
        <v>37</v>
      </c>
      <c r="R408" s="1" t="s">
        <v>37</v>
      </c>
      <c r="S408">
        <v>47.166666999999997</v>
      </c>
      <c r="T408">
        <v>9.509722</v>
      </c>
      <c r="U408" s="1" t="s">
        <v>55</v>
      </c>
      <c r="V408">
        <v>0</v>
      </c>
      <c r="W408">
        <v>0</v>
      </c>
      <c r="X408">
        <v>0</v>
      </c>
      <c r="Y408">
        <v>132.12</v>
      </c>
    </row>
    <row r="409" spans="1:26">
      <c r="A409" s="2">
        <v>43914</v>
      </c>
      <c r="B409" s="4">
        <v>0.125</v>
      </c>
      <c r="C409" s="1" t="s">
        <v>57</v>
      </c>
      <c r="D409">
        <v>30</v>
      </c>
      <c r="E409">
        <v>255</v>
      </c>
      <c r="F409">
        <v>0</v>
      </c>
      <c r="G409">
        <v>35</v>
      </c>
      <c r="H409">
        <v>7</v>
      </c>
      <c r="K409">
        <v>5</v>
      </c>
      <c r="L409" s="1" t="s">
        <v>59</v>
      </c>
      <c r="N409" s="1" t="s">
        <v>37</v>
      </c>
      <c r="P409" s="1" t="s">
        <v>37</v>
      </c>
      <c r="R409" s="1" t="s">
        <v>37</v>
      </c>
      <c r="S409">
        <v>46.718390999999997</v>
      </c>
      <c r="T409">
        <v>7.0740080000000001</v>
      </c>
      <c r="U409" s="1" t="s">
        <v>58</v>
      </c>
      <c r="V409">
        <v>10</v>
      </c>
      <c r="W409">
        <v>29</v>
      </c>
      <c r="X409">
        <v>1</v>
      </c>
      <c r="Y409">
        <v>80.930000000000007</v>
      </c>
      <c r="Z409">
        <v>1.587</v>
      </c>
    </row>
    <row r="410" spans="1:26">
      <c r="A410" s="2">
        <v>43914</v>
      </c>
      <c r="B410" s="4">
        <v>0.125</v>
      </c>
      <c r="C410" s="1" t="s">
        <v>60</v>
      </c>
      <c r="D410">
        <v>8012</v>
      </c>
      <c r="E410">
        <v>1673</v>
      </c>
      <c r="F410">
        <v>24</v>
      </c>
      <c r="G410">
        <v>238</v>
      </c>
      <c r="H410">
        <v>41</v>
      </c>
      <c r="I410">
        <v>41</v>
      </c>
      <c r="J410">
        <v>103</v>
      </c>
      <c r="K410">
        <v>15</v>
      </c>
      <c r="L410" s="1" t="s">
        <v>62</v>
      </c>
      <c r="N410" s="1" t="s">
        <v>37</v>
      </c>
      <c r="P410" s="1" t="s">
        <v>37</v>
      </c>
      <c r="Q410">
        <v>21</v>
      </c>
      <c r="R410" s="1" t="s">
        <v>37</v>
      </c>
      <c r="S410">
        <v>46.220528000000002</v>
      </c>
      <c r="T410">
        <v>6.1329349999999998</v>
      </c>
      <c r="U410" s="1" t="s">
        <v>61</v>
      </c>
      <c r="V410">
        <v>25</v>
      </c>
      <c r="W410">
        <v>102</v>
      </c>
      <c r="X410">
        <v>1</v>
      </c>
      <c r="Y410">
        <v>337.84</v>
      </c>
      <c r="Z410">
        <v>3.0289999999999999</v>
      </c>
    </row>
    <row r="411" spans="1:26">
      <c r="A411" s="2">
        <v>43914</v>
      </c>
      <c r="B411" s="4">
        <v>0.5625</v>
      </c>
      <c r="C411" s="1" t="s">
        <v>63</v>
      </c>
      <c r="E411">
        <v>33</v>
      </c>
      <c r="F411">
        <v>0</v>
      </c>
      <c r="G411">
        <v>3</v>
      </c>
      <c r="L411" s="1" t="s">
        <v>65</v>
      </c>
      <c r="N411" s="1" t="s">
        <v>37</v>
      </c>
      <c r="P411" s="1" t="s">
        <v>37</v>
      </c>
      <c r="R411" s="1" t="s">
        <v>37</v>
      </c>
      <c r="S411">
        <v>46.931042000000005</v>
      </c>
      <c r="T411">
        <v>9.0657510000000006</v>
      </c>
      <c r="U411" s="1" t="s">
        <v>64</v>
      </c>
      <c r="V411">
        <v>8</v>
      </c>
      <c r="W411">
        <v>2</v>
      </c>
      <c r="X411">
        <v>0</v>
      </c>
      <c r="Y411">
        <v>81.89</v>
      </c>
    </row>
    <row r="412" spans="1:26">
      <c r="A412" s="2">
        <v>43914</v>
      </c>
      <c r="B412" s="4">
        <v>0.125</v>
      </c>
      <c r="C412" s="1" t="s">
        <v>66</v>
      </c>
      <c r="E412">
        <v>276</v>
      </c>
      <c r="F412">
        <v>2</v>
      </c>
      <c r="G412">
        <v>29</v>
      </c>
      <c r="K412">
        <v>6</v>
      </c>
      <c r="L412" s="1" t="s">
        <v>68</v>
      </c>
      <c r="N412" s="1" t="s">
        <v>37</v>
      </c>
      <c r="P412" s="1" t="s">
        <v>37</v>
      </c>
      <c r="R412" s="1" t="s">
        <v>37</v>
      </c>
      <c r="S412">
        <v>46.656247999999998</v>
      </c>
      <c r="T412">
        <v>9.6281979999999994</v>
      </c>
      <c r="U412" s="1" t="s">
        <v>67</v>
      </c>
      <c r="V412">
        <v>1</v>
      </c>
      <c r="W412">
        <v>10</v>
      </c>
      <c r="X412">
        <v>0</v>
      </c>
      <c r="Y412">
        <v>139.46</v>
      </c>
      <c r="Z412">
        <v>3.032</v>
      </c>
    </row>
    <row r="413" spans="1:26">
      <c r="A413" s="2">
        <v>43914</v>
      </c>
      <c r="B413" s="4">
        <v>0.70833333333333337</v>
      </c>
      <c r="C413" s="1" t="s">
        <v>69</v>
      </c>
      <c r="E413">
        <v>82</v>
      </c>
      <c r="F413">
        <v>4</v>
      </c>
      <c r="G413">
        <v>22</v>
      </c>
      <c r="H413">
        <v>4</v>
      </c>
      <c r="L413" s="1" t="s">
        <v>280</v>
      </c>
      <c r="N413" s="1" t="s">
        <v>37</v>
      </c>
      <c r="P413" s="1" t="s">
        <v>37</v>
      </c>
      <c r="R413" s="1" t="s">
        <v>37</v>
      </c>
      <c r="S413">
        <v>47.350743999999999</v>
      </c>
      <c r="T413">
        <v>7.1561070000000004</v>
      </c>
      <c r="U413" s="1" t="s">
        <v>70</v>
      </c>
      <c r="V413">
        <v>26</v>
      </c>
      <c r="W413">
        <v>13</v>
      </c>
      <c r="X413">
        <v>0</v>
      </c>
      <c r="Y413">
        <v>111.87</v>
      </c>
    </row>
    <row r="414" spans="1:26">
      <c r="A414" s="2">
        <v>43914</v>
      </c>
      <c r="B414" s="4">
        <v>0.45833333333333331</v>
      </c>
      <c r="C414" s="1" t="s">
        <v>71</v>
      </c>
      <c r="E414">
        <v>205</v>
      </c>
      <c r="F414">
        <v>0</v>
      </c>
      <c r="K414">
        <v>2</v>
      </c>
      <c r="L414" s="1" t="s">
        <v>73</v>
      </c>
      <c r="N414" s="1" t="s">
        <v>37</v>
      </c>
      <c r="P414" s="1" t="s">
        <v>37</v>
      </c>
      <c r="R414" s="1" t="s">
        <v>37</v>
      </c>
      <c r="S414">
        <v>47.067762999999999</v>
      </c>
      <c r="T414">
        <v>8.1102000000000007</v>
      </c>
      <c r="U414" s="1" t="s">
        <v>72</v>
      </c>
      <c r="V414">
        <v>3</v>
      </c>
      <c r="W414">
        <v>49</v>
      </c>
      <c r="X414">
        <v>1</v>
      </c>
      <c r="Y414">
        <v>50.43</v>
      </c>
      <c r="Z414">
        <v>0.49199999999999999</v>
      </c>
    </row>
    <row r="415" spans="1:26">
      <c r="A415" s="2">
        <v>43914</v>
      </c>
      <c r="B415" s="4">
        <v>0.625</v>
      </c>
      <c r="C415" s="1" t="s">
        <v>74</v>
      </c>
      <c r="E415">
        <v>265</v>
      </c>
      <c r="F415">
        <v>-1</v>
      </c>
      <c r="G415">
        <v>32</v>
      </c>
      <c r="H415">
        <v>8</v>
      </c>
      <c r="I415">
        <v>6</v>
      </c>
      <c r="K415">
        <v>6</v>
      </c>
      <c r="L415" s="1" t="s">
        <v>76</v>
      </c>
      <c r="N415" s="1" t="s">
        <v>37</v>
      </c>
      <c r="P415" s="1" t="s">
        <v>37</v>
      </c>
      <c r="R415" s="1" t="s">
        <v>37</v>
      </c>
      <c r="S415">
        <v>46.995533999999999</v>
      </c>
      <c r="T415">
        <v>6.7801260000000001</v>
      </c>
      <c r="U415" s="1" t="s">
        <v>75</v>
      </c>
      <c r="V415">
        <v>24</v>
      </c>
      <c r="W415">
        <v>18</v>
      </c>
      <c r="X415">
        <v>1</v>
      </c>
      <c r="Y415">
        <v>148.88</v>
      </c>
      <c r="Z415">
        <v>3.371</v>
      </c>
    </row>
    <row r="416" spans="1:26">
      <c r="A416" s="2">
        <v>43914</v>
      </c>
      <c r="B416" s="4">
        <v>0.63541666666666663</v>
      </c>
      <c r="C416" s="1" t="s">
        <v>77</v>
      </c>
      <c r="E416">
        <v>42</v>
      </c>
      <c r="F416">
        <v>0</v>
      </c>
      <c r="L416" s="1" t="s">
        <v>79</v>
      </c>
      <c r="N416" s="1" t="s">
        <v>37</v>
      </c>
      <c r="P416" s="1" t="s">
        <v>37</v>
      </c>
      <c r="R416" s="1" t="s">
        <v>37</v>
      </c>
      <c r="S416">
        <v>46.926755</v>
      </c>
      <c r="T416">
        <v>8.4053020000000007</v>
      </c>
      <c r="U416" s="1" t="s">
        <v>78</v>
      </c>
      <c r="V416">
        <v>7</v>
      </c>
      <c r="W416">
        <v>3</v>
      </c>
      <c r="X416">
        <v>0</v>
      </c>
      <c r="Y416">
        <v>97.67</v>
      </c>
    </row>
    <row r="417" spans="1:26">
      <c r="A417" s="2">
        <v>43914</v>
      </c>
      <c r="B417" s="4">
        <v>0.125</v>
      </c>
      <c r="C417" s="1" t="s">
        <v>80</v>
      </c>
      <c r="D417">
        <v>6</v>
      </c>
      <c r="E417">
        <v>25</v>
      </c>
      <c r="F417">
        <v>0</v>
      </c>
      <c r="L417" s="1" t="s">
        <v>82</v>
      </c>
      <c r="N417" s="1" t="s">
        <v>37</v>
      </c>
      <c r="P417" s="1" t="s">
        <v>37</v>
      </c>
      <c r="R417" s="1" t="s">
        <v>37</v>
      </c>
      <c r="S417">
        <v>46.804527</v>
      </c>
      <c r="T417">
        <v>8.1443170000000009</v>
      </c>
      <c r="U417" s="1" t="s">
        <v>81</v>
      </c>
      <c r="V417">
        <v>6</v>
      </c>
      <c r="W417">
        <v>0</v>
      </c>
      <c r="X417">
        <v>0</v>
      </c>
      <c r="Y417">
        <v>66.489999999999995</v>
      </c>
    </row>
    <row r="418" spans="1:26">
      <c r="A418" s="2">
        <v>43914</v>
      </c>
      <c r="B418" s="4">
        <v>0.125</v>
      </c>
      <c r="C418" s="1" t="s">
        <v>86</v>
      </c>
      <c r="E418">
        <v>34</v>
      </c>
      <c r="F418">
        <v>0</v>
      </c>
      <c r="K418">
        <v>0</v>
      </c>
      <c r="L418" s="1" t="s">
        <v>88</v>
      </c>
      <c r="N418" s="1" t="s">
        <v>37</v>
      </c>
      <c r="P418" s="1" t="s">
        <v>37</v>
      </c>
      <c r="R418" s="1" t="s">
        <v>37</v>
      </c>
      <c r="S418">
        <v>47.713569999999997</v>
      </c>
      <c r="T418">
        <v>8.5916700000000006</v>
      </c>
      <c r="U418" s="1" t="s">
        <v>87</v>
      </c>
      <c r="V418">
        <v>14</v>
      </c>
      <c r="W418">
        <v>2</v>
      </c>
      <c r="X418">
        <v>0</v>
      </c>
      <c r="Y418">
        <v>41.77</v>
      </c>
      <c r="Z418">
        <v>0</v>
      </c>
    </row>
    <row r="419" spans="1:26">
      <c r="A419" s="2">
        <v>43914</v>
      </c>
      <c r="B419" s="4">
        <v>0.125</v>
      </c>
      <c r="C419" s="1" t="s">
        <v>89</v>
      </c>
      <c r="E419">
        <v>104</v>
      </c>
      <c r="F419">
        <v>0</v>
      </c>
      <c r="K419">
        <v>1</v>
      </c>
      <c r="L419" s="1" t="s">
        <v>91</v>
      </c>
      <c r="N419" s="1" t="s">
        <v>37</v>
      </c>
      <c r="P419" s="1" t="s">
        <v>37</v>
      </c>
      <c r="R419" s="1" t="s">
        <v>37</v>
      </c>
      <c r="S419">
        <v>47.304135000000002</v>
      </c>
      <c r="T419">
        <v>7.6393880000000003</v>
      </c>
      <c r="U419" s="1" t="s">
        <v>90</v>
      </c>
      <c r="V419">
        <v>11</v>
      </c>
      <c r="W419">
        <v>9</v>
      </c>
      <c r="X419">
        <v>0</v>
      </c>
      <c r="Y419">
        <v>38.32</v>
      </c>
      <c r="Z419">
        <v>0.36799999999999999</v>
      </c>
    </row>
    <row r="420" spans="1:26">
      <c r="A420" s="2">
        <v>43914</v>
      </c>
      <c r="B420" s="4">
        <v>0.125</v>
      </c>
      <c r="C420" s="1" t="s">
        <v>95</v>
      </c>
      <c r="D420">
        <v>276</v>
      </c>
      <c r="E420">
        <v>87</v>
      </c>
      <c r="F420">
        <v>0</v>
      </c>
      <c r="K420">
        <v>1</v>
      </c>
      <c r="L420" s="1" t="s">
        <v>261</v>
      </c>
      <c r="N420" s="1" t="s">
        <v>37</v>
      </c>
      <c r="P420" s="1" t="s">
        <v>37</v>
      </c>
      <c r="R420" s="1" t="s">
        <v>37</v>
      </c>
      <c r="S420">
        <v>47.568714999999997</v>
      </c>
      <c r="T420">
        <v>9.0919570000000007</v>
      </c>
      <c r="U420" s="1" t="s">
        <v>96</v>
      </c>
      <c r="V420">
        <v>1</v>
      </c>
      <c r="W420">
        <v>6</v>
      </c>
      <c r="X420">
        <v>0</v>
      </c>
      <c r="Y420">
        <v>31.78</v>
      </c>
      <c r="Z420">
        <v>0.36499999999999999</v>
      </c>
    </row>
    <row r="421" spans="1:26">
      <c r="A421" s="2">
        <v>43914</v>
      </c>
      <c r="B421" s="4">
        <v>0.33333333333333331</v>
      </c>
      <c r="C421" s="1" t="s">
        <v>98</v>
      </c>
      <c r="E421">
        <v>1211</v>
      </c>
      <c r="F421">
        <v>24</v>
      </c>
      <c r="G421">
        <v>285</v>
      </c>
      <c r="H421">
        <v>50</v>
      </c>
      <c r="I421">
        <v>48</v>
      </c>
      <c r="K421">
        <v>53</v>
      </c>
      <c r="L421" s="1" t="s">
        <v>262</v>
      </c>
      <c r="N421" s="1" t="s">
        <v>37</v>
      </c>
      <c r="P421" s="1" t="s">
        <v>263</v>
      </c>
      <c r="R421" s="1" t="s">
        <v>37</v>
      </c>
      <c r="S421">
        <v>46.295617</v>
      </c>
      <c r="T421">
        <v>8.8089239999999993</v>
      </c>
      <c r="U421" s="1" t="s">
        <v>99</v>
      </c>
      <c r="V421">
        <v>21</v>
      </c>
      <c r="W421">
        <v>46</v>
      </c>
      <c r="X421">
        <v>5</v>
      </c>
      <c r="Y421">
        <v>342.38</v>
      </c>
      <c r="Z421">
        <v>14.984</v>
      </c>
    </row>
    <row r="422" spans="1:26">
      <c r="A422" s="2">
        <v>43914</v>
      </c>
      <c r="B422" s="4">
        <v>0.5</v>
      </c>
      <c r="C422" s="1" t="s">
        <v>101</v>
      </c>
      <c r="D422">
        <v>85</v>
      </c>
      <c r="E422">
        <v>25</v>
      </c>
      <c r="F422">
        <v>0</v>
      </c>
      <c r="G422">
        <v>1</v>
      </c>
      <c r="J422">
        <v>1</v>
      </c>
      <c r="L422" s="1" t="s">
        <v>238</v>
      </c>
      <c r="N422" s="1" t="s">
        <v>37</v>
      </c>
      <c r="P422" s="1" t="s">
        <v>37</v>
      </c>
      <c r="R422" s="1" t="s">
        <v>37</v>
      </c>
      <c r="S422">
        <v>46.771849000000003</v>
      </c>
      <c r="T422">
        <v>8.6285860000000003</v>
      </c>
      <c r="U422" s="1" t="s">
        <v>102</v>
      </c>
      <c r="V422">
        <v>4</v>
      </c>
      <c r="W422">
        <v>3</v>
      </c>
      <c r="X422">
        <v>0</v>
      </c>
      <c r="Y422">
        <v>68.87</v>
      </c>
    </row>
    <row r="423" spans="1:26">
      <c r="A423" s="2">
        <v>43914</v>
      </c>
      <c r="B423" s="4">
        <v>0.125</v>
      </c>
      <c r="C423" s="1" t="s">
        <v>104</v>
      </c>
      <c r="E423">
        <v>2112</v>
      </c>
      <c r="F423">
        <v>36</v>
      </c>
      <c r="G423">
        <v>285</v>
      </c>
      <c r="H423">
        <v>41</v>
      </c>
      <c r="J423">
        <v>100</v>
      </c>
      <c r="K423">
        <v>32</v>
      </c>
      <c r="L423" s="1" t="s">
        <v>106</v>
      </c>
      <c r="N423" s="1" t="s">
        <v>37</v>
      </c>
      <c r="P423" s="1" t="s">
        <v>37</v>
      </c>
      <c r="R423" s="1" t="s">
        <v>37</v>
      </c>
      <c r="S423">
        <v>46.570090999999998</v>
      </c>
      <c r="T423">
        <v>6.5578090000000007</v>
      </c>
      <c r="U423" s="1" t="s">
        <v>105</v>
      </c>
      <c r="V423">
        <v>22</v>
      </c>
      <c r="W423">
        <v>267</v>
      </c>
      <c r="X423">
        <v>4</v>
      </c>
      <c r="Y423">
        <v>266.3</v>
      </c>
      <c r="Z423">
        <v>4.0350000000000001</v>
      </c>
    </row>
    <row r="424" spans="1:26">
      <c r="A424" s="2">
        <v>43914</v>
      </c>
      <c r="B424" s="4">
        <v>0.66666666666666663</v>
      </c>
      <c r="C424" s="1" t="s">
        <v>107</v>
      </c>
      <c r="E424">
        <v>728</v>
      </c>
      <c r="F424">
        <v>13</v>
      </c>
      <c r="G424">
        <v>117</v>
      </c>
      <c r="H424">
        <v>13</v>
      </c>
      <c r="I424">
        <v>12</v>
      </c>
      <c r="J424">
        <v>3</v>
      </c>
      <c r="K424">
        <v>14</v>
      </c>
      <c r="L424" s="1" t="s">
        <v>412</v>
      </c>
      <c r="N424" s="1" t="s">
        <v>37</v>
      </c>
      <c r="P424" s="1" t="s">
        <v>37</v>
      </c>
      <c r="R424" s="1" t="s">
        <v>37</v>
      </c>
      <c r="S424">
        <v>46.209567</v>
      </c>
      <c r="T424">
        <v>7.6046589999999998</v>
      </c>
      <c r="U424" s="1" t="s">
        <v>108</v>
      </c>
      <c r="V424">
        <v>23</v>
      </c>
      <c r="W424">
        <v>100</v>
      </c>
      <c r="X424">
        <v>1</v>
      </c>
      <c r="Y424">
        <v>213.18</v>
      </c>
      <c r="Z424">
        <v>4.0999999999999996</v>
      </c>
    </row>
    <row r="425" spans="1:26">
      <c r="A425" s="2">
        <v>43914</v>
      </c>
      <c r="B425" s="4">
        <v>0.33333333333333331</v>
      </c>
      <c r="C425" s="1" t="s">
        <v>109</v>
      </c>
      <c r="E425">
        <v>80</v>
      </c>
      <c r="F425">
        <v>3</v>
      </c>
      <c r="G425">
        <v>9</v>
      </c>
      <c r="H425">
        <v>1</v>
      </c>
      <c r="J425">
        <v>12</v>
      </c>
      <c r="K425">
        <v>0</v>
      </c>
      <c r="L425" s="1" t="s">
        <v>502</v>
      </c>
      <c r="N425" s="1" t="s">
        <v>37</v>
      </c>
      <c r="P425" s="1" t="s">
        <v>37</v>
      </c>
      <c r="R425" s="1" t="s">
        <v>37</v>
      </c>
      <c r="S425">
        <v>47.157296000000002</v>
      </c>
      <c r="T425">
        <v>8.5372939999999993</v>
      </c>
      <c r="U425" s="1" t="s">
        <v>110</v>
      </c>
      <c r="V425">
        <v>9</v>
      </c>
      <c r="W425">
        <v>8</v>
      </c>
      <c r="X425">
        <v>0</v>
      </c>
      <c r="Y425">
        <v>63.8</v>
      </c>
      <c r="Z425">
        <v>0</v>
      </c>
    </row>
    <row r="426" spans="1:26">
      <c r="A426" s="2">
        <v>43914</v>
      </c>
      <c r="B426" s="4">
        <v>0.60416666666666663</v>
      </c>
      <c r="C426" s="1" t="s">
        <v>111</v>
      </c>
      <c r="E426">
        <v>1224</v>
      </c>
      <c r="F426">
        <v>11</v>
      </c>
      <c r="G426">
        <v>138</v>
      </c>
      <c r="I426">
        <v>26</v>
      </c>
      <c r="K426">
        <v>8</v>
      </c>
      <c r="L426" s="1" t="s">
        <v>113</v>
      </c>
      <c r="N426" s="1" t="s">
        <v>37</v>
      </c>
      <c r="P426" s="1" t="s">
        <v>37</v>
      </c>
      <c r="R426" s="1" t="s">
        <v>37</v>
      </c>
      <c r="S426">
        <v>47.412750000000003</v>
      </c>
      <c r="T426">
        <v>8.6550799999999999</v>
      </c>
      <c r="U426" s="1" t="s">
        <v>112</v>
      </c>
      <c r="V426">
        <v>1</v>
      </c>
      <c r="W426">
        <v>148</v>
      </c>
      <c r="X426">
        <v>2</v>
      </c>
      <c r="Y426">
        <v>81.37</v>
      </c>
      <c r="Z426">
        <v>0.53200000000000003</v>
      </c>
    </row>
    <row r="427" spans="1:26">
      <c r="A427" s="2">
        <v>43915</v>
      </c>
      <c r="B427" s="4">
        <v>0.625</v>
      </c>
      <c r="C427" s="1" t="s">
        <v>35</v>
      </c>
      <c r="E427">
        <v>319</v>
      </c>
      <c r="F427">
        <v>-8</v>
      </c>
      <c r="G427">
        <v>16</v>
      </c>
      <c r="H427">
        <v>5</v>
      </c>
      <c r="I427">
        <v>5</v>
      </c>
      <c r="J427">
        <v>4</v>
      </c>
      <c r="K427">
        <v>2</v>
      </c>
      <c r="L427" s="1" t="s">
        <v>264</v>
      </c>
      <c r="N427" s="1" t="s">
        <v>37</v>
      </c>
      <c r="P427" s="1" t="s">
        <v>37</v>
      </c>
      <c r="R427" s="1" t="s">
        <v>37</v>
      </c>
      <c r="S427">
        <v>47.409660000000002</v>
      </c>
      <c r="T427">
        <v>8.1568799999999992</v>
      </c>
      <c r="U427" s="1" t="s">
        <v>36</v>
      </c>
      <c r="V427">
        <v>1</v>
      </c>
      <c r="W427">
        <v>53</v>
      </c>
      <c r="X427">
        <v>0</v>
      </c>
      <c r="Y427">
        <v>47.54</v>
      </c>
      <c r="Z427">
        <v>0.29799999999999999</v>
      </c>
    </row>
    <row r="428" spans="1:26">
      <c r="A428" s="2">
        <v>43915</v>
      </c>
      <c r="B428" s="4">
        <v>0.70833333333333337</v>
      </c>
      <c r="C428" s="1" t="s">
        <v>39</v>
      </c>
      <c r="E428">
        <v>9</v>
      </c>
      <c r="F428">
        <v>0</v>
      </c>
      <c r="G428">
        <v>1</v>
      </c>
      <c r="L428" s="1" t="s">
        <v>41</v>
      </c>
      <c r="N428" s="1" t="s">
        <v>37</v>
      </c>
      <c r="P428" s="1" t="s">
        <v>37</v>
      </c>
      <c r="R428" s="1" t="s">
        <v>37</v>
      </c>
      <c r="S428">
        <v>47.317264000000002</v>
      </c>
      <c r="T428">
        <v>9.4167539999999992</v>
      </c>
      <c r="U428" s="1" t="s">
        <v>40</v>
      </c>
      <c r="V428">
        <v>16</v>
      </c>
      <c r="W428">
        <v>1</v>
      </c>
      <c r="X428">
        <v>0</v>
      </c>
      <c r="Y428">
        <v>55.9</v>
      </c>
    </row>
    <row r="429" spans="1:26">
      <c r="A429" s="2">
        <v>43915</v>
      </c>
      <c r="B429" s="4">
        <v>0.33333333333333331</v>
      </c>
      <c r="C429" s="1" t="s">
        <v>42</v>
      </c>
      <c r="E429">
        <v>34</v>
      </c>
      <c r="F429">
        <v>0</v>
      </c>
      <c r="G429">
        <v>6</v>
      </c>
      <c r="K429">
        <v>2</v>
      </c>
      <c r="L429" s="1" t="s">
        <v>44</v>
      </c>
      <c r="N429" s="1" t="s">
        <v>37</v>
      </c>
      <c r="P429" s="1" t="s">
        <v>37</v>
      </c>
      <c r="R429" s="1" t="s">
        <v>37</v>
      </c>
      <c r="S429">
        <v>47.416351999999996</v>
      </c>
      <c r="T429">
        <v>9.3679100000000002</v>
      </c>
      <c r="U429" s="1" t="s">
        <v>43</v>
      </c>
      <c r="V429">
        <v>15</v>
      </c>
      <c r="W429">
        <v>1</v>
      </c>
      <c r="X429">
        <v>0</v>
      </c>
      <c r="Y429">
        <v>61.59</v>
      </c>
      <c r="Z429">
        <v>3.6230000000000002</v>
      </c>
    </row>
    <row r="430" spans="1:26">
      <c r="A430" s="2">
        <v>43915</v>
      </c>
      <c r="B430" s="4">
        <v>0.125</v>
      </c>
      <c r="C430" s="1" t="s">
        <v>45</v>
      </c>
      <c r="E430">
        <v>624</v>
      </c>
      <c r="F430">
        <v>0</v>
      </c>
      <c r="K430">
        <v>6</v>
      </c>
      <c r="L430" s="1" t="s">
        <v>47</v>
      </c>
      <c r="N430" s="1" t="s">
        <v>37</v>
      </c>
      <c r="P430" s="1" t="s">
        <v>37</v>
      </c>
      <c r="R430" s="1" t="s">
        <v>37</v>
      </c>
      <c r="S430">
        <v>46.823608</v>
      </c>
      <c r="T430">
        <v>7.6366670000000001</v>
      </c>
      <c r="U430" s="1" t="s">
        <v>46</v>
      </c>
      <c r="V430">
        <v>2</v>
      </c>
      <c r="W430">
        <v>92</v>
      </c>
      <c r="X430">
        <v>0</v>
      </c>
      <c r="Y430">
        <v>60.52</v>
      </c>
      <c r="Z430">
        <v>0.58199999999999996</v>
      </c>
    </row>
    <row r="431" spans="1:26">
      <c r="A431" s="2">
        <v>43915</v>
      </c>
      <c r="B431" s="4">
        <v>0.125</v>
      </c>
      <c r="C431" s="1" t="s">
        <v>48</v>
      </c>
      <c r="E431">
        <v>341</v>
      </c>
      <c r="F431">
        <v>2</v>
      </c>
      <c r="G431">
        <v>68</v>
      </c>
      <c r="H431">
        <v>8</v>
      </c>
      <c r="J431">
        <v>46</v>
      </c>
      <c r="K431">
        <v>5</v>
      </c>
      <c r="L431" s="1" t="s">
        <v>50</v>
      </c>
      <c r="N431" s="1" t="s">
        <v>37</v>
      </c>
      <c r="P431" s="1" t="s">
        <v>37</v>
      </c>
      <c r="R431" s="1" t="s">
        <v>37</v>
      </c>
      <c r="S431">
        <v>47.45176</v>
      </c>
      <c r="T431">
        <v>7.7024140000000001</v>
      </c>
      <c r="U431" s="1" t="s">
        <v>49</v>
      </c>
      <c r="V431">
        <v>13</v>
      </c>
      <c r="W431">
        <v>35</v>
      </c>
      <c r="X431">
        <v>1</v>
      </c>
      <c r="Y431">
        <v>118.82</v>
      </c>
      <c r="Z431">
        <v>1.742</v>
      </c>
    </row>
    <row r="432" spans="1:26">
      <c r="A432" s="2">
        <v>43915</v>
      </c>
      <c r="B432" s="4">
        <v>0.41666666666666669</v>
      </c>
      <c r="C432" s="1" t="s">
        <v>51</v>
      </c>
      <c r="D432">
        <v>235</v>
      </c>
      <c r="E432">
        <v>466</v>
      </c>
      <c r="F432">
        <v>0</v>
      </c>
      <c r="G432">
        <v>58</v>
      </c>
      <c r="H432">
        <v>2</v>
      </c>
      <c r="J432">
        <v>128</v>
      </c>
      <c r="K432">
        <v>8</v>
      </c>
      <c r="L432" s="1" t="s">
        <v>265</v>
      </c>
      <c r="M432">
        <v>307</v>
      </c>
      <c r="N432" s="1" t="s">
        <v>37</v>
      </c>
      <c r="P432" s="1" t="s">
        <v>37</v>
      </c>
      <c r="R432" s="1" t="s">
        <v>37</v>
      </c>
      <c r="S432">
        <v>47.564869000000002</v>
      </c>
      <c r="T432">
        <v>7.615259</v>
      </c>
      <c r="U432" s="1" t="s">
        <v>52</v>
      </c>
      <c r="V432">
        <v>12</v>
      </c>
      <c r="W432">
        <v>52</v>
      </c>
      <c r="X432">
        <v>3</v>
      </c>
      <c r="Y432">
        <v>240.33</v>
      </c>
      <c r="Z432">
        <v>4.1260000000000003</v>
      </c>
    </row>
    <row r="433" spans="1:26">
      <c r="A433" s="2">
        <v>43915</v>
      </c>
      <c r="B433" s="4">
        <v>0.125</v>
      </c>
      <c r="C433" s="1" t="s">
        <v>54</v>
      </c>
      <c r="D433">
        <v>99</v>
      </c>
      <c r="E433">
        <v>53</v>
      </c>
      <c r="F433">
        <v>0</v>
      </c>
      <c r="J433">
        <v>1</v>
      </c>
      <c r="L433" s="1" t="s">
        <v>266</v>
      </c>
      <c r="N433" s="1" t="s">
        <v>37</v>
      </c>
      <c r="P433" s="1" t="s">
        <v>37</v>
      </c>
      <c r="R433" s="1" t="s">
        <v>37</v>
      </c>
      <c r="S433">
        <v>47.166666999999997</v>
      </c>
      <c r="T433">
        <v>9.509722</v>
      </c>
      <c r="U433" s="1" t="s">
        <v>55</v>
      </c>
      <c r="V433">
        <v>0</v>
      </c>
      <c r="W433">
        <v>2</v>
      </c>
      <c r="X433">
        <v>0</v>
      </c>
      <c r="Y433">
        <v>137.31</v>
      </c>
    </row>
    <row r="434" spans="1:26">
      <c r="A434" s="2">
        <v>43915</v>
      </c>
      <c r="B434" s="4">
        <v>0.125</v>
      </c>
      <c r="C434" s="1" t="s">
        <v>57</v>
      </c>
      <c r="D434">
        <v>30</v>
      </c>
      <c r="E434">
        <v>293</v>
      </c>
      <c r="F434">
        <v>4</v>
      </c>
      <c r="G434">
        <v>39</v>
      </c>
      <c r="H434">
        <v>7</v>
      </c>
      <c r="K434">
        <v>6</v>
      </c>
      <c r="L434" s="1" t="s">
        <v>59</v>
      </c>
      <c r="N434" s="1" t="s">
        <v>37</v>
      </c>
      <c r="P434" s="1" t="s">
        <v>37</v>
      </c>
      <c r="R434" s="1" t="s">
        <v>37</v>
      </c>
      <c r="S434">
        <v>46.718390999999997</v>
      </c>
      <c r="T434">
        <v>7.0740080000000001</v>
      </c>
      <c r="U434" s="1" t="s">
        <v>58</v>
      </c>
      <c r="V434">
        <v>10</v>
      </c>
      <c r="W434">
        <v>38</v>
      </c>
      <c r="X434">
        <v>1</v>
      </c>
      <c r="Y434">
        <v>92.99</v>
      </c>
      <c r="Z434">
        <v>1.9039999999999999</v>
      </c>
    </row>
    <row r="435" spans="1:26">
      <c r="A435" s="2">
        <v>43915</v>
      </c>
      <c r="B435" s="4">
        <v>0.125</v>
      </c>
      <c r="C435" s="1" t="s">
        <v>60</v>
      </c>
      <c r="D435">
        <v>8445</v>
      </c>
      <c r="E435">
        <v>1796</v>
      </c>
      <c r="F435">
        <v>20</v>
      </c>
      <c r="G435">
        <v>258</v>
      </c>
      <c r="H435">
        <v>50</v>
      </c>
      <c r="I435">
        <v>48</v>
      </c>
      <c r="J435">
        <v>122</v>
      </c>
      <c r="K435">
        <v>22</v>
      </c>
      <c r="L435" s="1" t="s">
        <v>62</v>
      </c>
      <c r="N435" s="1" t="s">
        <v>37</v>
      </c>
      <c r="P435" s="1" t="s">
        <v>37</v>
      </c>
      <c r="Q435">
        <v>18</v>
      </c>
      <c r="R435" s="1" t="s">
        <v>37</v>
      </c>
      <c r="S435">
        <v>46.220528000000002</v>
      </c>
      <c r="T435">
        <v>6.1329349999999998</v>
      </c>
      <c r="U435" s="1" t="s">
        <v>61</v>
      </c>
      <c r="V435">
        <v>25</v>
      </c>
      <c r="W435">
        <v>123</v>
      </c>
      <c r="X435">
        <v>7</v>
      </c>
      <c r="Y435">
        <v>362.68</v>
      </c>
      <c r="Z435">
        <v>4.4429999999999996</v>
      </c>
    </row>
    <row r="436" spans="1:26">
      <c r="A436" s="2">
        <v>43915</v>
      </c>
      <c r="B436" s="4">
        <v>0.5625</v>
      </c>
      <c r="C436" s="1" t="s">
        <v>63</v>
      </c>
      <c r="E436">
        <v>40</v>
      </c>
      <c r="F436">
        <v>-1</v>
      </c>
      <c r="G436">
        <v>2</v>
      </c>
      <c r="L436" s="1" t="s">
        <v>65</v>
      </c>
      <c r="N436" s="1" t="s">
        <v>37</v>
      </c>
      <c r="P436" s="1" t="s">
        <v>37</v>
      </c>
      <c r="R436" s="1" t="s">
        <v>37</v>
      </c>
      <c r="S436">
        <v>46.931042000000005</v>
      </c>
      <c r="T436">
        <v>9.0657510000000006</v>
      </c>
      <c r="U436" s="1" t="s">
        <v>64</v>
      </c>
      <c r="V436">
        <v>8</v>
      </c>
      <c r="W436">
        <v>7</v>
      </c>
      <c r="X436">
        <v>0</v>
      </c>
      <c r="Y436">
        <v>99.26</v>
      </c>
    </row>
    <row r="437" spans="1:26">
      <c r="A437" s="2">
        <v>43915</v>
      </c>
      <c r="B437" s="4">
        <v>0.125</v>
      </c>
      <c r="C437" s="1" t="s">
        <v>66</v>
      </c>
      <c r="E437">
        <v>322</v>
      </c>
      <c r="F437">
        <v>14</v>
      </c>
      <c r="G437">
        <v>43</v>
      </c>
      <c r="K437">
        <v>6</v>
      </c>
      <c r="L437" s="1" t="s">
        <v>68</v>
      </c>
      <c r="N437" s="1" t="s">
        <v>37</v>
      </c>
      <c r="P437" s="1" t="s">
        <v>37</v>
      </c>
      <c r="R437" s="1" t="s">
        <v>37</v>
      </c>
      <c r="S437">
        <v>46.656247999999998</v>
      </c>
      <c r="T437">
        <v>9.6281979999999994</v>
      </c>
      <c r="U437" s="1" t="s">
        <v>67</v>
      </c>
      <c r="V437">
        <v>1</v>
      </c>
      <c r="W437">
        <v>46</v>
      </c>
      <c r="X437">
        <v>0</v>
      </c>
      <c r="Y437">
        <v>162.71</v>
      </c>
      <c r="Z437">
        <v>3.032</v>
      </c>
    </row>
    <row r="438" spans="1:26">
      <c r="A438" s="2">
        <v>43915</v>
      </c>
      <c r="B438" s="4">
        <v>0.75</v>
      </c>
      <c r="C438" s="1" t="s">
        <v>69</v>
      </c>
      <c r="E438">
        <v>92</v>
      </c>
      <c r="F438">
        <v>1</v>
      </c>
      <c r="G438">
        <v>23</v>
      </c>
      <c r="H438">
        <v>4</v>
      </c>
      <c r="L438" s="1" t="s">
        <v>280</v>
      </c>
      <c r="N438" s="1" t="s">
        <v>37</v>
      </c>
      <c r="P438" s="1" t="s">
        <v>37</v>
      </c>
      <c r="R438" s="1" t="s">
        <v>37</v>
      </c>
      <c r="S438">
        <v>47.350743999999999</v>
      </c>
      <c r="T438">
        <v>7.1561070000000004</v>
      </c>
      <c r="U438" s="1" t="s">
        <v>70</v>
      </c>
      <c r="V438">
        <v>26</v>
      </c>
      <c r="W438">
        <v>10</v>
      </c>
      <c r="X438">
        <v>0</v>
      </c>
      <c r="Y438">
        <v>125.51</v>
      </c>
    </row>
    <row r="439" spans="1:26">
      <c r="A439" s="2">
        <v>43915</v>
      </c>
      <c r="B439" s="4">
        <v>0.45833333333333331</v>
      </c>
      <c r="C439" s="1" t="s">
        <v>71</v>
      </c>
      <c r="E439">
        <v>228</v>
      </c>
      <c r="F439">
        <v>0</v>
      </c>
      <c r="K439">
        <v>2</v>
      </c>
      <c r="L439" s="1" t="s">
        <v>73</v>
      </c>
      <c r="N439" s="1" t="s">
        <v>37</v>
      </c>
      <c r="P439" s="1" t="s">
        <v>37</v>
      </c>
      <c r="R439" s="1" t="s">
        <v>37</v>
      </c>
      <c r="S439">
        <v>47.067762999999999</v>
      </c>
      <c r="T439">
        <v>8.1102000000000007</v>
      </c>
      <c r="U439" s="1" t="s">
        <v>72</v>
      </c>
      <c r="V439">
        <v>3</v>
      </c>
      <c r="W439">
        <v>23</v>
      </c>
      <c r="X439">
        <v>0</v>
      </c>
      <c r="Y439">
        <v>56.09</v>
      </c>
      <c r="Z439">
        <v>0.49199999999999999</v>
      </c>
    </row>
    <row r="440" spans="1:26">
      <c r="A440" s="2">
        <v>43915</v>
      </c>
      <c r="B440" s="4">
        <v>0.58333333333333337</v>
      </c>
      <c r="C440" s="1" t="s">
        <v>74</v>
      </c>
      <c r="E440">
        <v>280</v>
      </c>
      <c r="F440">
        <v>9</v>
      </c>
      <c r="G440">
        <v>41</v>
      </c>
      <c r="H440">
        <v>10</v>
      </c>
      <c r="I440">
        <v>7</v>
      </c>
      <c r="K440">
        <v>9</v>
      </c>
      <c r="L440" s="1" t="s">
        <v>76</v>
      </c>
      <c r="N440" s="1" t="s">
        <v>37</v>
      </c>
      <c r="P440" s="1" t="s">
        <v>37</v>
      </c>
      <c r="R440" s="1" t="s">
        <v>37</v>
      </c>
      <c r="S440">
        <v>46.995533999999999</v>
      </c>
      <c r="T440">
        <v>6.7801260000000001</v>
      </c>
      <c r="U440" s="1" t="s">
        <v>75</v>
      </c>
      <c r="V440">
        <v>24</v>
      </c>
      <c r="W440">
        <v>15</v>
      </c>
      <c r="X440">
        <v>3</v>
      </c>
      <c r="Y440">
        <v>157.30000000000001</v>
      </c>
      <c r="Z440">
        <v>5.056</v>
      </c>
    </row>
    <row r="441" spans="1:26">
      <c r="A441" s="2">
        <v>43915</v>
      </c>
      <c r="B441" s="4">
        <v>0.64583333333333337</v>
      </c>
      <c r="C441" s="1" t="s">
        <v>77</v>
      </c>
      <c r="E441">
        <v>44</v>
      </c>
      <c r="F441">
        <v>0</v>
      </c>
      <c r="L441" s="1" t="s">
        <v>79</v>
      </c>
      <c r="N441" s="1" t="s">
        <v>37</v>
      </c>
      <c r="P441" s="1" t="s">
        <v>37</v>
      </c>
      <c r="R441" s="1" t="s">
        <v>37</v>
      </c>
      <c r="S441">
        <v>46.926755</v>
      </c>
      <c r="T441">
        <v>8.4053020000000007</v>
      </c>
      <c r="U441" s="1" t="s">
        <v>78</v>
      </c>
      <c r="V441">
        <v>7</v>
      </c>
      <c r="W441">
        <v>2</v>
      </c>
      <c r="X441">
        <v>0</v>
      </c>
      <c r="Y441">
        <v>102.33</v>
      </c>
    </row>
    <row r="442" spans="1:26">
      <c r="A442" s="2">
        <v>43915</v>
      </c>
      <c r="B442" s="4">
        <v>0.125</v>
      </c>
      <c r="C442" s="1" t="s">
        <v>80</v>
      </c>
      <c r="D442">
        <v>6</v>
      </c>
      <c r="E442">
        <v>27</v>
      </c>
      <c r="F442">
        <v>0</v>
      </c>
      <c r="L442" s="1" t="s">
        <v>82</v>
      </c>
      <c r="N442" s="1" t="s">
        <v>37</v>
      </c>
      <c r="P442" s="1" t="s">
        <v>37</v>
      </c>
      <c r="R442" s="1" t="s">
        <v>37</v>
      </c>
      <c r="S442">
        <v>46.804527</v>
      </c>
      <c r="T442">
        <v>8.1443170000000009</v>
      </c>
      <c r="U442" s="1" t="s">
        <v>81</v>
      </c>
      <c r="V442">
        <v>6</v>
      </c>
      <c r="W442">
        <v>2</v>
      </c>
      <c r="X442">
        <v>0</v>
      </c>
      <c r="Y442">
        <v>71.81</v>
      </c>
    </row>
    <row r="443" spans="1:26">
      <c r="A443" s="2">
        <v>43915</v>
      </c>
      <c r="B443" s="4">
        <v>0.125</v>
      </c>
      <c r="C443" s="1" t="s">
        <v>83</v>
      </c>
      <c r="E443">
        <v>228</v>
      </c>
      <c r="F443">
        <v>0</v>
      </c>
      <c r="K443">
        <v>1</v>
      </c>
      <c r="L443" s="1" t="s">
        <v>85</v>
      </c>
      <c r="N443" s="1" t="s">
        <v>37</v>
      </c>
      <c r="P443" s="1" t="s">
        <v>37</v>
      </c>
      <c r="R443" s="1" t="s">
        <v>37</v>
      </c>
      <c r="S443">
        <v>47.183199999999999</v>
      </c>
      <c r="T443">
        <v>9.2747440000000001</v>
      </c>
      <c r="U443" s="1" t="s">
        <v>84</v>
      </c>
      <c r="V443">
        <v>17</v>
      </c>
      <c r="W443">
        <v>0</v>
      </c>
      <c r="X443">
        <v>0</v>
      </c>
      <c r="Y443">
        <v>45.18</v>
      </c>
      <c r="Z443">
        <v>0.19800000000000001</v>
      </c>
    </row>
    <row r="444" spans="1:26">
      <c r="A444" s="2">
        <v>43915</v>
      </c>
      <c r="B444" s="4">
        <v>0.125</v>
      </c>
      <c r="C444" s="1" t="s">
        <v>86</v>
      </c>
      <c r="E444">
        <v>35</v>
      </c>
      <c r="F444">
        <v>0</v>
      </c>
      <c r="G444">
        <v>10</v>
      </c>
      <c r="H444">
        <v>1</v>
      </c>
      <c r="K444">
        <v>0</v>
      </c>
      <c r="L444" s="1" t="s">
        <v>88</v>
      </c>
      <c r="N444" s="1" t="s">
        <v>37</v>
      </c>
      <c r="P444" s="1" t="s">
        <v>37</v>
      </c>
      <c r="R444" s="1" t="s">
        <v>37</v>
      </c>
      <c r="S444">
        <v>47.713569999999997</v>
      </c>
      <c r="T444">
        <v>8.5916700000000006</v>
      </c>
      <c r="U444" s="1" t="s">
        <v>87</v>
      </c>
      <c r="V444">
        <v>14</v>
      </c>
      <c r="W444">
        <v>1</v>
      </c>
      <c r="X444">
        <v>0</v>
      </c>
      <c r="Y444">
        <v>43</v>
      </c>
      <c r="Z444">
        <v>0</v>
      </c>
    </row>
    <row r="445" spans="1:26">
      <c r="A445" s="2">
        <v>43915</v>
      </c>
      <c r="B445" s="4">
        <v>0.125</v>
      </c>
      <c r="C445" s="1" t="s">
        <v>89</v>
      </c>
      <c r="E445">
        <v>129</v>
      </c>
      <c r="F445">
        <v>0</v>
      </c>
      <c r="K445">
        <v>1</v>
      </c>
      <c r="L445" s="1" t="s">
        <v>91</v>
      </c>
      <c r="N445" s="1" t="s">
        <v>37</v>
      </c>
      <c r="P445" s="1" t="s">
        <v>37</v>
      </c>
      <c r="R445" s="1" t="s">
        <v>37</v>
      </c>
      <c r="S445">
        <v>47.304135000000002</v>
      </c>
      <c r="T445">
        <v>7.6393880000000003</v>
      </c>
      <c r="U445" s="1" t="s">
        <v>90</v>
      </c>
      <c r="V445">
        <v>11</v>
      </c>
      <c r="W445">
        <v>25</v>
      </c>
      <c r="X445">
        <v>0</v>
      </c>
      <c r="Y445">
        <v>47.53</v>
      </c>
      <c r="Z445">
        <v>0.36799999999999999</v>
      </c>
    </row>
    <row r="446" spans="1:26">
      <c r="A446" s="2">
        <v>43915</v>
      </c>
      <c r="B446" s="4">
        <v>0.125</v>
      </c>
      <c r="C446" s="1" t="s">
        <v>92</v>
      </c>
      <c r="D446">
        <v>10</v>
      </c>
      <c r="E446">
        <v>99</v>
      </c>
      <c r="F446">
        <v>0</v>
      </c>
      <c r="G446">
        <v>1</v>
      </c>
      <c r="J446">
        <v>10</v>
      </c>
      <c r="L446" s="1" t="s">
        <v>267</v>
      </c>
      <c r="N446" s="1" t="s">
        <v>37</v>
      </c>
      <c r="P446" s="1" t="s">
        <v>37</v>
      </c>
      <c r="R446" s="1" t="s">
        <v>37</v>
      </c>
      <c r="S446">
        <v>47.061787000000002</v>
      </c>
      <c r="T446">
        <v>8.7565849999999994</v>
      </c>
      <c r="U446" s="1" t="s">
        <v>93</v>
      </c>
      <c r="V446">
        <v>5</v>
      </c>
      <c r="W446">
        <v>86</v>
      </c>
      <c r="X446">
        <v>0</v>
      </c>
      <c r="Y446">
        <v>62.94</v>
      </c>
    </row>
    <row r="447" spans="1:26">
      <c r="A447" s="2">
        <v>43915</v>
      </c>
      <c r="B447" s="4">
        <v>0.125</v>
      </c>
      <c r="C447" s="1" t="s">
        <v>95</v>
      </c>
      <c r="D447">
        <v>276</v>
      </c>
      <c r="E447">
        <v>96</v>
      </c>
      <c r="F447">
        <v>0</v>
      </c>
      <c r="K447">
        <v>1</v>
      </c>
      <c r="L447" s="1" t="s">
        <v>97</v>
      </c>
      <c r="N447" s="1" t="s">
        <v>37</v>
      </c>
      <c r="P447" s="1" t="s">
        <v>37</v>
      </c>
      <c r="R447" s="1" t="s">
        <v>37</v>
      </c>
      <c r="S447">
        <v>47.568714999999997</v>
      </c>
      <c r="T447">
        <v>9.0919570000000007</v>
      </c>
      <c r="U447" s="1" t="s">
        <v>96</v>
      </c>
      <c r="V447">
        <v>1</v>
      </c>
      <c r="W447">
        <v>9</v>
      </c>
      <c r="X447">
        <v>0</v>
      </c>
      <c r="Y447">
        <v>35.06</v>
      </c>
      <c r="Z447">
        <v>0.36499999999999999</v>
      </c>
    </row>
    <row r="448" spans="1:26">
      <c r="A448" s="2">
        <v>43915</v>
      </c>
      <c r="B448" s="4">
        <v>0.33333333333333331</v>
      </c>
      <c r="C448" s="1" t="s">
        <v>98</v>
      </c>
      <c r="E448">
        <v>1354</v>
      </c>
      <c r="F448">
        <v>21</v>
      </c>
      <c r="G448">
        <v>306</v>
      </c>
      <c r="H448">
        <v>57</v>
      </c>
      <c r="I448">
        <v>55</v>
      </c>
      <c r="K448">
        <v>60</v>
      </c>
      <c r="L448" s="1" t="s">
        <v>268</v>
      </c>
      <c r="N448" s="1" t="s">
        <v>37</v>
      </c>
      <c r="P448" s="1" t="s">
        <v>269</v>
      </c>
      <c r="R448" s="1" t="s">
        <v>37</v>
      </c>
      <c r="S448">
        <v>46.295617</v>
      </c>
      <c r="T448">
        <v>8.8089239999999993</v>
      </c>
      <c r="U448" s="1" t="s">
        <v>99</v>
      </c>
      <c r="V448">
        <v>21</v>
      </c>
      <c r="W448">
        <v>143</v>
      </c>
      <c r="X448">
        <v>7</v>
      </c>
      <c r="Y448">
        <v>382.81</v>
      </c>
      <c r="Z448">
        <v>16.963999999999999</v>
      </c>
    </row>
    <row r="449" spans="1:26">
      <c r="A449" s="2">
        <v>43915</v>
      </c>
      <c r="B449" s="4">
        <v>0.125</v>
      </c>
      <c r="C449" s="1" t="s">
        <v>104</v>
      </c>
      <c r="E449">
        <v>2302</v>
      </c>
      <c r="F449">
        <v>28</v>
      </c>
      <c r="G449">
        <v>313</v>
      </c>
      <c r="H449">
        <v>52</v>
      </c>
      <c r="J449">
        <v>117</v>
      </c>
      <c r="K449">
        <v>40</v>
      </c>
      <c r="L449" s="1" t="s">
        <v>106</v>
      </c>
      <c r="N449" s="1" t="s">
        <v>37</v>
      </c>
      <c r="P449" s="1" t="s">
        <v>37</v>
      </c>
      <c r="R449" s="1" t="s">
        <v>37</v>
      </c>
      <c r="S449">
        <v>46.570090999999998</v>
      </c>
      <c r="T449">
        <v>6.5578090000000007</v>
      </c>
      <c r="U449" s="1" t="s">
        <v>105</v>
      </c>
      <c r="V449">
        <v>22</v>
      </c>
      <c r="W449">
        <v>190</v>
      </c>
      <c r="X449">
        <v>8</v>
      </c>
      <c r="Y449">
        <v>290.25</v>
      </c>
      <c r="Z449">
        <v>5.0439999999999996</v>
      </c>
    </row>
    <row r="450" spans="1:26">
      <c r="A450" s="2">
        <v>43915</v>
      </c>
      <c r="B450" s="4">
        <v>0.625</v>
      </c>
      <c r="C450" s="1" t="s">
        <v>107</v>
      </c>
      <c r="E450">
        <v>794</v>
      </c>
      <c r="F450">
        <v>1</v>
      </c>
      <c r="G450">
        <v>118</v>
      </c>
      <c r="H450">
        <v>15</v>
      </c>
      <c r="I450">
        <v>14</v>
      </c>
      <c r="J450">
        <v>3</v>
      </c>
      <c r="K450">
        <v>15</v>
      </c>
      <c r="L450" s="1" t="s">
        <v>412</v>
      </c>
      <c r="N450" s="1" t="s">
        <v>37</v>
      </c>
      <c r="P450" s="1" t="s">
        <v>37</v>
      </c>
      <c r="R450" s="1" t="s">
        <v>37</v>
      </c>
      <c r="S450">
        <v>46.209567</v>
      </c>
      <c r="T450">
        <v>7.6046589999999998</v>
      </c>
      <c r="U450" s="1" t="s">
        <v>108</v>
      </c>
      <c r="V450">
        <v>23</v>
      </c>
      <c r="W450">
        <v>66</v>
      </c>
      <c r="X450">
        <v>1</v>
      </c>
      <c r="Y450">
        <v>232.5</v>
      </c>
      <c r="Z450">
        <v>4.3920000000000003</v>
      </c>
    </row>
    <row r="451" spans="1:26">
      <c r="A451" s="2">
        <v>43915</v>
      </c>
      <c r="B451" s="4">
        <v>0.33333333333333331</v>
      </c>
      <c r="C451" s="1" t="s">
        <v>109</v>
      </c>
      <c r="E451">
        <v>87</v>
      </c>
      <c r="F451">
        <v>1</v>
      </c>
      <c r="G451">
        <v>10</v>
      </c>
      <c r="H451">
        <v>1</v>
      </c>
      <c r="J451">
        <v>12</v>
      </c>
      <c r="K451">
        <v>0</v>
      </c>
      <c r="L451" s="1" t="s">
        <v>502</v>
      </c>
      <c r="N451" s="1" t="s">
        <v>37</v>
      </c>
      <c r="P451" s="1" t="s">
        <v>37</v>
      </c>
      <c r="R451" s="1" t="s">
        <v>37</v>
      </c>
      <c r="S451">
        <v>47.157296000000002</v>
      </c>
      <c r="T451">
        <v>8.5372939999999993</v>
      </c>
      <c r="U451" s="1" t="s">
        <v>110</v>
      </c>
      <c r="V451">
        <v>9</v>
      </c>
      <c r="W451">
        <v>7</v>
      </c>
      <c r="X451">
        <v>0</v>
      </c>
      <c r="Y451">
        <v>69.38</v>
      </c>
      <c r="Z451">
        <v>0</v>
      </c>
    </row>
    <row r="452" spans="1:26">
      <c r="A452" s="2">
        <v>43915</v>
      </c>
      <c r="B452" s="4">
        <v>0.60416666666666663</v>
      </c>
      <c r="C452" s="1" t="s">
        <v>111</v>
      </c>
      <c r="E452">
        <v>1371</v>
      </c>
      <c r="F452">
        <v>8</v>
      </c>
      <c r="G452">
        <v>146</v>
      </c>
      <c r="I452">
        <v>28</v>
      </c>
      <c r="K452">
        <v>10</v>
      </c>
      <c r="L452" s="1" t="s">
        <v>113</v>
      </c>
      <c r="N452" s="1" t="s">
        <v>37</v>
      </c>
      <c r="P452" s="1" t="s">
        <v>37</v>
      </c>
      <c r="R452" s="1" t="s">
        <v>37</v>
      </c>
      <c r="S452">
        <v>47.412750000000003</v>
      </c>
      <c r="T452">
        <v>8.6550799999999999</v>
      </c>
      <c r="U452" s="1" t="s">
        <v>112</v>
      </c>
      <c r="V452">
        <v>1</v>
      </c>
      <c r="W452">
        <v>147</v>
      </c>
      <c r="X452">
        <v>2</v>
      </c>
      <c r="Y452">
        <v>91.14</v>
      </c>
      <c r="Z452">
        <v>0.66500000000000004</v>
      </c>
    </row>
    <row r="453" spans="1:26">
      <c r="A453" s="2">
        <v>43916</v>
      </c>
      <c r="B453" s="4">
        <v>0.625</v>
      </c>
      <c r="C453" s="1" t="s">
        <v>35</v>
      </c>
      <c r="E453">
        <v>349</v>
      </c>
      <c r="F453">
        <v>22</v>
      </c>
      <c r="G453">
        <v>38</v>
      </c>
      <c r="H453">
        <v>10</v>
      </c>
      <c r="I453">
        <v>9</v>
      </c>
      <c r="J453">
        <v>4</v>
      </c>
      <c r="K453">
        <v>2</v>
      </c>
      <c r="L453" s="1" t="s">
        <v>270</v>
      </c>
      <c r="N453" s="1" t="s">
        <v>37</v>
      </c>
      <c r="P453" s="1" t="s">
        <v>37</v>
      </c>
      <c r="R453" s="1" t="s">
        <v>37</v>
      </c>
      <c r="S453">
        <v>47.409660000000002</v>
      </c>
      <c r="T453">
        <v>8.1568799999999992</v>
      </c>
      <c r="U453" s="1" t="s">
        <v>36</v>
      </c>
      <c r="V453">
        <v>1</v>
      </c>
      <c r="W453">
        <v>30</v>
      </c>
      <c r="X453">
        <v>0</v>
      </c>
      <c r="Y453">
        <v>52.01</v>
      </c>
      <c r="Z453">
        <v>0.29799999999999999</v>
      </c>
    </row>
    <row r="454" spans="1:26">
      <c r="A454" s="2">
        <v>43916</v>
      </c>
      <c r="B454" s="4">
        <v>0.75</v>
      </c>
      <c r="C454" s="1" t="s">
        <v>39</v>
      </c>
      <c r="E454">
        <v>11</v>
      </c>
      <c r="F454">
        <v>0</v>
      </c>
      <c r="G454">
        <v>1</v>
      </c>
      <c r="L454" s="1" t="s">
        <v>41</v>
      </c>
      <c r="N454" s="1" t="s">
        <v>37</v>
      </c>
      <c r="P454" s="1" t="s">
        <v>37</v>
      </c>
      <c r="R454" s="1" t="s">
        <v>37</v>
      </c>
      <c r="S454">
        <v>47.317264000000002</v>
      </c>
      <c r="T454">
        <v>9.4167539999999992</v>
      </c>
      <c r="U454" s="1" t="s">
        <v>40</v>
      </c>
      <c r="V454">
        <v>16</v>
      </c>
      <c r="W454">
        <v>2</v>
      </c>
      <c r="X454">
        <v>0</v>
      </c>
      <c r="Y454">
        <v>68.319999999999993</v>
      </c>
    </row>
    <row r="455" spans="1:26">
      <c r="A455" s="2">
        <v>43916</v>
      </c>
      <c r="B455" s="4">
        <v>0.66666666666666663</v>
      </c>
      <c r="C455" s="1" t="s">
        <v>42</v>
      </c>
      <c r="E455">
        <v>42</v>
      </c>
      <c r="F455">
        <v>0</v>
      </c>
      <c r="G455">
        <v>6</v>
      </c>
      <c r="K455">
        <v>2</v>
      </c>
      <c r="L455" s="1" t="s">
        <v>44</v>
      </c>
      <c r="N455" s="1" t="s">
        <v>37</v>
      </c>
      <c r="P455" s="1" t="s">
        <v>37</v>
      </c>
      <c r="R455" s="1" t="s">
        <v>37</v>
      </c>
      <c r="S455">
        <v>47.416351999999996</v>
      </c>
      <c r="T455">
        <v>9.3679100000000002</v>
      </c>
      <c r="U455" s="1" t="s">
        <v>43</v>
      </c>
      <c r="V455">
        <v>15</v>
      </c>
      <c r="W455">
        <v>8</v>
      </c>
      <c r="X455">
        <v>0</v>
      </c>
      <c r="Y455">
        <v>76.09</v>
      </c>
      <c r="Z455">
        <v>3.6230000000000002</v>
      </c>
    </row>
    <row r="456" spans="1:26">
      <c r="A456" s="2">
        <v>43916</v>
      </c>
      <c r="B456" s="4">
        <v>0.125</v>
      </c>
      <c r="C456" s="1" t="s">
        <v>45</v>
      </c>
      <c r="E456">
        <v>660</v>
      </c>
      <c r="F456">
        <v>0</v>
      </c>
      <c r="K456">
        <v>7</v>
      </c>
      <c r="L456" s="1" t="s">
        <v>47</v>
      </c>
      <c r="N456" s="1" t="s">
        <v>37</v>
      </c>
      <c r="P456" s="1" t="s">
        <v>37</v>
      </c>
      <c r="R456" s="1" t="s">
        <v>37</v>
      </c>
      <c r="S456">
        <v>46.823608</v>
      </c>
      <c r="T456">
        <v>7.6366670000000001</v>
      </c>
      <c r="U456" s="1" t="s">
        <v>46</v>
      </c>
      <c r="V456">
        <v>2</v>
      </c>
      <c r="W456">
        <v>36</v>
      </c>
      <c r="X456">
        <v>1</v>
      </c>
      <c r="Y456">
        <v>64.010000000000005</v>
      </c>
      <c r="Z456">
        <v>0.67900000000000005</v>
      </c>
    </row>
    <row r="457" spans="1:26">
      <c r="A457" s="2">
        <v>43916</v>
      </c>
      <c r="B457" s="4">
        <v>0.125</v>
      </c>
      <c r="C457" s="1" t="s">
        <v>48</v>
      </c>
      <c r="E457">
        <v>422</v>
      </c>
      <c r="F457">
        <v>0</v>
      </c>
      <c r="G457">
        <v>68</v>
      </c>
      <c r="H457">
        <v>9</v>
      </c>
      <c r="J457">
        <v>65</v>
      </c>
      <c r="K457">
        <v>5</v>
      </c>
      <c r="L457" s="1" t="s">
        <v>50</v>
      </c>
      <c r="N457" s="1" t="s">
        <v>37</v>
      </c>
      <c r="P457" s="1" t="s">
        <v>37</v>
      </c>
      <c r="R457" s="1" t="s">
        <v>37</v>
      </c>
      <c r="S457">
        <v>47.45176</v>
      </c>
      <c r="T457">
        <v>7.7024140000000001</v>
      </c>
      <c r="U457" s="1" t="s">
        <v>49</v>
      </c>
      <c r="V457">
        <v>13</v>
      </c>
      <c r="W457">
        <v>81</v>
      </c>
      <c r="X457">
        <v>0</v>
      </c>
      <c r="Y457">
        <v>147.04</v>
      </c>
      <c r="Z457">
        <v>1.742</v>
      </c>
    </row>
    <row r="458" spans="1:26">
      <c r="A458" s="2">
        <v>43916</v>
      </c>
      <c r="B458" s="4">
        <v>0.4375</v>
      </c>
      <c r="C458" s="1" t="s">
        <v>51</v>
      </c>
      <c r="D458">
        <v>235</v>
      </c>
      <c r="E458">
        <v>505</v>
      </c>
      <c r="F458">
        <v>16</v>
      </c>
      <c r="G458">
        <v>74</v>
      </c>
      <c r="H458">
        <v>8</v>
      </c>
      <c r="J458">
        <v>155</v>
      </c>
      <c r="K458">
        <v>12</v>
      </c>
      <c r="L458" s="1" t="s">
        <v>271</v>
      </c>
      <c r="M458">
        <v>326</v>
      </c>
      <c r="N458" s="1" t="s">
        <v>272</v>
      </c>
      <c r="P458" s="1" t="s">
        <v>37</v>
      </c>
      <c r="R458" s="1" t="s">
        <v>37</v>
      </c>
      <c r="S458">
        <v>47.564869000000002</v>
      </c>
      <c r="T458">
        <v>7.615259</v>
      </c>
      <c r="U458" s="1" t="s">
        <v>52</v>
      </c>
      <c r="V458">
        <v>12</v>
      </c>
      <c r="W458">
        <v>39</v>
      </c>
      <c r="X458">
        <v>4</v>
      </c>
      <c r="Y458">
        <v>260.44</v>
      </c>
      <c r="Z458">
        <v>6.1890000000000001</v>
      </c>
    </row>
    <row r="459" spans="1:26">
      <c r="A459" s="2">
        <v>43916</v>
      </c>
      <c r="B459" s="4">
        <v>0.125</v>
      </c>
      <c r="C459" s="1" t="s">
        <v>54</v>
      </c>
      <c r="D459">
        <v>900</v>
      </c>
      <c r="E459">
        <v>56</v>
      </c>
      <c r="F459">
        <v>0</v>
      </c>
      <c r="J459">
        <v>1</v>
      </c>
      <c r="L459" s="1" t="s">
        <v>273</v>
      </c>
      <c r="N459" s="1" t="s">
        <v>37</v>
      </c>
      <c r="P459" s="1" t="s">
        <v>37</v>
      </c>
      <c r="R459" s="1" t="s">
        <v>37</v>
      </c>
      <c r="S459">
        <v>47.166666999999997</v>
      </c>
      <c r="T459">
        <v>9.509722</v>
      </c>
      <c r="U459" s="1" t="s">
        <v>55</v>
      </c>
      <c r="V459">
        <v>0</v>
      </c>
      <c r="W459">
        <v>3</v>
      </c>
      <c r="X459">
        <v>0</v>
      </c>
      <c r="Y459">
        <v>145.08000000000001</v>
      </c>
    </row>
    <row r="460" spans="1:26">
      <c r="A460" s="2">
        <v>43916</v>
      </c>
      <c r="B460" s="4">
        <v>0.125</v>
      </c>
      <c r="C460" s="1" t="s">
        <v>57</v>
      </c>
      <c r="D460">
        <v>30</v>
      </c>
      <c r="E460">
        <v>309</v>
      </c>
      <c r="F460">
        <v>5</v>
      </c>
      <c r="G460">
        <v>44</v>
      </c>
      <c r="H460">
        <v>5</v>
      </c>
      <c r="K460">
        <v>11</v>
      </c>
      <c r="L460" s="1" t="s">
        <v>59</v>
      </c>
      <c r="N460" s="1" t="s">
        <v>37</v>
      </c>
      <c r="P460" s="1" t="s">
        <v>37</v>
      </c>
      <c r="R460" s="1" t="s">
        <v>37</v>
      </c>
      <c r="S460">
        <v>46.718390999999997</v>
      </c>
      <c r="T460">
        <v>7.0740080000000001</v>
      </c>
      <c r="U460" s="1" t="s">
        <v>58</v>
      </c>
      <c r="V460">
        <v>10</v>
      </c>
      <c r="W460">
        <v>16</v>
      </c>
      <c r="X460">
        <v>5</v>
      </c>
      <c r="Y460">
        <v>98.06</v>
      </c>
      <c r="Z460">
        <v>3.4910000000000001</v>
      </c>
    </row>
    <row r="461" spans="1:26">
      <c r="A461" s="2">
        <v>43916</v>
      </c>
      <c r="B461" s="4">
        <v>0.125</v>
      </c>
      <c r="C461" s="1" t="s">
        <v>60</v>
      </c>
      <c r="D461">
        <v>8958</v>
      </c>
      <c r="E461">
        <v>2021</v>
      </c>
      <c r="F461">
        <v>14</v>
      </c>
      <c r="G461">
        <v>272</v>
      </c>
      <c r="H461">
        <v>52</v>
      </c>
      <c r="I461">
        <v>48</v>
      </c>
      <c r="J461">
        <v>144</v>
      </c>
      <c r="K461">
        <v>24</v>
      </c>
      <c r="L461" s="1" t="s">
        <v>62</v>
      </c>
      <c r="N461" s="1" t="s">
        <v>37</v>
      </c>
      <c r="P461" s="1" t="s">
        <v>37</v>
      </c>
      <c r="Q461">
        <v>18</v>
      </c>
      <c r="R461" s="1" t="s">
        <v>37</v>
      </c>
      <c r="S461">
        <v>46.220528000000002</v>
      </c>
      <c r="T461">
        <v>6.1329349999999998</v>
      </c>
      <c r="U461" s="1" t="s">
        <v>61</v>
      </c>
      <c r="V461">
        <v>25</v>
      </c>
      <c r="W461">
        <v>225</v>
      </c>
      <c r="X461">
        <v>2</v>
      </c>
      <c r="Y461">
        <v>408.12</v>
      </c>
      <c r="Z461">
        <v>4.8470000000000004</v>
      </c>
    </row>
    <row r="462" spans="1:26">
      <c r="A462" s="2">
        <v>43916</v>
      </c>
      <c r="B462" s="4">
        <v>0.5625</v>
      </c>
      <c r="C462" s="1" t="s">
        <v>63</v>
      </c>
      <c r="E462">
        <v>43</v>
      </c>
      <c r="F462">
        <v>0</v>
      </c>
      <c r="G462">
        <v>2</v>
      </c>
      <c r="L462" s="1" t="s">
        <v>65</v>
      </c>
      <c r="N462" s="1" t="s">
        <v>37</v>
      </c>
      <c r="P462" s="1" t="s">
        <v>37</v>
      </c>
      <c r="R462" s="1" t="s">
        <v>37</v>
      </c>
      <c r="S462">
        <v>46.931042000000005</v>
      </c>
      <c r="T462">
        <v>9.0657510000000006</v>
      </c>
      <c r="U462" s="1" t="s">
        <v>64</v>
      </c>
      <c r="V462">
        <v>8</v>
      </c>
      <c r="W462">
        <v>3</v>
      </c>
      <c r="X462">
        <v>0</v>
      </c>
      <c r="Y462">
        <v>106.7</v>
      </c>
    </row>
    <row r="463" spans="1:26">
      <c r="A463" s="2">
        <v>43916</v>
      </c>
      <c r="B463" s="4">
        <v>0.125</v>
      </c>
      <c r="C463" s="1" t="s">
        <v>66</v>
      </c>
      <c r="E463">
        <v>373</v>
      </c>
      <c r="F463">
        <v>2</v>
      </c>
      <c r="G463">
        <v>45</v>
      </c>
      <c r="K463">
        <v>9</v>
      </c>
      <c r="L463" s="1" t="s">
        <v>68</v>
      </c>
      <c r="N463" s="1" t="s">
        <v>37</v>
      </c>
      <c r="P463" s="1" t="s">
        <v>37</v>
      </c>
      <c r="R463" s="1" t="s">
        <v>37</v>
      </c>
      <c r="S463">
        <v>46.656247999999998</v>
      </c>
      <c r="T463">
        <v>9.6281979999999994</v>
      </c>
      <c r="U463" s="1" t="s">
        <v>67</v>
      </c>
      <c r="V463">
        <v>1</v>
      </c>
      <c r="W463">
        <v>51</v>
      </c>
      <c r="X463">
        <v>3</v>
      </c>
      <c r="Y463">
        <v>188.48</v>
      </c>
      <c r="Z463">
        <v>4.548</v>
      </c>
    </row>
    <row r="464" spans="1:26">
      <c r="A464" s="2">
        <v>43916</v>
      </c>
      <c r="B464" s="4">
        <v>0.66666666666666663</v>
      </c>
      <c r="C464" s="1" t="s">
        <v>69</v>
      </c>
      <c r="E464">
        <v>100</v>
      </c>
      <c r="F464">
        <v>-1</v>
      </c>
      <c r="G464">
        <v>22</v>
      </c>
      <c r="H464">
        <v>4</v>
      </c>
      <c r="L464" s="1" t="s">
        <v>280</v>
      </c>
      <c r="N464" s="1" t="s">
        <v>37</v>
      </c>
      <c r="P464" s="1" t="s">
        <v>37</v>
      </c>
      <c r="R464" s="1" t="s">
        <v>37</v>
      </c>
      <c r="S464">
        <v>47.350743999999999</v>
      </c>
      <c r="T464">
        <v>7.1561070000000004</v>
      </c>
      <c r="U464" s="1" t="s">
        <v>70</v>
      </c>
      <c r="V464">
        <v>26</v>
      </c>
      <c r="W464">
        <v>8</v>
      </c>
      <c r="X464">
        <v>0</v>
      </c>
      <c r="Y464">
        <v>136.43</v>
      </c>
    </row>
    <row r="465" spans="1:26">
      <c r="A465" s="2">
        <v>43916</v>
      </c>
      <c r="B465" s="4">
        <v>0.45833333333333331</v>
      </c>
      <c r="C465" s="1" t="s">
        <v>71</v>
      </c>
      <c r="E465">
        <v>253</v>
      </c>
      <c r="F465">
        <v>0</v>
      </c>
      <c r="K465">
        <v>3</v>
      </c>
      <c r="L465" s="1" t="s">
        <v>73</v>
      </c>
      <c r="N465" s="1" t="s">
        <v>37</v>
      </c>
      <c r="P465" s="1" t="s">
        <v>37</v>
      </c>
      <c r="R465" s="1" t="s">
        <v>37</v>
      </c>
      <c r="S465">
        <v>47.067762999999999</v>
      </c>
      <c r="T465">
        <v>8.1102000000000007</v>
      </c>
      <c r="U465" s="1" t="s">
        <v>72</v>
      </c>
      <c r="V465">
        <v>3</v>
      </c>
      <c r="W465">
        <v>25</v>
      </c>
      <c r="X465">
        <v>1</v>
      </c>
      <c r="Y465">
        <v>62.24</v>
      </c>
      <c r="Z465">
        <v>0.73799999999999999</v>
      </c>
    </row>
    <row r="466" spans="1:26">
      <c r="A466" s="2">
        <v>43916</v>
      </c>
      <c r="B466" s="4">
        <v>0.60416666666666663</v>
      </c>
      <c r="C466" s="1" t="s">
        <v>74</v>
      </c>
      <c r="E466">
        <v>299</v>
      </c>
      <c r="F466">
        <v>1</v>
      </c>
      <c r="G466">
        <v>42</v>
      </c>
      <c r="H466">
        <v>9</v>
      </c>
      <c r="I466">
        <v>7</v>
      </c>
      <c r="K466">
        <v>12</v>
      </c>
      <c r="L466" s="1" t="s">
        <v>76</v>
      </c>
      <c r="N466" s="1" t="s">
        <v>37</v>
      </c>
      <c r="P466" s="1" t="s">
        <v>37</v>
      </c>
      <c r="R466" s="1" t="s">
        <v>37</v>
      </c>
      <c r="S466">
        <v>46.995533999999999</v>
      </c>
      <c r="T466">
        <v>6.7801260000000001</v>
      </c>
      <c r="U466" s="1" t="s">
        <v>75</v>
      </c>
      <c r="V466">
        <v>24</v>
      </c>
      <c r="W466">
        <v>19</v>
      </c>
      <c r="X466">
        <v>3</v>
      </c>
      <c r="Y466">
        <v>167.98</v>
      </c>
      <c r="Z466">
        <v>6.742</v>
      </c>
    </row>
    <row r="467" spans="1:26">
      <c r="A467" s="2">
        <v>43916</v>
      </c>
      <c r="B467" s="4">
        <v>0.66666666666666663</v>
      </c>
      <c r="C467" s="1" t="s">
        <v>77</v>
      </c>
      <c r="E467">
        <v>48</v>
      </c>
      <c r="F467">
        <v>0</v>
      </c>
      <c r="L467" s="1" t="s">
        <v>79</v>
      </c>
      <c r="N467" s="1" t="s">
        <v>37</v>
      </c>
      <c r="P467" s="1" t="s">
        <v>37</v>
      </c>
      <c r="R467" s="1" t="s">
        <v>37</v>
      </c>
      <c r="S467">
        <v>46.926755</v>
      </c>
      <c r="T467">
        <v>8.4053020000000007</v>
      </c>
      <c r="U467" s="1" t="s">
        <v>78</v>
      </c>
      <c r="V467">
        <v>7</v>
      </c>
      <c r="W467">
        <v>4</v>
      </c>
      <c r="X467">
        <v>0</v>
      </c>
      <c r="Y467">
        <v>111.63</v>
      </c>
    </row>
    <row r="468" spans="1:26">
      <c r="A468" s="2">
        <v>43916</v>
      </c>
      <c r="B468" s="4">
        <v>0.125</v>
      </c>
      <c r="C468" s="1" t="s">
        <v>80</v>
      </c>
      <c r="D468">
        <v>6</v>
      </c>
      <c r="E468">
        <v>30</v>
      </c>
      <c r="F468">
        <v>0</v>
      </c>
      <c r="L468" s="1" t="s">
        <v>82</v>
      </c>
      <c r="N468" s="1" t="s">
        <v>37</v>
      </c>
      <c r="P468" s="1" t="s">
        <v>37</v>
      </c>
      <c r="R468" s="1" t="s">
        <v>37</v>
      </c>
      <c r="S468">
        <v>46.804527</v>
      </c>
      <c r="T468">
        <v>8.1443170000000009</v>
      </c>
      <c r="U468" s="1" t="s">
        <v>81</v>
      </c>
      <c r="V468">
        <v>6</v>
      </c>
      <c r="W468">
        <v>3</v>
      </c>
      <c r="X468">
        <v>0</v>
      </c>
      <c r="Y468">
        <v>79.790000000000006</v>
      </c>
    </row>
    <row r="469" spans="1:26">
      <c r="A469" s="2">
        <v>43916</v>
      </c>
      <c r="B469" s="4">
        <v>0.125</v>
      </c>
      <c r="C469" s="1" t="s">
        <v>83</v>
      </c>
      <c r="E469">
        <v>306</v>
      </c>
      <c r="F469">
        <v>0</v>
      </c>
      <c r="K469">
        <v>2</v>
      </c>
      <c r="L469" s="1" t="s">
        <v>85</v>
      </c>
      <c r="N469" s="1" t="s">
        <v>37</v>
      </c>
      <c r="P469" s="1" t="s">
        <v>37</v>
      </c>
      <c r="R469" s="1" t="s">
        <v>37</v>
      </c>
      <c r="S469">
        <v>47.183199999999999</v>
      </c>
      <c r="T469">
        <v>9.2747440000000001</v>
      </c>
      <c r="U469" s="1" t="s">
        <v>84</v>
      </c>
      <c r="V469">
        <v>17</v>
      </c>
      <c r="W469">
        <v>78</v>
      </c>
      <c r="X469">
        <v>1</v>
      </c>
      <c r="Y469">
        <v>60.63</v>
      </c>
      <c r="Z469">
        <v>0.39600000000000002</v>
      </c>
    </row>
    <row r="470" spans="1:26">
      <c r="A470" s="2">
        <v>43916</v>
      </c>
      <c r="B470" s="4">
        <v>0.125</v>
      </c>
      <c r="C470" s="1" t="s">
        <v>86</v>
      </c>
      <c r="E470">
        <v>36</v>
      </c>
      <c r="F470">
        <v>-4</v>
      </c>
      <c r="G470">
        <v>6</v>
      </c>
      <c r="H470">
        <v>1</v>
      </c>
      <c r="K470">
        <v>0</v>
      </c>
      <c r="L470" s="1" t="s">
        <v>88</v>
      </c>
      <c r="N470" s="1" t="s">
        <v>37</v>
      </c>
      <c r="P470" s="1" t="s">
        <v>37</v>
      </c>
      <c r="R470" s="1" t="s">
        <v>37</v>
      </c>
      <c r="S470">
        <v>47.713569999999997</v>
      </c>
      <c r="T470">
        <v>8.5916700000000006</v>
      </c>
      <c r="U470" s="1" t="s">
        <v>87</v>
      </c>
      <c r="V470">
        <v>14</v>
      </c>
      <c r="W470">
        <v>1</v>
      </c>
      <c r="X470">
        <v>0</v>
      </c>
      <c r="Y470">
        <v>44.23</v>
      </c>
      <c r="Z470">
        <v>0</v>
      </c>
    </row>
    <row r="471" spans="1:26">
      <c r="A471" s="2">
        <v>43916</v>
      </c>
      <c r="B471" s="4">
        <v>0.125</v>
      </c>
      <c r="C471" s="1" t="s">
        <v>89</v>
      </c>
      <c r="E471">
        <v>141</v>
      </c>
      <c r="F471">
        <v>0</v>
      </c>
      <c r="K471">
        <v>1</v>
      </c>
      <c r="L471" s="1" t="s">
        <v>91</v>
      </c>
      <c r="N471" s="1" t="s">
        <v>37</v>
      </c>
      <c r="P471" s="1" t="s">
        <v>37</v>
      </c>
      <c r="R471" s="1" t="s">
        <v>37</v>
      </c>
      <c r="S471">
        <v>47.304135000000002</v>
      </c>
      <c r="T471">
        <v>7.6393880000000003</v>
      </c>
      <c r="U471" s="1" t="s">
        <v>90</v>
      </c>
      <c r="V471">
        <v>11</v>
      </c>
      <c r="W471">
        <v>12</v>
      </c>
      <c r="X471">
        <v>0</v>
      </c>
      <c r="Y471">
        <v>51.95</v>
      </c>
      <c r="Z471">
        <v>0.36799999999999999</v>
      </c>
    </row>
    <row r="472" spans="1:26">
      <c r="A472" s="2">
        <v>43916</v>
      </c>
      <c r="B472" s="4">
        <v>0.125</v>
      </c>
      <c r="C472" s="1" t="s">
        <v>92</v>
      </c>
      <c r="D472">
        <v>10</v>
      </c>
      <c r="E472">
        <v>99</v>
      </c>
      <c r="F472">
        <v>0</v>
      </c>
      <c r="G472">
        <v>1</v>
      </c>
      <c r="J472">
        <v>10</v>
      </c>
      <c r="K472">
        <v>1</v>
      </c>
      <c r="L472" s="1" t="s">
        <v>267</v>
      </c>
      <c r="N472" s="1" t="s">
        <v>37</v>
      </c>
      <c r="P472" s="1" t="s">
        <v>37</v>
      </c>
      <c r="R472" s="1" t="s">
        <v>37</v>
      </c>
      <c r="S472">
        <v>47.061787000000002</v>
      </c>
      <c r="T472">
        <v>8.7565849999999994</v>
      </c>
      <c r="U472" s="1" t="s">
        <v>93</v>
      </c>
      <c r="V472">
        <v>5</v>
      </c>
      <c r="W472">
        <v>0</v>
      </c>
      <c r="X472">
        <v>0</v>
      </c>
      <c r="Y472">
        <v>62.94</v>
      </c>
      <c r="Z472">
        <v>0.63600000000000001</v>
      </c>
    </row>
    <row r="473" spans="1:26">
      <c r="A473" s="2">
        <v>43916</v>
      </c>
      <c r="B473" s="4">
        <v>0.125</v>
      </c>
      <c r="C473" s="1" t="s">
        <v>95</v>
      </c>
      <c r="D473">
        <v>276</v>
      </c>
      <c r="E473">
        <v>110</v>
      </c>
      <c r="F473">
        <v>0</v>
      </c>
      <c r="K473">
        <v>1</v>
      </c>
      <c r="L473" s="1" t="s">
        <v>97</v>
      </c>
      <c r="N473" s="1" t="s">
        <v>37</v>
      </c>
      <c r="P473" s="1" t="s">
        <v>37</v>
      </c>
      <c r="R473" s="1" t="s">
        <v>37</v>
      </c>
      <c r="S473">
        <v>47.568714999999997</v>
      </c>
      <c r="T473">
        <v>9.0919570000000007</v>
      </c>
      <c r="U473" s="1" t="s">
        <v>96</v>
      </c>
      <c r="V473">
        <v>1</v>
      </c>
      <c r="W473">
        <v>14</v>
      </c>
      <c r="X473">
        <v>0</v>
      </c>
      <c r="Y473">
        <v>40.18</v>
      </c>
      <c r="Z473">
        <v>0.36499999999999999</v>
      </c>
    </row>
    <row r="474" spans="1:26">
      <c r="A474" s="2">
        <v>43916</v>
      </c>
      <c r="B474" s="4">
        <v>0.33333333333333331</v>
      </c>
      <c r="C474" s="1" t="s">
        <v>98</v>
      </c>
      <c r="E474">
        <v>1401</v>
      </c>
      <c r="F474">
        <v>52</v>
      </c>
      <c r="G474">
        <v>358</v>
      </c>
      <c r="H474">
        <v>60</v>
      </c>
      <c r="I474">
        <v>56</v>
      </c>
      <c r="K474">
        <v>67</v>
      </c>
      <c r="L474" s="1" t="s">
        <v>274</v>
      </c>
      <c r="N474" s="1" t="s">
        <v>37</v>
      </c>
      <c r="P474" s="1" t="s">
        <v>275</v>
      </c>
      <c r="R474" s="1" t="s">
        <v>37</v>
      </c>
      <c r="S474">
        <v>46.295617</v>
      </c>
      <c r="T474">
        <v>8.8089239999999993</v>
      </c>
      <c r="U474" s="1" t="s">
        <v>99</v>
      </c>
      <c r="V474">
        <v>21</v>
      </c>
      <c r="W474">
        <v>47</v>
      </c>
      <c r="X474">
        <v>7</v>
      </c>
      <c r="Y474">
        <v>396.1</v>
      </c>
      <c r="Z474">
        <v>18.943000000000001</v>
      </c>
    </row>
    <row r="475" spans="1:26">
      <c r="A475" s="2">
        <v>43916</v>
      </c>
      <c r="B475" s="4">
        <v>0.125</v>
      </c>
      <c r="C475" s="1" t="s">
        <v>101</v>
      </c>
      <c r="D475">
        <v>85</v>
      </c>
      <c r="E475">
        <v>38</v>
      </c>
      <c r="F475">
        <v>3</v>
      </c>
      <c r="G475">
        <v>4</v>
      </c>
      <c r="J475">
        <v>2</v>
      </c>
      <c r="L475" s="1" t="s">
        <v>238</v>
      </c>
      <c r="N475" s="1" t="s">
        <v>37</v>
      </c>
      <c r="P475" s="1" t="s">
        <v>37</v>
      </c>
      <c r="R475" s="1" t="s">
        <v>37</v>
      </c>
      <c r="S475">
        <v>46.771849000000003</v>
      </c>
      <c r="T475">
        <v>8.6285860000000003</v>
      </c>
      <c r="U475" s="1" t="s">
        <v>102</v>
      </c>
      <c r="V475">
        <v>4</v>
      </c>
      <c r="W475">
        <v>13</v>
      </c>
      <c r="X475">
        <v>0</v>
      </c>
      <c r="Y475">
        <v>104.68</v>
      </c>
    </row>
    <row r="476" spans="1:26">
      <c r="A476" s="2">
        <v>43916</v>
      </c>
      <c r="B476" s="4">
        <v>0.125</v>
      </c>
      <c r="C476" s="1" t="s">
        <v>104</v>
      </c>
      <c r="E476">
        <v>2604</v>
      </c>
      <c r="F476">
        <v>13</v>
      </c>
      <c r="G476">
        <v>326</v>
      </c>
      <c r="H476">
        <v>57</v>
      </c>
      <c r="J476">
        <v>148</v>
      </c>
      <c r="K476">
        <v>57</v>
      </c>
      <c r="L476" s="1" t="s">
        <v>106</v>
      </c>
      <c r="N476" s="1" t="s">
        <v>37</v>
      </c>
      <c r="P476" s="1" t="s">
        <v>37</v>
      </c>
      <c r="R476" s="1" t="s">
        <v>37</v>
      </c>
      <c r="S476">
        <v>46.570090999999998</v>
      </c>
      <c r="T476">
        <v>6.5578090000000007</v>
      </c>
      <c r="U476" s="1" t="s">
        <v>105</v>
      </c>
      <c r="V476">
        <v>22</v>
      </c>
      <c r="W476">
        <v>302</v>
      </c>
      <c r="X476">
        <v>17</v>
      </c>
      <c r="Y476">
        <v>328.33</v>
      </c>
      <c r="Z476">
        <v>7.1870000000000003</v>
      </c>
    </row>
    <row r="477" spans="1:26">
      <c r="A477" s="2">
        <v>43916</v>
      </c>
      <c r="B477" s="4">
        <v>0.625</v>
      </c>
      <c r="C477" s="1" t="s">
        <v>107</v>
      </c>
      <c r="E477">
        <v>875</v>
      </c>
      <c r="F477">
        <v>10</v>
      </c>
      <c r="G477">
        <v>128</v>
      </c>
      <c r="H477">
        <v>19</v>
      </c>
      <c r="I477">
        <v>17</v>
      </c>
      <c r="J477">
        <v>3</v>
      </c>
      <c r="K477">
        <v>17</v>
      </c>
      <c r="L477" s="1" t="s">
        <v>412</v>
      </c>
      <c r="N477" s="1" t="s">
        <v>37</v>
      </c>
      <c r="P477" s="1" t="s">
        <v>37</v>
      </c>
      <c r="R477" s="1" t="s">
        <v>37</v>
      </c>
      <c r="S477">
        <v>46.209567</v>
      </c>
      <c r="T477">
        <v>7.6046589999999998</v>
      </c>
      <c r="U477" s="1" t="s">
        <v>108</v>
      </c>
      <c r="V477">
        <v>23</v>
      </c>
      <c r="W477">
        <v>81</v>
      </c>
      <c r="X477">
        <v>2</v>
      </c>
      <c r="Y477">
        <v>256.22000000000003</v>
      </c>
      <c r="Z477">
        <v>4.9779999999999998</v>
      </c>
    </row>
    <row r="478" spans="1:26">
      <c r="A478" s="2">
        <v>43916</v>
      </c>
      <c r="B478" s="4">
        <v>0.33333333333333331</v>
      </c>
      <c r="C478" s="1" t="s">
        <v>109</v>
      </c>
      <c r="E478">
        <v>94</v>
      </c>
      <c r="F478">
        <v>2</v>
      </c>
      <c r="G478">
        <v>12</v>
      </c>
      <c r="H478">
        <v>5</v>
      </c>
      <c r="J478">
        <v>15</v>
      </c>
      <c r="K478">
        <v>0</v>
      </c>
      <c r="L478" s="1" t="s">
        <v>502</v>
      </c>
      <c r="N478" s="1" t="s">
        <v>37</v>
      </c>
      <c r="P478" s="1" t="s">
        <v>37</v>
      </c>
      <c r="R478" s="1" t="s">
        <v>37</v>
      </c>
      <c r="S478">
        <v>47.157296000000002</v>
      </c>
      <c r="T478">
        <v>8.5372939999999993</v>
      </c>
      <c r="U478" s="1" t="s">
        <v>110</v>
      </c>
      <c r="V478">
        <v>9</v>
      </c>
      <c r="W478">
        <v>7</v>
      </c>
      <c r="X478">
        <v>0</v>
      </c>
      <c r="Y478">
        <v>74.959999999999994</v>
      </c>
      <c r="Z478">
        <v>0</v>
      </c>
    </row>
    <row r="479" spans="1:26">
      <c r="A479" s="2">
        <v>43916</v>
      </c>
      <c r="B479" s="4">
        <v>0.60416666666666663</v>
      </c>
      <c r="C479" s="1" t="s">
        <v>111</v>
      </c>
      <c r="E479">
        <v>1503</v>
      </c>
      <c r="F479">
        <v>10</v>
      </c>
      <c r="G479">
        <v>156</v>
      </c>
      <c r="I479">
        <v>35</v>
      </c>
      <c r="K479">
        <v>13</v>
      </c>
      <c r="L479" s="1" t="s">
        <v>113</v>
      </c>
      <c r="N479" s="1" t="s">
        <v>37</v>
      </c>
      <c r="P479" s="1" t="s">
        <v>37</v>
      </c>
      <c r="R479" s="1" t="s">
        <v>37</v>
      </c>
      <c r="S479">
        <v>47.412750000000003</v>
      </c>
      <c r="T479">
        <v>8.6550799999999999</v>
      </c>
      <c r="U479" s="1" t="s">
        <v>112</v>
      </c>
      <c r="V479">
        <v>1</v>
      </c>
      <c r="W479">
        <v>132</v>
      </c>
      <c r="X479">
        <v>3</v>
      </c>
      <c r="Y479">
        <v>99.91</v>
      </c>
      <c r="Z479">
        <v>0.86399999999999999</v>
      </c>
    </row>
    <row r="480" spans="1:26">
      <c r="A480" s="2">
        <v>43917</v>
      </c>
      <c r="B480" s="4">
        <v>0.625</v>
      </c>
      <c r="C480" s="1" t="s">
        <v>35</v>
      </c>
      <c r="E480">
        <v>364</v>
      </c>
      <c r="F480">
        <v>12</v>
      </c>
      <c r="G480">
        <v>50</v>
      </c>
      <c r="H480">
        <v>12</v>
      </c>
      <c r="I480">
        <v>10</v>
      </c>
      <c r="J480">
        <v>4</v>
      </c>
      <c r="K480">
        <v>3</v>
      </c>
      <c r="L480" s="1" t="s">
        <v>276</v>
      </c>
      <c r="N480" s="1" t="s">
        <v>37</v>
      </c>
      <c r="P480" s="1" t="s">
        <v>37</v>
      </c>
      <c r="R480" s="1" t="s">
        <v>37</v>
      </c>
      <c r="S480">
        <v>47.409660000000002</v>
      </c>
      <c r="T480">
        <v>8.1568799999999992</v>
      </c>
      <c r="U480" s="1" t="s">
        <v>36</v>
      </c>
      <c r="V480">
        <v>1</v>
      </c>
      <c r="W480">
        <v>15</v>
      </c>
      <c r="X480">
        <v>1</v>
      </c>
      <c r="Y480">
        <v>54.25</v>
      </c>
      <c r="Z480">
        <v>0.44700000000000001</v>
      </c>
    </row>
    <row r="481" spans="1:26">
      <c r="A481" s="2">
        <v>43917</v>
      </c>
      <c r="B481" s="4">
        <v>0.75</v>
      </c>
      <c r="C481" s="1" t="s">
        <v>39</v>
      </c>
      <c r="E481">
        <v>12</v>
      </c>
      <c r="F481">
        <v>0</v>
      </c>
      <c r="G481">
        <v>1</v>
      </c>
      <c r="L481" s="1" t="s">
        <v>41</v>
      </c>
      <c r="N481" s="1" t="s">
        <v>37</v>
      </c>
      <c r="P481" s="1" t="s">
        <v>37</v>
      </c>
      <c r="R481" s="1" t="s">
        <v>37</v>
      </c>
      <c r="S481">
        <v>47.317264000000002</v>
      </c>
      <c r="T481">
        <v>9.4167539999999992</v>
      </c>
      <c r="U481" s="1" t="s">
        <v>40</v>
      </c>
      <c r="V481">
        <v>16</v>
      </c>
      <c r="W481">
        <v>1</v>
      </c>
      <c r="X481">
        <v>0</v>
      </c>
      <c r="Y481">
        <v>74.53</v>
      </c>
    </row>
    <row r="482" spans="1:26">
      <c r="A482" s="2">
        <v>43917</v>
      </c>
      <c r="B482" s="4">
        <v>0.54166666666666663</v>
      </c>
      <c r="C482" s="1" t="s">
        <v>42</v>
      </c>
      <c r="E482">
        <v>44</v>
      </c>
      <c r="F482">
        <v>0</v>
      </c>
      <c r="G482">
        <v>6</v>
      </c>
      <c r="K482">
        <v>2</v>
      </c>
      <c r="L482" s="1" t="s">
        <v>44</v>
      </c>
      <c r="N482" s="1" t="s">
        <v>37</v>
      </c>
      <c r="P482" s="1" t="s">
        <v>37</v>
      </c>
      <c r="R482" s="1" t="s">
        <v>37</v>
      </c>
      <c r="S482">
        <v>47.416351999999996</v>
      </c>
      <c r="T482">
        <v>9.3679100000000002</v>
      </c>
      <c r="U482" s="1" t="s">
        <v>43</v>
      </c>
      <c r="V482">
        <v>15</v>
      </c>
      <c r="W482">
        <v>2</v>
      </c>
      <c r="X482">
        <v>0</v>
      </c>
      <c r="Y482">
        <v>79.709999999999994</v>
      </c>
      <c r="Z482">
        <v>3.6230000000000002</v>
      </c>
    </row>
    <row r="483" spans="1:26">
      <c r="A483" s="2">
        <v>43917</v>
      </c>
      <c r="B483" s="4">
        <v>0.125</v>
      </c>
      <c r="C483" s="1" t="s">
        <v>45</v>
      </c>
      <c r="E483">
        <v>718</v>
      </c>
      <c r="F483">
        <v>0</v>
      </c>
      <c r="K483">
        <v>8</v>
      </c>
      <c r="L483" s="1" t="s">
        <v>47</v>
      </c>
      <c r="N483" s="1" t="s">
        <v>37</v>
      </c>
      <c r="P483" s="1" t="s">
        <v>37</v>
      </c>
      <c r="R483" s="1" t="s">
        <v>37</v>
      </c>
      <c r="S483">
        <v>46.823608</v>
      </c>
      <c r="T483">
        <v>7.6366670000000001</v>
      </c>
      <c r="U483" s="1" t="s">
        <v>46</v>
      </c>
      <c r="V483">
        <v>2</v>
      </c>
      <c r="W483">
        <v>58</v>
      </c>
      <c r="X483">
        <v>1</v>
      </c>
      <c r="Y483">
        <v>69.63</v>
      </c>
      <c r="Z483">
        <v>0.77600000000000002</v>
      </c>
    </row>
    <row r="484" spans="1:26">
      <c r="A484" s="2">
        <v>43917</v>
      </c>
      <c r="B484" s="4">
        <v>0.125</v>
      </c>
      <c r="C484" s="1" t="s">
        <v>48</v>
      </c>
      <c r="E484">
        <v>466</v>
      </c>
      <c r="F484">
        <v>11</v>
      </c>
      <c r="G484">
        <v>79</v>
      </c>
      <c r="H484">
        <v>11</v>
      </c>
      <c r="J484">
        <v>76</v>
      </c>
      <c r="K484">
        <v>5</v>
      </c>
      <c r="L484" s="1" t="s">
        <v>50</v>
      </c>
      <c r="N484" s="1" t="s">
        <v>37</v>
      </c>
      <c r="P484" s="1" t="s">
        <v>37</v>
      </c>
      <c r="R484" s="1" t="s">
        <v>37</v>
      </c>
      <c r="S484">
        <v>47.45176</v>
      </c>
      <c r="T484">
        <v>7.7024140000000001</v>
      </c>
      <c r="U484" s="1" t="s">
        <v>49</v>
      </c>
      <c r="V484">
        <v>13</v>
      </c>
      <c r="W484">
        <v>44</v>
      </c>
      <c r="X484">
        <v>0</v>
      </c>
      <c r="Y484">
        <v>162.37</v>
      </c>
      <c r="Z484">
        <v>1.742</v>
      </c>
    </row>
    <row r="485" spans="1:26">
      <c r="A485" s="2">
        <v>43917</v>
      </c>
      <c r="B485" s="4">
        <v>0.41666666666666669</v>
      </c>
      <c r="C485" s="1" t="s">
        <v>51</v>
      </c>
      <c r="D485">
        <v>235</v>
      </c>
      <c r="E485">
        <v>534</v>
      </c>
      <c r="F485">
        <v>2</v>
      </c>
      <c r="G485">
        <v>76</v>
      </c>
      <c r="H485">
        <v>8</v>
      </c>
      <c r="J485">
        <v>191</v>
      </c>
      <c r="K485">
        <v>13</v>
      </c>
      <c r="L485" s="1" t="s">
        <v>277</v>
      </c>
      <c r="M485">
        <v>343</v>
      </c>
      <c r="N485" s="1" t="s">
        <v>278</v>
      </c>
      <c r="P485" s="1" t="s">
        <v>37</v>
      </c>
      <c r="R485" s="1" t="s">
        <v>37</v>
      </c>
      <c r="S485">
        <v>47.564869000000002</v>
      </c>
      <c r="T485">
        <v>7.615259</v>
      </c>
      <c r="U485" s="1" t="s">
        <v>52</v>
      </c>
      <c r="V485">
        <v>12</v>
      </c>
      <c r="W485">
        <v>29</v>
      </c>
      <c r="X485">
        <v>1</v>
      </c>
      <c r="Y485">
        <v>275.39999999999998</v>
      </c>
      <c r="Z485">
        <v>6.7039999999999997</v>
      </c>
    </row>
    <row r="486" spans="1:26">
      <c r="A486" s="2">
        <v>43917</v>
      </c>
      <c r="B486" s="4">
        <v>0.125</v>
      </c>
      <c r="C486" s="1" t="s">
        <v>54</v>
      </c>
      <c r="D486">
        <v>900</v>
      </c>
      <c r="E486">
        <v>60</v>
      </c>
      <c r="F486">
        <v>0</v>
      </c>
      <c r="J486">
        <v>1</v>
      </c>
      <c r="L486" s="1" t="s">
        <v>279</v>
      </c>
      <c r="N486" s="1" t="s">
        <v>37</v>
      </c>
      <c r="P486" s="1" t="s">
        <v>37</v>
      </c>
      <c r="R486" s="1" t="s">
        <v>37</v>
      </c>
      <c r="S486">
        <v>47.166666999999997</v>
      </c>
      <c r="T486">
        <v>9.509722</v>
      </c>
      <c r="U486" s="1" t="s">
        <v>55</v>
      </c>
      <c r="V486">
        <v>0</v>
      </c>
      <c r="W486">
        <v>4</v>
      </c>
      <c r="X486">
        <v>0</v>
      </c>
      <c r="Y486">
        <v>155.44</v>
      </c>
    </row>
    <row r="487" spans="1:26">
      <c r="A487" s="2">
        <v>43917</v>
      </c>
      <c r="B487" s="4">
        <v>0.125</v>
      </c>
      <c r="C487" s="1" t="s">
        <v>57</v>
      </c>
      <c r="D487">
        <v>30</v>
      </c>
      <c r="E487">
        <v>369</v>
      </c>
      <c r="F487">
        <v>6</v>
      </c>
      <c r="G487">
        <v>50</v>
      </c>
      <c r="H487">
        <v>8</v>
      </c>
      <c r="K487">
        <v>15</v>
      </c>
      <c r="L487" s="1" t="s">
        <v>59</v>
      </c>
      <c r="N487" s="1" t="s">
        <v>37</v>
      </c>
      <c r="P487" s="1" t="s">
        <v>37</v>
      </c>
      <c r="R487" s="1" t="s">
        <v>37</v>
      </c>
      <c r="S487">
        <v>46.718390999999997</v>
      </c>
      <c r="T487">
        <v>7.0740080000000001</v>
      </c>
      <c r="U487" s="1" t="s">
        <v>58</v>
      </c>
      <c r="V487">
        <v>10</v>
      </c>
      <c r="W487">
        <v>60</v>
      </c>
      <c r="X487">
        <v>4</v>
      </c>
      <c r="Y487">
        <v>117.11</v>
      </c>
      <c r="Z487">
        <v>4.76</v>
      </c>
    </row>
    <row r="488" spans="1:26">
      <c r="A488" s="2">
        <v>43917</v>
      </c>
      <c r="B488" s="4">
        <v>0.125</v>
      </c>
      <c r="C488" s="1" t="s">
        <v>60</v>
      </c>
      <c r="D488">
        <v>9450</v>
      </c>
      <c r="E488">
        <v>2209</v>
      </c>
      <c r="F488">
        <v>41</v>
      </c>
      <c r="G488">
        <v>313</v>
      </c>
      <c r="H488">
        <v>54</v>
      </c>
      <c r="I488">
        <v>54</v>
      </c>
      <c r="J488">
        <v>153</v>
      </c>
      <c r="K488">
        <v>31</v>
      </c>
      <c r="L488" s="1" t="s">
        <v>62</v>
      </c>
      <c r="N488" s="1" t="s">
        <v>37</v>
      </c>
      <c r="P488" s="1" t="s">
        <v>37</v>
      </c>
      <c r="Q488">
        <v>23</v>
      </c>
      <c r="R488" s="1" t="s">
        <v>37</v>
      </c>
      <c r="S488">
        <v>46.220528000000002</v>
      </c>
      <c r="T488">
        <v>6.1329349999999998</v>
      </c>
      <c r="U488" s="1" t="s">
        <v>61</v>
      </c>
      <c r="V488">
        <v>25</v>
      </c>
      <c r="W488">
        <v>188</v>
      </c>
      <c r="X488">
        <v>7</v>
      </c>
      <c r="Y488">
        <v>446.08</v>
      </c>
      <c r="Z488">
        <v>6.26</v>
      </c>
    </row>
    <row r="489" spans="1:26">
      <c r="A489" s="2">
        <v>43917</v>
      </c>
      <c r="B489" s="4">
        <v>0.5625</v>
      </c>
      <c r="C489" s="1" t="s">
        <v>63</v>
      </c>
      <c r="E489">
        <v>44</v>
      </c>
      <c r="F489">
        <v>1</v>
      </c>
      <c r="G489">
        <v>3</v>
      </c>
      <c r="L489" s="1" t="s">
        <v>65</v>
      </c>
      <c r="N489" s="1" t="s">
        <v>37</v>
      </c>
      <c r="P489" s="1" t="s">
        <v>37</v>
      </c>
      <c r="R489" s="1" t="s">
        <v>37</v>
      </c>
      <c r="S489">
        <v>46.931042000000005</v>
      </c>
      <c r="T489">
        <v>9.0657510000000006</v>
      </c>
      <c r="U489" s="1" t="s">
        <v>64</v>
      </c>
      <c r="V489">
        <v>8</v>
      </c>
      <c r="W489">
        <v>1</v>
      </c>
      <c r="X489">
        <v>0</v>
      </c>
      <c r="Y489">
        <v>109.18</v>
      </c>
    </row>
    <row r="490" spans="1:26">
      <c r="A490" s="2">
        <v>43917</v>
      </c>
      <c r="B490" s="4">
        <v>0.125</v>
      </c>
      <c r="C490" s="1" t="s">
        <v>66</v>
      </c>
      <c r="E490">
        <v>409</v>
      </c>
      <c r="F490">
        <v>7</v>
      </c>
      <c r="G490">
        <v>52</v>
      </c>
      <c r="K490">
        <v>9</v>
      </c>
      <c r="L490" s="1" t="s">
        <v>68</v>
      </c>
      <c r="N490" s="1" t="s">
        <v>37</v>
      </c>
      <c r="P490" s="1" t="s">
        <v>37</v>
      </c>
      <c r="R490" s="1" t="s">
        <v>37</v>
      </c>
      <c r="S490">
        <v>46.656247999999998</v>
      </c>
      <c r="T490">
        <v>9.6281979999999994</v>
      </c>
      <c r="U490" s="1" t="s">
        <v>67</v>
      </c>
      <c r="V490">
        <v>1</v>
      </c>
      <c r="W490">
        <v>36</v>
      </c>
      <c r="X490">
        <v>0</v>
      </c>
      <c r="Y490">
        <v>206.67</v>
      </c>
      <c r="Z490">
        <v>4.548</v>
      </c>
    </row>
    <row r="491" spans="1:26">
      <c r="A491" s="2">
        <v>43917</v>
      </c>
      <c r="B491" s="4">
        <v>0.66666666666666663</v>
      </c>
      <c r="C491" s="1" t="s">
        <v>69</v>
      </c>
      <c r="E491">
        <v>114</v>
      </c>
      <c r="F491">
        <v>3</v>
      </c>
      <c r="G491">
        <v>25</v>
      </c>
      <c r="H491">
        <v>6</v>
      </c>
      <c r="L491" s="1" t="s">
        <v>280</v>
      </c>
      <c r="N491" s="1" t="s">
        <v>37</v>
      </c>
      <c r="P491" s="1" t="s">
        <v>37</v>
      </c>
      <c r="R491" s="1" t="s">
        <v>37</v>
      </c>
      <c r="S491">
        <v>47.350743999999999</v>
      </c>
      <c r="T491">
        <v>7.1561070000000004</v>
      </c>
      <c r="U491" s="1" t="s">
        <v>70</v>
      </c>
      <c r="V491">
        <v>26</v>
      </c>
      <c r="W491">
        <v>14</v>
      </c>
      <c r="X491">
        <v>0</v>
      </c>
      <c r="Y491">
        <v>155.53</v>
      </c>
    </row>
    <row r="492" spans="1:26">
      <c r="A492" s="2">
        <v>43917</v>
      </c>
      <c r="B492" s="4">
        <v>0.45833333333333331</v>
      </c>
      <c r="C492" s="1" t="s">
        <v>71</v>
      </c>
      <c r="E492">
        <v>287</v>
      </c>
      <c r="F492">
        <v>0</v>
      </c>
      <c r="K492">
        <v>3</v>
      </c>
      <c r="L492" s="1" t="s">
        <v>73</v>
      </c>
      <c r="N492" s="1" t="s">
        <v>37</v>
      </c>
      <c r="P492" s="1" t="s">
        <v>37</v>
      </c>
      <c r="R492" s="1" t="s">
        <v>37</v>
      </c>
      <c r="S492">
        <v>47.067762999999999</v>
      </c>
      <c r="T492">
        <v>8.1102000000000007</v>
      </c>
      <c r="U492" s="1" t="s">
        <v>72</v>
      </c>
      <c r="V492">
        <v>3</v>
      </c>
      <c r="W492">
        <v>34</v>
      </c>
      <c r="X492">
        <v>0</v>
      </c>
      <c r="Y492">
        <v>70.599999999999994</v>
      </c>
      <c r="Z492">
        <v>0.73799999999999999</v>
      </c>
    </row>
    <row r="493" spans="1:26">
      <c r="A493" s="2">
        <v>43917</v>
      </c>
      <c r="B493" s="4">
        <v>0.58333333333333337</v>
      </c>
      <c r="C493" s="1" t="s">
        <v>74</v>
      </c>
      <c r="E493">
        <v>316</v>
      </c>
      <c r="F493">
        <v>3</v>
      </c>
      <c r="G493">
        <v>45</v>
      </c>
      <c r="H493">
        <v>9</v>
      </c>
      <c r="I493">
        <v>7</v>
      </c>
      <c r="K493">
        <v>13</v>
      </c>
      <c r="L493" s="1" t="s">
        <v>76</v>
      </c>
      <c r="N493" s="1" t="s">
        <v>37</v>
      </c>
      <c r="P493" s="1" t="s">
        <v>37</v>
      </c>
      <c r="R493" s="1" t="s">
        <v>37</v>
      </c>
      <c r="S493">
        <v>46.995533999999999</v>
      </c>
      <c r="T493">
        <v>6.7801260000000001</v>
      </c>
      <c r="U493" s="1" t="s">
        <v>75</v>
      </c>
      <c r="V493">
        <v>24</v>
      </c>
      <c r="W493">
        <v>17</v>
      </c>
      <c r="X493">
        <v>1</v>
      </c>
      <c r="Y493">
        <v>177.53</v>
      </c>
      <c r="Z493">
        <v>7.3029999999999999</v>
      </c>
    </row>
    <row r="494" spans="1:26">
      <c r="A494" s="2">
        <v>43917</v>
      </c>
      <c r="B494" s="4">
        <v>0.63541666666666663</v>
      </c>
      <c r="C494" s="1" t="s">
        <v>77</v>
      </c>
      <c r="E494">
        <v>54</v>
      </c>
      <c r="F494">
        <v>0</v>
      </c>
      <c r="L494" s="1" t="s">
        <v>79</v>
      </c>
      <c r="N494" s="1" t="s">
        <v>37</v>
      </c>
      <c r="P494" s="1" t="s">
        <v>37</v>
      </c>
      <c r="R494" s="1" t="s">
        <v>37</v>
      </c>
      <c r="S494">
        <v>46.926755</v>
      </c>
      <c r="T494">
        <v>8.4053020000000007</v>
      </c>
      <c r="U494" s="1" t="s">
        <v>78</v>
      </c>
      <c r="V494">
        <v>7</v>
      </c>
      <c r="W494">
        <v>6</v>
      </c>
      <c r="X494">
        <v>0</v>
      </c>
      <c r="Y494">
        <v>125.58</v>
      </c>
    </row>
    <row r="495" spans="1:26">
      <c r="A495" s="2">
        <v>43917</v>
      </c>
      <c r="B495" s="4">
        <v>0.125</v>
      </c>
      <c r="C495" s="1" t="s">
        <v>80</v>
      </c>
      <c r="D495">
        <v>6</v>
      </c>
      <c r="E495">
        <v>37</v>
      </c>
      <c r="F495">
        <v>0</v>
      </c>
      <c r="L495" s="1" t="s">
        <v>82</v>
      </c>
      <c r="N495" s="1" t="s">
        <v>37</v>
      </c>
      <c r="P495" s="1" t="s">
        <v>37</v>
      </c>
      <c r="R495" s="1" t="s">
        <v>37</v>
      </c>
      <c r="S495">
        <v>46.804527</v>
      </c>
      <c r="T495">
        <v>8.1443170000000009</v>
      </c>
      <c r="U495" s="1" t="s">
        <v>81</v>
      </c>
      <c r="V495">
        <v>6</v>
      </c>
      <c r="W495">
        <v>7</v>
      </c>
      <c r="X495">
        <v>0</v>
      </c>
      <c r="Y495">
        <v>98.4</v>
      </c>
    </row>
    <row r="496" spans="1:26">
      <c r="A496" s="2">
        <v>43917</v>
      </c>
      <c r="B496" s="4">
        <v>0.125</v>
      </c>
      <c r="C496" s="1" t="s">
        <v>86</v>
      </c>
      <c r="E496">
        <v>37</v>
      </c>
      <c r="F496">
        <v>4</v>
      </c>
      <c r="G496">
        <v>10</v>
      </c>
      <c r="H496">
        <v>1</v>
      </c>
      <c r="K496">
        <v>0</v>
      </c>
      <c r="L496" s="1" t="s">
        <v>88</v>
      </c>
      <c r="N496" s="1" t="s">
        <v>37</v>
      </c>
      <c r="P496" s="1" t="s">
        <v>37</v>
      </c>
      <c r="R496" s="1" t="s">
        <v>37</v>
      </c>
      <c r="S496">
        <v>47.713569999999997</v>
      </c>
      <c r="T496">
        <v>8.5916700000000006</v>
      </c>
      <c r="U496" s="1" t="s">
        <v>87</v>
      </c>
      <c r="V496">
        <v>14</v>
      </c>
      <c r="W496">
        <v>1</v>
      </c>
      <c r="X496">
        <v>0</v>
      </c>
      <c r="Y496">
        <v>45.45</v>
      </c>
      <c r="Z496">
        <v>0</v>
      </c>
    </row>
    <row r="497" spans="1:26">
      <c r="A497" s="2">
        <v>43917</v>
      </c>
      <c r="B497" s="4">
        <v>0.125</v>
      </c>
      <c r="C497" s="1" t="s">
        <v>89</v>
      </c>
      <c r="E497">
        <v>157</v>
      </c>
      <c r="F497">
        <v>0</v>
      </c>
      <c r="K497">
        <v>1</v>
      </c>
      <c r="L497" s="1" t="s">
        <v>91</v>
      </c>
      <c r="N497" s="1" t="s">
        <v>37</v>
      </c>
      <c r="P497" s="1" t="s">
        <v>37</v>
      </c>
      <c r="R497" s="1" t="s">
        <v>37</v>
      </c>
      <c r="S497">
        <v>47.304135000000002</v>
      </c>
      <c r="T497">
        <v>7.6393880000000003</v>
      </c>
      <c r="U497" s="1" t="s">
        <v>90</v>
      </c>
      <c r="V497">
        <v>11</v>
      </c>
      <c r="W497">
        <v>16</v>
      </c>
      <c r="X497">
        <v>0</v>
      </c>
      <c r="Y497">
        <v>57.85</v>
      </c>
      <c r="Z497">
        <v>0.36799999999999999</v>
      </c>
    </row>
    <row r="498" spans="1:26">
      <c r="A498" s="2">
        <v>43917</v>
      </c>
      <c r="B498" s="4">
        <v>0.125</v>
      </c>
      <c r="C498" s="1" t="s">
        <v>92</v>
      </c>
      <c r="D498">
        <v>10</v>
      </c>
      <c r="E498">
        <v>119</v>
      </c>
      <c r="F498">
        <v>0</v>
      </c>
      <c r="G498">
        <v>1</v>
      </c>
      <c r="J498">
        <v>32</v>
      </c>
      <c r="K498">
        <v>1</v>
      </c>
      <c r="L498" s="1" t="s">
        <v>267</v>
      </c>
      <c r="N498" s="1" t="s">
        <v>37</v>
      </c>
      <c r="P498" s="1" t="s">
        <v>37</v>
      </c>
      <c r="R498" s="1" t="s">
        <v>37</v>
      </c>
      <c r="S498">
        <v>47.061787000000002</v>
      </c>
      <c r="T498">
        <v>8.7565849999999994</v>
      </c>
      <c r="U498" s="1" t="s">
        <v>93</v>
      </c>
      <c r="V498">
        <v>5</v>
      </c>
      <c r="W498">
        <v>20</v>
      </c>
      <c r="X498">
        <v>0</v>
      </c>
      <c r="Y498">
        <v>75.650000000000006</v>
      </c>
      <c r="Z498">
        <v>0.63600000000000001</v>
      </c>
    </row>
    <row r="499" spans="1:26">
      <c r="A499" s="2">
        <v>43917</v>
      </c>
      <c r="B499" s="4">
        <v>0.125</v>
      </c>
      <c r="C499" s="1" t="s">
        <v>95</v>
      </c>
      <c r="D499">
        <v>276</v>
      </c>
      <c r="E499">
        <v>117</v>
      </c>
      <c r="F499">
        <v>0</v>
      </c>
      <c r="K499">
        <v>2</v>
      </c>
      <c r="L499" s="1" t="s">
        <v>281</v>
      </c>
      <c r="N499" s="1" t="s">
        <v>37</v>
      </c>
      <c r="P499" s="1" t="s">
        <v>37</v>
      </c>
      <c r="R499" s="1" t="s">
        <v>37</v>
      </c>
      <c r="S499">
        <v>47.568714999999997</v>
      </c>
      <c r="T499">
        <v>9.0919570000000007</v>
      </c>
      <c r="U499" s="1" t="s">
        <v>96</v>
      </c>
      <c r="V499">
        <v>1</v>
      </c>
      <c r="W499">
        <v>7</v>
      </c>
      <c r="X499">
        <v>1</v>
      </c>
      <c r="Y499">
        <v>42.73</v>
      </c>
      <c r="Z499">
        <v>0.73</v>
      </c>
    </row>
    <row r="500" spans="1:26">
      <c r="A500" s="2">
        <v>43917</v>
      </c>
      <c r="B500" s="4">
        <v>0.33333333333333331</v>
      </c>
      <c r="C500" s="1" t="s">
        <v>98</v>
      </c>
      <c r="E500">
        <v>1688</v>
      </c>
      <c r="F500">
        <v>28</v>
      </c>
      <c r="G500">
        <v>386</v>
      </c>
      <c r="H500">
        <v>61</v>
      </c>
      <c r="I500">
        <v>51</v>
      </c>
      <c r="K500">
        <v>76</v>
      </c>
      <c r="L500" s="1" t="s">
        <v>282</v>
      </c>
      <c r="N500" s="1" t="s">
        <v>37</v>
      </c>
      <c r="P500" s="1" t="s">
        <v>283</v>
      </c>
      <c r="R500" s="1" t="s">
        <v>37</v>
      </c>
      <c r="S500">
        <v>46.295617</v>
      </c>
      <c r="T500">
        <v>8.8089239999999993</v>
      </c>
      <c r="U500" s="1" t="s">
        <v>99</v>
      </c>
      <c r="V500">
        <v>21</v>
      </c>
      <c r="W500">
        <v>287</v>
      </c>
      <c r="X500">
        <v>9</v>
      </c>
      <c r="Y500">
        <v>477.24</v>
      </c>
      <c r="Z500">
        <v>21.486999999999998</v>
      </c>
    </row>
    <row r="501" spans="1:26">
      <c r="A501" s="2">
        <v>43917</v>
      </c>
      <c r="B501" s="4">
        <v>0.125</v>
      </c>
      <c r="C501" s="1" t="s">
        <v>101</v>
      </c>
      <c r="D501">
        <v>85</v>
      </c>
      <c r="E501">
        <v>40</v>
      </c>
      <c r="F501">
        <v>3</v>
      </c>
      <c r="G501">
        <v>7</v>
      </c>
      <c r="J501">
        <v>3</v>
      </c>
      <c r="L501" s="1" t="s">
        <v>238</v>
      </c>
      <c r="N501" s="1" t="s">
        <v>37</v>
      </c>
      <c r="P501" s="1" t="s">
        <v>37</v>
      </c>
      <c r="R501" s="1" t="s">
        <v>37</v>
      </c>
      <c r="S501">
        <v>46.771849000000003</v>
      </c>
      <c r="T501">
        <v>8.6285860000000003</v>
      </c>
      <c r="U501" s="1" t="s">
        <v>102</v>
      </c>
      <c r="V501">
        <v>4</v>
      </c>
      <c r="W501">
        <v>2</v>
      </c>
      <c r="X501">
        <v>0</v>
      </c>
      <c r="Y501">
        <v>110.19</v>
      </c>
    </row>
    <row r="502" spans="1:26">
      <c r="A502" s="2">
        <v>43917</v>
      </c>
      <c r="B502" s="4">
        <v>0.125</v>
      </c>
      <c r="C502" s="1" t="s">
        <v>104</v>
      </c>
      <c r="E502">
        <v>2817</v>
      </c>
      <c r="F502">
        <v>35</v>
      </c>
      <c r="G502">
        <v>361</v>
      </c>
      <c r="H502">
        <v>61</v>
      </c>
      <c r="J502">
        <v>174</v>
      </c>
      <c r="K502">
        <v>61</v>
      </c>
      <c r="L502" s="1" t="s">
        <v>106</v>
      </c>
      <c r="N502" s="1" t="s">
        <v>37</v>
      </c>
      <c r="P502" s="1" t="s">
        <v>37</v>
      </c>
      <c r="R502" s="1" t="s">
        <v>37</v>
      </c>
      <c r="S502">
        <v>46.570090999999998</v>
      </c>
      <c r="T502">
        <v>6.5578090000000007</v>
      </c>
      <c r="U502" s="1" t="s">
        <v>105</v>
      </c>
      <c r="V502">
        <v>22</v>
      </c>
      <c r="W502">
        <v>213</v>
      </c>
      <c r="X502">
        <v>4</v>
      </c>
      <c r="Y502">
        <v>355.19</v>
      </c>
      <c r="Z502">
        <v>7.6909999999999998</v>
      </c>
    </row>
    <row r="503" spans="1:26">
      <c r="A503" s="2">
        <v>43917</v>
      </c>
      <c r="B503" s="4">
        <v>0.625</v>
      </c>
      <c r="C503" s="1" t="s">
        <v>107</v>
      </c>
      <c r="E503">
        <v>969</v>
      </c>
      <c r="F503">
        <v>10</v>
      </c>
      <c r="G503">
        <v>138</v>
      </c>
      <c r="H503">
        <v>20</v>
      </c>
      <c r="I503">
        <v>16</v>
      </c>
      <c r="J503">
        <v>3</v>
      </c>
      <c r="K503">
        <v>21</v>
      </c>
      <c r="L503" s="1" t="s">
        <v>412</v>
      </c>
      <c r="N503" s="1" t="s">
        <v>37</v>
      </c>
      <c r="P503" s="1" t="s">
        <v>37</v>
      </c>
      <c r="R503" s="1" t="s">
        <v>37</v>
      </c>
      <c r="S503">
        <v>46.209567</v>
      </c>
      <c r="T503">
        <v>7.6046589999999998</v>
      </c>
      <c r="U503" s="1" t="s">
        <v>108</v>
      </c>
      <c r="V503">
        <v>23</v>
      </c>
      <c r="W503">
        <v>94</v>
      </c>
      <c r="X503">
        <v>4</v>
      </c>
      <c r="Y503">
        <v>283.75</v>
      </c>
      <c r="Z503">
        <v>6.149</v>
      </c>
    </row>
    <row r="504" spans="1:26">
      <c r="A504" s="2">
        <v>43917</v>
      </c>
      <c r="B504" s="4">
        <v>0.33333333333333331</v>
      </c>
      <c r="C504" s="1" t="s">
        <v>109</v>
      </c>
      <c r="E504">
        <v>101</v>
      </c>
      <c r="F504">
        <v>0</v>
      </c>
      <c r="G504">
        <v>12</v>
      </c>
      <c r="H504">
        <v>5</v>
      </c>
      <c r="J504">
        <v>18</v>
      </c>
      <c r="K504">
        <v>1</v>
      </c>
      <c r="L504" s="1" t="s">
        <v>502</v>
      </c>
      <c r="N504" s="1" t="s">
        <v>37</v>
      </c>
      <c r="P504" s="1" t="s">
        <v>37</v>
      </c>
      <c r="R504" s="1" t="s">
        <v>37</v>
      </c>
      <c r="S504">
        <v>47.157296000000002</v>
      </c>
      <c r="T504">
        <v>8.5372939999999993</v>
      </c>
      <c r="U504" s="1" t="s">
        <v>110</v>
      </c>
      <c r="V504">
        <v>9</v>
      </c>
      <c r="W504">
        <v>7</v>
      </c>
      <c r="X504">
        <v>1</v>
      </c>
      <c r="Y504">
        <v>80.540000000000006</v>
      </c>
      <c r="Z504">
        <v>0.79700000000000004</v>
      </c>
    </row>
    <row r="505" spans="1:26">
      <c r="A505" s="2">
        <v>43917</v>
      </c>
      <c r="B505" s="4">
        <v>0.60416666666666663</v>
      </c>
      <c r="C505" s="1" t="s">
        <v>111</v>
      </c>
      <c r="E505">
        <v>1630</v>
      </c>
      <c r="F505">
        <v>15</v>
      </c>
      <c r="G505">
        <v>171</v>
      </c>
      <c r="I505">
        <v>38</v>
      </c>
      <c r="K505">
        <v>15</v>
      </c>
      <c r="L505" s="1" t="s">
        <v>113</v>
      </c>
      <c r="N505" s="1" t="s">
        <v>37</v>
      </c>
      <c r="P505" s="1" t="s">
        <v>37</v>
      </c>
      <c r="R505" s="1" t="s">
        <v>37</v>
      </c>
      <c r="S505">
        <v>47.412750000000003</v>
      </c>
      <c r="T505">
        <v>8.6550799999999999</v>
      </c>
      <c r="U505" s="1" t="s">
        <v>112</v>
      </c>
      <c r="V505">
        <v>1</v>
      </c>
      <c r="W505">
        <v>127</v>
      </c>
      <c r="X505">
        <v>2</v>
      </c>
      <c r="Y505">
        <v>108.36</v>
      </c>
      <c r="Z505">
        <v>0.997</v>
      </c>
    </row>
    <row r="506" spans="1:26">
      <c r="A506" s="2">
        <v>43918</v>
      </c>
      <c r="B506" s="4">
        <v>0.75</v>
      </c>
      <c r="C506" s="1" t="s">
        <v>39</v>
      </c>
      <c r="E506">
        <v>13</v>
      </c>
      <c r="F506">
        <v>0</v>
      </c>
      <c r="G506">
        <v>1</v>
      </c>
      <c r="L506" s="1" t="s">
        <v>41</v>
      </c>
      <c r="N506" s="1" t="s">
        <v>37</v>
      </c>
      <c r="P506" s="1" t="s">
        <v>37</v>
      </c>
      <c r="R506" s="1" t="s">
        <v>37</v>
      </c>
      <c r="S506">
        <v>47.317264000000002</v>
      </c>
      <c r="T506">
        <v>9.4167539999999992</v>
      </c>
      <c r="U506" s="1" t="s">
        <v>40</v>
      </c>
      <c r="V506">
        <v>16</v>
      </c>
      <c r="W506">
        <v>1</v>
      </c>
      <c r="X506">
        <v>0</v>
      </c>
      <c r="Y506">
        <v>80.75</v>
      </c>
    </row>
    <row r="507" spans="1:26">
      <c r="A507" s="2">
        <v>43918</v>
      </c>
      <c r="B507" s="4">
        <v>0.33333333333333331</v>
      </c>
      <c r="C507" s="1" t="s">
        <v>42</v>
      </c>
      <c r="E507">
        <v>45</v>
      </c>
      <c r="F507">
        <v>0</v>
      </c>
      <c r="G507">
        <v>6</v>
      </c>
      <c r="K507">
        <v>2</v>
      </c>
      <c r="L507" s="1" t="s">
        <v>44</v>
      </c>
      <c r="N507" s="1" t="s">
        <v>37</v>
      </c>
      <c r="P507" s="1" t="s">
        <v>37</v>
      </c>
      <c r="R507" s="1" t="s">
        <v>37</v>
      </c>
      <c r="S507">
        <v>47.416351999999996</v>
      </c>
      <c r="T507">
        <v>9.3679100000000002</v>
      </c>
      <c r="U507" s="1" t="s">
        <v>43</v>
      </c>
      <c r="V507">
        <v>15</v>
      </c>
      <c r="W507">
        <v>1</v>
      </c>
      <c r="X507">
        <v>0</v>
      </c>
      <c r="Y507">
        <v>81.52</v>
      </c>
      <c r="Z507">
        <v>3.6230000000000002</v>
      </c>
    </row>
    <row r="508" spans="1:26">
      <c r="A508" s="2">
        <v>43918</v>
      </c>
      <c r="B508" s="4">
        <v>0.125</v>
      </c>
      <c r="C508" s="1" t="s">
        <v>45</v>
      </c>
      <c r="E508">
        <v>767</v>
      </c>
      <c r="F508">
        <v>0</v>
      </c>
      <c r="K508">
        <v>9</v>
      </c>
      <c r="L508" s="1" t="s">
        <v>47</v>
      </c>
      <c r="N508" s="1" t="s">
        <v>37</v>
      </c>
      <c r="P508" s="1" t="s">
        <v>37</v>
      </c>
      <c r="R508" s="1" t="s">
        <v>37</v>
      </c>
      <c r="S508">
        <v>46.823608</v>
      </c>
      <c r="T508">
        <v>7.6366670000000001</v>
      </c>
      <c r="U508" s="1" t="s">
        <v>46</v>
      </c>
      <c r="V508">
        <v>2</v>
      </c>
      <c r="W508">
        <v>49</v>
      </c>
      <c r="X508">
        <v>1</v>
      </c>
      <c r="Y508">
        <v>74.39</v>
      </c>
      <c r="Z508">
        <v>0.873</v>
      </c>
    </row>
    <row r="509" spans="1:26">
      <c r="A509" s="2">
        <v>43918</v>
      </c>
      <c r="B509" s="4">
        <v>0.125</v>
      </c>
      <c r="C509" s="1" t="s">
        <v>48</v>
      </c>
      <c r="E509">
        <v>502</v>
      </c>
      <c r="F509">
        <v>-4</v>
      </c>
      <c r="G509">
        <v>75</v>
      </c>
      <c r="H509">
        <v>14</v>
      </c>
      <c r="I509">
        <v>13</v>
      </c>
      <c r="J509">
        <v>100</v>
      </c>
      <c r="K509">
        <v>6</v>
      </c>
      <c r="L509" s="1" t="s">
        <v>50</v>
      </c>
      <c r="N509" s="1" t="s">
        <v>37</v>
      </c>
      <c r="P509" s="1" t="s">
        <v>37</v>
      </c>
      <c r="R509" s="1" t="s">
        <v>37</v>
      </c>
      <c r="S509">
        <v>47.45176</v>
      </c>
      <c r="T509">
        <v>7.7024140000000001</v>
      </c>
      <c r="U509" s="1" t="s">
        <v>49</v>
      </c>
      <c r="V509">
        <v>13</v>
      </c>
      <c r="W509">
        <v>36</v>
      </c>
      <c r="X509">
        <v>1</v>
      </c>
      <c r="Y509">
        <v>174.91</v>
      </c>
      <c r="Z509">
        <v>2.0910000000000002</v>
      </c>
    </row>
    <row r="510" spans="1:26">
      <c r="A510" s="2">
        <v>43918</v>
      </c>
      <c r="B510" s="4">
        <v>0.41666666666666669</v>
      </c>
      <c r="C510" s="1" t="s">
        <v>51</v>
      </c>
      <c r="D510">
        <v>235</v>
      </c>
      <c r="E510">
        <v>573</v>
      </c>
      <c r="F510">
        <v>3</v>
      </c>
      <c r="G510">
        <v>79</v>
      </c>
      <c r="H510">
        <v>11</v>
      </c>
      <c r="J510">
        <v>211</v>
      </c>
      <c r="K510">
        <v>13</v>
      </c>
      <c r="L510" s="1" t="s">
        <v>284</v>
      </c>
      <c r="M510">
        <v>365</v>
      </c>
      <c r="N510" s="1" t="s">
        <v>272</v>
      </c>
      <c r="P510" s="1" t="s">
        <v>37</v>
      </c>
      <c r="R510" s="1" t="s">
        <v>37</v>
      </c>
      <c r="S510">
        <v>47.564869000000002</v>
      </c>
      <c r="T510">
        <v>7.615259</v>
      </c>
      <c r="U510" s="1" t="s">
        <v>52</v>
      </c>
      <c r="V510">
        <v>12</v>
      </c>
      <c r="W510">
        <v>39</v>
      </c>
      <c r="X510">
        <v>0</v>
      </c>
      <c r="Y510">
        <v>295.51</v>
      </c>
      <c r="Z510">
        <v>6.7039999999999997</v>
      </c>
    </row>
    <row r="511" spans="1:26">
      <c r="A511" s="2">
        <v>43918</v>
      </c>
      <c r="B511" s="4">
        <v>0.125</v>
      </c>
      <c r="C511" s="1" t="s">
        <v>54</v>
      </c>
      <c r="D511">
        <v>900</v>
      </c>
      <c r="E511">
        <v>61</v>
      </c>
      <c r="F511">
        <v>0</v>
      </c>
      <c r="J511">
        <v>1</v>
      </c>
      <c r="L511" s="1" t="s">
        <v>285</v>
      </c>
      <c r="N511" s="1" t="s">
        <v>37</v>
      </c>
      <c r="P511" s="1" t="s">
        <v>37</v>
      </c>
      <c r="R511" s="1" t="s">
        <v>37</v>
      </c>
      <c r="S511">
        <v>47.166666999999997</v>
      </c>
      <c r="T511">
        <v>9.509722</v>
      </c>
      <c r="U511" s="1" t="s">
        <v>55</v>
      </c>
      <c r="V511">
        <v>0</v>
      </c>
      <c r="W511">
        <v>1</v>
      </c>
      <c r="X511">
        <v>0</v>
      </c>
      <c r="Y511">
        <v>158.03</v>
      </c>
    </row>
    <row r="512" spans="1:26">
      <c r="A512" s="2">
        <v>43918</v>
      </c>
      <c r="B512" s="4">
        <v>0.125</v>
      </c>
      <c r="C512" s="1" t="s">
        <v>57</v>
      </c>
      <c r="D512">
        <v>30</v>
      </c>
      <c r="E512">
        <v>421</v>
      </c>
      <c r="F512">
        <v>17</v>
      </c>
      <c r="G512">
        <v>67</v>
      </c>
      <c r="H512">
        <v>12</v>
      </c>
      <c r="K512">
        <v>15</v>
      </c>
      <c r="L512" s="1" t="s">
        <v>59</v>
      </c>
      <c r="N512" s="1" t="s">
        <v>37</v>
      </c>
      <c r="P512" s="1" t="s">
        <v>37</v>
      </c>
      <c r="R512" s="1" t="s">
        <v>37</v>
      </c>
      <c r="S512">
        <v>46.718390999999997</v>
      </c>
      <c r="T512">
        <v>7.0740080000000001</v>
      </c>
      <c r="U512" s="1" t="s">
        <v>58</v>
      </c>
      <c r="V512">
        <v>10</v>
      </c>
      <c r="W512">
        <v>52</v>
      </c>
      <c r="X512">
        <v>0</v>
      </c>
      <c r="Y512">
        <v>133.61000000000001</v>
      </c>
      <c r="Z512">
        <v>4.76</v>
      </c>
    </row>
    <row r="513" spans="1:26">
      <c r="A513" s="2">
        <v>43918</v>
      </c>
      <c r="B513" s="4">
        <v>0.125</v>
      </c>
      <c r="C513" s="1" t="s">
        <v>60</v>
      </c>
      <c r="D513">
        <v>10057</v>
      </c>
      <c r="E513">
        <v>2405</v>
      </c>
      <c r="F513">
        <v>26</v>
      </c>
      <c r="G513">
        <v>339</v>
      </c>
      <c r="H513">
        <v>59</v>
      </c>
      <c r="I513">
        <v>54</v>
      </c>
      <c r="J513">
        <v>175</v>
      </c>
      <c r="K513">
        <v>39</v>
      </c>
      <c r="L513" s="1" t="s">
        <v>62</v>
      </c>
      <c r="N513" s="1" t="s">
        <v>37</v>
      </c>
      <c r="P513" s="1" t="s">
        <v>37</v>
      </c>
      <c r="Q513">
        <v>24</v>
      </c>
      <c r="R513" s="1" t="s">
        <v>37</v>
      </c>
      <c r="S513">
        <v>46.220528000000002</v>
      </c>
      <c r="T513">
        <v>6.1329349999999998</v>
      </c>
      <c r="U513" s="1" t="s">
        <v>61</v>
      </c>
      <c r="V513">
        <v>25</v>
      </c>
      <c r="W513">
        <v>196</v>
      </c>
      <c r="X513">
        <v>8</v>
      </c>
      <c r="Y513">
        <v>485.66</v>
      </c>
      <c r="Z513">
        <v>7.8760000000000003</v>
      </c>
    </row>
    <row r="514" spans="1:26">
      <c r="A514" s="2">
        <v>43918</v>
      </c>
      <c r="B514" s="4">
        <v>0.5625</v>
      </c>
      <c r="C514" s="1" t="s">
        <v>63</v>
      </c>
      <c r="E514">
        <v>47</v>
      </c>
      <c r="F514">
        <v>0</v>
      </c>
      <c r="G514">
        <v>3</v>
      </c>
      <c r="K514">
        <v>1</v>
      </c>
      <c r="L514" s="1" t="s">
        <v>65</v>
      </c>
      <c r="N514" s="1" t="s">
        <v>37</v>
      </c>
      <c r="P514" s="1" t="s">
        <v>37</v>
      </c>
      <c r="R514" s="1" t="s">
        <v>37</v>
      </c>
      <c r="S514">
        <v>46.931042000000005</v>
      </c>
      <c r="T514">
        <v>9.0657510000000006</v>
      </c>
      <c r="U514" s="1" t="s">
        <v>64</v>
      </c>
      <c r="V514">
        <v>8</v>
      </c>
      <c r="W514">
        <v>3</v>
      </c>
      <c r="X514">
        <v>0</v>
      </c>
      <c r="Y514">
        <v>116.63</v>
      </c>
      <c r="Z514">
        <v>2.4809999999999999</v>
      </c>
    </row>
    <row r="515" spans="1:26">
      <c r="A515" s="2">
        <v>43918</v>
      </c>
      <c r="B515" s="4">
        <v>0.66666666666666663</v>
      </c>
      <c r="C515" s="1" t="s">
        <v>69</v>
      </c>
      <c r="E515">
        <v>119</v>
      </c>
      <c r="F515">
        <v>2</v>
      </c>
      <c r="G515">
        <v>27</v>
      </c>
      <c r="H515">
        <v>5</v>
      </c>
      <c r="L515" s="1" t="s">
        <v>280</v>
      </c>
      <c r="N515" s="1" t="s">
        <v>37</v>
      </c>
      <c r="P515" s="1" t="s">
        <v>37</v>
      </c>
      <c r="R515" s="1" t="s">
        <v>37</v>
      </c>
      <c r="S515">
        <v>47.350743999999999</v>
      </c>
      <c r="T515">
        <v>7.1561070000000004</v>
      </c>
      <c r="U515" s="1" t="s">
        <v>70</v>
      </c>
      <c r="V515">
        <v>26</v>
      </c>
      <c r="W515">
        <v>5</v>
      </c>
      <c r="X515">
        <v>0</v>
      </c>
      <c r="Y515">
        <v>162.35</v>
      </c>
    </row>
    <row r="516" spans="1:26">
      <c r="A516" s="2">
        <v>43918</v>
      </c>
      <c r="B516" s="4">
        <v>0.45833333333333331</v>
      </c>
      <c r="C516" s="1" t="s">
        <v>71</v>
      </c>
      <c r="E516">
        <v>317</v>
      </c>
      <c r="F516">
        <v>0</v>
      </c>
      <c r="K516">
        <v>4</v>
      </c>
      <c r="L516" s="1" t="s">
        <v>73</v>
      </c>
      <c r="N516" s="1" t="s">
        <v>37</v>
      </c>
      <c r="P516" s="1" t="s">
        <v>37</v>
      </c>
      <c r="R516" s="1" t="s">
        <v>37</v>
      </c>
      <c r="S516">
        <v>47.067762999999999</v>
      </c>
      <c r="T516">
        <v>8.1102000000000007</v>
      </c>
      <c r="U516" s="1" t="s">
        <v>72</v>
      </c>
      <c r="V516">
        <v>3</v>
      </c>
      <c r="W516">
        <v>30</v>
      </c>
      <c r="X516">
        <v>1</v>
      </c>
      <c r="Y516">
        <v>77.98</v>
      </c>
      <c r="Z516">
        <v>0.98399999999999999</v>
      </c>
    </row>
    <row r="517" spans="1:26">
      <c r="A517" s="2">
        <v>43918</v>
      </c>
      <c r="B517" s="4">
        <v>0.58333333333333337</v>
      </c>
      <c r="C517" s="1" t="s">
        <v>74</v>
      </c>
      <c r="E517">
        <v>337</v>
      </c>
      <c r="F517">
        <v>5</v>
      </c>
      <c r="G517">
        <v>50</v>
      </c>
      <c r="H517">
        <v>11</v>
      </c>
      <c r="I517">
        <v>8</v>
      </c>
      <c r="K517">
        <v>15</v>
      </c>
      <c r="L517" s="1" t="s">
        <v>76</v>
      </c>
      <c r="N517" s="1" t="s">
        <v>37</v>
      </c>
      <c r="P517" s="1" t="s">
        <v>37</v>
      </c>
      <c r="R517" s="1" t="s">
        <v>37</v>
      </c>
      <c r="S517">
        <v>46.995533999999999</v>
      </c>
      <c r="T517">
        <v>6.7801260000000001</v>
      </c>
      <c r="U517" s="1" t="s">
        <v>75</v>
      </c>
      <c r="V517">
        <v>24</v>
      </c>
      <c r="W517">
        <v>21</v>
      </c>
      <c r="X517">
        <v>2</v>
      </c>
      <c r="Y517">
        <v>189.33</v>
      </c>
      <c r="Z517">
        <v>8.4269999999999996</v>
      </c>
    </row>
    <row r="518" spans="1:26">
      <c r="A518" s="2">
        <v>43918</v>
      </c>
      <c r="B518" s="4">
        <v>0.64583333333333337</v>
      </c>
      <c r="C518" s="1" t="s">
        <v>77</v>
      </c>
      <c r="E518">
        <v>55</v>
      </c>
      <c r="F518">
        <v>0</v>
      </c>
      <c r="L518" s="1" t="s">
        <v>79</v>
      </c>
      <c r="N518" s="1" t="s">
        <v>37</v>
      </c>
      <c r="P518" s="1" t="s">
        <v>37</v>
      </c>
      <c r="R518" s="1" t="s">
        <v>37</v>
      </c>
      <c r="S518">
        <v>46.926755</v>
      </c>
      <c r="T518">
        <v>8.4053020000000007</v>
      </c>
      <c r="U518" s="1" t="s">
        <v>78</v>
      </c>
      <c r="V518">
        <v>7</v>
      </c>
      <c r="W518">
        <v>1</v>
      </c>
      <c r="X518">
        <v>0</v>
      </c>
      <c r="Y518">
        <v>127.91</v>
      </c>
    </row>
    <row r="519" spans="1:26">
      <c r="A519" s="2">
        <v>43918</v>
      </c>
      <c r="B519" s="4">
        <v>0.125</v>
      </c>
      <c r="C519" s="1" t="s">
        <v>83</v>
      </c>
      <c r="E519">
        <v>339</v>
      </c>
      <c r="F519">
        <v>0</v>
      </c>
      <c r="K519">
        <v>5</v>
      </c>
      <c r="L519" s="1" t="s">
        <v>85</v>
      </c>
      <c r="N519" s="1" t="s">
        <v>37</v>
      </c>
      <c r="P519" s="1" t="s">
        <v>37</v>
      </c>
      <c r="R519" s="1" t="s">
        <v>37</v>
      </c>
      <c r="S519">
        <v>47.183199999999999</v>
      </c>
      <c r="T519">
        <v>9.2747440000000001</v>
      </c>
      <c r="U519" s="1" t="s">
        <v>84</v>
      </c>
      <c r="V519">
        <v>17</v>
      </c>
      <c r="W519">
        <v>33</v>
      </c>
      <c r="X519">
        <v>3</v>
      </c>
      <c r="Y519">
        <v>67.17</v>
      </c>
      <c r="Z519">
        <v>0.99099999999999999</v>
      </c>
    </row>
    <row r="520" spans="1:26">
      <c r="A520" s="2">
        <v>43918</v>
      </c>
      <c r="B520" s="4">
        <v>0.125</v>
      </c>
      <c r="C520" s="1" t="s">
        <v>86</v>
      </c>
      <c r="E520">
        <v>40</v>
      </c>
      <c r="F520">
        <v>4</v>
      </c>
      <c r="G520">
        <v>14</v>
      </c>
      <c r="H520">
        <v>1</v>
      </c>
      <c r="K520">
        <v>0</v>
      </c>
      <c r="L520" s="1" t="s">
        <v>88</v>
      </c>
      <c r="N520" s="1" t="s">
        <v>37</v>
      </c>
      <c r="P520" s="1" t="s">
        <v>37</v>
      </c>
      <c r="R520" s="1" t="s">
        <v>37</v>
      </c>
      <c r="S520">
        <v>47.713569999999997</v>
      </c>
      <c r="T520">
        <v>8.5916700000000006</v>
      </c>
      <c r="U520" s="1" t="s">
        <v>87</v>
      </c>
      <c r="V520">
        <v>14</v>
      </c>
      <c r="W520">
        <v>3</v>
      </c>
      <c r="X520">
        <v>0</v>
      </c>
      <c r="Y520">
        <v>49.14</v>
      </c>
      <c r="Z520">
        <v>0</v>
      </c>
    </row>
    <row r="521" spans="1:26">
      <c r="A521" s="2">
        <v>43918</v>
      </c>
      <c r="B521" s="4">
        <v>0.125</v>
      </c>
      <c r="C521" s="1" t="s">
        <v>89</v>
      </c>
      <c r="E521">
        <v>173</v>
      </c>
      <c r="F521">
        <v>0</v>
      </c>
      <c r="K521">
        <v>1</v>
      </c>
      <c r="L521" s="1" t="s">
        <v>91</v>
      </c>
      <c r="N521" s="1" t="s">
        <v>37</v>
      </c>
      <c r="P521" s="1" t="s">
        <v>37</v>
      </c>
      <c r="R521" s="1" t="s">
        <v>37</v>
      </c>
      <c r="S521">
        <v>47.304135000000002</v>
      </c>
      <c r="T521">
        <v>7.6393880000000003</v>
      </c>
      <c r="U521" s="1" t="s">
        <v>90</v>
      </c>
      <c r="V521">
        <v>11</v>
      </c>
      <c r="W521">
        <v>16</v>
      </c>
      <c r="X521">
        <v>0</v>
      </c>
      <c r="Y521">
        <v>63.74</v>
      </c>
      <c r="Z521">
        <v>0.36799999999999999</v>
      </c>
    </row>
    <row r="522" spans="1:26">
      <c r="A522" s="2">
        <v>43918</v>
      </c>
      <c r="B522" s="4">
        <v>0.125</v>
      </c>
      <c r="C522" s="1" t="s">
        <v>92</v>
      </c>
      <c r="D522">
        <v>10</v>
      </c>
      <c r="E522">
        <v>122</v>
      </c>
      <c r="F522">
        <v>0</v>
      </c>
      <c r="G522">
        <v>1</v>
      </c>
      <c r="J522">
        <v>33</v>
      </c>
      <c r="K522">
        <v>2</v>
      </c>
      <c r="L522" s="1" t="s">
        <v>267</v>
      </c>
      <c r="N522" s="1" t="s">
        <v>37</v>
      </c>
      <c r="P522" s="1" t="s">
        <v>37</v>
      </c>
      <c r="R522" s="1" t="s">
        <v>37</v>
      </c>
      <c r="S522">
        <v>47.061787000000002</v>
      </c>
      <c r="T522">
        <v>8.7565849999999994</v>
      </c>
      <c r="U522" s="1" t="s">
        <v>93</v>
      </c>
      <c r="V522">
        <v>5</v>
      </c>
      <c r="W522">
        <v>3</v>
      </c>
      <c r="X522">
        <v>1</v>
      </c>
      <c r="Y522">
        <v>77.56</v>
      </c>
      <c r="Z522">
        <v>1.2709999999999999</v>
      </c>
    </row>
    <row r="523" spans="1:26">
      <c r="A523" s="2">
        <v>43918</v>
      </c>
      <c r="B523" s="4">
        <v>0.125</v>
      </c>
      <c r="C523" s="1" t="s">
        <v>95</v>
      </c>
      <c r="D523">
        <v>276</v>
      </c>
      <c r="E523">
        <v>134</v>
      </c>
      <c r="F523">
        <v>0</v>
      </c>
      <c r="K523">
        <v>2</v>
      </c>
      <c r="L523" s="1" t="s">
        <v>97</v>
      </c>
      <c r="N523" s="1" t="s">
        <v>37</v>
      </c>
      <c r="P523" s="1" t="s">
        <v>37</v>
      </c>
      <c r="R523" s="1" t="s">
        <v>37</v>
      </c>
      <c r="S523">
        <v>47.568714999999997</v>
      </c>
      <c r="T523">
        <v>9.0919570000000007</v>
      </c>
      <c r="U523" s="1" t="s">
        <v>96</v>
      </c>
      <c r="V523">
        <v>1</v>
      </c>
      <c r="W523">
        <v>17</v>
      </c>
      <c r="X523">
        <v>0</v>
      </c>
      <c r="Y523">
        <v>48.94</v>
      </c>
      <c r="Z523">
        <v>0.73</v>
      </c>
    </row>
    <row r="524" spans="1:26">
      <c r="A524" s="2">
        <v>43918</v>
      </c>
      <c r="B524" s="4">
        <v>0.33333333333333331</v>
      </c>
      <c r="C524" s="1" t="s">
        <v>98</v>
      </c>
      <c r="E524">
        <v>1727</v>
      </c>
      <c r="F524">
        <v>-1</v>
      </c>
      <c r="G524">
        <v>385</v>
      </c>
      <c r="H524">
        <v>69</v>
      </c>
      <c r="I524">
        <v>60</v>
      </c>
      <c r="K524">
        <v>87</v>
      </c>
      <c r="L524" s="1" t="s">
        <v>286</v>
      </c>
      <c r="N524" s="1" t="s">
        <v>37</v>
      </c>
      <c r="P524" s="1" t="s">
        <v>287</v>
      </c>
      <c r="R524" s="1" t="s">
        <v>37</v>
      </c>
      <c r="S524">
        <v>46.295617</v>
      </c>
      <c r="T524">
        <v>8.8089239999999993</v>
      </c>
      <c r="U524" s="1" t="s">
        <v>99</v>
      </c>
      <c r="V524">
        <v>21</v>
      </c>
      <c r="W524">
        <v>39</v>
      </c>
      <c r="X524">
        <v>11</v>
      </c>
      <c r="Y524">
        <v>488.27</v>
      </c>
      <c r="Z524">
        <v>24.597000000000001</v>
      </c>
    </row>
    <row r="525" spans="1:26">
      <c r="A525" s="2">
        <v>43918</v>
      </c>
      <c r="B525" s="4">
        <v>0.125</v>
      </c>
      <c r="C525" s="1" t="s">
        <v>101</v>
      </c>
      <c r="D525">
        <v>85</v>
      </c>
      <c r="E525">
        <v>48</v>
      </c>
      <c r="F525">
        <v>0</v>
      </c>
      <c r="G525">
        <v>7</v>
      </c>
      <c r="J525">
        <v>3</v>
      </c>
      <c r="L525" s="1" t="s">
        <v>238</v>
      </c>
      <c r="N525" s="1" t="s">
        <v>37</v>
      </c>
      <c r="P525" s="1" t="s">
        <v>37</v>
      </c>
      <c r="R525" s="1" t="s">
        <v>37</v>
      </c>
      <c r="S525">
        <v>46.771849000000003</v>
      </c>
      <c r="T525">
        <v>8.6285860000000003</v>
      </c>
      <c r="U525" s="1" t="s">
        <v>102</v>
      </c>
      <c r="V525">
        <v>4</v>
      </c>
      <c r="W525">
        <v>8</v>
      </c>
      <c r="X525">
        <v>0</v>
      </c>
      <c r="Y525">
        <v>132.22999999999999</v>
      </c>
    </row>
    <row r="526" spans="1:26">
      <c r="A526" s="2">
        <v>43918</v>
      </c>
      <c r="B526" s="4">
        <v>0.125</v>
      </c>
      <c r="C526" s="1" t="s">
        <v>104</v>
      </c>
      <c r="E526">
        <v>3002</v>
      </c>
      <c r="F526">
        <v>9</v>
      </c>
      <c r="G526">
        <v>370</v>
      </c>
      <c r="H526">
        <v>63</v>
      </c>
      <c r="J526">
        <v>187</v>
      </c>
      <c r="K526">
        <v>72</v>
      </c>
      <c r="L526" s="1" t="s">
        <v>106</v>
      </c>
      <c r="N526" s="1" t="s">
        <v>37</v>
      </c>
      <c r="P526" s="1" t="s">
        <v>37</v>
      </c>
      <c r="R526" s="1" t="s">
        <v>37</v>
      </c>
      <c r="S526">
        <v>46.570090999999998</v>
      </c>
      <c r="T526">
        <v>6.5578090000000007</v>
      </c>
      <c r="U526" s="1" t="s">
        <v>105</v>
      </c>
      <c r="V526">
        <v>22</v>
      </c>
      <c r="W526">
        <v>185</v>
      </c>
      <c r="X526">
        <v>11</v>
      </c>
      <c r="Y526">
        <v>378.51</v>
      </c>
      <c r="Z526">
        <v>9.0779999999999994</v>
      </c>
    </row>
    <row r="527" spans="1:26">
      <c r="A527" s="2">
        <v>43918</v>
      </c>
      <c r="B527" s="4">
        <v>0.625</v>
      </c>
      <c r="C527" s="1" t="s">
        <v>107</v>
      </c>
      <c r="E527">
        <v>1018</v>
      </c>
      <c r="F527">
        <v>5</v>
      </c>
      <c r="G527">
        <v>143</v>
      </c>
      <c r="H527">
        <v>21</v>
      </c>
      <c r="I527">
        <v>19</v>
      </c>
      <c r="J527">
        <v>3</v>
      </c>
      <c r="K527">
        <v>25</v>
      </c>
      <c r="L527" s="1" t="s">
        <v>412</v>
      </c>
      <c r="N527" s="1" t="s">
        <v>37</v>
      </c>
      <c r="P527" s="1" t="s">
        <v>37</v>
      </c>
      <c r="R527" s="1" t="s">
        <v>37</v>
      </c>
      <c r="S527">
        <v>46.209567</v>
      </c>
      <c r="T527">
        <v>7.6046589999999998</v>
      </c>
      <c r="U527" s="1" t="s">
        <v>108</v>
      </c>
      <c r="V527">
        <v>23</v>
      </c>
      <c r="W527">
        <v>49</v>
      </c>
      <c r="X527">
        <v>4</v>
      </c>
      <c r="Y527">
        <v>298.10000000000002</v>
      </c>
      <c r="Z527">
        <v>7.3209999999999997</v>
      </c>
    </row>
    <row r="528" spans="1:26">
      <c r="A528" s="2">
        <v>43918</v>
      </c>
      <c r="B528" s="4">
        <v>0.33333333333333331</v>
      </c>
      <c r="C528" s="1" t="s">
        <v>109</v>
      </c>
      <c r="E528">
        <v>101</v>
      </c>
      <c r="F528">
        <v>0</v>
      </c>
      <c r="G528">
        <v>12</v>
      </c>
      <c r="H528">
        <v>5</v>
      </c>
      <c r="J528">
        <v>21</v>
      </c>
      <c r="K528">
        <v>1</v>
      </c>
      <c r="L528" s="1" t="s">
        <v>502</v>
      </c>
      <c r="N528" s="1" t="s">
        <v>37</v>
      </c>
      <c r="P528" s="1" t="s">
        <v>37</v>
      </c>
      <c r="R528" s="1" t="s">
        <v>37</v>
      </c>
      <c r="S528">
        <v>47.157296000000002</v>
      </c>
      <c r="T528">
        <v>8.5372939999999993</v>
      </c>
      <c r="U528" s="1" t="s">
        <v>110</v>
      </c>
      <c r="V528">
        <v>9</v>
      </c>
      <c r="W528">
        <v>0</v>
      </c>
      <c r="X528">
        <v>0</v>
      </c>
      <c r="Y528">
        <v>80.540000000000006</v>
      </c>
      <c r="Z528">
        <v>0.79700000000000004</v>
      </c>
    </row>
    <row r="529" spans="1:26">
      <c r="A529" s="2">
        <v>43918</v>
      </c>
      <c r="B529" s="4">
        <v>0.60416666666666663</v>
      </c>
      <c r="C529" s="1" t="s">
        <v>111</v>
      </c>
      <c r="E529">
        <v>1704</v>
      </c>
      <c r="F529">
        <v>16</v>
      </c>
      <c r="G529">
        <v>187</v>
      </c>
      <c r="I529">
        <v>42</v>
      </c>
      <c r="K529">
        <v>19</v>
      </c>
      <c r="L529" s="1" t="s">
        <v>113</v>
      </c>
      <c r="N529" s="1" t="s">
        <v>37</v>
      </c>
      <c r="P529" s="1" t="s">
        <v>37</v>
      </c>
      <c r="R529" s="1" t="s">
        <v>37</v>
      </c>
      <c r="S529">
        <v>47.412750000000003</v>
      </c>
      <c r="T529">
        <v>8.6550799999999999</v>
      </c>
      <c r="U529" s="1" t="s">
        <v>112</v>
      </c>
      <c r="V529">
        <v>1</v>
      </c>
      <c r="W529">
        <v>74</v>
      </c>
      <c r="X529">
        <v>4</v>
      </c>
      <c r="Y529">
        <v>113.28</v>
      </c>
      <c r="Z529">
        <v>1.2629999999999999</v>
      </c>
    </row>
    <row r="530" spans="1:26">
      <c r="A530" s="2">
        <v>43919</v>
      </c>
      <c r="B530" s="4">
        <v>0.33333333333333331</v>
      </c>
      <c r="C530" s="1" t="s">
        <v>42</v>
      </c>
      <c r="E530">
        <v>48</v>
      </c>
      <c r="F530">
        <v>0</v>
      </c>
      <c r="G530">
        <v>6</v>
      </c>
      <c r="K530">
        <v>2</v>
      </c>
      <c r="L530" s="1" t="s">
        <v>44</v>
      </c>
      <c r="N530" s="1" t="s">
        <v>37</v>
      </c>
      <c r="P530" s="1" t="s">
        <v>37</v>
      </c>
      <c r="R530" s="1" t="s">
        <v>37</v>
      </c>
      <c r="S530">
        <v>47.416351999999996</v>
      </c>
      <c r="T530">
        <v>9.3679100000000002</v>
      </c>
      <c r="U530" s="1" t="s">
        <v>43</v>
      </c>
      <c r="V530">
        <v>15</v>
      </c>
      <c r="W530">
        <v>3</v>
      </c>
      <c r="X530">
        <v>0</v>
      </c>
      <c r="Y530">
        <v>86.96</v>
      </c>
      <c r="Z530">
        <v>3.6230000000000002</v>
      </c>
    </row>
    <row r="531" spans="1:26">
      <c r="A531" s="2">
        <v>43919</v>
      </c>
      <c r="B531" s="4">
        <v>0.125</v>
      </c>
      <c r="C531" s="1" t="s">
        <v>45</v>
      </c>
      <c r="E531">
        <v>798</v>
      </c>
      <c r="F531">
        <v>0</v>
      </c>
      <c r="K531">
        <v>10</v>
      </c>
      <c r="L531" s="1" t="s">
        <v>47</v>
      </c>
      <c r="N531" s="1" t="s">
        <v>37</v>
      </c>
      <c r="P531" s="1" t="s">
        <v>37</v>
      </c>
      <c r="R531" s="1" t="s">
        <v>37</v>
      </c>
      <c r="S531">
        <v>46.823608</v>
      </c>
      <c r="T531">
        <v>7.6366670000000001</v>
      </c>
      <c r="U531" s="1" t="s">
        <v>46</v>
      </c>
      <c r="V531">
        <v>2</v>
      </c>
      <c r="W531">
        <v>31</v>
      </c>
      <c r="X531">
        <v>1</v>
      </c>
      <c r="Y531">
        <v>77.39</v>
      </c>
      <c r="Z531">
        <v>0.97</v>
      </c>
    </row>
    <row r="532" spans="1:26">
      <c r="A532" s="2">
        <v>43919</v>
      </c>
      <c r="B532" s="4">
        <v>0.125</v>
      </c>
      <c r="C532" s="1" t="s">
        <v>48</v>
      </c>
      <c r="E532">
        <v>511</v>
      </c>
      <c r="F532">
        <v>24</v>
      </c>
      <c r="G532">
        <v>99</v>
      </c>
      <c r="H532">
        <v>15</v>
      </c>
      <c r="I532">
        <v>14</v>
      </c>
      <c r="J532">
        <v>115</v>
      </c>
      <c r="K532">
        <v>6</v>
      </c>
      <c r="L532" s="1" t="s">
        <v>50</v>
      </c>
      <c r="N532" s="1" t="s">
        <v>37</v>
      </c>
      <c r="P532" s="1" t="s">
        <v>37</v>
      </c>
      <c r="R532" s="1" t="s">
        <v>37</v>
      </c>
      <c r="S532">
        <v>47.45176</v>
      </c>
      <c r="T532">
        <v>7.7024140000000001</v>
      </c>
      <c r="U532" s="1" t="s">
        <v>49</v>
      </c>
      <c r="V532">
        <v>13</v>
      </c>
      <c r="W532">
        <v>9</v>
      </c>
      <c r="X532">
        <v>0</v>
      </c>
      <c r="Y532">
        <v>178.05</v>
      </c>
      <c r="Z532">
        <v>2.0910000000000002</v>
      </c>
    </row>
    <row r="533" spans="1:26">
      <c r="A533" s="2">
        <v>43919</v>
      </c>
      <c r="B533" s="4">
        <v>0.41666666666666669</v>
      </c>
      <c r="C533" s="1" t="s">
        <v>51</v>
      </c>
      <c r="D533">
        <v>235</v>
      </c>
      <c r="E533">
        <v>609</v>
      </c>
      <c r="F533">
        <v>8</v>
      </c>
      <c r="G533">
        <v>87</v>
      </c>
      <c r="H533">
        <v>12</v>
      </c>
      <c r="J533">
        <v>228</v>
      </c>
      <c r="K533">
        <v>15</v>
      </c>
      <c r="L533" s="1" t="s">
        <v>288</v>
      </c>
      <c r="M533">
        <v>373</v>
      </c>
      <c r="N533" s="1" t="s">
        <v>289</v>
      </c>
      <c r="P533" s="1" t="s">
        <v>37</v>
      </c>
      <c r="R533" s="1" t="s">
        <v>37</v>
      </c>
      <c r="S533">
        <v>47.564869000000002</v>
      </c>
      <c r="T533">
        <v>7.615259</v>
      </c>
      <c r="U533" s="1" t="s">
        <v>52</v>
      </c>
      <c r="V533">
        <v>12</v>
      </c>
      <c r="W533">
        <v>36</v>
      </c>
      <c r="X533">
        <v>2</v>
      </c>
      <c r="Y533">
        <v>314.08</v>
      </c>
      <c r="Z533">
        <v>7.7359999999999998</v>
      </c>
    </row>
    <row r="534" spans="1:26">
      <c r="A534" s="2">
        <v>43919</v>
      </c>
      <c r="B534" s="4">
        <v>0.125</v>
      </c>
      <c r="C534" s="1" t="s">
        <v>54</v>
      </c>
      <c r="D534">
        <v>900</v>
      </c>
      <c r="E534">
        <v>62</v>
      </c>
      <c r="F534">
        <v>0</v>
      </c>
      <c r="J534">
        <v>1</v>
      </c>
      <c r="L534" s="1" t="s">
        <v>290</v>
      </c>
      <c r="N534" s="1" t="s">
        <v>37</v>
      </c>
      <c r="P534" s="1" t="s">
        <v>37</v>
      </c>
      <c r="R534" s="1" t="s">
        <v>37</v>
      </c>
      <c r="S534">
        <v>47.166666999999997</v>
      </c>
      <c r="T534">
        <v>9.509722</v>
      </c>
      <c r="U534" s="1" t="s">
        <v>55</v>
      </c>
      <c r="V534">
        <v>0</v>
      </c>
      <c r="W534">
        <v>1</v>
      </c>
      <c r="X534">
        <v>0</v>
      </c>
      <c r="Y534">
        <v>160.62</v>
      </c>
    </row>
    <row r="535" spans="1:26">
      <c r="A535" s="2">
        <v>43919</v>
      </c>
      <c r="B535" s="4">
        <v>0.125</v>
      </c>
      <c r="C535" s="1" t="s">
        <v>57</v>
      </c>
      <c r="D535">
        <v>30</v>
      </c>
      <c r="E535">
        <v>442</v>
      </c>
      <c r="F535">
        <v>9</v>
      </c>
      <c r="G535">
        <v>76</v>
      </c>
      <c r="H535">
        <v>13</v>
      </c>
      <c r="K535">
        <v>16</v>
      </c>
      <c r="L535" s="1" t="s">
        <v>59</v>
      </c>
      <c r="N535" s="1" t="s">
        <v>37</v>
      </c>
      <c r="P535" s="1" t="s">
        <v>37</v>
      </c>
      <c r="R535" s="1" t="s">
        <v>37</v>
      </c>
      <c r="S535">
        <v>46.718390999999997</v>
      </c>
      <c r="T535">
        <v>7.0740080000000001</v>
      </c>
      <c r="U535" s="1" t="s">
        <v>58</v>
      </c>
      <c r="V535">
        <v>10</v>
      </c>
      <c r="W535">
        <v>21</v>
      </c>
      <c r="X535">
        <v>1</v>
      </c>
      <c r="Y535">
        <v>140.27000000000001</v>
      </c>
      <c r="Z535">
        <v>5.0780000000000003</v>
      </c>
    </row>
    <row r="536" spans="1:26">
      <c r="A536" s="2">
        <v>43919</v>
      </c>
      <c r="B536" s="4">
        <v>0.125</v>
      </c>
      <c r="C536" s="1" t="s">
        <v>60</v>
      </c>
      <c r="D536">
        <v>10366</v>
      </c>
      <c r="E536">
        <v>2511</v>
      </c>
      <c r="F536">
        <v>26</v>
      </c>
      <c r="G536">
        <v>365</v>
      </c>
      <c r="H536">
        <v>59</v>
      </c>
      <c r="I536">
        <v>55</v>
      </c>
      <c r="J536">
        <v>193</v>
      </c>
      <c r="K536">
        <v>46</v>
      </c>
      <c r="L536" s="1" t="s">
        <v>62</v>
      </c>
      <c r="N536" s="1" t="s">
        <v>37</v>
      </c>
      <c r="P536" s="1" t="s">
        <v>37</v>
      </c>
      <c r="Q536">
        <v>27</v>
      </c>
      <c r="R536" s="1" t="s">
        <v>37</v>
      </c>
      <c r="S536">
        <v>46.220528000000002</v>
      </c>
      <c r="T536">
        <v>6.1329349999999998</v>
      </c>
      <c r="U536" s="1" t="s">
        <v>61</v>
      </c>
      <c r="V536">
        <v>25</v>
      </c>
      <c r="W536">
        <v>106</v>
      </c>
      <c r="X536">
        <v>7</v>
      </c>
      <c r="Y536">
        <v>507.07</v>
      </c>
      <c r="Z536">
        <v>9.2889999999999997</v>
      </c>
    </row>
    <row r="537" spans="1:26">
      <c r="A537" s="2">
        <v>43919</v>
      </c>
      <c r="B537" s="4">
        <v>0.66666666666666663</v>
      </c>
      <c r="C537" s="1" t="s">
        <v>69</v>
      </c>
      <c r="E537">
        <v>127</v>
      </c>
      <c r="F537">
        <v>1</v>
      </c>
      <c r="G537">
        <v>28</v>
      </c>
      <c r="H537">
        <v>5</v>
      </c>
      <c r="L537" s="1" t="s">
        <v>280</v>
      </c>
      <c r="N537" s="1" t="s">
        <v>37</v>
      </c>
      <c r="P537" s="1" t="s">
        <v>37</v>
      </c>
      <c r="R537" s="1" t="s">
        <v>37</v>
      </c>
      <c r="S537">
        <v>47.350743999999999</v>
      </c>
      <c r="T537">
        <v>7.1561070000000004</v>
      </c>
      <c r="U537" s="1" t="s">
        <v>70</v>
      </c>
      <c r="V537">
        <v>26</v>
      </c>
      <c r="W537">
        <v>8</v>
      </c>
      <c r="X537">
        <v>0</v>
      </c>
      <c r="Y537">
        <v>173.26</v>
      </c>
    </row>
    <row r="538" spans="1:26">
      <c r="A538" s="2">
        <v>43919</v>
      </c>
      <c r="B538" s="4">
        <v>0.45833333333333331</v>
      </c>
      <c r="C538" s="1" t="s">
        <v>71</v>
      </c>
      <c r="E538">
        <v>339</v>
      </c>
      <c r="F538">
        <v>0</v>
      </c>
      <c r="K538">
        <v>5</v>
      </c>
      <c r="L538" s="1" t="s">
        <v>73</v>
      </c>
      <c r="N538" s="1" t="s">
        <v>37</v>
      </c>
      <c r="P538" s="1" t="s">
        <v>37</v>
      </c>
      <c r="R538" s="1" t="s">
        <v>37</v>
      </c>
      <c r="S538">
        <v>47.067762999999999</v>
      </c>
      <c r="T538">
        <v>8.1102000000000007</v>
      </c>
      <c r="U538" s="1" t="s">
        <v>72</v>
      </c>
      <c r="V538">
        <v>3</v>
      </c>
      <c r="W538">
        <v>22</v>
      </c>
      <c r="X538">
        <v>1</v>
      </c>
      <c r="Y538">
        <v>83.39</v>
      </c>
      <c r="Z538">
        <v>1.23</v>
      </c>
    </row>
    <row r="539" spans="1:26">
      <c r="A539" s="2">
        <v>43919</v>
      </c>
      <c r="B539" s="4">
        <v>0.58333333333333337</v>
      </c>
      <c r="C539" s="1" t="s">
        <v>74</v>
      </c>
      <c r="E539">
        <v>346</v>
      </c>
      <c r="F539">
        <v>10</v>
      </c>
      <c r="G539">
        <v>60</v>
      </c>
      <c r="H539">
        <v>16</v>
      </c>
      <c r="I539">
        <v>6</v>
      </c>
      <c r="K539">
        <v>18</v>
      </c>
      <c r="L539" s="1" t="s">
        <v>76</v>
      </c>
      <c r="N539" s="1" t="s">
        <v>37</v>
      </c>
      <c r="P539" s="1" t="s">
        <v>37</v>
      </c>
      <c r="R539" s="1" t="s">
        <v>37</v>
      </c>
      <c r="S539">
        <v>46.995533999999999</v>
      </c>
      <c r="T539">
        <v>6.7801260000000001</v>
      </c>
      <c r="U539" s="1" t="s">
        <v>75</v>
      </c>
      <c r="V539">
        <v>24</v>
      </c>
      <c r="W539">
        <v>9</v>
      </c>
      <c r="X539">
        <v>3</v>
      </c>
      <c r="Y539">
        <v>194.38</v>
      </c>
      <c r="Z539">
        <v>10.112</v>
      </c>
    </row>
    <row r="540" spans="1:26">
      <c r="A540" s="2">
        <v>43919</v>
      </c>
      <c r="B540" s="4">
        <v>0.67708333333333337</v>
      </c>
      <c r="C540" s="1" t="s">
        <v>77</v>
      </c>
      <c r="E540">
        <v>59</v>
      </c>
      <c r="F540">
        <v>0</v>
      </c>
      <c r="L540" s="1" t="s">
        <v>79</v>
      </c>
      <c r="N540" s="1" t="s">
        <v>37</v>
      </c>
      <c r="P540" s="1" t="s">
        <v>37</v>
      </c>
      <c r="R540" s="1" t="s">
        <v>37</v>
      </c>
      <c r="S540">
        <v>46.926755</v>
      </c>
      <c r="T540">
        <v>8.4053020000000007</v>
      </c>
      <c r="U540" s="1" t="s">
        <v>78</v>
      </c>
      <c r="V540">
        <v>7</v>
      </c>
      <c r="W540">
        <v>4</v>
      </c>
      <c r="X540">
        <v>0</v>
      </c>
      <c r="Y540">
        <v>137.21</v>
      </c>
    </row>
    <row r="541" spans="1:26">
      <c r="A541" s="2">
        <v>43919</v>
      </c>
      <c r="B541" s="4">
        <v>0.125</v>
      </c>
      <c r="C541" s="1" t="s">
        <v>83</v>
      </c>
      <c r="E541">
        <v>365</v>
      </c>
      <c r="F541">
        <v>0</v>
      </c>
      <c r="K541">
        <v>5</v>
      </c>
      <c r="L541" s="1" t="s">
        <v>85</v>
      </c>
      <c r="N541" s="1" t="s">
        <v>37</v>
      </c>
      <c r="P541" s="1" t="s">
        <v>37</v>
      </c>
      <c r="R541" s="1" t="s">
        <v>37</v>
      </c>
      <c r="S541">
        <v>47.183199999999999</v>
      </c>
      <c r="T541">
        <v>9.2747440000000001</v>
      </c>
      <c r="U541" s="1" t="s">
        <v>84</v>
      </c>
      <c r="V541">
        <v>17</v>
      </c>
      <c r="W541">
        <v>26</v>
      </c>
      <c r="X541">
        <v>0</v>
      </c>
      <c r="Y541">
        <v>72.319999999999993</v>
      </c>
      <c r="Z541">
        <v>0.99099999999999999</v>
      </c>
    </row>
    <row r="542" spans="1:26">
      <c r="A542" s="2">
        <v>43919</v>
      </c>
      <c r="B542" s="4">
        <v>0.125</v>
      </c>
      <c r="C542" s="1" t="s">
        <v>86</v>
      </c>
      <c r="E542">
        <v>41</v>
      </c>
      <c r="F542">
        <v>1</v>
      </c>
      <c r="G542">
        <v>15</v>
      </c>
      <c r="H542">
        <v>1</v>
      </c>
      <c r="K542">
        <v>0</v>
      </c>
      <c r="L542" s="1" t="s">
        <v>88</v>
      </c>
      <c r="N542" s="1" t="s">
        <v>37</v>
      </c>
      <c r="P542" s="1" t="s">
        <v>37</v>
      </c>
      <c r="R542" s="1" t="s">
        <v>37</v>
      </c>
      <c r="S542">
        <v>47.713569999999997</v>
      </c>
      <c r="T542">
        <v>8.5916700000000006</v>
      </c>
      <c r="U542" s="1" t="s">
        <v>87</v>
      </c>
      <c r="V542">
        <v>14</v>
      </c>
      <c r="W542">
        <v>1</v>
      </c>
      <c r="X542">
        <v>0</v>
      </c>
      <c r="Y542">
        <v>50.37</v>
      </c>
      <c r="Z542">
        <v>0</v>
      </c>
    </row>
    <row r="543" spans="1:26">
      <c r="A543" s="2">
        <v>43919</v>
      </c>
      <c r="B543" s="4">
        <v>0.125</v>
      </c>
      <c r="C543" s="1" t="s">
        <v>89</v>
      </c>
      <c r="E543">
        <v>190</v>
      </c>
      <c r="F543">
        <v>0</v>
      </c>
      <c r="K543">
        <v>2</v>
      </c>
      <c r="L543" s="1" t="s">
        <v>91</v>
      </c>
      <c r="N543" s="1" t="s">
        <v>37</v>
      </c>
      <c r="P543" s="1" t="s">
        <v>37</v>
      </c>
      <c r="R543" s="1" t="s">
        <v>37</v>
      </c>
      <c r="S543">
        <v>47.304135000000002</v>
      </c>
      <c r="T543">
        <v>7.6393880000000003</v>
      </c>
      <c r="U543" s="1" t="s">
        <v>90</v>
      </c>
      <c r="V543">
        <v>11</v>
      </c>
      <c r="W543">
        <v>17</v>
      </c>
      <c r="X543">
        <v>1</v>
      </c>
      <c r="Y543">
        <v>70.010000000000005</v>
      </c>
      <c r="Z543">
        <v>0.73699999999999999</v>
      </c>
    </row>
    <row r="544" spans="1:26">
      <c r="A544" s="2">
        <v>43919</v>
      </c>
      <c r="B544" s="4">
        <v>0.125</v>
      </c>
      <c r="C544" s="1" t="s">
        <v>92</v>
      </c>
      <c r="D544">
        <v>10</v>
      </c>
      <c r="E544">
        <v>128</v>
      </c>
      <c r="F544">
        <v>0</v>
      </c>
      <c r="G544">
        <v>1</v>
      </c>
      <c r="J544">
        <v>33</v>
      </c>
      <c r="K544">
        <v>2</v>
      </c>
      <c r="L544" s="1" t="s">
        <v>267</v>
      </c>
      <c r="N544" s="1" t="s">
        <v>37</v>
      </c>
      <c r="P544" s="1" t="s">
        <v>37</v>
      </c>
      <c r="R544" s="1" t="s">
        <v>37</v>
      </c>
      <c r="S544">
        <v>47.061787000000002</v>
      </c>
      <c r="T544">
        <v>8.7565849999999994</v>
      </c>
      <c r="U544" s="1" t="s">
        <v>93</v>
      </c>
      <c r="V544">
        <v>5</v>
      </c>
      <c r="W544">
        <v>6</v>
      </c>
      <c r="X544">
        <v>0</v>
      </c>
      <c r="Y544">
        <v>81.37</v>
      </c>
      <c r="Z544">
        <v>1.2709999999999999</v>
      </c>
    </row>
    <row r="545" spans="1:26">
      <c r="A545" s="2">
        <v>43919</v>
      </c>
      <c r="B545" s="4">
        <v>0.125</v>
      </c>
      <c r="C545" s="1" t="s">
        <v>95</v>
      </c>
      <c r="D545">
        <v>276</v>
      </c>
      <c r="E545">
        <v>138</v>
      </c>
      <c r="F545">
        <v>0</v>
      </c>
      <c r="K545">
        <v>2</v>
      </c>
      <c r="L545" s="1" t="s">
        <v>97</v>
      </c>
      <c r="N545" s="1" t="s">
        <v>37</v>
      </c>
      <c r="P545" s="1" t="s">
        <v>37</v>
      </c>
      <c r="R545" s="1" t="s">
        <v>37</v>
      </c>
      <c r="S545">
        <v>47.568714999999997</v>
      </c>
      <c r="T545">
        <v>9.0919570000000007</v>
      </c>
      <c r="U545" s="1" t="s">
        <v>96</v>
      </c>
      <c r="V545">
        <v>1</v>
      </c>
      <c r="W545">
        <v>4</v>
      </c>
      <c r="X545">
        <v>0</v>
      </c>
      <c r="Y545">
        <v>50.4</v>
      </c>
      <c r="Z545">
        <v>0.73</v>
      </c>
    </row>
    <row r="546" spans="1:26">
      <c r="A546" s="2">
        <v>43919</v>
      </c>
      <c r="B546" s="4">
        <v>0.33333333333333331</v>
      </c>
      <c r="C546" s="1" t="s">
        <v>98</v>
      </c>
      <c r="E546">
        <v>1837</v>
      </c>
      <c r="F546">
        <v>17</v>
      </c>
      <c r="G546">
        <v>402</v>
      </c>
      <c r="H546">
        <v>69</v>
      </c>
      <c r="I546">
        <v>59</v>
      </c>
      <c r="K546">
        <v>93</v>
      </c>
      <c r="L546" s="1" t="s">
        <v>291</v>
      </c>
      <c r="N546" s="1" t="s">
        <v>37</v>
      </c>
      <c r="P546" s="1" t="s">
        <v>292</v>
      </c>
      <c r="R546" s="1" t="s">
        <v>37</v>
      </c>
      <c r="S546">
        <v>46.295617</v>
      </c>
      <c r="T546">
        <v>8.8089239999999993</v>
      </c>
      <c r="U546" s="1" t="s">
        <v>99</v>
      </c>
      <c r="V546">
        <v>21</v>
      </c>
      <c r="W546">
        <v>110</v>
      </c>
      <c r="X546">
        <v>6</v>
      </c>
      <c r="Y546">
        <v>519.37</v>
      </c>
      <c r="Z546">
        <v>26.292999999999999</v>
      </c>
    </row>
    <row r="547" spans="1:26">
      <c r="A547" s="2">
        <v>43919</v>
      </c>
      <c r="B547" s="4">
        <v>0.125</v>
      </c>
      <c r="C547" s="1" t="s">
        <v>101</v>
      </c>
      <c r="D547">
        <v>85</v>
      </c>
      <c r="E547">
        <v>50</v>
      </c>
      <c r="F547">
        <v>0</v>
      </c>
      <c r="G547">
        <v>7</v>
      </c>
      <c r="J547">
        <v>3</v>
      </c>
      <c r="L547" s="1" t="s">
        <v>238</v>
      </c>
      <c r="N547" s="1" t="s">
        <v>37</v>
      </c>
      <c r="P547" s="1" t="s">
        <v>37</v>
      </c>
      <c r="R547" s="1" t="s">
        <v>37</v>
      </c>
      <c r="S547">
        <v>46.771849000000003</v>
      </c>
      <c r="T547">
        <v>8.6285860000000003</v>
      </c>
      <c r="U547" s="1" t="s">
        <v>102</v>
      </c>
      <c r="V547">
        <v>4</v>
      </c>
      <c r="W547">
        <v>2</v>
      </c>
      <c r="X547">
        <v>0</v>
      </c>
      <c r="Y547">
        <v>137.74</v>
      </c>
    </row>
    <row r="548" spans="1:26">
      <c r="A548" s="2">
        <v>43919</v>
      </c>
      <c r="B548" s="4">
        <v>0.125</v>
      </c>
      <c r="C548" s="1" t="s">
        <v>104</v>
      </c>
      <c r="E548">
        <v>3246</v>
      </c>
      <c r="F548">
        <v>3</v>
      </c>
      <c r="G548">
        <v>373</v>
      </c>
      <c r="H548">
        <v>65</v>
      </c>
      <c r="J548">
        <v>203</v>
      </c>
      <c r="K548">
        <v>81</v>
      </c>
      <c r="L548" s="1" t="s">
        <v>106</v>
      </c>
      <c r="N548" s="1" t="s">
        <v>37</v>
      </c>
      <c r="P548" s="1" t="s">
        <v>37</v>
      </c>
      <c r="R548" s="1" t="s">
        <v>37</v>
      </c>
      <c r="S548">
        <v>46.570090999999998</v>
      </c>
      <c r="T548">
        <v>6.5578090000000007</v>
      </c>
      <c r="U548" s="1" t="s">
        <v>105</v>
      </c>
      <c r="V548">
        <v>22</v>
      </c>
      <c r="W548">
        <v>244</v>
      </c>
      <c r="X548">
        <v>9</v>
      </c>
      <c r="Y548">
        <v>409.28</v>
      </c>
      <c r="Z548">
        <v>10.212999999999999</v>
      </c>
    </row>
    <row r="549" spans="1:26">
      <c r="A549" s="2">
        <v>43919</v>
      </c>
      <c r="B549" s="4">
        <v>0.625</v>
      </c>
      <c r="C549" s="1" t="s">
        <v>107</v>
      </c>
      <c r="E549">
        <v>1056</v>
      </c>
      <c r="F549">
        <v>10</v>
      </c>
      <c r="G549">
        <v>153</v>
      </c>
      <c r="H549">
        <v>22</v>
      </c>
      <c r="I549">
        <v>21</v>
      </c>
      <c r="J549">
        <v>3</v>
      </c>
      <c r="K549">
        <v>31</v>
      </c>
      <c r="L549" s="1" t="s">
        <v>412</v>
      </c>
      <c r="N549" s="1" t="s">
        <v>37</v>
      </c>
      <c r="P549" s="1" t="s">
        <v>37</v>
      </c>
      <c r="R549" s="1" t="s">
        <v>37</v>
      </c>
      <c r="S549">
        <v>46.209567</v>
      </c>
      <c r="T549">
        <v>7.6046589999999998</v>
      </c>
      <c r="U549" s="1" t="s">
        <v>108</v>
      </c>
      <c r="V549">
        <v>23</v>
      </c>
      <c r="W549">
        <v>38</v>
      </c>
      <c r="X549">
        <v>6</v>
      </c>
      <c r="Y549">
        <v>309.22000000000003</v>
      </c>
      <c r="Z549">
        <v>9.0779999999999994</v>
      </c>
    </row>
    <row r="550" spans="1:26">
      <c r="A550" s="2">
        <v>43919</v>
      </c>
      <c r="B550" s="4">
        <v>0.33333333333333331</v>
      </c>
      <c r="C550" s="1" t="s">
        <v>109</v>
      </c>
      <c r="E550">
        <v>112</v>
      </c>
      <c r="F550">
        <v>1</v>
      </c>
      <c r="G550">
        <v>13</v>
      </c>
      <c r="H550">
        <v>5</v>
      </c>
      <c r="J550">
        <v>21</v>
      </c>
      <c r="K550">
        <v>1</v>
      </c>
      <c r="L550" s="1" t="s">
        <v>502</v>
      </c>
      <c r="N550" s="1" t="s">
        <v>37</v>
      </c>
      <c r="P550" s="1" t="s">
        <v>37</v>
      </c>
      <c r="R550" s="1" t="s">
        <v>37</v>
      </c>
      <c r="S550">
        <v>47.157296000000002</v>
      </c>
      <c r="T550">
        <v>8.5372939999999993</v>
      </c>
      <c r="U550" s="1" t="s">
        <v>110</v>
      </c>
      <c r="V550">
        <v>9</v>
      </c>
      <c r="W550">
        <v>11</v>
      </c>
      <c r="X550">
        <v>0</v>
      </c>
      <c r="Y550">
        <v>89.31</v>
      </c>
      <c r="Z550">
        <v>0.79700000000000004</v>
      </c>
    </row>
    <row r="551" spans="1:26">
      <c r="A551" s="2">
        <v>43919</v>
      </c>
      <c r="B551" s="4">
        <v>0.60416666666666663</v>
      </c>
      <c r="C551" s="1" t="s">
        <v>111</v>
      </c>
      <c r="E551">
        <v>1736</v>
      </c>
      <c r="F551">
        <v>7</v>
      </c>
      <c r="G551">
        <v>194</v>
      </c>
      <c r="I551">
        <v>46</v>
      </c>
      <c r="K551">
        <v>22</v>
      </c>
      <c r="L551" s="1" t="s">
        <v>113</v>
      </c>
      <c r="N551" s="1" t="s">
        <v>37</v>
      </c>
      <c r="P551" s="1" t="s">
        <v>37</v>
      </c>
      <c r="R551" s="1" t="s">
        <v>37</v>
      </c>
      <c r="S551">
        <v>47.412750000000003</v>
      </c>
      <c r="T551">
        <v>8.6550799999999999</v>
      </c>
      <c r="U551" s="1" t="s">
        <v>112</v>
      </c>
      <c r="V551">
        <v>1</v>
      </c>
      <c r="W551">
        <v>32</v>
      </c>
      <c r="X551">
        <v>3</v>
      </c>
      <c r="Y551">
        <v>115.4</v>
      </c>
      <c r="Z551">
        <v>1.462</v>
      </c>
    </row>
    <row r="552" spans="1:26">
      <c r="A552" s="2">
        <v>43920</v>
      </c>
      <c r="B552" s="4">
        <v>0.625</v>
      </c>
      <c r="C552" s="1" t="s">
        <v>35</v>
      </c>
      <c r="E552">
        <v>481</v>
      </c>
      <c r="F552">
        <v>44</v>
      </c>
      <c r="G552">
        <v>94</v>
      </c>
      <c r="H552">
        <v>25</v>
      </c>
      <c r="I552">
        <v>23</v>
      </c>
      <c r="J552">
        <v>4</v>
      </c>
      <c r="K552">
        <v>8</v>
      </c>
      <c r="L552" s="1" t="s">
        <v>293</v>
      </c>
      <c r="N552" s="1" t="s">
        <v>37</v>
      </c>
      <c r="P552" s="1" t="s">
        <v>37</v>
      </c>
      <c r="R552" s="1" t="s">
        <v>37</v>
      </c>
      <c r="S552">
        <v>47.409660000000002</v>
      </c>
      <c r="T552">
        <v>8.1568799999999992</v>
      </c>
      <c r="U552" s="1" t="s">
        <v>36</v>
      </c>
      <c r="V552">
        <v>1</v>
      </c>
      <c r="W552">
        <v>117</v>
      </c>
      <c r="X552">
        <v>5</v>
      </c>
      <c r="Y552">
        <v>71.680000000000007</v>
      </c>
      <c r="Z552">
        <v>1.1919999999999999</v>
      </c>
    </row>
    <row r="553" spans="1:26">
      <c r="A553" s="2">
        <v>43920</v>
      </c>
      <c r="B553" s="4">
        <v>0.5</v>
      </c>
      <c r="C553" s="1" t="s">
        <v>39</v>
      </c>
      <c r="E553">
        <v>14</v>
      </c>
      <c r="F553">
        <v>0</v>
      </c>
      <c r="G553">
        <v>1</v>
      </c>
      <c r="L553" s="1" t="s">
        <v>41</v>
      </c>
      <c r="N553" s="1" t="s">
        <v>37</v>
      </c>
      <c r="P553" s="1" t="s">
        <v>37</v>
      </c>
      <c r="R553" s="1" t="s">
        <v>37</v>
      </c>
      <c r="S553">
        <v>47.317264000000002</v>
      </c>
      <c r="T553">
        <v>9.4167539999999992</v>
      </c>
      <c r="U553" s="1" t="s">
        <v>40</v>
      </c>
      <c r="V553">
        <v>16</v>
      </c>
      <c r="W553">
        <v>1</v>
      </c>
      <c r="X553">
        <v>0</v>
      </c>
      <c r="Y553">
        <v>86.96</v>
      </c>
    </row>
    <row r="554" spans="1:26">
      <c r="A554" s="2">
        <v>43920</v>
      </c>
      <c r="B554" s="4">
        <v>0.75</v>
      </c>
      <c r="C554" s="1" t="s">
        <v>42</v>
      </c>
      <c r="E554">
        <v>50</v>
      </c>
      <c r="F554">
        <v>0</v>
      </c>
      <c r="G554">
        <v>6</v>
      </c>
      <c r="K554">
        <v>2</v>
      </c>
      <c r="L554" s="1" t="s">
        <v>44</v>
      </c>
      <c r="N554" s="1" t="s">
        <v>37</v>
      </c>
      <c r="P554" s="1" t="s">
        <v>37</v>
      </c>
      <c r="R554" s="1" t="s">
        <v>37</v>
      </c>
      <c r="S554">
        <v>47.416351999999996</v>
      </c>
      <c r="T554">
        <v>9.3679100000000002</v>
      </c>
      <c r="U554" s="1" t="s">
        <v>43</v>
      </c>
      <c r="V554">
        <v>15</v>
      </c>
      <c r="W554">
        <v>2</v>
      </c>
      <c r="X554">
        <v>0</v>
      </c>
      <c r="Y554">
        <v>90.58</v>
      </c>
      <c r="Z554">
        <v>3.6230000000000002</v>
      </c>
    </row>
    <row r="555" spans="1:26">
      <c r="A555" s="2">
        <v>43920</v>
      </c>
      <c r="B555" s="4">
        <v>0.29166666666666669</v>
      </c>
      <c r="C555" s="1" t="s">
        <v>45</v>
      </c>
      <c r="E555">
        <v>826</v>
      </c>
      <c r="F555">
        <v>0</v>
      </c>
      <c r="G555">
        <v>112</v>
      </c>
      <c r="H555">
        <v>21</v>
      </c>
      <c r="I555">
        <v>17</v>
      </c>
      <c r="K555">
        <v>13</v>
      </c>
      <c r="L555" s="1" t="s">
        <v>47</v>
      </c>
      <c r="N555" s="1" t="s">
        <v>37</v>
      </c>
      <c r="P555" s="1" t="s">
        <v>37</v>
      </c>
      <c r="R555" s="1" t="s">
        <v>37</v>
      </c>
      <c r="S555">
        <v>46.823608</v>
      </c>
      <c r="T555">
        <v>7.6366670000000001</v>
      </c>
      <c r="U555" s="1" t="s">
        <v>46</v>
      </c>
      <c r="V555">
        <v>2</v>
      </c>
      <c r="W555">
        <v>28</v>
      </c>
      <c r="X555">
        <v>3</v>
      </c>
      <c r="Y555">
        <v>80.11</v>
      </c>
      <c r="Z555">
        <v>1.2609999999999999</v>
      </c>
    </row>
    <row r="556" spans="1:26">
      <c r="A556" s="2">
        <v>43920</v>
      </c>
      <c r="B556" s="4">
        <v>0.125</v>
      </c>
      <c r="C556" s="1" t="s">
        <v>48</v>
      </c>
      <c r="E556">
        <v>539</v>
      </c>
      <c r="F556">
        <v>-13</v>
      </c>
      <c r="G556">
        <v>86</v>
      </c>
      <c r="H556">
        <v>17</v>
      </c>
      <c r="I556">
        <v>16</v>
      </c>
      <c r="J556">
        <v>158</v>
      </c>
      <c r="K556">
        <v>7</v>
      </c>
      <c r="L556" s="1" t="s">
        <v>50</v>
      </c>
      <c r="N556" s="1" t="s">
        <v>37</v>
      </c>
      <c r="P556" s="1" t="s">
        <v>37</v>
      </c>
      <c r="R556" s="1" t="s">
        <v>37</v>
      </c>
      <c r="S556">
        <v>47.45176</v>
      </c>
      <c r="T556">
        <v>7.7024140000000001</v>
      </c>
      <c r="U556" s="1" t="s">
        <v>49</v>
      </c>
      <c r="V556">
        <v>13</v>
      </c>
      <c r="W556">
        <v>28</v>
      </c>
      <c r="X556">
        <v>1</v>
      </c>
      <c r="Y556">
        <v>187.8</v>
      </c>
      <c r="Z556">
        <v>2.4390000000000001</v>
      </c>
    </row>
    <row r="557" spans="1:26">
      <c r="A557" s="2">
        <v>43920</v>
      </c>
      <c r="B557" s="4">
        <v>0.41666666666666669</v>
      </c>
      <c r="C557" s="1" t="s">
        <v>51</v>
      </c>
      <c r="D557">
        <v>235</v>
      </c>
      <c r="E557">
        <v>621</v>
      </c>
      <c r="F557">
        <v>3</v>
      </c>
      <c r="G557">
        <v>90</v>
      </c>
      <c r="H557">
        <v>12</v>
      </c>
      <c r="J557">
        <v>263</v>
      </c>
      <c r="K557">
        <v>15</v>
      </c>
      <c r="L557" s="1" t="s">
        <v>294</v>
      </c>
      <c r="M557">
        <v>376</v>
      </c>
      <c r="N557" s="1" t="s">
        <v>272</v>
      </c>
      <c r="P557" s="1" t="s">
        <v>37</v>
      </c>
      <c r="R557" s="1" t="s">
        <v>37</v>
      </c>
      <c r="S557">
        <v>47.564869000000002</v>
      </c>
      <c r="T557">
        <v>7.615259</v>
      </c>
      <c r="U557" s="1" t="s">
        <v>52</v>
      </c>
      <c r="V557">
        <v>12</v>
      </c>
      <c r="W557">
        <v>12</v>
      </c>
      <c r="X557">
        <v>0</v>
      </c>
      <c r="Y557">
        <v>320.27</v>
      </c>
      <c r="Z557">
        <v>7.7359999999999998</v>
      </c>
    </row>
    <row r="558" spans="1:26">
      <c r="A558" s="2">
        <v>43920</v>
      </c>
      <c r="B558" s="4">
        <v>0.125</v>
      </c>
      <c r="C558" s="1" t="s">
        <v>54</v>
      </c>
      <c r="D558">
        <v>900</v>
      </c>
      <c r="E558">
        <v>64</v>
      </c>
      <c r="F558">
        <v>0</v>
      </c>
      <c r="J558">
        <v>1</v>
      </c>
      <c r="L558" s="1" t="s">
        <v>295</v>
      </c>
      <c r="N558" s="1" t="s">
        <v>37</v>
      </c>
      <c r="P558" s="1" t="s">
        <v>37</v>
      </c>
      <c r="R558" s="1" t="s">
        <v>37</v>
      </c>
      <c r="S558">
        <v>47.166666999999997</v>
      </c>
      <c r="T558">
        <v>9.509722</v>
      </c>
      <c r="U558" s="1" t="s">
        <v>55</v>
      </c>
      <c r="V558">
        <v>0</v>
      </c>
      <c r="W558">
        <v>2</v>
      </c>
      <c r="X558">
        <v>0</v>
      </c>
      <c r="Y558">
        <v>165.8</v>
      </c>
    </row>
    <row r="559" spans="1:26">
      <c r="A559" s="2">
        <v>43920</v>
      </c>
      <c r="B559" s="4">
        <v>0.125</v>
      </c>
      <c r="C559" s="1" t="s">
        <v>57</v>
      </c>
      <c r="D559">
        <v>30</v>
      </c>
      <c r="E559">
        <v>477</v>
      </c>
      <c r="F559">
        <v>1</v>
      </c>
      <c r="G559">
        <v>77</v>
      </c>
      <c r="H559">
        <v>16</v>
      </c>
      <c r="K559">
        <v>17</v>
      </c>
      <c r="L559" s="1" t="s">
        <v>59</v>
      </c>
      <c r="N559" s="1" t="s">
        <v>37</v>
      </c>
      <c r="P559" s="1" t="s">
        <v>37</v>
      </c>
      <c r="R559" s="1" t="s">
        <v>37</v>
      </c>
      <c r="S559">
        <v>46.718390999999997</v>
      </c>
      <c r="T559">
        <v>7.0740080000000001</v>
      </c>
      <c r="U559" s="1" t="s">
        <v>58</v>
      </c>
      <c r="V559">
        <v>10</v>
      </c>
      <c r="W559">
        <v>35</v>
      </c>
      <c r="X559">
        <v>1</v>
      </c>
      <c r="Y559">
        <v>151.38</v>
      </c>
      <c r="Z559">
        <v>5.3949999999999996</v>
      </c>
    </row>
    <row r="560" spans="1:26">
      <c r="A560" s="2">
        <v>43920</v>
      </c>
      <c r="B560" s="4">
        <v>0.125</v>
      </c>
      <c r="C560" s="1" t="s">
        <v>60</v>
      </c>
      <c r="D560">
        <v>11026</v>
      </c>
      <c r="E560">
        <v>2718</v>
      </c>
      <c r="F560">
        <v>17</v>
      </c>
      <c r="G560">
        <v>382</v>
      </c>
      <c r="H560">
        <v>57</v>
      </c>
      <c r="I560">
        <v>54</v>
      </c>
      <c r="J560">
        <v>216</v>
      </c>
      <c r="K560">
        <v>55</v>
      </c>
      <c r="L560" s="1" t="s">
        <v>62</v>
      </c>
      <c r="N560" s="1" t="s">
        <v>37</v>
      </c>
      <c r="P560" s="1" t="s">
        <v>37</v>
      </c>
      <c r="Q560">
        <v>24</v>
      </c>
      <c r="R560" s="1" t="s">
        <v>37</v>
      </c>
      <c r="S560">
        <v>46.220528000000002</v>
      </c>
      <c r="T560">
        <v>6.1329349999999998</v>
      </c>
      <c r="U560" s="1" t="s">
        <v>61</v>
      </c>
      <c r="V560">
        <v>25</v>
      </c>
      <c r="W560">
        <v>207</v>
      </c>
      <c r="X560">
        <v>9</v>
      </c>
      <c r="Y560">
        <v>548.87</v>
      </c>
      <c r="Z560">
        <v>11.106999999999999</v>
      </c>
    </row>
    <row r="561" spans="1:26">
      <c r="A561" s="2">
        <v>43920</v>
      </c>
      <c r="B561" s="4">
        <v>0.5625</v>
      </c>
      <c r="C561" s="1" t="s">
        <v>63</v>
      </c>
      <c r="E561">
        <v>50</v>
      </c>
      <c r="F561">
        <v>-2</v>
      </c>
      <c r="G561">
        <v>1</v>
      </c>
      <c r="K561">
        <v>1</v>
      </c>
      <c r="L561" s="1" t="s">
        <v>65</v>
      </c>
      <c r="N561" s="1" t="s">
        <v>37</v>
      </c>
      <c r="P561" s="1" t="s">
        <v>37</v>
      </c>
      <c r="R561" s="1" t="s">
        <v>37</v>
      </c>
      <c r="S561">
        <v>46.931042000000005</v>
      </c>
      <c r="T561">
        <v>9.0657510000000006</v>
      </c>
      <c r="U561" s="1" t="s">
        <v>64</v>
      </c>
      <c r="V561">
        <v>8</v>
      </c>
      <c r="W561">
        <v>3</v>
      </c>
      <c r="X561">
        <v>0</v>
      </c>
      <c r="Y561">
        <v>124.07</v>
      </c>
      <c r="Z561">
        <v>2.4809999999999999</v>
      </c>
    </row>
    <row r="562" spans="1:26">
      <c r="A562" s="2">
        <v>43920</v>
      </c>
      <c r="B562" s="4">
        <v>0.125</v>
      </c>
      <c r="C562" s="1" t="s">
        <v>66</v>
      </c>
      <c r="E562">
        <v>497</v>
      </c>
      <c r="F562">
        <v>11</v>
      </c>
      <c r="G562">
        <v>63</v>
      </c>
      <c r="K562">
        <v>12</v>
      </c>
      <c r="L562" s="1" t="s">
        <v>68</v>
      </c>
      <c r="N562" s="1" t="s">
        <v>37</v>
      </c>
      <c r="P562" s="1" t="s">
        <v>37</v>
      </c>
      <c r="R562" s="1" t="s">
        <v>37</v>
      </c>
      <c r="S562">
        <v>46.656247999999998</v>
      </c>
      <c r="T562">
        <v>9.6281979999999994</v>
      </c>
      <c r="U562" s="1" t="s">
        <v>67</v>
      </c>
      <c r="V562">
        <v>1</v>
      </c>
      <c r="W562">
        <v>88</v>
      </c>
      <c r="X562">
        <v>3</v>
      </c>
      <c r="Y562">
        <v>251.14</v>
      </c>
      <c r="Z562">
        <v>6.0640000000000001</v>
      </c>
    </row>
    <row r="563" spans="1:26">
      <c r="A563" s="2">
        <v>43920</v>
      </c>
      <c r="B563" s="4">
        <v>0.66666666666666663</v>
      </c>
      <c r="C563" s="1" t="s">
        <v>69</v>
      </c>
      <c r="E563">
        <v>128</v>
      </c>
      <c r="F563">
        <v>0</v>
      </c>
      <c r="G563">
        <v>28</v>
      </c>
      <c r="H563">
        <v>5</v>
      </c>
      <c r="L563" s="1" t="s">
        <v>280</v>
      </c>
      <c r="N563" s="1" t="s">
        <v>37</v>
      </c>
      <c r="P563" s="1" t="s">
        <v>37</v>
      </c>
      <c r="R563" s="1" t="s">
        <v>37</v>
      </c>
      <c r="S563">
        <v>47.350743999999999</v>
      </c>
      <c r="T563">
        <v>7.1561070000000004</v>
      </c>
      <c r="U563" s="1" t="s">
        <v>70</v>
      </c>
      <c r="V563">
        <v>26</v>
      </c>
      <c r="W563">
        <v>1</v>
      </c>
      <c r="X563">
        <v>0</v>
      </c>
      <c r="Y563">
        <v>174.62</v>
      </c>
    </row>
    <row r="564" spans="1:26">
      <c r="A564" s="2">
        <v>43920</v>
      </c>
      <c r="B564" s="4">
        <v>0.45833333333333331</v>
      </c>
      <c r="C564" s="1" t="s">
        <v>71</v>
      </c>
      <c r="E564">
        <v>351</v>
      </c>
      <c r="F564">
        <v>0</v>
      </c>
      <c r="K564">
        <v>6</v>
      </c>
      <c r="L564" s="1" t="s">
        <v>73</v>
      </c>
      <c r="N564" s="1" t="s">
        <v>37</v>
      </c>
      <c r="P564" s="1" t="s">
        <v>37</v>
      </c>
      <c r="R564" s="1" t="s">
        <v>37</v>
      </c>
      <c r="S564">
        <v>47.067762999999999</v>
      </c>
      <c r="T564">
        <v>8.1102000000000007</v>
      </c>
      <c r="U564" s="1" t="s">
        <v>72</v>
      </c>
      <c r="V564">
        <v>3</v>
      </c>
      <c r="W564">
        <v>12</v>
      </c>
      <c r="X564">
        <v>1</v>
      </c>
      <c r="Y564">
        <v>86.35</v>
      </c>
      <c r="Z564">
        <v>1.476</v>
      </c>
    </row>
    <row r="565" spans="1:26">
      <c r="A565" s="2">
        <v>43920</v>
      </c>
      <c r="B565" s="4">
        <v>0.58333333333333337</v>
      </c>
      <c r="C565" s="1" t="s">
        <v>74</v>
      </c>
      <c r="E565">
        <v>378</v>
      </c>
      <c r="F565">
        <v>-3</v>
      </c>
      <c r="G565">
        <v>57</v>
      </c>
      <c r="H565">
        <v>12</v>
      </c>
      <c r="I565">
        <v>6</v>
      </c>
      <c r="K565">
        <v>21</v>
      </c>
      <c r="L565" s="1" t="s">
        <v>76</v>
      </c>
      <c r="N565" s="1" t="s">
        <v>37</v>
      </c>
      <c r="P565" s="1" t="s">
        <v>37</v>
      </c>
      <c r="R565" s="1" t="s">
        <v>37</v>
      </c>
      <c r="S565">
        <v>46.995533999999999</v>
      </c>
      <c r="T565">
        <v>6.7801260000000001</v>
      </c>
      <c r="U565" s="1" t="s">
        <v>75</v>
      </c>
      <c r="V565">
        <v>24</v>
      </c>
      <c r="W565">
        <v>32</v>
      </c>
      <c r="X565">
        <v>3</v>
      </c>
      <c r="Y565">
        <v>212.36</v>
      </c>
      <c r="Z565">
        <v>11.798</v>
      </c>
    </row>
    <row r="566" spans="1:26">
      <c r="A566" s="2">
        <v>43920</v>
      </c>
      <c r="B566" s="4">
        <v>0.71875</v>
      </c>
      <c r="C566" s="1" t="s">
        <v>77</v>
      </c>
      <c r="E566">
        <v>63</v>
      </c>
      <c r="F566">
        <v>0</v>
      </c>
      <c r="L566" s="1" t="s">
        <v>79</v>
      </c>
      <c r="N566" s="1" t="s">
        <v>37</v>
      </c>
      <c r="P566" s="1" t="s">
        <v>37</v>
      </c>
      <c r="R566" s="1" t="s">
        <v>37</v>
      </c>
      <c r="S566">
        <v>46.926755</v>
      </c>
      <c r="T566">
        <v>8.4053020000000007</v>
      </c>
      <c r="U566" s="1" t="s">
        <v>78</v>
      </c>
      <c r="V566">
        <v>7</v>
      </c>
      <c r="W566">
        <v>4</v>
      </c>
      <c r="X566">
        <v>0</v>
      </c>
      <c r="Y566">
        <v>146.51</v>
      </c>
    </row>
    <row r="567" spans="1:26">
      <c r="A567" s="2">
        <v>43920</v>
      </c>
      <c r="B567" s="4">
        <v>0.125</v>
      </c>
      <c r="C567" s="1" t="s">
        <v>80</v>
      </c>
      <c r="D567">
        <v>6</v>
      </c>
      <c r="E567">
        <v>46</v>
      </c>
      <c r="F567">
        <v>0</v>
      </c>
      <c r="L567" s="1" t="s">
        <v>82</v>
      </c>
      <c r="N567" s="1" t="s">
        <v>37</v>
      </c>
      <c r="P567" s="1" t="s">
        <v>37</v>
      </c>
      <c r="R567" s="1" t="s">
        <v>37</v>
      </c>
      <c r="S567">
        <v>46.804527</v>
      </c>
      <c r="T567">
        <v>8.1443170000000009</v>
      </c>
      <c r="U567" s="1" t="s">
        <v>81</v>
      </c>
      <c r="V567">
        <v>6</v>
      </c>
      <c r="W567">
        <v>9</v>
      </c>
      <c r="X567">
        <v>0</v>
      </c>
      <c r="Y567">
        <v>122.34</v>
      </c>
    </row>
    <row r="568" spans="1:26">
      <c r="A568" s="2">
        <v>43920</v>
      </c>
      <c r="B568" s="4">
        <v>0.125</v>
      </c>
      <c r="C568" s="1" t="s">
        <v>83</v>
      </c>
      <c r="E568">
        <v>389</v>
      </c>
      <c r="F568">
        <v>0</v>
      </c>
      <c r="K568">
        <v>5</v>
      </c>
      <c r="L568" s="1" t="s">
        <v>85</v>
      </c>
      <c r="N568" s="1" t="s">
        <v>37</v>
      </c>
      <c r="P568" s="1" t="s">
        <v>37</v>
      </c>
      <c r="R568" s="1" t="s">
        <v>37</v>
      </c>
      <c r="S568">
        <v>47.183199999999999</v>
      </c>
      <c r="T568">
        <v>9.2747440000000001</v>
      </c>
      <c r="U568" s="1" t="s">
        <v>84</v>
      </c>
      <c r="V568">
        <v>17</v>
      </c>
      <c r="W568">
        <v>24</v>
      </c>
      <c r="X568">
        <v>0</v>
      </c>
      <c r="Y568">
        <v>77.08</v>
      </c>
      <c r="Z568">
        <v>0.99099999999999999</v>
      </c>
    </row>
    <row r="569" spans="1:26">
      <c r="A569" s="2">
        <v>43920</v>
      </c>
      <c r="B569" s="4">
        <v>0.125</v>
      </c>
      <c r="C569" s="1" t="s">
        <v>86</v>
      </c>
      <c r="E569">
        <v>42</v>
      </c>
      <c r="F569">
        <v>4</v>
      </c>
      <c r="G569">
        <v>19</v>
      </c>
      <c r="H569">
        <v>3</v>
      </c>
      <c r="K569">
        <v>0</v>
      </c>
      <c r="L569" s="1" t="s">
        <v>88</v>
      </c>
      <c r="N569" s="1" t="s">
        <v>37</v>
      </c>
      <c r="P569" s="1" t="s">
        <v>37</v>
      </c>
      <c r="R569" s="1" t="s">
        <v>37</v>
      </c>
      <c r="S569">
        <v>47.713569999999997</v>
      </c>
      <c r="T569">
        <v>8.5916700000000006</v>
      </c>
      <c r="U569" s="1" t="s">
        <v>87</v>
      </c>
      <c r="V569">
        <v>14</v>
      </c>
      <c r="W569">
        <v>1</v>
      </c>
      <c r="X569">
        <v>0</v>
      </c>
      <c r="Y569">
        <v>51.6</v>
      </c>
      <c r="Z569">
        <v>0</v>
      </c>
    </row>
    <row r="570" spans="1:26">
      <c r="A570" s="2">
        <v>43920</v>
      </c>
      <c r="B570" s="4">
        <v>0.125</v>
      </c>
      <c r="C570" s="1" t="s">
        <v>92</v>
      </c>
      <c r="D570">
        <v>10</v>
      </c>
      <c r="E570">
        <v>135</v>
      </c>
      <c r="F570">
        <v>0</v>
      </c>
      <c r="G570">
        <v>1</v>
      </c>
      <c r="J570">
        <v>33</v>
      </c>
      <c r="K570">
        <v>2</v>
      </c>
      <c r="L570" s="1" t="s">
        <v>267</v>
      </c>
      <c r="N570" s="1" t="s">
        <v>37</v>
      </c>
      <c r="P570" s="1" t="s">
        <v>37</v>
      </c>
      <c r="R570" s="1" t="s">
        <v>37</v>
      </c>
      <c r="S570">
        <v>47.061787000000002</v>
      </c>
      <c r="T570">
        <v>8.7565849999999994</v>
      </c>
      <c r="U570" s="1" t="s">
        <v>93</v>
      </c>
      <c r="V570">
        <v>5</v>
      </c>
      <c r="W570">
        <v>7</v>
      </c>
      <c r="X570">
        <v>0</v>
      </c>
      <c r="Y570">
        <v>85.82</v>
      </c>
      <c r="Z570">
        <v>1.2709999999999999</v>
      </c>
    </row>
    <row r="571" spans="1:26">
      <c r="A571" s="2">
        <v>43920</v>
      </c>
      <c r="B571" s="4">
        <v>0.125</v>
      </c>
      <c r="C571" s="1" t="s">
        <v>95</v>
      </c>
      <c r="D571">
        <v>276</v>
      </c>
      <c r="E571">
        <v>148</v>
      </c>
      <c r="F571">
        <v>0</v>
      </c>
      <c r="K571">
        <v>2</v>
      </c>
      <c r="L571" s="1" t="s">
        <v>97</v>
      </c>
      <c r="N571" s="1" t="s">
        <v>37</v>
      </c>
      <c r="P571" s="1" t="s">
        <v>37</v>
      </c>
      <c r="R571" s="1" t="s">
        <v>37</v>
      </c>
      <c r="S571">
        <v>47.568714999999997</v>
      </c>
      <c r="T571">
        <v>9.0919570000000007</v>
      </c>
      <c r="U571" s="1" t="s">
        <v>96</v>
      </c>
      <c r="V571">
        <v>1</v>
      </c>
      <c r="W571">
        <v>10</v>
      </c>
      <c r="X571">
        <v>0</v>
      </c>
      <c r="Y571">
        <v>54.05</v>
      </c>
      <c r="Z571">
        <v>0.73</v>
      </c>
    </row>
    <row r="572" spans="1:26">
      <c r="A572" s="2">
        <v>43920</v>
      </c>
      <c r="B572" s="4">
        <v>0.33333333333333331</v>
      </c>
      <c r="C572" s="1" t="s">
        <v>98</v>
      </c>
      <c r="E572">
        <v>1962</v>
      </c>
      <c r="F572">
        <v>13</v>
      </c>
      <c r="G572">
        <v>415</v>
      </c>
      <c r="H572">
        <v>75</v>
      </c>
      <c r="I572">
        <v>61</v>
      </c>
      <c r="K572">
        <v>105</v>
      </c>
      <c r="L572" s="1" t="s">
        <v>296</v>
      </c>
      <c r="N572" s="1" t="s">
        <v>37</v>
      </c>
      <c r="P572" s="1" t="s">
        <v>297</v>
      </c>
      <c r="R572" s="1" t="s">
        <v>37</v>
      </c>
      <c r="S572">
        <v>46.295617</v>
      </c>
      <c r="T572">
        <v>8.8089239999999993</v>
      </c>
      <c r="U572" s="1" t="s">
        <v>99</v>
      </c>
      <c r="V572">
        <v>21</v>
      </c>
      <c r="W572">
        <v>125</v>
      </c>
      <c r="X572">
        <v>12</v>
      </c>
      <c r="Y572">
        <v>554.71</v>
      </c>
      <c r="Z572">
        <v>29.686</v>
      </c>
    </row>
    <row r="573" spans="1:26">
      <c r="A573" s="2">
        <v>43920</v>
      </c>
      <c r="B573" s="4">
        <v>0.125</v>
      </c>
      <c r="C573" s="1" t="s">
        <v>101</v>
      </c>
      <c r="D573">
        <v>85</v>
      </c>
      <c r="E573">
        <v>53</v>
      </c>
      <c r="F573">
        <v>0</v>
      </c>
      <c r="G573">
        <v>7</v>
      </c>
      <c r="J573">
        <v>9</v>
      </c>
      <c r="L573" s="1" t="s">
        <v>238</v>
      </c>
      <c r="N573" s="1" t="s">
        <v>37</v>
      </c>
      <c r="P573" s="1" t="s">
        <v>37</v>
      </c>
      <c r="R573" s="1" t="s">
        <v>37</v>
      </c>
      <c r="S573">
        <v>46.771849000000003</v>
      </c>
      <c r="T573">
        <v>8.6285860000000003</v>
      </c>
      <c r="U573" s="1" t="s">
        <v>102</v>
      </c>
      <c r="V573">
        <v>4</v>
      </c>
      <c r="W573">
        <v>3</v>
      </c>
      <c r="X573">
        <v>0</v>
      </c>
      <c r="Y573">
        <v>146.01</v>
      </c>
    </row>
    <row r="574" spans="1:26">
      <c r="A574" s="2">
        <v>43920</v>
      </c>
      <c r="B574" s="4">
        <v>0.125</v>
      </c>
      <c r="C574" s="1" t="s">
        <v>104</v>
      </c>
      <c r="E574">
        <v>3351</v>
      </c>
      <c r="F574">
        <v>3</v>
      </c>
      <c r="G574">
        <v>376</v>
      </c>
      <c r="H574">
        <v>68</v>
      </c>
      <c r="J574">
        <v>223</v>
      </c>
      <c r="K574">
        <v>92</v>
      </c>
      <c r="L574" s="1" t="s">
        <v>106</v>
      </c>
      <c r="N574" s="1" t="s">
        <v>37</v>
      </c>
      <c r="P574" s="1" t="s">
        <v>37</v>
      </c>
      <c r="R574" s="1" t="s">
        <v>37</v>
      </c>
      <c r="S574">
        <v>46.570090999999998</v>
      </c>
      <c r="T574">
        <v>6.5578090000000007</v>
      </c>
      <c r="U574" s="1" t="s">
        <v>105</v>
      </c>
      <c r="V574">
        <v>22</v>
      </c>
      <c r="W574">
        <v>105</v>
      </c>
      <c r="X574">
        <v>11</v>
      </c>
      <c r="Y574">
        <v>422.52</v>
      </c>
      <c r="Z574">
        <v>11.6</v>
      </c>
    </row>
    <row r="575" spans="1:26">
      <c r="A575" s="2">
        <v>43920</v>
      </c>
      <c r="B575" s="4">
        <v>0.625</v>
      </c>
      <c r="C575" s="1" t="s">
        <v>107</v>
      </c>
      <c r="E575">
        <v>1145</v>
      </c>
      <c r="F575">
        <v>0</v>
      </c>
      <c r="G575">
        <v>153</v>
      </c>
      <c r="H575">
        <v>25</v>
      </c>
      <c r="I575">
        <v>23</v>
      </c>
      <c r="J575">
        <v>3</v>
      </c>
      <c r="K575">
        <v>35</v>
      </c>
      <c r="L575" s="1" t="s">
        <v>412</v>
      </c>
      <c r="N575" s="1" t="s">
        <v>37</v>
      </c>
      <c r="P575" s="1" t="s">
        <v>37</v>
      </c>
      <c r="R575" s="1" t="s">
        <v>37</v>
      </c>
      <c r="S575">
        <v>46.209567</v>
      </c>
      <c r="T575">
        <v>7.6046589999999998</v>
      </c>
      <c r="U575" s="1" t="s">
        <v>108</v>
      </c>
      <c r="V575">
        <v>23</v>
      </c>
      <c r="W575">
        <v>89</v>
      </c>
      <c r="X575">
        <v>4</v>
      </c>
      <c r="Y575">
        <v>335.29</v>
      </c>
      <c r="Z575">
        <v>10.249000000000001</v>
      </c>
    </row>
    <row r="576" spans="1:26">
      <c r="A576" s="2">
        <v>43920</v>
      </c>
      <c r="B576" s="4">
        <v>0.33333333333333331</v>
      </c>
      <c r="C576" s="1" t="s">
        <v>109</v>
      </c>
      <c r="E576">
        <v>114</v>
      </c>
      <c r="F576">
        <v>1</v>
      </c>
      <c r="G576">
        <v>14</v>
      </c>
      <c r="H576">
        <v>6</v>
      </c>
      <c r="J576">
        <v>29</v>
      </c>
      <c r="K576">
        <v>1</v>
      </c>
      <c r="L576" s="1" t="s">
        <v>502</v>
      </c>
      <c r="N576" s="1" t="s">
        <v>37</v>
      </c>
      <c r="P576" s="1" t="s">
        <v>37</v>
      </c>
      <c r="R576" s="1" t="s">
        <v>37</v>
      </c>
      <c r="S576">
        <v>47.157296000000002</v>
      </c>
      <c r="T576">
        <v>8.5372939999999993</v>
      </c>
      <c r="U576" s="1" t="s">
        <v>110</v>
      </c>
      <c r="V576">
        <v>9</v>
      </c>
      <c r="W576">
        <v>2</v>
      </c>
      <c r="X576">
        <v>0</v>
      </c>
      <c r="Y576">
        <v>90.91</v>
      </c>
      <c r="Z576">
        <v>0.79700000000000004</v>
      </c>
    </row>
    <row r="577" spans="1:26">
      <c r="A577" s="2">
        <v>43920</v>
      </c>
      <c r="B577" s="4">
        <v>0.60416666666666663</v>
      </c>
      <c r="C577" s="1" t="s">
        <v>111</v>
      </c>
      <c r="E577">
        <v>1862</v>
      </c>
      <c r="F577">
        <v>3</v>
      </c>
      <c r="G577">
        <v>197</v>
      </c>
      <c r="I577">
        <v>46</v>
      </c>
      <c r="K577">
        <v>24</v>
      </c>
      <c r="L577" s="1" t="s">
        <v>113</v>
      </c>
      <c r="N577" s="1" t="s">
        <v>37</v>
      </c>
      <c r="P577" s="1" t="s">
        <v>37</v>
      </c>
      <c r="R577" s="1" t="s">
        <v>37</v>
      </c>
      <c r="S577">
        <v>47.412750000000003</v>
      </c>
      <c r="T577">
        <v>8.6550799999999999</v>
      </c>
      <c r="U577" s="1" t="s">
        <v>112</v>
      </c>
      <c r="V577">
        <v>1</v>
      </c>
      <c r="W577">
        <v>126</v>
      </c>
      <c r="X577">
        <v>2</v>
      </c>
      <c r="Y577">
        <v>123.78</v>
      </c>
      <c r="Z577">
        <v>1.595</v>
      </c>
    </row>
    <row r="578" spans="1:26">
      <c r="A578" s="2">
        <v>43921</v>
      </c>
      <c r="B578" s="4">
        <v>0.625</v>
      </c>
      <c r="C578" s="1" t="s">
        <v>35</v>
      </c>
      <c r="E578">
        <v>499</v>
      </c>
      <c r="F578">
        <v>-9</v>
      </c>
      <c r="G578">
        <v>85</v>
      </c>
      <c r="H578">
        <v>25</v>
      </c>
      <c r="I578">
        <v>25</v>
      </c>
      <c r="J578">
        <v>4</v>
      </c>
      <c r="K578">
        <v>11</v>
      </c>
      <c r="L578" s="1" t="s">
        <v>298</v>
      </c>
      <c r="N578" s="1" t="s">
        <v>37</v>
      </c>
      <c r="P578" s="1" t="s">
        <v>37</v>
      </c>
      <c r="R578" s="1" t="s">
        <v>37</v>
      </c>
      <c r="S578">
        <v>47.409660000000002</v>
      </c>
      <c r="T578">
        <v>8.1568799999999992</v>
      </c>
      <c r="U578" s="1" t="s">
        <v>36</v>
      </c>
      <c r="V578">
        <v>1</v>
      </c>
      <c r="W578">
        <v>18</v>
      </c>
      <c r="X578">
        <v>3</v>
      </c>
      <c r="Y578">
        <v>74.37</v>
      </c>
      <c r="Z578">
        <v>1.639</v>
      </c>
    </row>
    <row r="579" spans="1:26">
      <c r="A579" s="2">
        <v>43921</v>
      </c>
      <c r="B579" s="4">
        <v>0.5</v>
      </c>
      <c r="C579" s="1" t="s">
        <v>39</v>
      </c>
      <c r="E579">
        <v>14</v>
      </c>
      <c r="F579">
        <v>0</v>
      </c>
      <c r="G579">
        <v>1</v>
      </c>
      <c r="L579" s="1" t="s">
        <v>41</v>
      </c>
      <c r="N579" s="1" t="s">
        <v>37</v>
      </c>
      <c r="P579" s="1" t="s">
        <v>37</v>
      </c>
      <c r="R579" s="1" t="s">
        <v>37</v>
      </c>
      <c r="S579">
        <v>47.317264000000002</v>
      </c>
      <c r="T579">
        <v>9.4167539999999992</v>
      </c>
      <c r="U579" s="1" t="s">
        <v>40</v>
      </c>
      <c r="V579">
        <v>16</v>
      </c>
      <c r="W579">
        <v>0</v>
      </c>
      <c r="X579">
        <v>0</v>
      </c>
      <c r="Y579">
        <v>86.96</v>
      </c>
    </row>
    <row r="580" spans="1:26">
      <c r="A580" s="2">
        <v>43921</v>
      </c>
      <c r="B580" s="4">
        <v>0.66666666666666663</v>
      </c>
      <c r="C580" s="1" t="s">
        <v>42</v>
      </c>
      <c r="E580">
        <v>58</v>
      </c>
      <c r="F580">
        <v>0</v>
      </c>
      <c r="G580">
        <v>6</v>
      </c>
      <c r="K580">
        <v>2</v>
      </c>
      <c r="L580" s="1" t="s">
        <v>44</v>
      </c>
      <c r="N580" s="1" t="s">
        <v>37</v>
      </c>
      <c r="P580" s="1" t="s">
        <v>37</v>
      </c>
      <c r="R580" s="1" t="s">
        <v>37</v>
      </c>
      <c r="S580">
        <v>47.416351999999996</v>
      </c>
      <c r="T580">
        <v>9.3679100000000002</v>
      </c>
      <c r="U580" s="1" t="s">
        <v>43</v>
      </c>
      <c r="V580">
        <v>15</v>
      </c>
      <c r="W580">
        <v>8</v>
      </c>
      <c r="X580">
        <v>0</v>
      </c>
      <c r="Y580">
        <v>105.07</v>
      </c>
      <c r="Z580">
        <v>3.6230000000000002</v>
      </c>
    </row>
    <row r="581" spans="1:26">
      <c r="A581" s="2">
        <v>43921</v>
      </c>
      <c r="B581" s="4">
        <v>0.33333333333333331</v>
      </c>
      <c r="C581" s="1" t="s">
        <v>45</v>
      </c>
      <c r="E581">
        <v>856</v>
      </c>
      <c r="F581">
        <v>-1</v>
      </c>
      <c r="G581">
        <v>111</v>
      </c>
      <c r="H581">
        <v>23</v>
      </c>
      <c r="I581">
        <v>18</v>
      </c>
      <c r="K581">
        <v>16</v>
      </c>
      <c r="L581" s="1" t="s">
        <v>47</v>
      </c>
      <c r="N581" s="1" t="s">
        <v>37</v>
      </c>
      <c r="P581" s="1" t="s">
        <v>37</v>
      </c>
      <c r="R581" s="1" t="s">
        <v>37</v>
      </c>
      <c r="S581">
        <v>46.823608</v>
      </c>
      <c r="T581">
        <v>7.6366670000000001</v>
      </c>
      <c r="U581" s="1" t="s">
        <v>46</v>
      </c>
      <c r="V581">
        <v>2</v>
      </c>
      <c r="W581">
        <v>30</v>
      </c>
      <c r="X581">
        <v>3</v>
      </c>
      <c r="Y581">
        <v>83.02</v>
      </c>
      <c r="Z581">
        <v>1.552</v>
      </c>
    </row>
    <row r="582" spans="1:26">
      <c r="A582" s="2">
        <v>43921</v>
      </c>
      <c r="B582" s="4">
        <v>0.125</v>
      </c>
      <c r="C582" s="1" t="s">
        <v>48</v>
      </c>
      <c r="E582">
        <v>561</v>
      </c>
      <c r="F582">
        <v>2</v>
      </c>
      <c r="G582">
        <v>88</v>
      </c>
      <c r="H582">
        <v>18</v>
      </c>
      <c r="I582">
        <v>16</v>
      </c>
      <c r="J582">
        <v>242</v>
      </c>
      <c r="K582">
        <v>10</v>
      </c>
      <c r="L582" s="1" t="s">
        <v>50</v>
      </c>
      <c r="N582" s="1" t="s">
        <v>37</v>
      </c>
      <c r="P582" s="1" t="s">
        <v>37</v>
      </c>
      <c r="R582" s="1" t="s">
        <v>37</v>
      </c>
      <c r="S582">
        <v>47.45176</v>
      </c>
      <c r="T582">
        <v>7.7024140000000001</v>
      </c>
      <c r="U582" s="1" t="s">
        <v>49</v>
      </c>
      <c r="V582">
        <v>13</v>
      </c>
      <c r="W582">
        <v>22</v>
      </c>
      <c r="X582">
        <v>3</v>
      </c>
      <c r="Y582">
        <v>195.47</v>
      </c>
      <c r="Z582">
        <v>3.484</v>
      </c>
    </row>
    <row r="583" spans="1:26">
      <c r="A583" s="2">
        <v>43921</v>
      </c>
      <c r="B583" s="4">
        <v>0.41666666666666669</v>
      </c>
      <c r="C583" s="1" t="s">
        <v>51</v>
      </c>
      <c r="D583">
        <v>235</v>
      </c>
      <c r="E583">
        <v>657</v>
      </c>
      <c r="F583">
        <v>15</v>
      </c>
      <c r="G583">
        <v>105</v>
      </c>
      <c r="H583">
        <v>15</v>
      </c>
      <c r="J583">
        <v>292</v>
      </c>
      <c r="K583">
        <v>16</v>
      </c>
      <c r="L583" s="1" t="s">
        <v>299</v>
      </c>
      <c r="M583">
        <v>381</v>
      </c>
      <c r="N583" s="1" t="s">
        <v>300</v>
      </c>
      <c r="P583" s="1" t="s">
        <v>37</v>
      </c>
      <c r="R583" s="1" t="s">
        <v>37</v>
      </c>
      <c r="S583">
        <v>47.564869000000002</v>
      </c>
      <c r="T583">
        <v>7.615259</v>
      </c>
      <c r="U583" s="1" t="s">
        <v>52</v>
      </c>
      <c r="V583">
        <v>12</v>
      </c>
      <c r="W583">
        <v>36</v>
      </c>
      <c r="X583">
        <v>1</v>
      </c>
      <c r="Y583">
        <v>338.83</v>
      </c>
      <c r="Z583">
        <v>8.2520000000000007</v>
      </c>
    </row>
    <row r="584" spans="1:26">
      <c r="A584" s="2">
        <v>43921</v>
      </c>
      <c r="B584" s="4">
        <v>0.125</v>
      </c>
      <c r="C584" s="1" t="s">
        <v>54</v>
      </c>
      <c r="D584">
        <v>900</v>
      </c>
      <c r="E584">
        <v>68</v>
      </c>
      <c r="F584">
        <v>0</v>
      </c>
      <c r="J584">
        <v>1</v>
      </c>
      <c r="L584" s="1" t="s">
        <v>301</v>
      </c>
      <c r="N584" s="1" t="s">
        <v>37</v>
      </c>
      <c r="P584" s="1" t="s">
        <v>37</v>
      </c>
      <c r="R584" s="1" t="s">
        <v>37</v>
      </c>
      <c r="S584">
        <v>47.166666999999997</v>
      </c>
      <c r="T584">
        <v>9.509722</v>
      </c>
      <c r="U584" s="1" t="s">
        <v>55</v>
      </c>
      <c r="V584">
        <v>0</v>
      </c>
      <c r="W584">
        <v>4</v>
      </c>
      <c r="X584">
        <v>0</v>
      </c>
      <c r="Y584">
        <v>176.17</v>
      </c>
    </row>
    <row r="585" spans="1:26">
      <c r="A585" s="2">
        <v>43921</v>
      </c>
      <c r="B585" s="4">
        <v>0.125</v>
      </c>
      <c r="C585" s="1" t="s">
        <v>57</v>
      </c>
      <c r="D585">
        <v>30</v>
      </c>
      <c r="E585">
        <v>491</v>
      </c>
      <c r="F585">
        <v>0</v>
      </c>
      <c r="G585">
        <v>77</v>
      </c>
      <c r="H585">
        <v>20</v>
      </c>
      <c r="K585">
        <v>20</v>
      </c>
      <c r="L585" s="1" t="s">
        <v>59</v>
      </c>
      <c r="N585" s="1" t="s">
        <v>37</v>
      </c>
      <c r="P585" s="1" t="s">
        <v>37</v>
      </c>
      <c r="R585" s="1" t="s">
        <v>37</v>
      </c>
      <c r="S585">
        <v>46.718390999999997</v>
      </c>
      <c r="T585">
        <v>7.0740080000000001</v>
      </c>
      <c r="U585" s="1" t="s">
        <v>58</v>
      </c>
      <c r="V585">
        <v>10</v>
      </c>
      <c r="W585">
        <v>14</v>
      </c>
      <c r="X585">
        <v>3</v>
      </c>
      <c r="Y585">
        <v>155.82</v>
      </c>
      <c r="Z585">
        <v>6.3470000000000004</v>
      </c>
    </row>
    <row r="586" spans="1:26">
      <c r="A586" s="2">
        <v>43921</v>
      </c>
      <c r="B586" s="4">
        <v>0.125</v>
      </c>
      <c r="C586" s="1" t="s">
        <v>60</v>
      </c>
      <c r="D586">
        <v>11784</v>
      </c>
      <c r="E586">
        <v>2948</v>
      </c>
      <c r="F586">
        <v>23</v>
      </c>
      <c r="G586">
        <v>405</v>
      </c>
      <c r="H586">
        <v>64</v>
      </c>
      <c r="I586">
        <v>49</v>
      </c>
      <c r="J586">
        <v>241</v>
      </c>
      <c r="K586">
        <v>63</v>
      </c>
      <c r="L586" s="1" t="s">
        <v>62</v>
      </c>
      <c r="N586" s="1" t="s">
        <v>37</v>
      </c>
      <c r="P586" s="1" t="s">
        <v>37</v>
      </c>
      <c r="Q586">
        <v>20</v>
      </c>
      <c r="R586" s="1" t="s">
        <v>37</v>
      </c>
      <c r="S586">
        <v>46.220528000000002</v>
      </c>
      <c r="T586">
        <v>6.1329349999999998</v>
      </c>
      <c r="U586" s="1" t="s">
        <v>61</v>
      </c>
      <c r="V586">
        <v>25</v>
      </c>
      <c r="W586">
        <v>230</v>
      </c>
      <c r="X586">
        <v>8</v>
      </c>
      <c r="Y586">
        <v>595.32000000000005</v>
      </c>
      <c r="Z586">
        <v>12.722</v>
      </c>
    </row>
    <row r="587" spans="1:26">
      <c r="A587" s="2">
        <v>43921</v>
      </c>
      <c r="B587" s="4">
        <v>0.5625</v>
      </c>
      <c r="C587" s="1" t="s">
        <v>63</v>
      </c>
      <c r="E587">
        <v>53</v>
      </c>
      <c r="F587">
        <v>4</v>
      </c>
      <c r="G587">
        <v>5</v>
      </c>
      <c r="K587">
        <v>2</v>
      </c>
      <c r="L587" s="1" t="s">
        <v>65</v>
      </c>
      <c r="N587" s="1" t="s">
        <v>37</v>
      </c>
      <c r="P587" s="1" t="s">
        <v>37</v>
      </c>
      <c r="R587" s="1" t="s">
        <v>37</v>
      </c>
      <c r="S587">
        <v>46.931042000000005</v>
      </c>
      <c r="T587">
        <v>9.0657510000000006</v>
      </c>
      <c r="U587" s="1" t="s">
        <v>64</v>
      </c>
      <c r="V587">
        <v>8</v>
      </c>
      <c r="W587">
        <v>3</v>
      </c>
      <c r="X587">
        <v>1</v>
      </c>
      <c r="Y587">
        <v>131.51</v>
      </c>
      <c r="Z587">
        <v>4.9630000000000001</v>
      </c>
    </row>
    <row r="588" spans="1:26">
      <c r="A588" s="2">
        <v>43921</v>
      </c>
      <c r="B588" s="4">
        <v>0.125</v>
      </c>
      <c r="C588" s="1" t="s">
        <v>66</v>
      </c>
      <c r="E588">
        <v>513</v>
      </c>
      <c r="F588">
        <v>-5</v>
      </c>
      <c r="G588">
        <v>58</v>
      </c>
      <c r="K588">
        <v>19</v>
      </c>
      <c r="L588" s="1" t="s">
        <v>68</v>
      </c>
      <c r="N588" s="1" t="s">
        <v>37</v>
      </c>
      <c r="P588" s="1" t="s">
        <v>37</v>
      </c>
      <c r="R588" s="1" t="s">
        <v>37</v>
      </c>
      <c r="S588">
        <v>46.656247999999998</v>
      </c>
      <c r="T588">
        <v>9.6281979999999994</v>
      </c>
      <c r="U588" s="1" t="s">
        <v>67</v>
      </c>
      <c r="V588">
        <v>1</v>
      </c>
      <c r="W588">
        <v>16</v>
      </c>
      <c r="X588">
        <v>7</v>
      </c>
      <c r="Y588">
        <v>259.22000000000003</v>
      </c>
      <c r="Z588">
        <v>9.6010000000000009</v>
      </c>
    </row>
    <row r="589" spans="1:26">
      <c r="A589" s="2">
        <v>43921</v>
      </c>
      <c r="B589" s="4">
        <v>0.66666666666666663</v>
      </c>
      <c r="C589" s="1" t="s">
        <v>69</v>
      </c>
      <c r="E589">
        <v>140</v>
      </c>
      <c r="F589">
        <v>1</v>
      </c>
      <c r="G589">
        <v>29</v>
      </c>
      <c r="H589">
        <v>5</v>
      </c>
      <c r="L589" s="1" t="s">
        <v>280</v>
      </c>
      <c r="N589" s="1" t="s">
        <v>37</v>
      </c>
      <c r="P589" s="1" t="s">
        <v>37</v>
      </c>
      <c r="R589" s="1" t="s">
        <v>37</v>
      </c>
      <c r="S589">
        <v>47.350743999999999</v>
      </c>
      <c r="T589">
        <v>7.1561070000000004</v>
      </c>
      <c r="U589" s="1" t="s">
        <v>70</v>
      </c>
      <c r="V589">
        <v>26</v>
      </c>
      <c r="W589">
        <v>12</v>
      </c>
      <c r="X589">
        <v>0</v>
      </c>
      <c r="Y589">
        <v>191</v>
      </c>
    </row>
    <row r="590" spans="1:26">
      <c r="A590" s="2">
        <v>43921</v>
      </c>
      <c r="B590" s="4">
        <v>0.45833333333333331</v>
      </c>
      <c r="C590" s="1" t="s">
        <v>71</v>
      </c>
      <c r="E590">
        <v>375</v>
      </c>
      <c r="F590">
        <v>0</v>
      </c>
      <c r="K590">
        <v>7</v>
      </c>
      <c r="L590" s="1" t="s">
        <v>73</v>
      </c>
      <c r="N590" s="1" t="s">
        <v>37</v>
      </c>
      <c r="P590" s="1" t="s">
        <v>37</v>
      </c>
      <c r="R590" s="1" t="s">
        <v>37</v>
      </c>
      <c r="S590">
        <v>47.067762999999999</v>
      </c>
      <c r="T590">
        <v>8.1102000000000007</v>
      </c>
      <c r="U590" s="1" t="s">
        <v>72</v>
      </c>
      <c r="V590">
        <v>3</v>
      </c>
      <c r="W590">
        <v>24</v>
      </c>
      <c r="X590">
        <v>1</v>
      </c>
      <c r="Y590">
        <v>92.25</v>
      </c>
      <c r="Z590">
        <v>1.722</v>
      </c>
    </row>
    <row r="591" spans="1:26">
      <c r="A591" s="2">
        <v>43921</v>
      </c>
      <c r="B591" s="4">
        <v>0.66666666666666663</v>
      </c>
      <c r="C591" s="1" t="s">
        <v>74</v>
      </c>
      <c r="E591">
        <v>402</v>
      </c>
      <c r="F591">
        <v>2</v>
      </c>
      <c r="G591">
        <v>59</v>
      </c>
      <c r="H591">
        <v>14</v>
      </c>
      <c r="I591">
        <v>8</v>
      </c>
      <c r="K591">
        <v>23</v>
      </c>
      <c r="L591" s="1" t="s">
        <v>76</v>
      </c>
      <c r="N591" s="1" t="s">
        <v>37</v>
      </c>
      <c r="P591" s="1" t="s">
        <v>37</v>
      </c>
      <c r="R591" s="1" t="s">
        <v>37</v>
      </c>
      <c r="S591">
        <v>46.995533999999999</v>
      </c>
      <c r="T591">
        <v>6.7801260000000001</v>
      </c>
      <c r="U591" s="1" t="s">
        <v>75</v>
      </c>
      <c r="V591">
        <v>24</v>
      </c>
      <c r="W591">
        <v>24</v>
      </c>
      <c r="X591">
        <v>2</v>
      </c>
      <c r="Y591">
        <v>225.84</v>
      </c>
      <c r="Z591">
        <v>12.920999999999999</v>
      </c>
    </row>
    <row r="592" spans="1:26">
      <c r="A592" s="2">
        <v>43921</v>
      </c>
      <c r="B592" s="4">
        <v>0.64583333333333337</v>
      </c>
      <c r="C592" s="1" t="s">
        <v>77</v>
      </c>
      <c r="E592">
        <v>70</v>
      </c>
      <c r="F592">
        <v>0</v>
      </c>
      <c r="L592" s="1" t="s">
        <v>79</v>
      </c>
      <c r="N592" s="1" t="s">
        <v>37</v>
      </c>
      <c r="P592" s="1" t="s">
        <v>37</v>
      </c>
      <c r="R592" s="1" t="s">
        <v>37</v>
      </c>
      <c r="S592">
        <v>46.926755</v>
      </c>
      <c r="T592">
        <v>8.4053020000000007</v>
      </c>
      <c r="U592" s="1" t="s">
        <v>78</v>
      </c>
      <c r="V592">
        <v>7</v>
      </c>
      <c r="W592">
        <v>7</v>
      </c>
      <c r="X592">
        <v>0</v>
      </c>
      <c r="Y592">
        <v>162.79</v>
      </c>
    </row>
    <row r="593" spans="1:26">
      <c r="A593" s="2">
        <v>43921</v>
      </c>
      <c r="B593" s="4">
        <v>0.125</v>
      </c>
      <c r="C593" s="1" t="s">
        <v>80</v>
      </c>
      <c r="D593">
        <v>6</v>
      </c>
      <c r="E593">
        <v>46</v>
      </c>
      <c r="F593">
        <v>0</v>
      </c>
      <c r="L593" s="1" t="s">
        <v>82</v>
      </c>
      <c r="N593" s="1" t="s">
        <v>37</v>
      </c>
      <c r="P593" s="1" t="s">
        <v>37</v>
      </c>
      <c r="R593" s="1" t="s">
        <v>37</v>
      </c>
      <c r="S593">
        <v>46.804527</v>
      </c>
      <c r="T593">
        <v>8.1443170000000009</v>
      </c>
      <c r="U593" s="1" t="s">
        <v>81</v>
      </c>
      <c r="V593">
        <v>6</v>
      </c>
      <c r="W593">
        <v>0</v>
      </c>
      <c r="X593">
        <v>0</v>
      </c>
      <c r="Y593">
        <v>122.34</v>
      </c>
    </row>
    <row r="594" spans="1:26">
      <c r="A594" s="2">
        <v>43921</v>
      </c>
      <c r="B594" s="4">
        <v>0.125</v>
      </c>
      <c r="C594" s="1" t="s">
        <v>83</v>
      </c>
      <c r="E594">
        <v>414</v>
      </c>
      <c r="F594">
        <v>0</v>
      </c>
      <c r="K594">
        <v>7</v>
      </c>
      <c r="L594" s="1" t="s">
        <v>85</v>
      </c>
      <c r="N594" s="1" t="s">
        <v>37</v>
      </c>
      <c r="P594" s="1" t="s">
        <v>37</v>
      </c>
      <c r="R594" s="1" t="s">
        <v>37</v>
      </c>
      <c r="S594">
        <v>47.183199999999999</v>
      </c>
      <c r="T594">
        <v>9.2747440000000001</v>
      </c>
      <c r="U594" s="1" t="s">
        <v>84</v>
      </c>
      <c r="V594">
        <v>17</v>
      </c>
      <c r="W594">
        <v>25</v>
      </c>
      <c r="X594">
        <v>2</v>
      </c>
      <c r="Y594">
        <v>82.03</v>
      </c>
      <c r="Z594">
        <v>1.387</v>
      </c>
    </row>
    <row r="595" spans="1:26">
      <c r="A595" s="2">
        <v>43921</v>
      </c>
      <c r="B595" s="4">
        <v>0.125</v>
      </c>
      <c r="C595" s="1" t="s">
        <v>86</v>
      </c>
      <c r="E595">
        <v>44</v>
      </c>
      <c r="F595">
        <v>-1</v>
      </c>
      <c r="G595">
        <v>18</v>
      </c>
      <c r="H595">
        <v>3</v>
      </c>
      <c r="K595">
        <v>1</v>
      </c>
      <c r="L595" s="1" t="s">
        <v>88</v>
      </c>
      <c r="N595" s="1" t="s">
        <v>37</v>
      </c>
      <c r="P595" s="1" t="s">
        <v>37</v>
      </c>
      <c r="R595" s="1" t="s">
        <v>37</v>
      </c>
      <c r="S595">
        <v>47.713569999999997</v>
      </c>
      <c r="T595">
        <v>8.5916700000000006</v>
      </c>
      <c r="U595" s="1" t="s">
        <v>87</v>
      </c>
      <c r="V595">
        <v>14</v>
      </c>
      <c r="W595">
        <v>2</v>
      </c>
      <c r="X595">
        <v>1</v>
      </c>
      <c r="Y595">
        <v>54.05</v>
      </c>
      <c r="Z595">
        <v>1.2290000000000001</v>
      </c>
    </row>
    <row r="596" spans="1:26">
      <c r="A596" s="2">
        <v>43921</v>
      </c>
      <c r="B596" s="4">
        <v>0.125</v>
      </c>
      <c r="C596" s="1" t="s">
        <v>89</v>
      </c>
      <c r="E596">
        <v>196</v>
      </c>
      <c r="F596">
        <v>0</v>
      </c>
      <c r="K596">
        <v>2</v>
      </c>
      <c r="L596" s="1" t="s">
        <v>91</v>
      </c>
      <c r="N596" s="1" t="s">
        <v>37</v>
      </c>
      <c r="P596" s="1" t="s">
        <v>37</v>
      </c>
      <c r="R596" s="1" t="s">
        <v>37</v>
      </c>
      <c r="S596">
        <v>47.304135000000002</v>
      </c>
      <c r="T596">
        <v>7.6393880000000003</v>
      </c>
      <c r="U596" s="1" t="s">
        <v>90</v>
      </c>
      <c r="V596">
        <v>11</v>
      </c>
      <c r="W596">
        <v>6</v>
      </c>
      <c r="X596">
        <v>0</v>
      </c>
      <c r="Y596">
        <v>72.22</v>
      </c>
      <c r="Z596">
        <v>0.73699999999999999</v>
      </c>
    </row>
    <row r="597" spans="1:26">
      <c r="A597" s="2">
        <v>43921</v>
      </c>
      <c r="B597" s="4">
        <v>0.125</v>
      </c>
      <c r="C597" s="1" t="s">
        <v>92</v>
      </c>
      <c r="D597">
        <v>10</v>
      </c>
      <c r="E597">
        <v>141</v>
      </c>
      <c r="F597">
        <v>0</v>
      </c>
      <c r="G597">
        <v>1</v>
      </c>
      <c r="J597">
        <v>48</v>
      </c>
      <c r="K597">
        <v>4</v>
      </c>
      <c r="L597" s="1" t="s">
        <v>267</v>
      </c>
      <c r="N597" s="1" t="s">
        <v>37</v>
      </c>
      <c r="P597" s="1" t="s">
        <v>37</v>
      </c>
      <c r="R597" s="1" t="s">
        <v>37</v>
      </c>
      <c r="S597">
        <v>47.061787000000002</v>
      </c>
      <c r="T597">
        <v>8.7565849999999994</v>
      </c>
      <c r="U597" s="1" t="s">
        <v>93</v>
      </c>
      <c r="V597">
        <v>5</v>
      </c>
      <c r="W597">
        <v>6</v>
      </c>
      <c r="X597">
        <v>2</v>
      </c>
      <c r="Y597">
        <v>89.64</v>
      </c>
      <c r="Z597">
        <v>2.5430000000000001</v>
      </c>
    </row>
    <row r="598" spans="1:26">
      <c r="A598" s="2">
        <v>43921</v>
      </c>
      <c r="B598" s="4">
        <v>0.125</v>
      </c>
      <c r="C598" s="1" t="s">
        <v>95</v>
      </c>
      <c r="D598">
        <v>276</v>
      </c>
      <c r="E598">
        <v>154</v>
      </c>
      <c r="F598">
        <v>0</v>
      </c>
      <c r="K598">
        <v>3</v>
      </c>
      <c r="L598" s="1" t="s">
        <v>97</v>
      </c>
      <c r="N598" s="1" t="s">
        <v>37</v>
      </c>
      <c r="P598" s="1" t="s">
        <v>37</v>
      </c>
      <c r="R598" s="1" t="s">
        <v>37</v>
      </c>
      <c r="S598">
        <v>47.568714999999997</v>
      </c>
      <c r="T598">
        <v>9.0919570000000007</v>
      </c>
      <c r="U598" s="1" t="s">
        <v>96</v>
      </c>
      <c r="V598">
        <v>1</v>
      </c>
      <c r="W598">
        <v>6</v>
      </c>
      <c r="X598">
        <v>1</v>
      </c>
      <c r="Y598">
        <v>56.25</v>
      </c>
      <c r="Z598">
        <v>1.0960000000000001</v>
      </c>
    </row>
    <row r="599" spans="1:26">
      <c r="A599" s="2">
        <v>43921</v>
      </c>
      <c r="B599" s="4">
        <v>0.33333333333333331</v>
      </c>
      <c r="C599" s="1" t="s">
        <v>98</v>
      </c>
      <c r="E599">
        <v>2091</v>
      </c>
      <c r="F599">
        <v>-14</v>
      </c>
      <c r="G599">
        <v>401</v>
      </c>
      <c r="H599">
        <v>74</v>
      </c>
      <c r="I599">
        <v>67</v>
      </c>
      <c r="J599">
        <v>202</v>
      </c>
      <c r="K599">
        <v>120</v>
      </c>
      <c r="L599" s="1" t="s">
        <v>302</v>
      </c>
      <c r="N599" s="1" t="s">
        <v>37</v>
      </c>
      <c r="P599" s="1" t="s">
        <v>303</v>
      </c>
      <c r="R599" s="1" t="s">
        <v>37</v>
      </c>
      <c r="S599">
        <v>46.295617</v>
      </c>
      <c r="T599">
        <v>8.8089239999999993</v>
      </c>
      <c r="U599" s="1" t="s">
        <v>99</v>
      </c>
      <c r="V599">
        <v>21</v>
      </c>
      <c r="W599">
        <v>129</v>
      </c>
      <c r="X599">
        <v>15</v>
      </c>
      <c r="Y599">
        <v>591.17999999999995</v>
      </c>
      <c r="Z599">
        <v>33.927</v>
      </c>
    </row>
    <row r="600" spans="1:26">
      <c r="A600" s="2">
        <v>43921</v>
      </c>
      <c r="B600" s="4">
        <v>0.125</v>
      </c>
      <c r="C600" s="1" t="s">
        <v>101</v>
      </c>
      <c r="D600">
        <v>85</v>
      </c>
      <c r="E600">
        <v>57</v>
      </c>
      <c r="F600">
        <v>2</v>
      </c>
      <c r="G600">
        <v>9</v>
      </c>
      <c r="J600">
        <v>11</v>
      </c>
      <c r="L600" s="1" t="s">
        <v>238</v>
      </c>
      <c r="N600" s="1" t="s">
        <v>37</v>
      </c>
      <c r="P600" s="1" t="s">
        <v>37</v>
      </c>
      <c r="R600" s="1" t="s">
        <v>37</v>
      </c>
      <c r="S600">
        <v>46.771849000000003</v>
      </c>
      <c r="T600">
        <v>8.6285860000000003</v>
      </c>
      <c r="U600" s="1" t="s">
        <v>102</v>
      </c>
      <c r="V600">
        <v>4</v>
      </c>
      <c r="W600">
        <v>4</v>
      </c>
      <c r="X600">
        <v>0</v>
      </c>
      <c r="Y600">
        <v>157.02000000000001</v>
      </c>
    </row>
    <row r="601" spans="1:26">
      <c r="A601" s="2">
        <v>43921</v>
      </c>
      <c r="B601" s="4">
        <v>0.125</v>
      </c>
      <c r="C601" s="1" t="s">
        <v>104</v>
      </c>
      <c r="E601">
        <v>3548</v>
      </c>
      <c r="F601">
        <v>8</v>
      </c>
      <c r="G601">
        <v>384</v>
      </c>
      <c r="H601">
        <v>71</v>
      </c>
      <c r="J601">
        <v>225</v>
      </c>
      <c r="K601">
        <v>104</v>
      </c>
      <c r="L601" s="1" t="s">
        <v>106</v>
      </c>
      <c r="N601" s="1" t="s">
        <v>37</v>
      </c>
      <c r="P601" s="1" t="s">
        <v>37</v>
      </c>
      <c r="R601" s="1" t="s">
        <v>37</v>
      </c>
      <c r="S601">
        <v>46.570090999999998</v>
      </c>
      <c r="T601">
        <v>6.5578090000000007</v>
      </c>
      <c r="U601" s="1" t="s">
        <v>105</v>
      </c>
      <c r="V601">
        <v>22</v>
      </c>
      <c r="W601">
        <v>197</v>
      </c>
      <c r="X601">
        <v>12</v>
      </c>
      <c r="Y601">
        <v>447.36</v>
      </c>
      <c r="Z601">
        <v>13.113</v>
      </c>
    </row>
    <row r="602" spans="1:26">
      <c r="A602" s="2">
        <v>43921</v>
      </c>
      <c r="B602" s="4">
        <v>0.625</v>
      </c>
      <c r="C602" s="1" t="s">
        <v>107</v>
      </c>
      <c r="E602">
        <v>1212</v>
      </c>
      <c r="F602">
        <v>-1</v>
      </c>
      <c r="G602">
        <v>152</v>
      </c>
      <c r="H602">
        <v>24</v>
      </c>
      <c r="I602">
        <v>23</v>
      </c>
      <c r="J602">
        <v>3</v>
      </c>
      <c r="K602">
        <v>37</v>
      </c>
      <c r="L602" s="1" t="s">
        <v>412</v>
      </c>
      <c r="N602" s="1" t="s">
        <v>37</v>
      </c>
      <c r="P602" s="1" t="s">
        <v>37</v>
      </c>
      <c r="R602" s="1" t="s">
        <v>37</v>
      </c>
      <c r="S602">
        <v>46.209567</v>
      </c>
      <c r="T602">
        <v>7.6046589999999998</v>
      </c>
      <c r="U602" s="1" t="s">
        <v>108</v>
      </c>
      <c r="V602">
        <v>23</v>
      </c>
      <c r="W602">
        <v>67</v>
      </c>
      <c r="X602">
        <v>2</v>
      </c>
      <c r="Y602">
        <v>354.9</v>
      </c>
      <c r="Z602">
        <v>10.835000000000001</v>
      </c>
    </row>
    <row r="603" spans="1:26">
      <c r="A603" s="2">
        <v>43921</v>
      </c>
      <c r="B603" s="4">
        <v>0.33333333333333331</v>
      </c>
      <c r="C603" s="1" t="s">
        <v>109</v>
      </c>
      <c r="E603">
        <v>125</v>
      </c>
      <c r="F603">
        <v>-1</v>
      </c>
      <c r="G603">
        <v>13</v>
      </c>
      <c r="H603">
        <v>5</v>
      </c>
      <c r="J603">
        <v>39</v>
      </c>
      <c r="K603">
        <v>1</v>
      </c>
      <c r="L603" s="1" t="s">
        <v>502</v>
      </c>
      <c r="N603" s="1" t="s">
        <v>37</v>
      </c>
      <c r="P603" s="1" t="s">
        <v>37</v>
      </c>
      <c r="R603" s="1" t="s">
        <v>37</v>
      </c>
      <c r="S603">
        <v>47.157296000000002</v>
      </c>
      <c r="T603">
        <v>8.5372939999999993</v>
      </c>
      <c r="U603" s="1" t="s">
        <v>110</v>
      </c>
      <c r="V603">
        <v>9</v>
      </c>
      <c r="W603">
        <v>11</v>
      </c>
      <c r="X603">
        <v>0</v>
      </c>
      <c r="Y603">
        <v>99.68</v>
      </c>
      <c r="Z603">
        <v>0.79700000000000004</v>
      </c>
    </row>
    <row r="604" spans="1:26">
      <c r="A604" s="2">
        <v>43921</v>
      </c>
      <c r="B604" s="4">
        <v>0.60416666666666663</v>
      </c>
      <c r="C604" s="1" t="s">
        <v>111</v>
      </c>
      <c r="E604">
        <v>1953</v>
      </c>
      <c r="F604">
        <v>-1</v>
      </c>
      <c r="G604">
        <v>196</v>
      </c>
      <c r="I604">
        <v>50</v>
      </c>
      <c r="K604">
        <v>27</v>
      </c>
      <c r="L604" s="1" t="s">
        <v>113</v>
      </c>
      <c r="N604" s="1" t="s">
        <v>37</v>
      </c>
      <c r="P604" s="1" t="s">
        <v>37</v>
      </c>
      <c r="R604" s="1" t="s">
        <v>37</v>
      </c>
      <c r="S604">
        <v>47.412750000000003</v>
      </c>
      <c r="T604">
        <v>8.6550799999999999</v>
      </c>
      <c r="U604" s="1" t="s">
        <v>112</v>
      </c>
      <c r="V604">
        <v>1</v>
      </c>
      <c r="W604">
        <v>91</v>
      </c>
      <c r="X604">
        <v>3</v>
      </c>
      <c r="Y604">
        <v>129.83000000000001</v>
      </c>
      <c r="Z604">
        <v>1.7949999999999999</v>
      </c>
    </row>
    <row r="605" spans="1:26">
      <c r="A605" s="2">
        <v>43922</v>
      </c>
      <c r="B605" s="4">
        <v>0.625</v>
      </c>
      <c r="C605" s="1" t="s">
        <v>35</v>
      </c>
      <c r="E605">
        <v>549</v>
      </c>
      <c r="F605">
        <v>9</v>
      </c>
      <c r="G605">
        <v>94</v>
      </c>
      <c r="H605">
        <v>27</v>
      </c>
      <c r="I605">
        <v>27</v>
      </c>
      <c r="J605">
        <v>4</v>
      </c>
      <c r="K605">
        <v>11</v>
      </c>
      <c r="L605" s="1" t="s">
        <v>304</v>
      </c>
      <c r="N605" s="1" t="s">
        <v>37</v>
      </c>
      <c r="P605" s="1" t="s">
        <v>37</v>
      </c>
      <c r="R605" s="1" t="s">
        <v>37</v>
      </c>
      <c r="S605">
        <v>47.409660000000002</v>
      </c>
      <c r="T605">
        <v>8.1568799999999992</v>
      </c>
      <c r="U605" s="1" t="s">
        <v>36</v>
      </c>
      <c r="V605">
        <v>1</v>
      </c>
      <c r="W605">
        <v>50</v>
      </c>
      <c r="X605">
        <v>0</v>
      </c>
      <c r="Y605">
        <v>81.819999999999993</v>
      </c>
      <c r="Z605">
        <v>1.639</v>
      </c>
    </row>
    <row r="606" spans="1:26">
      <c r="A606" s="2">
        <v>43922</v>
      </c>
      <c r="B606" s="4">
        <v>0.70833333333333337</v>
      </c>
      <c r="C606" s="1" t="s">
        <v>42</v>
      </c>
      <c r="E606">
        <v>61</v>
      </c>
      <c r="F606">
        <v>0</v>
      </c>
      <c r="G606">
        <v>6</v>
      </c>
      <c r="K606">
        <v>3</v>
      </c>
      <c r="L606" s="1" t="s">
        <v>44</v>
      </c>
      <c r="N606" s="1" t="s">
        <v>37</v>
      </c>
      <c r="P606" s="1" t="s">
        <v>37</v>
      </c>
      <c r="R606" s="1" t="s">
        <v>37</v>
      </c>
      <c r="S606">
        <v>47.416351999999996</v>
      </c>
      <c r="T606">
        <v>9.3679100000000002</v>
      </c>
      <c r="U606" s="1" t="s">
        <v>43</v>
      </c>
      <c r="V606">
        <v>15</v>
      </c>
      <c r="W606">
        <v>3</v>
      </c>
      <c r="X606">
        <v>1</v>
      </c>
      <c r="Y606">
        <v>110.51</v>
      </c>
      <c r="Z606">
        <v>5.4349999999999996</v>
      </c>
    </row>
    <row r="607" spans="1:26">
      <c r="A607" s="2">
        <v>43922</v>
      </c>
      <c r="B607" s="4">
        <v>0.33333333333333331</v>
      </c>
      <c r="C607" s="1" t="s">
        <v>45</v>
      </c>
      <c r="E607">
        <v>909</v>
      </c>
      <c r="F607">
        <v>4</v>
      </c>
      <c r="G607">
        <v>115</v>
      </c>
      <c r="H607">
        <v>26</v>
      </c>
      <c r="I607">
        <v>21</v>
      </c>
      <c r="K607">
        <v>20</v>
      </c>
      <c r="L607" s="1" t="s">
        <v>47</v>
      </c>
      <c r="N607" s="1" t="s">
        <v>37</v>
      </c>
      <c r="P607" s="1" t="s">
        <v>37</v>
      </c>
      <c r="R607" s="1" t="s">
        <v>37</v>
      </c>
      <c r="S607">
        <v>46.823608</v>
      </c>
      <c r="T607">
        <v>7.6366670000000001</v>
      </c>
      <c r="U607" s="1" t="s">
        <v>46</v>
      </c>
      <c r="V607">
        <v>2</v>
      </c>
      <c r="W607">
        <v>53</v>
      </c>
      <c r="X607">
        <v>4</v>
      </c>
      <c r="Y607">
        <v>88.16</v>
      </c>
      <c r="Z607">
        <v>1.94</v>
      </c>
    </row>
    <row r="608" spans="1:26">
      <c r="A608" s="2">
        <v>43922</v>
      </c>
      <c r="B608" s="4">
        <v>0.125</v>
      </c>
      <c r="C608" s="1" t="s">
        <v>48</v>
      </c>
      <c r="E608">
        <v>588</v>
      </c>
      <c r="F608">
        <v>-2</v>
      </c>
      <c r="G608">
        <v>86</v>
      </c>
      <c r="H608">
        <v>17</v>
      </c>
      <c r="I608">
        <v>17</v>
      </c>
      <c r="J608">
        <v>249</v>
      </c>
      <c r="K608">
        <v>11</v>
      </c>
      <c r="L608" s="1" t="s">
        <v>50</v>
      </c>
      <c r="N608" s="1" t="s">
        <v>37</v>
      </c>
      <c r="P608" s="1" t="s">
        <v>37</v>
      </c>
      <c r="R608" s="1" t="s">
        <v>37</v>
      </c>
      <c r="S608">
        <v>47.45176</v>
      </c>
      <c r="T608">
        <v>7.7024140000000001</v>
      </c>
      <c r="U608" s="1" t="s">
        <v>49</v>
      </c>
      <c r="V608">
        <v>13</v>
      </c>
      <c r="W608">
        <v>27</v>
      </c>
      <c r="X608">
        <v>1</v>
      </c>
      <c r="Y608">
        <v>204.88</v>
      </c>
      <c r="Z608">
        <v>3.8330000000000002</v>
      </c>
    </row>
    <row r="609" spans="1:26">
      <c r="A609" s="2">
        <v>43922</v>
      </c>
      <c r="B609" s="4">
        <v>0.41666666666666669</v>
      </c>
      <c r="C609" s="1" t="s">
        <v>51</v>
      </c>
      <c r="D609">
        <v>235</v>
      </c>
      <c r="E609">
        <v>691</v>
      </c>
      <c r="F609">
        <v>3</v>
      </c>
      <c r="G609">
        <v>108</v>
      </c>
      <c r="H609">
        <v>16</v>
      </c>
      <c r="J609">
        <v>323</v>
      </c>
      <c r="K609">
        <v>18</v>
      </c>
      <c r="L609" s="1" t="s">
        <v>305</v>
      </c>
      <c r="M609">
        <v>404</v>
      </c>
      <c r="N609" s="1" t="s">
        <v>272</v>
      </c>
      <c r="P609" s="1" t="s">
        <v>37</v>
      </c>
      <c r="R609" s="1" t="s">
        <v>37</v>
      </c>
      <c r="S609">
        <v>47.564869000000002</v>
      </c>
      <c r="T609">
        <v>7.615259</v>
      </c>
      <c r="U609" s="1" t="s">
        <v>52</v>
      </c>
      <c r="V609">
        <v>12</v>
      </c>
      <c r="W609">
        <v>34</v>
      </c>
      <c r="X609">
        <v>2</v>
      </c>
      <c r="Y609">
        <v>356.37</v>
      </c>
      <c r="Z609">
        <v>9.2829999999999995</v>
      </c>
    </row>
    <row r="610" spans="1:26">
      <c r="A610" s="2">
        <v>43922</v>
      </c>
      <c r="B610" s="4">
        <v>0.125</v>
      </c>
      <c r="C610" s="1" t="s">
        <v>54</v>
      </c>
      <c r="D610">
        <v>900</v>
      </c>
      <c r="E610">
        <v>72</v>
      </c>
      <c r="F610">
        <v>0</v>
      </c>
      <c r="J610">
        <v>1</v>
      </c>
      <c r="L610" s="1" t="s">
        <v>306</v>
      </c>
      <c r="N610" s="1" t="s">
        <v>37</v>
      </c>
      <c r="P610" s="1" t="s">
        <v>37</v>
      </c>
      <c r="R610" s="1" t="s">
        <v>37</v>
      </c>
      <c r="S610">
        <v>47.166666999999997</v>
      </c>
      <c r="T610">
        <v>9.509722</v>
      </c>
      <c r="U610" s="1" t="s">
        <v>55</v>
      </c>
      <c r="V610">
        <v>0</v>
      </c>
      <c r="W610">
        <v>4</v>
      </c>
      <c r="X610">
        <v>0</v>
      </c>
      <c r="Y610">
        <v>186.53</v>
      </c>
    </row>
    <row r="611" spans="1:26">
      <c r="A611" s="2">
        <v>43922</v>
      </c>
      <c r="B611" s="4">
        <v>0.125</v>
      </c>
      <c r="C611" s="1" t="s">
        <v>57</v>
      </c>
      <c r="D611">
        <v>30</v>
      </c>
      <c r="E611">
        <v>525</v>
      </c>
      <c r="F611">
        <v>4</v>
      </c>
      <c r="G611">
        <v>81</v>
      </c>
      <c r="H611">
        <v>23</v>
      </c>
      <c r="K611">
        <v>23</v>
      </c>
      <c r="L611" s="1" t="s">
        <v>59</v>
      </c>
      <c r="N611" s="1" t="s">
        <v>37</v>
      </c>
      <c r="P611" s="1" t="s">
        <v>37</v>
      </c>
      <c r="R611" s="1" t="s">
        <v>37</v>
      </c>
      <c r="S611">
        <v>46.718390999999997</v>
      </c>
      <c r="T611">
        <v>7.0740080000000001</v>
      </c>
      <c r="U611" s="1" t="s">
        <v>58</v>
      </c>
      <c r="V611">
        <v>10</v>
      </c>
      <c r="W611">
        <v>34</v>
      </c>
      <c r="X611">
        <v>3</v>
      </c>
      <c r="Y611">
        <v>166.61</v>
      </c>
      <c r="Z611">
        <v>7.2990000000000004</v>
      </c>
    </row>
    <row r="612" spans="1:26">
      <c r="A612" s="2">
        <v>43922</v>
      </c>
      <c r="B612" s="4">
        <v>0.125</v>
      </c>
      <c r="C612" s="1" t="s">
        <v>60</v>
      </c>
      <c r="D612">
        <v>12449</v>
      </c>
      <c r="E612">
        <v>3105</v>
      </c>
      <c r="F612">
        <v>1</v>
      </c>
      <c r="G612">
        <v>406</v>
      </c>
      <c r="H612">
        <v>64</v>
      </c>
      <c r="I612">
        <v>58</v>
      </c>
      <c r="J612">
        <v>260</v>
      </c>
      <c r="K612">
        <v>71</v>
      </c>
      <c r="L612" s="1" t="s">
        <v>62</v>
      </c>
      <c r="N612" s="1" t="s">
        <v>37</v>
      </c>
      <c r="P612" s="1" t="s">
        <v>37</v>
      </c>
      <c r="Q612">
        <v>24</v>
      </c>
      <c r="R612" s="1" t="s">
        <v>37</v>
      </c>
      <c r="S612">
        <v>46.220528000000002</v>
      </c>
      <c r="T612">
        <v>6.1329349999999998</v>
      </c>
      <c r="U612" s="1" t="s">
        <v>61</v>
      </c>
      <c r="V612">
        <v>25</v>
      </c>
      <c r="W612">
        <v>157</v>
      </c>
      <c r="X612">
        <v>8</v>
      </c>
      <c r="Y612">
        <v>627.02</v>
      </c>
      <c r="Z612">
        <v>14.337999999999999</v>
      </c>
    </row>
    <row r="613" spans="1:26">
      <c r="A613" s="2">
        <v>43922</v>
      </c>
      <c r="B613" s="4">
        <v>0.5625</v>
      </c>
      <c r="C613" s="1" t="s">
        <v>63</v>
      </c>
      <c r="E613">
        <v>56</v>
      </c>
      <c r="F613">
        <v>0</v>
      </c>
      <c r="G613">
        <v>5</v>
      </c>
      <c r="K613">
        <v>2</v>
      </c>
      <c r="L613" s="1" t="s">
        <v>65</v>
      </c>
      <c r="N613" s="1" t="s">
        <v>37</v>
      </c>
      <c r="P613" s="1" t="s">
        <v>37</v>
      </c>
      <c r="R613" s="1" t="s">
        <v>37</v>
      </c>
      <c r="S613">
        <v>46.931042000000005</v>
      </c>
      <c r="T613">
        <v>9.0657510000000006</v>
      </c>
      <c r="U613" s="1" t="s">
        <v>64</v>
      </c>
      <c r="V613">
        <v>8</v>
      </c>
      <c r="W613">
        <v>3</v>
      </c>
      <c r="X613">
        <v>0</v>
      </c>
      <c r="Y613">
        <v>138.96</v>
      </c>
      <c r="Z613">
        <v>4.9630000000000001</v>
      </c>
    </row>
    <row r="614" spans="1:26">
      <c r="A614" s="2">
        <v>43922</v>
      </c>
      <c r="B614" s="4">
        <v>0.125</v>
      </c>
      <c r="C614" s="1" t="s">
        <v>66</v>
      </c>
      <c r="E614">
        <v>521</v>
      </c>
      <c r="F614">
        <v>0</v>
      </c>
      <c r="G614">
        <v>58</v>
      </c>
      <c r="K614">
        <v>21</v>
      </c>
      <c r="L614" s="1" t="s">
        <v>68</v>
      </c>
      <c r="N614" s="1" t="s">
        <v>37</v>
      </c>
      <c r="P614" s="1" t="s">
        <v>37</v>
      </c>
      <c r="R614" s="1" t="s">
        <v>37</v>
      </c>
      <c r="S614">
        <v>46.656247999999998</v>
      </c>
      <c r="T614">
        <v>9.6281979999999994</v>
      </c>
      <c r="U614" s="1" t="s">
        <v>67</v>
      </c>
      <c r="V614">
        <v>1</v>
      </c>
      <c r="W614">
        <v>8</v>
      </c>
      <c r="X614">
        <v>2</v>
      </c>
      <c r="Y614">
        <v>263.26</v>
      </c>
      <c r="Z614">
        <v>10.611000000000001</v>
      </c>
    </row>
    <row r="615" spans="1:26">
      <c r="A615" s="2">
        <v>43922</v>
      </c>
      <c r="B615" s="4">
        <v>0.66666666666666663</v>
      </c>
      <c r="C615" s="1" t="s">
        <v>69</v>
      </c>
      <c r="E615">
        <v>145</v>
      </c>
      <c r="F615">
        <v>0</v>
      </c>
      <c r="G615">
        <v>29</v>
      </c>
      <c r="H615">
        <v>5</v>
      </c>
      <c r="L615" s="1" t="s">
        <v>280</v>
      </c>
      <c r="N615" s="1" t="s">
        <v>37</v>
      </c>
      <c r="P615" s="1" t="s">
        <v>37</v>
      </c>
      <c r="R615" s="1" t="s">
        <v>37</v>
      </c>
      <c r="S615">
        <v>47.350743999999999</v>
      </c>
      <c r="T615">
        <v>7.1561070000000004</v>
      </c>
      <c r="U615" s="1" t="s">
        <v>70</v>
      </c>
      <c r="V615">
        <v>26</v>
      </c>
      <c r="W615">
        <v>5</v>
      </c>
      <c r="X615">
        <v>0</v>
      </c>
      <c r="Y615">
        <v>197.82</v>
      </c>
    </row>
    <row r="616" spans="1:26">
      <c r="A616" s="2">
        <v>43922</v>
      </c>
      <c r="B616" s="4">
        <v>0.45833333333333331</v>
      </c>
      <c r="C616" s="1" t="s">
        <v>71</v>
      </c>
      <c r="E616">
        <v>401</v>
      </c>
      <c r="F616">
        <v>0</v>
      </c>
      <c r="G616">
        <v>57</v>
      </c>
      <c r="H616">
        <v>12</v>
      </c>
      <c r="K616">
        <v>7</v>
      </c>
      <c r="L616" s="1" t="s">
        <v>73</v>
      </c>
      <c r="N616" s="1" t="s">
        <v>37</v>
      </c>
      <c r="P616" s="1" t="s">
        <v>37</v>
      </c>
      <c r="R616" s="1" t="s">
        <v>37</v>
      </c>
      <c r="S616">
        <v>47.067762999999999</v>
      </c>
      <c r="T616">
        <v>8.1102000000000007</v>
      </c>
      <c r="U616" s="1" t="s">
        <v>72</v>
      </c>
      <c r="V616">
        <v>3</v>
      </c>
      <c r="W616">
        <v>26</v>
      </c>
      <c r="X616">
        <v>0</v>
      </c>
      <c r="Y616">
        <v>98.65</v>
      </c>
      <c r="Z616">
        <v>1.722</v>
      </c>
    </row>
    <row r="617" spans="1:26">
      <c r="A617" s="2">
        <v>43922</v>
      </c>
      <c r="B617" s="4">
        <v>0.25</v>
      </c>
      <c r="C617" s="1" t="s">
        <v>74</v>
      </c>
      <c r="E617">
        <v>420</v>
      </c>
      <c r="F617">
        <v>7</v>
      </c>
      <c r="G617">
        <v>66</v>
      </c>
      <c r="H617">
        <v>14</v>
      </c>
      <c r="I617">
        <v>8</v>
      </c>
      <c r="K617">
        <v>25</v>
      </c>
      <c r="L617" s="1" t="s">
        <v>76</v>
      </c>
      <c r="N617" s="1" t="s">
        <v>37</v>
      </c>
      <c r="P617" s="1" t="s">
        <v>37</v>
      </c>
      <c r="R617" s="1" t="s">
        <v>37</v>
      </c>
      <c r="S617">
        <v>46.995533999999999</v>
      </c>
      <c r="T617">
        <v>6.7801260000000001</v>
      </c>
      <c r="U617" s="1" t="s">
        <v>75</v>
      </c>
      <c r="V617">
        <v>24</v>
      </c>
      <c r="W617">
        <v>18</v>
      </c>
      <c r="X617">
        <v>2</v>
      </c>
      <c r="Y617">
        <v>235.96</v>
      </c>
      <c r="Z617">
        <v>14.045</v>
      </c>
    </row>
    <row r="618" spans="1:26">
      <c r="A618" s="2">
        <v>43922</v>
      </c>
      <c r="B618" s="4">
        <v>0.76041666666666663</v>
      </c>
      <c r="C618" s="1" t="s">
        <v>77</v>
      </c>
      <c r="E618">
        <v>70</v>
      </c>
      <c r="F618">
        <v>0</v>
      </c>
      <c r="L618" s="1" t="s">
        <v>79</v>
      </c>
      <c r="N618" s="1" t="s">
        <v>37</v>
      </c>
      <c r="P618" s="1" t="s">
        <v>37</v>
      </c>
      <c r="R618" s="1" t="s">
        <v>37</v>
      </c>
      <c r="S618">
        <v>46.926755</v>
      </c>
      <c r="T618">
        <v>8.4053020000000007</v>
      </c>
      <c r="U618" s="1" t="s">
        <v>78</v>
      </c>
      <c r="V618">
        <v>7</v>
      </c>
      <c r="W618">
        <v>0</v>
      </c>
      <c r="X618">
        <v>0</v>
      </c>
      <c r="Y618">
        <v>162.79</v>
      </c>
    </row>
    <row r="619" spans="1:26">
      <c r="A619" s="2">
        <v>43922</v>
      </c>
      <c r="B619" s="4">
        <v>0.125</v>
      </c>
      <c r="C619" s="1" t="s">
        <v>80</v>
      </c>
      <c r="D619">
        <v>6</v>
      </c>
      <c r="E619">
        <v>48</v>
      </c>
      <c r="F619">
        <v>0</v>
      </c>
      <c r="L619" s="1" t="s">
        <v>82</v>
      </c>
      <c r="N619" s="1" t="s">
        <v>37</v>
      </c>
      <c r="P619" s="1" t="s">
        <v>37</v>
      </c>
      <c r="R619" s="1" t="s">
        <v>37</v>
      </c>
      <c r="S619">
        <v>46.804527</v>
      </c>
      <c r="T619">
        <v>8.1443170000000009</v>
      </c>
      <c r="U619" s="1" t="s">
        <v>81</v>
      </c>
      <c r="V619">
        <v>6</v>
      </c>
      <c r="W619">
        <v>2</v>
      </c>
      <c r="X619">
        <v>0</v>
      </c>
      <c r="Y619">
        <v>127.66</v>
      </c>
    </row>
    <row r="620" spans="1:26">
      <c r="A620" s="2">
        <v>43922</v>
      </c>
      <c r="B620" s="4">
        <v>0.125</v>
      </c>
      <c r="C620" s="1" t="s">
        <v>83</v>
      </c>
      <c r="E620">
        <v>414</v>
      </c>
      <c r="F620">
        <v>0</v>
      </c>
      <c r="K620">
        <v>7</v>
      </c>
      <c r="L620" s="1" t="s">
        <v>85</v>
      </c>
      <c r="N620" s="1" t="s">
        <v>37</v>
      </c>
      <c r="P620" s="1" t="s">
        <v>37</v>
      </c>
      <c r="R620" s="1" t="s">
        <v>37</v>
      </c>
      <c r="S620">
        <v>47.183199999999999</v>
      </c>
      <c r="T620">
        <v>9.2747440000000001</v>
      </c>
      <c r="U620" s="1" t="s">
        <v>84</v>
      </c>
      <c r="V620">
        <v>17</v>
      </c>
      <c r="W620">
        <v>0</v>
      </c>
      <c r="X620">
        <v>0</v>
      </c>
      <c r="Y620">
        <v>82.03</v>
      </c>
      <c r="Z620">
        <v>1.387</v>
      </c>
    </row>
    <row r="621" spans="1:26">
      <c r="A621" s="2">
        <v>43922</v>
      </c>
      <c r="B621" s="4">
        <v>0.125</v>
      </c>
      <c r="C621" s="1" t="s">
        <v>86</v>
      </c>
      <c r="E621">
        <v>44</v>
      </c>
      <c r="F621">
        <v>-8</v>
      </c>
      <c r="G621">
        <v>10</v>
      </c>
      <c r="H621">
        <v>3</v>
      </c>
      <c r="K621">
        <v>1</v>
      </c>
      <c r="L621" s="1" t="s">
        <v>88</v>
      </c>
      <c r="N621" s="1" t="s">
        <v>37</v>
      </c>
      <c r="P621" s="1" t="s">
        <v>37</v>
      </c>
      <c r="R621" s="1" t="s">
        <v>37</v>
      </c>
      <c r="S621">
        <v>47.713569999999997</v>
      </c>
      <c r="T621">
        <v>8.5916700000000006</v>
      </c>
      <c r="U621" s="1" t="s">
        <v>87</v>
      </c>
      <c r="V621">
        <v>14</v>
      </c>
      <c r="W621">
        <v>0</v>
      </c>
      <c r="X621">
        <v>0</v>
      </c>
      <c r="Y621">
        <v>54.05</v>
      </c>
      <c r="Z621">
        <v>1.2290000000000001</v>
      </c>
    </row>
    <row r="622" spans="1:26">
      <c r="A622" s="2">
        <v>43922</v>
      </c>
      <c r="B622" s="4">
        <v>0.125</v>
      </c>
      <c r="C622" s="1" t="s">
        <v>89</v>
      </c>
      <c r="E622">
        <v>216</v>
      </c>
      <c r="F622">
        <v>0</v>
      </c>
      <c r="K622">
        <v>3</v>
      </c>
      <c r="L622" s="1" t="s">
        <v>91</v>
      </c>
      <c r="N622" s="1" t="s">
        <v>37</v>
      </c>
      <c r="P622" s="1" t="s">
        <v>37</v>
      </c>
      <c r="R622" s="1" t="s">
        <v>37</v>
      </c>
      <c r="S622">
        <v>47.304135000000002</v>
      </c>
      <c r="T622">
        <v>7.6393880000000003</v>
      </c>
      <c r="U622" s="1" t="s">
        <v>90</v>
      </c>
      <c r="V622">
        <v>11</v>
      </c>
      <c r="W622">
        <v>20</v>
      </c>
      <c r="X622">
        <v>1</v>
      </c>
      <c r="Y622">
        <v>79.59</v>
      </c>
      <c r="Z622">
        <v>1.105</v>
      </c>
    </row>
    <row r="623" spans="1:26">
      <c r="A623" s="2">
        <v>43922</v>
      </c>
      <c r="B623" s="4">
        <v>0.125</v>
      </c>
      <c r="C623" s="1" t="s">
        <v>92</v>
      </c>
      <c r="D623">
        <v>10</v>
      </c>
      <c r="E623">
        <v>146</v>
      </c>
      <c r="F623">
        <v>0</v>
      </c>
      <c r="G623">
        <v>1</v>
      </c>
      <c r="J623">
        <v>65</v>
      </c>
      <c r="K623">
        <v>4</v>
      </c>
      <c r="L623" s="1" t="s">
        <v>267</v>
      </c>
      <c r="N623" s="1" t="s">
        <v>37</v>
      </c>
      <c r="P623" s="1" t="s">
        <v>37</v>
      </c>
      <c r="R623" s="1" t="s">
        <v>37</v>
      </c>
      <c r="S623">
        <v>47.061787000000002</v>
      </c>
      <c r="T623">
        <v>8.7565849999999994</v>
      </c>
      <c r="U623" s="1" t="s">
        <v>93</v>
      </c>
      <c r="V623">
        <v>5</v>
      </c>
      <c r="W623">
        <v>5</v>
      </c>
      <c r="X623">
        <v>0</v>
      </c>
      <c r="Y623">
        <v>92.82</v>
      </c>
      <c r="Z623">
        <v>2.5430000000000001</v>
      </c>
    </row>
    <row r="624" spans="1:26">
      <c r="A624" s="2">
        <v>43922</v>
      </c>
      <c r="B624" s="4">
        <v>0.125</v>
      </c>
      <c r="C624" s="1" t="s">
        <v>95</v>
      </c>
      <c r="D624">
        <v>276</v>
      </c>
      <c r="E624">
        <v>166</v>
      </c>
      <c r="F624">
        <v>0</v>
      </c>
      <c r="K624">
        <v>4</v>
      </c>
      <c r="L624" s="1" t="s">
        <v>97</v>
      </c>
      <c r="N624" s="1" t="s">
        <v>37</v>
      </c>
      <c r="P624" s="1" t="s">
        <v>37</v>
      </c>
      <c r="R624" s="1" t="s">
        <v>37</v>
      </c>
      <c r="S624">
        <v>47.568714999999997</v>
      </c>
      <c r="T624">
        <v>9.0919570000000007</v>
      </c>
      <c r="U624" s="1" t="s">
        <v>96</v>
      </c>
      <c r="V624">
        <v>1</v>
      </c>
      <c r="W624">
        <v>12</v>
      </c>
      <c r="X624">
        <v>1</v>
      </c>
      <c r="Y624">
        <v>60.63</v>
      </c>
      <c r="Z624">
        <v>1.4610000000000001</v>
      </c>
    </row>
    <row r="625" spans="1:26">
      <c r="A625" s="2">
        <v>43922</v>
      </c>
      <c r="B625" s="4">
        <v>0.33333333333333331</v>
      </c>
      <c r="C625" s="1" t="s">
        <v>98</v>
      </c>
      <c r="E625">
        <v>2195</v>
      </c>
      <c r="F625">
        <v>-5</v>
      </c>
      <c r="G625">
        <v>396</v>
      </c>
      <c r="H625">
        <v>76</v>
      </c>
      <c r="I625">
        <v>72</v>
      </c>
      <c r="J625">
        <v>229</v>
      </c>
      <c r="K625">
        <v>132</v>
      </c>
      <c r="L625" s="1" t="s">
        <v>307</v>
      </c>
      <c r="N625" s="1" t="s">
        <v>37</v>
      </c>
      <c r="P625" s="1" t="s">
        <v>308</v>
      </c>
      <c r="R625" s="1" t="s">
        <v>37</v>
      </c>
      <c r="S625">
        <v>46.295617</v>
      </c>
      <c r="T625">
        <v>8.8089239999999993</v>
      </c>
      <c r="U625" s="1" t="s">
        <v>99</v>
      </c>
      <c r="V625">
        <v>21</v>
      </c>
      <c r="W625">
        <v>104</v>
      </c>
      <c r="X625">
        <v>12</v>
      </c>
      <c r="Y625">
        <v>620.58000000000004</v>
      </c>
      <c r="Z625">
        <v>37.32</v>
      </c>
    </row>
    <row r="626" spans="1:26">
      <c r="A626" s="2">
        <v>43922</v>
      </c>
      <c r="B626" s="4">
        <v>0.125</v>
      </c>
      <c r="C626" s="1" t="s">
        <v>101</v>
      </c>
      <c r="D626">
        <v>85</v>
      </c>
      <c r="E626">
        <v>59</v>
      </c>
      <c r="F626">
        <v>1</v>
      </c>
      <c r="G626">
        <v>10</v>
      </c>
      <c r="J626">
        <v>13</v>
      </c>
      <c r="K626">
        <v>1</v>
      </c>
      <c r="L626" s="1" t="s">
        <v>238</v>
      </c>
      <c r="N626" s="1" t="s">
        <v>37</v>
      </c>
      <c r="P626" s="1" t="s">
        <v>37</v>
      </c>
      <c r="R626" s="1" t="s">
        <v>37</v>
      </c>
      <c r="S626">
        <v>46.771849000000003</v>
      </c>
      <c r="T626">
        <v>8.6285860000000003</v>
      </c>
      <c r="U626" s="1" t="s">
        <v>102</v>
      </c>
      <c r="V626">
        <v>4</v>
      </c>
      <c r="W626">
        <v>2</v>
      </c>
      <c r="X626">
        <v>0</v>
      </c>
      <c r="Y626">
        <v>162.53</v>
      </c>
      <c r="Z626">
        <v>2.7549999999999999</v>
      </c>
    </row>
    <row r="627" spans="1:26">
      <c r="A627" s="2">
        <v>43922</v>
      </c>
      <c r="B627" s="4">
        <v>0.125</v>
      </c>
      <c r="C627" s="1" t="s">
        <v>104</v>
      </c>
      <c r="E627">
        <v>3721</v>
      </c>
      <c r="F627">
        <v>6</v>
      </c>
      <c r="G627">
        <v>390</v>
      </c>
      <c r="H627">
        <v>74</v>
      </c>
      <c r="J627">
        <v>225</v>
      </c>
      <c r="K627">
        <v>115</v>
      </c>
      <c r="L627" s="1" t="s">
        <v>106</v>
      </c>
      <c r="N627" s="1" t="s">
        <v>37</v>
      </c>
      <c r="P627" s="1" t="s">
        <v>37</v>
      </c>
      <c r="R627" s="1" t="s">
        <v>37</v>
      </c>
      <c r="S627">
        <v>46.570090999999998</v>
      </c>
      <c r="T627">
        <v>6.5578090000000007</v>
      </c>
      <c r="U627" s="1" t="s">
        <v>105</v>
      </c>
      <c r="V627">
        <v>22</v>
      </c>
      <c r="W627">
        <v>173</v>
      </c>
      <c r="X627">
        <v>11</v>
      </c>
      <c r="Y627">
        <v>469.17</v>
      </c>
      <c r="Z627">
        <v>14.5</v>
      </c>
    </row>
    <row r="628" spans="1:26">
      <c r="A628" s="2">
        <v>43922</v>
      </c>
      <c r="B628" s="4">
        <v>0.625</v>
      </c>
      <c r="C628" s="1" t="s">
        <v>107</v>
      </c>
      <c r="E628">
        <v>1282</v>
      </c>
      <c r="F628">
        <v>-5</v>
      </c>
      <c r="G628">
        <v>147</v>
      </c>
      <c r="H628">
        <v>26</v>
      </c>
      <c r="I628">
        <v>25</v>
      </c>
      <c r="J628">
        <v>70</v>
      </c>
      <c r="K628">
        <v>40</v>
      </c>
      <c r="L628" s="1" t="s">
        <v>412</v>
      </c>
      <c r="N628" s="1" t="s">
        <v>37</v>
      </c>
      <c r="P628" s="1" t="s">
        <v>37</v>
      </c>
      <c r="R628" s="1" t="s">
        <v>37</v>
      </c>
      <c r="S628">
        <v>46.209567</v>
      </c>
      <c r="T628">
        <v>7.6046589999999998</v>
      </c>
      <c r="U628" s="1" t="s">
        <v>108</v>
      </c>
      <c r="V628">
        <v>23</v>
      </c>
      <c r="W628">
        <v>70</v>
      </c>
      <c r="X628">
        <v>3</v>
      </c>
      <c r="Y628">
        <v>375.4</v>
      </c>
      <c r="Z628">
        <v>11.712999999999999</v>
      </c>
    </row>
    <row r="629" spans="1:26">
      <c r="A629" s="2">
        <v>43922</v>
      </c>
      <c r="B629" s="4">
        <v>0.33333333333333331</v>
      </c>
      <c r="C629" s="1" t="s">
        <v>109</v>
      </c>
      <c r="E629">
        <v>131</v>
      </c>
      <c r="F629">
        <v>1</v>
      </c>
      <c r="G629">
        <v>14</v>
      </c>
      <c r="H629">
        <v>5</v>
      </c>
      <c r="J629">
        <v>40</v>
      </c>
      <c r="K629">
        <v>1</v>
      </c>
      <c r="L629" s="1" t="s">
        <v>502</v>
      </c>
      <c r="N629" s="1" t="s">
        <v>37</v>
      </c>
      <c r="P629" s="1" t="s">
        <v>37</v>
      </c>
      <c r="R629" s="1" t="s">
        <v>37</v>
      </c>
      <c r="S629">
        <v>47.157296000000002</v>
      </c>
      <c r="T629">
        <v>8.5372939999999993</v>
      </c>
      <c r="U629" s="1" t="s">
        <v>110</v>
      </c>
      <c r="V629">
        <v>9</v>
      </c>
      <c r="W629">
        <v>6</v>
      </c>
      <c r="X629">
        <v>0</v>
      </c>
      <c r="Y629">
        <v>104.47</v>
      </c>
      <c r="Z629">
        <v>0.79700000000000004</v>
      </c>
    </row>
    <row r="630" spans="1:26">
      <c r="A630" s="2">
        <v>43922</v>
      </c>
      <c r="B630" s="4">
        <v>0.60416666666666663</v>
      </c>
      <c r="C630" s="1" t="s">
        <v>111</v>
      </c>
      <c r="E630">
        <v>2142</v>
      </c>
      <c r="F630">
        <v>7</v>
      </c>
      <c r="G630">
        <v>203</v>
      </c>
      <c r="I630">
        <v>54</v>
      </c>
      <c r="K630">
        <v>36</v>
      </c>
      <c r="L630" s="1" t="s">
        <v>113</v>
      </c>
      <c r="N630" s="1" t="s">
        <v>37</v>
      </c>
      <c r="P630" s="1" t="s">
        <v>37</v>
      </c>
      <c r="R630" s="1" t="s">
        <v>37</v>
      </c>
      <c r="S630">
        <v>47.412750000000003</v>
      </c>
      <c r="T630">
        <v>8.6550799999999999</v>
      </c>
      <c r="U630" s="1" t="s">
        <v>112</v>
      </c>
      <c r="V630">
        <v>1</v>
      </c>
      <c r="W630">
        <v>189</v>
      </c>
      <c r="X630">
        <v>9</v>
      </c>
      <c r="Y630">
        <v>142.38999999999999</v>
      </c>
      <c r="Z630">
        <v>2.3929999999999998</v>
      </c>
    </row>
    <row r="631" spans="1:26">
      <c r="A631" s="2">
        <v>43923</v>
      </c>
      <c r="B631" s="4">
        <v>0.625</v>
      </c>
      <c r="C631" s="1" t="s">
        <v>35</v>
      </c>
      <c r="E631">
        <v>592</v>
      </c>
      <c r="F631">
        <v>0</v>
      </c>
      <c r="G631">
        <v>94</v>
      </c>
      <c r="H631">
        <v>27</v>
      </c>
      <c r="I631">
        <v>27</v>
      </c>
      <c r="J631">
        <v>4</v>
      </c>
      <c r="K631">
        <v>12</v>
      </c>
      <c r="L631" s="1" t="s">
        <v>309</v>
      </c>
      <c r="N631" s="1" t="s">
        <v>37</v>
      </c>
      <c r="P631" s="1" t="s">
        <v>37</v>
      </c>
      <c r="R631" s="1" t="s">
        <v>37</v>
      </c>
      <c r="S631">
        <v>47.409660000000002</v>
      </c>
      <c r="T631">
        <v>8.1568799999999992</v>
      </c>
      <c r="U631" s="1" t="s">
        <v>36</v>
      </c>
      <c r="V631">
        <v>1</v>
      </c>
      <c r="W631">
        <v>43</v>
      </c>
      <c r="X631">
        <v>1</v>
      </c>
      <c r="Y631">
        <v>88.23</v>
      </c>
      <c r="Z631">
        <v>1.788</v>
      </c>
    </row>
    <row r="632" spans="1:26">
      <c r="A632" s="2">
        <v>43923</v>
      </c>
      <c r="B632" s="4">
        <v>0.70833333333333337</v>
      </c>
      <c r="C632" s="1" t="s">
        <v>39</v>
      </c>
      <c r="E632">
        <v>20</v>
      </c>
      <c r="F632">
        <v>0</v>
      </c>
      <c r="G632">
        <v>1</v>
      </c>
      <c r="L632" s="1" t="s">
        <v>41</v>
      </c>
      <c r="N632" s="1" t="s">
        <v>37</v>
      </c>
      <c r="P632" s="1" t="s">
        <v>37</v>
      </c>
      <c r="R632" s="1" t="s">
        <v>37</v>
      </c>
      <c r="S632">
        <v>47.317264000000002</v>
      </c>
      <c r="T632">
        <v>9.4167539999999992</v>
      </c>
      <c r="U632" s="1" t="s">
        <v>40</v>
      </c>
      <c r="V632">
        <v>16</v>
      </c>
      <c r="W632">
        <v>6</v>
      </c>
      <c r="X632">
        <v>0</v>
      </c>
      <c r="Y632">
        <v>124.22</v>
      </c>
    </row>
    <row r="633" spans="1:26">
      <c r="A633" s="2">
        <v>43923</v>
      </c>
      <c r="B633" s="4">
        <v>0.5</v>
      </c>
      <c r="C633" s="1" t="s">
        <v>42</v>
      </c>
      <c r="E633">
        <v>64</v>
      </c>
      <c r="F633">
        <v>0</v>
      </c>
      <c r="G633">
        <v>6</v>
      </c>
      <c r="K633">
        <v>3</v>
      </c>
      <c r="L633" s="1" t="s">
        <v>44</v>
      </c>
      <c r="N633" s="1" t="s">
        <v>37</v>
      </c>
      <c r="P633" s="1" t="s">
        <v>37</v>
      </c>
      <c r="R633" s="1" t="s">
        <v>37</v>
      </c>
      <c r="S633">
        <v>47.416351999999996</v>
      </c>
      <c r="T633">
        <v>9.3679100000000002</v>
      </c>
      <c r="U633" s="1" t="s">
        <v>43</v>
      </c>
      <c r="V633">
        <v>15</v>
      </c>
      <c r="W633">
        <v>3</v>
      </c>
      <c r="X633">
        <v>0</v>
      </c>
      <c r="Y633">
        <v>115.94</v>
      </c>
      <c r="Z633">
        <v>5.4349999999999996</v>
      </c>
    </row>
    <row r="634" spans="1:26">
      <c r="A634" s="2">
        <v>43923</v>
      </c>
      <c r="B634" s="4">
        <v>0.33333333333333331</v>
      </c>
      <c r="C634" s="1" t="s">
        <v>45</v>
      </c>
      <c r="E634">
        <v>1003</v>
      </c>
      <c r="F634">
        <v>-11</v>
      </c>
      <c r="G634">
        <v>104</v>
      </c>
      <c r="H634">
        <v>24</v>
      </c>
      <c r="I634">
        <v>20</v>
      </c>
      <c r="K634">
        <v>23</v>
      </c>
      <c r="L634" s="1" t="s">
        <v>47</v>
      </c>
      <c r="N634" s="1" t="s">
        <v>37</v>
      </c>
      <c r="P634" s="1" t="s">
        <v>37</v>
      </c>
      <c r="R634" s="1" t="s">
        <v>37</v>
      </c>
      <c r="S634">
        <v>46.823608</v>
      </c>
      <c r="T634">
        <v>7.6366670000000001</v>
      </c>
      <c r="U634" s="1" t="s">
        <v>46</v>
      </c>
      <c r="V634">
        <v>2</v>
      </c>
      <c r="W634">
        <v>94</v>
      </c>
      <c r="X634">
        <v>3</v>
      </c>
      <c r="Y634">
        <v>97.27</v>
      </c>
      <c r="Z634">
        <v>2.2309999999999999</v>
      </c>
    </row>
    <row r="635" spans="1:26">
      <c r="A635" s="2">
        <v>43923</v>
      </c>
      <c r="B635" s="4">
        <v>0.125</v>
      </c>
      <c r="C635" s="1" t="s">
        <v>48</v>
      </c>
      <c r="E635">
        <v>610</v>
      </c>
      <c r="F635">
        <v>-5</v>
      </c>
      <c r="G635">
        <v>81</v>
      </c>
      <c r="H635">
        <v>18</v>
      </c>
      <c r="I635">
        <v>18</v>
      </c>
      <c r="J635">
        <v>262</v>
      </c>
      <c r="K635">
        <v>12</v>
      </c>
      <c r="L635" s="1" t="s">
        <v>50</v>
      </c>
      <c r="N635" s="1" t="s">
        <v>37</v>
      </c>
      <c r="P635" s="1" t="s">
        <v>37</v>
      </c>
      <c r="R635" s="1" t="s">
        <v>37</v>
      </c>
      <c r="S635">
        <v>47.45176</v>
      </c>
      <c r="T635">
        <v>7.7024140000000001</v>
      </c>
      <c r="U635" s="1" t="s">
        <v>49</v>
      </c>
      <c r="V635">
        <v>13</v>
      </c>
      <c r="W635">
        <v>22</v>
      </c>
      <c r="X635">
        <v>1</v>
      </c>
      <c r="Y635">
        <v>212.54</v>
      </c>
      <c r="Z635">
        <v>4.181</v>
      </c>
    </row>
    <row r="636" spans="1:26">
      <c r="A636" s="2">
        <v>43923</v>
      </c>
      <c r="B636" s="4">
        <v>0.41666666666666669</v>
      </c>
      <c r="C636" s="1" t="s">
        <v>51</v>
      </c>
      <c r="D636">
        <v>235</v>
      </c>
      <c r="E636">
        <v>718</v>
      </c>
      <c r="F636">
        <v>11</v>
      </c>
      <c r="G636">
        <v>119</v>
      </c>
      <c r="H636">
        <v>17</v>
      </c>
      <c r="J636">
        <v>350</v>
      </c>
      <c r="K636">
        <v>19</v>
      </c>
      <c r="L636" s="1" t="s">
        <v>310</v>
      </c>
      <c r="M636">
        <v>409</v>
      </c>
      <c r="N636" s="1" t="s">
        <v>311</v>
      </c>
      <c r="P636" s="1" t="s">
        <v>37</v>
      </c>
      <c r="R636" s="1" t="s">
        <v>37</v>
      </c>
      <c r="S636">
        <v>47.564869000000002</v>
      </c>
      <c r="T636">
        <v>7.615259</v>
      </c>
      <c r="U636" s="1" t="s">
        <v>52</v>
      </c>
      <c r="V636">
        <v>12</v>
      </c>
      <c r="W636">
        <v>27</v>
      </c>
      <c r="X636">
        <v>1</v>
      </c>
      <c r="Y636">
        <v>370.29</v>
      </c>
      <c r="Z636">
        <v>9.7989999999999995</v>
      </c>
    </row>
    <row r="637" spans="1:26">
      <c r="A637" s="2">
        <v>43923</v>
      </c>
      <c r="B637" s="4">
        <v>0.125</v>
      </c>
      <c r="C637" s="1" t="s">
        <v>54</v>
      </c>
      <c r="D637">
        <v>900</v>
      </c>
      <c r="E637">
        <v>75</v>
      </c>
      <c r="F637">
        <v>0</v>
      </c>
      <c r="J637">
        <v>1</v>
      </c>
      <c r="L637" s="1" t="s">
        <v>312</v>
      </c>
      <c r="N637" s="1" t="s">
        <v>37</v>
      </c>
      <c r="P637" s="1" t="s">
        <v>37</v>
      </c>
      <c r="R637" s="1" t="s">
        <v>37</v>
      </c>
      <c r="S637">
        <v>47.166666999999997</v>
      </c>
      <c r="T637">
        <v>9.509722</v>
      </c>
      <c r="U637" s="1" t="s">
        <v>55</v>
      </c>
      <c r="V637">
        <v>0</v>
      </c>
      <c r="W637">
        <v>3</v>
      </c>
      <c r="X637">
        <v>0</v>
      </c>
      <c r="Y637">
        <v>194.3</v>
      </c>
    </row>
    <row r="638" spans="1:26">
      <c r="A638" s="2">
        <v>43923</v>
      </c>
      <c r="B638" s="4">
        <v>0.125</v>
      </c>
      <c r="C638" s="1" t="s">
        <v>57</v>
      </c>
      <c r="D638">
        <v>30</v>
      </c>
      <c r="E638">
        <v>550</v>
      </c>
      <c r="F638">
        <v>-1</v>
      </c>
      <c r="G638">
        <v>80</v>
      </c>
      <c r="H638">
        <v>23</v>
      </c>
      <c r="K638">
        <v>26</v>
      </c>
      <c r="L638" s="1" t="s">
        <v>59</v>
      </c>
      <c r="N638" s="1" t="s">
        <v>37</v>
      </c>
      <c r="P638" s="1" t="s">
        <v>37</v>
      </c>
      <c r="R638" s="1" t="s">
        <v>37</v>
      </c>
      <c r="S638">
        <v>46.718390999999997</v>
      </c>
      <c r="T638">
        <v>7.0740080000000001</v>
      </c>
      <c r="U638" s="1" t="s">
        <v>58</v>
      </c>
      <c r="V638">
        <v>10</v>
      </c>
      <c r="W638">
        <v>25</v>
      </c>
      <c r="X638">
        <v>3</v>
      </c>
      <c r="Y638">
        <v>174.55</v>
      </c>
      <c r="Z638">
        <v>8.2509999999999994</v>
      </c>
    </row>
    <row r="639" spans="1:26">
      <c r="A639" s="2">
        <v>43923</v>
      </c>
      <c r="B639" s="4">
        <v>0.125</v>
      </c>
      <c r="C639" s="1" t="s">
        <v>60</v>
      </c>
      <c r="D639">
        <v>13401</v>
      </c>
      <c r="E639">
        <v>3316</v>
      </c>
      <c r="F639">
        <v>18</v>
      </c>
      <c r="G639">
        <v>424</v>
      </c>
      <c r="H639">
        <v>62</v>
      </c>
      <c r="I639">
        <v>54</v>
      </c>
      <c r="J639">
        <v>283</v>
      </c>
      <c r="K639">
        <v>79</v>
      </c>
      <c r="L639" s="1" t="s">
        <v>62</v>
      </c>
      <c r="N639" s="1" t="s">
        <v>37</v>
      </c>
      <c r="P639" s="1" t="s">
        <v>37</v>
      </c>
      <c r="Q639">
        <v>24</v>
      </c>
      <c r="R639" s="1" t="s">
        <v>37</v>
      </c>
      <c r="S639">
        <v>46.220528000000002</v>
      </c>
      <c r="T639">
        <v>6.1329349999999998</v>
      </c>
      <c r="U639" s="1" t="s">
        <v>61</v>
      </c>
      <c r="V639">
        <v>25</v>
      </c>
      <c r="W639">
        <v>211</v>
      </c>
      <c r="X639">
        <v>8</v>
      </c>
      <c r="Y639">
        <v>669.63</v>
      </c>
      <c r="Z639">
        <v>15.952999999999999</v>
      </c>
    </row>
    <row r="640" spans="1:26">
      <c r="A640" s="2">
        <v>43923</v>
      </c>
      <c r="B640" s="4">
        <v>0.54166666666666663</v>
      </c>
      <c r="C640" s="1" t="s">
        <v>63</v>
      </c>
      <c r="E640">
        <v>58</v>
      </c>
      <c r="F640">
        <v>0</v>
      </c>
      <c r="G640">
        <v>5</v>
      </c>
      <c r="K640">
        <v>2</v>
      </c>
      <c r="L640" s="1" t="s">
        <v>65</v>
      </c>
      <c r="N640" s="1" t="s">
        <v>37</v>
      </c>
      <c r="P640" s="1" t="s">
        <v>37</v>
      </c>
      <c r="R640" s="1" t="s">
        <v>37</v>
      </c>
      <c r="S640">
        <v>46.931042000000005</v>
      </c>
      <c r="T640">
        <v>9.0657510000000006</v>
      </c>
      <c r="U640" s="1" t="s">
        <v>64</v>
      </c>
      <c r="V640">
        <v>8</v>
      </c>
      <c r="W640">
        <v>2</v>
      </c>
      <c r="X640">
        <v>0</v>
      </c>
      <c r="Y640">
        <v>143.91999999999999</v>
      </c>
      <c r="Z640">
        <v>4.9630000000000001</v>
      </c>
    </row>
    <row r="641" spans="1:26">
      <c r="A641" s="2">
        <v>43923</v>
      </c>
      <c r="B641" s="4">
        <v>0.125</v>
      </c>
      <c r="C641" s="1" t="s">
        <v>66</v>
      </c>
      <c r="E641">
        <v>569</v>
      </c>
      <c r="F641">
        <v>1</v>
      </c>
      <c r="G641">
        <v>59</v>
      </c>
      <c r="K641">
        <v>23</v>
      </c>
      <c r="L641" s="1" t="s">
        <v>68</v>
      </c>
      <c r="N641" s="1" t="s">
        <v>37</v>
      </c>
      <c r="P641" s="1" t="s">
        <v>37</v>
      </c>
      <c r="R641" s="1" t="s">
        <v>37</v>
      </c>
      <c r="S641">
        <v>46.656247999999998</v>
      </c>
      <c r="T641">
        <v>9.6281979999999994</v>
      </c>
      <c r="U641" s="1" t="s">
        <v>67</v>
      </c>
      <c r="V641">
        <v>1</v>
      </c>
      <c r="W641">
        <v>48</v>
      </c>
      <c r="X641">
        <v>2</v>
      </c>
      <c r="Y641">
        <v>287.52</v>
      </c>
      <c r="Z641">
        <v>11.622</v>
      </c>
    </row>
    <row r="642" spans="1:26">
      <c r="A642" s="2">
        <v>43923</v>
      </c>
      <c r="B642" s="4">
        <v>0.66666666666666663</v>
      </c>
      <c r="C642" s="1" t="s">
        <v>69</v>
      </c>
      <c r="E642">
        <v>149</v>
      </c>
      <c r="F642">
        <v>0</v>
      </c>
      <c r="G642">
        <v>29</v>
      </c>
      <c r="H642">
        <v>3</v>
      </c>
      <c r="L642" s="1" t="s">
        <v>280</v>
      </c>
      <c r="N642" s="1" t="s">
        <v>37</v>
      </c>
      <c r="P642" s="1" t="s">
        <v>37</v>
      </c>
      <c r="R642" s="1" t="s">
        <v>37</v>
      </c>
      <c r="S642">
        <v>47.350743999999999</v>
      </c>
      <c r="T642">
        <v>7.1561070000000004</v>
      </c>
      <c r="U642" s="1" t="s">
        <v>70</v>
      </c>
      <c r="V642">
        <v>26</v>
      </c>
      <c r="W642">
        <v>4</v>
      </c>
      <c r="X642">
        <v>0</v>
      </c>
      <c r="Y642">
        <v>203.27</v>
      </c>
    </row>
    <row r="643" spans="1:26">
      <c r="A643" s="2">
        <v>43923</v>
      </c>
      <c r="B643" s="4">
        <v>0.45833333333333331</v>
      </c>
      <c r="C643" s="1" t="s">
        <v>71</v>
      </c>
      <c r="E643">
        <v>422</v>
      </c>
      <c r="F643">
        <v>9</v>
      </c>
      <c r="G643">
        <v>66</v>
      </c>
      <c r="H643">
        <v>11</v>
      </c>
      <c r="K643">
        <v>7</v>
      </c>
      <c r="L643" s="1" t="s">
        <v>73</v>
      </c>
      <c r="N643" s="1" t="s">
        <v>37</v>
      </c>
      <c r="P643" s="1" t="s">
        <v>37</v>
      </c>
      <c r="R643" s="1" t="s">
        <v>37</v>
      </c>
      <c r="S643">
        <v>47.067762999999999</v>
      </c>
      <c r="T643">
        <v>8.1102000000000007</v>
      </c>
      <c r="U643" s="1" t="s">
        <v>72</v>
      </c>
      <c r="V643">
        <v>3</v>
      </c>
      <c r="W643">
        <v>21</v>
      </c>
      <c r="X643">
        <v>0</v>
      </c>
      <c r="Y643">
        <v>103.81</v>
      </c>
      <c r="Z643">
        <v>1.722</v>
      </c>
    </row>
    <row r="644" spans="1:26">
      <c r="A644" s="2">
        <v>43923</v>
      </c>
      <c r="B644" s="4">
        <v>0.5</v>
      </c>
      <c r="C644" s="1" t="s">
        <v>74</v>
      </c>
      <c r="E644">
        <v>430</v>
      </c>
      <c r="F644">
        <v>-5</v>
      </c>
      <c r="G644">
        <v>61</v>
      </c>
      <c r="H644">
        <v>12</v>
      </c>
      <c r="I644">
        <v>10</v>
      </c>
      <c r="K644">
        <v>28</v>
      </c>
      <c r="L644" s="1" t="s">
        <v>76</v>
      </c>
      <c r="N644" s="1" t="s">
        <v>37</v>
      </c>
      <c r="P644" s="1" t="s">
        <v>37</v>
      </c>
      <c r="R644" s="1" t="s">
        <v>37</v>
      </c>
      <c r="S644">
        <v>46.995533999999999</v>
      </c>
      <c r="T644">
        <v>6.7801260000000001</v>
      </c>
      <c r="U644" s="1" t="s">
        <v>75</v>
      </c>
      <c r="V644">
        <v>24</v>
      </c>
      <c r="W644">
        <v>10</v>
      </c>
      <c r="X644">
        <v>3</v>
      </c>
      <c r="Y644">
        <v>241.57</v>
      </c>
      <c r="Z644">
        <v>15.73</v>
      </c>
    </row>
    <row r="645" spans="1:26">
      <c r="A645" s="2">
        <v>43923</v>
      </c>
      <c r="B645" s="4">
        <v>0.66666666666666663</v>
      </c>
      <c r="C645" s="1" t="s">
        <v>77</v>
      </c>
      <c r="E645">
        <v>76</v>
      </c>
      <c r="F645">
        <v>0</v>
      </c>
      <c r="L645" s="1" t="s">
        <v>79</v>
      </c>
      <c r="N645" s="1" t="s">
        <v>37</v>
      </c>
      <c r="P645" s="1" t="s">
        <v>37</v>
      </c>
      <c r="R645" s="1" t="s">
        <v>37</v>
      </c>
      <c r="S645">
        <v>46.926755</v>
      </c>
      <c r="T645">
        <v>8.4053020000000007</v>
      </c>
      <c r="U645" s="1" t="s">
        <v>78</v>
      </c>
      <c r="V645">
        <v>7</v>
      </c>
      <c r="W645">
        <v>6</v>
      </c>
      <c r="X645">
        <v>0</v>
      </c>
      <c r="Y645">
        <v>176.74</v>
      </c>
    </row>
    <row r="646" spans="1:26">
      <c r="A646" s="2">
        <v>43923</v>
      </c>
      <c r="B646" s="4">
        <v>0.125</v>
      </c>
      <c r="C646" s="1" t="s">
        <v>80</v>
      </c>
      <c r="D646">
        <v>6</v>
      </c>
      <c r="E646">
        <v>51</v>
      </c>
      <c r="F646">
        <v>0</v>
      </c>
      <c r="L646" s="1" t="s">
        <v>82</v>
      </c>
      <c r="N646" s="1" t="s">
        <v>37</v>
      </c>
      <c r="P646" s="1" t="s">
        <v>37</v>
      </c>
      <c r="R646" s="1" t="s">
        <v>37</v>
      </c>
      <c r="S646">
        <v>46.804527</v>
      </c>
      <c r="T646">
        <v>8.1443170000000009</v>
      </c>
      <c r="U646" s="1" t="s">
        <v>81</v>
      </c>
      <c r="V646">
        <v>6</v>
      </c>
      <c r="W646">
        <v>3</v>
      </c>
      <c r="X646">
        <v>0</v>
      </c>
      <c r="Y646">
        <v>135.63999999999999</v>
      </c>
    </row>
    <row r="647" spans="1:26">
      <c r="A647" s="2">
        <v>43923</v>
      </c>
      <c r="B647" s="4">
        <v>0.125</v>
      </c>
      <c r="C647" s="1" t="s">
        <v>83</v>
      </c>
      <c r="E647">
        <v>480</v>
      </c>
      <c r="F647">
        <v>0</v>
      </c>
      <c r="G647">
        <v>64</v>
      </c>
      <c r="H647">
        <v>11</v>
      </c>
      <c r="J647">
        <v>49</v>
      </c>
      <c r="K647">
        <v>8</v>
      </c>
      <c r="L647" s="1" t="s">
        <v>85</v>
      </c>
      <c r="N647" s="1" t="s">
        <v>37</v>
      </c>
      <c r="P647" s="1" t="s">
        <v>37</v>
      </c>
      <c r="R647" s="1" t="s">
        <v>37</v>
      </c>
      <c r="S647">
        <v>47.183199999999999</v>
      </c>
      <c r="T647">
        <v>9.2747440000000001</v>
      </c>
      <c r="U647" s="1" t="s">
        <v>84</v>
      </c>
      <c r="V647">
        <v>17</v>
      </c>
      <c r="W647">
        <v>66</v>
      </c>
      <c r="X647">
        <v>1</v>
      </c>
      <c r="Y647">
        <v>95.11</v>
      </c>
      <c r="Z647">
        <v>1.585</v>
      </c>
    </row>
    <row r="648" spans="1:26">
      <c r="A648" s="2">
        <v>43923</v>
      </c>
      <c r="B648" s="4">
        <v>0.125</v>
      </c>
      <c r="C648" s="1" t="s">
        <v>86</v>
      </c>
      <c r="E648">
        <v>47</v>
      </c>
      <c r="F648">
        <v>8</v>
      </c>
      <c r="G648">
        <v>18</v>
      </c>
      <c r="H648">
        <v>3</v>
      </c>
      <c r="K648">
        <v>1</v>
      </c>
      <c r="L648" s="1" t="s">
        <v>88</v>
      </c>
      <c r="N648" s="1" t="s">
        <v>37</v>
      </c>
      <c r="P648" s="1" t="s">
        <v>37</v>
      </c>
      <c r="R648" s="1" t="s">
        <v>37</v>
      </c>
      <c r="S648">
        <v>47.713569999999997</v>
      </c>
      <c r="T648">
        <v>8.5916700000000006</v>
      </c>
      <c r="U648" s="1" t="s">
        <v>87</v>
      </c>
      <c r="V648">
        <v>14</v>
      </c>
      <c r="W648">
        <v>3</v>
      </c>
      <c r="X648">
        <v>0</v>
      </c>
      <c r="Y648">
        <v>57.74</v>
      </c>
      <c r="Z648">
        <v>1.2290000000000001</v>
      </c>
    </row>
    <row r="649" spans="1:26">
      <c r="A649" s="2">
        <v>43923</v>
      </c>
      <c r="B649" s="4">
        <v>0.125</v>
      </c>
      <c r="C649" s="1" t="s">
        <v>89</v>
      </c>
      <c r="E649">
        <v>227</v>
      </c>
      <c r="F649">
        <v>0</v>
      </c>
      <c r="G649">
        <v>14</v>
      </c>
      <c r="K649">
        <v>3</v>
      </c>
      <c r="L649" s="1" t="s">
        <v>91</v>
      </c>
      <c r="N649" s="1" t="s">
        <v>37</v>
      </c>
      <c r="P649" s="1" t="s">
        <v>37</v>
      </c>
      <c r="R649" s="1" t="s">
        <v>37</v>
      </c>
      <c r="S649">
        <v>47.304135000000002</v>
      </c>
      <c r="T649">
        <v>7.6393880000000003</v>
      </c>
      <c r="U649" s="1" t="s">
        <v>90</v>
      </c>
      <c r="V649">
        <v>11</v>
      </c>
      <c r="W649">
        <v>11</v>
      </c>
      <c r="X649">
        <v>0</v>
      </c>
      <c r="Y649">
        <v>83.64</v>
      </c>
      <c r="Z649">
        <v>1.105</v>
      </c>
    </row>
    <row r="650" spans="1:26">
      <c r="A650" s="2">
        <v>43923</v>
      </c>
      <c r="B650" s="4">
        <v>0.125</v>
      </c>
      <c r="C650" s="1" t="s">
        <v>92</v>
      </c>
      <c r="D650">
        <v>10</v>
      </c>
      <c r="E650">
        <v>155</v>
      </c>
      <c r="F650">
        <v>0</v>
      </c>
      <c r="G650">
        <v>1</v>
      </c>
      <c r="J650">
        <v>65</v>
      </c>
      <c r="K650">
        <v>4</v>
      </c>
      <c r="L650" s="1" t="s">
        <v>267</v>
      </c>
      <c r="N650" s="1" t="s">
        <v>37</v>
      </c>
      <c r="P650" s="1" t="s">
        <v>37</v>
      </c>
      <c r="R650" s="1" t="s">
        <v>37</v>
      </c>
      <c r="S650">
        <v>47.061787000000002</v>
      </c>
      <c r="T650">
        <v>8.7565849999999994</v>
      </c>
      <c r="U650" s="1" t="s">
        <v>93</v>
      </c>
      <c r="V650">
        <v>5</v>
      </c>
      <c r="W650">
        <v>9</v>
      </c>
      <c r="X650">
        <v>0</v>
      </c>
      <c r="Y650">
        <v>98.54</v>
      </c>
      <c r="Z650">
        <v>2.5430000000000001</v>
      </c>
    </row>
    <row r="651" spans="1:26">
      <c r="A651" s="2">
        <v>43923</v>
      </c>
      <c r="B651" s="4">
        <v>0.125</v>
      </c>
      <c r="C651" s="1" t="s">
        <v>95</v>
      </c>
      <c r="D651">
        <v>276</v>
      </c>
      <c r="E651">
        <v>179</v>
      </c>
      <c r="F651">
        <v>0</v>
      </c>
      <c r="K651">
        <v>4</v>
      </c>
      <c r="L651" s="1" t="s">
        <v>97</v>
      </c>
      <c r="N651" s="1" t="s">
        <v>37</v>
      </c>
      <c r="P651" s="1" t="s">
        <v>37</v>
      </c>
      <c r="R651" s="1" t="s">
        <v>37</v>
      </c>
      <c r="S651">
        <v>47.568714999999997</v>
      </c>
      <c r="T651">
        <v>9.0919570000000007</v>
      </c>
      <c r="U651" s="1" t="s">
        <v>96</v>
      </c>
      <c r="V651">
        <v>1</v>
      </c>
      <c r="W651">
        <v>13</v>
      </c>
      <c r="X651">
        <v>0</v>
      </c>
      <c r="Y651">
        <v>65.38</v>
      </c>
      <c r="Z651">
        <v>1.4610000000000001</v>
      </c>
    </row>
    <row r="652" spans="1:26">
      <c r="A652" s="2">
        <v>43923</v>
      </c>
      <c r="B652" s="4">
        <v>0.33333333333333331</v>
      </c>
      <c r="C652" s="1" t="s">
        <v>98</v>
      </c>
      <c r="E652">
        <v>2271</v>
      </c>
      <c r="F652">
        <v>-22</v>
      </c>
      <c r="G652">
        <v>374</v>
      </c>
      <c r="H652">
        <v>75</v>
      </c>
      <c r="I652">
        <v>73</v>
      </c>
      <c r="J652">
        <v>263</v>
      </c>
      <c r="K652">
        <v>141</v>
      </c>
      <c r="L652" s="1" t="s">
        <v>313</v>
      </c>
      <c r="N652" s="1" t="s">
        <v>37</v>
      </c>
      <c r="P652" s="1" t="s">
        <v>314</v>
      </c>
      <c r="R652" s="1" t="s">
        <v>37</v>
      </c>
      <c r="S652">
        <v>46.295617</v>
      </c>
      <c r="T652">
        <v>8.8089239999999993</v>
      </c>
      <c r="U652" s="1" t="s">
        <v>99</v>
      </c>
      <c r="V652">
        <v>21</v>
      </c>
      <c r="W652">
        <v>76</v>
      </c>
      <c r="X652">
        <v>9</v>
      </c>
      <c r="Y652">
        <v>642.07000000000005</v>
      </c>
      <c r="Z652">
        <v>39.863999999999997</v>
      </c>
    </row>
    <row r="653" spans="1:26">
      <c r="A653" s="2">
        <v>43923</v>
      </c>
      <c r="B653" s="4">
        <v>0.58333333333333337</v>
      </c>
      <c r="C653" s="1" t="s">
        <v>101</v>
      </c>
      <c r="D653">
        <v>85</v>
      </c>
      <c r="E653">
        <v>60</v>
      </c>
      <c r="F653">
        <v>-6</v>
      </c>
      <c r="G653">
        <v>4</v>
      </c>
      <c r="J653">
        <v>13</v>
      </c>
      <c r="K653">
        <v>1</v>
      </c>
      <c r="L653" s="1" t="s">
        <v>238</v>
      </c>
      <c r="N653" s="1" t="s">
        <v>37</v>
      </c>
      <c r="P653" s="1" t="s">
        <v>37</v>
      </c>
      <c r="R653" s="1" t="s">
        <v>37</v>
      </c>
      <c r="S653">
        <v>46.771849000000003</v>
      </c>
      <c r="T653">
        <v>8.6285860000000003</v>
      </c>
      <c r="U653" s="1" t="s">
        <v>102</v>
      </c>
      <c r="V653">
        <v>4</v>
      </c>
      <c r="W653">
        <v>1</v>
      </c>
      <c r="X653">
        <v>0</v>
      </c>
      <c r="Y653">
        <v>165.29</v>
      </c>
      <c r="Z653">
        <v>2.7549999999999999</v>
      </c>
    </row>
    <row r="654" spans="1:26">
      <c r="A654" s="2">
        <v>43923</v>
      </c>
      <c r="B654" s="4">
        <v>0.125</v>
      </c>
      <c r="C654" s="1" t="s">
        <v>104</v>
      </c>
      <c r="E654">
        <v>3874</v>
      </c>
      <c r="F654">
        <v>-9</v>
      </c>
      <c r="G654">
        <v>381</v>
      </c>
      <c r="H654">
        <v>75</v>
      </c>
      <c r="J654">
        <v>225</v>
      </c>
      <c r="K654">
        <v>134</v>
      </c>
      <c r="L654" s="1" t="s">
        <v>106</v>
      </c>
      <c r="N654" s="1" t="s">
        <v>37</v>
      </c>
      <c r="P654" s="1" t="s">
        <v>37</v>
      </c>
      <c r="R654" s="1" t="s">
        <v>37</v>
      </c>
      <c r="S654">
        <v>46.570090999999998</v>
      </c>
      <c r="T654">
        <v>6.5578090000000007</v>
      </c>
      <c r="U654" s="1" t="s">
        <v>105</v>
      </c>
      <c r="V654">
        <v>22</v>
      </c>
      <c r="W654">
        <v>153</v>
      </c>
      <c r="X654">
        <v>19</v>
      </c>
      <c r="Y654">
        <v>488.46</v>
      </c>
      <c r="Z654">
        <v>16.896000000000001</v>
      </c>
    </row>
    <row r="655" spans="1:26">
      <c r="A655" s="2">
        <v>43923</v>
      </c>
      <c r="B655" s="4">
        <v>0.625</v>
      </c>
      <c r="C655" s="1" t="s">
        <v>107</v>
      </c>
      <c r="E655">
        <v>1334</v>
      </c>
      <c r="F655">
        <v>0</v>
      </c>
      <c r="G655">
        <v>147</v>
      </c>
      <c r="H655">
        <v>28</v>
      </c>
      <c r="I655">
        <v>24</v>
      </c>
      <c r="J655">
        <v>88</v>
      </c>
      <c r="K655">
        <v>47</v>
      </c>
      <c r="L655" s="1" t="s">
        <v>412</v>
      </c>
      <c r="N655" s="1" t="s">
        <v>37</v>
      </c>
      <c r="P655" s="1" t="s">
        <v>37</v>
      </c>
      <c r="R655" s="1" t="s">
        <v>37</v>
      </c>
      <c r="S655">
        <v>46.209567</v>
      </c>
      <c r="T655">
        <v>7.6046589999999998</v>
      </c>
      <c r="U655" s="1" t="s">
        <v>108</v>
      </c>
      <c r="V655">
        <v>23</v>
      </c>
      <c r="W655">
        <v>52</v>
      </c>
      <c r="X655">
        <v>7</v>
      </c>
      <c r="Y655">
        <v>390.63</v>
      </c>
      <c r="Z655">
        <v>13.763</v>
      </c>
    </row>
    <row r="656" spans="1:26">
      <c r="A656" s="2">
        <v>43923</v>
      </c>
      <c r="B656" s="4">
        <v>0.33333333333333331</v>
      </c>
      <c r="C656" s="1" t="s">
        <v>109</v>
      </c>
      <c r="E656">
        <v>138</v>
      </c>
      <c r="F656">
        <v>1</v>
      </c>
      <c r="G656">
        <v>15</v>
      </c>
      <c r="H656">
        <v>7</v>
      </c>
      <c r="J656">
        <v>41</v>
      </c>
      <c r="K656">
        <v>1</v>
      </c>
      <c r="L656" s="1" t="s">
        <v>502</v>
      </c>
      <c r="N656" s="1" t="s">
        <v>37</v>
      </c>
      <c r="P656" s="1" t="s">
        <v>37</v>
      </c>
      <c r="R656" s="1" t="s">
        <v>37</v>
      </c>
      <c r="S656">
        <v>47.157296000000002</v>
      </c>
      <c r="T656">
        <v>8.5372939999999993</v>
      </c>
      <c r="U656" s="1" t="s">
        <v>110</v>
      </c>
      <c r="V656">
        <v>9</v>
      </c>
      <c r="W656">
        <v>7</v>
      </c>
      <c r="X656">
        <v>0</v>
      </c>
      <c r="Y656">
        <v>110.05</v>
      </c>
      <c r="Z656">
        <v>0.79700000000000004</v>
      </c>
    </row>
    <row r="657" spans="1:26">
      <c r="A657" s="2">
        <v>43923</v>
      </c>
      <c r="B657" s="4">
        <v>0.60416666666666663</v>
      </c>
      <c r="C657" s="1" t="s">
        <v>111</v>
      </c>
      <c r="E657">
        <v>2306</v>
      </c>
      <c r="F657">
        <v>-3</v>
      </c>
      <c r="G657">
        <v>200</v>
      </c>
      <c r="I657">
        <v>53</v>
      </c>
      <c r="K657">
        <v>39</v>
      </c>
      <c r="L657" s="1" t="s">
        <v>113</v>
      </c>
      <c r="N657" s="1" t="s">
        <v>37</v>
      </c>
      <c r="P657" s="1" t="s">
        <v>37</v>
      </c>
      <c r="R657" s="1" t="s">
        <v>37</v>
      </c>
      <c r="S657">
        <v>47.412750000000003</v>
      </c>
      <c r="T657">
        <v>8.6550799999999999</v>
      </c>
      <c r="U657" s="1" t="s">
        <v>112</v>
      </c>
      <c r="V657">
        <v>1</v>
      </c>
      <c r="W657">
        <v>164</v>
      </c>
      <c r="X657">
        <v>3</v>
      </c>
      <c r="Y657">
        <v>153.29</v>
      </c>
      <c r="Z657">
        <v>2.593</v>
      </c>
    </row>
    <row r="658" spans="1:26">
      <c r="A658" s="2">
        <v>43924</v>
      </c>
      <c r="B658" s="4">
        <v>0.625</v>
      </c>
      <c r="C658" s="1" t="s">
        <v>35</v>
      </c>
      <c r="E658">
        <v>626</v>
      </c>
      <c r="F658">
        <v>6</v>
      </c>
      <c r="G658">
        <v>100</v>
      </c>
      <c r="H658">
        <v>27</v>
      </c>
      <c r="I658">
        <v>26</v>
      </c>
      <c r="J658">
        <v>4</v>
      </c>
      <c r="K658">
        <v>12</v>
      </c>
      <c r="L658" s="1" t="s">
        <v>315</v>
      </c>
      <c r="N658" s="1" t="s">
        <v>37</v>
      </c>
      <c r="P658" s="1" t="s">
        <v>37</v>
      </c>
      <c r="R658" s="1" t="s">
        <v>37</v>
      </c>
      <c r="S658">
        <v>47.409660000000002</v>
      </c>
      <c r="T658">
        <v>8.1568799999999992</v>
      </c>
      <c r="U658" s="1" t="s">
        <v>36</v>
      </c>
      <c r="V658">
        <v>1</v>
      </c>
      <c r="W658">
        <v>34</v>
      </c>
      <c r="X658">
        <v>0</v>
      </c>
      <c r="Y658">
        <v>93.29</v>
      </c>
      <c r="Z658">
        <v>1.788</v>
      </c>
    </row>
    <row r="659" spans="1:26">
      <c r="A659" s="2">
        <v>43924</v>
      </c>
      <c r="B659" s="4">
        <v>0.45833333333333331</v>
      </c>
      <c r="C659" s="1" t="s">
        <v>39</v>
      </c>
      <c r="E659">
        <v>20</v>
      </c>
      <c r="F659">
        <v>0</v>
      </c>
      <c r="G659">
        <v>1</v>
      </c>
      <c r="L659" s="1" t="s">
        <v>41</v>
      </c>
      <c r="N659" s="1" t="s">
        <v>37</v>
      </c>
      <c r="P659" s="1" t="s">
        <v>37</v>
      </c>
      <c r="R659" s="1" t="s">
        <v>37</v>
      </c>
      <c r="S659">
        <v>47.317264000000002</v>
      </c>
      <c r="T659">
        <v>9.4167539999999992</v>
      </c>
      <c r="U659" s="1" t="s">
        <v>40</v>
      </c>
      <c r="V659">
        <v>16</v>
      </c>
      <c r="W659">
        <v>0</v>
      </c>
      <c r="X659">
        <v>0</v>
      </c>
      <c r="Y659">
        <v>124.22</v>
      </c>
    </row>
    <row r="660" spans="1:26">
      <c r="A660" s="2">
        <v>43924</v>
      </c>
      <c r="B660" s="4">
        <v>0.33333333333333331</v>
      </c>
      <c r="C660" s="1" t="s">
        <v>42</v>
      </c>
      <c r="E660">
        <v>65</v>
      </c>
      <c r="F660">
        <v>0</v>
      </c>
      <c r="G660">
        <v>6</v>
      </c>
      <c r="K660">
        <v>3</v>
      </c>
      <c r="L660" s="1" t="s">
        <v>44</v>
      </c>
      <c r="N660" s="1" t="s">
        <v>37</v>
      </c>
      <c r="P660" s="1" t="s">
        <v>37</v>
      </c>
      <c r="R660" s="1" t="s">
        <v>37</v>
      </c>
      <c r="S660">
        <v>47.416351999999996</v>
      </c>
      <c r="T660">
        <v>9.3679100000000002</v>
      </c>
      <c r="U660" s="1" t="s">
        <v>43</v>
      </c>
      <c r="V660">
        <v>15</v>
      </c>
      <c r="W660">
        <v>1</v>
      </c>
      <c r="X660">
        <v>0</v>
      </c>
      <c r="Y660">
        <v>117.75</v>
      </c>
      <c r="Z660">
        <v>5.4349999999999996</v>
      </c>
    </row>
    <row r="661" spans="1:26">
      <c r="A661" s="2">
        <v>43924</v>
      </c>
      <c r="B661" s="4">
        <v>0.33333333333333331</v>
      </c>
      <c r="C661" s="1" t="s">
        <v>45</v>
      </c>
      <c r="E661">
        <v>1073</v>
      </c>
      <c r="F661">
        <v>5</v>
      </c>
      <c r="G661">
        <v>109</v>
      </c>
      <c r="H661">
        <v>30</v>
      </c>
      <c r="I661">
        <v>26</v>
      </c>
      <c r="K661">
        <v>26</v>
      </c>
      <c r="L661" s="1" t="s">
        <v>47</v>
      </c>
      <c r="N661" s="1" t="s">
        <v>37</v>
      </c>
      <c r="P661" s="1" t="s">
        <v>37</v>
      </c>
      <c r="R661" s="1" t="s">
        <v>37</v>
      </c>
      <c r="S661">
        <v>46.823608</v>
      </c>
      <c r="T661">
        <v>7.6366670000000001</v>
      </c>
      <c r="U661" s="1" t="s">
        <v>46</v>
      </c>
      <c r="V661">
        <v>2</v>
      </c>
      <c r="W661">
        <v>70</v>
      </c>
      <c r="X661">
        <v>3</v>
      </c>
      <c r="Y661">
        <v>104.06</v>
      </c>
      <c r="Z661">
        <v>2.5219999999999998</v>
      </c>
    </row>
    <row r="662" spans="1:26">
      <c r="A662" s="2">
        <v>43924</v>
      </c>
      <c r="B662" s="4">
        <v>0.125</v>
      </c>
      <c r="C662" s="1" t="s">
        <v>48</v>
      </c>
      <c r="E662">
        <v>625</v>
      </c>
      <c r="F662">
        <v>1</v>
      </c>
      <c r="G662">
        <v>82</v>
      </c>
      <c r="H662">
        <v>18</v>
      </c>
      <c r="I662">
        <v>18</v>
      </c>
      <c r="J662">
        <v>266</v>
      </c>
      <c r="K662">
        <v>14</v>
      </c>
      <c r="L662" s="1" t="s">
        <v>50</v>
      </c>
      <c r="N662" s="1" t="s">
        <v>37</v>
      </c>
      <c r="P662" s="1" t="s">
        <v>37</v>
      </c>
      <c r="R662" s="1" t="s">
        <v>37</v>
      </c>
      <c r="S662">
        <v>47.45176</v>
      </c>
      <c r="T662">
        <v>7.7024140000000001</v>
      </c>
      <c r="U662" s="1" t="s">
        <v>49</v>
      </c>
      <c r="V662">
        <v>13</v>
      </c>
      <c r="W662">
        <v>15</v>
      </c>
      <c r="X662">
        <v>2</v>
      </c>
      <c r="Y662">
        <v>217.77</v>
      </c>
      <c r="Z662">
        <v>4.8780000000000001</v>
      </c>
    </row>
    <row r="663" spans="1:26">
      <c r="A663" s="2">
        <v>43924</v>
      </c>
      <c r="B663" s="4">
        <v>0.35416666666666669</v>
      </c>
      <c r="C663" s="1" t="s">
        <v>51</v>
      </c>
      <c r="D663">
        <v>235</v>
      </c>
      <c r="E663">
        <v>758</v>
      </c>
      <c r="F663">
        <v>-4</v>
      </c>
      <c r="G663">
        <v>115</v>
      </c>
      <c r="H663">
        <v>17</v>
      </c>
      <c r="J663">
        <v>397</v>
      </c>
      <c r="K663">
        <v>21</v>
      </c>
      <c r="L663" s="1" t="s">
        <v>316</v>
      </c>
      <c r="M663">
        <v>420</v>
      </c>
      <c r="N663" s="1" t="s">
        <v>289</v>
      </c>
      <c r="P663" s="1" t="s">
        <v>37</v>
      </c>
      <c r="R663" s="1" t="s">
        <v>37</v>
      </c>
      <c r="S663">
        <v>47.564869000000002</v>
      </c>
      <c r="T663">
        <v>7.615259</v>
      </c>
      <c r="U663" s="1" t="s">
        <v>52</v>
      </c>
      <c r="V663">
        <v>12</v>
      </c>
      <c r="W663">
        <v>40</v>
      </c>
      <c r="X663">
        <v>2</v>
      </c>
      <c r="Y663">
        <v>390.92</v>
      </c>
      <c r="Z663">
        <v>10.83</v>
      </c>
    </row>
    <row r="664" spans="1:26">
      <c r="A664" s="2">
        <v>43924</v>
      </c>
      <c r="B664" s="4">
        <v>0.125</v>
      </c>
      <c r="C664" s="1" t="s">
        <v>54</v>
      </c>
      <c r="D664">
        <v>900</v>
      </c>
      <c r="E664">
        <v>76</v>
      </c>
      <c r="F664">
        <v>0</v>
      </c>
      <c r="J664">
        <v>1</v>
      </c>
      <c r="L664" s="1" t="s">
        <v>312</v>
      </c>
      <c r="N664" s="1" t="s">
        <v>37</v>
      </c>
      <c r="P664" s="1" t="s">
        <v>37</v>
      </c>
      <c r="R664" s="1" t="s">
        <v>37</v>
      </c>
      <c r="S664">
        <v>47.166666999999997</v>
      </c>
      <c r="T664">
        <v>9.509722</v>
      </c>
      <c r="U664" s="1" t="s">
        <v>55</v>
      </c>
      <c r="V664">
        <v>0</v>
      </c>
      <c r="W664">
        <v>1</v>
      </c>
      <c r="X664">
        <v>0</v>
      </c>
      <c r="Y664">
        <v>196.89</v>
      </c>
    </row>
    <row r="665" spans="1:26">
      <c r="A665" s="2">
        <v>43924</v>
      </c>
      <c r="B665" s="4">
        <v>0.125</v>
      </c>
      <c r="C665" s="1" t="s">
        <v>57</v>
      </c>
      <c r="D665">
        <v>30</v>
      </c>
      <c r="E665">
        <v>588</v>
      </c>
      <c r="F665">
        <v>-3</v>
      </c>
      <c r="G665">
        <v>77</v>
      </c>
      <c r="H665">
        <v>21</v>
      </c>
      <c r="J665">
        <v>46</v>
      </c>
      <c r="K665">
        <v>31</v>
      </c>
      <c r="L665" s="1" t="s">
        <v>59</v>
      </c>
      <c r="N665" s="1" t="s">
        <v>37</v>
      </c>
      <c r="P665" s="1" t="s">
        <v>37</v>
      </c>
      <c r="R665" s="1" t="s">
        <v>37</v>
      </c>
      <c r="S665">
        <v>46.718390999999997</v>
      </c>
      <c r="T665">
        <v>7.0740080000000001</v>
      </c>
      <c r="U665" s="1" t="s">
        <v>58</v>
      </c>
      <c r="V665">
        <v>10</v>
      </c>
      <c r="W665">
        <v>38</v>
      </c>
      <c r="X665">
        <v>5</v>
      </c>
      <c r="Y665">
        <v>186.61</v>
      </c>
      <c r="Z665">
        <v>9.8379999999999992</v>
      </c>
    </row>
    <row r="666" spans="1:26">
      <c r="A666" s="2">
        <v>43924</v>
      </c>
      <c r="B666" s="4">
        <v>0.125</v>
      </c>
      <c r="C666" s="1" t="s">
        <v>60</v>
      </c>
      <c r="D666">
        <v>14239</v>
      </c>
      <c r="E666">
        <v>3503</v>
      </c>
      <c r="F666">
        <v>0</v>
      </c>
      <c r="G666">
        <v>424</v>
      </c>
      <c r="H666">
        <v>65</v>
      </c>
      <c r="I666">
        <v>58</v>
      </c>
      <c r="J666">
        <v>284</v>
      </c>
      <c r="K666">
        <v>85</v>
      </c>
      <c r="L666" s="1" t="s">
        <v>62</v>
      </c>
      <c r="N666" s="1" t="s">
        <v>37</v>
      </c>
      <c r="P666" s="1" t="s">
        <v>37</v>
      </c>
      <c r="Q666">
        <v>25</v>
      </c>
      <c r="R666" s="1" t="s">
        <v>37</v>
      </c>
      <c r="S666">
        <v>46.220528000000002</v>
      </c>
      <c r="T666">
        <v>6.1329349999999998</v>
      </c>
      <c r="U666" s="1" t="s">
        <v>61</v>
      </c>
      <c r="V666">
        <v>25</v>
      </c>
      <c r="W666">
        <v>187</v>
      </c>
      <c r="X666">
        <v>6</v>
      </c>
      <c r="Y666">
        <v>707.39</v>
      </c>
      <c r="Z666">
        <v>17.164999999999999</v>
      </c>
    </row>
    <row r="667" spans="1:26">
      <c r="A667" s="2">
        <v>43924</v>
      </c>
      <c r="B667" s="4">
        <v>0.5625</v>
      </c>
      <c r="C667" s="1" t="s">
        <v>63</v>
      </c>
      <c r="E667">
        <v>59</v>
      </c>
      <c r="F667">
        <v>0</v>
      </c>
      <c r="G667">
        <v>5</v>
      </c>
      <c r="K667">
        <v>2</v>
      </c>
      <c r="L667" s="1" t="s">
        <v>65</v>
      </c>
      <c r="N667" s="1" t="s">
        <v>37</v>
      </c>
      <c r="P667" s="1" t="s">
        <v>37</v>
      </c>
      <c r="R667" s="1" t="s">
        <v>37</v>
      </c>
      <c r="S667">
        <v>46.931042000000005</v>
      </c>
      <c r="T667">
        <v>9.0657510000000006</v>
      </c>
      <c r="U667" s="1" t="s">
        <v>64</v>
      </c>
      <c r="V667">
        <v>8</v>
      </c>
      <c r="W667">
        <v>1</v>
      </c>
      <c r="X667">
        <v>0</v>
      </c>
      <c r="Y667">
        <v>146.4</v>
      </c>
      <c r="Z667">
        <v>4.9630000000000001</v>
      </c>
    </row>
    <row r="668" spans="1:26">
      <c r="A668" s="2">
        <v>43924</v>
      </c>
      <c r="B668" s="4">
        <v>0.125</v>
      </c>
      <c r="C668" s="1" t="s">
        <v>66</v>
      </c>
      <c r="E668">
        <v>598</v>
      </c>
      <c r="F668">
        <v>1</v>
      </c>
      <c r="G668">
        <v>60</v>
      </c>
      <c r="K668">
        <v>27</v>
      </c>
      <c r="L668" s="1" t="s">
        <v>68</v>
      </c>
      <c r="N668" s="1" t="s">
        <v>37</v>
      </c>
      <c r="P668" s="1" t="s">
        <v>37</v>
      </c>
      <c r="R668" s="1" t="s">
        <v>37</v>
      </c>
      <c r="S668">
        <v>46.656247999999998</v>
      </c>
      <c r="T668">
        <v>9.6281979999999994</v>
      </c>
      <c r="U668" s="1" t="s">
        <v>67</v>
      </c>
      <c r="V668">
        <v>1</v>
      </c>
      <c r="W668">
        <v>29</v>
      </c>
      <c r="X668">
        <v>4</v>
      </c>
      <c r="Y668">
        <v>302.17</v>
      </c>
      <c r="Z668">
        <v>13.643000000000001</v>
      </c>
    </row>
    <row r="669" spans="1:26">
      <c r="A669" s="2">
        <v>43924</v>
      </c>
      <c r="B669" s="4">
        <v>0.66666666666666663</v>
      </c>
      <c r="C669" s="1" t="s">
        <v>69</v>
      </c>
      <c r="E669">
        <v>149</v>
      </c>
      <c r="F669">
        <v>-1</v>
      </c>
      <c r="G669">
        <v>28</v>
      </c>
      <c r="H669">
        <v>3</v>
      </c>
      <c r="L669" s="1" t="s">
        <v>280</v>
      </c>
      <c r="N669" s="1" t="s">
        <v>37</v>
      </c>
      <c r="P669" s="1" t="s">
        <v>37</v>
      </c>
      <c r="R669" s="1" t="s">
        <v>37</v>
      </c>
      <c r="S669">
        <v>47.350743999999999</v>
      </c>
      <c r="T669">
        <v>7.1561070000000004</v>
      </c>
      <c r="U669" s="1" t="s">
        <v>70</v>
      </c>
      <c r="V669">
        <v>26</v>
      </c>
      <c r="W669">
        <v>0</v>
      </c>
      <c r="X669">
        <v>0</v>
      </c>
      <c r="Y669">
        <v>203.27</v>
      </c>
    </row>
    <row r="670" spans="1:26">
      <c r="A670" s="2">
        <v>43924</v>
      </c>
      <c r="B670" s="4">
        <v>0.45833333333333331</v>
      </c>
      <c r="C670" s="1" t="s">
        <v>71</v>
      </c>
      <c r="E670">
        <v>449</v>
      </c>
      <c r="F670">
        <v>-17</v>
      </c>
      <c r="G670">
        <v>49</v>
      </c>
      <c r="H670">
        <v>12</v>
      </c>
      <c r="K670">
        <v>7</v>
      </c>
      <c r="L670" s="1" t="s">
        <v>73</v>
      </c>
      <c r="N670" s="1" t="s">
        <v>37</v>
      </c>
      <c r="P670" s="1" t="s">
        <v>37</v>
      </c>
      <c r="R670" s="1" t="s">
        <v>37</v>
      </c>
      <c r="S670">
        <v>47.067762999999999</v>
      </c>
      <c r="T670">
        <v>8.1102000000000007</v>
      </c>
      <c r="U670" s="1" t="s">
        <v>72</v>
      </c>
      <c r="V670">
        <v>3</v>
      </c>
      <c r="W670">
        <v>27</v>
      </c>
      <c r="X670">
        <v>0</v>
      </c>
      <c r="Y670">
        <v>110.46</v>
      </c>
      <c r="Z670">
        <v>1.722</v>
      </c>
    </row>
    <row r="671" spans="1:26">
      <c r="A671" s="2">
        <v>43924</v>
      </c>
      <c r="B671" s="4">
        <v>0.66666666666666663</v>
      </c>
      <c r="C671" s="1" t="s">
        <v>74</v>
      </c>
      <c r="E671">
        <v>444</v>
      </c>
      <c r="F671">
        <v>0</v>
      </c>
      <c r="G671">
        <v>61</v>
      </c>
      <c r="H671">
        <v>11</v>
      </c>
      <c r="I671">
        <v>9</v>
      </c>
      <c r="K671">
        <v>29</v>
      </c>
      <c r="L671" s="1" t="s">
        <v>76</v>
      </c>
      <c r="N671" s="1" t="s">
        <v>37</v>
      </c>
      <c r="P671" s="1" t="s">
        <v>37</v>
      </c>
      <c r="R671" s="1" t="s">
        <v>37</v>
      </c>
      <c r="S671">
        <v>46.995533999999999</v>
      </c>
      <c r="T671">
        <v>6.7801260000000001</v>
      </c>
      <c r="U671" s="1" t="s">
        <v>75</v>
      </c>
      <c r="V671">
        <v>24</v>
      </c>
      <c r="W671">
        <v>14</v>
      </c>
      <c r="X671">
        <v>1</v>
      </c>
      <c r="Y671">
        <v>249.44</v>
      </c>
      <c r="Z671">
        <v>16.292000000000002</v>
      </c>
    </row>
    <row r="672" spans="1:26">
      <c r="A672" s="2">
        <v>43924</v>
      </c>
      <c r="B672" s="4">
        <v>0.65972222222222221</v>
      </c>
      <c r="C672" s="1" t="s">
        <v>77</v>
      </c>
      <c r="E672">
        <v>79</v>
      </c>
      <c r="F672">
        <v>0</v>
      </c>
      <c r="L672" s="1" t="s">
        <v>79</v>
      </c>
      <c r="N672" s="1" t="s">
        <v>37</v>
      </c>
      <c r="P672" s="1" t="s">
        <v>37</v>
      </c>
      <c r="R672" s="1" t="s">
        <v>37</v>
      </c>
      <c r="S672">
        <v>46.926755</v>
      </c>
      <c r="T672">
        <v>8.4053020000000007</v>
      </c>
      <c r="U672" s="1" t="s">
        <v>78</v>
      </c>
      <c r="V672">
        <v>7</v>
      </c>
      <c r="W672">
        <v>3</v>
      </c>
      <c r="X672">
        <v>0</v>
      </c>
      <c r="Y672">
        <v>183.72</v>
      </c>
    </row>
    <row r="673" spans="1:26">
      <c r="A673" s="2">
        <v>43924</v>
      </c>
      <c r="B673" s="4">
        <v>0.125</v>
      </c>
      <c r="C673" s="1" t="s">
        <v>80</v>
      </c>
      <c r="D673">
        <v>6</v>
      </c>
      <c r="E673">
        <v>56</v>
      </c>
      <c r="F673">
        <v>0</v>
      </c>
      <c r="L673" s="1" t="s">
        <v>82</v>
      </c>
      <c r="N673" s="1" t="s">
        <v>37</v>
      </c>
      <c r="P673" s="1" t="s">
        <v>37</v>
      </c>
      <c r="R673" s="1" t="s">
        <v>37</v>
      </c>
      <c r="S673">
        <v>46.804527</v>
      </c>
      <c r="T673">
        <v>8.1443170000000009</v>
      </c>
      <c r="U673" s="1" t="s">
        <v>81</v>
      </c>
      <c r="V673">
        <v>6</v>
      </c>
      <c r="W673">
        <v>5</v>
      </c>
      <c r="X673">
        <v>0</v>
      </c>
      <c r="Y673">
        <v>148.94</v>
      </c>
    </row>
    <row r="674" spans="1:26">
      <c r="A674" s="2">
        <v>43924</v>
      </c>
      <c r="B674" s="4">
        <v>0.125</v>
      </c>
      <c r="C674" s="1" t="s">
        <v>83</v>
      </c>
      <c r="E674">
        <v>480</v>
      </c>
      <c r="F674">
        <v>11</v>
      </c>
      <c r="G674">
        <v>75</v>
      </c>
      <c r="H674">
        <v>12</v>
      </c>
      <c r="J674">
        <v>50</v>
      </c>
      <c r="K674">
        <v>8</v>
      </c>
      <c r="L674" s="1" t="s">
        <v>85</v>
      </c>
      <c r="N674" s="1" t="s">
        <v>37</v>
      </c>
      <c r="P674" s="1" t="s">
        <v>37</v>
      </c>
      <c r="R674" s="1" t="s">
        <v>37</v>
      </c>
      <c r="S674">
        <v>47.183199999999999</v>
      </c>
      <c r="T674">
        <v>9.2747440000000001</v>
      </c>
      <c r="U674" s="1" t="s">
        <v>84</v>
      </c>
      <c r="V674">
        <v>17</v>
      </c>
      <c r="W674">
        <v>0</v>
      </c>
      <c r="X674">
        <v>0</v>
      </c>
      <c r="Y674">
        <v>95.11</v>
      </c>
      <c r="Z674">
        <v>1.585</v>
      </c>
    </row>
    <row r="675" spans="1:26">
      <c r="A675" s="2">
        <v>43924</v>
      </c>
      <c r="B675" s="4">
        <v>0.125</v>
      </c>
      <c r="C675" s="1" t="s">
        <v>86</v>
      </c>
      <c r="E675">
        <v>47</v>
      </c>
      <c r="F675">
        <v>-9</v>
      </c>
      <c r="G675">
        <v>9</v>
      </c>
      <c r="H675">
        <v>3</v>
      </c>
      <c r="K675">
        <v>1</v>
      </c>
      <c r="L675" s="1" t="s">
        <v>88</v>
      </c>
      <c r="N675" s="1" t="s">
        <v>37</v>
      </c>
      <c r="P675" s="1" t="s">
        <v>37</v>
      </c>
      <c r="R675" s="1" t="s">
        <v>37</v>
      </c>
      <c r="S675">
        <v>47.713569999999997</v>
      </c>
      <c r="T675">
        <v>8.5916700000000006</v>
      </c>
      <c r="U675" s="1" t="s">
        <v>87</v>
      </c>
      <c r="V675">
        <v>14</v>
      </c>
      <c r="W675">
        <v>0</v>
      </c>
      <c r="X675">
        <v>0</v>
      </c>
      <c r="Y675">
        <v>57.74</v>
      </c>
      <c r="Z675">
        <v>1.2290000000000001</v>
      </c>
    </row>
    <row r="676" spans="1:26">
      <c r="A676" s="2">
        <v>43924</v>
      </c>
      <c r="B676" s="4">
        <v>0.125</v>
      </c>
      <c r="C676" s="1" t="s">
        <v>89</v>
      </c>
      <c r="E676">
        <v>237</v>
      </c>
      <c r="F676">
        <v>3</v>
      </c>
      <c r="G676">
        <v>17</v>
      </c>
      <c r="K676">
        <v>3</v>
      </c>
      <c r="L676" s="1" t="s">
        <v>91</v>
      </c>
      <c r="N676" s="1" t="s">
        <v>37</v>
      </c>
      <c r="P676" s="1" t="s">
        <v>37</v>
      </c>
      <c r="R676" s="1" t="s">
        <v>37</v>
      </c>
      <c r="S676">
        <v>47.304135000000002</v>
      </c>
      <c r="T676">
        <v>7.6393880000000003</v>
      </c>
      <c r="U676" s="1" t="s">
        <v>90</v>
      </c>
      <c r="V676">
        <v>11</v>
      </c>
      <c r="W676">
        <v>10</v>
      </c>
      <c r="X676">
        <v>0</v>
      </c>
      <c r="Y676">
        <v>87.32</v>
      </c>
      <c r="Z676">
        <v>1.105</v>
      </c>
    </row>
    <row r="677" spans="1:26">
      <c r="A677" s="2">
        <v>43924</v>
      </c>
      <c r="B677" s="4">
        <v>0.125</v>
      </c>
      <c r="C677" s="1" t="s">
        <v>92</v>
      </c>
      <c r="D677">
        <v>10</v>
      </c>
      <c r="E677">
        <v>164</v>
      </c>
      <c r="F677">
        <v>0</v>
      </c>
      <c r="G677">
        <v>1</v>
      </c>
      <c r="J677">
        <v>75</v>
      </c>
      <c r="K677">
        <v>4</v>
      </c>
      <c r="L677" s="1" t="s">
        <v>267</v>
      </c>
      <c r="N677" s="1" t="s">
        <v>37</v>
      </c>
      <c r="P677" s="1" t="s">
        <v>37</v>
      </c>
      <c r="R677" s="1" t="s">
        <v>37</v>
      </c>
      <c r="S677">
        <v>47.061787000000002</v>
      </c>
      <c r="T677">
        <v>8.7565849999999994</v>
      </c>
      <c r="U677" s="1" t="s">
        <v>93</v>
      </c>
      <c r="V677">
        <v>5</v>
      </c>
      <c r="W677">
        <v>9</v>
      </c>
      <c r="X677">
        <v>0</v>
      </c>
      <c r="Y677">
        <v>104.26</v>
      </c>
      <c r="Z677">
        <v>2.5430000000000001</v>
      </c>
    </row>
    <row r="678" spans="1:26">
      <c r="A678" s="2">
        <v>43924</v>
      </c>
      <c r="B678" s="4">
        <v>0.125</v>
      </c>
      <c r="C678" s="1" t="s">
        <v>95</v>
      </c>
      <c r="D678">
        <v>276</v>
      </c>
      <c r="E678">
        <v>198</v>
      </c>
      <c r="F678">
        <v>0</v>
      </c>
      <c r="K678">
        <v>5</v>
      </c>
      <c r="L678" s="1" t="s">
        <v>97</v>
      </c>
      <c r="N678" s="1" t="s">
        <v>37</v>
      </c>
      <c r="P678" s="1" t="s">
        <v>37</v>
      </c>
      <c r="R678" s="1" t="s">
        <v>37</v>
      </c>
      <c r="S678">
        <v>47.568714999999997</v>
      </c>
      <c r="T678">
        <v>9.0919570000000007</v>
      </c>
      <c r="U678" s="1" t="s">
        <v>96</v>
      </c>
      <c r="V678">
        <v>1</v>
      </c>
      <c r="W678">
        <v>19</v>
      </c>
      <c r="X678">
        <v>1</v>
      </c>
      <c r="Y678">
        <v>72.319999999999993</v>
      </c>
      <c r="Z678">
        <v>1.8260000000000001</v>
      </c>
    </row>
    <row r="679" spans="1:26">
      <c r="A679" s="2">
        <v>43924</v>
      </c>
      <c r="B679" s="4">
        <v>0.33333333333333331</v>
      </c>
      <c r="C679" s="1" t="s">
        <v>98</v>
      </c>
      <c r="E679">
        <v>2377</v>
      </c>
      <c r="F679">
        <v>-4</v>
      </c>
      <c r="G679">
        <v>370</v>
      </c>
      <c r="H679">
        <v>75</v>
      </c>
      <c r="I679">
        <v>67</v>
      </c>
      <c r="J679">
        <v>287</v>
      </c>
      <c r="K679">
        <v>155</v>
      </c>
      <c r="L679" s="1" t="s">
        <v>317</v>
      </c>
      <c r="N679" s="1" t="s">
        <v>37</v>
      </c>
      <c r="P679" s="1" t="s">
        <v>303</v>
      </c>
      <c r="R679" s="1" t="s">
        <v>37</v>
      </c>
      <c r="S679">
        <v>46.295617</v>
      </c>
      <c r="T679">
        <v>8.8089239999999993</v>
      </c>
      <c r="U679" s="1" t="s">
        <v>99</v>
      </c>
      <c r="V679">
        <v>21</v>
      </c>
      <c r="W679">
        <v>106</v>
      </c>
      <c r="X679">
        <v>14</v>
      </c>
      <c r="Y679">
        <v>672.04</v>
      </c>
      <c r="Z679">
        <v>43.822000000000003</v>
      </c>
    </row>
    <row r="680" spans="1:26">
      <c r="A680" s="2">
        <v>43924</v>
      </c>
      <c r="B680" s="4">
        <v>0.58333333333333337</v>
      </c>
      <c r="C680" s="1" t="s">
        <v>101</v>
      </c>
      <c r="D680">
        <v>85</v>
      </c>
      <c r="E680">
        <v>62</v>
      </c>
      <c r="F680">
        <v>2</v>
      </c>
      <c r="G680">
        <v>6</v>
      </c>
      <c r="J680">
        <v>26</v>
      </c>
      <c r="K680">
        <v>1</v>
      </c>
      <c r="L680" s="1" t="s">
        <v>238</v>
      </c>
      <c r="N680" s="1" t="s">
        <v>37</v>
      </c>
      <c r="P680" s="1" t="s">
        <v>37</v>
      </c>
      <c r="R680" s="1" t="s">
        <v>37</v>
      </c>
      <c r="S680">
        <v>46.771849000000003</v>
      </c>
      <c r="T680">
        <v>8.6285860000000003</v>
      </c>
      <c r="U680" s="1" t="s">
        <v>102</v>
      </c>
      <c r="V680">
        <v>4</v>
      </c>
      <c r="W680">
        <v>2</v>
      </c>
      <c r="X680">
        <v>0</v>
      </c>
      <c r="Y680">
        <v>170.8</v>
      </c>
      <c r="Z680">
        <v>2.7549999999999999</v>
      </c>
    </row>
    <row r="681" spans="1:26">
      <c r="A681" s="2">
        <v>43924</v>
      </c>
      <c r="B681" s="4">
        <v>0.125</v>
      </c>
      <c r="C681" s="1" t="s">
        <v>104</v>
      </c>
      <c r="E681">
        <v>4000</v>
      </c>
      <c r="F681">
        <v>-10</v>
      </c>
      <c r="G681">
        <v>371</v>
      </c>
      <c r="H681">
        <v>72</v>
      </c>
      <c r="J681">
        <v>225</v>
      </c>
      <c r="K681">
        <v>152</v>
      </c>
      <c r="L681" s="1" t="s">
        <v>106</v>
      </c>
      <c r="N681" s="1" t="s">
        <v>37</v>
      </c>
      <c r="P681" s="1" t="s">
        <v>37</v>
      </c>
      <c r="R681" s="1" t="s">
        <v>37</v>
      </c>
      <c r="S681">
        <v>46.570090999999998</v>
      </c>
      <c r="T681">
        <v>6.5578090000000007</v>
      </c>
      <c r="U681" s="1" t="s">
        <v>105</v>
      </c>
      <c r="V681">
        <v>22</v>
      </c>
      <c r="W681">
        <v>126</v>
      </c>
      <c r="X681">
        <v>18</v>
      </c>
      <c r="Y681">
        <v>504.35</v>
      </c>
      <c r="Z681">
        <v>19.164999999999999</v>
      </c>
    </row>
    <row r="682" spans="1:26">
      <c r="A682" s="2">
        <v>43924</v>
      </c>
      <c r="B682" s="4">
        <v>0.625</v>
      </c>
      <c r="C682" s="1" t="s">
        <v>107</v>
      </c>
      <c r="E682">
        <v>1383</v>
      </c>
      <c r="F682">
        <v>0</v>
      </c>
      <c r="G682">
        <v>147</v>
      </c>
      <c r="H682">
        <v>26</v>
      </c>
      <c r="I682">
        <v>23</v>
      </c>
      <c r="J682">
        <v>91</v>
      </c>
      <c r="K682">
        <v>51</v>
      </c>
      <c r="L682" s="1" t="s">
        <v>412</v>
      </c>
      <c r="N682" s="1" t="s">
        <v>37</v>
      </c>
      <c r="P682" s="1" t="s">
        <v>37</v>
      </c>
      <c r="R682" s="1" t="s">
        <v>37</v>
      </c>
      <c r="S682">
        <v>46.209567</v>
      </c>
      <c r="T682">
        <v>7.6046589999999998</v>
      </c>
      <c r="U682" s="1" t="s">
        <v>108</v>
      </c>
      <c r="V682">
        <v>23</v>
      </c>
      <c r="W682">
        <v>49</v>
      </c>
      <c r="X682">
        <v>4</v>
      </c>
      <c r="Y682">
        <v>404.98</v>
      </c>
      <c r="Z682">
        <v>14.933999999999999</v>
      </c>
    </row>
    <row r="683" spans="1:26">
      <c r="A683" s="2">
        <v>43924</v>
      </c>
      <c r="B683" s="4">
        <v>0.33333333333333331</v>
      </c>
      <c r="C683" s="1" t="s">
        <v>109</v>
      </c>
      <c r="E683">
        <v>146</v>
      </c>
      <c r="F683">
        <v>-1</v>
      </c>
      <c r="G683">
        <v>14</v>
      </c>
      <c r="H683">
        <v>7</v>
      </c>
      <c r="J683">
        <v>44</v>
      </c>
      <c r="K683">
        <v>2</v>
      </c>
      <c r="L683" s="1" t="s">
        <v>502</v>
      </c>
      <c r="N683" s="1" t="s">
        <v>37</v>
      </c>
      <c r="P683" s="1" t="s">
        <v>37</v>
      </c>
      <c r="R683" s="1" t="s">
        <v>37</v>
      </c>
      <c r="S683">
        <v>47.157296000000002</v>
      </c>
      <c r="T683">
        <v>8.5372939999999993</v>
      </c>
      <c r="U683" s="1" t="s">
        <v>110</v>
      </c>
      <c r="V683">
        <v>9</v>
      </c>
      <c r="W683">
        <v>8</v>
      </c>
      <c r="X683">
        <v>1</v>
      </c>
      <c r="Y683">
        <v>116.43</v>
      </c>
      <c r="Z683">
        <v>1.595</v>
      </c>
    </row>
    <row r="684" spans="1:26">
      <c r="A684" s="2">
        <v>43924</v>
      </c>
      <c r="B684" s="4">
        <v>0.60416666666666663</v>
      </c>
      <c r="C684" s="1" t="s">
        <v>111</v>
      </c>
      <c r="E684">
        <v>2434</v>
      </c>
      <c r="F684">
        <v>7</v>
      </c>
      <c r="G684">
        <v>207</v>
      </c>
      <c r="I684">
        <v>57</v>
      </c>
      <c r="K684">
        <v>41</v>
      </c>
      <c r="L684" s="1" t="s">
        <v>113</v>
      </c>
      <c r="N684" s="1" t="s">
        <v>37</v>
      </c>
      <c r="P684" s="1" t="s">
        <v>37</v>
      </c>
      <c r="R684" s="1" t="s">
        <v>37</v>
      </c>
      <c r="S684">
        <v>47.412750000000003</v>
      </c>
      <c r="T684">
        <v>8.6550799999999999</v>
      </c>
      <c r="U684" s="1" t="s">
        <v>112</v>
      </c>
      <c r="V684">
        <v>1</v>
      </c>
      <c r="W684">
        <v>128</v>
      </c>
      <c r="X684">
        <v>2</v>
      </c>
      <c r="Y684">
        <v>161.80000000000001</v>
      </c>
      <c r="Z684">
        <v>2.726</v>
      </c>
    </row>
    <row r="685" spans="1:26">
      <c r="A685" s="2">
        <v>43925</v>
      </c>
      <c r="B685" s="4">
        <v>0.45833333333333331</v>
      </c>
      <c r="C685" s="1" t="s">
        <v>39</v>
      </c>
      <c r="E685">
        <v>21</v>
      </c>
      <c r="F685">
        <v>0</v>
      </c>
      <c r="G685">
        <v>1</v>
      </c>
      <c r="L685" s="1" t="s">
        <v>41</v>
      </c>
      <c r="N685" s="1" t="s">
        <v>37</v>
      </c>
      <c r="P685" s="1" t="s">
        <v>37</v>
      </c>
      <c r="R685" s="1" t="s">
        <v>37</v>
      </c>
      <c r="S685">
        <v>47.317264000000002</v>
      </c>
      <c r="T685">
        <v>9.4167539999999992</v>
      </c>
      <c r="U685" s="1" t="s">
        <v>40</v>
      </c>
      <c r="V685">
        <v>16</v>
      </c>
      <c r="W685">
        <v>1</v>
      </c>
      <c r="X685">
        <v>0</v>
      </c>
      <c r="Y685">
        <v>130.43</v>
      </c>
    </row>
    <row r="686" spans="1:26">
      <c r="A686" s="2">
        <v>43925</v>
      </c>
      <c r="B686" s="4">
        <v>0.54166666666666663</v>
      </c>
      <c r="C686" s="1" t="s">
        <v>42</v>
      </c>
      <c r="E686">
        <v>66</v>
      </c>
      <c r="F686">
        <v>0</v>
      </c>
      <c r="G686">
        <v>6</v>
      </c>
      <c r="K686">
        <v>3</v>
      </c>
      <c r="L686" s="1" t="s">
        <v>44</v>
      </c>
      <c r="N686" s="1" t="s">
        <v>37</v>
      </c>
      <c r="P686" s="1" t="s">
        <v>37</v>
      </c>
      <c r="R686" s="1" t="s">
        <v>37</v>
      </c>
      <c r="S686">
        <v>47.416351999999996</v>
      </c>
      <c r="T686">
        <v>9.3679100000000002</v>
      </c>
      <c r="U686" s="1" t="s">
        <v>43</v>
      </c>
      <c r="V686">
        <v>15</v>
      </c>
      <c r="W686">
        <v>1</v>
      </c>
      <c r="X686">
        <v>0</v>
      </c>
      <c r="Y686">
        <v>119.57</v>
      </c>
      <c r="Z686">
        <v>5.4349999999999996</v>
      </c>
    </row>
    <row r="687" spans="1:26">
      <c r="A687" s="2">
        <v>43925</v>
      </c>
      <c r="B687" s="4">
        <v>0.33333333333333331</v>
      </c>
      <c r="C687" s="1" t="s">
        <v>45</v>
      </c>
      <c r="E687">
        <v>1106</v>
      </c>
      <c r="F687">
        <v>4</v>
      </c>
      <c r="G687">
        <v>113</v>
      </c>
      <c r="H687">
        <v>35</v>
      </c>
      <c r="I687">
        <v>28</v>
      </c>
      <c r="K687">
        <v>28</v>
      </c>
      <c r="L687" s="1" t="s">
        <v>47</v>
      </c>
      <c r="N687" s="1" t="s">
        <v>37</v>
      </c>
      <c r="P687" s="1" t="s">
        <v>37</v>
      </c>
      <c r="R687" s="1" t="s">
        <v>37</v>
      </c>
      <c r="S687">
        <v>46.823608</v>
      </c>
      <c r="T687">
        <v>7.6366670000000001</v>
      </c>
      <c r="U687" s="1" t="s">
        <v>46</v>
      </c>
      <c r="V687">
        <v>2</v>
      </c>
      <c r="W687">
        <v>33</v>
      </c>
      <c r="X687">
        <v>2</v>
      </c>
      <c r="Y687">
        <v>107.26</v>
      </c>
      <c r="Z687">
        <v>2.7160000000000002</v>
      </c>
    </row>
    <row r="688" spans="1:26">
      <c r="A688" s="2">
        <v>43925</v>
      </c>
      <c r="B688" s="4">
        <v>0.125</v>
      </c>
      <c r="C688" s="1" t="s">
        <v>48</v>
      </c>
      <c r="E688">
        <v>656</v>
      </c>
      <c r="F688">
        <v>-9</v>
      </c>
      <c r="G688">
        <v>73</v>
      </c>
      <c r="H688">
        <v>19</v>
      </c>
      <c r="I688">
        <v>17</v>
      </c>
      <c r="J688">
        <v>298</v>
      </c>
      <c r="K688">
        <v>19</v>
      </c>
      <c r="L688" s="1" t="s">
        <v>50</v>
      </c>
      <c r="N688" s="1" t="s">
        <v>37</v>
      </c>
      <c r="P688" s="1" t="s">
        <v>37</v>
      </c>
      <c r="R688" s="1" t="s">
        <v>37</v>
      </c>
      <c r="S688">
        <v>47.45176</v>
      </c>
      <c r="T688">
        <v>7.7024140000000001</v>
      </c>
      <c r="U688" s="1" t="s">
        <v>49</v>
      </c>
      <c r="V688">
        <v>13</v>
      </c>
      <c r="W688">
        <v>31</v>
      </c>
      <c r="X688">
        <v>5</v>
      </c>
      <c r="Y688">
        <v>228.57</v>
      </c>
      <c r="Z688">
        <v>6.62</v>
      </c>
    </row>
    <row r="689" spans="1:26">
      <c r="A689" s="2">
        <v>43925</v>
      </c>
      <c r="B689" s="4">
        <v>0.42708333333333331</v>
      </c>
      <c r="C689" s="1" t="s">
        <v>51</v>
      </c>
      <c r="D689">
        <v>235</v>
      </c>
      <c r="E689">
        <v>771</v>
      </c>
      <c r="F689">
        <v>-3</v>
      </c>
      <c r="G689">
        <v>112</v>
      </c>
      <c r="H689">
        <v>16</v>
      </c>
      <c r="J689">
        <v>434</v>
      </c>
      <c r="K689">
        <v>24</v>
      </c>
      <c r="L689" s="1" t="s">
        <v>318</v>
      </c>
      <c r="M689">
        <v>425</v>
      </c>
      <c r="N689" s="1" t="s">
        <v>319</v>
      </c>
      <c r="P689" s="1" t="s">
        <v>37</v>
      </c>
      <c r="R689" s="1" t="s">
        <v>37</v>
      </c>
      <c r="S689">
        <v>47.564869000000002</v>
      </c>
      <c r="T689">
        <v>7.615259</v>
      </c>
      <c r="U689" s="1" t="s">
        <v>52</v>
      </c>
      <c r="V689">
        <v>12</v>
      </c>
      <c r="W689">
        <v>13</v>
      </c>
      <c r="X689">
        <v>3</v>
      </c>
      <c r="Y689">
        <v>397.63</v>
      </c>
      <c r="Z689">
        <v>12.378</v>
      </c>
    </row>
    <row r="690" spans="1:26">
      <c r="A690" s="2">
        <v>43925</v>
      </c>
      <c r="B690" s="4">
        <v>0.125</v>
      </c>
      <c r="C690" s="1" t="s">
        <v>54</v>
      </c>
      <c r="D690">
        <v>900</v>
      </c>
      <c r="E690">
        <v>77</v>
      </c>
      <c r="F690">
        <v>0</v>
      </c>
      <c r="J690">
        <v>1</v>
      </c>
      <c r="K690">
        <v>1</v>
      </c>
      <c r="L690" s="1" t="s">
        <v>320</v>
      </c>
      <c r="N690" s="1" t="s">
        <v>37</v>
      </c>
      <c r="P690" s="1" t="s">
        <v>37</v>
      </c>
      <c r="R690" s="1" t="s">
        <v>37</v>
      </c>
      <c r="S690">
        <v>47.166666999999997</v>
      </c>
      <c r="T690">
        <v>9.509722</v>
      </c>
      <c r="U690" s="1" t="s">
        <v>55</v>
      </c>
      <c r="V690">
        <v>0</v>
      </c>
      <c r="W690">
        <v>1</v>
      </c>
      <c r="X690">
        <v>0</v>
      </c>
      <c r="Y690">
        <v>199.48</v>
      </c>
      <c r="Z690">
        <v>2.5910000000000002</v>
      </c>
    </row>
    <row r="691" spans="1:26">
      <c r="A691" s="2">
        <v>43925</v>
      </c>
      <c r="B691" s="4">
        <v>0.125</v>
      </c>
      <c r="C691" s="1" t="s">
        <v>57</v>
      </c>
      <c r="D691">
        <v>30</v>
      </c>
      <c r="E691">
        <v>638</v>
      </c>
      <c r="F691">
        <v>12</v>
      </c>
      <c r="G691">
        <v>89</v>
      </c>
      <c r="H691">
        <v>21</v>
      </c>
      <c r="J691">
        <v>49</v>
      </c>
      <c r="K691">
        <v>37</v>
      </c>
      <c r="L691" s="1" t="s">
        <v>59</v>
      </c>
      <c r="N691" s="1" t="s">
        <v>37</v>
      </c>
      <c r="P691" s="1" t="s">
        <v>37</v>
      </c>
      <c r="R691" s="1" t="s">
        <v>37</v>
      </c>
      <c r="S691">
        <v>46.718390999999997</v>
      </c>
      <c r="T691">
        <v>7.0740080000000001</v>
      </c>
      <c r="U691" s="1" t="s">
        <v>58</v>
      </c>
      <c r="V691">
        <v>10</v>
      </c>
      <c r="W691">
        <v>50</v>
      </c>
      <c r="X691">
        <v>6</v>
      </c>
      <c r="Y691">
        <v>202.48</v>
      </c>
      <c r="Z691">
        <v>11.742000000000001</v>
      </c>
    </row>
    <row r="692" spans="1:26">
      <c r="A692" s="2">
        <v>43925</v>
      </c>
      <c r="B692" s="4">
        <v>0.125</v>
      </c>
      <c r="C692" s="1" t="s">
        <v>60</v>
      </c>
      <c r="D692">
        <v>14833</v>
      </c>
      <c r="E692">
        <v>3630</v>
      </c>
      <c r="F692">
        <v>-3</v>
      </c>
      <c r="G692">
        <v>421</v>
      </c>
      <c r="H692">
        <v>61</v>
      </c>
      <c r="I692">
        <v>51</v>
      </c>
      <c r="J692">
        <v>305</v>
      </c>
      <c r="K692">
        <v>98</v>
      </c>
      <c r="L692" s="1" t="s">
        <v>62</v>
      </c>
      <c r="N692" s="1" t="s">
        <v>37</v>
      </c>
      <c r="P692" s="1" t="s">
        <v>37</v>
      </c>
      <c r="Q692">
        <v>22</v>
      </c>
      <c r="R692" s="1" t="s">
        <v>37</v>
      </c>
      <c r="S692">
        <v>46.220528000000002</v>
      </c>
      <c r="T692">
        <v>6.1329349999999998</v>
      </c>
      <c r="U692" s="1" t="s">
        <v>61</v>
      </c>
      <c r="V692">
        <v>25</v>
      </c>
      <c r="W692">
        <v>127</v>
      </c>
      <c r="X692">
        <v>13</v>
      </c>
      <c r="Y692">
        <v>733.04</v>
      </c>
      <c r="Z692">
        <v>19.79</v>
      </c>
    </row>
    <row r="693" spans="1:26">
      <c r="A693" s="2">
        <v>43925</v>
      </c>
      <c r="B693" s="4">
        <v>0.66666666666666663</v>
      </c>
      <c r="C693" s="1" t="s">
        <v>69</v>
      </c>
      <c r="E693">
        <v>154</v>
      </c>
      <c r="F693">
        <v>-1</v>
      </c>
      <c r="G693">
        <v>27</v>
      </c>
      <c r="H693">
        <v>3</v>
      </c>
      <c r="L693" s="1" t="s">
        <v>280</v>
      </c>
      <c r="N693" s="1" t="s">
        <v>37</v>
      </c>
      <c r="P693" s="1" t="s">
        <v>37</v>
      </c>
      <c r="R693" s="1" t="s">
        <v>37</v>
      </c>
      <c r="S693">
        <v>47.350743999999999</v>
      </c>
      <c r="T693">
        <v>7.1561070000000004</v>
      </c>
      <c r="U693" s="1" t="s">
        <v>70</v>
      </c>
      <c r="V693">
        <v>26</v>
      </c>
      <c r="W693">
        <v>5</v>
      </c>
      <c r="X693">
        <v>0</v>
      </c>
      <c r="Y693">
        <v>210.1</v>
      </c>
    </row>
    <row r="694" spans="1:26">
      <c r="A694" s="2">
        <v>43925</v>
      </c>
      <c r="B694" s="4">
        <v>0.45833333333333331</v>
      </c>
      <c r="C694" s="1" t="s">
        <v>71</v>
      </c>
      <c r="E694">
        <v>469</v>
      </c>
      <c r="F694">
        <v>0</v>
      </c>
      <c r="G694">
        <v>49</v>
      </c>
      <c r="H694">
        <v>12</v>
      </c>
      <c r="K694">
        <v>7</v>
      </c>
      <c r="L694" s="1" t="s">
        <v>73</v>
      </c>
      <c r="N694" s="1" t="s">
        <v>37</v>
      </c>
      <c r="P694" s="1" t="s">
        <v>37</v>
      </c>
      <c r="R694" s="1" t="s">
        <v>37</v>
      </c>
      <c r="S694">
        <v>47.067762999999999</v>
      </c>
      <c r="T694">
        <v>8.1102000000000007</v>
      </c>
      <c r="U694" s="1" t="s">
        <v>72</v>
      </c>
      <c r="V694">
        <v>3</v>
      </c>
      <c r="W694">
        <v>20</v>
      </c>
      <c r="X694">
        <v>0</v>
      </c>
      <c r="Y694">
        <v>115.38</v>
      </c>
      <c r="Z694">
        <v>1.722</v>
      </c>
    </row>
    <row r="695" spans="1:26">
      <c r="A695" s="2">
        <v>43925</v>
      </c>
      <c r="B695" s="4">
        <v>0.66666666666666663</v>
      </c>
      <c r="C695" s="1" t="s">
        <v>74</v>
      </c>
      <c r="E695">
        <v>452</v>
      </c>
      <c r="F695">
        <v>-2</v>
      </c>
      <c r="G695">
        <v>59</v>
      </c>
      <c r="H695">
        <v>10</v>
      </c>
      <c r="I695">
        <v>9</v>
      </c>
      <c r="K695">
        <v>31</v>
      </c>
      <c r="L695" s="1" t="s">
        <v>76</v>
      </c>
      <c r="N695" s="1" t="s">
        <v>37</v>
      </c>
      <c r="P695" s="1" t="s">
        <v>37</v>
      </c>
      <c r="R695" s="1" t="s">
        <v>37</v>
      </c>
      <c r="S695">
        <v>46.995533999999999</v>
      </c>
      <c r="T695">
        <v>6.7801260000000001</v>
      </c>
      <c r="U695" s="1" t="s">
        <v>75</v>
      </c>
      <c r="V695">
        <v>24</v>
      </c>
      <c r="W695">
        <v>8</v>
      </c>
      <c r="X695">
        <v>2</v>
      </c>
      <c r="Y695">
        <v>253.93</v>
      </c>
      <c r="Z695">
        <v>17.416</v>
      </c>
    </row>
    <row r="696" spans="1:26">
      <c r="A696" s="2">
        <v>43925</v>
      </c>
      <c r="B696" s="4">
        <v>0.67708333333333337</v>
      </c>
      <c r="C696" s="1" t="s">
        <v>77</v>
      </c>
      <c r="E696">
        <v>80</v>
      </c>
      <c r="F696">
        <v>0</v>
      </c>
      <c r="K696">
        <v>0</v>
      </c>
      <c r="L696" s="1" t="s">
        <v>79</v>
      </c>
      <c r="N696" s="1" t="s">
        <v>37</v>
      </c>
      <c r="P696" s="1" t="s">
        <v>37</v>
      </c>
      <c r="R696" s="1" t="s">
        <v>37</v>
      </c>
      <c r="S696">
        <v>46.926755</v>
      </c>
      <c r="T696">
        <v>8.4053020000000007</v>
      </c>
      <c r="U696" s="1" t="s">
        <v>78</v>
      </c>
      <c r="V696">
        <v>7</v>
      </c>
      <c r="W696">
        <v>1</v>
      </c>
      <c r="X696">
        <v>0</v>
      </c>
      <c r="Y696">
        <v>186.05</v>
      </c>
      <c r="Z696">
        <v>0</v>
      </c>
    </row>
    <row r="697" spans="1:26">
      <c r="A697" s="2">
        <v>43925</v>
      </c>
      <c r="B697" s="4">
        <v>0.125</v>
      </c>
      <c r="C697" s="1" t="s">
        <v>83</v>
      </c>
      <c r="E697">
        <v>504</v>
      </c>
      <c r="F697">
        <v>4</v>
      </c>
      <c r="G697">
        <v>79</v>
      </c>
      <c r="H697">
        <v>13</v>
      </c>
      <c r="J697">
        <v>62</v>
      </c>
      <c r="K697">
        <v>9</v>
      </c>
      <c r="L697" s="1" t="s">
        <v>85</v>
      </c>
      <c r="N697" s="1" t="s">
        <v>37</v>
      </c>
      <c r="P697" s="1" t="s">
        <v>37</v>
      </c>
      <c r="R697" s="1" t="s">
        <v>37</v>
      </c>
      <c r="S697">
        <v>47.183199999999999</v>
      </c>
      <c r="T697">
        <v>9.2747440000000001</v>
      </c>
      <c r="U697" s="1" t="s">
        <v>84</v>
      </c>
      <c r="V697">
        <v>17</v>
      </c>
      <c r="W697">
        <v>24</v>
      </c>
      <c r="X697">
        <v>1</v>
      </c>
      <c r="Y697">
        <v>99.86</v>
      </c>
      <c r="Z697">
        <v>1.7829999999999999</v>
      </c>
    </row>
    <row r="698" spans="1:26">
      <c r="A698" s="2">
        <v>43925</v>
      </c>
      <c r="B698" s="4">
        <v>0.125</v>
      </c>
      <c r="C698" s="1" t="s">
        <v>86</v>
      </c>
      <c r="E698">
        <v>47</v>
      </c>
      <c r="F698">
        <v>3</v>
      </c>
      <c r="G698">
        <v>12</v>
      </c>
      <c r="H698">
        <v>3</v>
      </c>
      <c r="K698">
        <v>1</v>
      </c>
      <c r="L698" s="1" t="s">
        <v>88</v>
      </c>
      <c r="N698" s="1" t="s">
        <v>37</v>
      </c>
      <c r="P698" s="1" t="s">
        <v>37</v>
      </c>
      <c r="R698" s="1" t="s">
        <v>37</v>
      </c>
      <c r="S698">
        <v>47.713569999999997</v>
      </c>
      <c r="T698">
        <v>8.5916700000000006</v>
      </c>
      <c r="U698" s="1" t="s">
        <v>87</v>
      </c>
      <c r="V698">
        <v>14</v>
      </c>
      <c r="W698">
        <v>0</v>
      </c>
      <c r="X698">
        <v>0</v>
      </c>
      <c r="Y698">
        <v>57.74</v>
      </c>
      <c r="Z698">
        <v>1.2290000000000001</v>
      </c>
    </row>
    <row r="699" spans="1:26">
      <c r="A699" s="2">
        <v>43925</v>
      </c>
      <c r="B699" s="4">
        <v>0.125</v>
      </c>
      <c r="C699" s="1" t="s">
        <v>89</v>
      </c>
      <c r="E699">
        <v>250</v>
      </c>
      <c r="F699">
        <v>0</v>
      </c>
      <c r="G699">
        <v>17</v>
      </c>
      <c r="K699">
        <v>3</v>
      </c>
      <c r="L699" s="1" t="s">
        <v>91</v>
      </c>
      <c r="N699" s="1" t="s">
        <v>37</v>
      </c>
      <c r="P699" s="1" t="s">
        <v>37</v>
      </c>
      <c r="R699" s="1" t="s">
        <v>37</v>
      </c>
      <c r="S699">
        <v>47.304135000000002</v>
      </c>
      <c r="T699">
        <v>7.6393880000000003</v>
      </c>
      <c r="U699" s="1" t="s">
        <v>90</v>
      </c>
      <c r="V699">
        <v>11</v>
      </c>
      <c r="W699">
        <v>13</v>
      </c>
      <c r="X699">
        <v>0</v>
      </c>
      <c r="Y699">
        <v>92.11</v>
      </c>
      <c r="Z699">
        <v>1.105</v>
      </c>
    </row>
    <row r="700" spans="1:26">
      <c r="A700" s="2">
        <v>43925</v>
      </c>
      <c r="B700" s="4">
        <v>0.125</v>
      </c>
      <c r="C700" s="1" t="s">
        <v>92</v>
      </c>
      <c r="D700">
        <v>10</v>
      </c>
      <c r="E700">
        <v>168</v>
      </c>
      <c r="F700">
        <v>0</v>
      </c>
      <c r="G700">
        <v>1</v>
      </c>
      <c r="J700">
        <v>92</v>
      </c>
      <c r="K700">
        <v>5</v>
      </c>
      <c r="L700" s="1" t="s">
        <v>267</v>
      </c>
      <c r="N700" s="1" t="s">
        <v>37</v>
      </c>
      <c r="P700" s="1" t="s">
        <v>37</v>
      </c>
      <c r="R700" s="1" t="s">
        <v>37</v>
      </c>
      <c r="S700">
        <v>47.061787000000002</v>
      </c>
      <c r="T700">
        <v>8.7565849999999994</v>
      </c>
      <c r="U700" s="1" t="s">
        <v>93</v>
      </c>
      <c r="V700">
        <v>5</v>
      </c>
      <c r="W700">
        <v>4</v>
      </c>
      <c r="X700">
        <v>1</v>
      </c>
      <c r="Y700">
        <v>106.8</v>
      </c>
      <c r="Z700">
        <v>3.1789999999999998</v>
      </c>
    </row>
    <row r="701" spans="1:26">
      <c r="A701" s="2">
        <v>43925</v>
      </c>
      <c r="B701" s="4">
        <v>0.125</v>
      </c>
      <c r="C701" s="1" t="s">
        <v>95</v>
      </c>
      <c r="D701">
        <v>276</v>
      </c>
      <c r="E701">
        <v>208</v>
      </c>
      <c r="F701">
        <v>0</v>
      </c>
      <c r="K701">
        <v>5</v>
      </c>
      <c r="L701" s="1" t="s">
        <v>97</v>
      </c>
      <c r="N701" s="1" t="s">
        <v>37</v>
      </c>
      <c r="P701" s="1" t="s">
        <v>37</v>
      </c>
      <c r="R701" s="1" t="s">
        <v>37</v>
      </c>
      <c r="S701">
        <v>47.568714999999997</v>
      </c>
      <c r="T701">
        <v>9.0919570000000007</v>
      </c>
      <c r="U701" s="1" t="s">
        <v>96</v>
      </c>
      <c r="V701">
        <v>1</v>
      </c>
      <c r="W701">
        <v>10</v>
      </c>
      <c r="X701">
        <v>0</v>
      </c>
      <c r="Y701">
        <v>75.97</v>
      </c>
      <c r="Z701">
        <v>1.8260000000000001</v>
      </c>
    </row>
    <row r="702" spans="1:26">
      <c r="A702" s="2">
        <v>43925</v>
      </c>
      <c r="B702" s="4">
        <v>0.33333333333333331</v>
      </c>
      <c r="C702" s="1" t="s">
        <v>98</v>
      </c>
      <c r="E702">
        <v>2442</v>
      </c>
      <c r="F702">
        <v>-7</v>
      </c>
      <c r="G702">
        <v>363</v>
      </c>
      <c r="H702">
        <v>72</v>
      </c>
      <c r="I702">
        <v>67</v>
      </c>
      <c r="J702">
        <v>314</v>
      </c>
      <c r="K702">
        <v>165</v>
      </c>
      <c r="L702" s="1" t="s">
        <v>321</v>
      </c>
      <c r="N702" s="1" t="s">
        <v>37</v>
      </c>
      <c r="P702" s="1" t="s">
        <v>303</v>
      </c>
      <c r="R702" s="1" t="s">
        <v>37</v>
      </c>
      <c r="S702">
        <v>46.295617</v>
      </c>
      <c r="T702">
        <v>8.8089239999999993</v>
      </c>
      <c r="U702" s="1" t="s">
        <v>99</v>
      </c>
      <c r="V702">
        <v>21</v>
      </c>
      <c r="W702">
        <v>65</v>
      </c>
      <c r="X702">
        <v>10</v>
      </c>
      <c r="Y702">
        <v>690.42</v>
      </c>
      <c r="Z702">
        <v>46.65</v>
      </c>
    </row>
    <row r="703" spans="1:26">
      <c r="A703" s="2">
        <v>43925</v>
      </c>
      <c r="B703" s="4">
        <v>0.70833333333333337</v>
      </c>
      <c r="C703" s="1" t="s">
        <v>101</v>
      </c>
      <c r="D703">
        <v>85</v>
      </c>
      <c r="E703">
        <v>66</v>
      </c>
      <c r="F703">
        <v>0</v>
      </c>
      <c r="G703">
        <v>6</v>
      </c>
      <c r="J703">
        <v>26</v>
      </c>
      <c r="K703">
        <v>1</v>
      </c>
      <c r="L703" s="1" t="s">
        <v>238</v>
      </c>
      <c r="N703" s="1" t="s">
        <v>37</v>
      </c>
      <c r="P703" s="1" t="s">
        <v>37</v>
      </c>
      <c r="R703" s="1" t="s">
        <v>37</v>
      </c>
      <c r="S703">
        <v>46.771849000000003</v>
      </c>
      <c r="T703">
        <v>8.6285860000000003</v>
      </c>
      <c r="U703" s="1" t="s">
        <v>102</v>
      </c>
      <c r="V703">
        <v>4</v>
      </c>
      <c r="W703">
        <v>4</v>
      </c>
      <c r="X703">
        <v>0</v>
      </c>
      <c r="Y703">
        <v>181.82</v>
      </c>
      <c r="Z703">
        <v>2.7549999999999999</v>
      </c>
    </row>
    <row r="704" spans="1:26">
      <c r="A704" s="2">
        <v>43925</v>
      </c>
      <c r="B704" s="4">
        <v>0.125</v>
      </c>
      <c r="C704" s="1" t="s">
        <v>104</v>
      </c>
      <c r="E704">
        <v>4130</v>
      </c>
      <c r="F704">
        <v>0</v>
      </c>
      <c r="G704">
        <v>371</v>
      </c>
      <c r="H704">
        <v>72</v>
      </c>
      <c r="J704">
        <v>225</v>
      </c>
      <c r="K704">
        <v>162</v>
      </c>
      <c r="L704" s="1" t="s">
        <v>106</v>
      </c>
      <c r="N704" s="1" t="s">
        <v>37</v>
      </c>
      <c r="P704" s="1" t="s">
        <v>37</v>
      </c>
      <c r="R704" s="1" t="s">
        <v>37</v>
      </c>
      <c r="S704">
        <v>46.570090999999998</v>
      </c>
      <c r="T704">
        <v>6.5578090000000007</v>
      </c>
      <c r="U704" s="1" t="s">
        <v>105</v>
      </c>
      <c r="V704">
        <v>22</v>
      </c>
      <c r="W704">
        <v>130</v>
      </c>
      <c r="X704">
        <v>10</v>
      </c>
      <c r="Y704">
        <v>520.74</v>
      </c>
      <c r="Z704">
        <v>20.425999999999998</v>
      </c>
    </row>
    <row r="705" spans="1:26">
      <c r="A705" s="2">
        <v>43925</v>
      </c>
      <c r="B705" s="4">
        <v>0.625</v>
      </c>
      <c r="C705" s="1" t="s">
        <v>107</v>
      </c>
      <c r="E705">
        <v>1416</v>
      </c>
      <c r="F705">
        <v>3</v>
      </c>
      <c r="G705">
        <v>150</v>
      </c>
      <c r="H705">
        <v>28</v>
      </c>
      <c r="I705">
        <v>23</v>
      </c>
      <c r="J705">
        <v>95</v>
      </c>
      <c r="K705">
        <v>53</v>
      </c>
      <c r="L705" s="1" t="s">
        <v>412</v>
      </c>
      <c r="N705" s="1" t="s">
        <v>37</v>
      </c>
      <c r="P705" s="1" t="s">
        <v>37</v>
      </c>
      <c r="R705" s="1" t="s">
        <v>37</v>
      </c>
      <c r="S705">
        <v>46.209567</v>
      </c>
      <c r="T705">
        <v>7.6046589999999998</v>
      </c>
      <c r="U705" s="1" t="s">
        <v>108</v>
      </c>
      <c r="V705">
        <v>23</v>
      </c>
      <c r="W705">
        <v>33</v>
      </c>
      <c r="X705">
        <v>2</v>
      </c>
      <c r="Y705">
        <v>414.64</v>
      </c>
      <c r="Z705">
        <v>15.52</v>
      </c>
    </row>
    <row r="706" spans="1:26">
      <c r="A706" s="2">
        <v>43925</v>
      </c>
      <c r="B706" s="4">
        <v>0.33333333333333331</v>
      </c>
      <c r="C706" s="1" t="s">
        <v>109</v>
      </c>
      <c r="E706">
        <v>146</v>
      </c>
      <c r="F706">
        <v>0</v>
      </c>
      <c r="G706">
        <v>14</v>
      </c>
      <c r="H706">
        <v>7</v>
      </c>
      <c r="J706">
        <v>46</v>
      </c>
      <c r="K706">
        <v>2</v>
      </c>
      <c r="L706" s="1" t="s">
        <v>502</v>
      </c>
      <c r="N706" s="1" t="s">
        <v>37</v>
      </c>
      <c r="P706" s="1" t="s">
        <v>37</v>
      </c>
      <c r="R706" s="1" t="s">
        <v>37</v>
      </c>
      <c r="S706">
        <v>47.157296000000002</v>
      </c>
      <c r="T706">
        <v>8.5372939999999993</v>
      </c>
      <c r="U706" s="1" t="s">
        <v>110</v>
      </c>
      <c r="V706">
        <v>9</v>
      </c>
      <c r="W706">
        <v>0</v>
      </c>
      <c r="X706">
        <v>0</v>
      </c>
      <c r="Y706">
        <v>116.43</v>
      </c>
      <c r="Z706">
        <v>1.595</v>
      </c>
    </row>
    <row r="707" spans="1:26">
      <c r="A707" s="2">
        <v>43925</v>
      </c>
      <c r="B707" s="4">
        <v>0.60416666666666663</v>
      </c>
      <c r="C707" s="1" t="s">
        <v>111</v>
      </c>
      <c r="E707">
        <v>2467</v>
      </c>
      <c r="F707">
        <v>-13</v>
      </c>
      <c r="G707">
        <v>194</v>
      </c>
      <c r="I707">
        <v>59</v>
      </c>
      <c r="K707">
        <v>49</v>
      </c>
      <c r="L707" s="1" t="s">
        <v>113</v>
      </c>
      <c r="N707" s="1" t="s">
        <v>37</v>
      </c>
      <c r="P707" s="1" t="s">
        <v>37</v>
      </c>
      <c r="R707" s="1" t="s">
        <v>37</v>
      </c>
      <c r="S707">
        <v>47.412750000000003</v>
      </c>
      <c r="T707">
        <v>8.6550799999999999</v>
      </c>
      <c r="U707" s="1" t="s">
        <v>112</v>
      </c>
      <c r="V707">
        <v>1</v>
      </c>
      <c r="W707">
        <v>33</v>
      </c>
      <c r="X707">
        <v>8</v>
      </c>
      <c r="Y707">
        <v>164</v>
      </c>
      <c r="Z707">
        <v>3.2570000000000001</v>
      </c>
    </row>
    <row r="708" spans="1:26">
      <c r="A708" s="2">
        <v>43926</v>
      </c>
      <c r="B708" s="4">
        <v>0.54166666666666663</v>
      </c>
      <c r="C708" s="1" t="s">
        <v>42</v>
      </c>
      <c r="E708">
        <v>67</v>
      </c>
      <c r="F708">
        <v>0</v>
      </c>
      <c r="G708">
        <v>6</v>
      </c>
      <c r="K708">
        <v>3</v>
      </c>
      <c r="L708" s="1" t="s">
        <v>44</v>
      </c>
      <c r="N708" s="1" t="s">
        <v>37</v>
      </c>
      <c r="P708" s="1" t="s">
        <v>37</v>
      </c>
      <c r="R708" s="1" t="s">
        <v>37</v>
      </c>
      <c r="S708">
        <v>47.416351999999996</v>
      </c>
      <c r="T708">
        <v>9.3679100000000002</v>
      </c>
      <c r="U708" s="1" t="s">
        <v>43</v>
      </c>
      <c r="V708">
        <v>15</v>
      </c>
      <c r="W708">
        <v>1</v>
      </c>
      <c r="X708">
        <v>0</v>
      </c>
      <c r="Y708">
        <v>121.38</v>
      </c>
      <c r="Z708">
        <v>5.4349999999999996</v>
      </c>
    </row>
    <row r="709" spans="1:26">
      <c r="A709" s="2">
        <v>43926</v>
      </c>
      <c r="B709" s="4">
        <v>0.33333333333333331</v>
      </c>
      <c r="C709" s="1" t="s">
        <v>45</v>
      </c>
      <c r="E709">
        <v>1137</v>
      </c>
      <c r="F709">
        <v>-3</v>
      </c>
      <c r="G709">
        <v>110</v>
      </c>
      <c r="H709">
        <v>30</v>
      </c>
      <c r="I709">
        <v>25</v>
      </c>
      <c r="K709">
        <v>28</v>
      </c>
      <c r="L709" s="1" t="s">
        <v>47</v>
      </c>
      <c r="N709" s="1" t="s">
        <v>37</v>
      </c>
      <c r="P709" s="1" t="s">
        <v>37</v>
      </c>
      <c r="R709" s="1" t="s">
        <v>37</v>
      </c>
      <c r="S709">
        <v>46.823608</v>
      </c>
      <c r="T709">
        <v>7.6366670000000001</v>
      </c>
      <c r="U709" s="1" t="s">
        <v>46</v>
      </c>
      <c r="V709">
        <v>2</v>
      </c>
      <c r="W709">
        <v>31</v>
      </c>
      <c r="X709">
        <v>0</v>
      </c>
      <c r="Y709">
        <v>110.27</v>
      </c>
      <c r="Z709">
        <v>2.7160000000000002</v>
      </c>
    </row>
    <row r="710" spans="1:26">
      <c r="A710" s="2">
        <v>43926</v>
      </c>
      <c r="B710" s="4">
        <v>0.125</v>
      </c>
      <c r="C710" s="1" t="s">
        <v>48</v>
      </c>
      <c r="E710">
        <v>670</v>
      </c>
      <c r="F710">
        <v>0</v>
      </c>
      <c r="G710">
        <v>73</v>
      </c>
      <c r="H710">
        <v>19</v>
      </c>
      <c r="I710">
        <v>17</v>
      </c>
      <c r="J710">
        <v>369</v>
      </c>
      <c r="K710">
        <v>19</v>
      </c>
      <c r="L710" s="1" t="s">
        <v>50</v>
      </c>
      <c r="N710" s="1" t="s">
        <v>37</v>
      </c>
      <c r="P710" s="1" t="s">
        <v>37</v>
      </c>
      <c r="R710" s="1" t="s">
        <v>37</v>
      </c>
      <c r="S710">
        <v>47.45176</v>
      </c>
      <c r="T710">
        <v>7.7024140000000001</v>
      </c>
      <c r="U710" s="1" t="s">
        <v>49</v>
      </c>
      <c r="V710">
        <v>13</v>
      </c>
      <c r="W710">
        <v>14</v>
      </c>
      <c r="X710">
        <v>0</v>
      </c>
      <c r="Y710">
        <v>233.45</v>
      </c>
      <c r="Z710">
        <v>6.62</v>
      </c>
    </row>
    <row r="711" spans="1:26">
      <c r="A711" s="2">
        <v>43926</v>
      </c>
      <c r="B711" s="4">
        <v>0.42708333333333331</v>
      </c>
      <c r="C711" s="1" t="s">
        <v>51</v>
      </c>
      <c r="D711">
        <v>235</v>
      </c>
      <c r="E711">
        <v>794</v>
      </c>
      <c r="F711">
        <v>-6</v>
      </c>
      <c r="G711">
        <v>106</v>
      </c>
      <c r="H711">
        <v>15</v>
      </c>
      <c r="J711">
        <v>460</v>
      </c>
      <c r="K711">
        <v>26</v>
      </c>
      <c r="L711" s="1" t="s">
        <v>322</v>
      </c>
      <c r="M711">
        <v>436</v>
      </c>
      <c r="N711" s="1" t="s">
        <v>289</v>
      </c>
      <c r="P711" s="1" t="s">
        <v>37</v>
      </c>
      <c r="R711" s="1" t="s">
        <v>37</v>
      </c>
      <c r="S711">
        <v>47.564869000000002</v>
      </c>
      <c r="T711">
        <v>7.615259</v>
      </c>
      <c r="U711" s="1" t="s">
        <v>52</v>
      </c>
      <c r="V711">
        <v>12</v>
      </c>
      <c r="W711">
        <v>23</v>
      </c>
      <c r="X711">
        <v>2</v>
      </c>
      <c r="Y711">
        <v>409.49</v>
      </c>
      <c r="Z711">
        <v>13.409000000000001</v>
      </c>
    </row>
    <row r="712" spans="1:26">
      <c r="A712" s="2">
        <v>43926</v>
      </c>
      <c r="B712" s="4">
        <v>0.125</v>
      </c>
      <c r="C712" s="1" t="s">
        <v>54</v>
      </c>
      <c r="D712">
        <v>900</v>
      </c>
      <c r="E712">
        <v>77</v>
      </c>
      <c r="F712">
        <v>0</v>
      </c>
      <c r="J712">
        <v>1</v>
      </c>
      <c r="K712">
        <v>1</v>
      </c>
      <c r="L712" s="1" t="s">
        <v>56</v>
      </c>
      <c r="N712" s="1" t="s">
        <v>37</v>
      </c>
      <c r="P712" s="1" t="s">
        <v>37</v>
      </c>
      <c r="R712" s="1" t="s">
        <v>37</v>
      </c>
      <c r="S712">
        <v>47.166666999999997</v>
      </c>
      <c r="T712">
        <v>9.509722</v>
      </c>
      <c r="U712" s="1" t="s">
        <v>55</v>
      </c>
      <c r="V712">
        <v>0</v>
      </c>
      <c r="W712">
        <v>0</v>
      </c>
      <c r="X712">
        <v>0</v>
      </c>
      <c r="Y712">
        <v>199.48</v>
      </c>
      <c r="Z712">
        <v>2.5910000000000002</v>
      </c>
    </row>
    <row r="713" spans="1:26">
      <c r="A713" s="2">
        <v>43926</v>
      </c>
      <c r="B713" s="4">
        <v>0.125</v>
      </c>
      <c r="C713" s="1" t="s">
        <v>57</v>
      </c>
      <c r="D713">
        <v>30</v>
      </c>
      <c r="E713">
        <v>669</v>
      </c>
      <c r="F713">
        <v>-2</v>
      </c>
      <c r="G713">
        <v>87</v>
      </c>
      <c r="H713">
        <v>20</v>
      </c>
      <c r="J713">
        <v>55</v>
      </c>
      <c r="K713">
        <v>40</v>
      </c>
      <c r="L713" s="1" t="s">
        <v>59</v>
      </c>
      <c r="N713" s="1" t="s">
        <v>37</v>
      </c>
      <c r="P713" s="1" t="s">
        <v>37</v>
      </c>
      <c r="R713" s="1" t="s">
        <v>37</v>
      </c>
      <c r="S713">
        <v>46.718390999999997</v>
      </c>
      <c r="T713">
        <v>7.0740080000000001</v>
      </c>
      <c r="U713" s="1" t="s">
        <v>58</v>
      </c>
      <c r="V713">
        <v>10</v>
      </c>
      <c r="W713">
        <v>31</v>
      </c>
      <c r="X713">
        <v>3</v>
      </c>
      <c r="Y713">
        <v>212.31</v>
      </c>
      <c r="Z713">
        <v>12.694000000000001</v>
      </c>
    </row>
    <row r="714" spans="1:26">
      <c r="A714" s="2">
        <v>43926</v>
      </c>
      <c r="B714" s="4">
        <v>0.125</v>
      </c>
      <c r="C714" s="1" t="s">
        <v>60</v>
      </c>
      <c r="D714">
        <v>15137</v>
      </c>
      <c r="E714">
        <v>3695</v>
      </c>
      <c r="F714">
        <v>3</v>
      </c>
      <c r="G714">
        <v>424</v>
      </c>
      <c r="H714">
        <v>56</v>
      </c>
      <c r="I714">
        <v>50</v>
      </c>
      <c r="J714">
        <v>327</v>
      </c>
      <c r="K714">
        <v>105</v>
      </c>
      <c r="L714" s="1" t="s">
        <v>62</v>
      </c>
      <c r="N714" s="1" t="s">
        <v>37</v>
      </c>
      <c r="P714" s="1" t="s">
        <v>37</v>
      </c>
      <c r="Q714">
        <v>26</v>
      </c>
      <c r="R714" s="1" t="s">
        <v>37</v>
      </c>
      <c r="S714">
        <v>46.220528000000002</v>
      </c>
      <c r="T714">
        <v>6.1329349999999998</v>
      </c>
      <c r="U714" s="1" t="s">
        <v>61</v>
      </c>
      <c r="V714">
        <v>25</v>
      </c>
      <c r="W714">
        <v>65</v>
      </c>
      <c r="X714">
        <v>7</v>
      </c>
      <c r="Y714">
        <v>746.16</v>
      </c>
      <c r="Z714">
        <v>21.204000000000001</v>
      </c>
    </row>
    <row r="715" spans="1:26">
      <c r="A715" s="2">
        <v>43926</v>
      </c>
      <c r="B715" s="4">
        <v>0.125</v>
      </c>
      <c r="C715" s="1" t="s">
        <v>66</v>
      </c>
      <c r="E715">
        <v>646</v>
      </c>
      <c r="F715">
        <v>-11</v>
      </c>
      <c r="G715">
        <v>49</v>
      </c>
      <c r="K715">
        <v>30</v>
      </c>
      <c r="L715" s="1" t="s">
        <v>68</v>
      </c>
      <c r="N715" s="1" t="s">
        <v>37</v>
      </c>
      <c r="P715" s="1" t="s">
        <v>37</v>
      </c>
      <c r="R715" s="1" t="s">
        <v>37</v>
      </c>
      <c r="S715">
        <v>46.656247999999998</v>
      </c>
      <c r="T715">
        <v>9.6281979999999994</v>
      </c>
      <c r="U715" s="1" t="s">
        <v>67</v>
      </c>
      <c r="V715">
        <v>1</v>
      </c>
      <c r="W715">
        <v>48</v>
      </c>
      <c r="X715">
        <v>3</v>
      </c>
      <c r="Y715">
        <v>326.43</v>
      </c>
      <c r="Z715">
        <v>15.159000000000001</v>
      </c>
    </row>
    <row r="716" spans="1:26">
      <c r="A716" s="2">
        <v>43926</v>
      </c>
      <c r="B716" s="4">
        <v>0.66666666666666663</v>
      </c>
      <c r="C716" s="1" t="s">
        <v>69</v>
      </c>
      <c r="E716">
        <v>160</v>
      </c>
      <c r="F716">
        <v>2</v>
      </c>
      <c r="G716">
        <v>29</v>
      </c>
      <c r="H716">
        <v>4</v>
      </c>
      <c r="L716" s="1" t="s">
        <v>280</v>
      </c>
      <c r="N716" s="1" t="s">
        <v>37</v>
      </c>
      <c r="P716" s="1" t="s">
        <v>37</v>
      </c>
      <c r="R716" s="1" t="s">
        <v>37</v>
      </c>
      <c r="S716">
        <v>47.350743999999999</v>
      </c>
      <c r="T716">
        <v>7.1561070000000004</v>
      </c>
      <c r="U716" s="1" t="s">
        <v>70</v>
      </c>
      <c r="V716">
        <v>26</v>
      </c>
      <c r="W716">
        <v>6</v>
      </c>
      <c r="X716">
        <v>0</v>
      </c>
      <c r="Y716">
        <v>218.28</v>
      </c>
    </row>
    <row r="717" spans="1:26">
      <c r="A717" s="2">
        <v>43926</v>
      </c>
      <c r="B717" s="4">
        <v>0.45833333333333331</v>
      </c>
      <c r="C717" s="1" t="s">
        <v>71</v>
      </c>
      <c r="E717">
        <v>478</v>
      </c>
      <c r="F717">
        <v>0</v>
      </c>
      <c r="G717">
        <v>49</v>
      </c>
      <c r="H717">
        <v>12</v>
      </c>
      <c r="K717">
        <v>9</v>
      </c>
      <c r="L717" s="1" t="s">
        <v>73</v>
      </c>
      <c r="N717" s="1" t="s">
        <v>37</v>
      </c>
      <c r="P717" s="1" t="s">
        <v>37</v>
      </c>
      <c r="R717" s="1" t="s">
        <v>37</v>
      </c>
      <c r="S717">
        <v>47.067762999999999</v>
      </c>
      <c r="T717">
        <v>8.1102000000000007</v>
      </c>
      <c r="U717" s="1" t="s">
        <v>72</v>
      </c>
      <c r="V717">
        <v>3</v>
      </c>
      <c r="W717">
        <v>9</v>
      </c>
      <c r="X717">
        <v>2</v>
      </c>
      <c r="Y717">
        <v>117.59</v>
      </c>
      <c r="Z717">
        <v>2.214</v>
      </c>
    </row>
    <row r="718" spans="1:26">
      <c r="A718" s="2">
        <v>43926</v>
      </c>
      <c r="B718" s="4">
        <v>0.66666666666666663</v>
      </c>
      <c r="C718" s="1" t="s">
        <v>74</v>
      </c>
      <c r="E718">
        <v>464</v>
      </c>
      <c r="F718">
        <v>-1</v>
      </c>
      <c r="G718">
        <v>58</v>
      </c>
      <c r="H718">
        <v>12</v>
      </c>
      <c r="I718">
        <v>8</v>
      </c>
      <c r="K718">
        <v>31</v>
      </c>
      <c r="L718" s="1" t="s">
        <v>76</v>
      </c>
      <c r="N718" s="1" t="s">
        <v>37</v>
      </c>
      <c r="P718" s="1" t="s">
        <v>37</v>
      </c>
      <c r="R718" s="1" t="s">
        <v>37</v>
      </c>
      <c r="S718">
        <v>46.995533999999999</v>
      </c>
      <c r="T718">
        <v>6.7801260000000001</v>
      </c>
      <c r="U718" s="1" t="s">
        <v>75</v>
      </c>
      <c r="V718">
        <v>24</v>
      </c>
      <c r="W718">
        <v>12</v>
      </c>
      <c r="X718">
        <v>0</v>
      </c>
      <c r="Y718">
        <v>260.67</v>
      </c>
      <c r="Z718">
        <v>17.416</v>
      </c>
    </row>
    <row r="719" spans="1:26">
      <c r="A719" s="2">
        <v>43926</v>
      </c>
      <c r="B719" s="4">
        <v>0.66319444444444442</v>
      </c>
      <c r="C719" s="1" t="s">
        <v>77</v>
      </c>
      <c r="E719">
        <v>80</v>
      </c>
      <c r="F719">
        <v>0</v>
      </c>
      <c r="K719">
        <v>0</v>
      </c>
      <c r="L719" s="1" t="s">
        <v>79</v>
      </c>
      <c r="N719" s="1" t="s">
        <v>37</v>
      </c>
      <c r="P719" s="1" t="s">
        <v>37</v>
      </c>
      <c r="R719" s="1" t="s">
        <v>37</v>
      </c>
      <c r="S719">
        <v>46.926755</v>
      </c>
      <c r="T719">
        <v>8.4053020000000007</v>
      </c>
      <c r="U719" s="1" t="s">
        <v>78</v>
      </c>
      <c r="V719">
        <v>7</v>
      </c>
      <c r="W719">
        <v>0</v>
      </c>
      <c r="X719">
        <v>0</v>
      </c>
      <c r="Y719">
        <v>186.05</v>
      </c>
      <c r="Z719">
        <v>0</v>
      </c>
    </row>
    <row r="720" spans="1:26">
      <c r="A720" s="2">
        <v>43926</v>
      </c>
      <c r="B720" s="4">
        <v>0.125</v>
      </c>
      <c r="C720" s="1" t="s">
        <v>83</v>
      </c>
      <c r="E720">
        <v>515</v>
      </c>
      <c r="F720">
        <v>-9</v>
      </c>
      <c r="G720">
        <v>70</v>
      </c>
      <c r="H720">
        <v>13</v>
      </c>
      <c r="J720">
        <v>70</v>
      </c>
      <c r="K720">
        <v>9</v>
      </c>
      <c r="L720" s="1" t="s">
        <v>85</v>
      </c>
      <c r="N720" s="1" t="s">
        <v>37</v>
      </c>
      <c r="P720" s="1" t="s">
        <v>37</v>
      </c>
      <c r="R720" s="1" t="s">
        <v>37</v>
      </c>
      <c r="S720">
        <v>47.183199999999999</v>
      </c>
      <c r="T720">
        <v>9.2747440000000001</v>
      </c>
      <c r="U720" s="1" t="s">
        <v>84</v>
      </c>
      <c r="V720">
        <v>17</v>
      </c>
      <c r="W720">
        <v>11</v>
      </c>
      <c r="X720">
        <v>0</v>
      </c>
      <c r="Y720">
        <v>102.04</v>
      </c>
      <c r="Z720">
        <v>1.7829999999999999</v>
      </c>
    </row>
    <row r="721" spans="1:26">
      <c r="A721" s="2">
        <v>43926</v>
      </c>
      <c r="B721" s="4">
        <v>0.125</v>
      </c>
      <c r="C721" s="1" t="s">
        <v>86</v>
      </c>
      <c r="E721">
        <v>49</v>
      </c>
      <c r="F721">
        <v>0</v>
      </c>
      <c r="G721">
        <v>12</v>
      </c>
      <c r="H721">
        <v>3</v>
      </c>
      <c r="K721">
        <v>1</v>
      </c>
      <c r="L721" s="1" t="s">
        <v>88</v>
      </c>
      <c r="N721" s="1" t="s">
        <v>37</v>
      </c>
      <c r="P721" s="1" t="s">
        <v>37</v>
      </c>
      <c r="R721" s="1" t="s">
        <v>37</v>
      </c>
      <c r="S721">
        <v>47.713569999999997</v>
      </c>
      <c r="T721">
        <v>8.5916700000000006</v>
      </c>
      <c r="U721" s="1" t="s">
        <v>87</v>
      </c>
      <c r="V721">
        <v>14</v>
      </c>
      <c r="W721">
        <v>2</v>
      </c>
      <c r="X721">
        <v>0</v>
      </c>
      <c r="Y721">
        <v>60.2</v>
      </c>
      <c r="Z721">
        <v>1.2290000000000001</v>
      </c>
    </row>
    <row r="722" spans="1:26">
      <c r="A722" s="2">
        <v>43926</v>
      </c>
      <c r="B722" s="4">
        <v>0.125</v>
      </c>
      <c r="C722" s="1" t="s">
        <v>89</v>
      </c>
      <c r="E722">
        <v>258</v>
      </c>
      <c r="F722">
        <v>0</v>
      </c>
      <c r="G722">
        <v>16</v>
      </c>
      <c r="K722">
        <v>3</v>
      </c>
      <c r="L722" s="1" t="s">
        <v>91</v>
      </c>
      <c r="N722" s="1" t="s">
        <v>37</v>
      </c>
      <c r="P722" s="1" t="s">
        <v>37</v>
      </c>
      <c r="R722" s="1" t="s">
        <v>37</v>
      </c>
      <c r="S722">
        <v>47.304135000000002</v>
      </c>
      <c r="T722">
        <v>7.6393880000000003</v>
      </c>
      <c r="U722" s="1" t="s">
        <v>90</v>
      </c>
      <c r="V722">
        <v>11</v>
      </c>
      <c r="W722">
        <v>8</v>
      </c>
      <c r="X722">
        <v>0</v>
      </c>
      <c r="Y722">
        <v>95.06</v>
      </c>
      <c r="Z722">
        <v>1.105</v>
      </c>
    </row>
    <row r="723" spans="1:26">
      <c r="A723" s="2">
        <v>43926</v>
      </c>
      <c r="B723" s="4">
        <v>0.125</v>
      </c>
      <c r="C723" s="1" t="s">
        <v>92</v>
      </c>
      <c r="D723">
        <v>10</v>
      </c>
      <c r="E723">
        <v>170</v>
      </c>
      <c r="F723">
        <v>0</v>
      </c>
      <c r="G723">
        <v>1</v>
      </c>
      <c r="J723">
        <v>93</v>
      </c>
      <c r="K723">
        <v>5</v>
      </c>
      <c r="L723" s="1" t="s">
        <v>267</v>
      </c>
      <c r="N723" s="1" t="s">
        <v>37</v>
      </c>
      <c r="P723" s="1" t="s">
        <v>37</v>
      </c>
      <c r="R723" s="1" t="s">
        <v>37</v>
      </c>
      <c r="S723">
        <v>47.061787000000002</v>
      </c>
      <c r="T723">
        <v>8.7565849999999994</v>
      </c>
      <c r="U723" s="1" t="s">
        <v>93</v>
      </c>
      <c r="V723">
        <v>5</v>
      </c>
      <c r="W723">
        <v>2</v>
      </c>
      <c r="X723">
        <v>0</v>
      </c>
      <c r="Y723">
        <v>108.07</v>
      </c>
      <c r="Z723">
        <v>3.1789999999999998</v>
      </c>
    </row>
    <row r="724" spans="1:26">
      <c r="A724" s="2">
        <v>43926</v>
      </c>
      <c r="B724" s="4">
        <v>0.125</v>
      </c>
      <c r="C724" s="1" t="s">
        <v>95</v>
      </c>
      <c r="D724">
        <v>276</v>
      </c>
      <c r="E724">
        <v>213</v>
      </c>
      <c r="F724">
        <v>0</v>
      </c>
      <c r="K724">
        <v>7</v>
      </c>
      <c r="L724" s="1" t="s">
        <v>97</v>
      </c>
      <c r="N724" s="1" t="s">
        <v>37</v>
      </c>
      <c r="P724" s="1" t="s">
        <v>37</v>
      </c>
      <c r="R724" s="1" t="s">
        <v>37</v>
      </c>
      <c r="S724">
        <v>47.568714999999997</v>
      </c>
      <c r="T724">
        <v>9.0919570000000007</v>
      </c>
      <c r="U724" s="1" t="s">
        <v>96</v>
      </c>
      <c r="V724">
        <v>1</v>
      </c>
      <c r="W724">
        <v>5</v>
      </c>
      <c r="X724">
        <v>2</v>
      </c>
      <c r="Y724">
        <v>77.790000000000006</v>
      </c>
      <c r="Z724">
        <v>2.5569999999999999</v>
      </c>
    </row>
    <row r="725" spans="1:26">
      <c r="A725" s="2">
        <v>43926</v>
      </c>
      <c r="B725" s="4">
        <v>0.33333333333333331</v>
      </c>
      <c r="C725" s="1" t="s">
        <v>98</v>
      </c>
      <c r="E725">
        <v>2508</v>
      </c>
      <c r="F725">
        <v>-1</v>
      </c>
      <c r="G725">
        <v>362</v>
      </c>
      <c r="H725">
        <v>74</v>
      </c>
      <c r="I725">
        <v>61</v>
      </c>
      <c r="J725">
        <v>340</v>
      </c>
      <c r="K725">
        <v>177</v>
      </c>
      <c r="L725" s="1" t="s">
        <v>323</v>
      </c>
      <c r="N725" s="1" t="s">
        <v>37</v>
      </c>
      <c r="P725" s="1" t="s">
        <v>297</v>
      </c>
      <c r="R725" s="1" t="s">
        <v>37</v>
      </c>
      <c r="S725">
        <v>46.295617</v>
      </c>
      <c r="T725">
        <v>8.8089239999999993</v>
      </c>
      <c r="U725" s="1" t="s">
        <v>99</v>
      </c>
      <c r="V725">
        <v>21</v>
      </c>
      <c r="W725">
        <v>66</v>
      </c>
      <c r="X725">
        <v>12</v>
      </c>
      <c r="Y725">
        <v>709.08</v>
      </c>
      <c r="Z725">
        <v>50.042000000000002</v>
      </c>
    </row>
    <row r="726" spans="1:26">
      <c r="A726" s="2">
        <v>43926</v>
      </c>
      <c r="B726" s="4">
        <v>0.70833333333333337</v>
      </c>
      <c r="C726" s="1" t="s">
        <v>101</v>
      </c>
      <c r="D726">
        <v>85</v>
      </c>
      <c r="E726">
        <v>67</v>
      </c>
      <c r="F726">
        <v>-1</v>
      </c>
      <c r="G726">
        <v>5</v>
      </c>
      <c r="J726">
        <v>26</v>
      </c>
      <c r="K726">
        <v>2</v>
      </c>
      <c r="L726" s="1" t="s">
        <v>238</v>
      </c>
      <c r="N726" s="1" t="s">
        <v>37</v>
      </c>
      <c r="P726" s="1" t="s">
        <v>37</v>
      </c>
      <c r="R726" s="1" t="s">
        <v>37</v>
      </c>
      <c r="S726">
        <v>46.771849000000003</v>
      </c>
      <c r="T726">
        <v>8.6285860000000003</v>
      </c>
      <c r="U726" s="1" t="s">
        <v>102</v>
      </c>
      <c r="V726">
        <v>4</v>
      </c>
      <c r="W726">
        <v>1</v>
      </c>
      <c r="X726">
        <v>1</v>
      </c>
      <c r="Y726">
        <v>184.57</v>
      </c>
      <c r="Z726">
        <v>5.51</v>
      </c>
    </row>
    <row r="727" spans="1:26">
      <c r="A727" s="2">
        <v>43926</v>
      </c>
      <c r="B727" s="4">
        <v>0.125</v>
      </c>
      <c r="C727" s="1" t="s">
        <v>104</v>
      </c>
      <c r="E727">
        <v>4202</v>
      </c>
      <c r="F727">
        <v>11</v>
      </c>
      <c r="G727">
        <v>382</v>
      </c>
      <c r="H727">
        <v>70</v>
      </c>
      <c r="J727">
        <v>225</v>
      </c>
      <c r="K727">
        <v>174</v>
      </c>
      <c r="L727" s="1" t="s">
        <v>106</v>
      </c>
      <c r="N727" s="1" t="s">
        <v>37</v>
      </c>
      <c r="P727" s="1" t="s">
        <v>37</v>
      </c>
      <c r="R727" s="1" t="s">
        <v>37</v>
      </c>
      <c r="S727">
        <v>46.570090999999998</v>
      </c>
      <c r="T727">
        <v>6.5578090000000007</v>
      </c>
      <c r="U727" s="1" t="s">
        <v>105</v>
      </c>
      <c r="V727">
        <v>22</v>
      </c>
      <c r="W727">
        <v>72</v>
      </c>
      <c r="X727">
        <v>12</v>
      </c>
      <c r="Y727">
        <v>529.82000000000005</v>
      </c>
      <c r="Z727">
        <v>21.939</v>
      </c>
    </row>
    <row r="728" spans="1:26">
      <c r="A728" s="2">
        <v>43926</v>
      </c>
      <c r="B728" s="4">
        <v>0.625</v>
      </c>
      <c r="C728" s="1" t="s">
        <v>107</v>
      </c>
      <c r="E728">
        <v>1431</v>
      </c>
      <c r="F728">
        <v>-3</v>
      </c>
      <c r="G728">
        <v>147</v>
      </c>
      <c r="H728">
        <v>26</v>
      </c>
      <c r="I728">
        <v>23</v>
      </c>
      <c r="J728">
        <v>95</v>
      </c>
      <c r="K728">
        <v>57</v>
      </c>
      <c r="L728" s="1" t="s">
        <v>412</v>
      </c>
      <c r="N728" s="1" t="s">
        <v>37</v>
      </c>
      <c r="P728" s="1" t="s">
        <v>37</v>
      </c>
      <c r="R728" s="1" t="s">
        <v>37</v>
      </c>
      <c r="S728">
        <v>46.209567</v>
      </c>
      <c r="T728">
        <v>7.6046589999999998</v>
      </c>
      <c r="U728" s="1" t="s">
        <v>108</v>
      </c>
      <c r="V728">
        <v>23</v>
      </c>
      <c r="W728">
        <v>15</v>
      </c>
      <c r="X728">
        <v>4</v>
      </c>
      <c r="Y728">
        <v>419.03</v>
      </c>
      <c r="Z728">
        <v>16.690999999999999</v>
      </c>
    </row>
    <row r="729" spans="1:26">
      <c r="A729" s="2">
        <v>43926</v>
      </c>
      <c r="B729" s="4">
        <v>0.33333333333333331</v>
      </c>
      <c r="C729" s="1" t="s">
        <v>109</v>
      </c>
      <c r="E729">
        <v>152</v>
      </c>
      <c r="F729">
        <v>0</v>
      </c>
      <c r="G729">
        <v>14</v>
      </c>
      <c r="H729">
        <v>8</v>
      </c>
      <c r="J729">
        <v>46</v>
      </c>
      <c r="K729">
        <v>3</v>
      </c>
      <c r="L729" s="1" t="s">
        <v>502</v>
      </c>
      <c r="N729" s="1" t="s">
        <v>37</v>
      </c>
      <c r="P729" s="1" t="s">
        <v>37</v>
      </c>
      <c r="R729" s="1" t="s">
        <v>37</v>
      </c>
      <c r="S729">
        <v>47.157296000000002</v>
      </c>
      <c r="T729">
        <v>8.5372939999999993</v>
      </c>
      <c r="U729" s="1" t="s">
        <v>110</v>
      </c>
      <c r="V729">
        <v>9</v>
      </c>
      <c r="W729">
        <v>6</v>
      </c>
      <c r="X729">
        <v>1</v>
      </c>
      <c r="Y729">
        <v>121.21</v>
      </c>
      <c r="Z729">
        <v>2.3919999999999999</v>
      </c>
    </row>
    <row r="730" spans="1:26">
      <c r="A730" s="2">
        <v>43926</v>
      </c>
      <c r="B730" s="4">
        <v>0.60416666666666663</v>
      </c>
      <c r="C730" s="1" t="s">
        <v>111</v>
      </c>
      <c r="E730">
        <v>2497</v>
      </c>
      <c r="F730">
        <v>0</v>
      </c>
      <c r="G730">
        <v>194</v>
      </c>
      <c r="I730">
        <v>59</v>
      </c>
      <c r="K730">
        <v>53</v>
      </c>
      <c r="L730" s="1" t="s">
        <v>113</v>
      </c>
      <c r="N730" s="1" t="s">
        <v>37</v>
      </c>
      <c r="P730" s="1" t="s">
        <v>37</v>
      </c>
      <c r="R730" s="1" t="s">
        <v>37</v>
      </c>
      <c r="S730">
        <v>47.412750000000003</v>
      </c>
      <c r="T730">
        <v>8.6550799999999999</v>
      </c>
      <c r="U730" s="1" t="s">
        <v>112</v>
      </c>
      <c r="V730">
        <v>1</v>
      </c>
      <c r="W730">
        <v>30</v>
      </c>
      <c r="X730">
        <v>4</v>
      </c>
      <c r="Y730">
        <v>165.99</v>
      </c>
      <c r="Z730">
        <v>3.5230000000000001</v>
      </c>
    </row>
    <row r="731" spans="1:26">
      <c r="A731" s="2">
        <v>43927</v>
      </c>
      <c r="B731" s="4">
        <v>0.625</v>
      </c>
      <c r="C731" s="1" t="s">
        <v>35</v>
      </c>
      <c r="E731">
        <v>727</v>
      </c>
      <c r="F731">
        <v>-18</v>
      </c>
      <c r="G731">
        <v>82</v>
      </c>
      <c r="H731">
        <v>25</v>
      </c>
      <c r="I731">
        <v>24</v>
      </c>
      <c r="J731">
        <v>4</v>
      </c>
      <c r="K731">
        <v>13</v>
      </c>
      <c r="L731" s="1" t="s">
        <v>324</v>
      </c>
      <c r="N731" s="1" t="s">
        <v>37</v>
      </c>
      <c r="P731" s="1" t="s">
        <v>37</v>
      </c>
      <c r="R731" s="1" t="s">
        <v>37</v>
      </c>
      <c r="S731">
        <v>47.409660000000002</v>
      </c>
      <c r="T731">
        <v>8.1568799999999992</v>
      </c>
      <c r="U731" s="1" t="s">
        <v>36</v>
      </c>
      <c r="V731">
        <v>1</v>
      </c>
      <c r="W731">
        <v>101</v>
      </c>
      <c r="X731">
        <v>1</v>
      </c>
      <c r="Y731">
        <v>108.35</v>
      </c>
      <c r="Z731">
        <v>1.9370000000000001</v>
      </c>
    </row>
    <row r="732" spans="1:26">
      <c r="A732" s="2">
        <v>43927</v>
      </c>
      <c r="B732" s="4">
        <v>0.45833333333333331</v>
      </c>
      <c r="C732" s="1" t="s">
        <v>39</v>
      </c>
      <c r="E732">
        <v>21</v>
      </c>
      <c r="F732">
        <v>0</v>
      </c>
      <c r="G732">
        <v>1</v>
      </c>
      <c r="L732" s="1" t="s">
        <v>41</v>
      </c>
      <c r="N732" s="1" t="s">
        <v>37</v>
      </c>
      <c r="P732" s="1" t="s">
        <v>37</v>
      </c>
      <c r="R732" s="1" t="s">
        <v>37</v>
      </c>
      <c r="S732">
        <v>47.317264000000002</v>
      </c>
      <c r="T732">
        <v>9.4167539999999992</v>
      </c>
      <c r="U732" s="1" t="s">
        <v>40</v>
      </c>
      <c r="V732">
        <v>16</v>
      </c>
      <c r="W732">
        <v>0</v>
      </c>
      <c r="X732">
        <v>0</v>
      </c>
      <c r="Y732">
        <v>130.43</v>
      </c>
    </row>
    <row r="733" spans="1:26">
      <c r="A733" s="2">
        <v>43927</v>
      </c>
      <c r="B733" s="4">
        <v>0.33333333333333331</v>
      </c>
      <c r="C733" s="1" t="s">
        <v>42</v>
      </c>
      <c r="E733">
        <v>69</v>
      </c>
      <c r="F733">
        <v>0</v>
      </c>
      <c r="G733">
        <v>6</v>
      </c>
      <c r="K733">
        <v>3</v>
      </c>
      <c r="L733" s="1" t="s">
        <v>44</v>
      </c>
      <c r="N733" s="1" t="s">
        <v>37</v>
      </c>
      <c r="P733" s="1" t="s">
        <v>37</v>
      </c>
      <c r="R733" s="1" t="s">
        <v>37</v>
      </c>
      <c r="S733">
        <v>47.416351999999996</v>
      </c>
      <c r="T733">
        <v>9.3679100000000002</v>
      </c>
      <c r="U733" s="1" t="s">
        <v>43</v>
      </c>
      <c r="V733">
        <v>15</v>
      </c>
      <c r="W733">
        <v>2</v>
      </c>
      <c r="X733">
        <v>0</v>
      </c>
      <c r="Y733">
        <v>125</v>
      </c>
      <c r="Z733">
        <v>5.4349999999999996</v>
      </c>
    </row>
    <row r="734" spans="1:26">
      <c r="A734" s="2">
        <v>43927</v>
      </c>
      <c r="B734" s="4">
        <v>0.33333333333333331</v>
      </c>
      <c r="C734" s="1" t="s">
        <v>45</v>
      </c>
      <c r="E734">
        <v>1173</v>
      </c>
      <c r="F734">
        <v>7</v>
      </c>
      <c r="G734">
        <v>117</v>
      </c>
      <c r="H734">
        <v>35</v>
      </c>
      <c r="I734">
        <v>30</v>
      </c>
      <c r="K734">
        <v>31</v>
      </c>
      <c r="L734" s="1" t="s">
        <v>47</v>
      </c>
      <c r="N734" s="1" t="s">
        <v>37</v>
      </c>
      <c r="P734" s="1" t="s">
        <v>37</v>
      </c>
      <c r="R734" s="1" t="s">
        <v>37</v>
      </c>
      <c r="S734">
        <v>46.823608</v>
      </c>
      <c r="T734">
        <v>7.6366670000000001</v>
      </c>
      <c r="U734" s="1" t="s">
        <v>46</v>
      </c>
      <c r="V734">
        <v>2</v>
      </c>
      <c r="W734">
        <v>36</v>
      </c>
      <c r="X734">
        <v>3</v>
      </c>
      <c r="Y734">
        <v>113.76</v>
      </c>
      <c r="Z734">
        <v>3.0059999999999998</v>
      </c>
    </row>
    <row r="735" spans="1:26">
      <c r="A735" s="2">
        <v>43927</v>
      </c>
      <c r="B735" s="4">
        <v>0.125</v>
      </c>
      <c r="C735" s="1" t="s">
        <v>48</v>
      </c>
      <c r="E735">
        <v>682</v>
      </c>
      <c r="F735">
        <v>-6</v>
      </c>
      <c r="G735">
        <v>67</v>
      </c>
      <c r="H735">
        <v>17</v>
      </c>
      <c r="I735">
        <v>17</v>
      </c>
      <c r="J735">
        <v>412</v>
      </c>
      <c r="K735">
        <v>19</v>
      </c>
      <c r="L735" s="1" t="s">
        <v>50</v>
      </c>
      <c r="N735" s="1" t="s">
        <v>37</v>
      </c>
      <c r="P735" s="1" t="s">
        <v>37</v>
      </c>
      <c r="R735" s="1" t="s">
        <v>37</v>
      </c>
      <c r="S735">
        <v>47.45176</v>
      </c>
      <c r="T735">
        <v>7.7024140000000001</v>
      </c>
      <c r="U735" s="1" t="s">
        <v>49</v>
      </c>
      <c r="V735">
        <v>13</v>
      </c>
      <c r="W735">
        <v>12</v>
      </c>
      <c r="X735">
        <v>0</v>
      </c>
      <c r="Y735">
        <v>237.63</v>
      </c>
      <c r="Z735">
        <v>6.62</v>
      </c>
    </row>
    <row r="736" spans="1:26">
      <c r="A736" s="2">
        <v>43927</v>
      </c>
      <c r="B736" s="4">
        <v>0.40625</v>
      </c>
      <c r="C736" s="1" t="s">
        <v>51</v>
      </c>
      <c r="D736">
        <v>235</v>
      </c>
      <c r="E736">
        <v>803</v>
      </c>
      <c r="F736">
        <v>-7</v>
      </c>
      <c r="G736">
        <v>99</v>
      </c>
      <c r="H736">
        <v>13</v>
      </c>
      <c r="J736">
        <v>481</v>
      </c>
      <c r="K736">
        <v>26</v>
      </c>
      <c r="L736" s="1" t="s">
        <v>325</v>
      </c>
      <c r="M736">
        <v>438</v>
      </c>
      <c r="N736" s="1" t="s">
        <v>319</v>
      </c>
      <c r="P736" s="1" t="s">
        <v>37</v>
      </c>
      <c r="R736" s="1" t="s">
        <v>37</v>
      </c>
      <c r="S736">
        <v>47.564869000000002</v>
      </c>
      <c r="T736">
        <v>7.615259</v>
      </c>
      <c r="U736" s="1" t="s">
        <v>52</v>
      </c>
      <c r="V736">
        <v>12</v>
      </c>
      <c r="W736">
        <v>9</v>
      </c>
      <c r="X736">
        <v>0</v>
      </c>
      <c r="Y736">
        <v>414.13</v>
      </c>
      <c r="Z736">
        <v>13.409000000000001</v>
      </c>
    </row>
    <row r="737" spans="1:26">
      <c r="A737" s="2">
        <v>43927</v>
      </c>
      <c r="B737" s="4">
        <v>0.125</v>
      </c>
      <c r="C737" s="1" t="s">
        <v>57</v>
      </c>
      <c r="D737">
        <v>30</v>
      </c>
      <c r="E737">
        <v>689</v>
      </c>
      <c r="F737">
        <v>0</v>
      </c>
      <c r="G737">
        <v>87</v>
      </c>
      <c r="H737">
        <v>19</v>
      </c>
      <c r="J737">
        <v>56</v>
      </c>
      <c r="K737">
        <v>41</v>
      </c>
      <c r="L737" s="1" t="s">
        <v>59</v>
      </c>
      <c r="N737" s="1" t="s">
        <v>37</v>
      </c>
      <c r="P737" s="1" t="s">
        <v>37</v>
      </c>
      <c r="R737" s="1" t="s">
        <v>37</v>
      </c>
      <c r="S737">
        <v>46.718390999999997</v>
      </c>
      <c r="T737">
        <v>7.0740080000000001</v>
      </c>
      <c r="U737" s="1" t="s">
        <v>58</v>
      </c>
      <c r="V737">
        <v>10</v>
      </c>
      <c r="W737">
        <v>20</v>
      </c>
      <c r="X737">
        <v>1</v>
      </c>
      <c r="Y737">
        <v>218.66</v>
      </c>
      <c r="Z737">
        <v>13.012</v>
      </c>
    </row>
    <row r="738" spans="1:26">
      <c r="A738" s="2">
        <v>43927</v>
      </c>
      <c r="B738" s="4">
        <v>0.125</v>
      </c>
      <c r="C738" s="1" t="s">
        <v>60</v>
      </c>
      <c r="D738">
        <v>15792</v>
      </c>
      <c r="E738">
        <v>3814</v>
      </c>
      <c r="F738">
        <v>-6</v>
      </c>
      <c r="G738">
        <v>418</v>
      </c>
      <c r="H738">
        <v>56</v>
      </c>
      <c r="I738">
        <v>50</v>
      </c>
      <c r="J738">
        <v>345</v>
      </c>
      <c r="K738">
        <v>116</v>
      </c>
      <c r="L738" s="1" t="s">
        <v>62</v>
      </c>
      <c r="N738" s="1" t="s">
        <v>37</v>
      </c>
      <c r="P738" s="1" t="s">
        <v>37</v>
      </c>
      <c r="Q738">
        <v>24</v>
      </c>
      <c r="R738" s="1" t="s">
        <v>37</v>
      </c>
      <c r="S738">
        <v>46.220528000000002</v>
      </c>
      <c r="T738">
        <v>6.1329349999999998</v>
      </c>
      <c r="U738" s="1" t="s">
        <v>61</v>
      </c>
      <c r="V738">
        <v>25</v>
      </c>
      <c r="W738">
        <v>119</v>
      </c>
      <c r="X738">
        <v>11</v>
      </c>
      <c r="Y738">
        <v>770.19</v>
      </c>
      <c r="Z738">
        <v>23.425000000000001</v>
      </c>
    </row>
    <row r="739" spans="1:26">
      <c r="A739" s="2">
        <v>43927</v>
      </c>
      <c r="B739" s="4">
        <v>0.5625</v>
      </c>
      <c r="C739" s="1" t="s">
        <v>63</v>
      </c>
      <c r="E739">
        <v>63</v>
      </c>
      <c r="F739">
        <v>-3</v>
      </c>
      <c r="G739">
        <v>2</v>
      </c>
      <c r="K739">
        <v>2</v>
      </c>
      <c r="L739" s="1" t="s">
        <v>65</v>
      </c>
      <c r="N739" s="1" t="s">
        <v>37</v>
      </c>
      <c r="P739" s="1" t="s">
        <v>37</v>
      </c>
      <c r="R739" s="1" t="s">
        <v>37</v>
      </c>
      <c r="S739">
        <v>46.931042000000005</v>
      </c>
      <c r="T739">
        <v>9.0657510000000006</v>
      </c>
      <c r="U739" s="1" t="s">
        <v>64</v>
      </c>
      <c r="V739">
        <v>8</v>
      </c>
      <c r="W739">
        <v>4</v>
      </c>
      <c r="X739">
        <v>0</v>
      </c>
      <c r="Y739">
        <v>156.33000000000001</v>
      </c>
      <c r="Z739">
        <v>4.9630000000000001</v>
      </c>
    </row>
    <row r="740" spans="1:26">
      <c r="A740" s="2">
        <v>43927</v>
      </c>
      <c r="B740" s="4">
        <v>0.125</v>
      </c>
      <c r="C740" s="1" t="s">
        <v>66</v>
      </c>
      <c r="E740">
        <v>657</v>
      </c>
      <c r="F740">
        <v>3</v>
      </c>
      <c r="G740">
        <v>52</v>
      </c>
      <c r="K740">
        <v>31</v>
      </c>
      <c r="L740" s="1" t="s">
        <v>68</v>
      </c>
      <c r="N740" s="1" t="s">
        <v>37</v>
      </c>
      <c r="P740" s="1" t="s">
        <v>37</v>
      </c>
      <c r="R740" s="1" t="s">
        <v>37</v>
      </c>
      <c r="S740">
        <v>46.656247999999998</v>
      </c>
      <c r="T740">
        <v>9.6281979999999994</v>
      </c>
      <c r="U740" s="1" t="s">
        <v>67</v>
      </c>
      <c r="V740">
        <v>1</v>
      </c>
      <c r="W740">
        <v>11</v>
      </c>
      <c r="X740">
        <v>1</v>
      </c>
      <c r="Y740">
        <v>331.99</v>
      </c>
      <c r="Z740">
        <v>15.664</v>
      </c>
    </row>
    <row r="741" spans="1:26">
      <c r="A741" s="2">
        <v>43927</v>
      </c>
      <c r="B741" s="4">
        <v>0.66666666666666663</v>
      </c>
      <c r="C741" s="1" t="s">
        <v>69</v>
      </c>
      <c r="E741">
        <v>164</v>
      </c>
      <c r="F741">
        <v>-2</v>
      </c>
      <c r="G741">
        <v>27</v>
      </c>
      <c r="H741">
        <v>4</v>
      </c>
      <c r="L741" s="1" t="s">
        <v>280</v>
      </c>
      <c r="N741" s="1" t="s">
        <v>37</v>
      </c>
      <c r="P741" s="1" t="s">
        <v>37</v>
      </c>
      <c r="R741" s="1" t="s">
        <v>37</v>
      </c>
      <c r="S741">
        <v>47.350743999999999</v>
      </c>
      <c r="T741">
        <v>7.1561070000000004</v>
      </c>
      <c r="U741" s="1" t="s">
        <v>70</v>
      </c>
      <c r="V741">
        <v>26</v>
      </c>
      <c r="W741">
        <v>4</v>
      </c>
      <c r="X741">
        <v>0</v>
      </c>
      <c r="Y741">
        <v>223.74</v>
      </c>
    </row>
    <row r="742" spans="1:26">
      <c r="A742" s="2">
        <v>43927</v>
      </c>
      <c r="B742" s="4">
        <v>0.45833333333333331</v>
      </c>
      <c r="C742" s="1" t="s">
        <v>71</v>
      </c>
      <c r="E742">
        <v>497</v>
      </c>
      <c r="F742">
        <v>12</v>
      </c>
      <c r="G742">
        <v>61</v>
      </c>
      <c r="H742">
        <v>6</v>
      </c>
      <c r="K742">
        <v>9</v>
      </c>
      <c r="L742" s="1" t="s">
        <v>73</v>
      </c>
      <c r="N742" s="1" t="s">
        <v>37</v>
      </c>
      <c r="P742" s="1" t="s">
        <v>37</v>
      </c>
      <c r="R742" s="1" t="s">
        <v>37</v>
      </c>
      <c r="S742">
        <v>47.067762999999999</v>
      </c>
      <c r="T742">
        <v>8.1102000000000007</v>
      </c>
      <c r="U742" s="1" t="s">
        <v>72</v>
      </c>
      <c r="V742">
        <v>3</v>
      </c>
      <c r="W742">
        <v>19</v>
      </c>
      <c r="X742">
        <v>0</v>
      </c>
      <c r="Y742">
        <v>122.26</v>
      </c>
      <c r="Z742">
        <v>2.214</v>
      </c>
    </row>
    <row r="743" spans="1:26">
      <c r="A743" s="2">
        <v>43927</v>
      </c>
      <c r="B743" s="4">
        <v>0.66666666666666663</v>
      </c>
      <c r="C743" s="1" t="s">
        <v>74</v>
      </c>
      <c r="E743">
        <v>488</v>
      </c>
      <c r="F743">
        <v>1</v>
      </c>
      <c r="G743">
        <v>59</v>
      </c>
      <c r="H743">
        <v>10</v>
      </c>
      <c r="I743">
        <v>8</v>
      </c>
      <c r="K743">
        <v>34</v>
      </c>
      <c r="L743" s="1" t="s">
        <v>76</v>
      </c>
      <c r="N743" s="1" t="s">
        <v>37</v>
      </c>
      <c r="P743" s="1" t="s">
        <v>37</v>
      </c>
      <c r="R743" s="1" t="s">
        <v>37</v>
      </c>
      <c r="S743">
        <v>46.995533999999999</v>
      </c>
      <c r="T743">
        <v>6.7801260000000001</v>
      </c>
      <c r="U743" s="1" t="s">
        <v>75</v>
      </c>
      <c r="V743">
        <v>24</v>
      </c>
      <c r="W743">
        <v>24</v>
      </c>
      <c r="X743">
        <v>3</v>
      </c>
      <c r="Y743">
        <v>274.16000000000003</v>
      </c>
      <c r="Z743">
        <v>19.100999999999999</v>
      </c>
    </row>
    <row r="744" spans="1:26">
      <c r="A744" s="2">
        <v>43927</v>
      </c>
      <c r="B744" s="4">
        <v>0.63541666666666663</v>
      </c>
      <c r="C744" s="1" t="s">
        <v>77</v>
      </c>
      <c r="E744">
        <v>86</v>
      </c>
      <c r="F744">
        <v>0</v>
      </c>
      <c r="G744">
        <v>9</v>
      </c>
      <c r="H744">
        <v>2</v>
      </c>
      <c r="K744">
        <v>0</v>
      </c>
      <c r="L744" s="1" t="s">
        <v>79</v>
      </c>
      <c r="N744" s="1" t="s">
        <v>37</v>
      </c>
      <c r="P744" s="1" t="s">
        <v>37</v>
      </c>
      <c r="R744" s="1" t="s">
        <v>37</v>
      </c>
      <c r="S744">
        <v>46.926755</v>
      </c>
      <c r="T744">
        <v>8.4053020000000007</v>
      </c>
      <c r="U744" s="1" t="s">
        <v>78</v>
      </c>
      <c r="V744">
        <v>7</v>
      </c>
      <c r="W744">
        <v>6</v>
      </c>
      <c r="X744">
        <v>0</v>
      </c>
      <c r="Y744">
        <v>200</v>
      </c>
      <c r="Z744">
        <v>0</v>
      </c>
    </row>
    <row r="745" spans="1:26">
      <c r="A745" s="2">
        <v>43927</v>
      </c>
      <c r="B745" s="4">
        <v>0.625</v>
      </c>
      <c r="C745" s="1" t="s">
        <v>80</v>
      </c>
      <c r="D745">
        <v>6</v>
      </c>
      <c r="E745">
        <v>60</v>
      </c>
      <c r="F745">
        <v>0</v>
      </c>
      <c r="J745">
        <v>1</v>
      </c>
      <c r="K745">
        <v>0</v>
      </c>
      <c r="L745" s="1" t="s">
        <v>82</v>
      </c>
      <c r="N745" s="1" t="s">
        <v>37</v>
      </c>
      <c r="P745" s="1" t="s">
        <v>37</v>
      </c>
      <c r="R745" s="1" t="s">
        <v>37</v>
      </c>
      <c r="S745">
        <v>46.804527</v>
      </c>
      <c r="T745">
        <v>8.1443170000000009</v>
      </c>
      <c r="U745" s="1" t="s">
        <v>81</v>
      </c>
      <c r="V745">
        <v>6</v>
      </c>
      <c r="W745">
        <v>4</v>
      </c>
      <c r="X745">
        <v>0</v>
      </c>
      <c r="Y745">
        <v>159.57</v>
      </c>
      <c r="Z745">
        <v>0</v>
      </c>
    </row>
    <row r="746" spans="1:26">
      <c r="A746" s="2">
        <v>43927</v>
      </c>
      <c r="B746" s="4">
        <v>0.125</v>
      </c>
      <c r="C746" s="1" t="s">
        <v>83</v>
      </c>
      <c r="E746">
        <v>532</v>
      </c>
      <c r="F746">
        <v>0</v>
      </c>
      <c r="G746">
        <v>70</v>
      </c>
      <c r="H746">
        <v>12</v>
      </c>
      <c r="J746">
        <v>75</v>
      </c>
      <c r="K746">
        <v>11</v>
      </c>
      <c r="L746" s="1" t="s">
        <v>85</v>
      </c>
      <c r="N746" s="1" t="s">
        <v>37</v>
      </c>
      <c r="P746" s="1" t="s">
        <v>37</v>
      </c>
      <c r="R746" s="1" t="s">
        <v>37</v>
      </c>
      <c r="S746">
        <v>47.183199999999999</v>
      </c>
      <c r="T746">
        <v>9.2747440000000001</v>
      </c>
      <c r="U746" s="1" t="s">
        <v>84</v>
      </c>
      <c r="V746">
        <v>17</v>
      </c>
      <c r="W746">
        <v>17</v>
      </c>
      <c r="X746">
        <v>2</v>
      </c>
      <c r="Y746">
        <v>105.41</v>
      </c>
      <c r="Z746">
        <v>2.1800000000000002</v>
      </c>
    </row>
    <row r="747" spans="1:26">
      <c r="A747" s="2">
        <v>43927</v>
      </c>
      <c r="B747" s="4">
        <v>0.125</v>
      </c>
      <c r="C747" s="1" t="s">
        <v>86</v>
      </c>
      <c r="E747">
        <v>50</v>
      </c>
      <c r="F747">
        <v>3</v>
      </c>
      <c r="G747">
        <v>15</v>
      </c>
      <c r="H747">
        <v>3</v>
      </c>
      <c r="K747">
        <v>1</v>
      </c>
      <c r="L747" s="1" t="s">
        <v>88</v>
      </c>
      <c r="N747" s="1" t="s">
        <v>37</v>
      </c>
      <c r="P747" s="1" t="s">
        <v>37</v>
      </c>
      <c r="R747" s="1" t="s">
        <v>37</v>
      </c>
      <c r="S747">
        <v>47.713569999999997</v>
      </c>
      <c r="T747">
        <v>8.5916700000000006</v>
      </c>
      <c r="U747" s="1" t="s">
        <v>87</v>
      </c>
      <c r="V747">
        <v>14</v>
      </c>
      <c r="W747">
        <v>1</v>
      </c>
      <c r="X747">
        <v>0</v>
      </c>
      <c r="Y747">
        <v>61.43</v>
      </c>
      <c r="Z747">
        <v>1.2290000000000001</v>
      </c>
    </row>
    <row r="748" spans="1:26">
      <c r="A748" s="2">
        <v>43927</v>
      </c>
      <c r="B748" s="4">
        <v>0.125</v>
      </c>
      <c r="C748" s="1" t="s">
        <v>89</v>
      </c>
      <c r="E748">
        <v>261</v>
      </c>
      <c r="F748">
        <v>10</v>
      </c>
      <c r="G748">
        <v>26</v>
      </c>
      <c r="K748">
        <v>3</v>
      </c>
      <c r="L748" s="1" t="s">
        <v>91</v>
      </c>
      <c r="N748" s="1" t="s">
        <v>37</v>
      </c>
      <c r="P748" s="1" t="s">
        <v>37</v>
      </c>
      <c r="R748" s="1" t="s">
        <v>37</v>
      </c>
      <c r="S748">
        <v>47.304135000000002</v>
      </c>
      <c r="T748">
        <v>7.6393880000000003</v>
      </c>
      <c r="U748" s="1" t="s">
        <v>90</v>
      </c>
      <c r="V748">
        <v>11</v>
      </c>
      <c r="W748">
        <v>3</v>
      </c>
      <c r="X748">
        <v>0</v>
      </c>
      <c r="Y748">
        <v>96.17</v>
      </c>
      <c r="Z748">
        <v>1.105</v>
      </c>
    </row>
    <row r="749" spans="1:26">
      <c r="A749" s="2">
        <v>43927</v>
      </c>
      <c r="B749" s="4">
        <v>0.125</v>
      </c>
      <c r="C749" s="1" t="s">
        <v>92</v>
      </c>
      <c r="D749">
        <v>10</v>
      </c>
      <c r="E749">
        <v>178</v>
      </c>
      <c r="F749">
        <v>0</v>
      </c>
      <c r="G749">
        <v>1</v>
      </c>
      <c r="J749">
        <v>93</v>
      </c>
      <c r="K749">
        <v>6</v>
      </c>
      <c r="L749" s="1" t="s">
        <v>267</v>
      </c>
      <c r="N749" s="1" t="s">
        <v>37</v>
      </c>
      <c r="P749" s="1" t="s">
        <v>37</v>
      </c>
      <c r="R749" s="1" t="s">
        <v>37</v>
      </c>
      <c r="S749">
        <v>47.061787000000002</v>
      </c>
      <c r="T749">
        <v>8.7565849999999994</v>
      </c>
      <c r="U749" s="1" t="s">
        <v>93</v>
      </c>
      <c r="V749">
        <v>5</v>
      </c>
      <c r="W749">
        <v>8</v>
      </c>
      <c r="X749">
        <v>1</v>
      </c>
      <c r="Y749">
        <v>113.16</v>
      </c>
      <c r="Z749">
        <v>3.8140000000000001</v>
      </c>
    </row>
    <row r="750" spans="1:26">
      <c r="A750" s="2">
        <v>43927</v>
      </c>
      <c r="B750" s="4">
        <v>0.125</v>
      </c>
      <c r="C750" s="1" t="s">
        <v>95</v>
      </c>
      <c r="D750">
        <v>276</v>
      </c>
      <c r="E750">
        <v>219</v>
      </c>
      <c r="F750">
        <v>0</v>
      </c>
      <c r="G750">
        <v>34</v>
      </c>
      <c r="H750">
        <v>14</v>
      </c>
      <c r="K750">
        <v>7</v>
      </c>
      <c r="L750" s="1" t="s">
        <v>97</v>
      </c>
      <c r="N750" s="1" t="s">
        <v>37</v>
      </c>
      <c r="P750" s="1" t="s">
        <v>37</v>
      </c>
      <c r="R750" s="1" t="s">
        <v>37</v>
      </c>
      <c r="S750">
        <v>47.568714999999997</v>
      </c>
      <c r="T750">
        <v>9.0919570000000007</v>
      </c>
      <c r="U750" s="1" t="s">
        <v>96</v>
      </c>
      <c r="V750">
        <v>1</v>
      </c>
      <c r="W750">
        <v>6</v>
      </c>
      <c r="X750">
        <v>0</v>
      </c>
      <c r="Y750">
        <v>79.989999999999995</v>
      </c>
      <c r="Z750">
        <v>2.5569999999999999</v>
      </c>
    </row>
    <row r="751" spans="1:26">
      <c r="A751" s="2">
        <v>43927</v>
      </c>
      <c r="B751" s="4">
        <v>0.33333333333333331</v>
      </c>
      <c r="C751" s="1" t="s">
        <v>98</v>
      </c>
      <c r="E751">
        <v>2546</v>
      </c>
      <c r="F751">
        <v>-5</v>
      </c>
      <c r="G751">
        <v>357</v>
      </c>
      <c r="H751">
        <v>72</v>
      </c>
      <c r="I751">
        <v>62</v>
      </c>
      <c r="J751">
        <v>350</v>
      </c>
      <c r="K751">
        <v>189</v>
      </c>
      <c r="L751" s="1" t="s">
        <v>326</v>
      </c>
      <c r="N751" s="1" t="s">
        <v>37</v>
      </c>
      <c r="P751" s="1" t="s">
        <v>327</v>
      </c>
      <c r="R751" s="1" t="s">
        <v>37</v>
      </c>
      <c r="S751">
        <v>46.295617</v>
      </c>
      <c r="T751">
        <v>8.8089239999999993</v>
      </c>
      <c r="U751" s="1" t="s">
        <v>99</v>
      </c>
      <c r="V751">
        <v>21</v>
      </c>
      <c r="W751">
        <v>38</v>
      </c>
      <c r="X751">
        <v>12</v>
      </c>
      <c r="Y751">
        <v>719.82</v>
      </c>
      <c r="Z751">
        <v>53.435000000000002</v>
      </c>
    </row>
    <row r="752" spans="1:26">
      <c r="A752" s="2">
        <v>43927</v>
      </c>
      <c r="B752" s="4">
        <v>0.58333333333333337</v>
      </c>
      <c r="C752" s="1" t="s">
        <v>101</v>
      </c>
      <c r="D752">
        <v>85</v>
      </c>
      <c r="E752">
        <v>67</v>
      </c>
      <c r="F752">
        <v>4</v>
      </c>
      <c r="G752">
        <v>9</v>
      </c>
      <c r="J752">
        <v>34</v>
      </c>
      <c r="K752">
        <v>2</v>
      </c>
      <c r="L752" s="1" t="s">
        <v>238</v>
      </c>
      <c r="N752" s="1" t="s">
        <v>37</v>
      </c>
      <c r="P752" s="1" t="s">
        <v>37</v>
      </c>
      <c r="R752" s="1" t="s">
        <v>37</v>
      </c>
      <c r="S752">
        <v>46.771849000000003</v>
      </c>
      <c r="T752">
        <v>8.6285860000000003</v>
      </c>
      <c r="U752" s="1" t="s">
        <v>102</v>
      </c>
      <c r="V752">
        <v>4</v>
      </c>
      <c r="W752">
        <v>0</v>
      </c>
      <c r="X752">
        <v>0</v>
      </c>
      <c r="Y752">
        <v>184.57</v>
      </c>
      <c r="Z752">
        <v>5.51</v>
      </c>
    </row>
    <row r="753" spans="1:26">
      <c r="A753" s="2">
        <v>43927</v>
      </c>
      <c r="B753" s="4">
        <v>0.125</v>
      </c>
      <c r="C753" s="1" t="s">
        <v>104</v>
      </c>
      <c r="E753">
        <v>4233</v>
      </c>
      <c r="F753">
        <v>-16</v>
      </c>
      <c r="G753">
        <v>366</v>
      </c>
      <c r="H753">
        <v>68</v>
      </c>
      <c r="J753">
        <v>225</v>
      </c>
      <c r="K753">
        <v>190</v>
      </c>
      <c r="L753" s="1" t="s">
        <v>106</v>
      </c>
      <c r="N753" s="1" t="s">
        <v>37</v>
      </c>
      <c r="P753" s="1" t="s">
        <v>37</v>
      </c>
      <c r="R753" s="1" t="s">
        <v>37</v>
      </c>
      <c r="S753">
        <v>46.570090999999998</v>
      </c>
      <c r="T753">
        <v>6.5578090000000007</v>
      </c>
      <c r="U753" s="1" t="s">
        <v>105</v>
      </c>
      <c r="V753">
        <v>22</v>
      </c>
      <c r="W753">
        <v>31</v>
      </c>
      <c r="X753">
        <v>16</v>
      </c>
      <c r="Y753">
        <v>533.73</v>
      </c>
      <c r="Z753">
        <v>23.957000000000001</v>
      </c>
    </row>
    <row r="754" spans="1:26">
      <c r="A754" s="2">
        <v>43927</v>
      </c>
      <c r="B754" s="4">
        <v>0.625</v>
      </c>
      <c r="C754" s="1" t="s">
        <v>107</v>
      </c>
      <c r="E754">
        <v>1497</v>
      </c>
      <c r="F754">
        <v>-13</v>
      </c>
      <c r="G754">
        <v>134</v>
      </c>
      <c r="H754">
        <v>26</v>
      </c>
      <c r="I754">
        <v>22</v>
      </c>
      <c r="J754">
        <v>105</v>
      </c>
      <c r="K754">
        <v>60</v>
      </c>
      <c r="L754" s="1" t="s">
        <v>412</v>
      </c>
      <c r="N754" s="1" t="s">
        <v>37</v>
      </c>
      <c r="P754" s="1" t="s">
        <v>37</v>
      </c>
      <c r="R754" s="1" t="s">
        <v>37</v>
      </c>
      <c r="S754">
        <v>46.209567</v>
      </c>
      <c r="T754">
        <v>7.6046589999999998</v>
      </c>
      <c r="U754" s="1" t="s">
        <v>108</v>
      </c>
      <c r="V754">
        <v>23</v>
      </c>
      <c r="W754">
        <v>66</v>
      </c>
      <c r="X754">
        <v>3</v>
      </c>
      <c r="Y754">
        <v>438.36</v>
      </c>
      <c r="Z754">
        <v>17.57</v>
      </c>
    </row>
    <row r="755" spans="1:26">
      <c r="A755" s="2">
        <v>43927</v>
      </c>
      <c r="B755" s="4">
        <v>0.33333333333333331</v>
      </c>
      <c r="C755" s="1" t="s">
        <v>109</v>
      </c>
      <c r="E755">
        <v>157</v>
      </c>
      <c r="F755">
        <v>1</v>
      </c>
      <c r="G755">
        <v>15</v>
      </c>
      <c r="H755">
        <v>8</v>
      </c>
      <c r="J755">
        <v>52</v>
      </c>
      <c r="K755">
        <v>3</v>
      </c>
      <c r="L755" s="1" t="s">
        <v>502</v>
      </c>
      <c r="N755" s="1" t="s">
        <v>37</v>
      </c>
      <c r="P755" s="1" t="s">
        <v>37</v>
      </c>
      <c r="R755" s="1" t="s">
        <v>37</v>
      </c>
      <c r="S755">
        <v>47.157296000000002</v>
      </c>
      <c r="T755">
        <v>8.5372939999999993</v>
      </c>
      <c r="U755" s="1" t="s">
        <v>110</v>
      </c>
      <c r="V755">
        <v>9</v>
      </c>
      <c r="W755">
        <v>5</v>
      </c>
      <c r="X755">
        <v>0</v>
      </c>
      <c r="Y755">
        <v>125.2</v>
      </c>
      <c r="Z755">
        <v>2.3919999999999999</v>
      </c>
    </row>
    <row r="756" spans="1:26">
      <c r="A756" s="2">
        <v>43927</v>
      </c>
      <c r="B756" s="4">
        <v>0.60416666666666663</v>
      </c>
      <c r="C756" s="1" t="s">
        <v>111</v>
      </c>
      <c r="E756">
        <v>2611</v>
      </c>
      <c r="F756">
        <v>4</v>
      </c>
      <c r="G756">
        <v>198</v>
      </c>
      <c r="I756">
        <v>58</v>
      </c>
      <c r="K756">
        <v>55</v>
      </c>
      <c r="L756" s="1" t="s">
        <v>113</v>
      </c>
      <c r="N756" s="1" t="s">
        <v>37</v>
      </c>
      <c r="P756" s="1" t="s">
        <v>37</v>
      </c>
      <c r="R756" s="1" t="s">
        <v>37</v>
      </c>
      <c r="S756">
        <v>47.412750000000003</v>
      </c>
      <c r="T756">
        <v>8.6550799999999999</v>
      </c>
      <c r="U756" s="1" t="s">
        <v>112</v>
      </c>
      <c r="V756">
        <v>1</v>
      </c>
      <c r="W756">
        <v>114</v>
      </c>
      <c r="X756">
        <v>2</v>
      </c>
      <c r="Y756">
        <v>173.57</v>
      </c>
      <c r="Z756">
        <v>3.6560000000000001</v>
      </c>
    </row>
    <row r="757" spans="1:26">
      <c r="A757" s="2">
        <v>43928</v>
      </c>
      <c r="B757" s="4">
        <v>0.61458333333333337</v>
      </c>
      <c r="C757" s="1" t="s">
        <v>35</v>
      </c>
      <c r="E757">
        <v>760</v>
      </c>
      <c r="F757">
        <v>2</v>
      </c>
      <c r="G757">
        <v>84</v>
      </c>
      <c r="H757">
        <v>25</v>
      </c>
      <c r="I757">
        <v>25</v>
      </c>
      <c r="J757">
        <v>170</v>
      </c>
      <c r="K757">
        <v>16</v>
      </c>
      <c r="L757" s="1" t="s">
        <v>328</v>
      </c>
      <c r="N757" s="1" t="s">
        <v>37</v>
      </c>
      <c r="P757" s="1" t="s">
        <v>37</v>
      </c>
      <c r="R757" s="1" t="s">
        <v>37</v>
      </c>
      <c r="S757">
        <v>47.409660000000002</v>
      </c>
      <c r="T757">
        <v>8.1568799999999992</v>
      </c>
      <c r="U757" s="1" t="s">
        <v>36</v>
      </c>
      <c r="V757">
        <v>1</v>
      </c>
      <c r="W757">
        <v>33</v>
      </c>
      <c r="X757">
        <v>3</v>
      </c>
      <c r="Y757">
        <v>113.26</v>
      </c>
      <c r="Z757">
        <v>2.3849999999999998</v>
      </c>
    </row>
    <row r="758" spans="1:26">
      <c r="A758" s="2">
        <v>43928</v>
      </c>
      <c r="B758" s="4">
        <v>0.45833333333333331</v>
      </c>
      <c r="C758" s="1" t="s">
        <v>39</v>
      </c>
      <c r="E758">
        <v>21</v>
      </c>
      <c r="F758">
        <v>0</v>
      </c>
      <c r="G758">
        <v>1</v>
      </c>
      <c r="L758" s="1" t="s">
        <v>41</v>
      </c>
      <c r="N758" s="1" t="s">
        <v>37</v>
      </c>
      <c r="P758" s="1" t="s">
        <v>37</v>
      </c>
      <c r="R758" s="1" t="s">
        <v>37</v>
      </c>
      <c r="S758">
        <v>47.317264000000002</v>
      </c>
      <c r="T758">
        <v>9.4167539999999992</v>
      </c>
      <c r="U758" s="1" t="s">
        <v>40</v>
      </c>
      <c r="V758">
        <v>16</v>
      </c>
      <c r="W758">
        <v>0</v>
      </c>
      <c r="X758">
        <v>0</v>
      </c>
      <c r="Y758">
        <v>130.43</v>
      </c>
    </row>
    <row r="759" spans="1:26">
      <c r="A759" s="2">
        <v>43928</v>
      </c>
      <c r="B759" s="4">
        <v>0.33333333333333331</v>
      </c>
      <c r="C759" s="1" t="s">
        <v>42</v>
      </c>
      <c r="E759">
        <v>69</v>
      </c>
      <c r="F759">
        <v>0</v>
      </c>
      <c r="G759">
        <v>6</v>
      </c>
      <c r="K759">
        <v>3</v>
      </c>
      <c r="L759" s="1" t="s">
        <v>44</v>
      </c>
      <c r="N759" s="1" t="s">
        <v>37</v>
      </c>
      <c r="P759" s="1" t="s">
        <v>37</v>
      </c>
      <c r="R759" s="1" t="s">
        <v>37</v>
      </c>
      <c r="S759">
        <v>47.416351999999996</v>
      </c>
      <c r="T759">
        <v>9.3679100000000002</v>
      </c>
      <c r="U759" s="1" t="s">
        <v>43</v>
      </c>
      <c r="V759">
        <v>15</v>
      </c>
      <c r="W759">
        <v>0</v>
      </c>
      <c r="X759">
        <v>0</v>
      </c>
      <c r="Y759">
        <v>125</v>
      </c>
      <c r="Z759">
        <v>5.4349999999999996</v>
      </c>
    </row>
    <row r="760" spans="1:26">
      <c r="A760" s="2">
        <v>43928</v>
      </c>
      <c r="B760" s="4">
        <v>0.33333333333333331</v>
      </c>
      <c r="C760" s="1" t="s">
        <v>45</v>
      </c>
      <c r="E760">
        <v>1228</v>
      </c>
      <c r="F760">
        <v>5</v>
      </c>
      <c r="G760">
        <v>122</v>
      </c>
      <c r="H760">
        <v>34</v>
      </c>
      <c r="I760">
        <v>26</v>
      </c>
      <c r="K760">
        <v>33</v>
      </c>
      <c r="L760" s="1" t="s">
        <v>47</v>
      </c>
      <c r="N760" s="1" t="s">
        <v>37</v>
      </c>
      <c r="P760" s="1" t="s">
        <v>37</v>
      </c>
      <c r="R760" s="1" t="s">
        <v>37</v>
      </c>
      <c r="S760">
        <v>46.823608</v>
      </c>
      <c r="T760">
        <v>7.6366670000000001</v>
      </c>
      <c r="U760" s="1" t="s">
        <v>46</v>
      </c>
      <c r="V760">
        <v>2</v>
      </c>
      <c r="W760">
        <v>55</v>
      </c>
      <c r="X760">
        <v>2</v>
      </c>
      <c r="Y760">
        <v>119.1</v>
      </c>
      <c r="Z760">
        <v>3.2</v>
      </c>
    </row>
    <row r="761" spans="1:26">
      <c r="A761" s="2">
        <v>43928</v>
      </c>
      <c r="B761" s="4">
        <v>0.125</v>
      </c>
      <c r="C761" s="1" t="s">
        <v>48</v>
      </c>
      <c r="E761">
        <v>690</v>
      </c>
      <c r="F761">
        <v>-1</v>
      </c>
      <c r="G761">
        <v>66</v>
      </c>
      <c r="H761">
        <v>18</v>
      </c>
      <c r="I761">
        <v>17</v>
      </c>
      <c r="J761">
        <v>452</v>
      </c>
      <c r="K761">
        <v>19</v>
      </c>
      <c r="L761" s="1" t="s">
        <v>50</v>
      </c>
      <c r="N761" s="1" t="s">
        <v>37</v>
      </c>
      <c r="P761" s="1" t="s">
        <v>37</v>
      </c>
      <c r="R761" s="1" t="s">
        <v>37</v>
      </c>
      <c r="S761">
        <v>47.45176</v>
      </c>
      <c r="T761">
        <v>7.7024140000000001</v>
      </c>
      <c r="U761" s="1" t="s">
        <v>49</v>
      </c>
      <c r="V761">
        <v>13</v>
      </c>
      <c r="W761">
        <v>8</v>
      </c>
      <c r="X761">
        <v>0</v>
      </c>
      <c r="Y761">
        <v>240.42</v>
      </c>
      <c r="Z761">
        <v>6.62</v>
      </c>
    </row>
    <row r="762" spans="1:26">
      <c r="A762" s="2">
        <v>43928</v>
      </c>
      <c r="B762" s="4">
        <v>0.39583333333333331</v>
      </c>
      <c r="C762" s="1" t="s">
        <v>51</v>
      </c>
      <c r="D762">
        <v>235</v>
      </c>
      <c r="E762">
        <v>813</v>
      </c>
      <c r="F762">
        <v>2</v>
      </c>
      <c r="G762">
        <v>101</v>
      </c>
      <c r="H762">
        <v>13</v>
      </c>
      <c r="J762">
        <v>508</v>
      </c>
      <c r="K762">
        <v>28</v>
      </c>
      <c r="L762" s="1" t="s">
        <v>329</v>
      </c>
      <c r="M762">
        <v>442</v>
      </c>
      <c r="N762" s="1" t="s">
        <v>330</v>
      </c>
      <c r="P762" s="1" t="s">
        <v>37</v>
      </c>
      <c r="R762" s="1" t="s">
        <v>37</v>
      </c>
      <c r="S762">
        <v>47.564869000000002</v>
      </c>
      <c r="T762">
        <v>7.615259</v>
      </c>
      <c r="U762" s="1" t="s">
        <v>52</v>
      </c>
      <c r="V762">
        <v>12</v>
      </c>
      <c r="W762">
        <v>10</v>
      </c>
      <c r="X762">
        <v>2</v>
      </c>
      <c r="Y762">
        <v>419.29</v>
      </c>
      <c r="Z762">
        <v>14.44</v>
      </c>
    </row>
    <row r="763" spans="1:26">
      <c r="A763" s="2">
        <v>43928</v>
      </c>
      <c r="B763" s="4">
        <v>0.125</v>
      </c>
      <c r="C763" s="1" t="s">
        <v>54</v>
      </c>
      <c r="D763">
        <v>900</v>
      </c>
      <c r="E763">
        <v>78</v>
      </c>
      <c r="F763">
        <v>0</v>
      </c>
      <c r="J763">
        <v>1</v>
      </c>
      <c r="K763">
        <v>1</v>
      </c>
      <c r="L763" s="1" t="s">
        <v>437</v>
      </c>
      <c r="N763" s="1" t="s">
        <v>37</v>
      </c>
      <c r="P763" s="1" t="s">
        <v>37</v>
      </c>
      <c r="R763" s="1" t="s">
        <v>37</v>
      </c>
      <c r="S763">
        <v>47.166666999999997</v>
      </c>
      <c r="T763">
        <v>9.509722</v>
      </c>
      <c r="U763" s="1" t="s">
        <v>55</v>
      </c>
      <c r="V763">
        <v>0</v>
      </c>
      <c r="W763">
        <v>1</v>
      </c>
      <c r="X763">
        <v>0</v>
      </c>
      <c r="Y763">
        <v>202.07</v>
      </c>
      <c r="Z763">
        <v>2.5910000000000002</v>
      </c>
    </row>
    <row r="764" spans="1:26">
      <c r="A764" s="2">
        <v>43928</v>
      </c>
      <c r="B764" s="4">
        <v>0.125</v>
      </c>
      <c r="C764" s="1" t="s">
        <v>57</v>
      </c>
      <c r="D764">
        <v>30</v>
      </c>
      <c r="E764">
        <v>729</v>
      </c>
      <c r="F764">
        <v>-9</v>
      </c>
      <c r="G764">
        <v>78</v>
      </c>
      <c r="H764">
        <v>22</v>
      </c>
      <c r="J764">
        <v>73</v>
      </c>
      <c r="K764">
        <v>44</v>
      </c>
      <c r="L764" s="1" t="s">
        <v>59</v>
      </c>
      <c r="N764" s="1" t="s">
        <v>37</v>
      </c>
      <c r="P764" s="1" t="s">
        <v>37</v>
      </c>
      <c r="R764" s="1" t="s">
        <v>37</v>
      </c>
      <c r="S764">
        <v>46.718390999999997</v>
      </c>
      <c r="T764">
        <v>7.0740080000000001</v>
      </c>
      <c r="U764" s="1" t="s">
        <v>58</v>
      </c>
      <c r="V764">
        <v>10</v>
      </c>
      <c r="W764">
        <v>40</v>
      </c>
      <c r="X764">
        <v>3</v>
      </c>
      <c r="Y764">
        <v>231.36</v>
      </c>
      <c r="Z764">
        <v>13.964</v>
      </c>
    </row>
    <row r="765" spans="1:26">
      <c r="A765" s="2">
        <v>43928</v>
      </c>
      <c r="B765" s="4">
        <v>0.125</v>
      </c>
      <c r="C765" s="1" t="s">
        <v>60</v>
      </c>
      <c r="D765">
        <v>16643</v>
      </c>
      <c r="E765">
        <v>3974</v>
      </c>
      <c r="F765">
        <v>-6</v>
      </c>
      <c r="G765">
        <v>412</v>
      </c>
      <c r="H765">
        <v>51</v>
      </c>
      <c r="I765">
        <v>48</v>
      </c>
      <c r="J765">
        <v>374</v>
      </c>
      <c r="K765">
        <v>127</v>
      </c>
      <c r="L765" s="1" t="s">
        <v>62</v>
      </c>
      <c r="N765" s="1" t="s">
        <v>37</v>
      </c>
      <c r="P765" s="1" t="s">
        <v>37</v>
      </c>
      <c r="Q765">
        <v>21</v>
      </c>
      <c r="R765" s="1" t="s">
        <v>37</v>
      </c>
      <c r="S765">
        <v>46.220528000000002</v>
      </c>
      <c r="T765">
        <v>6.1329349999999998</v>
      </c>
      <c r="U765" s="1" t="s">
        <v>61</v>
      </c>
      <c r="V765">
        <v>25</v>
      </c>
      <c r="W765">
        <v>160</v>
      </c>
      <c r="X765">
        <v>11</v>
      </c>
      <c r="Y765">
        <v>802.5</v>
      </c>
      <c r="Z765">
        <v>25.646000000000001</v>
      </c>
    </row>
    <row r="766" spans="1:26">
      <c r="A766" s="2">
        <v>43928</v>
      </c>
      <c r="B766" s="4">
        <v>0.54166666666666663</v>
      </c>
      <c r="C766" s="1" t="s">
        <v>63</v>
      </c>
      <c r="E766">
        <v>63</v>
      </c>
      <c r="F766">
        <v>0</v>
      </c>
      <c r="G766">
        <v>2</v>
      </c>
      <c r="K766">
        <v>2</v>
      </c>
      <c r="L766" s="1" t="s">
        <v>65</v>
      </c>
      <c r="N766" s="1" t="s">
        <v>37</v>
      </c>
      <c r="P766" s="1" t="s">
        <v>37</v>
      </c>
      <c r="R766" s="1" t="s">
        <v>37</v>
      </c>
      <c r="S766">
        <v>46.931042000000005</v>
      </c>
      <c r="T766">
        <v>9.0657510000000006</v>
      </c>
      <c r="U766" s="1" t="s">
        <v>64</v>
      </c>
      <c r="V766">
        <v>8</v>
      </c>
      <c r="W766">
        <v>0</v>
      </c>
      <c r="X766">
        <v>0</v>
      </c>
      <c r="Y766">
        <v>156.33000000000001</v>
      </c>
      <c r="Z766">
        <v>4.9630000000000001</v>
      </c>
    </row>
    <row r="767" spans="1:26">
      <c r="A767" s="2">
        <v>43928</v>
      </c>
      <c r="B767" s="4">
        <v>0.125</v>
      </c>
      <c r="C767" s="1" t="s">
        <v>66</v>
      </c>
      <c r="E767">
        <v>668</v>
      </c>
      <c r="F767">
        <v>-3</v>
      </c>
      <c r="G767">
        <v>49</v>
      </c>
      <c r="K767">
        <v>34</v>
      </c>
      <c r="L767" s="1" t="s">
        <v>68</v>
      </c>
      <c r="N767" s="1" t="s">
        <v>37</v>
      </c>
      <c r="P767" s="1" t="s">
        <v>37</v>
      </c>
      <c r="R767" s="1" t="s">
        <v>37</v>
      </c>
      <c r="S767">
        <v>46.656247999999998</v>
      </c>
      <c r="T767">
        <v>9.6281979999999994</v>
      </c>
      <c r="U767" s="1" t="s">
        <v>67</v>
      </c>
      <c r="V767">
        <v>1</v>
      </c>
      <c r="W767">
        <v>11</v>
      </c>
      <c r="X767">
        <v>3</v>
      </c>
      <c r="Y767">
        <v>337.54</v>
      </c>
      <c r="Z767">
        <v>17.18</v>
      </c>
    </row>
    <row r="768" spans="1:26">
      <c r="A768" s="2">
        <v>43928</v>
      </c>
      <c r="B768" s="4">
        <v>0.66666666666666663</v>
      </c>
      <c r="C768" s="1" t="s">
        <v>69</v>
      </c>
      <c r="E768">
        <v>171</v>
      </c>
      <c r="F768">
        <v>1</v>
      </c>
      <c r="G768">
        <v>28</v>
      </c>
      <c r="H768">
        <v>4</v>
      </c>
      <c r="L768" s="1" t="s">
        <v>280</v>
      </c>
      <c r="N768" s="1" t="s">
        <v>37</v>
      </c>
      <c r="P768" s="1" t="s">
        <v>37</v>
      </c>
      <c r="R768" s="1" t="s">
        <v>37</v>
      </c>
      <c r="S768">
        <v>47.350743999999999</v>
      </c>
      <c r="T768">
        <v>7.1561070000000004</v>
      </c>
      <c r="U768" s="1" t="s">
        <v>70</v>
      </c>
      <c r="V768">
        <v>26</v>
      </c>
      <c r="W768">
        <v>7</v>
      </c>
      <c r="X768">
        <v>0</v>
      </c>
      <c r="Y768">
        <v>233.29</v>
      </c>
    </row>
    <row r="769" spans="1:26">
      <c r="A769" s="2">
        <v>43928</v>
      </c>
      <c r="B769" s="4">
        <v>0.45833333333333331</v>
      </c>
      <c r="C769" s="1" t="s">
        <v>71</v>
      </c>
      <c r="E769">
        <v>509</v>
      </c>
      <c r="F769">
        <v>-4</v>
      </c>
      <c r="G769">
        <v>57</v>
      </c>
      <c r="H769">
        <v>6</v>
      </c>
      <c r="K769">
        <v>9</v>
      </c>
      <c r="L769" s="1" t="s">
        <v>73</v>
      </c>
      <c r="N769" s="1" t="s">
        <v>37</v>
      </c>
      <c r="P769" s="1" t="s">
        <v>37</v>
      </c>
      <c r="R769" s="1" t="s">
        <v>37</v>
      </c>
      <c r="S769">
        <v>47.067762999999999</v>
      </c>
      <c r="T769">
        <v>8.1102000000000007</v>
      </c>
      <c r="U769" s="1" t="s">
        <v>72</v>
      </c>
      <c r="V769">
        <v>3</v>
      </c>
      <c r="W769">
        <v>12</v>
      </c>
      <c r="X769">
        <v>0</v>
      </c>
      <c r="Y769">
        <v>125.22</v>
      </c>
      <c r="Z769">
        <v>2.214</v>
      </c>
    </row>
    <row r="770" spans="1:26">
      <c r="A770" s="2">
        <v>43928</v>
      </c>
      <c r="B770" s="4">
        <v>0.66666666666666663</v>
      </c>
      <c r="C770" s="1" t="s">
        <v>74</v>
      </c>
      <c r="E770">
        <v>513</v>
      </c>
      <c r="F770">
        <v>5</v>
      </c>
      <c r="G770">
        <v>64</v>
      </c>
      <c r="H770">
        <v>10</v>
      </c>
      <c r="I770">
        <v>5</v>
      </c>
      <c r="K770">
        <v>36</v>
      </c>
      <c r="L770" s="1" t="s">
        <v>76</v>
      </c>
      <c r="N770" s="1" t="s">
        <v>37</v>
      </c>
      <c r="P770" s="1" t="s">
        <v>37</v>
      </c>
      <c r="R770" s="1" t="s">
        <v>37</v>
      </c>
      <c r="S770">
        <v>46.995533999999999</v>
      </c>
      <c r="T770">
        <v>6.7801260000000001</v>
      </c>
      <c r="U770" s="1" t="s">
        <v>75</v>
      </c>
      <c r="V770">
        <v>24</v>
      </c>
      <c r="W770">
        <v>25</v>
      </c>
      <c r="X770">
        <v>2</v>
      </c>
      <c r="Y770">
        <v>288.2</v>
      </c>
      <c r="Z770">
        <v>20.225000000000001</v>
      </c>
    </row>
    <row r="771" spans="1:26">
      <c r="A771" s="2">
        <v>43928</v>
      </c>
      <c r="B771" s="4">
        <v>0.65625</v>
      </c>
      <c r="C771" s="1" t="s">
        <v>77</v>
      </c>
      <c r="E771">
        <v>87</v>
      </c>
      <c r="F771">
        <v>1</v>
      </c>
      <c r="G771">
        <v>10</v>
      </c>
      <c r="H771">
        <v>2</v>
      </c>
      <c r="K771">
        <v>0</v>
      </c>
      <c r="L771" s="1" t="s">
        <v>79</v>
      </c>
      <c r="N771" s="1" t="s">
        <v>37</v>
      </c>
      <c r="P771" s="1" t="s">
        <v>37</v>
      </c>
      <c r="R771" s="1" t="s">
        <v>37</v>
      </c>
      <c r="S771">
        <v>46.926755</v>
      </c>
      <c r="T771">
        <v>8.4053020000000007</v>
      </c>
      <c r="U771" s="1" t="s">
        <v>78</v>
      </c>
      <c r="V771">
        <v>7</v>
      </c>
      <c r="W771">
        <v>1</v>
      </c>
      <c r="X771">
        <v>0</v>
      </c>
      <c r="Y771">
        <v>202.33</v>
      </c>
      <c r="Z771">
        <v>0</v>
      </c>
    </row>
    <row r="772" spans="1:26">
      <c r="A772" s="2">
        <v>43928</v>
      </c>
      <c r="B772" s="4">
        <v>0.60416666666666663</v>
      </c>
      <c r="C772" s="1" t="s">
        <v>80</v>
      </c>
      <c r="D772">
        <v>6</v>
      </c>
      <c r="E772">
        <v>60</v>
      </c>
      <c r="F772">
        <v>0</v>
      </c>
      <c r="G772">
        <v>2</v>
      </c>
      <c r="J772">
        <v>1</v>
      </c>
      <c r="K772">
        <v>0</v>
      </c>
      <c r="L772" s="1" t="s">
        <v>82</v>
      </c>
      <c r="N772" s="1" t="s">
        <v>37</v>
      </c>
      <c r="P772" s="1" t="s">
        <v>37</v>
      </c>
      <c r="R772" s="1" t="s">
        <v>37</v>
      </c>
      <c r="S772">
        <v>46.804527</v>
      </c>
      <c r="T772">
        <v>8.1443170000000009</v>
      </c>
      <c r="U772" s="1" t="s">
        <v>81</v>
      </c>
      <c r="V772">
        <v>6</v>
      </c>
      <c r="W772">
        <v>0</v>
      </c>
      <c r="X772">
        <v>0</v>
      </c>
      <c r="Y772">
        <v>159.57</v>
      </c>
      <c r="Z772">
        <v>0</v>
      </c>
    </row>
    <row r="773" spans="1:26">
      <c r="A773" s="2">
        <v>43928</v>
      </c>
      <c r="B773" s="4">
        <v>0.125</v>
      </c>
      <c r="C773" s="1" t="s">
        <v>83</v>
      </c>
      <c r="E773">
        <v>557</v>
      </c>
      <c r="F773">
        <v>-5</v>
      </c>
      <c r="G773">
        <v>65</v>
      </c>
      <c r="H773">
        <v>9</v>
      </c>
      <c r="J773">
        <v>79</v>
      </c>
      <c r="K773">
        <v>13</v>
      </c>
      <c r="L773" s="1" t="s">
        <v>85</v>
      </c>
      <c r="N773" s="1" t="s">
        <v>37</v>
      </c>
      <c r="P773" s="1" t="s">
        <v>37</v>
      </c>
      <c r="R773" s="1" t="s">
        <v>37</v>
      </c>
      <c r="S773">
        <v>47.183199999999999</v>
      </c>
      <c r="T773">
        <v>9.2747440000000001</v>
      </c>
      <c r="U773" s="1" t="s">
        <v>84</v>
      </c>
      <c r="V773">
        <v>17</v>
      </c>
      <c r="W773">
        <v>25</v>
      </c>
      <c r="X773">
        <v>2</v>
      </c>
      <c r="Y773">
        <v>110.36</v>
      </c>
      <c r="Z773">
        <v>2.5760000000000001</v>
      </c>
    </row>
    <row r="774" spans="1:26">
      <c r="A774" s="2">
        <v>43928</v>
      </c>
      <c r="B774" s="4">
        <v>0.39583333333333331</v>
      </c>
      <c r="C774" s="1" t="s">
        <v>86</v>
      </c>
      <c r="E774">
        <v>50</v>
      </c>
      <c r="F774">
        <v>-1</v>
      </c>
      <c r="G774">
        <v>14</v>
      </c>
      <c r="H774">
        <v>3</v>
      </c>
      <c r="K774">
        <v>1</v>
      </c>
      <c r="L774" s="1" t="s">
        <v>88</v>
      </c>
      <c r="N774" s="1" t="s">
        <v>37</v>
      </c>
      <c r="P774" s="1" t="s">
        <v>37</v>
      </c>
      <c r="R774" s="1" t="s">
        <v>37</v>
      </c>
      <c r="S774">
        <v>47.713569999999997</v>
      </c>
      <c r="T774">
        <v>8.5916700000000006</v>
      </c>
      <c r="U774" s="1" t="s">
        <v>87</v>
      </c>
      <c r="V774">
        <v>14</v>
      </c>
      <c r="W774">
        <v>0</v>
      </c>
      <c r="X774">
        <v>0</v>
      </c>
      <c r="Y774">
        <v>61.43</v>
      </c>
      <c r="Z774">
        <v>1.2290000000000001</v>
      </c>
    </row>
    <row r="775" spans="1:26">
      <c r="A775" s="2">
        <v>43928</v>
      </c>
      <c r="B775" s="4">
        <v>0.125</v>
      </c>
      <c r="C775" s="1" t="s">
        <v>89</v>
      </c>
      <c r="E775">
        <v>264</v>
      </c>
      <c r="F775">
        <v>3</v>
      </c>
      <c r="G775">
        <v>29</v>
      </c>
      <c r="K775">
        <v>3</v>
      </c>
      <c r="L775" s="1" t="s">
        <v>91</v>
      </c>
      <c r="N775" s="1" t="s">
        <v>37</v>
      </c>
      <c r="P775" s="1" t="s">
        <v>37</v>
      </c>
      <c r="R775" s="1" t="s">
        <v>37</v>
      </c>
      <c r="S775">
        <v>47.304135000000002</v>
      </c>
      <c r="T775">
        <v>7.6393880000000003</v>
      </c>
      <c r="U775" s="1" t="s">
        <v>90</v>
      </c>
      <c r="V775">
        <v>11</v>
      </c>
      <c r="W775">
        <v>3</v>
      </c>
      <c r="X775">
        <v>0</v>
      </c>
      <c r="Y775">
        <v>97.27</v>
      </c>
      <c r="Z775">
        <v>1.105</v>
      </c>
    </row>
    <row r="776" spans="1:26">
      <c r="A776" s="2">
        <v>43928</v>
      </c>
      <c r="B776" s="4">
        <v>0.125</v>
      </c>
      <c r="C776" s="1" t="s">
        <v>92</v>
      </c>
      <c r="D776">
        <v>10</v>
      </c>
      <c r="E776">
        <v>185</v>
      </c>
      <c r="F776">
        <v>0</v>
      </c>
      <c r="G776">
        <v>1</v>
      </c>
      <c r="J776">
        <v>105</v>
      </c>
      <c r="K776">
        <v>7</v>
      </c>
      <c r="L776" s="1" t="s">
        <v>267</v>
      </c>
      <c r="N776" s="1" t="s">
        <v>37</v>
      </c>
      <c r="P776" s="1" t="s">
        <v>37</v>
      </c>
      <c r="R776" s="1" t="s">
        <v>37</v>
      </c>
      <c r="S776">
        <v>47.061787000000002</v>
      </c>
      <c r="T776">
        <v>8.7565849999999994</v>
      </c>
      <c r="U776" s="1" t="s">
        <v>93</v>
      </c>
      <c r="V776">
        <v>5</v>
      </c>
      <c r="W776">
        <v>7</v>
      </c>
      <c r="X776">
        <v>1</v>
      </c>
      <c r="Y776">
        <v>117.61</v>
      </c>
      <c r="Z776">
        <v>4.45</v>
      </c>
    </row>
    <row r="777" spans="1:26">
      <c r="A777" s="2">
        <v>43928</v>
      </c>
      <c r="B777" s="4">
        <v>0.125</v>
      </c>
      <c r="C777" s="1" t="s">
        <v>95</v>
      </c>
      <c r="D777">
        <v>276</v>
      </c>
      <c r="E777">
        <v>221</v>
      </c>
      <c r="F777">
        <v>-1</v>
      </c>
      <c r="G777">
        <v>33</v>
      </c>
      <c r="H777">
        <v>13</v>
      </c>
      <c r="K777">
        <v>8</v>
      </c>
      <c r="L777" s="1" t="s">
        <v>97</v>
      </c>
      <c r="N777" s="1" t="s">
        <v>37</v>
      </c>
      <c r="P777" s="1" t="s">
        <v>37</v>
      </c>
      <c r="R777" s="1" t="s">
        <v>37</v>
      </c>
      <c r="S777">
        <v>47.568714999999997</v>
      </c>
      <c r="T777">
        <v>9.0919570000000007</v>
      </c>
      <c r="U777" s="1" t="s">
        <v>96</v>
      </c>
      <c r="V777">
        <v>1</v>
      </c>
      <c r="W777">
        <v>2</v>
      </c>
      <c r="X777">
        <v>1</v>
      </c>
      <c r="Y777">
        <v>80.72</v>
      </c>
      <c r="Z777">
        <v>2.9220000000000002</v>
      </c>
    </row>
    <row r="778" spans="1:26">
      <c r="A778" s="2">
        <v>43928</v>
      </c>
      <c r="B778" s="4">
        <v>0.33333333333333331</v>
      </c>
      <c r="C778" s="1" t="s">
        <v>98</v>
      </c>
      <c r="E778">
        <v>2599</v>
      </c>
      <c r="F778">
        <v>0</v>
      </c>
      <c r="G778">
        <v>357</v>
      </c>
      <c r="H778">
        <v>72</v>
      </c>
      <c r="I778">
        <v>62</v>
      </c>
      <c r="J778">
        <v>350</v>
      </c>
      <c r="K778">
        <v>198</v>
      </c>
      <c r="L778" s="1" t="s">
        <v>331</v>
      </c>
      <c r="N778" s="1" t="s">
        <v>37</v>
      </c>
      <c r="P778" s="1" t="s">
        <v>37</v>
      </c>
      <c r="R778" s="1" t="s">
        <v>37</v>
      </c>
      <c r="S778">
        <v>46.295617</v>
      </c>
      <c r="T778">
        <v>8.8089239999999993</v>
      </c>
      <c r="U778" s="1" t="s">
        <v>99</v>
      </c>
      <c r="V778">
        <v>21</v>
      </c>
      <c r="W778">
        <v>53</v>
      </c>
      <c r="X778">
        <v>9</v>
      </c>
      <c r="Y778">
        <v>734.8</v>
      </c>
      <c r="Z778">
        <v>55.98</v>
      </c>
    </row>
    <row r="779" spans="1:26">
      <c r="A779" s="2">
        <v>43928</v>
      </c>
      <c r="B779" s="4">
        <v>0.58333333333333337</v>
      </c>
      <c r="C779" s="1" t="s">
        <v>101</v>
      </c>
      <c r="D779">
        <v>85</v>
      </c>
      <c r="E779">
        <v>68</v>
      </c>
      <c r="F779">
        <v>-2</v>
      </c>
      <c r="G779">
        <v>7</v>
      </c>
      <c r="J779">
        <v>42</v>
      </c>
      <c r="K779">
        <v>2</v>
      </c>
      <c r="L779" s="1" t="s">
        <v>238</v>
      </c>
      <c r="N779" s="1" t="s">
        <v>37</v>
      </c>
      <c r="P779" s="1" t="s">
        <v>37</v>
      </c>
      <c r="R779" s="1" t="s">
        <v>37</v>
      </c>
      <c r="S779">
        <v>46.771849000000003</v>
      </c>
      <c r="T779">
        <v>8.6285860000000003</v>
      </c>
      <c r="U779" s="1" t="s">
        <v>102</v>
      </c>
      <c r="V779">
        <v>4</v>
      </c>
      <c r="W779">
        <v>1</v>
      </c>
      <c r="X779">
        <v>0</v>
      </c>
      <c r="Y779">
        <v>187.33</v>
      </c>
      <c r="Z779">
        <v>5.51</v>
      </c>
    </row>
    <row r="780" spans="1:26">
      <c r="A780" s="2">
        <v>43928</v>
      </c>
      <c r="B780" s="4">
        <v>0.125</v>
      </c>
      <c r="C780" s="1" t="s">
        <v>104</v>
      </c>
      <c r="E780">
        <v>4308</v>
      </c>
      <c r="F780">
        <v>-26</v>
      </c>
      <c r="G780">
        <v>340</v>
      </c>
      <c r="H780">
        <v>68</v>
      </c>
      <c r="J780">
        <v>225</v>
      </c>
      <c r="K780">
        <v>202</v>
      </c>
      <c r="L780" s="1" t="s">
        <v>106</v>
      </c>
      <c r="N780" s="1" t="s">
        <v>37</v>
      </c>
      <c r="P780" s="1" t="s">
        <v>37</v>
      </c>
      <c r="R780" s="1" t="s">
        <v>37</v>
      </c>
      <c r="S780">
        <v>46.570090999999998</v>
      </c>
      <c r="T780">
        <v>6.5578090000000007</v>
      </c>
      <c r="U780" s="1" t="s">
        <v>105</v>
      </c>
      <c r="V780">
        <v>22</v>
      </c>
      <c r="W780">
        <v>75</v>
      </c>
      <c r="X780">
        <v>12</v>
      </c>
      <c r="Y780">
        <v>543.17999999999995</v>
      </c>
      <c r="Z780">
        <v>25.47</v>
      </c>
    </row>
    <row r="781" spans="1:26">
      <c r="A781" s="2">
        <v>43928</v>
      </c>
      <c r="B781" s="4">
        <v>0.625</v>
      </c>
      <c r="C781" s="1" t="s">
        <v>107</v>
      </c>
      <c r="E781">
        <v>1536</v>
      </c>
      <c r="F781">
        <v>-3</v>
      </c>
      <c r="G781">
        <v>131</v>
      </c>
      <c r="H781">
        <v>25</v>
      </c>
      <c r="I781">
        <v>20</v>
      </c>
      <c r="J781">
        <v>123</v>
      </c>
      <c r="K781">
        <v>68</v>
      </c>
      <c r="L781" s="1" t="s">
        <v>412</v>
      </c>
      <c r="N781" s="1" t="s">
        <v>37</v>
      </c>
      <c r="P781" s="1" t="s">
        <v>37</v>
      </c>
      <c r="R781" s="1" t="s">
        <v>37</v>
      </c>
      <c r="S781">
        <v>46.209567</v>
      </c>
      <c r="T781">
        <v>7.6046589999999998</v>
      </c>
      <c r="U781" s="1" t="s">
        <v>108</v>
      </c>
      <c r="V781">
        <v>23</v>
      </c>
      <c r="W781">
        <v>39</v>
      </c>
      <c r="X781">
        <v>8</v>
      </c>
      <c r="Y781">
        <v>449.78</v>
      </c>
      <c r="Z781">
        <v>19.911999999999999</v>
      </c>
    </row>
    <row r="782" spans="1:26">
      <c r="A782" s="2">
        <v>43928</v>
      </c>
      <c r="B782" s="4">
        <v>0.33333333333333331</v>
      </c>
      <c r="C782" s="1" t="s">
        <v>109</v>
      </c>
      <c r="E782">
        <v>162</v>
      </c>
      <c r="F782">
        <v>-3</v>
      </c>
      <c r="G782">
        <v>12</v>
      </c>
      <c r="H782">
        <v>9</v>
      </c>
      <c r="J782">
        <v>54</v>
      </c>
      <c r="K782">
        <v>3</v>
      </c>
      <c r="L782" s="1" t="s">
        <v>502</v>
      </c>
      <c r="N782" s="1" t="s">
        <v>37</v>
      </c>
      <c r="P782" s="1" t="s">
        <v>37</v>
      </c>
      <c r="R782" s="1" t="s">
        <v>37</v>
      </c>
      <c r="S782">
        <v>47.157296000000002</v>
      </c>
      <c r="T782">
        <v>8.5372939999999993</v>
      </c>
      <c r="U782" s="1" t="s">
        <v>110</v>
      </c>
      <c r="V782">
        <v>9</v>
      </c>
      <c r="W782">
        <v>5</v>
      </c>
      <c r="X782">
        <v>0</v>
      </c>
      <c r="Y782">
        <v>129.19</v>
      </c>
      <c r="Z782">
        <v>2.3919999999999999</v>
      </c>
    </row>
    <row r="783" spans="1:26">
      <c r="A783" s="2">
        <v>43928</v>
      </c>
      <c r="B783" s="4">
        <v>0.60416666666666663</v>
      </c>
      <c r="C783" s="1" t="s">
        <v>111</v>
      </c>
      <c r="E783">
        <v>2695</v>
      </c>
      <c r="F783">
        <v>-17</v>
      </c>
      <c r="G783">
        <v>181</v>
      </c>
      <c r="I783">
        <v>60</v>
      </c>
      <c r="K783">
        <v>57</v>
      </c>
      <c r="L783" s="1" t="s">
        <v>113</v>
      </c>
      <c r="N783" s="1" t="s">
        <v>37</v>
      </c>
      <c r="P783" s="1" t="s">
        <v>37</v>
      </c>
      <c r="R783" s="1" t="s">
        <v>37</v>
      </c>
      <c r="S783">
        <v>47.412750000000003</v>
      </c>
      <c r="T783">
        <v>8.6550799999999999</v>
      </c>
      <c r="U783" s="1" t="s">
        <v>112</v>
      </c>
      <c r="V783">
        <v>1</v>
      </c>
      <c r="W783">
        <v>84</v>
      </c>
      <c r="X783">
        <v>2</v>
      </c>
      <c r="Y783">
        <v>179.15</v>
      </c>
      <c r="Z783">
        <v>3.7890000000000001</v>
      </c>
    </row>
    <row r="784" spans="1:26">
      <c r="A784" s="2">
        <v>43929</v>
      </c>
      <c r="B784" s="4">
        <v>0.61458333333333337</v>
      </c>
      <c r="C784" s="1" t="s">
        <v>35</v>
      </c>
      <c r="E784">
        <v>788</v>
      </c>
      <c r="F784">
        <v>-5</v>
      </c>
      <c r="G784">
        <v>79</v>
      </c>
      <c r="H784">
        <v>23</v>
      </c>
      <c r="I784">
        <v>23</v>
      </c>
      <c r="J784">
        <v>220</v>
      </c>
      <c r="K784">
        <v>16</v>
      </c>
      <c r="L784" s="1" t="s">
        <v>332</v>
      </c>
      <c r="N784" s="1" t="s">
        <v>37</v>
      </c>
      <c r="P784" s="1" t="s">
        <v>37</v>
      </c>
      <c r="R784" s="1" t="s">
        <v>37</v>
      </c>
      <c r="S784">
        <v>47.409660000000002</v>
      </c>
      <c r="T784">
        <v>8.1568799999999992</v>
      </c>
      <c r="U784" s="1" t="s">
        <v>36</v>
      </c>
      <c r="V784">
        <v>1</v>
      </c>
      <c r="W784">
        <v>28</v>
      </c>
      <c r="X784">
        <v>0</v>
      </c>
      <c r="Y784">
        <v>117.44</v>
      </c>
      <c r="Z784">
        <v>2.3849999999999998</v>
      </c>
    </row>
    <row r="785" spans="1:26">
      <c r="A785" s="2">
        <v>43929</v>
      </c>
      <c r="B785" s="4">
        <v>0.45833333333333331</v>
      </c>
      <c r="C785" s="1" t="s">
        <v>39</v>
      </c>
      <c r="E785">
        <v>23</v>
      </c>
      <c r="F785">
        <v>0</v>
      </c>
      <c r="G785">
        <v>1</v>
      </c>
      <c r="L785" s="1" t="s">
        <v>41</v>
      </c>
      <c r="N785" s="1" t="s">
        <v>37</v>
      </c>
      <c r="P785" s="1" t="s">
        <v>37</v>
      </c>
      <c r="R785" s="1" t="s">
        <v>37</v>
      </c>
      <c r="S785">
        <v>47.317264000000002</v>
      </c>
      <c r="T785">
        <v>9.4167539999999992</v>
      </c>
      <c r="U785" s="1" t="s">
        <v>40</v>
      </c>
      <c r="V785">
        <v>16</v>
      </c>
      <c r="W785">
        <v>2</v>
      </c>
      <c r="X785">
        <v>0</v>
      </c>
      <c r="Y785">
        <v>142.86000000000001</v>
      </c>
    </row>
    <row r="786" spans="1:26">
      <c r="A786" s="2">
        <v>43929</v>
      </c>
      <c r="B786" s="4">
        <v>0.33333333333333331</v>
      </c>
      <c r="C786" s="1" t="s">
        <v>42</v>
      </c>
      <c r="E786">
        <v>72</v>
      </c>
      <c r="F786">
        <v>0</v>
      </c>
      <c r="G786">
        <v>6</v>
      </c>
      <c r="K786">
        <v>3</v>
      </c>
      <c r="L786" s="1" t="s">
        <v>44</v>
      </c>
      <c r="N786" s="1" t="s">
        <v>37</v>
      </c>
      <c r="P786" s="1" t="s">
        <v>37</v>
      </c>
      <c r="R786" s="1" t="s">
        <v>37</v>
      </c>
      <c r="S786">
        <v>47.416351999999996</v>
      </c>
      <c r="T786">
        <v>9.3679100000000002</v>
      </c>
      <c r="U786" s="1" t="s">
        <v>43</v>
      </c>
      <c r="V786">
        <v>15</v>
      </c>
      <c r="W786">
        <v>3</v>
      </c>
      <c r="X786">
        <v>0</v>
      </c>
      <c r="Y786">
        <v>130.43</v>
      </c>
      <c r="Z786">
        <v>5.4349999999999996</v>
      </c>
    </row>
    <row r="787" spans="1:26">
      <c r="A787" s="2">
        <v>43929</v>
      </c>
      <c r="B787" s="4">
        <v>0.33333333333333331</v>
      </c>
      <c r="C787" s="1" t="s">
        <v>45</v>
      </c>
      <c r="E787">
        <v>1286</v>
      </c>
      <c r="F787">
        <v>5</v>
      </c>
      <c r="G787">
        <v>127</v>
      </c>
      <c r="H787">
        <v>35</v>
      </c>
      <c r="I787">
        <v>27</v>
      </c>
      <c r="K787">
        <v>37</v>
      </c>
      <c r="L787" s="1" t="s">
        <v>47</v>
      </c>
      <c r="N787" s="1" t="s">
        <v>37</v>
      </c>
      <c r="P787" s="1" t="s">
        <v>37</v>
      </c>
      <c r="R787" s="1" t="s">
        <v>37</v>
      </c>
      <c r="S787">
        <v>46.823608</v>
      </c>
      <c r="T787">
        <v>7.6366670000000001</v>
      </c>
      <c r="U787" s="1" t="s">
        <v>46</v>
      </c>
      <c r="V787">
        <v>2</v>
      </c>
      <c r="W787">
        <v>58</v>
      </c>
      <c r="X787">
        <v>4</v>
      </c>
      <c r="Y787">
        <v>124.72</v>
      </c>
      <c r="Z787">
        <v>3.5880000000000001</v>
      </c>
    </row>
    <row r="788" spans="1:26">
      <c r="A788" s="2">
        <v>43929</v>
      </c>
      <c r="B788" s="4">
        <v>0.125</v>
      </c>
      <c r="C788" s="1" t="s">
        <v>48</v>
      </c>
      <c r="E788">
        <v>694</v>
      </c>
      <c r="F788">
        <v>-1</v>
      </c>
      <c r="G788">
        <v>65</v>
      </c>
      <c r="H788">
        <v>18</v>
      </c>
      <c r="I788">
        <v>17</v>
      </c>
      <c r="J788">
        <v>461</v>
      </c>
      <c r="K788">
        <v>21</v>
      </c>
      <c r="L788" s="1" t="s">
        <v>50</v>
      </c>
      <c r="N788" s="1" t="s">
        <v>37</v>
      </c>
      <c r="P788" s="1" t="s">
        <v>37</v>
      </c>
      <c r="R788" s="1" t="s">
        <v>37</v>
      </c>
      <c r="S788">
        <v>47.45176</v>
      </c>
      <c r="T788">
        <v>7.7024140000000001</v>
      </c>
      <c r="U788" s="1" t="s">
        <v>49</v>
      </c>
      <c r="V788">
        <v>13</v>
      </c>
      <c r="W788">
        <v>4</v>
      </c>
      <c r="X788">
        <v>2</v>
      </c>
      <c r="Y788">
        <v>241.81</v>
      </c>
      <c r="Z788">
        <v>7.3170000000000002</v>
      </c>
    </row>
    <row r="789" spans="1:26">
      <c r="A789" s="2">
        <v>43929</v>
      </c>
      <c r="B789" s="4">
        <v>0.41666666666666669</v>
      </c>
      <c r="C789" s="1" t="s">
        <v>51</v>
      </c>
      <c r="D789">
        <v>235</v>
      </c>
      <c r="E789">
        <v>834</v>
      </c>
      <c r="F789">
        <v>-2</v>
      </c>
      <c r="G789">
        <v>99</v>
      </c>
      <c r="H789">
        <v>14</v>
      </c>
      <c r="J789">
        <v>535</v>
      </c>
      <c r="K789">
        <v>31</v>
      </c>
      <c r="L789" s="1" t="s">
        <v>333</v>
      </c>
      <c r="M789">
        <v>459</v>
      </c>
      <c r="N789" s="1" t="s">
        <v>334</v>
      </c>
      <c r="P789" s="1" t="s">
        <v>37</v>
      </c>
      <c r="R789" s="1" t="s">
        <v>37</v>
      </c>
      <c r="S789">
        <v>47.564869000000002</v>
      </c>
      <c r="T789">
        <v>7.615259</v>
      </c>
      <c r="U789" s="1" t="s">
        <v>52</v>
      </c>
      <c r="V789">
        <v>12</v>
      </c>
      <c r="W789">
        <v>21</v>
      </c>
      <c r="X789">
        <v>3</v>
      </c>
      <c r="Y789">
        <v>430.12</v>
      </c>
      <c r="Z789">
        <v>15.988</v>
      </c>
    </row>
    <row r="790" spans="1:26">
      <c r="A790" s="2">
        <v>43929</v>
      </c>
      <c r="B790" s="4">
        <v>0.125</v>
      </c>
      <c r="C790" s="1" t="s">
        <v>57</v>
      </c>
      <c r="D790">
        <v>30</v>
      </c>
      <c r="E790">
        <v>756</v>
      </c>
      <c r="F790">
        <v>2</v>
      </c>
      <c r="G790">
        <v>80</v>
      </c>
      <c r="H790">
        <v>22</v>
      </c>
      <c r="J790">
        <v>78</v>
      </c>
      <c r="K790">
        <v>45</v>
      </c>
      <c r="L790" s="1" t="s">
        <v>59</v>
      </c>
      <c r="N790" s="1" t="s">
        <v>37</v>
      </c>
      <c r="P790" s="1" t="s">
        <v>37</v>
      </c>
      <c r="R790" s="1" t="s">
        <v>37</v>
      </c>
      <c r="S790">
        <v>46.718390999999997</v>
      </c>
      <c r="T790">
        <v>7.0740080000000001</v>
      </c>
      <c r="U790" s="1" t="s">
        <v>58</v>
      </c>
      <c r="V790">
        <v>10</v>
      </c>
      <c r="W790">
        <v>27</v>
      </c>
      <c r="X790">
        <v>1</v>
      </c>
      <c r="Y790">
        <v>239.92</v>
      </c>
      <c r="Z790">
        <v>14.281000000000001</v>
      </c>
    </row>
    <row r="791" spans="1:26">
      <c r="A791" s="2">
        <v>43929</v>
      </c>
      <c r="B791" s="4">
        <v>0.125</v>
      </c>
      <c r="C791" s="1" t="s">
        <v>60</v>
      </c>
      <c r="D791">
        <v>17464</v>
      </c>
      <c r="E791">
        <v>4105</v>
      </c>
      <c r="F791">
        <v>-10</v>
      </c>
      <c r="G791">
        <v>402</v>
      </c>
      <c r="H791">
        <v>49</v>
      </c>
      <c r="I791">
        <v>47</v>
      </c>
      <c r="J791">
        <v>442</v>
      </c>
      <c r="K791">
        <v>140</v>
      </c>
      <c r="L791" s="1" t="s">
        <v>62</v>
      </c>
      <c r="N791" s="1" t="s">
        <v>37</v>
      </c>
      <c r="P791" s="1" t="s">
        <v>37</v>
      </c>
      <c r="Q791">
        <v>21</v>
      </c>
      <c r="R791" s="1" t="s">
        <v>37</v>
      </c>
      <c r="S791">
        <v>46.220528000000002</v>
      </c>
      <c r="T791">
        <v>6.1329349999999998</v>
      </c>
      <c r="U791" s="1" t="s">
        <v>61</v>
      </c>
      <c r="V791">
        <v>25</v>
      </c>
      <c r="W791">
        <v>131</v>
      </c>
      <c r="X791">
        <v>13</v>
      </c>
      <c r="Y791">
        <v>828.96</v>
      </c>
      <c r="Z791">
        <v>28.271000000000001</v>
      </c>
    </row>
    <row r="792" spans="1:26">
      <c r="A792" s="2">
        <v>43929</v>
      </c>
      <c r="B792" s="4">
        <v>0.54166666666666663</v>
      </c>
      <c r="C792" s="1" t="s">
        <v>63</v>
      </c>
      <c r="E792">
        <v>64</v>
      </c>
      <c r="F792">
        <v>0</v>
      </c>
      <c r="G792">
        <v>2</v>
      </c>
      <c r="K792">
        <v>2</v>
      </c>
      <c r="L792" s="1" t="s">
        <v>65</v>
      </c>
      <c r="N792" s="1" t="s">
        <v>37</v>
      </c>
      <c r="P792" s="1" t="s">
        <v>37</v>
      </c>
      <c r="R792" s="1" t="s">
        <v>37</v>
      </c>
      <c r="S792">
        <v>46.931042000000005</v>
      </c>
      <c r="T792">
        <v>9.0657510000000006</v>
      </c>
      <c r="U792" s="1" t="s">
        <v>64</v>
      </c>
      <c r="V792">
        <v>8</v>
      </c>
      <c r="W792">
        <v>1</v>
      </c>
      <c r="X792">
        <v>0</v>
      </c>
      <c r="Y792">
        <v>158.81</v>
      </c>
      <c r="Z792">
        <v>4.9630000000000001</v>
      </c>
    </row>
    <row r="793" spans="1:26">
      <c r="A793" s="2">
        <v>43929</v>
      </c>
      <c r="B793" s="4">
        <v>0.125</v>
      </c>
      <c r="C793" s="1" t="s">
        <v>66</v>
      </c>
      <c r="E793">
        <v>680</v>
      </c>
      <c r="F793">
        <v>-11</v>
      </c>
      <c r="G793">
        <v>38</v>
      </c>
      <c r="K793">
        <v>35</v>
      </c>
      <c r="L793" s="1" t="s">
        <v>68</v>
      </c>
      <c r="N793" s="1" t="s">
        <v>37</v>
      </c>
      <c r="P793" s="1" t="s">
        <v>37</v>
      </c>
      <c r="R793" s="1" t="s">
        <v>37</v>
      </c>
      <c r="S793">
        <v>46.656247999999998</v>
      </c>
      <c r="T793">
        <v>9.6281979999999994</v>
      </c>
      <c r="U793" s="1" t="s">
        <v>67</v>
      </c>
      <c r="V793">
        <v>1</v>
      </c>
      <c r="W793">
        <v>12</v>
      </c>
      <c r="X793">
        <v>1</v>
      </c>
      <c r="Y793">
        <v>343.61</v>
      </c>
      <c r="Z793">
        <v>17.686</v>
      </c>
    </row>
    <row r="794" spans="1:26">
      <c r="A794" s="2">
        <v>43929</v>
      </c>
      <c r="B794" s="4">
        <v>0.66666666666666663</v>
      </c>
      <c r="C794" s="1" t="s">
        <v>69</v>
      </c>
      <c r="E794">
        <v>174</v>
      </c>
      <c r="F794">
        <v>3</v>
      </c>
      <c r="G794">
        <v>31</v>
      </c>
      <c r="H794">
        <v>4</v>
      </c>
      <c r="K794">
        <v>1</v>
      </c>
      <c r="L794" s="1" t="s">
        <v>280</v>
      </c>
      <c r="N794" s="1" t="s">
        <v>37</v>
      </c>
      <c r="P794" s="1" t="s">
        <v>37</v>
      </c>
      <c r="R794" s="1" t="s">
        <v>37</v>
      </c>
      <c r="S794">
        <v>47.350743999999999</v>
      </c>
      <c r="T794">
        <v>7.1561070000000004</v>
      </c>
      <c r="U794" s="1" t="s">
        <v>70</v>
      </c>
      <c r="V794">
        <v>26</v>
      </c>
      <c r="W794">
        <v>3</v>
      </c>
      <c r="X794">
        <v>0</v>
      </c>
      <c r="Y794">
        <v>237.38</v>
      </c>
      <c r="Z794">
        <v>1.3640000000000001</v>
      </c>
    </row>
    <row r="795" spans="1:26">
      <c r="A795" s="2">
        <v>43929</v>
      </c>
      <c r="B795" s="4">
        <v>0.45833333333333331</v>
      </c>
      <c r="C795" s="1" t="s">
        <v>71</v>
      </c>
      <c r="E795">
        <v>527</v>
      </c>
      <c r="F795">
        <v>0</v>
      </c>
      <c r="G795">
        <v>57</v>
      </c>
      <c r="H795">
        <v>6</v>
      </c>
      <c r="K795">
        <v>9</v>
      </c>
      <c r="L795" s="1" t="s">
        <v>73</v>
      </c>
      <c r="N795" s="1" t="s">
        <v>37</v>
      </c>
      <c r="P795" s="1" t="s">
        <v>37</v>
      </c>
      <c r="R795" s="1" t="s">
        <v>37</v>
      </c>
      <c r="S795">
        <v>47.067762999999999</v>
      </c>
      <c r="T795">
        <v>8.1102000000000007</v>
      </c>
      <c r="U795" s="1" t="s">
        <v>72</v>
      </c>
      <c r="V795">
        <v>3</v>
      </c>
      <c r="W795">
        <v>18</v>
      </c>
      <c r="X795">
        <v>0</v>
      </c>
      <c r="Y795">
        <v>129.63999999999999</v>
      </c>
      <c r="Z795">
        <v>2.214</v>
      </c>
    </row>
    <row r="796" spans="1:26">
      <c r="A796" s="2">
        <v>43929</v>
      </c>
      <c r="B796" s="4">
        <v>0.66666666666666663</v>
      </c>
      <c r="C796" s="1" t="s">
        <v>74</v>
      </c>
      <c r="E796">
        <v>518</v>
      </c>
      <c r="F796">
        <v>-1</v>
      </c>
      <c r="G796">
        <v>63</v>
      </c>
      <c r="H796">
        <v>10</v>
      </c>
      <c r="I796">
        <v>7</v>
      </c>
      <c r="K796">
        <v>39</v>
      </c>
      <c r="L796" s="1" t="s">
        <v>76</v>
      </c>
      <c r="N796" s="1" t="s">
        <v>37</v>
      </c>
      <c r="P796" s="1" t="s">
        <v>37</v>
      </c>
      <c r="R796" s="1" t="s">
        <v>37</v>
      </c>
      <c r="S796">
        <v>46.995533999999999</v>
      </c>
      <c r="T796">
        <v>6.7801260000000001</v>
      </c>
      <c r="U796" s="1" t="s">
        <v>75</v>
      </c>
      <c r="V796">
        <v>24</v>
      </c>
      <c r="W796">
        <v>5</v>
      </c>
      <c r="X796">
        <v>3</v>
      </c>
      <c r="Y796">
        <v>291.01</v>
      </c>
      <c r="Z796">
        <v>21.91</v>
      </c>
    </row>
    <row r="797" spans="1:26">
      <c r="A797" s="2">
        <v>43929</v>
      </c>
      <c r="B797" s="4">
        <v>0.74305555555555558</v>
      </c>
      <c r="C797" s="1" t="s">
        <v>77</v>
      </c>
      <c r="E797">
        <v>93</v>
      </c>
      <c r="F797">
        <v>-3</v>
      </c>
      <c r="G797">
        <v>7</v>
      </c>
      <c r="H797">
        <v>1</v>
      </c>
      <c r="K797">
        <v>0</v>
      </c>
      <c r="L797" s="1" t="s">
        <v>79</v>
      </c>
      <c r="N797" s="1" t="s">
        <v>37</v>
      </c>
      <c r="P797" s="1" t="s">
        <v>37</v>
      </c>
      <c r="R797" s="1" t="s">
        <v>37</v>
      </c>
      <c r="S797">
        <v>46.926755</v>
      </c>
      <c r="T797">
        <v>8.4053020000000007</v>
      </c>
      <c r="U797" s="1" t="s">
        <v>78</v>
      </c>
      <c r="V797">
        <v>7</v>
      </c>
      <c r="W797">
        <v>6</v>
      </c>
      <c r="X797">
        <v>0</v>
      </c>
      <c r="Y797">
        <v>216.28</v>
      </c>
      <c r="Z797">
        <v>0</v>
      </c>
    </row>
    <row r="798" spans="1:26">
      <c r="A798" s="2">
        <v>43929</v>
      </c>
      <c r="B798" s="4">
        <v>0.625</v>
      </c>
      <c r="C798" s="1" t="s">
        <v>80</v>
      </c>
      <c r="D798">
        <v>6</v>
      </c>
      <c r="E798">
        <v>61</v>
      </c>
      <c r="F798">
        <v>0</v>
      </c>
      <c r="G798">
        <v>2</v>
      </c>
      <c r="J798">
        <v>1</v>
      </c>
      <c r="K798">
        <v>0</v>
      </c>
      <c r="L798" s="1" t="s">
        <v>82</v>
      </c>
      <c r="N798" s="1" t="s">
        <v>37</v>
      </c>
      <c r="P798" s="1" t="s">
        <v>37</v>
      </c>
      <c r="R798" s="1" t="s">
        <v>37</v>
      </c>
      <c r="S798">
        <v>46.804527</v>
      </c>
      <c r="T798">
        <v>8.1443170000000009</v>
      </c>
      <c r="U798" s="1" t="s">
        <v>81</v>
      </c>
      <c r="V798">
        <v>6</v>
      </c>
      <c r="W798">
        <v>1</v>
      </c>
      <c r="X798">
        <v>0</v>
      </c>
      <c r="Y798">
        <v>162.22999999999999</v>
      </c>
      <c r="Z798">
        <v>0</v>
      </c>
    </row>
    <row r="799" spans="1:26">
      <c r="A799" s="2">
        <v>43929</v>
      </c>
      <c r="B799" s="4">
        <v>0.125</v>
      </c>
      <c r="C799" s="1" t="s">
        <v>83</v>
      </c>
      <c r="E799">
        <v>578</v>
      </c>
      <c r="F799">
        <v>-13</v>
      </c>
      <c r="G799">
        <v>52</v>
      </c>
      <c r="H799">
        <v>12</v>
      </c>
      <c r="J799">
        <v>89</v>
      </c>
      <c r="K799">
        <v>15</v>
      </c>
      <c r="L799" s="1" t="s">
        <v>85</v>
      </c>
      <c r="N799" s="1" t="s">
        <v>37</v>
      </c>
      <c r="P799" s="1" t="s">
        <v>37</v>
      </c>
      <c r="R799" s="1" t="s">
        <v>37</v>
      </c>
      <c r="S799">
        <v>47.183199999999999</v>
      </c>
      <c r="T799">
        <v>9.2747440000000001</v>
      </c>
      <c r="U799" s="1" t="s">
        <v>84</v>
      </c>
      <c r="V799">
        <v>17</v>
      </c>
      <c r="W799">
        <v>21</v>
      </c>
      <c r="X799">
        <v>2</v>
      </c>
      <c r="Y799">
        <v>114.52</v>
      </c>
      <c r="Z799">
        <v>2.972</v>
      </c>
    </row>
    <row r="800" spans="1:26">
      <c r="A800" s="2">
        <v>43929</v>
      </c>
      <c r="B800" s="4">
        <v>0.39583333333333331</v>
      </c>
      <c r="C800" s="1" t="s">
        <v>86</v>
      </c>
      <c r="E800">
        <v>50</v>
      </c>
      <c r="F800">
        <v>1</v>
      </c>
      <c r="G800">
        <v>15</v>
      </c>
      <c r="H800">
        <v>2</v>
      </c>
      <c r="K800">
        <v>1</v>
      </c>
      <c r="L800" s="1" t="s">
        <v>88</v>
      </c>
      <c r="N800" s="1" t="s">
        <v>37</v>
      </c>
      <c r="P800" s="1" t="s">
        <v>37</v>
      </c>
      <c r="R800" s="1" t="s">
        <v>37</v>
      </c>
      <c r="S800">
        <v>47.713569999999997</v>
      </c>
      <c r="T800">
        <v>8.5916700000000006</v>
      </c>
      <c r="U800" s="1" t="s">
        <v>87</v>
      </c>
      <c r="V800">
        <v>14</v>
      </c>
      <c r="W800">
        <v>0</v>
      </c>
      <c r="X800">
        <v>0</v>
      </c>
      <c r="Y800">
        <v>61.43</v>
      </c>
      <c r="Z800">
        <v>1.2290000000000001</v>
      </c>
    </row>
    <row r="801" spans="1:26">
      <c r="A801" s="2">
        <v>43929</v>
      </c>
      <c r="B801" s="4">
        <v>0.125</v>
      </c>
      <c r="C801" s="1" t="s">
        <v>89</v>
      </c>
      <c r="E801">
        <v>276</v>
      </c>
      <c r="F801">
        <v>-7</v>
      </c>
      <c r="G801">
        <v>22</v>
      </c>
      <c r="K801">
        <v>3</v>
      </c>
      <c r="L801" s="1" t="s">
        <v>91</v>
      </c>
      <c r="N801" s="1" t="s">
        <v>37</v>
      </c>
      <c r="P801" s="1" t="s">
        <v>37</v>
      </c>
      <c r="R801" s="1" t="s">
        <v>37</v>
      </c>
      <c r="S801">
        <v>47.304135000000002</v>
      </c>
      <c r="T801">
        <v>7.6393880000000003</v>
      </c>
      <c r="U801" s="1" t="s">
        <v>90</v>
      </c>
      <c r="V801">
        <v>11</v>
      </c>
      <c r="W801">
        <v>12</v>
      </c>
      <c r="X801">
        <v>0</v>
      </c>
      <c r="Y801">
        <v>101.69</v>
      </c>
      <c r="Z801">
        <v>1.105</v>
      </c>
    </row>
    <row r="802" spans="1:26">
      <c r="A802" s="2">
        <v>43929</v>
      </c>
      <c r="B802" s="4">
        <v>0.125</v>
      </c>
      <c r="C802" s="1" t="s">
        <v>92</v>
      </c>
      <c r="D802">
        <v>10</v>
      </c>
      <c r="E802">
        <v>196</v>
      </c>
      <c r="F802">
        <v>0</v>
      </c>
      <c r="G802">
        <v>1</v>
      </c>
      <c r="J802">
        <v>107</v>
      </c>
      <c r="K802">
        <v>7</v>
      </c>
      <c r="L802" s="1" t="s">
        <v>267</v>
      </c>
      <c r="N802" s="1" t="s">
        <v>37</v>
      </c>
      <c r="P802" s="1" t="s">
        <v>37</v>
      </c>
      <c r="R802" s="1" t="s">
        <v>37</v>
      </c>
      <c r="S802">
        <v>47.061787000000002</v>
      </c>
      <c r="T802">
        <v>8.7565849999999994</v>
      </c>
      <c r="U802" s="1" t="s">
        <v>93</v>
      </c>
      <c r="V802">
        <v>5</v>
      </c>
      <c r="W802">
        <v>11</v>
      </c>
      <c r="X802">
        <v>0</v>
      </c>
      <c r="Y802">
        <v>124.6</v>
      </c>
      <c r="Z802">
        <v>4.45</v>
      </c>
    </row>
    <row r="803" spans="1:26">
      <c r="A803" s="2">
        <v>43929</v>
      </c>
      <c r="B803" s="4">
        <v>0.125</v>
      </c>
      <c r="C803" s="1" t="s">
        <v>95</v>
      </c>
      <c r="D803">
        <v>276</v>
      </c>
      <c r="E803">
        <v>236</v>
      </c>
      <c r="F803">
        <v>-3</v>
      </c>
      <c r="G803">
        <v>30</v>
      </c>
      <c r="H803">
        <v>15</v>
      </c>
      <c r="K803">
        <v>8</v>
      </c>
      <c r="L803" s="1" t="s">
        <v>97</v>
      </c>
      <c r="N803" s="1" t="s">
        <v>37</v>
      </c>
      <c r="P803" s="1" t="s">
        <v>37</v>
      </c>
      <c r="R803" s="1" t="s">
        <v>37</v>
      </c>
      <c r="S803">
        <v>47.568714999999997</v>
      </c>
      <c r="T803">
        <v>9.0919570000000007</v>
      </c>
      <c r="U803" s="1" t="s">
        <v>96</v>
      </c>
      <c r="V803">
        <v>1</v>
      </c>
      <c r="W803">
        <v>15</v>
      </c>
      <c r="X803">
        <v>0</v>
      </c>
      <c r="Y803">
        <v>86.19</v>
      </c>
      <c r="Z803">
        <v>2.9220000000000002</v>
      </c>
    </row>
    <row r="804" spans="1:26">
      <c r="A804" s="2">
        <v>43929</v>
      </c>
      <c r="B804" s="4">
        <v>0.33333333333333331</v>
      </c>
      <c r="C804" s="1" t="s">
        <v>98</v>
      </c>
      <c r="E804">
        <v>2659</v>
      </c>
      <c r="F804">
        <v>-38</v>
      </c>
      <c r="G804">
        <v>319</v>
      </c>
      <c r="H804">
        <v>71</v>
      </c>
      <c r="I804">
        <v>64</v>
      </c>
      <c r="J804">
        <v>420</v>
      </c>
      <c r="K804">
        <v>211</v>
      </c>
      <c r="L804" s="1" t="s">
        <v>335</v>
      </c>
      <c r="N804" s="1" t="s">
        <v>37</v>
      </c>
      <c r="P804" s="1" t="s">
        <v>37</v>
      </c>
      <c r="R804" s="1" t="s">
        <v>37</v>
      </c>
      <c r="S804">
        <v>46.295617</v>
      </c>
      <c r="T804">
        <v>8.8089239999999993</v>
      </c>
      <c r="U804" s="1" t="s">
        <v>99</v>
      </c>
      <c r="V804">
        <v>21</v>
      </c>
      <c r="W804">
        <v>60</v>
      </c>
      <c r="X804">
        <v>13</v>
      </c>
      <c r="Y804">
        <v>751.77</v>
      </c>
      <c r="Z804">
        <v>59.655000000000001</v>
      </c>
    </row>
    <row r="805" spans="1:26">
      <c r="A805" s="2">
        <v>43929</v>
      </c>
      <c r="B805" s="4">
        <v>0.58333333333333337</v>
      </c>
      <c r="C805" s="1" t="s">
        <v>101</v>
      </c>
      <c r="D805">
        <v>85</v>
      </c>
      <c r="E805">
        <v>72</v>
      </c>
      <c r="F805">
        <v>-2</v>
      </c>
      <c r="G805">
        <v>5</v>
      </c>
      <c r="J805">
        <v>42</v>
      </c>
      <c r="K805">
        <v>4</v>
      </c>
      <c r="L805" s="1" t="s">
        <v>103</v>
      </c>
      <c r="N805" s="1" t="s">
        <v>37</v>
      </c>
      <c r="P805" s="1" t="s">
        <v>37</v>
      </c>
      <c r="R805" s="1" t="s">
        <v>37</v>
      </c>
      <c r="S805">
        <v>46.771849000000003</v>
      </c>
      <c r="T805">
        <v>8.6285860000000003</v>
      </c>
      <c r="U805" s="1" t="s">
        <v>102</v>
      </c>
      <c r="V805">
        <v>4</v>
      </c>
      <c r="W805">
        <v>4</v>
      </c>
      <c r="X805">
        <v>2</v>
      </c>
      <c r="Y805">
        <v>198.35</v>
      </c>
      <c r="Z805">
        <v>11.019</v>
      </c>
    </row>
    <row r="806" spans="1:26">
      <c r="A806" s="2">
        <v>43929</v>
      </c>
      <c r="B806" s="4">
        <v>0.125</v>
      </c>
      <c r="C806" s="1" t="s">
        <v>104</v>
      </c>
      <c r="E806">
        <v>4384</v>
      </c>
      <c r="F806">
        <v>-7</v>
      </c>
      <c r="G806">
        <v>333</v>
      </c>
      <c r="H806">
        <v>67</v>
      </c>
      <c r="J806">
        <v>225</v>
      </c>
      <c r="K806">
        <v>214</v>
      </c>
      <c r="L806" s="1" t="s">
        <v>106</v>
      </c>
      <c r="N806" s="1" t="s">
        <v>37</v>
      </c>
      <c r="P806" s="1" t="s">
        <v>37</v>
      </c>
      <c r="R806" s="1" t="s">
        <v>37</v>
      </c>
      <c r="S806">
        <v>46.570090999999998</v>
      </c>
      <c r="T806">
        <v>6.5578090000000007</v>
      </c>
      <c r="U806" s="1" t="s">
        <v>105</v>
      </c>
      <c r="V806">
        <v>22</v>
      </c>
      <c r="W806">
        <v>76</v>
      </c>
      <c r="X806">
        <v>12</v>
      </c>
      <c r="Y806">
        <v>552.77</v>
      </c>
      <c r="Z806">
        <v>26.983000000000001</v>
      </c>
    </row>
    <row r="807" spans="1:26">
      <c r="A807" s="2">
        <v>43929</v>
      </c>
      <c r="B807" s="4">
        <v>0.625</v>
      </c>
      <c r="C807" s="1" t="s">
        <v>107</v>
      </c>
      <c r="E807">
        <v>1570</v>
      </c>
      <c r="F807">
        <v>-7</v>
      </c>
      <c r="G807">
        <v>124</v>
      </c>
      <c r="H807">
        <v>26</v>
      </c>
      <c r="I807">
        <v>20</v>
      </c>
      <c r="J807">
        <v>130</v>
      </c>
      <c r="K807">
        <v>71</v>
      </c>
      <c r="L807" s="1" t="s">
        <v>412</v>
      </c>
      <c r="N807" s="1" t="s">
        <v>37</v>
      </c>
      <c r="P807" s="1" t="s">
        <v>37</v>
      </c>
      <c r="R807" s="1" t="s">
        <v>37</v>
      </c>
      <c r="S807">
        <v>46.209567</v>
      </c>
      <c r="T807">
        <v>7.6046589999999998</v>
      </c>
      <c r="U807" s="1" t="s">
        <v>108</v>
      </c>
      <c r="V807">
        <v>23</v>
      </c>
      <c r="W807">
        <v>34</v>
      </c>
      <c r="X807">
        <v>3</v>
      </c>
      <c r="Y807">
        <v>459.74</v>
      </c>
      <c r="Z807">
        <v>20.791</v>
      </c>
    </row>
    <row r="808" spans="1:26">
      <c r="A808" s="2">
        <v>43929</v>
      </c>
      <c r="B808" s="4">
        <v>0.33333333333333331</v>
      </c>
      <c r="C808" s="1" t="s">
        <v>109</v>
      </c>
      <c r="E808">
        <v>165</v>
      </c>
      <c r="F808">
        <v>1</v>
      </c>
      <c r="G808">
        <v>13</v>
      </c>
      <c r="H808">
        <v>9</v>
      </c>
      <c r="J808">
        <v>61</v>
      </c>
      <c r="K808">
        <v>3</v>
      </c>
      <c r="L808" s="1" t="s">
        <v>502</v>
      </c>
      <c r="N808" s="1" t="s">
        <v>37</v>
      </c>
      <c r="P808" s="1" t="s">
        <v>37</v>
      </c>
      <c r="R808" s="1" t="s">
        <v>37</v>
      </c>
      <c r="S808">
        <v>47.157296000000002</v>
      </c>
      <c r="T808">
        <v>8.5372939999999993</v>
      </c>
      <c r="U808" s="1" t="s">
        <v>110</v>
      </c>
      <c r="V808">
        <v>9</v>
      </c>
      <c r="W808">
        <v>3</v>
      </c>
      <c r="X808">
        <v>0</v>
      </c>
      <c r="Y808">
        <v>131.58000000000001</v>
      </c>
      <c r="Z808">
        <v>2.3919999999999999</v>
      </c>
    </row>
    <row r="809" spans="1:26">
      <c r="A809" s="2">
        <v>43929</v>
      </c>
      <c r="B809" s="4">
        <v>0.60416666666666663</v>
      </c>
      <c r="C809" s="1" t="s">
        <v>111</v>
      </c>
      <c r="E809">
        <v>2790</v>
      </c>
      <c r="F809">
        <v>-11</v>
      </c>
      <c r="G809">
        <v>170</v>
      </c>
      <c r="I809">
        <v>56</v>
      </c>
      <c r="K809">
        <v>65</v>
      </c>
      <c r="L809" s="1" t="s">
        <v>113</v>
      </c>
      <c r="N809" s="1" t="s">
        <v>37</v>
      </c>
      <c r="P809" s="1" t="s">
        <v>37</v>
      </c>
      <c r="R809" s="1" t="s">
        <v>37</v>
      </c>
      <c r="S809">
        <v>47.412750000000003</v>
      </c>
      <c r="T809">
        <v>8.6550799999999999</v>
      </c>
      <c r="U809" s="1" t="s">
        <v>112</v>
      </c>
      <c r="V809">
        <v>1</v>
      </c>
      <c r="W809">
        <v>95</v>
      </c>
      <c r="X809">
        <v>8</v>
      </c>
      <c r="Y809">
        <v>185.47</v>
      </c>
      <c r="Z809">
        <v>4.3209999999999997</v>
      </c>
    </row>
    <row r="810" spans="1:26">
      <c r="A810" s="2">
        <v>43930</v>
      </c>
      <c r="B810" s="4">
        <v>0.61458333333333337</v>
      </c>
      <c r="C810" s="1" t="s">
        <v>35</v>
      </c>
      <c r="E810">
        <v>822</v>
      </c>
      <c r="F810">
        <v>8</v>
      </c>
      <c r="G810">
        <v>87</v>
      </c>
      <c r="H810">
        <v>22</v>
      </c>
      <c r="I810">
        <v>21</v>
      </c>
      <c r="J810">
        <v>250</v>
      </c>
      <c r="K810">
        <v>17</v>
      </c>
      <c r="L810" s="1" t="s">
        <v>38</v>
      </c>
      <c r="N810" s="1" t="s">
        <v>37</v>
      </c>
      <c r="P810" s="1" t="s">
        <v>37</v>
      </c>
      <c r="R810" s="1" t="s">
        <v>37</v>
      </c>
      <c r="S810">
        <v>47.409660000000002</v>
      </c>
      <c r="T810">
        <v>8.1568799999999992</v>
      </c>
      <c r="U810" s="1" t="s">
        <v>36</v>
      </c>
      <c r="V810">
        <v>1</v>
      </c>
      <c r="W810">
        <v>34</v>
      </c>
      <c r="X810">
        <v>1</v>
      </c>
      <c r="Y810">
        <v>122.5</v>
      </c>
      <c r="Z810">
        <v>2.5339999999999998</v>
      </c>
    </row>
    <row r="811" spans="1:26">
      <c r="A811" s="2">
        <v>43930</v>
      </c>
      <c r="B811" s="4">
        <v>0.45833333333333331</v>
      </c>
      <c r="C811" s="1" t="s">
        <v>39</v>
      </c>
      <c r="E811">
        <v>24</v>
      </c>
      <c r="F811">
        <v>0</v>
      </c>
      <c r="G811">
        <v>1</v>
      </c>
      <c r="L811" s="1" t="s">
        <v>41</v>
      </c>
      <c r="N811" s="1" t="s">
        <v>37</v>
      </c>
      <c r="P811" s="1" t="s">
        <v>37</v>
      </c>
      <c r="R811" s="1" t="s">
        <v>37</v>
      </c>
      <c r="S811">
        <v>47.317264000000002</v>
      </c>
      <c r="T811">
        <v>9.4167539999999992</v>
      </c>
      <c r="U811" s="1" t="s">
        <v>40</v>
      </c>
      <c r="V811">
        <v>16</v>
      </c>
      <c r="W811">
        <v>1</v>
      </c>
      <c r="X811">
        <v>0</v>
      </c>
      <c r="Y811">
        <v>149.07</v>
      </c>
    </row>
    <row r="812" spans="1:26">
      <c r="A812" s="2">
        <v>43930</v>
      </c>
      <c r="B812" s="4">
        <v>0.33333333333333331</v>
      </c>
      <c r="C812" s="1" t="s">
        <v>42</v>
      </c>
      <c r="E812">
        <v>74</v>
      </c>
      <c r="F812">
        <v>0</v>
      </c>
      <c r="G812">
        <v>6</v>
      </c>
      <c r="K812">
        <v>3</v>
      </c>
      <c r="L812" s="1" t="s">
        <v>44</v>
      </c>
      <c r="N812" s="1" t="s">
        <v>37</v>
      </c>
      <c r="P812" s="1" t="s">
        <v>37</v>
      </c>
      <c r="R812" s="1" t="s">
        <v>37</v>
      </c>
      <c r="S812">
        <v>47.416351999999996</v>
      </c>
      <c r="T812">
        <v>9.3679100000000002</v>
      </c>
      <c r="U812" s="1" t="s">
        <v>43</v>
      </c>
      <c r="V812">
        <v>15</v>
      </c>
      <c r="W812">
        <v>2</v>
      </c>
      <c r="X812">
        <v>0</v>
      </c>
      <c r="Y812">
        <v>134.06</v>
      </c>
      <c r="Z812">
        <v>5.4349999999999996</v>
      </c>
    </row>
    <row r="813" spans="1:26">
      <c r="A813" s="2">
        <v>43930</v>
      </c>
      <c r="B813" s="4">
        <v>0.33333333333333331</v>
      </c>
      <c r="C813" s="1" t="s">
        <v>45</v>
      </c>
      <c r="E813">
        <v>1335</v>
      </c>
      <c r="F813">
        <v>-10</v>
      </c>
      <c r="G813">
        <v>117</v>
      </c>
      <c r="H813">
        <v>36</v>
      </c>
      <c r="I813">
        <v>27</v>
      </c>
      <c r="K813">
        <v>38</v>
      </c>
      <c r="L813" s="1" t="s">
        <v>47</v>
      </c>
      <c r="N813" s="1" t="s">
        <v>37</v>
      </c>
      <c r="P813" s="1" t="s">
        <v>37</v>
      </c>
      <c r="R813" s="1" t="s">
        <v>37</v>
      </c>
      <c r="S813">
        <v>46.823608</v>
      </c>
      <c r="T813">
        <v>7.6366670000000001</v>
      </c>
      <c r="U813" s="1" t="s">
        <v>46</v>
      </c>
      <c r="V813">
        <v>2</v>
      </c>
      <c r="W813">
        <v>49</v>
      </c>
      <c r="X813">
        <v>1</v>
      </c>
      <c r="Y813">
        <v>129.47</v>
      </c>
      <c r="Z813">
        <v>3.6850000000000001</v>
      </c>
    </row>
    <row r="814" spans="1:26">
      <c r="A814" s="2">
        <v>43930</v>
      </c>
      <c r="B814" s="4">
        <v>0.125</v>
      </c>
      <c r="C814" s="1" t="s">
        <v>48</v>
      </c>
      <c r="E814">
        <v>711</v>
      </c>
      <c r="F814">
        <v>-3</v>
      </c>
      <c r="G814">
        <v>62</v>
      </c>
      <c r="H814">
        <v>18</v>
      </c>
      <c r="I814">
        <v>16</v>
      </c>
      <c r="J814">
        <v>485</v>
      </c>
      <c r="K814">
        <v>21</v>
      </c>
      <c r="L814" s="1" t="s">
        <v>50</v>
      </c>
      <c r="N814" s="1" t="s">
        <v>37</v>
      </c>
      <c r="P814" s="1" t="s">
        <v>37</v>
      </c>
      <c r="R814" s="1" t="s">
        <v>37</v>
      </c>
      <c r="S814">
        <v>47.45176</v>
      </c>
      <c r="T814">
        <v>7.7024140000000001</v>
      </c>
      <c r="U814" s="1" t="s">
        <v>49</v>
      </c>
      <c r="V814">
        <v>13</v>
      </c>
      <c r="W814">
        <v>17</v>
      </c>
      <c r="X814">
        <v>0</v>
      </c>
      <c r="Y814">
        <v>247.74</v>
      </c>
      <c r="Z814">
        <v>7.3170000000000002</v>
      </c>
    </row>
    <row r="815" spans="1:26">
      <c r="A815" s="2">
        <v>43930</v>
      </c>
      <c r="B815" s="4">
        <v>0.41666666666666669</v>
      </c>
      <c r="C815" s="1" t="s">
        <v>51</v>
      </c>
      <c r="D815">
        <v>235</v>
      </c>
      <c r="E815">
        <v>846</v>
      </c>
      <c r="F815">
        <v>-6</v>
      </c>
      <c r="G815">
        <v>93</v>
      </c>
      <c r="H815">
        <v>13</v>
      </c>
      <c r="J815">
        <v>572</v>
      </c>
      <c r="K815">
        <v>33</v>
      </c>
      <c r="L815" s="1" t="s">
        <v>53</v>
      </c>
      <c r="M815">
        <v>466</v>
      </c>
      <c r="N815" s="1" t="s">
        <v>278</v>
      </c>
      <c r="P815" s="1" t="s">
        <v>37</v>
      </c>
      <c r="R815" s="1" t="s">
        <v>37</v>
      </c>
      <c r="S815">
        <v>47.564869000000002</v>
      </c>
      <c r="T815">
        <v>7.615259</v>
      </c>
      <c r="U815" s="1" t="s">
        <v>52</v>
      </c>
      <c r="V815">
        <v>12</v>
      </c>
      <c r="W815">
        <v>12</v>
      </c>
      <c r="X815">
        <v>2</v>
      </c>
      <c r="Y815">
        <v>436.31</v>
      </c>
      <c r="Z815">
        <v>17.018999999999998</v>
      </c>
    </row>
    <row r="816" spans="1:26">
      <c r="A816" s="2">
        <v>43930</v>
      </c>
      <c r="B816" s="4">
        <v>0.625</v>
      </c>
      <c r="C816" s="1" t="s">
        <v>57</v>
      </c>
      <c r="D816">
        <v>30</v>
      </c>
      <c r="E816">
        <v>786</v>
      </c>
      <c r="F816">
        <v>0</v>
      </c>
      <c r="G816">
        <v>80</v>
      </c>
      <c r="H816">
        <v>20</v>
      </c>
      <c r="J816">
        <v>84</v>
      </c>
      <c r="K816">
        <v>46</v>
      </c>
      <c r="L816" s="1" t="s">
        <v>59</v>
      </c>
      <c r="N816" s="1" t="s">
        <v>37</v>
      </c>
      <c r="P816" s="1" t="s">
        <v>37</v>
      </c>
      <c r="R816" s="1" t="s">
        <v>37</v>
      </c>
      <c r="S816">
        <v>46.718390999999997</v>
      </c>
      <c r="T816">
        <v>7.0740080000000001</v>
      </c>
      <c r="U816" s="1" t="s">
        <v>58</v>
      </c>
      <c r="V816">
        <v>10</v>
      </c>
      <c r="W816">
        <v>30</v>
      </c>
      <c r="X816">
        <v>1</v>
      </c>
      <c r="Y816">
        <v>249.44</v>
      </c>
      <c r="Z816">
        <v>14.599</v>
      </c>
    </row>
    <row r="817" spans="1:26">
      <c r="A817" s="2">
        <v>43930</v>
      </c>
      <c r="B817" s="4">
        <v>0.125</v>
      </c>
      <c r="C817" s="1" t="s">
        <v>60</v>
      </c>
      <c r="D817">
        <v>17986</v>
      </c>
      <c r="E817">
        <v>4198</v>
      </c>
      <c r="F817">
        <v>-9</v>
      </c>
      <c r="G817">
        <v>393</v>
      </c>
      <c r="H817">
        <v>47</v>
      </c>
      <c r="I817">
        <v>45</v>
      </c>
      <c r="J817">
        <v>442</v>
      </c>
      <c r="K817">
        <v>149</v>
      </c>
      <c r="L817" s="1" t="s">
        <v>62</v>
      </c>
      <c r="N817" s="1" t="s">
        <v>37</v>
      </c>
      <c r="P817" s="1" t="s">
        <v>37</v>
      </c>
      <c r="Q817">
        <v>27</v>
      </c>
      <c r="R817" s="1" t="s">
        <v>37</v>
      </c>
      <c r="S817">
        <v>46.220528000000002</v>
      </c>
      <c r="T817">
        <v>6.1329349999999998</v>
      </c>
      <c r="U817" s="1" t="s">
        <v>61</v>
      </c>
      <c r="V817">
        <v>25</v>
      </c>
      <c r="W817">
        <v>93</v>
      </c>
      <c r="X817">
        <v>9</v>
      </c>
      <c r="Y817">
        <v>847.74</v>
      </c>
      <c r="Z817">
        <v>30.088999999999999</v>
      </c>
    </row>
    <row r="818" spans="1:26">
      <c r="A818" s="2">
        <v>43930</v>
      </c>
      <c r="B818" s="4">
        <v>0.54166666666666663</v>
      </c>
      <c r="C818" s="1" t="s">
        <v>63</v>
      </c>
      <c r="E818">
        <v>67</v>
      </c>
      <c r="F818">
        <v>0</v>
      </c>
      <c r="G818">
        <v>2</v>
      </c>
      <c r="K818">
        <v>2</v>
      </c>
      <c r="L818" s="1" t="s">
        <v>65</v>
      </c>
      <c r="N818" s="1" t="s">
        <v>37</v>
      </c>
      <c r="P818" s="1" t="s">
        <v>37</v>
      </c>
      <c r="R818" s="1" t="s">
        <v>37</v>
      </c>
      <c r="S818">
        <v>46.931042000000005</v>
      </c>
      <c r="T818">
        <v>9.0657510000000006</v>
      </c>
      <c r="U818" s="1" t="s">
        <v>64</v>
      </c>
      <c r="V818">
        <v>8</v>
      </c>
      <c r="W818">
        <v>3</v>
      </c>
      <c r="X818">
        <v>0</v>
      </c>
      <c r="Y818">
        <v>166.25</v>
      </c>
      <c r="Z818">
        <v>4.9630000000000001</v>
      </c>
    </row>
    <row r="819" spans="1:26">
      <c r="A819" s="2">
        <v>43930</v>
      </c>
      <c r="B819" s="4">
        <v>0.125</v>
      </c>
      <c r="C819" s="1" t="s">
        <v>66</v>
      </c>
      <c r="E819">
        <v>704</v>
      </c>
      <c r="F819">
        <v>1</v>
      </c>
      <c r="G819">
        <v>39</v>
      </c>
      <c r="K819">
        <v>35</v>
      </c>
      <c r="L819" s="1" t="s">
        <v>68</v>
      </c>
      <c r="N819" s="1" t="s">
        <v>37</v>
      </c>
      <c r="P819" s="1" t="s">
        <v>37</v>
      </c>
      <c r="R819" s="1" t="s">
        <v>37</v>
      </c>
      <c r="S819">
        <v>46.656247999999998</v>
      </c>
      <c r="T819">
        <v>9.6281979999999994</v>
      </c>
      <c r="U819" s="1" t="s">
        <v>67</v>
      </c>
      <c r="V819">
        <v>1</v>
      </c>
      <c r="W819">
        <v>24</v>
      </c>
      <c r="X819">
        <v>0</v>
      </c>
      <c r="Y819">
        <v>355.74</v>
      </c>
      <c r="Z819">
        <v>17.686</v>
      </c>
    </row>
    <row r="820" spans="1:26">
      <c r="A820" s="2">
        <v>43930</v>
      </c>
      <c r="B820" s="4">
        <v>0.66666666666666663</v>
      </c>
      <c r="C820" s="1" t="s">
        <v>69</v>
      </c>
      <c r="E820">
        <v>179</v>
      </c>
      <c r="F820">
        <v>-3</v>
      </c>
      <c r="G820">
        <v>28</v>
      </c>
      <c r="H820">
        <v>5</v>
      </c>
      <c r="K820">
        <v>1</v>
      </c>
      <c r="L820" s="1" t="s">
        <v>280</v>
      </c>
      <c r="N820" s="1" t="s">
        <v>37</v>
      </c>
      <c r="P820" s="1" t="s">
        <v>37</v>
      </c>
      <c r="R820" s="1" t="s">
        <v>37</v>
      </c>
      <c r="S820">
        <v>47.350743999999999</v>
      </c>
      <c r="T820">
        <v>7.1561070000000004</v>
      </c>
      <c r="U820" s="1" t="s">
        <v>70</v>
      </c>
      <c r="V820">
        <v>26</v>
      </c>
      <c r="W820">
        <v>5</v>
      </c>
      <c r="X820">
        <v>0</v>
      </c>
      <c r="Y820">
        <v>244.2</v>
      </c>
      <c r="Z820">
        <v>1.3640000000000001</v>
      </c>
    </row>
    <row r="821" spans="1:26">
      <c r="A821" s="2">
        <v>43930</v>
      </c>
      <c r="B821" s="4">
        <v>0.54166666666666663</v>
      </c>
      <c r="C821" s="1" t="s">
        <v>71</v>
      </c>
      <c r="E821">
        <v>542</v>
      </c>
      <c r="F821">
        <v>0</v>
      </c>
      <c r="G821">
        <v>62</v>
      </c>
      <c r="H821">
        <v>6</v>
      </c>
      <c r="K821">
        <v>9</v>
      </c>
      <c r="L821" s="1" t="s">
        <v>73</v>
      </c>
      <c r="N821" s="1" t="s">
        <v>37</v>
      </c>
      <c r="P821" s="1" t="s">
        <v>37</v>
      </c>
      <c r="R821" s="1" t="s">
        <v>37</v>
      </c>
      <c r="S821">
        <v>47.067762999999999</v>
      </c>
      <c r="T821">
        <v>8.1102000000000007</v>
      </c>
      <c r="U821" s="1" t="s">
        <v>72</v>
      </c>
      <c r="V821">
        <v>3</v>
      </c>
      <c r="W821">
        <v>15</v>
      </c>
      <c r="X821">
        <v>0</v>
      </c>
      <c r="Y821">
        <v>133.33000000000001</v>
      </c>
      <c r="Z821">
        <v>2.214</v>
      </c>
    </row>
    <row r="822" spans="1:26">
      <c r="A822" s="2">
        <v>43930</v>
      </c>
      <c r="B822" s="4">
        <v>0.66666666666666663</v>
      </c>
      <c r="C822" s="1" t="s">
        <v>74</v>
      </c>
      <c r="E822">
        <v>550</v>
      </c>
      <c r="F822">
        <v>-5</v>
      </c>
      <c r="G822">
        <v>58</v>
      </c>
      <c r="H822">
        <v>10</v>
      </c>
      <c r="I822">
        <v>7</v>
      </c>
      <c r="K822">
        <v>40</v>
      </c>
      <c r="L822" s="1" t="s">
        <v>76</v>
      </c>
      <c r="N822" s="1" t="s">
        <v>37</v>
      </c>
      <c r="P822" s="1" t="s">
        <v>37</v>
      </c>
      <c r="R822" s="1" t="s">
        <v>37</v>
      </c>
      <c r="S822">
        <v>46.995533999999999</v>
      </c>
      <c r="T822">
        <v>6.7801260000000001</v>
      </c>
      <c r="U822" s="1" t="s">
        <v>75</v>
      </c>
      <c r="V822">
        <v>24</v>
      </c>
      <c r="W822">
        <v>32</v>
      </c>
      <c r="X822">
        <v>1</v>
      </c>
      <c r="Y822">
        <v>308.99</v>
      </c>
      <c r="Z822">
        <v>22.472000000000001</v>
      </c>
    </row>
    <row r="823" spans="1:26">
      <c r="A823" s="2">
        <v>43930</v>
      </c>
      <c r="B823" s="4">
        <v>0.64583333333333337</v>
      </c>
      <c r="C823" s="1" t="s">
        <v>77</v>
      </c>
      <c r="E823">
        <v>96</v>
      </c>
      <c r="F823">
        <v>1</v>
      </c>
      <c r="G823">
        <v>8</v>
      </c>
      <c r="H823">
        <v>1</v>
      </c>
      <c r="K823">
        <v>0</v>
      </c>
      <c r="L823" s="1" t="s">
        <v>79</v>
      </c>
      <c r="N823" s="1" t="s">
        <v>37</v>
      </c>
      <c r="P823" s="1" t="s">
        <v>37</v>
      </c>
      <c r="R823" s="1" t="s">
        <v>37</v>
      </c>
      <c r="S823">
        <v>46.926755</v>
      </c>
      <c r="T823">
        <v>8.4053020000000007</v>
      </c>
      <c r="U823" s="1" t="s">
        <v>78</v>
      </c>
      <c r="V823">
        <v>7</v>
      </c>
      <c r="W823">
        <v>3</v>
      </c>
      <c r="X823">
        <v>0</v>
      </c>
      <c r="Y823">
        <v>223.26</v>
      </c>
      <c r="Z823">
        <v>0</v>
      </c>
    </row>
    <row r="824" spans="1:26">
      <c r="A824" s="2">
        <v>43930</v>
      </c>
      <c r="B824" s="4">
        <v>0.625</v>
      </c>
      <c r="C824" s="1" t="s">
        <v>80</v>
      </c>
      <c r="D824">
        <v>6</v>
      </c>
      <c r="E824">
        <v>62</v>
      </c>
      <c r="F824">
        <v>-1</v>
      </c>
      <c r="G824">
        <v>1</v>
      </c>
      <c r="J824">
        <v>1</v>
      </c>
      <c r="K824">
        <v>0</v>
      </c>
      <c r="L824" s="1" t="s">
        <v>82</v>
      </c>
      <c r="N824" s="1" t="s">
        <v>37</v>
      </c>
      <c r="P824" s="1" t="s">
        <v>37</v>
      </c>
      <c r="R824" s="1" t="s">
        <v>37</v>
      </c>
      <c r="S824">
        <v>46.804527</v>
      </c>
      <c r="T824">
        <v>8.1443170000000009</v>
      </c>
      <c r="U824" s="1" t="s">
        <v>81</v>
      </c>
      <c r="V824">
        <v>6</v>
      </c>
      <c r="W824">
        <v>1</v>
      </c>
      <c r="X824">
        <v>0</v>
      </c>
      <c r="Y824">
        <v>164.89</v>
      </c>
      <c r="Z824">
        <v>0</v>
      </c>
    </row>
    <row r="825" spans="1:26">
      <c r="A825" s="2">
        <v>43930</v>
      </c>
      <c r="B825" s="4">
        <v>0.125</v>
      </c>
      <c r="C825" s="1" t="s">
        <v>83</v>
      </c>
      <c r="E825">
        <v>604</v>
      </c>
      <c r="F825">
        <v>0</v>
      </c>
      <c r="G825">
        <v>52</v>
      </c>
      <c r="H825">
        <v>13</v>
      </c>
      <c r="J825">
        <v>92</v>
      </c>
      <c r="K825">
        <v>16</v>
      </c>
      <c r="L825" s="1" t="s">
        <v>85</v>
      </c>
      <c r="N825" s="1" t="s">
        <v>37</v>
      </c>
      <c r="P825" s="1" t="s">
        <v>37</v>
      </c>
      <c r="R825" s="1" t="s">
        <v>37</v>
      </c>
      <c r="S825">
        <v>47.183199999999999</v>
      </c>
      <c r="T825">
        <v>9.2747440000000001</v>
      </c>
      <c r="U825" s="1" t="s">
        <v>84</v>
      </c>
      <c r="V825">
        <v>17</v>
      </c>
      <c r="W825">
        <v>26</v>
      </c>
      <c r="X825">
        <v>1</v>
      </c>
      <c r="Y825">
        <v>119.68</v>
      </c>
      <c r="Z825">
        <v>3.17</v>
      </c>
    </row>
    <row r="826" spans="1:26">
      <c r="A826" s="2">
        <v>43930</v>
      </c>
      <c r="B826" s="4">
        <v>0.39583333333333331</v>
      </c>
      <c r="C826" s="1" t="s">
        <v>86</v>
      </c>
      <c r="E826">
        <v>52</v>
      </c>
      <c r="F826">
        <v>2</v>
      </c>
      <c r="G826">
        <v>17</v>
      </c>
      <c r="H826">
        <v>2</v>
      </c>
      <c r="K826">
        <v>1</v>
      </c>
      <c r="L826" s="1" t="s">
        <v>88</v>
      </c>
      <c r="N826" s="1" t="s">
        <v>37</v>
      </c>
      <c r="P826" s="1" t="s">
        <v>37</v>
      </c>
      <c r="R826" s="1" t="s">
        <v>37</v>
      </c>
      <c r="S826">
        <v>47.713569999999997</v>
      </c>
      <c r="T826">
        <v>8.5916700000000006</v>
      </c>
      <c r="U826" s="1" t="s">
        <v>87</v>
      </c>
      <c r="V826">
        <v>14</v>
      </c>
      <c r="W826">
        <v>2</v>
      </c>
      <c r="X826">
        <v>0</v>
      </c>
      <c r="Y826">
        <v>63.88</v>
      </c>
      <c r="Z826">
        <v>1.2290000000000001</v>
      </c>
    </row>
    <row r="827" spans="1:26">
      <c r="A827" s="2">
        <v>43930</v>
      </c>
      <c r="B827" s="4">
        <v>0.125</v>
      </c>
      <c r="C827" s="1" t="s">
        <v>89</v>
      </c>
      <c r="E827">
        <v>282</v>
      </c>
      <c r="F827">
        <v>1</v>
      </c>
      <c r="G827">
        <v>23</v>
      </c>
      <c r="K827">
        <v>5</v>
      </c>
      <c r="L827" s="1" t="s">
        <v>91</v>
      </c>
      <c r="N827" s="1" t="s">
        <v>37</v>
      </c>
      <c r="P827" s="1" t="s">
        <v>37</v>
      </c>
      <c r="R827" s="1" t="s">
        <v>37</v>
      </c>
      <c r="S827">
        <v>47.304135000000002</v>
      </c>
      <c r="T827">
        <v>7.6393880000000003</v>
      </c>
      <c r="U827" s="1" t="s">
        <v>90</v>
      </c>
      <c r="V827">
        <v>11</v>
      </c>
      <c r="W827">
        <v>6</v>
      </c>
      <c r="X827">
        <v>2</v>
      </c>
      <c r="Y827">
        <v>103.91</v>
      </c>
      <c r="Z827">
        <v>1.8420000000000001</v>
      </c>
    </row>
    <row r="828" spans="1:26">
      <c r="A828" s="2">
        <v>43930</v>
      </c>
      <c r="B828" s="4">
        <v>0.125</v>
      </c>
      <c r="C828" s="1" t="s">
        <v>92</v>
      </c>
      <c r="D828">
        <v>10</v>
      </c>
      <c r="E828">
        <v>213</v>
      </c>
      <c r="F828">
        <v>0</v>
      </c>
      <c r="G828">
        <v>1</v>
      </c>
      <c r="J828">
        <v>113</v>
      </c>
      <c r="K828">
        <v>9</v>
      </c>
      <c r="L828" s="1" t="s">
        <v>94</v>
      </c>
      <c r="N828" s="1" t="s">
        <v>37</v>
      </c>
      <c r="P828" s="1" t="s">
        <v>37</v>
      </c>
      <c r="R828" s="1" t="s">
        <v>37</v>
      </c>
      <c r="S828">
        <v>47.061787000000002</v>
      </c>
      <c r="T828">
        <v>8.7565849999999994</v>
      </c>
      <c r="U828" s="1" t="s">
        <v>93</v>
      </c>
      <c r="V828">
        <v>5</v>
      </c>
      <c r="W828">
        <v>17</v>
      </c>
      <c r="X828">
        <v>2</v>
      </c>
      <c r="Y828">
        <v>135.41</v>
      </c>
      <c r="Z828">
        <v>5.7220000000000004</v>
      </c>
    </row>
    <row r="829" spans="1:26">
      <c r="A829" s="2">
        <v>43930</v>
      </c>
      <c r="B829" s="4">
        <v>0.125</v>
      </c>
      <c r="C829" s="1" t="s">
        <v>95</v>
      </c>
      <c r="D829">
        <v>276</v>
      </c>
      <c r="E829">
        <v>255</v>
      </c>
      <c r="F829">
        <v>-3</v>
      </c>
      <c r="G829">
        <v>27</v>
      </c>
      <c r="H829">
        <v>12</v>
      </c>
      <c r="K829">
        <v>8</v>
      </c>
      <c r="L829" s="1" t="s">
        <v>97</v>
      </c>
      <c r="N829" s="1" t="s">
        <v>37</v>
      </c>
      <c r="P829" s="1" t="s">
        <v>37</v>
      </c>
      <c r="R829" s="1" t="s">
        <v>37</v>
      </c>
      <c r="S829">
        <v>47.568714999999997</v>
      </c>
      <c r="T829">
        <v>9.0919570000000007</v>
      </c>
      <c r="U829" s="1" t="s">
        <v>96</v>
      </c>
      <c r="V829">
        <v>1</v>
      </c>
      <c r="W829">
        <v>19</v>
      </c>
      <c r="X829">
        <v>0</v>
      </c>
      <c r="Y829">
        <v>93.13</v>
      </c>
      <c r="Z829">
        <v>2.9220000000000002</v>
      </c>
    </row>
    <row r="830" spans="1:26">
      <c r="A830" s="2">
        <v>43930</v>
      </c>
      <c r="B830" s="4">
        <v>0.33333333333333331</v>
      </c>
      <c r="C830" s="1" t="s">
        <v>98</v>
      </c>
      <c r="E830">
        <v>2714</v>
      </c>
      <c r="F830">
        <v>-18</v>
      </c>
      <c r="G830">
        <v>301</v>
      </c>
      <c r="H830">
        <v>72</v>
      </c>
      <c r="I830">
        <v>68</v>
      </c>
      <c r="J830">
        <v>447</v>
      </c>
      <c r="K830">
        <v>219</v>
      </c>
      <c r="L830" s="1" t="s">
        <v>100</v>
      </c>
      <c r="N830" s="1" t="s">
        <v>37</v>
      </c>
      <c r="P830" s="1" t="s">
        <v>37</v>
      </c>
      <c r="R830" s="1" t="s">
        <v>37</v>
      </c>
      <c r="S830">
        <v>46.295617</v>
      </c>
      <c r="T830">
        <v>8.8089239999999993</v>
      </c>
      <c r="U830" s="1" t="s">
        <v>99</v>
      </c>
      <c r="V830">
        <v>21</v>
      </c>
      <c r="W830">
        <v>55</v>
      </c>
      <c r="X830">
        <v>8</v>
      </c>
      <c r="Y830">
        <v>767.32</v>
      </c>
      <c r="Z830">
        <v>61.917000000000002</v>
      </c>
    </row>
    <row r="831" spans="1:26">
      <c r="A831" s="2">
        <v>43930</v>
      </c>
      <c r="B831" s="4">
        <v>0.58333333333333337</v>
      </c>
      <c r="C831" s="1" t="s">
        <v>101</v>
      </c>
      <c r="D831">
        <v>85</v>
      </c>
      <c r="E831">
        <v>72</v>
      </c>
      <c r="F831">
        <v>-1</v>
      </c>
      <c r="G831">
        <v>4</v>
      </c>
      <c r="J831">
        <v>45</v>
      </c>
      <c r="K831">
        <v>4</v>
      </c>
      <c r="L831" s="1" t="s">
        <v>103</v>
      </c>
      <c r="N831" s="1" t="s">
        <v>37</v>
      </c>
      <c r="P831" s="1" t="s">
        <v>37</v>
      </c>
      <c r="R831" s="1" t="s">
        <v>37</v>
      </c>
      <c r="S831">
        <v>46.771849000000003</v>
      </c>
      <c r="T831">
        <v>8.6285860000000003</v>
      </c>
      <c r="U831" s="1" t="s">
        <v>102</v>
      </c>
      <c r="V831">
        <v>4</v>
      </c>
      <c r="W831">
        <v>0</v>
      </c>
      <c r="X831">
        <v>0</v>
      </c>
      <c r="Y831">
        <v>198.35</v>
      </c>
      <c r="Z831">
        <v>11.019</v>
      </c>
    </row>
    <row r="832" spans="1:26">
      <c r="A832" s="2">
        <v>43930</v>
      </c>
      <c r="B832" s="4">
        <v>0.125</v>
      </c>
      <c r="C832" s="1" t="s">
        <v>104</v>
      </c>
      <c r="E832">
        <v>4486</v>
      </c>
      <c r="F832">
        <v>-16</v>
      </c>
      <c r="G832">
        <v>317</v>
      </c>
      <c r="H832">
        <v>68</v>
      </c>
      <c r="J832">
        <v>225</v>
      </c>
      <c r="K832">
        <v>228</v>
      </c>
      <c r="L832" s="1" t="s">
        <v>106</v>
      </c>
      <c r="N832" s="1" t="s">
        <v>37</v>
      </c>
      <c r="P832" s="1" t="s">
        <v>37</v>
      </c>
      <c r="R832" s="1" t="s">
        <v>37</v>
      </c>
      <c r="S832">
        <v>46.570090999999998</v>
      </c>
      <c r="T832">
        <v>6.5578090000000007</v>
      </c>
      <c r="U832" s="1" t="s">
        <v>105</v>
      </c>
      <c r="V832">
        <v>22</v>
      </c>
      <c r="W832">
        <v>102</v>
      </c>
      <c r="X832">
        <v>14</v>
      </c>
      <c r="Y832">
        <v>565.63</v>
      </c>
      <c r="Z832">
        <v>28.748000000000001</v>
      </c>
    </row>
    <row r="833" spans="1:26">
      <c r="A833" s="2">
        <v>43930</v>
      </c>
      <c r="B833" s="4">
        <v>0.625</v>
      </c>
      <c r="C833" s="1" t="s">
        <v>107</v>
      </c>
      <c r="E833">
        <v>1598</v>
      </c>
      <c r="F833">
        <v>-6</v>
      </c>
      <c r="G833">
        <v>118</v>
      </c>
      <c r="H833">
        <v>24</v>
      </c>
      <c r="I833">
        <v>19</v>
      </c>
      <c r="J833">
        <v>136</v>
      </c>
      <c r="K833">
        <v>77</v>
      </c>
      <c r="L833" s="1" t="s">
        <v>412</v>
      </c>
      <c r="N833" s="1" t="s">
        <v>37</v>
      </c>
      <c r="P833" s="1" t="s">
        <v>37</v>
      </c>
      <c r="R833" s="1" t="s">
        <v>37</v>
      </c>
      <c r="S833">
        <v>46.209567</v>
      </c>
      <c r="T833">
        <v>7.6046589999999998</v>
      </c>
      <c r="U833" s="1" t="s">
        <v>108</v>
      </c>
      <c r="V833">
        <v>23</v>
      </c>
      <c r="W833">
        <v>28</v>
      </c>
      <c r="X833">
        <v>6</v>
      </c>
      <c r="Y833">
        <v>467.94</v>
      </c>
      <c r="Z833">
        <v>22.547999999999998</v>
      </c>
    </row>
    <row r="834" spans="1:26">
      <c r="A834" s="2">
        <v>43930</v>
      </c>
      <c r="B834" s="4">
        <v>0.33333333333333331</v>
      </c>
      <c r="C834" s="1" t="s">
        <v>109</v>
      </c>
      <c r="E834">
        <v>168</v>
      </c>
      <c r="F834">
        <v>2</v>
      </c>
      <c r="G834">
        <v>15</v>
      </c>
      <c r="H834">
        <v>9</v>
      </c>
      <c r="J834">
        <v>69</v>
      </c>
      <c r="K834">
        <v>3</v>
      </c>
      <c r="L834" s="1" t="s">
        <v>502</v>
      </c>
      <c r="N834" s="1" t="s">
        <v>37</v>
      </c>
      <c r="P834" s="1" t="s">
        <v>37</v>
      </c>
      <c r="R834" s="1" t="s">
        <v>37</v>
      </c>
      <c r="S834">
        <v>47.157296000000002</v>
      </c>
      <c r="T834">
        <v>8.5372939999999993</v>
      </c>
      <c r="U834" s="1" t="s">
        <v>110</v>
      </c>
      <c r="V834">
        <v>9</v>
      </c>
      <c r="W834">
        <v>3</v>
      </c>
      <c r="X834">
        <v>0</v>
      </c>
      <c r="Y834">
        <v>133.97</v>
      </c>
      <c r="Z834">
        <v>2.3919999999999999</v>
      </c>
    </row>
    <row r="835" spans="1:26">
      <c r="A835" s="2">
        <v>43930</v>
      </c>
      <c r="B835" s="4">
        <v>0.60416666666666663</v>
      </c>
      <c r="C835" s="1" t="s">
        <v>111</v>
      </c>
      <c r="E835">
        <v>2887</v>
      </c>
      <c r="F835">
        <v>-5</v>
      </c>
      <c r="G835">
        <v>165</v>
      </c>
      <c r="I835">
        <v>55</v>
      </c>
      <c r="K835">
        <v>66</v>
      </c>
      <c r="L835" s="1" t="s">
        <v>113</v>
      </c>
      <c r="N835" s="1" t="s">
        <v>37</v>
      </c>
      <c r="P835" s="1" t="s">
        <v>37</v>
      </c>
      <c r="R835" s="1" t="s">
        <v>37</v>
      </c>
      <c r="S835">
        <v>47.412750000000003</v>
      </c>
      <c r="T835">
        <v>8.6550799999999999</v>
      </c>
      <c r="U835" s="1" t="s">
        <v>112</v>
      </c>
      <c r="V835">
        <v>1</v>
      </c>
      <c r="W835">
        <v>97</v>
      </c>
      <c r="X835">
        <v>1</v>
      </c>
      <c r="Y835">
        <v>191.92</v>
      </c>
      <c r="Z835">
        <v>4.3869999999999996</v>
      </c>
    </row>
    <row r="836" spans="1:26">
      <c r="A836" s="2">
        <v>43931</v>
      </c>
      <c r="B836" s="4">
        <v>0.61458333333333337</v>
      </c>
      <c r="C836" s="1" t="s">
        <v>35</v>
      </c>
      <c r="E836">
        <v>850</v>
      </c>
      <c r="F836">
        <v>0</v>
      </c>
      <c r="G836">
        <v>87</v>
      </c>
      <c r="H836">
        <v>22</v>
      </c>
      <c r="I836">
        <v>21</v>
      </c>
      <c r="J836">
        <v>250</v>
      </c>
      <c r="K836">
        <v>18</v>
      </c>
      <c r="L836" s="1" t="s">
        <v>348</v>
      </c>
      <c r="N836" s="1" t="s">
        <v>37</v>
      </c>
      <c r="P836" s="1" t="s">
        <v>37</v>
      </c>
      <c r="R836" s="1" t="s">
        <v>37</v>
      </c>
      <c r="S836">
        <v>47.409660000000002</v>
      </c>
      <c r="T836">
        <v>8.1568799999999992</v>
      </c>
      <c r="U836" s="1" t="s">
        <v>36</v>
      </c>
      <c r="V836">
        <v>1</v>
      </c>
      <c r="W836">
        <v>28</v>
      </c>
      <c r="X836">
        <v>1</v>
      </c>
      <c r="Y836">
        <v>126.68</v>
      </c>
      <c r="Z836">
        <v>2.6829999999999998</v>
      </c>
    </row>
    <row r="837" spans="1:26">
      <c r="A837" s="2">
        <v>43931</v>
      </c>
      <c r="B837" s="4">
        <v>0.33333333333333331</v>
      </c>
      <c r="C837" s="1" t="s">
        <v>42</v>
      </c>
      <c r="E837">
        <v>77</v>
      </c>
      <c r="F837">
        <v>0</v>
      </c>
      <c r="G837">
        <v>6</v>
      </c>
      <c r="K837">
        <v>3</v>
      </c>
      <c r="L837" s="1" t="s">
        <v>44</v>
      </c>
      <c r="N837" s="1" t="s">
        <v>37</v>
      </c>
      <c r="P837" s="1" t="s">
        <v>37</v>
      </c>
      <c r="R837" s="1" t="s">
        <v>37</v>
      </c>
      <c r="S837">
        <v>47.416351999999996</v>
      </c>
      <c r="T837">
        <v>9.3679100000000002</v>
      </c>
      <c r="U837" s="1" t="s">
        <v>43</v>
      </c>
      <c r="V837">
        <v>15</v>
      </c>
      <c r="W837">
        <v>3</v>
      </c>
      <c r="X837">
        <v>0</v>
      </c>
      <c r="Y837">
        <v>139.49</v>
      </c>
      <c r="Z837">
        <v>5.4349999999999996</v>
      </c>
    </row>
    <row r="838" spans="1:26">
      <c r="A838" s="2">
        <v>43931</v>
      </c>
      <c r="B838" s="4">
        <v>0.33333333333333331</v>
      </c>
      <c r="C838" s="1" t="s">
        <v>45</v>
      </c>
      <c r="E838">
        <v>1375</v>
      </c>
      <c r="F838">
        <v>-10</v>
      </c>
      <c r="G838">
        <v>107</v>
      </c>
      <c r="H838">
        <v>33</v>
      </c>
      <c r="I838">
        <v>25</v>
      </c>
      <c r="K838">
        <v>42</v>
      </c>
      <c r="L838" s="1" t="s">
        <v>47</v>
      </c>
      <c r="N838" s="1" t="s">
        <v>37</v>
      </c>
      <c r="P838" s="1" t="s">
        <v>37</v>
      </c>
      <c r="R838" s="1" t="s">
        <v>37</v>
      </c>
      <c r="S838">
        <v>46.823608</v>
      </c>
      <c r="T838">
        <v>7.6366670000000001</v>
      </c>
      <c r="U838" s="1" t="s">
        <v>46</v>
      </c>
      <c r="V838">
        <v>2</v>
      </c>
      <c r="W838">
        <v>40</v>
      </c>
      <c r="X838">
        <v>4</v>
      </c>
      <c r="Y838">
        <v>133.35</v>
      </c>
      <c r="Z838">
        <v>4.0730000000000004</v>
      </c>
    </row>
    <row r="839" spans="1:26">
      <c r="A839" s="2">
        <v>43931</v>
      </c>
      <c r="B839" s="4">
        <v>0.125</v>
      </c>
      <c r="C839" s="1" t="s">
        <v>48</v>
      </c>
      <c r="E839">
        <v>722</v>
      </c>
      <c r="F839">
        <v>-8</v>
      </c>
      <c r="G839">
        <v>54</v>
      </c>
      <c r="H839">
        <v>17</v>
      </c>
      <c r="I839">
        <v>15</v>
      </c>
      <c r="J839">
        <v>502</v>
      </c>
      <c r="K839">
        <v>22</v>
      </c>
      <c r="L839" s="1" t="s">
        <v>50</v>
      </c>
      <c r="N839" s="1" t="s">
        <v>37</v>
      </c>
      <c r="P839" s="1" t="s">
        <v>37</v>
      </c>
      <c r="R839" s="1" t="s">
        <v>37</v>
      </c>
      <c r="S839">
        <v>47.45176</v>
      </c>
      <c r="T839">
        <v>7.7024140000000001</v>
      </c>
      <c r="U839" s="1" t="s">
        <v>49</v>
      </c>
      <c r="V839">
        <v>13</v>
      </c>
      <c r="W839">
        <v>11</v>
      </c>
      <c r="X839">
        <v>1</v>
      </c>
      <c r="Y839">
        <v>251.57</v>
      </c>
      <c r="Z839">
        <v>7.6660000000000004</v>
      </c>
    </row>
    <row r="840" spans="1:26">
      <c r="A840" s="2">
        <v>43931</v>
      </c>
      <c r="B840" s="4">
        <v>0.41666666666666669</v>
      </c>
      <c r="C840" s="1" t="s">
        <v>51</v>
      </c>
      <c r="D840">
        <v>235</v>
      </c>
      <c r="E840">
        <v>859</v>
      </c>
      <c r="F840">
        <v>-6</v>
      </c>
      <c r="G840">
        <v>87</v>
      </c>
      <c r="H840">
        <v>13</v>
      </c>
      <c r="J840">
        <v>593</v>
      </c>
      <c r="K840">
        <v>33</v>
      </c>
      <c r="L840" s="1" t="s">
        <v>341</v>
      </c>
      <c r="M840">
        <v>471</v>
      </c>
      <c r="N840" s="1" t="s">
        <v>319</v>
      </c>
      <c r="P840" s="1" t="s">
        <v>37</v>
      </c>
      <c r="R840" s="1" t="s">
        <v>37</v>
      </c>
      <c r="S840">
        <v>47.564869000000002</v>
      </c>
      <c r="T840">
        <v>7.615259</v>
      </c>
      <c r="U840" s="1" t="s">
        <v>52</v>
      </c>
      <c r="V840">
        <v>12</v>
      </c>
      <c r="W840">
        <v>13</v>
      </c>
      <c r="X840">
        <v>0</v>
      </c>
      <c r="Y840">
        <v>443.01</v>
      </c>
      <c r="Z840">
        <v>17.018999999999998</v>
      </c>
    </row>
    <row r="841" spans="1:26">
      <c r="A841" s="2">
        <v>43931</v>
      </c>
      <c r="B841" s="4">
        <v>0.125</v>
      </c>
      <c r="C841" s="1" t="s">
        <v>54</v>
      </c>
      <c r="D841">
        <v>900</v>
      </c>
      <c r="E841">
        <v>79</v>
      </c>
      <c r="F841">
        <v>0</v>
      </c>
      <c r="J841">
        <v>1</v>
      </c>
      <c r="K841">
        <v>1</v>
      </c>
      <c r="L841" s="1" t="s">
        <v>349</v>
      </c>
      <c r="N841" s="1" t="s">
        <v>37</v>
      </c>
      <c r="P841" s="1" t="s">
        <v>37</v>
      </c>
      <c r="R841" s="1" t="s">
        <v>37</v>
      </c>
      <c r="S841">
        <v>47.166666999999997</v>
      </c>
      <c r="T841">
        <v>9.509722</v>
      </c>
      <c r="U841" s="1" t="s">
        <v>55</v>
      </c>
      <c r="V841">
        <v>0</v>
      </c>
      <c r="W841">
        <v>1</v>
      </c>
      <c r="X841">
        <v>0</v>
      </c>
      <c r="Y841">
        <v>204.66</v>
      </c>
      <c r="Z841">
        <v>2.5910000000000002</v>
      </c>
    </row>
    <row r="842" spans="1:26">
      <c r="A842" s="2">
        <v>43931</v>
      </c>
      <c r="B842" s="4">
        <v>0.125</v>
      </c>
      <c r="C842" s="1" t="s">
        <v>57</v>
      </c>
      <c r="D842">
        <v>30</v>
      </c>
      <c r="E842">
        <v>796</v>
      </c>
      <c r="F842">
        <v>-7</v>
      </c>
      <c r="G842">
        <v>73</v>
      </c>
      <c r="H842">
        <v>19</v>
      </c>
      <c r="J842">
        <v>88</v>
      </c>
      <c r="K842">
        <v>49</v>
      </c>
      <c r="L842" s="1" t="s">
        <v>59</v>
      </c>
      <c r="N842" s="1" t="s">
        <v>37</v>
      </c>
      <c r="P842" s="1" t="s">
        <v>37</v>
      </c>
      <c r="R842" s="1" t="s">
        <v>37</v>
      </c>
      <c r="S842">
        <v>46.718390999999997</v>
      </c>
      <c r="T842">
        <v>7.0740080000000001</v>
      </c>
      <c r="U842" s="1" t="s">
        <v>58</v>
      </c>
      <c r="V842">
        <v>10</v>
      </c>
      <c r="W842">
        <v>10</v>
      </c>
      <c r="X842">
        <v>3</v>
      </c>
      <c r="Y842">
        <v>252.62</v>
      </c>
      <c r="Z842">
        <v>15.551</v>
      </c>
    </row>
    <row r="843" spans="1:26">
      <c r="A843" s="2">
        <v>43931</v>
      </c>
      <c r="B843" s="4">
        <v>0.125</v>
      </c>
      <c r="C843" s="1" t="s">
        <v>60</v>
      </c>
      <c r="D843">
        <v>18406</v>
      </c>
      <c r="E843">
        <v>4240</v>
      </c>
      <c r="F843">
        <v>-14</v>
      </c>
      <c r="G843">
        <v>379</v>
      </c>
      <c r="H843">
        <v>47</v>
      </c>
      <c r="I843">
        <v>47</v>
      </c>
      <c r="J843">
        <v>448</v>
      </c>
      <c r="K843">
        <v>159</v>
      </c>
      <c r="L843" s="1" t="s">
        <v>62</v>
      </c>
      <c r="N843" s="1" t="s">
        <v>37</v>
      </c>
      <c r="P843" s="1" t="s">
        <v>37</v>
      </c>
      <c r="Q843">
        <v>24</v>
      </c>
      <c r="R843" s="1" t="s">
        <v>37</v>
      </c>
      <c r="S843">
        <v>46.220528000000002</v>
      </c>
      <c r="T843">
        <v>6.1329349999999998</v>
      </c>
      <c r="U843" s="1" t="s">
        <v>61</v>
      </c>
      <c r="V843">
        <v>25</v>
      </c>
      <c r="W843">
        <v>42</v>
      </c>
      <c r="X843">
        <v>10</v>
      </c>
      <c r="Y843">
        <v>856.22</v>
      </c>
      <c r="Z843">
        <v>32.107999999999997</v>
      </c>
    </row>
    <row r="844" spans="1:26">
      <c r="A844" s="2">
        <v>43931</v>
      </c>
      <c r="B844" s="4">
        <v>0.125</v>
      </c>
      <c r="C844" s="1" t="s">
        <v>66</v>
      </c>
      <c r="E844">
        <v>715</v>
      </c>
      <c r="F844">
        <v>-4</v>
      </c>
      <c r="G844">
        <v>35</v>
      </c>
      <c r="K844">
        <v>35</v>
      </c>
      <c r="L844" s="1" t="s">
        <v>68</v>
      </c>
      <c r="N844" s="1" t="s">
        <v>37</v>
      </c>
      <c r="P844" s="1" t="s">
        <v>37</v>
      </c>
      <c r="R844" s="1" t="s">
        <v>37</v>
      </c>
      <c r="S844">
        <v>46.656247999999998</v>
      </c>
      <c r="T844">
        <v>9.6281979999999994</v>
      </c>
      <c r="U844" s="1" t="s">
        <v>67</v>
      </c>
      <c r="V844">
        <v>1</v>
      </c>
      <c r="W844">
        <v>11</v>
      </c>
      <c r="X844">
        <v>0</v>
      </c>
      <c r="Y844">
        <v>361.29</v>
      </c>
      <c r="Z844">
        <v>17.686</v>
      </c>
    </row>
    <row r="845" spans="1:26">
      <c r="A845" s="2">
        <v>43931</v>
      </c>
      <c r="B845" s="4">
        <v>0.66666666666666663</v>
      </c>
      <c r="C845" s="1" t="s">
        <v>69</v>
      </c>
      <c r="E845">
        <v>182</v>
      </c>
      <c r="F845">
        <v>-3</v>
      </c>
      <c r="G845">
        <v>25</v>
      </c>
      <c r="H845">
        <v>5</v>
      </c>
      <c r="K845">
        <v>3</v>
      </c>
      <c r="L845" s="1" t="s">
        <v>280</v>
      </c>
      <c r="N845" s="1" t="s">
        <v>37</v>
      </c>
      <c r="P845" s="1" t="s">
        <v>37</v>
      </c>
      <c r="R845" s="1" t="s">
        <v>37</v>
      </c>
      <c r="S845">
        <v>47.350743999999999</v>
      </c>
      <c r="T845">
        <v>7.1561070000000004</v>
      </c>
      <c r="U845" s="1" t="s">
        <v>70</v>
      </c>
      <c r="V845">
        <v>26</v>
      </c>
      <c r="W845">
        <v>3</v>
      </c>
      <c r="X845">
        <v>2</v>
      </c>
      <c r="Y845">
        <v>248.29</v>
      </c>
      <c r="Z845">
        <v>4.093</v>
      </c>
    </row>
    <row r="846" spans="1:26">
      <c r="A846" s="2">
        <v>43931</v>
      </c>
      <c r="B846" s="4">
        <v>0.54166666666666663</v>
      </c>
      <c r="C846" s="1" t="s">
        <v>71</v>
      </c>
      <c r="E846">
        <v>560</v>
      </c>
      <c r="F846">
        <v>7</v>
      </c>
      <c r="G846">
        <v>69</v>
      </c>
      <c r="H846">
        <v>6</v>
      </c>
      <c r="K846">
        <v>9</v>
      </c>
      <c r="L846" s="1" t="s">
        <v>73</v>
      </c>
      <c r="N846" s="1" t="s">
        <v>37</v>
      </c>
      <c r="P846" s="1" t="s">
        <v>37</v>
      </c>
      <c r="R846" s="1" t="s">
        <v>37</v>
      </c>
      <c r="S846">
        <v>47.067762999999999</v>
      </c>
      <c r="T846">
        <v>8.1102000000000007</v>
      </c>
      <c r="U846" s="1" t="s">
        <v>72</v>
      </c>
      <c r="V846">
        <v>3</v>
      </c>
      <c r="W846">
        <v>18</v>
      </c>
      <c r="X846">
        <v>0</v>
      </c>
      <c r="Y846">
        <v>137.76</v>
      </c>
      <c r="Z846">
        <v>2.214</v>
      </c>
    </row>
    <row r="847" spans="1:26">
      <c r="A847" s="2">
        <v>43931</v>
      </c>
      <c r="B847" s="4">
        <v>0.66666666666666663</v>
      </c>
      <c r="C847" s="1" t="s">
        <v>74</v>
      </c>
      <c r="E847">
        <v>570</v>
      </c>
      <c r="F847">
        <v>5</v>
      </c>
      <c r="G847">
        <v>63</v>
      </c>
      <c r="H847">
        <v>11</v>
      </c>
      <c r="I847">
        <v>8</v>
      </c>
      <c r="K847">
        <v>40</v>
      </c>
      <c r="L847" s="1" t="s">
        <v>76</v>
      </c>
      <c r="N847" s="1" t="s">
        <v>37</v>
      </c>
      <c r="P847" s="1" t="s">
        <v>37</v>
      </c>
      <c r="R847" s="1" t="s">
        <v>37</v>
      </c>
      <c r="S847">
        <v>46.995533999999999</v>
      </c>
      <c r="T847">
        <v>6.7801260000000001</v>
      </c>
      <c r="U847" s="1" t="s">
        <v>75</v>
      </c>
      <c r="V847">
        <v>24</v>
      </c>
      <c r="W847">
        <v>20</v>
      </c>
      <c r="X847">
        <v>0</v>
      </c>
      <c r="Y847">
        <v>320.22000000000003</v>
      </c>
      <c r="Z847">
        <v>22.472000000000001</v>
      </c>
    </row>
    <row r="848" spans="1:26">
      <c r="A848" s="2">
        <v>43931</v>
      </c>
      <c r="B848" s="4">
        <v>0.66319444444444442</v>
      </c>
      <c r="C848" s="1" t="s">
        <v>77</v>
      </c>
      <c r="E848">
        <v>100</v>
      </c>
      <c r="F848">
        <v>0</v>
      </c>
      <c r="G848">
        <v>8</v>
      </c>
      <c r="H848">
        <v>1</v>
      </c>
      <c r="K848">
        <v>0</v>
      </c>
      <c r="L848" s="1" t="s">
        <v>79</v>
      </c>
      <c r="N848" s="1" t="s">
        <v>37</v>
      </c>
      <c r="P848" s="1" t="s">
        <v>37</v>
      </c>
      <c r="R848" s="1" t="s">
        <v>37</v>
      </c>
      <c r="S848">
        <v>46.926755</v>
      </c>
      <c r="T848">
        <v>8.4053020000000007</v>
      </c>
      <c r="U848" s="1" t="s">
        <v>78</v>
      </c>
      <c r="V848">
        <v>7</v>
      </c>
      <c r="W848">
        <v>4</v>
      </c>
      <c r="X848">
        <v>0</v>
      </c>
      <c r="Y848">
        <v>232.56</v>
      </c>
      <c r="Z848">
        <v>0</v>
      </c>
    </row>
    <row r="849" spans="1:26">
      <c r="A849" s="2">
        <v>43931</v>
      </c>
      <c r="B849" s="4">
        <v>0.125</v>
      </c>
      <c r="C849" s="1" t="s">
        <v>83</v>
      </c>
      <c r="E849">
        <v>632</v>
      </c>
      <c r="F849">
        <v>8</v>
      </c>
      <c r="G849">
        <v>60</v>
      </c>
      <c r="H849">
        <v>11</v>
      </c>
      <c r="J849">
        <v>93</v>
      </c>
      <c r="K849">
        <v>17</v>
      </c>
      <c r="L849" s="1" t="s">
        <v>85</v>
      </c>
      <c r="N849" s="1" t="s">
        <v>37</v>
      </c>
      <c r="P849" s="1" t="s">
        <v>37</v>
      </c>
      <c r="R849" s="1" t="s">
        <v>37</v>
      </c>
      <c r="S849">
        <v>47.183199999999999</v>
      </c>
      <c r="T849">
        <v>9.2747440000000001</v>
      </c>
      <c r="U849" s="1" t="s">
        <v>84</v>
      </c>
      <c r="V849">
        <v>17</v>
      </c>
      <c r="W849">
        <v>28</v>
      </c>
      <c r="X849">
        <v>1</v>
      </c>
      <c r="Y849">
        <v>125.22</v>
      </c>
      <c r="Z849">
        <v>3.3679999999999999</v>
      </c>
    </row>
    <row r="850" spans="1:26">
      <c r="A850" s="2">
        <v>43931</v>
      </c>
      <c r="B850" s="4">
        <v>0.39583333333333331</v>
      </c>
      <c r="C850" s="1" t="s">
        <v>86</v>
      </c>
      <c r="E850">
        <v>53</v>
      </c>
      <c r="F850">
        <v>-4</v>
      </c>
      <c r="G850">
        <v>13</v>
      </c>
      <c r="H850">
        <v>2</v>
      </c>
      <c r="K850">
        <v>1</v>
      </c>
      <c r="L850" s="1" t="s">
        <v>88</v>
      </c>
      <c r="N850" s="1" t="s">
        <v>37</v>
      </c>
      <c r="P850" s="1" t="s">
        <v>37</v>
      </c>
      <c r="R850" s="1" t="s">
        <v>37</v>
      </c>
      <c r="S850">
        <v>47.713569999999997</v>
      </c>
      <c r="T850">
        <v>8.5916700000000006</v>
      </c>
      <c r="U850" s="1" t="s">
        <v>87</v>
      </c>
      <c r="V850">
        <v>14</v>
      </c>
      <c r="W850">
        <v>1</v>
      </c>
      <c r="X850">
        <v>0</v>
      </c>
      <c r="Y850">
        <v>65.11</v>
      </c>
      <c r="Z850">
        <v>1.2290000000000001</v>
      </c>
    </row>
    <row r="851" spans="1:26">
      <c r="A851" s="2">
        <v>43931</v>
      </c>
      <c r="B851" s="4">
        <v>0.125</v>
      </c>
      <c r="C851" s="1" t="s">
        <v>89</v>
      </c>
      <c r="E851">
        <v>294</v>
      </c>
      <c r="F851">
        <v>-1</v>
      </c>
      <c r="G851">
        <v>22</v>
      </c>
      <c r="K851">
        <v>5</v>
      </c>
      <c r="L851" s="1" t="s">
        <v>91</v>
      </c>
      <c r="N851" s="1" t="s">
        <v>37</v>
      </c>
      <c r="P851" s="1" t="s">
        <v>37</v>
      </c>
      <c r="R851" s="1" t="s">
        <v>37</v>
      </c>
      <c r="S851">
        <v>47.304135000000002</v>
      </c>
      <c r="T851">
        <v>7.6393880000000003</v>
      </c>
      <c r="U851" s="1" t="s">
        <v>90</v>
      </c>
      <c r="V851">
        <v>11</v>
      </c>
      <c r="W851">
        <v>12</v>
      </c>
      <c r="X851">
        <v>0</v>
      </c>
      <c r="Y851">
        <v>108.33</v>
      </c>
      <c r="Z851">
        <v>1.8420000000000001</v>
      </c>
    </row>
    <row r="852" spans="1:26">
      <c r="A852" s="2">
        <v>43931</v>
      </c>
      <c r="B852" s="4">
        <v>0.125</v>
      </c>
      <c r="C852" s="1" t="s">
        <v>92</v>
      </c>
      <c r="D852">
        <v>10</v>
      </c>
      <c r="E852">
        <v>215</v>
      </c>
      <c r="F852">
        <v>0</v>
      </c>
      <c r="G852">
        <v>1</v>
      </c>
      <c r="J852">
        <v>118</v>
      </c>
      <c r="K852">
        <v>10</v>
      </c>
      <c r="L852" s="1" t="s">
        <v>342</v>
      </c>
      <c r="N852" s="1" t="s">
        <v>37</v>
      </c>
      <c r="P852" s="1" t="s">
        <v>37</v>
      </c>
      <c r="R852" s="1" t="s">
        <v>37</v>
      </c>
      <c r="S852">
        <v>47.061787000000002</v>
      </c>
      <c r="T852">
        <v>8.7565849999999994</v>
      </c>
      <c r="U852" s="1" t="s">
        <v>93</v>
      </c>
      <c r="V852">
        <v>5</v>
      </c>
      <c r="W852">
        <v>2</v>
      </c>
      <c r="X852">
        <v>1</v>
      </c>
      <c r="Y852">
        <v>136.68</v>
      </c>
      <c r="Z852">
        <v>6.3570000000000002</v>
      </c>
    </row>
    <row r="853" spans="1:26">
      <c r="A853" s="2">
        <v>43931</v>
      </c>
      <c r="B853" s="4">
        <v>0.125</v>
      </c>
      <c r="C853" s="1" t="s">
        <v>95</v>
      </c>
      <c r="D853">
        <v>276</v>
      </c>
      <c r="E853">
        <v>264</v>
      </c>
      <c r="F853">
        <v>5</v>
      </c>
      <c r="G853">
        <v>32</v>
      </c>
      <c r="H853">
        <v>13</v>
      </c>
      <c r="K853">
        <v>8</v>
      </c>
      <c r="L853" s="1" t="s">
        <v>97</v>
      </c>
      <c r="N853" s="1" t="s">
        <v>37</v>
      </c>
      <c r="P853" s="1" t="s">
        <v>37</v>
      </c>
      <c r="R853" s="1" t="s">
        <v>37</v>
      </c>
      <c r="S853">
        <v>47.568714999999997</v>
      </c>
      <c r="T853">
        <v>9.0919570000000007</v>
      </c>
      <c r="U853" s="1" t="s">
        <v>96</v>
      </c>
      <c r="V853">
        <v>1</v>
      </c>
      <c r="W853">
        <v>9</v>
      </c>
      <c r="X853">
        <v>0</v>
      </c>
      <c r="Y853">
        <v>96.42</v>
      </c>
      <c r="Z853">
        <v>2.9220000000000002</v>
      </c>
    </row>
    <row r="854" spans="1:26">
      <c r="A854" s="2">
        <v>43931</v>
      </c>
      <c r="B854" s="4">
        <v>0.33333333333333331</v>
      </c>
      <c r="C854" s="1" t="s">
        <v>98</v>
      </c>
      <c r="E854">
        <v>2776</v>
      </c>
      <c r="F854">
        <v>-4</v>
      </c>
      <c r="G854">
        <v>297</v>
      </c>
      <c r="H854">
        <v>68</v>
      </c>
      <c r="I854">
        <v>62</v>
      </c>
      <c r="J854">
        <v>466</v>
      </c>
      <c r="K854">
        <v>227</v>
      </c>
      <c r="L854" s="1" t="s">
        <v>340</v>
      </c>
      <c r="N854" s="1" t="s">
        <v>37</v>
      </c>
      <c r="P854" s="1" t="s">
        <v>37</v>
      </c>
      <c r="R854" s="1" t="s">
        <v>37</v>
      </c>
      <c r="S854">
        <v>46.295617</v>
      </c>
      <c r="T854">
        <v>8.8089239999999993</v>
      </c>
      <c r="U854" s="1" t="s">
        <v>99</v>
      </c>
      <c r="V854">
        <v>21</v>
      </c>
      <c r="W854">
        <v>62</v>
      </c>
      <c r="X854">
        <v>8</v>
      </c>
      <c r="Y854">
        <v>784.85</v>
      </c>
      <c r="Z854">
        <v>64.179000000000002</v>
      </c>
    </row>
    <row r="855" spans="1:26">
      <c r="A855" s="2">
        <v>43931</v>
      </c>
      <c r="B855" s="4">
        <v>0.66666666666666663</v>
      </c>
      <c r="C855" s="1" t="s">
        <v>101</v>
      </c>
      <c r="D855">
        <v>85</v>
      </c>
      <c r="E855">
        <v>74</v>
      </c>
      <c r="F855">
        <v>0</v>
      </c>
      <c r="G855">
        <v>4</v>
      </c>
      <c r="J855">
        <v>49</v>
      </c>
      <c r="K855">
        <v>4</v>
      </c>
      <c r="L855" s="1" t="s">
        <v>103</v>
      </c>
      <c r="N855" s="1" t="s">
        <v>37</v>
      </c>
      <c r="P855" s="1" t="s">
        <v>37</v>
      </c>
      <c r="R855" s="1" t="s">
        <v>37</v>
      </c>
      <c r="S855">
        <v>46.771849000000003</v>
      </c>
      <c r="T855">
        <v>8.6285860000000003</v>
      </c>
      <c r="U855" s="1" t="s">
        <v>102</v>
      </c>
      <c r="V855">
        <v>4</v>
      </c>
      <c r="W855">
        <v>2</v>
      </c>
      <c r="X855">
        <v>0</v>
      </c>
      <c r="Y855">
        <v>203.86</v>
      </c>
      <c r="Z855">
        <v>11.019</v>
      </c>
    </row>
    <row r="856" spans="1:26">
      <c r="A856" s="2">
        <v>43931</v>
      </c>
      <c r="B856" s="4">
        <v>0.125</v>
      </c>
      <c r="C856" s="1" t="s">
        <v>104</v>
      </c>
      <c r="E856">
        <v>4591</v>
      </c>
      <c r="F856">
        <v>-9</v>
      </c>
      <c r="G856">
        <v>308</v>
      </c>
      <c r="H856">
        <v>70</v>
      </c>
      <c r="J856">
        <v>225</v>
      </c>
      <c r="K856">
        <v>235</v>
      </c>
      <c r="L856" s="1" t="s">
        <v>106</v>
      </c>
      <c r="N856" s="1" t="s">
        <v>37</v>
      </c>
      <c r="P856" s="1" t="s">
        <v>37</v>
      </c>
      <c r="R856" s="1" t="s">
        <v>37</v>
      </c>
      <c r="S856">
        <v>46.570090999999998</v>
      </c>
      <c r="T856">
        <v>6.5578090000000007</v>
      </c>
      <c r="U856" s="1" t="s">
        <v>105</v>
      </c>
      <c r="V856">
        <v>22</v>
      </c>
      <c r="W856">
        <v>105</v>
      </c>
      <c r="X856">
        <v>7</v>
      </c>
      <c r="Y856">
        <v>578.87</v>
      </c>
      <c r="Z856">
        <v>29.631</v>
      </c>
    </row>
    <row r="857" spans="1:26">
      <c r="A857" s="2">
        <v>43931</v>
      </c>
      <c r="B857" s="4">
        <v>0.625</v>
      </c>
      <c r="C857" s="1" t="s">
        <v>107</v>
      </c>
      <c r="E857">
        <v>1627</v>
      </c>
      <c r="F857">
        <v>-2</v>
      </c>
      <c r="G857">
        <v>116</v>
      </c>
      <c r="H857">
        <v>24</v>
      </c>
      <c r="I857">
        <v>18</v>
      </c>
      <c r="J857">
        <v>136</v>
      </c>
      <c r="K857">
        <v>83</v>
      </c>
      <c r="L857" s="1" t="s">
        <v>412</v>
      </c>
      <c r="N857" s="1" t="s">
        <v>37</v>
      </c>
      <c r="P857" s="1" t="s">
        <v>37</v>
      </c>
      <c r="R857" s="1" t="s">
        <v>37</v>
      </c>
      <c r="S857">
        <v>46.209567</v>
      </c>
      <c r="T857">
        <v>7.6046589999999998</v>
      </c>
      <c r="U857" s="1" t="s">
        <v>108</v>
      </c>
      <c r="V857">
        <v>23</v>
      </c>
      <c r="W857">
        <v>29</v>
      </c>
      <c r="X857">
        <v>6</v>
      </c>
      <c r="Y857">
        <v>476.43</v>
      </c>
      <c r="Z857">
        <v>24.305</v>
      </c>
    </row>
    <row r="858" spans="1:26">
      <c r="A858" s="2">
        <v>43931</v>
      </c>
      <c r="B858" s="4">
        <v>0.33333333333333331</v>
      </c>
      <c r="C858" s="1" t="s">
        <v>109</v>
      </c>
      <c r="E858">
        <v>168</v>
      </c>
      <c r="F858">
        <v>-1</v>
      </c>
      <c r="G858">
        <v>14</v>
      </c>
      <c r="H858">
        <v>9</v>
      </c>
      <c r="J858">
        <v>76</v>
      </c>
      <c r="K858">
        <v>4</v>
      </c>
      <c r="L858" s="1" t="s">
        <v>502</v>
      </c>
      <c r="N858" s="1" t="s">
        <v>37</v>
      </c>
      <c r="P858" s="1" t="s">
        <v>37</v>
      </c>
      <c r="R858" s="1" t="s">
        <v>37</v>
      </c>
      <c r="S858">
        <v>47.157296000000002</v>
      </c>
      <c r="T858">
        <v>8.5372939999999993</v>
      </c>
      <c r="U858" s="1" t="s">
        <v>110</v>
      </c>
      <c r="V858">
        <v>9</v>
      </c>
      <c r="W858">
        <v>0</v>
      </c>
      <c r="X858">
        <v>1</v>
      </c>
      <c r="Y858">
        <v>133.97</v>
      </c>
      <c r="Z858">
        <v>3.19</v>
      </c>
    </row>
    <row r="859" spans="1:26">
      <c r="A859" s="2">
        <v>43931</v>
      </c>
      <c r="B859" s="4">
        <v>0.60416666666666663</v>
      </c>
      <c r="C859" s="1" t="s">
        <v>111</v>
      </c>
      <c r="E859">
        <v>2927</v>
      </c>
      <c r="F859">
        <v>-13</v>
      </c>
      <c r="G859">
        <v>152</v>
      </c>
      <c r="I859">
        <v>50</v>
      </c>
      <c r="K859">
        <v>71</v>
      </c>
      <c r="L859" s="1" t="s">
        <v>113</v>
      </c>
      <c r="N859" s="1" t="s">
        <v>37</v>
      </c>
      <c r="P859" s="1" t="s">
        <v>37</v>
      </c>
      <c r="R859" s="1" t="s">
        <v>37</v>
      </c>
      <c r="S859">
        <v>47.412750000000003</v>
      </c>
      <c r="T859">
        <v>8.6550799999999999</v>
      </c>
      <c r="U859" s="1" t="s">
        <v>112</v>
      </c>
      <c r="V859">
        <v>1</v>
      </c>
      <c r="W859">
        <v>40</v>
      </c>
      <c r="X859">
        <v>5</v>
      </c>
      <c r="Y859">
        <v>194.58</v>
      </c>
      <c r="Z859">
        <v>4.72</v>
      </c>
    </row>
    <row r="860" spans="1:26">
      <c r="A860" s="2">
        <v>43932</v>
      </c>
      <c r="B860" s="4">
        <v>0.70833333333333337</v>
      </c>
      <c r="C860" s="1" t="s">
        <v>35</v>
      </c>
      <c r="E860">
        <v>878</v>
      </c>
      <c r="F860">
        <v>0</v>
      </c>
      <c r="G860">
        <v>76</v>
      </c>
      <c r="H860">
        <v>23</v>
      </c>
      <c r="I860">
        <v>21</v>
      </c>
      <c r="J860">
        <v>300</v>
      </c>
      <c r="K860">
        <v>18</v>
      </c>
      <c r="L860" s="1" t="s">
        <v>348</v>
      </c>
      <c r="N860" s="1" t="s">
        <v>37</v>
      </c>
      <c r="P860" s="1" t="s">
        <v>37</v>
      </c>
      <c r="R860" s="1" t="s">
        <v>37</v>
      </c>
      <c r="S860">
        <v>47.409660000000002</v>
      </c>
      <c r="T860">
        <v>8.1568799999999992</v>
      </c>
      <c r="U860" s="1" t="s">
        <v>36</v>
      </c>
      <c r="V860">
        <v>1</v>
      </c>
      <c r="W860">
        <v>28</v>
      </c>
      <c r="X860">
        <v>0</v>
      </c>
      <c r="Y860">
        <v>130.85</v>
      </c>
      <c r="Z860">
        <v>2.6829999999999998</v>
      </c>
    </row>
    <row r="861" spans="1:26">
      <c r="A861" s="2">
        <v>43932</v>
      </c>
      <c r="B861" s="4">
        <v>0.45833333333333331</v>
      </c>
      <c r="C861" s="1" t="s">
        <v>39</v>
      </c>
      <c r="E861">
        <v>24</v>
      </c>
      <c r="F861">
        <v>0</v>
      </c>
      <c r="G861">
        <v>1</v>
      </c>
      <c r="L861" s="1" t="s">
        <v>41</v>
      </c>
      <c r="N861" s="1" t="s">
        <v>37</v>
      </c>
      <c r="P861" s="1" t="s">
        <v>37</v>
      </c>
      <c r="R861" s="1" t="s">
        <v>37</v>
      </c>
      <c r="S861">
        <v>47.317264000000002</v>
      </c>
      <c r="T861">
        <v>9.4167539999999992</v>
      </c>
      <c r="U861" s="1" t="s">
        <v>40</v>
      </c>
      <c r="V861">
        <v>16</v>
      </c>
      <c r="W861">
        <v>0</v>
      </c>
      <c r="X861">
        <v>0</v>
      </c>
      <c r="Y861">
        <v>149.07</v>
      </c>
    </row>
    <row r="862" spans="1:26">
      <c r="A862" s="2">
        <v>43932</v>
      </c>
      <c r="B862" s="4">
        <v>0.41666666666666669</v>
      </c>
      <c r="C862" s="1" t="s">
        <v>42</v>
      </c>
      <c r="E862">
        <v>77</v>
      </c>
      <c r="F862">
        <v>0</v>
      </c>
      <c r="G862">
        <v>6</v>
      </c>
      <c r="K862">
        <v>3</v>
      </c>
      <c r="L862" s="1" t="s">
        <v>44</v>
      </c>
      <c r="N862" s="1" t="s">
        <v>37</v>
      </c>
      <c r="P862" s="1" t="s">
        <v>37</v>
      </c>
      <c r="R862" s="1" t="s">
        <v>37</v>
      </c>
      <c r="S862">
        <v>47.416351999999996</v>
      </c>
      <c r="T862">
        <v>9.3679100000000002</v>
      </c>
      <c r="U862" s="1" t="s">
        <v>43</v>
      </c>
      <c r="V862">
        <v>15</v>
      </c>
      <c r="W862">
        <v>0</v>
      </c>
      <c r="X862">
        <v>0</v>
      </c>
      <c r="Y862">
        <v>139.49</v>
      </c>
      <c r="Z862">
        <v>5.4349999999999996</v>
      </c>
    </row>
    <row r="863" spans="1:26">
      <c r="A863" s="2">
        <v>43932</v>
      </c>
      <c r="B863" s="4">
        <v>0.33333333333333331</v>
      </c>
      <c r="C863" s="1" t="s">
        <v>45</v>
      </c>
      <c r="E863">
        <v>1419</v>
      </c>
      <c r="F863">
        <v>-8</v>
      </c>
      <c r="G863">
        <v>99</v>
      </c>
      <c r="H863">
        <v>33</v>
      </c>
      <c r="I863">
        <v>24</v>
      </c>
      <c r="K863">
        <v>44</v>
      </c>
      <c r="L863" s="1" t="s">
        <v>47</v>
      </c>
      <c r="N863" s="1" t="s">
        <v>37</v>
      </c>
      <c r="P863" s="1" t="s">
        <v>37</v>
      </c>
      <c r="R863" s="1" t="s">
        <v>37</v>
      </c>
      <c r="S863">
        <v>46.823608</v>
      </c>
      <c r="T863">
        <v>7.6366670000000001</v>
      </c>
      <c r="U863" s="1" t="s">
        <v>46</v>
      </c>
      <c r="V863">
        <v>2</v>
      </c>
      <c r="W863">
        <v>44</v>
      </c>
      <c r="X863">
        <v>2</v>
      </c>
      <c r="Y863">
        <v>137.62</v>
      </c>
      <c r="Z863">
        <v>4.2670000000000003</v>
      </c>
    </row>
    <row r="864" spans="1:26">
      <c r="A864" s="2">
        <v>43932</v>
      </c>
      <c r="B864" s="4">
        <v>0.125</v>
      </c>
      <c r="C864" s="1" t="s">
        <v>48</v>
      </c>
      <c r="E864">
        <v>736</v>
      </c>
      <c r="F864">
        <v>-4</v>
      </c>
      <c r="G864">
        <v>50</v>
      </c>
      <c r="H864">
        <v>16</v>
      </c>
      <c r="I864">
        <v>15</v>
      </c>
      <c r="J864">
        <v>527</v>
      </c>
      <c r="K864">
        <v>22</v>
      </c>
      <c r="L864" s="1" t="s">
        <v>50</v>
      </c>
      <c r="N864" s="1" t="s">
        <v>37</v>
      </c>
      <c r="P864" s="1" t="s">
        <v>37</v>
      </c>
      <c r="R864" s="1" t="s">
        <v>37</v>
      </c>
      <c r="S864">
        <v>47.45176</v>
      </c>
      <c r="T864">
        <v>7.7024140000000001</v>
      </c>
      <c r="U864" s="1" t="s">
        <v>49</v>
      </c>
      <c r="V864">
        <v>13</v>
      </c>
      <c r="W864">
        <v>14</v>
      </c>
      <c r="X864">
        <v>0</v>
      </c>
      <c r="Y864">
        <v>256.45</v>
      </c>
      <c r="Z864">
        <v>7.6660000000000004</v>
      </c>
    </row>
    <row r="865" spans="1:26">
      <c r="A865" s="2">
        <v>43932</v>
      </c>
      <c r="B865" s="4">
        <v>0.39583333333333331</v>
      </c>
      <c r="C865" s="1" t="s">
        <v>51</v>
      </c>
      <c r="D865">
        <v>235</v>
      </c>
      <c r="E865">
        <v>866</v>
      </c>
      <c r="F865">
        <v>0</v>
      </c>
      <c r="G865">
        <v>87</v>
      </c>
      <c r="H865">
        <v>13</v>
      </c>
      <c r="J865">
        <v>612</v>
      </c>
      <c r="K865">
        <v>33</v>
      </c>
      <c r="L865" s="1" t="s">
        <v>338</v>
      </c>
      <c r="M865">
        <v>474</v>
      </c>
      <c r="N865" s="1" t="s">
        <v>37</v>
      </c>
      <c r="P865" s="1" t="s">
        <v>37</v>
      </c>
      <c r="R865" s="1" t="s">
        <v>37</v>
      </c>
      <c r="S865">
        <v>47.564869000000002</v>
      </c>
      <c r="T865">
        <v>7.615259</v>
      </c>
      <c r="U865" s="1" t="s">
        <v>52</v>
      </c>
      <c r="V865">
        <v>12</v>
      </c>
      <c r="W865">
        <v>7</v>
      </c>
      <c r="X865">
        <v>0</v>
      </c>
      <c r="Y865">
        <v>446.62</v>
      </c>
      <c r="Z865">
        <v>17.018999999999998</v>
      </c>
    </row>
    <row r="866" spans="1:26">
      <c r="A866" s="2">
        <v>43932</v>
      </c>
      <c r="B866" s="4">
        <v>0.125</v>
      </c>
      <c r="C866" s="1" t="s">
        <v>54</v>
      </c>
      <c r="D866">
        <v>900</v>
      </c>
      <c r="E866">
        <v>79</v>
      </c>
      <c r="F866">
        <v>0</v>
      </c>
      <c r="J866">
        <v>1</v>
      </c>
      <c r="K866">
        <v>1</v>
      </c>
      <c r="L866" s="1" t="s">
        <v>350</v>
      </c>
      <c r="N866" s="1" t="s">
        <v>37</v>
      </c>
      <c r="P866" s="1" t="s">
        <v>37</v>
      </c>
      <c r="R866" s="1" t="s">
        <v>37</v>
      </c>
      <c r="S866">
        <v>47.166666999999997</v>
      </c>
      <c r="T866">
        <v>9.509722</v>
      </c>
      <c r="U866" s="1" t="s">
        <v>55</v>
      </c>
      <c r="V866">
        <v>0</v>
      </c>
      <c r="W866">
        <v>0</v>
      </c>
      <c r="X866">
        <v>0</v>
      </c>
      <c r="Y866">
        <v>204.66</v>
      </c>
      <c r="Z866">
        <v>2.5910000000000002</v>
      </c>
    </row>
    <row r="867" spans="1:26">
      <c r="A867" s="2">
        <v>43932</v>
      </c>
      <c r="B867" s="4">
        <v>0.125</v>
      </c>
      <c r="C867" s="1" t="s">
        <v>57</v>
      </c>
      <c r="D867">
        <v>30</v>
      </c>
      <c r="E867">
        <v>834</v>
      </c>
      <c r="F867">
        <v>-5</v>
      </c>
      <c r="G867">
        <v>68</v>
      </c>
      <c r="H867">
        <v>20</v>
      </c>
      <c r="J867">
        <v>93</v>
      </c>
      <c r="K867">
        <v>53</v>
      </c>
      <c r="L867" s="1" t="s">
        <v>59</v>
      </c>
      <c r="N867" s="1" t="s">
        <v>37</v>
      </c>
      <c r="P867" s="1" t="s">
        <v>37</v>
      </c>
      <c r="R867" s="1" t="s">
        <v>37</v>
      </c>
      <c r="S867">
        <v>46.718390999999997</v>
      </c>
      <c r="T867">
        <v>7.0740080000000001</v>
      </c>
      <c r="U867" s="1" t="s">
        <v>58</v>
      </c>
      <c r="V867">
        <v>10</v>
      </c>
      <c r="W867">
        <v>38</v>
      </c>
      <c r="X867">
        <v>4</v>
      </c>
      <c r="Y867">
        <v>264.68</v>
      </c>
      <c r="Z867">
        <v>16.82</v>
      </c>
    </row>
    <row r="868" spans="1:26">
      <c r="A868" s="2">
        <v>43932</v>
      </c>
      <c r="B868" s="4">
        <v>0.125</v>
      </c>
      <c r="C868" s="1" t="s">
        <v>60</v>
      </c>
      <c r="D868">
        <v>18775</v>
      </c>
      <c r="E868">
        <v>4289</v>
      </c>
      <c r="F868">
        <v>-15</v>
      </c>
      <c r="G868">
        <v>364</v>
      </c>
      <c r="H868">
        <v>48</v>
      </c>
      <c r="I868">
        <v>44</v>
      </c>
      <c r="J868">
        <v>463</v>
      </c>
      <c r="K868">
        <v>167</v>
      </c>
      <c r="L868" s="1" t="s">
        <v>62</v>
      </c>
      <c r="N868" s="1" t="s">
        <v>37</v>
      </c>
      <c r="P868" s="1" t="s">
        <v>37</v>
      </c>
      <c r="Q868">
        <v>20</v>
      </c>
      <c r="R868" s="1" t="s">
        <v>37</v>
      </c>
      <c r="S868">
        <v>46.220528000000002</v>
      </c>
      <c r="T868">
        <v>6.1329349999999998</v>
      </c>
      <c r="U868" s="1" t="s">
        <v>61</v>
      </c>
      <c r="V868">
        <v>25</v>
      </c>
      <c r="W868">
        <v>49</v>
      </c>
      <c r="X868">
        <v>8</v>
      </c>
      <c r="Y868">
        <v>866.11</v>
      </c>
      <c r="Z868">
        <v>33.723999999999997</v>
      </c>
    </row>
    <row r="869" spans="1:26">
      <c r="A869" s="2">
        <v>43932</v>
      </c>
      <c r="B869" s="4">
        <v>0.70833333333333337</v>
      </c>
      <c r="C869" s="1" t="s">
        <v>63</v>
      </c>
      <c r="E869">
        <v>91</v>
      </c>
      <c r="F869">
        <v>0</v>
      </c>
      <c r="G869">
        <v>2</v>
      </c>
      <c r="K869">
        <v>2</v>
      </c>
      <c r="L869" s="1" t="s">
        <v>65</v>
      </c>
      <c r="N869" s="1" t="s">
        <v>37</v>
      </c>
      <c r="P869" s="1" t="s">
        <v>37</v>
      </c>
      <c r="R869" s="1" t="s">
        <v>37</v>
      </c>
      <c r="S869">
        <v>46.931042000000005</v>
      </c>
      <c r="T869">
        <v>9.0657510000000006</v>
      </c>
      <c r="U869" s="1" t="s">
        <v>64</v>
      </c>
      <c r="V869">
        <v>8</v>
      </c>
      <c r="W869">
        <v>24</v>
      </c>
      <c r="X869">
        <v>0</v>
      </c>
      <c r="Y869">
        <v>225.81</v>
      </c>
      <c r="Z869">
        <v>4.9630000000000001</v>
      </c>
    </row>
    <row r="870" spans="1:26">
      <c r="A870" s="2">
        <v>43932</v>
      </c>
      <c r="B870" s="4">
        <v>0.125</v>
      </c>
      <c r="C870" s="1" t="s">
        <v>66</v>
      </c>
      <c r="E870">
        <v>728</v>
      </c>
      <c r="F870">
        <v>0</v>
      </c>
      <c r="G870">
        <v>35</v>
      </c>
      <c r="K870">
        <v>35</v>
      </c>
      <c r="L870" s="1" t="s">
        <v>68</v>
      </c>
      <c r="N870" s="1" t="s">
        <v>37</v>
      </c>
      <c r="P870" s="1" t="s">
        <v>37</v>
      </c>
      <c r="R870" s="1" t="s">
        <v>37</v>
      </c>
      <c r="S870">
        <v>46.656247999999998</v>
      </c>
      <c r="T870">
        <v>9.6281979999999994</v>
      </c>
      <c r="U870" s="1" t="s">
        <v>67</v>
      </c>
      <c r="V870">
        <v>1</v>
      </c>
      <c r="W870">
        <v>13</v>
      </c>
      <c r="X870">
        <v>0</v>
      </c>
      <c r="Y870">
        <v>367.86</v>
      </c>
      <c r="Z870">
        <v>17.686</v>
      </c>
    </row>
    <row r="871" spans="1:26">
      <c r="A871" s="2">
        <v>43932</v>
      </c>
      <c r="B871" s="4">
        <v>0.66666666666666663</v>
      </c>
      <c r="C871" s="1" t="s">
        <v>69</v>
      </c>
      <c r="E871">
        <v>183</v>
      </c>
      <c r="F871">
        <v>-2</v>
      </c>
      <c r="G871">
        <v>23</v>
      </c>
      <c r="H871">
        <v>5</v>
      </c>
      <c r="K871">
        <v>3</v>
      </c>
      <c r="L871" s="1" t="s">
        <v>280</v>
      </c>
      <c r="N871" s="1" t="s">
        <v>37</v>
      </c>
      <c r="P871" s="1" t="s">
        <v>37</v>
      </c>
      <c r="R871" s="1" t="s">
        <v>37</v>
      </c>
      <c r="S871">
        <v>47.350743999999999</v>
      </c>
      <c r="T871">
        <v>7.1561070000000004</v>
      </c>
      <c r="U871" s="1" t="s">
        <v>70</v>
      </c>
      <c r="V871">
        <v>26</v>
      </c>
      <c r="W871">
        <v>1</v>
      </c>
      <c r="X871">
        <v>0</v>
      </c>
      <c r="Y871">
        <v>249.66</v>
      </c>
      <c r="Z871">
        <v>4.093</v>
      </c>
    </row>
    <row r="872" spans="1:26">
      <c r="A872" s="2">
        <v>43932</v>
      </c>
      <c r="B872" s="4">
        <v>0.45833333333333331</v>
      </c>
      <c r="C872" s="1" t="s">
        <v>71</v>
      </c>
      <c r="E872">
        <v>568</v>
      </c>
      <c r="F872">
        <v>0</v>
      </c>
      <c r="G872">
        <v>69</v>
      </c>
      <c r="H872">
        <v>6</v>
      </c>
      <c r="K872">
        <v>10</v>
      </c>
      <c r="L872" s="1" t="s">
        <v>73</v>
      </c>
      <c r="N872" s="1" t="s">
        <v>37</v>
      </c>
      <c r="P872" s="1" t="s">
        <v>37</v>
      </c>
      <c r="R872" s="1" t="s">
        <v>37</v>
      </c>
      <c r="S872">
        <v>47.067762999999999</v>
      </c>
      <c r="T872">
        <v>8.1102000000000007</v>
      </c>
      <c r="U872" s="1" t="s">
        <v>72</v>
      </c>
      <c r="V872">
        <v>3</v>
      </c>
      <c r="W872">
        <v>8</v>
      </c>
      <c r="X872">
        <v>1</v>
      </c>
      <c r="Y872">
        <v>139.72999999999999</v>
      </c>
      <c r="Z872">
        <v>2.46</v>
      </c>
    </row>
    <row r="873" spans="1:26">
      <c r="A873" s="2">
        <v>43932</v>
      </c>
      <c r="B873" s="4">
        <v>0.66666666666666663</v>
      </c>
      <c r="C873" s="1" t="s">
        <v>74</v>
      </c>
      <c r="E873">
        <v>579</v>
      </c>
      <c r="F873">
        <v>1</v>
      </c>
      <c r="G873">
        <v>64</v>
      </c>
      <c r="H873">
        <v>11</v>
      </c>
      <c r="I873">
        <v>9</v>
      </c>
      <c r="K873">
        <v>42</v>
      </c>
      <c r="L873" s="1" t="s">
        <v>76</v>
      </c>
      <c r="N873" s="1" t="s">
        <v>37</v>
      </c>
      <c r="P873" s="1" t="s">
        <v>37</v>
      </c>
      <c r="R873" s="1" t="s">
        <v>37</v>
      </c>
      <c r="S873">
        <v>46.995533999999999</v>
      </c>
      <c r="T873">
        <v>6.7801260000000001</v>
      </c>
      <c r="U873" s="1" t="s">
        <v>75</v>
      </c>
      <c r="V873">
        <v>24</v>
      </c>
      <c r="W873">
        <v>9</v>
      </c>
      <c r="X873">
        <v>2</v>
      </c>
      <c r="Y873">
        <v>325.27999999999997</v>
      </c>
      <c r="Z873">
        <v>23.596</v>
      </c>
    </row>
    <row r="874" spans="1:26">
      <c r="A874" s="2">
        <v>43932</v>
      </c>
      <c r="B874" s="4">
        <v>0.79166666666666663</v>
      </c>
      <c r="C874" s="1" t="s">
        <v>77</v>
      </c>
      <c r="E874">
        <v>103</v>
      </c>
      <c r="F874">
        <v>0</v>
      </c>
      <c r="G874">
        <v>6</v>
      </c>
      <c r="H874">
        <v>2</v>
      </c>
      <c r="K874">
        <v>0</v>
      </c>
      <c r="L874" s="1" t="s">
        <v>79</v>
      </c>
      <c r="N874" s="1" t="s">
        <v>37</v>
      </c>
      <c r="P874" s="1" t="s">
        <v>37</v>
      </c>
      <c r="R874" s="1" t="s">
        <v>37</v>
      </c>
      <c r="S874">
        <v>46.926755</v>
      </c>
      <c r="T874">
        <v>8.4053020000000007</v>
      </c>
      <c r="U874" s="1" t="s">
        <v>78</v>
      </c>
      <c r="V874">
        <v>7</v>
      </c>
      <c r="W874">
        <v>3</v>
      </c>
      <c r="X874">
        <v>0</v>
      </c>
      <c r="Y874">
        <v>239.53</v>
      </c>
      <c r="Z874">
        <v>0</v>
      </c>
    </row>
    <row r="875" spans="1:26">
      <c r="A875" s="2">
        <v>43932</v>
      </c>
      <c r="B875" s="4">
        <v>0.125</v>
      </c>
      <c r="C875" s="1" t="s">
        <v>83</v>
      </c>
      <c r="E875">
        <v>641</v>
      </c>
      <c r="F875">
        <v>0</v>
      </c>
      <c r="G875">
        <v>60</v>
      </c>
      <c r="H875">
        <v>11</v>
      </c>
      <c r="J875">
        <v>102</v>
      </c>
      <c r="K875">
        <v>18</v>
      </c>
      <c r="L875" s="1" t="s">
        <v>85</v>
      </c>
      <c r="N875" s="1" t="s">
        <v>37</v>
      </c>
      <c r="P875" s="1" t="s">
        <v>37</v>
      </c>
      <c r="R875" s="1" t="s">
        <v>37</v>
      </c>
      <c r="S875">
        <v>47.183199999999999</v>
      </c>
      <c r="T875">
        <v>9.2747440000000001</v>
      </c>
      <c r="U875" s="1" t="s">
        <v>84</v>
      </c>
      <c r="V875">
        <v>17</v>
      </c>
      <c r="W875">
        <v>9</v>
      </c>
      <c r="X875">
        <v>1</v>
      </c>
      <c r="Y875">
        <v>127.01</v>
      </c>
      <c r="Z875">
        <v>3.5659999999999998</v>
      </c>
    </row>
    <row r="876" spans="1:26">
      <c r="A876" s="2">
        <v>43932</v>
      </c>
      <c r="B876" s="4">
        <v>0.39583333333333331</v>
      </c>
      <c r="C876" s="1" t="s">
        <v>86</v>
      </c>
      <c r="E876">
        <v>55</v>
      </c>
      <c r="F876">
        <v>0</v>
      </c>
      <c r="G876">
        <v>13</v>
      </c>
      <c r="H876">
        <v>2</v>
      </c>
      <c r="K876">
        <v>1</v>
      </c>
      <c r="L876" s="1" t="s">
        <v>88</v>
      </c>
      <c r="N876" s="1" t="s">
        <v>37</v>
      </c>
      <c r="P876" s="1" t="s">
        <v>37</v>
      </c>
      <c r="R876" s="1" t="s">
        <v>37</v>
      </c>
      <c r="S876">
        <v>47.713569999999997</v>
      </c>
      <c r="T876">
        <v>8.5916700000000006</v>
      </c>
      <c r="U876" s="1" t="s">
        <v>87</v>
      </c>
      <c r="V876">
        <v>14</v>
      </c>
      <c r="W876">
        <v>2</v>
      </c>
      <c r="X876">
        <v>0</v>
      </c>
      <c r="Y876">
        <v>67.569999999999993</v>
      </c>
      <c r="Z876">
        <v>1.2290000000000001</v>
      </c>
    </row>
    <row r="877" spans="1:26">
      <c r="A877" s="2">
        <v>43932</v>
      </c>
      <c r="B877" s="4">
        <v>0.125</v>
      </c>
      <c r="C877" s="1" t="s">
        <v>89</v>
      </c>
      <c r="E877">
        <v>306</v>
      </c>
      <c r="F877">
        <v>1</v>
      </c>
      <c r="G877">
        <v>23</v>
      </c>
      <c r="K877">
        <v>6</v>
      </c>
      <c r="L877" s="1" t="s">
        <v>91</v>
      </c>
      <c r="N877" s="1" t="s">
        <v>37</v>
      </c>
      <c r="P877" s="1" t="s">
        <v>37</v>
      </c>
      <c r="R877" s="1" t="s">
        <v>37</v>
      </c>
      <c r="S877">
        <v>47.304135000000002</v>
      </c>
      <c r="T877">
        <v>7.6393880000000003</v>
      </c>
      <c r="U877" s="1" t="s">
        <v>90</v>
      </c>
      <c r="V877">
        <v>11</v>
      </c>
      <c r="W877">
        <v>12</v>
      </c>
      <c r="X877">
        <v>1</v>
      </c>
      <c r="Y877">
        <v>112.75</v>
      </c>
      <c r="Z877">
        <v>2.2109999999999999</v>
      </c>
    </row>
    <row r="878" spans="1:26">
      <c r="A878" s="2">
        <v>43932</v>
      </c>
      <c r="B878" s="4">
        <v>0.125</v>
      </c>
      <c r="C878" s="1" t="s">
        <v>92</v>
      </c>
      <c r="D878">
        <v>10</v>
      </c>
      <c r="E878">
        <v>249</v>
      </c>
      <c r="F878">
        <v>0</v>
      </c>
      <c r="G878">
        <v>1</v>
      </c>
      <c r="J878">
        <v>118</v>
      </c>
      <c r="K878">
        <v>10</v>
      </c>
      <c r="L878" s="1" t="s">
        <v>339</v>
      </c>
      <c r="N878" s="1" t="s">
        <v>37</v>
      </c>
      <c r="P878" s="1" t="s">
        <v>37</v>
      </c>
      <c r="R878" s="1" t="s">
        <v>37</v>
      </c>
      <c r="S878">
        <v>47.061787000000002</v>
      </c>
      <c r="T878">
        <v>8.7565849999999994</v>
      </c>
      <c r="U878" s="1" t="s">
        <v>93</v>
      </c>
      <c r="V878">
        <v>5</v>
      </c>
      <c r="W878">
        <v>34</v>
      </c>
      <c r="X878">
        <v>0</v>
      </c>
      <c r="Y878">
        <v>158.30000000000001</v>
      </c>
      <c r="Z878">
        <v>6.3570000000000002</v>
      </c>
    </row>
    <row r="879" spans="1:26">
      <c r="A879" s="2">
        <v>43932</v>
      </c>
      <c r="B879" s="4">
        <v>0.125</v>
      </c>
      <c r="C879" s="1" t="s">
        <v>95</v>
      </c>
      <c r="D879">
        <v>276</v>
      </c>
      <c r="E879">
        <v>274</v>
      </c>
      <c r="F879">
        <v>0</v>
      </c>
      <c r="G879">
        <v>32</v>
      </c>
      <c r="H879">
        <v>14</v>
      </c>
      <c r="K879">
        <v>8</v>
      </c>
      <c r="L879" s="1" t="s">
        <v>97</v>
      </c>
      <c r="N879" s="1" t="s">
        <v>37</v>
      </c>
      <c r="P879" s="1" t="s">
        <v>37</v>
      </c>
      <c r="R879" s="1" t="s">
        <v>37</v>
      </c>
      <c r="S879">
        <v>47.568714999999997</v>
      </c>
      <c r="T879">
        <v>9.0919570000000007</v>
      </c>
      <c r="U879" s="1" t="s">
        <v>96</v>
      </c>
      <c r="V879">
        <v>1</v>
      </c>
      <c r="W879">
        <v>10</v>
      </c>
      <c r="X879">
        <v>0</v>
      </c>
      <c r="Y879">
        <v>100.07</v>
      </c>
      <c r="Z879">
        <v>2.9220000000000002</v>
      </c>
    </row>
    <row r="880" spans="1:26">
      <c r="A880" s="2">
        <v>43932</v>
      </c>
      <c r="B880" s="4">
        <v>0.33333333333333331</v>
      </c>
      <c r="C880" s="1" t="s">
        <v>98</v>
      </c>
      <c r="E880">
        <v>2818</v>
      </c>
      <c r="F880">
        <v>-15</v>
      </c>
      <c r="G880">
        <v>282</v>
      </c>
      <c r="H880">
        <v>68</v>
      </c>
      <c r="I880">
        <v>59</v>
      </c>
      <c r="J880">
        <v>493</v>
      </c>
      <c r="K880">
        <v>229</v>
      </c>
      <c r="L880" s="1" t="s">
        <v>351</v>
      </c>
      <c r="N880" s="1" t="s">
        <v>37</v>
      </c>
      <c r="P880" s="1" t="s">
        <v>37</v>
      </c>
      <c r="R880" s="1" t="s">
        <v>37</v>
      </c>
      <c r="S880">
        <v>46.295617</v>
      </c>
      <c r="T880">
        <v>8.8089239999999993</v>
      </c>
      <c r="U880" s="1" t="s">
        <v>99</v>
      </c>
      <c r="V880">
        <v>21</v>
      </c>
      <c r="W880">
        <v>42</v>
      </c>
      <c r="X880">
        <v>2</v>
      </c>
      <c r="Y880">
        <v>796.72</v>
      </c>
      <c r="Z880">
        <v>64.744</v>
      </c>
    </row>
    <row r="881" spans="1:26">
      <c r="A881" s="2">
        <v>43932</v>
      </c>
      <c r="B881" s="4">
        <v>0.66666666666666663</v>
      </c>
      <c r="C881" s="1" t="s">
        <v>101</v>
      </c>
      <c r="D881">
        <v>85</v>
      </c>
      <c r="E881">
        <v>75</v>
      </c>
      <c r="F881">
        <v>4</v>
      </c>
      <c r="G881">
        <v>8</v>
      </c>
      <c r="J881">
        <v>50</v>
      </c>
      <c r="K881">
        <v>4</v>
      </c>
      <c r="L881" s="1" t="s">
        <v>103</v>
      </c>
      <c r="N881" s="1" t="s">
        <v>37</v>
      </c>
      <c r="P881" s="1" t="s">
        <v>37</v>
      </c>
      <c r="R881" s="1" t="s">
        <v>37</v>
      </c>
      <c r="S881">
        <v>46.771849000000003</v>
      </c>
      <c r="T881">
        <v>8.6285860000000003</v>
      </c>
      <c r="U881" s="1" t="s">
        <v>102</v>
      </c>
      <c r="V881">
        <v>4</v>
      </c>
      <c r="W881">
        <v>1</v>
      </c>
      <c r="X881">
        <v>0</v>
      </c>
      <c r="Y881">
        <v>206.61</v>
      </c>
      <c r="Z881">
        <v>11.019</v>
      </c>
    </row>
    <row r="882" spans="1:26">
      <c r="A882" s="2">
        <v>43932</v>
      </c>
      <c r="B882" s="4">
        <v>0.125</v>
      </c>
      <c r="C882" s="1" t="s">
        <v>104</v>
      </c>
      <c r="E882">
        <v>4625</v>
      </c>
      <c r="F882">
        <v>-14</v>
      </c>
      <c r="G882">
        <v>294</v>
      </c>
      <c r="H882">
        <v>70</v>
      </c>
      <c r="J882">
        <v>225</v>
      </c>
      <c r="K882">
        <v>241</v>
      </c>
      <c r="L882" s="1" t="s">
        <v>106</v>
      </c>
      <c r="N882" s="1" t="s">
        <v>37</v>
      </c>
      <c r="P882" s="1" t="s">
        <v>37</v>
      </c>
      <c r="R882" s="1" t="s">
        <v>37</v>
      </c>
      <c r="S882">
        <v>46.570090999999998</v>
      </c>
      <c r="T882">
        <v>6.5578090000000007</v>
      </c>
      <c r="U882" s="1" t="s">
        <v>105</v>
      </c>
      <c r="V882">
        <v>22</v>
      </c>
      <c r="W882">
        <v>34</v>
      </c>
      <c r="X882">
        <v>6</v>
      </c>
      <c r="Y882">
        <v>583.15</v>
      </c>
      <c r="Z882">
        <v>30.387</v>
      </c>
    </row>
    <row r="883" spans="1:26">
      <c r="A883" s="2">
        <v>43932</v>
      </c>
      <c r="B883" s="4">
        <v>0.625</v>
      </c>
      <c r="C883" s="1" t="s">
        <v>107</v>
      </c>
      <c r="E883">
        <v>1653</v>
      </c>
      <c r="F883">
        <v>-3</v>
      </c>
      <c r="G883">
        <v>113</v>
      </c>
      <c r="H883">
        <v>20</v>
      </c>
      <c r="I883">
        <v>15</v>
      </c>
      <c r="J883">
        <v>148</v>
      </c>
      <c r="K883">
        <v>85</v>
      </c>
      <c r="L883" s="1" t="s">
        <v>412</v>
      </c>
      <c r="N883" s="1" t="s">
        <v>37</v>
      </c>
      <c r="P883" s="1" t="s">
        <v>37</v>
      </c>
      <c r="R883" s="1" t="s">
        <v>37</v>
      </c>
      <c r="S883">
        <v>46.209567</v>
      </c>
      <c r="T883">
        <v>7.6046589999999998</v>
      </c>
      <c r="U883" s="1" t="s">
        <v>108</v>
      </c>
      <c r="V883">
        <v>23</v>
      </c>
      <c r="W883">
        <v>26</v>
      </c>
      <c r="X883">
        <v>2</v>
      </c>
      <c r="Y883">
        <v>484.04</v>
      </c>
      <c r="Z883">
        <v>24.89</v>
      </c>
    </row>
    <row r="884" spans="1:26">
      <c r="A884" s="2">
        <v>43932</v>
      </c>
      <c r="B884" s="4">
        <v>0.33333333333333331</v>
      </c>
      <c r="C884" s="1" t="s">
        <v>109</v>
      </c>
      <c r="E884">
        <v>168</v>
      </c>
      <c r="F884">
        <v>-1</v>
      </c>
      <c r="G884">
        <v>13</v>
      </c>
      <c r="H884">
        <v>9</v>
      </c>
      <c r="J884">
        <v>79</v>
      </c>
      <c r="K884">
        <v>5</v>
      </c>
      <c r="L884" s="1" t="s">
        <v>502</v>
      </c>
      <c r="N884" s="1" t="s">
        <v>37</v>
      </c>
      <c r="P884" s="1" t="s">
        <v>37</v>
      </c>
      <c r="R884" s="1" t="s">
        <v>37</v>
      </c>
      <c r="S884">
        <v>47.157296000000002</v>
      </c>
      <c r="T884">
        <v>8.5372939999999993</v>
      </c>
      <c r="U884" s="1" t="s">
        <v>110</v>
      </c>
      <c r="V884">
        <v>9</v>
      </c>
      <c r="W884">
        <v>0</v>
      </c>
      <c r="X884">
        <v>1</v>
      </c>
      <c r="Y884">
        <v>133.97</v>
      </c>
      <c r="Z884">
        <v>3.9870000000000001</v>
      </c>
    </row>
    <row r="885" spans="1:26">
      <c r="A885" s="2">
        <v>43932</v>
      </c>
      <c r="B885" s="4">
        <v>0.60416666666666663</v>
      </c>
      <c r="C885" s="1" t="s">
        <v>111</v>
      </c>
      <c r="E885">
        <v>2985</v>
      </c>
      <c r="F885">
        <v>-3</v>
      </c>
      <c r="G885">
        <v>149</v>
      </c>
      <c r="I885">
        <v>50</v>
      </c>
      <c r="K885">
        <v>77</v>
      </c>
      <c r="L885" s="1" t="s">
        <v>113</v>
      </c>
      <c r="N885" s="1" t="s">
        <v>37</v>
      </c>
      <c r="P885" s="1" t="s">
        <v>37</v>
      </c>
      <c r="R885" s="1" t="s">
        <v>37</v>
      </c>
      <c r="S885">
        <v>47.412750000000003</v>
      </c>
      <c r="T885">
        <v>8.6550799999999999</v>
      </c>
      <c r="U885" s="1" t="s">
        <v>112</v>
      </c>
      <c r="V885">
        <v>1</v>
      </c>
      <c r="W885">
        <v>58</v>
      </c>
      <c r="X885">
        <v>6</v>
      </c>
      <c r="Y885">
        <v>198.43</v>
      </c>
      <c r="Z885">
        <v>5.1189999999999998</v>
      </c>
    </row>
    <row r="886" spans="1:26">
      <c r="A886" s="2">
        <v>43933</v>
      </c>
      <c r="B886" s="4">
        <v>0.61458333333333337</v>
      </c>
      <c r="C886" s="1" t="s">
        <v>35</v>
      </c>
      <c r="E886">
        <v>899</v>
      </c>
      <c r="F886">
        <v>0</v>
      </c>
      <c r="G886">
        <v>76</v>
      </c>
      <c r="H886">
        <v>23</v>
      </c>
      <c r="I886">
        <v>21</v>
      </c>
      <c r="J886">
        <v>300</v>
      </c>
      <c r="K886">
        <v>18</v>
      </c>
      <c r="L886" s="1" t="s">
        <v>439</v>
      </c>
      <c r="N886" s="1" t="s">
        <v>37</v>
      </c>
      <c r="P886" s="1" t="s">
        <v>37</v>
      </c>
      <c r="R886" s="1" t="s">
        <v>37</v>
      </c>
      <c r="S886">
        <v>47.409660000000002</v>
      </c>
      <c r="T886">
        <v>8.1568799999999992</v>
      </c>
      <c r="U886" s="1" t="s">
        <v>36</v>
      </c>
      <c r="V886">
        <v>1</v>
      </c>
      <c r="W886">
        <v>21</v>
      </c>
      <c r="X886">
        <v>0</v>
      </c>
      <c r="Y886">
        <v>133.97999999999999</v>
      </c>
      <c r="Z886">
        <v>2.6829999999999998</v>
      </c>
    </row>
    <row r="887" spans="1:26">
      <c r="A887" s="2">
        <v>43933</v>
      </c>
      <c r="B887" s="4">
        <v>0.33333333333333331</v>
      </c>
      <c r="C887" s="1" t="s">
        <v>45</v>
      </c>
      <c r="E887">
        <v>1441</v>
      </c>
      <c r="F887">
        <v>-4</v>
      </c>
      <c r="G887">
        <v>95</v>
      </c>
      <c r="H887">
        <v>33</v>
      </c>
      <c r="I887">
        <v>22</v>
      </c>
      <c r="K887">
        <v>49</v>
      </c>
      <c r="L887" s="1" t="s">
        <v>47</v>
      </c>
      <c r="N887" s="1" t="s">
        <v>37</v>
      </c>
      <c r="P887" s="1" t="s">
        <v>37</v>
      </c>
      <c r="R887" s="1" t="s">
        <v>37</v>
      </c>
      <c r="S887">
        <v>46.823608</v>
      </c>
      <c r="T887">
        <v>7.6366670000000001</v>
      </c>
      <c r="U887" s="1" t="s">
        <v>46</v>
      </c>
      <c r="V887">
        <v>2</v>
      </c>
      <c r="W887">
        <v>22</v>
      </c>
      <c r="X887">
        <v>5</v>
      </c>
      <c r="Y887">
        <v>139.75</v>
      </c>
      <c r="Z887">
        <v>4.7519999999999998</v>
      </c>
    </row>
    <row r="888" spans="1:26">
      <c r="A888" s="2">
        <v>43933</v>
      </c>
      <c r="B888" s="4">
        <v>0.125</v>
      </c>
      <c r="C888" s="1" t="s">
        <v>48</v>
      </c>
      <c r="E888">
        <v>740</v>
      </c>
      <c r="F888">
        <v>-2</v>
      </c>
      <c r="G888">
        <v>48</v>
      </c>
      <c r="H888">
        <v>17</v>
      </c>
      <c r="I888">
        <v>14</v>
      </c>
      <c r="J888">
        <v>554</v>
      </c>
      <c r="K888">
        <v>23</v>
      </c>
      <c r="L888" s="1" t="s">
        <v>50</v>
      </c>
      <c r="N888" s="1" t="s">
        <v>37</v>
      </c>
      <c r="P888" s="1" t="s">
        <v>37</v>
      </c>
      <c r="R888" s="1" t="s">
        <v>37</v>
      </c>
      <c r="S888">
        <v>47.45176</v>
      </c>
      <c r="T888">
        <v>7.7024140000000001</v>
      </c>
      <c r="U888" s="1" t="s">
        <v>49</v>
      </c>
      <c r="V888">
        <v>13</v>
      </c>
      <c r="W888">
        <v>4</v>
      </c>
      <c r="X888">
        <v>1</v>
      </c>
      <c r="Y888">
        <v>257.83999999999997</v>
      </c>
      <c r="Z888">
        <v>8.0139999999999993</v>
      </c>
    </row>
    <row r="889" spans="1:26">
      <c r="A889" s="2">
        <v>43933</v>
      </c>
      <c r="B889" s="4">
        <v>0.41666666666666669</v>
      </c>
      <c r="C889" s="1" t="s">
        <v>51</v>
      </c>
      <c r="D889">
        <v>235</v>
      </c>
      <c r="E889">
        <v>882</v>
      </c>
      <c r="F889">
        <v>0</v>
      </c>
      <c r="G889">
        <v>86</v>
      </c>
      <c r="H889">
        <v>12</v>
      </c>
      <c r="J889">
        <v>629</v>
      </c>
      <c r="K889">
        <v>33</v>
      </c>
      <c r="L889" s="1" t="s">
        <v>352</v>
      </c>
      <c r="M889">
        <v>485</v>
      </c>
      <c r="N889" s="1" t="s">
        <v>300</v>
      </c>
      <c r="P889" s="1" t="s">
        <v>37</v>
      </c>
      <c r="R889" s="1" t="s">
        <v>37</v>
      </c>
      <c r="S889">
        <v>47.564869000000002</v>
      </c>
      <c r="T889">
        <v>7.615259</v>
      </c>
      <c r="U889" s="1" t="s">
        <v>52</v>
      </c>
      <c r="V889">
        <v>12</v>
      </c>
      <c r="W889">
        <v>16</v>
      </c>
      <c r="X889">
        <v>0</v>
      </c>
      <c r="Y889">
        <v>454.87</v>
      </c>
      <c r="Z889">
        <v>17.018999999999998</v>
      </c>
    </row>
    <row r="890" spans="1:26">
      <c r="A890" s="2">
        <v>43933</v>
      </c>
      <c r="B890" s="4">
        <v>0.125</v>
      </c>
      <c r="C890" s="1" t="s">
        <v>54</v>
      </c>
      <c r="D890">
        <v>900</v>
      </c>
      <c r="E890">
        <v>80</v>
      </c>
      <c r="F890">
        <v>0</v>
      </c>
      <c r="J890">
        <v>1</v>
      </c>
      <c r="K890">
        <v>1</v>
      </c>
      <c r="L890" s="1" t="s">
        <v>410</v>
      </c>
      <c r="N890" s="1" t="s">
        <v>37</v>
      </c>
      <c r="P890" s="1" t="s">
        <v>37</v>
      </c>
      <c r="R890" s="1" t="s">
        <v>37</v>
      </c>
      <c r="S890">
        <v>47.166666999999997</v>
      </c>
      <c r="T890">
        <v>9.509722</v>
      </c>
      <c r="U890" s="1" t="s">
        <v>55</v>
      </c>
      <c r="V890">
        <v>0</v>
      </c>
      <c r="W890">
        <v>1</v>
      </c>
      <c r="X890">
        <v>0</v>
      </c>
      <c r="Y890">
        <v>207.25</v>
      </c>
      <c r="Z890">
        <v>2.5910000000000002</v>
      </c>
    </row>
    <row r="891" spans="1:26">
      <c r="A891" s="2">
        <v>43933</v>
      </c>
      <c r="B891" s="4">
        <v>0.125</v>
      </c>
      <c r="C891" s="1" t="s">
        <v>57</v>
      </c>
      <c r="D891">
        <v>30</v>
      </c>
      <c r="E891">
        <v>846</v>
      </c>
      <c r="F891">
        <v>-3</v>
      </c>
      <c r="G891">
        <v>65</v>
      </c>
      <c r="H891">
        <v>19</v>
      </c>
      <c r="J891">
        <v>97</v>
      </c>
      <c r="K891">
        <v>54</v>
      </c>
      <c r="L891" s="1" t="s">
        <v>59</v>
      </c>
      <c r="N891" s="1" t="s">
        <v>37</v>
      </c>
      <c r="P891" s="1" t="s">
        <v>37</v>
      </c>
      <c r="R891" s="1" t="s">
        <v>37</v>
      </c>
      <c r="S891">
        <v>46.718390999999997</v>
      </c>
      <c r="T891">
        <v>7.0740080000000001</v>
      </c>
      <c r="U891" s="1" t="s">
        <v>58</v>
      </c>
      <c r="V891">
        <v>10</v>
      </c>
      <c r="W891">
        <v>12</v>
      </c>
      <c r="X891">
        <v>1</v>
      </c>
      <c r="Y891">
        <v>268.49</v>
      </c>
      <c r="Z891">
        <v>17.137</v>
      </c>
    </row>
    <row r="892" spans="1:26">
      <c r="A892" s="2">
        <v>43933</v>
      </c>
      <c r="B892" s="4">
        <v>0.125</v>
      </c>
      <c r="C892" s="1" t="s">
        <v>60</v>
      </c>
      <c r="D892">
        <v>18954</v>
      </c>
      <c r="E892">
        <v>4311</v>
      </c>
      <c r="F892">
        <v>-1</v>
      </c>
      <c r="G892">
        <v>363</v>
      </c>
      <c r="H892">
        <v>47</v>
      </c>
      <c r="I892">
        <v>43</v>
      </c>
      <c r="J892">
        <v>479</v>
      </c>
      <c r="K892">
        <v>173</v>
      </c>
      <c r="L892" s="1" t="s">
        <v>62</v>
      </c>
      <c r="N892" s="1" t="s">
        <v>37</v>
      </c>
      <c r="P892" s="1" t="s">
        <v>37</v>
      </c>
      <c r="Q892">
        <v>21</v>
      </c>
      <c r="R892" s="1" t="s">
        <v>37</v>
      </c>
      <c r="S892">
        <v>46.220528000000002</v>
      </c>
      <c r="T892">
        <v>6.1329349999999998</v>
      </c>
      <c r="U892" s="1" t="s">
        <v>61</v>
      </c>
      <c r="V892">
        <v>25</v>
      </c>
      <c r="W892">
        <v>22</v>
      </c>
      <c r="X892">
        <v>6</v>
      </c>
      <c r="Y892">
        <v>870.56</v>
      </c>
      <c r="Z892">
        <v>34.935000000000002</v>
      </c>
    </row>
    <row r="893" spans="1:26">
      <c r="A893" s="2">
        <v>43933</v>
      </c>
      <c r="B893" s="4">
        <v>0.125</v>
      </c>
      <c r="C893" s="1" t="s">
        <v>66</v>
      </c>
      <c r="E893">
        <v>732</v>
      </c>
      <c r="F893">
        <v>0</v>
      </c>
      <c r="G893">
        <v>35</v>
      </c>
      <c r="K893">
        <v>35</v>
      </c>
      <c r="L893" s="1" t="s">
        <v>68</v>
      </c>
      <c r="N893" s="1" t="s">
        <v>37</v>
      </c>
      <c r="P893" s="1" t="s">
        <v>37</v>
      </c>
      <c r="R893" s="1" t="s">
        <v>37</v>
      </c>
      <c r="S893">
        <v>46.656247999999998</v>
      </c>
      <c r="T893">
        <v>9.6281979999999994</v>
      </c>
      <c r="U893" s="1" t="s">
        <v>67</v>
      </c>
      <c r="V893">
        <v>1</v>
      </c>
      <c r="W893">
        <v>4</v>
      </c>
      <c r="X893">
        <v>0</v>
      </c>
      <c r="Y893">
        <v>369.88</v>
      </c>
      <c r="Z893">
        <v>17.686</v>
      </c>
    </row>
    <row r="894" spans="1:26">
      <c r="A894" s="2">
        <v>43933</v>
      </c>
      <c r="B894" s="4">
        <v>0.66666666666666663</v>
      </c>
      <c r="C894" s="1" t="s">
        <v>69</v>
      </c>
      <c r="E894">
        <v>183</v>
      </c>
      <c r="F894">
        <v>-1</v>
      </c>
      <c r="G894">
        <v>22</v>
      </c>
      <c r="H894">
        <v>5</v>
      </c>
      <c r="K894">
        <v>3</v>
      </c>
      <c r="L894" s="1" t="s">
        <v>280</v>
      </c>
      <c r="N894" s="1" t="s">
        <v>37</v>
      </c>
      <c r="P894" s="1" t="s">
        <v>37</v>
      </c>
      <c r="R894" s="1" t="s">
        <v>37</v>
      </c>
      <c r="S894">
        <v>47.350743999999999</v>
      </c>
      <c r="T894">
        <v>7.1561070000000004</v>
      </c>
      <c r="U894" s="1" t="s">
        <v>70</v>
      </c>
      <c r="V894">
        <v>26</v>
      </c>
      <c r="W894">
        <v>0</v>
      </c>
      <c r="X894">
        <v>0</v>
      </c>
      <c r="Y894">
        <v>249.66</v>
      </c>
      <c r="Z894">
        <v>4.093</v>
      </c>
    </row>
    <row r="895" spans="1:26">
      <c r="A895" s="2">
        <v>43933</v>
      </c>
      <c r="B895" s="4">
        <v>0.45833333333333331</v>
      </c>
      <c r="C895" s="1" t="s">
        <v>71</v>
      </c>
      <c r="E895">
        <v>576</v>
      </c>
      <c r="F895">
        <v>0</v>
      </c>
      <c r="G895">
        <v>60</v>
      </c>
      <c r="H895">
        <v>5</v>
      </c>
      <c r="K895">
        <v>10</v>
      </c>
      <c r="L895" s="1" t="s">
        <v>73</v>
      </c>
      <c r="N895" s="1" t="s">
        <v>37</v>
      </c>
      <c r="P895" s="1" t="s">
        <v>37</v>
      </c>
      <c r="R895" s="1" t="s">
        <v>37</v>
      </c>
      <c r="S895">
        <v>47.067762999999999</v>
      </c>
      <c r="T895">
        <v>8.1102000000000007</v>
      </c>
      <c r="U895" s="1" t="s">
        <v>72</v>
      </c>
      <c r="V895">
        <v>3</v>
      </c>
      <c r="W895">
        <v>8</v>
      </c>
      <c r="X895">
        <v>0</v>
      </c>
      <c r="Y895">
        <v>141.69999999999999</v>
      </c>
      <c r="Z895">
        <v>2.46</v>
      </c>
    </row>
    <row r="896" spans="1:26">
      <c r="A896" s="2">
        <v>43933</v>
      </c>
      <c r="B896" s="4">
        <v>0.66666666666666663</v>
      </c>
      <c r="C896" s="1" t="s">
        <v>74</v>
      </c>
      <c r="E896">
        <v>589</v>
      </c>
      <c r="F896">
        <v>3</v>
      </c>
      <c r="G896">
        <v>67</v>
      </c>
      <c r="H896">
        <v>10</v>
      </c>
      <c r="I896">
        <v>10</v>
      </c>
      <c r="K896">
        <v>47</v>
      </c>
      <c r="L896" s="1" t="s">
        <v>76</v>
      </c>
      <c r="N896" s="1" t="s">
        <v>37</v>
      </c>
      <c r="P896" s="1" t="s">
        <v>37</v>
      </c>
      <c r="R896" s="1" t="s">
        <v>37</v>
      </c>
      <c r="S896">
        <v>46.995533999999999</v>
      </c>
      <c r="T896">
        <v>6.7801260000000001</v>
      </c>
      <c r="U896" s="1" t="s">
        <v>75</v>
      </c>
      <c r="V896">
        <v>24</v>
      </c>
      <c r="W896">
        <v>10</v>
      </c>
      <c r="X896">
        <v>5</v>
      </c>
      <c r="Y896">
        <v>330.9</v>
      </c>
      <c r="Z896">
        <v>26.404</v>
      </c>
    </row>
    <row r="897" spans="1:26">
      <c r="A897" s="2">
        <v>43933</v>
      </c>
      <c r="B897" s="4">
        <v>0.65972222222222221</v>
      </c>
      <c r="C897" s="1" t="s">
        <v>77</v>
      </c>
      <c r="E897">
        <v>104</v>
      </c>
      <c r="F897">
        <v>-2</v>
      </c>
      <c r="G897">
        <v>4</v>
      </c>
      <c r="H897">
        <v>2</v>
      </c>
      <c r="K897">
        <v>0</v>
      </c>
      <c r="L897" s="1" t="s">
        <v>79</v>
      </c>
      <c r="N897" s="1" t="s">
        <v>37</v>
      </c>
      <c r="P897" s="1" t="s">
        <v>37</v>
      </c>
      <c r="R897" s="1" t="s">
        <v>37</v>
      </c>
      <c r="S897">
        <v>46.926755</v>
      </c>
      <c r="T897">
        <v>8.4053020000000007</v>
      </c>
      <c r="U897" s="1" t="s">
        <v>78</v>
      </c>
      <c r="V897">
        <v>7</v>
      </c>
      <c r="W897">
        <v>1</v>
      </c>
      <c r="X897">
        <v>0</v>
      </c>
      <c r="Y897">
        <v>241.86</v>
      </c>
      <c r="Z897">
        <v>0</v>
      </c>
    </row>
    <row r="898" spans="1:26">
      <c r="A898" s="2">
        <v>43933</v>
      </c>
      <c r="B898" s="4">
        <v>0.125</v>
      </c>
      <c r="C898" s="1" t="s">
        <v>83</v>
      </c>
      <c r="E898">
        <v>649</v>
      </c>
      <c r="F898">
        <v>-2</v>
      </c>
      <c r="G898">
        <v>58</v>
      </c>
      <c r="H898">
        <v>9</v>
      </c>
      <c r="J898">
        <v>109</v>
      </c>
      <c r="K898">
        <v>21</v>
      </c>
      <c r="L898" s="1" t="s">
        <v>85</v>
      </c>
      <c r="N898" s="1" t="s">
        <v>37</v>
      </c>
      <c r="P898" s="1" t="s">
        <v>37</v>
      </c>
      <c r="R898" s="1" t="s">
        <v>37</v>
      </c>
      <c r="S898">
        <v>47.183199999999999</v>
      </c>
      <c r="T898">
        <v>9.2747440000000001</v>
      </c>
      <c r="U898" s="1" t="s">
        <v>84</v>
      </c>
      <c r="V898">
        <v>17</v>
      </c>
      <c r="W898">
        <v>8</v>
      </c>
      <c r="X898">
        <v>3</v>
      </c>
      <c r="Y898">
        <v>128.59</v>
      </c>
      <c r="Z898">
        <v>4.1609999999999996</v>
      </c>
    </row>
    <row r="899" spans="1:26">
      <c r="A899" s="2">
        <v>43933</v>
      </c>
      <c r="B899" s="4">
        <v>0.39583333333333331</v>
      </c>
      <c r="C899" s="1" t="s">
        <v>86</v>
      </c>
      <c r="E899">
        <v>57</v>
      </c>
      <c r="F899">
        <v>3</v>
      </c>
      <c r="G899">
        <v>16</v>
      </c>
      <c r="H899">
        <v>2</v>
      </c>
      <c r="K899">
        <v>1</v>
      </c>
      <c r="L899" s="1" t="s">
        <v>88</v>
      </c>
      <c r="N899" s="1" t="s">
        <v>37</v>
      </c>
      <c r="P899" s="1" t="s">
        <v>37</v>
      </c>
      <c r="R899" s="1" t="s">
        <v>37</v>
      </c>
      <c r="S899">
        <v>47.713569999999997</v>
      </c>
      <c r="T899">
        <v>8.5916700000000006</v>
      </c>
      <c r="U899" s="1" t="s">
        <v>87</v>
      </c>
      <c r="V899">
        <v>14</v>
      </c>
      <c r="W899">
        <v>2</v>
      </c>
      <c r="X899">
        <v>0</v>
      </c>
      <c r="Y899">
        <v>70.02</v>
      </c>
      <c r="Z899">
        <v>1.2290000000000001</v>
      </c>
    </row>
    <row r="900" spans="1:26">
      <c r="A900" s="2">
        <v>43933</v>
      </c>
      <c r="B900" s="4">
        <v>0.125</v>
      </c>
      <c r="C900" s="1" t="s">
        <v>89</v>
      </c>
      <c r="E900">
        <v>315</v>
      </c>
      <c r="F900">
        <v>0</v>
      </c>
      <c r="G900">
        <v>23</v>
      </c>
      <c r="K900">
        <v>7</v>
      </c>
      <c r="L900" s="1" t="s">
        <v>91</v>
      </c>
      <c r="N900" s="1" t="s">
        <v>37</v>
      </c>
      <c r="P900" s="1" t="s">
        <v>37</v>
      </c>
      <c r="R900" s="1" t="s">
        <v>37</v>
      </c>
      <c r="S900">
        <v>47.304135000000002</v>
      </c>
      <c r="T900">
        <v>7.6393880000000003</v>
      </c>
      <c r="U900" s="1" t="s">
        <v>90</v>
      </c>
      <c r="V900">
        <v>11</v>
      </c>
      <c r="W900">
        <v>9</v>
      </c>
      <c r="X900">
        <v>1</v>
      </c>
      <c r="Y900">
        <v>116.06</v>
      </c>
      <c r="Z900">
        <v>2.5790000000000002</v>
      </c>
    </row>
    <row r="901" spans="1:26">
      <c r="A901" s="2">
        <v>43933</v>
      </c>
      <c r="B901" s="4">
        <v>0.125</v>
      </c>
      <c r="C901" s="1" t="s">
        <v>92</v>
      </c>
      <c r="D901">
        <v>10</v>
      </c>
      <c r="E901">
        <v>251</v>
      </c>
      <c r="F901">
        <v>0</v>
      </c>
      <c r="G901">
        <v>1</v>
      </c>
      <c r="J901">
        <v>119</v>
      </c>
      <c r="K901">
        <v>11</v>
      </c>
      <c r="L901" s="1" t="s">
        <v>353</v>
      </c>
      <c r="N901" s="1" t="s">
        <v>37</v>
      </c>
      <c r="P901" s="1" t="s">
        <v>37</v>
      </c>
      <c r="R901" s="1" t="s">
        <v>37</v>
      </c>
      <c r="S901">
        <v>47.061787000000002</v>
      </c>
      <c r="T901">
        <v>8.7565849999999994</v>
      </c>
      <c r="U901" s="1" t="s">
        <v>93</v>
      </c>
      <c r="V901">
        <v>5</v>
      </c>
      <c r="W901">
        <v>2</v>
      </c>
      <c r="X901">
        <v>1</v>
      </c>
      <c r="Y901">
        <v>159.57</v>
      </c>
      <c r="Z901">
        <v>6.9930000000000003</v>
      </c>
    </row>
    <row r="902" spans="1:26">
      <c r="A902" s="2">
        <v>43933</v>
      </c>
      <c r="B902" s="4">
        <v>0.125</v>
      </c>
      <c r="C902" s="1" t="s">
        <v>95</v>
      </c>
      <c r="D902">
        <v>276</v>
      </c>
      <c r="E902">
        <v>285</v>
      </c>
      <c r="F902">
        <v>0</v>
      </c>
      <c r="G902">
        <v>32</v>
      </c>
      <c r="H902">
        <v>14</v>
      </c>
      <c r="K902">
        <v>8</v>
      </c>
      <c r="L902" s="1" t="s">
        <v>97</v>
      </c>
      <c r="N902" s="1" t="s">
        <v>37</v>
      </c>
      <c r="P902" s="1" t="s">
        <v>37</v>
      </c>
      <c r="R902" s="1" t="s">
        <v>37</v>
      </c>
      <c r="S902">
        <v>47.568714999999997</v>
      </c>
      <c r="T902">
        <v>9.0919570000000007</v>
      </c>
      <c r="U902" s="1" t="s">
        <v>96</v>
      </c>
      <c r="V902">
        <v>1</v>
      </c>
      <c r="W902">
        <v>11</v>
      </c>
      <c r="X902">
        <v>0</v>
      </c>
      <c r="Y902">
        <v>104.09</v>
      </c>
      <c r="Z902">
        <v>2.9220000000000002</v>
      </c>
    </row>
    <row r="903" spans="1:26">
      <c r="A903" s="2">
        <v>43933</v>
      </c>
      <c r="B903" s="4">
        <v>0.33333333333333331</v>
      </c>
      <c r="C903" s="1" t="s">
        <v>98</v>
      </c>
      <c r="E903">
        <v>2869</v>
      </c>
      <c r="F903">
        <v>-13</v>
      </c>
      <c r="G903">
        <v>269</v>
      </c>
      <c r="H903">
        <v>63</v>
      </c>
      <c r="I903">
        <v>56</v>
      </c>
      <c r="J903">
        <v>511</v>
      </c>
      <c r="K903">
        <v>244</v>
      </c>
      <c r="L903" s="1" t="s">
        <v>411</v>
      </c>
      <c r="N903" s="1" t="s">
        <v>37</v>
      </c>
      <c r="P903" s="1" t="s">
        <v>37</v>
      </c>
      <c r="R903" s="1" t="s">
        <v>37</v>
      </c>
      <c r="S903">
        <v>46.295617</v>
      </c>
      <c r="T903">
        <v>8.8089239999999993</v>
      </c>
      <c r="U903" s="1" t="s">
        <v>99</v>
      </c>
      <c r="V903">
        <v>21</v>
      </c>
      <c r="W903">
        <v>51</v>
      </c>
      <c r="X903">
        <v>15</v>
      </c>
      <c r="Y903">
        <v>811.14</v>
      </c>
      <c r="Z903">
        <v>68.984999999999999</v>
      </c>
    </row>
    <row r="904" spans="1:26">
      <c r="A904" s="2">
        <v>43933</v>
      </c>
      <c r="B904" s="4">
        <v>0.625</v>
      </c>
      <c r="C904" s="1" t="s">
        <v>101</v>
      </c>
      <c r="D904">
        <v>85</v>
      </c>
      <c r="E904">
        <v>77</v>
      </c>
      <c r="F904">
        <v>-3</v>
      </c>
      <c r="G904">
        <v>5</v>
      </c>
      <c r="J904">
        <v>52</v>
      </c>
      <c r="K904">
        <v>4</v>
      </c>
      <c r="L904" s="1" t="s">
        <v>103</v>
      </c>
      <c r="N904" s="1" t="s">
        <v>37</v>
      </c>
      <c r="P904" s="1" t="s">
        <v>37</v>
      </c>
      <c r="R904" s="1" t="s">
        <v>37</v>
      </c>
      <c r="S904">
        <v>46.771849000000003</v>
      </c>
      <c r="T904">
        <v>8.6285860000000003</v>
      </c>
      <c r="U904" s="1" t="s">
        <v>102</v>
      </c>
      <c r="V904">
        <v>4</v>
      </c>
      <c r="W904">
        <v>2</v>
      </c>
      <c r="X904">
        <v>0</v>
      </c>
      <c r="Y904">
        <v>212.12</v>
      </c>
      <c r="Z904">
        <v>11.019</v>
      </c>
    </row>
    <row r="905" spans="1:26">
      <c r="A905" s="2">
        <v>43933</v>
      </c>
      <c r="B905" s="4">
        <v>0.125</v>
      </c>
      <c r="C905" s="1" t="s">
        <v>104</v>
      </c>
      <c r="E905">
        <v>4706</v>
      </c>
      <c r="F905">
        <v>9</v>
      </c>
      <c r="G905">
        <v>303</v>
      </c>
      <c r="H905">
        <v>69</v>
      </c>
      <c r="J905">
        <v>225</v>
      </c>
      <c r="K905">
        <v>249</v>
      </c>
      <c r="L905" s="1" t="s">
        <v>106</v>
      </c>
      <c r="N905" s="1" t="s">
        <v>37</v>
      </c>
      <c r="P905" s="1" t="s">
        <v>37</v>
      </c>
      <c r="R905" s="1" t="s">
        <v>37</v>
      </c>
      <c r="S905">
        <v>46.570090999999998</v>
      </c>
      <c r="T905">
        <v>6.5578090000000007</v>
      </c>
      <c r="U905" s="1" t="s">
        <v>105</v>
      </c>
      <c r="V905">
        <v>22</v>
      </c>
      <c r="W905">
        <v>81</v>
      </c>
      <c r="X905">
        <v>8</v>
      </c>
      <c r="Y905">
        <v>593.37</v>
      </c>
      <c r="Z905">
        <v>31.396000000000001</v>
      </c>
    </row>
    <row r="906" spans="1:26">
      <c r="A906" s="2">
        <v>43933</v>
      </c>
      <c r="B906" s="4">
        <v>0.625</v>
      </c>
      <c r="C906" s="1" t="s">
        <v>107</v>
      </c>
      <c r="E906">
        <v>1666</v>
      </c>
      <c r="F906">
        <v>-2</v>
      </c>
      <c r="G906">
        <v>111</v>
      </c>
      <c r="H906">
        <v>22</v>
      </c>
      <c r="I906">
        <v>14</v>
      </c>
      <c r="J906">
        <v>157</v>
      </c>
      <c r="K906">
        <v>91</v>
      </c>
      <c r="L906" s="1" t="s">
        <v>412</v>
      </c>
      <c r="N906" s="1" t="s">
        <v>37</v>
      </c>
      <c r="P906" s="1" t="s">
        <v>37</v>
      </c>
      <c r="R906" s="1" t="s">
        <v>37</v>
      </c>
      <c r="S906">
        <v>46.209567</v>
      </c>
      <c r="T906">
        <v>7.6046589999999998</v>
      </c>
      <c r="U906" s="1" t="s">
        <v>108</v>
      </c>
      <c r="V906">
        <v>23</v>
      </c>
      <c r="W906">
        <v>13</v>
      </c>
      <c r="X906">
        <v>6</v>
      </c>
      <c r="Y906">
        <v>487.85</v>
      </c>
      <c r="Z906">
        <v>26.646999999999998</v>
      </c>
    </row>
    <row r="907" spans="1:26">
      <c r="A907" s="2">
        <v>43933</v>
      </c>
      <c r="B907" s="4">
        <v>0.33333333333333331</v>
      </c>
      <c r="C907" s="1" t="s">
        <v>109</v>
      </c>
      <c r="E907">
        <v>170</v>
      </c>
      <c r="F907">
        <v>0</v>
      </c>
      <c r="G907">
        <v>13</v>
      </c>
      <c r="H907">
        <v>9</v>
      </c>
      <c r="J907">
        <v>80</v>
      </c>
      <c r="K907">
        <v>5</v>
      </c>
      <c r="L907" s="1" t="s">
        <v>502</v>
      </c>
      <c r="N907" s="1" t="s">
        <v>37</v>
      </c>
      <c r="P907" s="1" t="s">
        <v>37</v>
      </c>
      <c r="R907" s="1" t="s">
        <v>37</v>
      </c>
      <c r="S907">
        <v>47.157296000000002</v>
      </c>
      <c r="T907">
        <v>8.5372939999999993</v>
      </c>
      <c r="U907" s="1" t="s">
        <v>110</v>
      </c>
      <c r="V907">
        <v>9</v>
      </c>
      <c r="W907">
        <v>2</v>
      </c>
      <c r="X907">
        <v>0</v>
      </c>
      <c r="Y907">
        <v>135.57</v>
      </c>
      <c r="Z907">
        <v>3.9870000000000001</v>
      </c>
    </row>
    <row r="908" spans="1:26">
      <c r="A908" s="2">
        <v>43933</v>
      </c>
      <c r="B908" s="4">
        <v>0.60416666666666663</v>
      </c>
      <c r="C908" s="1" t="s">
        <v>111</v>
      </c>
      <c r="E908">
        <v>3002</v>
      </c>
      <c r="F908">
        <v>4</v>
      </c>
      <c r="G908">
        <v>153</v>
      </c>
      <c r="I908">
        <v>49</v>
      </c>
      <c r="K908">
        <v>79</v>
      </c>
      <c r="L908" s="1" t="s">
        <v>113</v>
      </c>
      <c r="N908" s="1" t="s">
        <v>37</v>
      </c>
      <c r="P908" s="1" t="s">
        <v>37</v>
      </c>
      <c r="R908" s="1" t="s">
        <v>37</v>
      </c>
      <c r="S908">
        <v>47.412750000000003</v>
      </c>
      <c r="T908">
        <v>8.6550799999999999</v>
      </c>
      <c r="U908" s="1" t="s">
        <v>112</v>
      </c>
      <c r="V908">
        <v>1</v>
      </c>
      <c r="W908">
        <v>17</v>
      </c>
      <c r="X908">
        <v>2</v>
      </c>
      <c r="Y908">
        <v>199.56</v>
      </c>
      <c r="Z908">
        <v>5.2519999999999998</v>
      </c>
    </row>
    <row r="909" spans="1:26">
      <c r="A909" s="2">
        <v>43934</v>
      </c>
      <c r="B909" s="4">
        <v>0.61458333333333337</v>
      </c>
      <c r="C909" s="1" t="s">
        <v>35</v>
      </c>
      <c r="E909">
        <v>906</v>
      </c>
      <c r="F909">
        <v>0</v>
      </c>
      <c r="G909">
        <v>76</v>
      </c>
      <c r="H909">
        <v>23</v>
      </c>
      <c r="I909">
        <v>21</v>
      </c>
      <c r="J909">
        <v>300</v>
      </c>
      <c r="K909">
        <v>19</v>
      </c>
      <c r="L909" s="1" t="s">
        <v>439</v>
      </c>
      <c r="N909" s="1" t="s">
        <v>37</v>
      </c>
      <c r="P909" s="1" t="s">
        <v>37</v>
      </c>
      <c r="R909" s="1" t="s">
        <v>37</v>
      </c>
      <c r="S909">
        <v>47.409660000000002</v>
      </c>
      <c r="T909">
        <v>8.1568799999999992</v>
      </c>
      <c r="U909" s="1" t="s">
        <v>36</v>
      </c>
      <c r="V909">
        <v>1</v>
      </c>
      <c r="W909">
        <v>7</v>
      </c>
      <c r="X909">
        <v>1</v>
      </c>
      <c r="Y909">
        <v>135.02000000000001</v>
      </c>
      <c r="Z909">
        <v>2.8319999999999999</v>
      </c>
    </row>
    <row r="910" spans="1:26">
      <c r="A910" s="2">
        <v>43934</v>
      </c>
      <c r="B910" s="4">
        <v>0.45833333333333331</v>
      </c>
      <c r="C910" s="1" t="s">
        <v>39</v>
      </c>
      <c r="E910">
        <v>24</v>
      </c>
      <c r="F910">
        <v>0</v>
      </c>
      <c r="G910">
        <v>1</v>
      </c>
      <c r="L910" s="1" t="s">
        <v>41</v>
      </c>
      <c r="N910" s="1" t="s">
        <v>37</v>
      </c>
      <c r="P910" s="1" t="s">
        <v>37</v>
      </c>
      <c r="R910" s="1" t="s">
        <v>37</v>
      </c>
      <c r="S910">
        <v>47.317264000000002</v>
      </c>
      <c r="T910">
        <v>9.4167539999999992</v>
      </c>
      <c r="U910" s="1" t="s">
        <v>40</v>
      </c>
      <c r="V910">
        <v>16</v>
      </c>
      <c r="W910">
        <v>0</v>
      </c>
      <c r="X910">
        <v>0</v>
      </c>
      <c r="Y910">
        <v>149.07</v>
      </c>
    </row>
    <row r="911" spans="1:26">
      <c r="A911" s="2">
        <v>43934</v>
      </c>
      <c r="B911" s="4">
        <v>0.33333333333333331</v>
      </c>
      <c r="C911" s="1" t="s">
        <v>42</v>
      </c>
      <c r="E911">
        <v>78</v>
      </c>
      <c r="F911">
        <v>0</v>
      </c>
      <c r="G911">
        <v>6</v>
      </c>
      <c r="K911">
        <v>3</v>
      </c>
      <c r="L911" s="1" t="s">
        <v>44</v>
      </c>
      <c r="N911" s="1" t="s">
        <v>37</v>
      </c>
      <c r="P911" s="1" t="s">
        <v>37</v>
      </c>
      <c r="R911" s="1" t="s">
        <v>37</v>
      </c>
      <c r="S911">
        <v>47.416351999999996</v>
      </c>
      <c r="T911">
        <v>9.3679100000000002</v>
      </c>
      <c r="U911" s="1" t="s">
        <v>43</v>
      </c>
      <c r="V911">
        <v>15</v>
      </c>
      <c r="W911">
        <v>1</v>
      </c>
      <c r="X911">
        <v>0</v>
      </c>
      <c r="Y911">
        <v>141.30000000000001</v>
      </c>
      <c r="Z911">
        <v>5.4349999999999996</v>
      </c>
    </row>
    <row r="912" spans="1:26">
      <c r="A912" s="2">
        <v>43934</v>
      </c>
      <c r="B912" s="4">
        <v>0.33333333333333331</v>
      </c>
      <c r="C912" s="1" t="s">
        <v>45</v>
      </c>
      <c r="E912">
        <v>1456</v>
      </c>
      <c r="F912">
        <v>-3</v>
      </c>
      <c r="G912">
        <v>92</v>
      </c>
      <c r="H912">
        <v>32</v>
      </c>
      <c r="I912">
        <v>21</v>
      </c>
      <c r="K912">
        <v>49</v>
      </c>
      <c r="L912" s="1" t="s">
        <v>47</v>
      </c>
      <c r="N912" s="1" t="s">
        <v>37</v>
      </c>
      <c r="P912" s="1" t="s">
        <v>37</v>
      </c>
      <c r="R912" s="1" t="s">
        <v>37</v>
      </c>
      <c r="S912">
        <v>46.823608</v>
      </c>
      <c r="T912">
        <v>7.6366670000000001</v>
      </c>
      <c r="U912" s="1" t="s">
        <v>46</v>
      </c>
      <c r="V912">
        <v>2</v>
      </c>
      <c r="W912">
        <v>15</v>
      </c>
      <c r="X912">
        <v>0</v>
      </c>
      <c r="Y912">
        <v>141.21</v>
      </c>
      <c r="Z912">
        <v>4.7519999999999998</v>
      </c>
    </row>
    <row r="913" spans="1:26">
      <c r="A913" s="2">
        <v>43934</v>
      </c>
      <c r="B913" s="4">
        <v>0.125</v>
      </c>
      <c r="C913" s="1" t="s">
        <v>48</v>
      </c>
      <c r="E913">
        <v>749</v>
      </c>
      <c r="F913">
        <v>0</v>
      </c>
      <c r="G913">
        <v>48</v>
      </c>
      <c r="H913">
        <v>16</v>
      </c>
      <c r="I913">
        <v>12</v>
      </c>
      <c r="J913">
        <v>570</v>
      </c>
      <c r="K913">
        <v>24</v>
      </c>
      <c r="L913" s="1" t="s">
        <v>50</v>
      </c>
      <c r="N913" s="1" t="s">
        <v>37</v>
      </c>
      <c r="P913" s="1" t="s">
        <v>37</v>
      </c>
      <c r="R913" s="1" t="s">
        <v>37</v>
      </c>
      <c r="S913">
        <v>47.45176</v>
      </c>
      <c r="T913">
        <v>7.7024140000000001</v>
      </c>
      <c r="U913" s="1" t="s">
        <v>49</v>
      </c>
      <c r="V913">
        <v>13</v>
      </c>
      <c r="W913">
        <v>9</v>
      </c>
      <c r="X913">
        <v>1</v>
      </c>
      <c r="Y913">
        <v>260.98</v>
      </c>
      <c r="Z913">
        <v>8.3620000000000001</v>
      </c>
    </row>
    <row r="914" spans="1:26">
      <c r="A914" s="2">
        <v>43934</v>
      </c>
      <c r="B914" s="4">
        <v>0.41666666666666669</v>
      </c>
      <c r="C914" s="1" t="s">
        <v>51</v>
      </c>
      <c r="D914">
        <v>235</v>
      </c>
      <c r="E914">
        <v>893</v>
      </c>
      <c r="F914">
        <v>0</v>
      </c>
      <c r="G914">
        <v>86</v>
      </c>
      <c r="H914">
        <v>12</v>
      </c>
      <c r="J914">
        <v>653</v>
      </c>
      <c r="K914">
        <v>34</v>
      </c>
      <c r="L914" s="1" t="s">
        <v>413</v>
      </c>
      <c r="M914">
        <v>487</v>
      </c>
      <c r="N914" s="1" t="s">
        <v>37</v>
      </c>
      <c r="P914" s="1" t="s">
        <v>37</v>
      </c>
      <c r="R914" s="1" t="s">
        <v>37</v>
      </c>
      <c r="S914">
        <v>47.564869000000002</v>
      </c>
      <c r="T914">
        <v>7.615259</v>
      </c>
      <c r="U914" s="1" t="s">
        <v>52</v>
      </c>
      <c r="V914">
        <v>12</v>
      </c>
      <c r="W914">
        <v>11</v>
      </c>
      <c r="X914">
        <v>1</v>
      </c>
      <c r="Y914">
        <v>460.55</v>
      </c>
      <c r="Z914">
        <v>17.535</v>
      </c>
    </row>
    <row r="915" spans="1:26">
      <c r="A915" s="2">
        <v>43934</v>
      </c>
      <c r="B915" s="4">
        <v>0.125</v>
      </c>
      <c r="C915" s="1" t="s">
        <v>54</v>
      </c>
      <c r="D915">
        <v>900</v>
      </c>
      <c r="E915">
        <v>80</v>
      </c>
      <c r="F915">
        <v>0</v>
      </c>
      <c r="J915">
        <v>1</v>
      </c>
      <c r="K915">
        <v>1</v>
      </c>
      <c r="L915" s="1" t="s">
        <v>425</v>
      </c>
      <c r="N915" s="1" t="s">
        <v>37</v>
      </c>
      <c r="P915" s="1" t="s">
        <v>37</v>
      </c>
      <c r="R915" s="1" t="s">
        <v>37</v>
      </c>
      <c r="S915">
        <v>47.166666999999997</v>
      </c>
      <c r="T915">
        <v>9.509722</v>
      </c>
      <c r="U915" s="1" t="s">
        <v>55</v>
      </c>
      <c r="V915">
        <v>0</v>
      </c>
      <c r="W915">
        <v>0</v>
      </c>
      <c r="X915">
        <v>0</v>
      </c>
      <c r="Y915">
        <v>207.25</v>
      </c>
      <c r="Z915">
        <v>2.5910000000000002</v>
      </c>
    </row>
    <row r="916" spans="1:26">
      <c r="A916" s="2">
        <v>43934</v>
      </c>
      <c r="B916" s="4">
        <v>0.125</v>
      </c>
      <c r="C916" s="1" t="s">
        <v>57</v>
      </c>
      <c r="D916">
        <v>30</v>
      </c>
      <c r="E916">
        <v>859</v>
      </c>
      <c r="F916">
        <v>3</v>
      </c>
      <c r="G916">
        <v>68</v>
      </c>
      <c r="H916">
        <v>17</v>
      </c>
      <c r="J916">
        <v>97</v>
      </c>
      <c r="K916">
        <v>55</v>
      </c>
      <c r="L916" s="1" t="s">
        <v>59</v>
      </c>
      <c r="N916" s="1" t="s">
        <v>37</v>
      </c>
      <c r="P916" s="1" t="s">
        <v>37</v>
      </c>
      <c r="R916" s="1" t="s">
        <v>37</v>
      </c>
      <c r="S916">
        <v>46.718390999999997</v>
      </c>
      <c r="T916">
        <v>7.0740080000000001</v>
      </c>
      <c r="U916" s="1" t="s">
        <v>58</v>
      </c>
      <c r="V916">
        <v>10</v>
      </c>
      <c r="W916">
        <v>13</v>
      </c>
      <c r="X916">
        <v>1</v>
      </c>
      <c r="Y916">
        <v>272.61</v>
      </c>
      <c r="Z916">
        <v>17.454999999999998</v>
      </c>
    </row>
    <row r="917" spans="1:26">
      <c r="A917" s="2">
        <v>43934</v>
      </c>
      <c r="B917" s="4">
        <v>0.125</v>
      </c>
      <c r="C917" s="1" t="s">
        <v>60</v>
      </c>
      <c r="D917">
        <v>19265</v>
      </c>
      <c r="E917">
        <v>4361</v>
      </c>
      <c r="F917">
        <v>1</v>
      </c>
      <c r="G917">
        <v>364</v>
      </c>
      <c r="H917">
        <v>47</v>
      </c>
      <c r="I917">
        <v>42</v>
      </c>
      <c r="J917">
        <v>490</v>
      </c>
      <c r="K917">
        <v>176</v>
      </c>
      <c r="L917" s="1" t="s">
        <v>62</v>
      </c>
      <c r="N917" s="1" t="s">
        <v>37</v>
      </c>
      <c r="P917" s="1" t="s">
        <v>37</v>
      </c>
      <c r="Q917">
        <v>18</v>
      </c>
      <c r="R917" s="1" t="s">
        <v>37</v>
      </c>
      <c r="S917">
        <v>46.220528000000002</v>
      </c>
      <c r="T917">
        <v>6.1329349999999998</v>
      </c>
      <c r="U917" s="1" t="s">
        <v>61</v>
      </c>
      <c r="V917">
        <v>25</v>
      </c>
      <c r="W917">
        <v>50</v>
      </c>
      <c r="X917">
        <v>3</v>
      </c>
      <c r="Y917">
        <v>880.65</v>
      </c>
      <c r="Z917">
        <v>35.540999999999997</v>
      </c>
    </row>
    <row r="918" spans="1:26">
      <c r="A918" s="2">
        <v>43934</v>
      </c>
      <c r="B918" s="4">
        <v>0.66666666666666663</v>
      </c>
      <c r="C918" s="1" t="s">
        <v>63</v>
      </c>
      <c r="E918">
        <v>92</v>
      </c>
      <c r="F918">
        <v>0</v>
      </c>
      <c r="G918">
        <v>2</v>
      </c>
      <c r="K918">
        <v>2</v>
      </c>
      <c r="L918" s="1" t="s">
        <v>65</v>
      </c>
      <c r="N918" s="1" t="s">
        <v>37</v>
      </c>
      <c r="P918" s="1" t="s">
        <v>37</v>
      </c>
      <c r="R918" s="1" t="s">
        <v>37</v>
      </c>
      <c r="S918">
        <v>46.931042000000005</v>
      </c>
      <c r="T918">
        <v>9.0657510000000006</v>
      </c>
      <c r="U918" s="1" t="s">
        <v>64</v>
      </c>
      <c r="V918">
        <v>8</v>
      </c>
      <c r="W918">
        <v>1</v>
      </c>
      <c r="X918">
        <v>0</v>
      </c>
      <c r="Y918">
        <v>228.29</v>
      </c>
      <c r="Z918">
        <v>4.9630000000000001</v>
      </c>
    </row>
    <row r="919" spans="1:26">
      <c r="A919" s="2">
        <v>43934</v>
      </c>
      <c r="B919" s="4">
        <v>0.125</v>
      </c>
      <c r="C919" s="1" t="s">
        <v>66</v>
      </c>
      <c r="E919">
        <v>735</v>
      </c>
      <c r="F919">
        <v>-1</v>
      </c>
      <c r="G919">
        <v>34</v>
      </c>
      <c r="K919">
        <v>35</v>
      </c>
      <c r="L919" s="1" t="s">
        <v>68</v>
      </c>
      <c r="N919" s="1" t="s">
        <v>37</v>
      </c>
      <c r="P919" s="1" t="s">
        <v>37</v>
      </c>
      <c r="R919" s="1" t="s">
        <v>37</v>
      </c>
      <c r="S919">
        <v>46.656247999999998</v>
      </c>
      <c r="T919">
        <v>9.6281979999999994</v>
      </c>
      <c r="U919" s="1" t="s">
        <v>67</v>
      </c>
      <c r="V919">
        <v>1</v>
      </c>
      <c r="W919">
        <v>3</v>
      </c>
      <c r="X919">
        <v>0</v>
      </c>
      <c r="Y919">
        <v>371.4</v>
      </c>
      <c r="Z919">
        <v>17.686</v>
      </c>
    </row>
    <row r="920" spans="1:26">
      <c r="A920" s="2">
        <v>43934</v>
      </c>
      <c r="B920" s="4">
        <v>0.66666666666666663</v>
      </c>
      <c r="C920" s="1" t="s">
        <v>69</v>
      </c>
      <c r="E920">
        <v>184</v>
      </c>
      <c r="F920">
        <v>2</v>
      </c>
      <c r="G920">
        <v>24</v>
      </c>
      <c r="H920">
        <v>5</v>
      </c>
      <c r="K920">
        <v>3</v>
      </c>
      <c r="L920" s="1" t="s">
        <v>280</v>
      </c>
      <c r="N920" s="1" t="s">
        <v>37</v>
      </c>
      <c r="P920" s="1" t="s">
        <v>37</v>
      </c>
      <c r="R920" s="1" t="s">
        <v>37</v>
      </c>
      <c r="S920">
        <v>47.350743999999999</v>
      </c>
      <c r="T920">
        <v>7.1561070000000004</v>
      </c>
      <c r="U920" s="1" t="s">
        <v>70</v>
      </c>
      <c r="V920">
        <v>26</v>
      </c>
      <c r="W920">
        <v>1</v>
      </c>
      <c r="X920">
        <v>0</v>
      </c>
      <c r="Y920">
        <v>251.02</v>
      </c>
      <c r="Z920">
        <v>4.093</v>
      </c>
    </row>
    <row r="921" spans="1:26">
      <c r="A921" s="2">
        <v>43934</v>
      </c>
      <c r="B921" s="4">
        <v>0.45833333333333331</v>
      </c>
      <c r="C921" s="1" t="s">
        <v>71</v>
      </c>
      <c r="E921">
        <v>580</v>
      </c>
      <c r="F921">
        <v>-20</v>
      </c>
      <c r="G921">
        <v>40</v>
      </c>
      <c r="H921">
        <v>5</v>
      </c>
      <c r="K921">
        <v>10</v>
      </c>
      <c r="L921" s="1" t="s">
        <v>73</v>
      </c>
      <c r="N921" s="1" t="s">
        <v>37</v>
      </c>
      <c r="P921" s="1" t="s">
        <v>37</v>
      </c>
      <c r="R921" s="1" t="s">
        <v>37</v>
      </c>
      <c r="S921">
        <v>47.067762999999999</v>
      </c>
      <c r="T921">
        <v>8.1102000000000007</v>
      </c>
      <c r="U921" s="1" t="s">
        <v>72</v>
      </c>
      <c r="V921">
        <v>3</v>
      </c>
      <c r="W921">
        <v>4</v>
      </c>
      <c r="X921">
        <v>0</v>
      </c>
      <c r="Y921">
        <v>142.68</v>
      </c>
      <c r="Z921">
        <v>2.46</v>
      </c>
    </row>
    <row r="922" spans="1:26">
      <c r="A922" s="2">
        <v>43934</v>
      </c>
      <c r="B922" s="4">
        <v>0.66666666666666663</v>
      </c>
      <c r="C922" s="1" t="s">
        <v>74</v>
      </c>
      <c r="E922">
        <v>595</v>
      </c>
      <c r="F922">
        <v>0</v>
      </c>
      <c r="G922">
        <v>67</v>
      </c>
      <c r="H922">
        <v>10</v>
      </c>
      <c r="I922">
        <v>10</v>
      </c>
      <c r="K922">
        <v>48</v>
      </c>
      <c r="L922" s="1" t="s">
        <v>76</v>
      </c>
      <c r="N922" s="1" t="s">
        <v>37</v>
      </c>
      <c r="P922" s="1" t="s">
        <v>37</v>
      </c>
      <c r="R922" s="1" t="s">
        <v>37</v>
      </c>
      <c r="S922">
        <v>46.995533999999999</v>
      </c>
      <c r="T922">
        <v>6.7801260000000001</v>
      </c>
      <c r="U922" s="1" t="s">
        <v>75</v>
      </c>
      <c r="V922">
        <v>24</v>
      </c>
      <c r="W922">
        <v>6</v>
      </c>
      <c r="X922">
        <v>1</v>
      </c>
      <c r="Y922">
        <v>334.27</v>
      </c>
      <c r="Z922">
        <v>26.966000000000001</v>
      </c>
    </row>
    <row r="923" spans="1:26">
      <c r="A923" s="2">
        <v>43934</v>
      </c>
      <c r="B923" s="4">
        <v>0.76041666666666663</v>
      </c>
      <c r="C923" s="1" t="s">
        <v>77</v>
      </c>
      <c r="E923">
        <v>104</v>
      </c>
      <c r="F923">
        <v>2</v>
      </c>
      <c r="G923">
        <v>6</v>
      </c>
      <c r="H923">
        <v>2</v>
      </c>
      <c r="K923">
        <v>1</v>
      </c>
      <c r="L923" s="1" t="s">
        <v>79</v>
      </c>
      <c r="N923" s="1" t="s">
        <v>37</v>
      </c>
      <c r="P923" s="1" t="s">
        <v>37</v>
      </c>
      <c r="R923" s="1" t="s">
        <v>37</v>
      </c>
      <c r="S923">
        <v>46.926755</v>
      </c>
      <c r="T923">
        <v>8.4053020000000007</v>
      </c>
      <c r="U923" s="1" t="s">
        <v>78</v>
      </c>
      <c r="V923">
        <v>7</v>
      </c>
      <c r="W923">
        <v>0</v>
      </c>
      <c r="X923">
        <v>1</v>
      </c>
      <c r="Y923">
        <v>241.86</v>
      </c>
      <c r="Z923">
        <v>2.3260000000000001</v>
      </c>
    </row>
    <row r="924" spans="1:26">
      <c r="A924" s="2">
        <v>43934</v>
      </c>
      <c r="B924" s="4">
        <v>0.125</v>
      </c>
      <c r="C924" s="1" t="s">
        <v>83</v>
      </c>
      <c r="E924">
        <v>657</v>
      </c>
      <c r="F924">
        <v>0</v>
      </c>
      <c r="G924">
        <v>58</v>
      </c>
      <c r="H924">
        <v>10</v>
      </c>
      <c r="J924">
        <v>119</v>
      </c>
      <c r="K924">
        <v>21</v>
      </c>
      <c r="L924" s="1" t="s">
        <v>85</v>
      </c>
      <c r="N924" s="1" t="s">
        <v>37</v>
      </c>
      <c r="P924" s="1" t="s">
        <v>37</v>
      </c>
      <c r="R924" s="1" t="s">
        <v>37</v>
      </c>
      <c r="S924">
        <v>47.183199999999999</v>
      </c>
      <c r="T924">
        <v>9.2747440000000001</v>
      </c>
      <c r="U924" s="1" t="s">
        <v>84</v>
      </c>
      <c r="V924">
        <v>17</v>
      </c>
      <c r="W924">
        <v>8</v>
      </c>
      <c r="X924">
        <v>0</v>
      </c>
      <c r="Y924">
        <v>130.18</v>
      </c>
      <c r="Z924">
        <v>4.1609999999999996</v>
      </c>
    </row>
    <row r="925" spans="1:26">
      <c r="A925" s="2">
        <v>43934</v>
      </c>
      <c r="B925" s="4">
        <v>0.39583333333333331</v>
      </c>
      <c r="C925" s="1" t="s">
        <v>86</v>
      </c>
      <c r="E925">
        <v>57</v>
      </c>
      <c r="F925">
        <v>0</v>
      </c>
      <c r="G925">
        <v>16</v>
      </c>
      <c r="H925">
        <v>2</v>
      </c>
      <c r="K925">
        <v>1</v>
      </c>
      <c r="L925" s="1" t="s">
        <v>88</v>
      </c>
      <c r="N925" s="1" t="s">
        <v>37</v>
      </c>
      <c r="P925" s="1" t="s">
        <v>37</v>
      </c>
      <c r="R925" s="1" t="s">
        <v>37</v>
      </c>
      <c r="S925">
        <v>47.713569999999997</v>
      </c>
      <c r="T925">
        <v>8.5916700000000006</v>
      </c>
      <c r="U925" s="1" t="s">
        <v>87</v>
      </c>
      <c r="V925">
        <v>14</v>
      </c>
      <c r="W925">
        <v>0</v>
      </c>
      <c r="X925">
        <v>0</v>
      </c>
      <c r="Y925">
        <v>70.02</v>
      </c>
      <c r="Z925">
        <v>1.2290000000000001</v>
      </c>
    </row>
    <row r="926" spans="1:26">
      <c r="A926" s="2">
        <v>43934</v>
      </c>
      <c r="B926" s="4">
        <v>0.125</v>
      </c>
      <c r="C926" s="1" t="s">
        <v>89</v>
      </c>
      <c r="E926">
        <v>321</v>
      </c>
      <c r="F926">
        <v>0</v>
      </c>
      <c r="G926">
        <v>23</v>
      </c>
      <c r="K926">
        <v>7</v>
      </c>
      <c r="L926" s="1" t="s">
        <v>91</v>
      </c>
      <c r="N926" s="1" t="s">
        <v>37</v>
      </c>
      <c r="P926" s="1" t="s">
        <v>37</v>
      </c>
      <c r="R926" s="1" t="s">
        <v>37</v>
      </c>
      <c r="S926">
        <v>47.304135000000002</v>
      </c>
      <c r="T926">
        <v>7.6393880000000003</v>
      </c>
      <c r="U926" s="1" t="s">
        <v>90</v>
      </c>
      <c r="V926">
        <v>11</v>
      </c>
      <c r="W926">
        <v>6</v>
      </c>
      <c r="X926">
        <v>0</v>
      </c>
      <c r="Y926">
        <v>118.28</v>
      </c>
      <c r="Z926">
        <v>2.5790000000000002</v>
      </c>
    </row>
    <row r="927" spans="1:26">
      <c r="A927" s="2">
        <v>43934</v>
      </c>
      <c r="B927" s="4">
        <v>0.125</v>
      </c>
      <c r="C927" s="1" t="s">
        <v>92</v>
      </c>
      <c r="D927">
        <v>10</v>
      </c>
      <c r="E927">
        <v>251</v>
      </c>
      <c r="F927">
        <v>0</v>
      </c>
      <c r="G927">
        <v>1</v>
      </c>
      <c r="J927">
        <v>128</v>
      </c>
      <c r="K927">
        <v>12</v>
      </c>
      <c r="L927" s="1" t="s">
        <v>414</v>
      </c>
      <c r="N927" s="1" t="s">
        <v>37</v>
      </c>
      <c r="P927" s="1" t="s">
        <v>37</v>
      </c>
      <c r="R927" s="1" t="s">
        <v>37</v>
      </c>
      <c r="S927">
        <v>47.061787000000002</v>
      </c>
      <c r="T927">
        <v>8.7565849999999994</v>
      </c>
      <c r="U927" s="1" t="s">
        <v>93</v>
      </c>
      <c r="V927">
        <v>5</v>
      </c>
      <c r="W927">
        <v>0</v>
      </c>
      <c r="X927">
        <v>1</v>
      </c>
      <c r="Y927">
        <v>159.57</v>
      </c>
      <c r="Z927">
        <v>7.6289999999999996</v>
      </c>
    </row>
    <row r="928" spans="1:26">
      <c r="A928" s="2">
        <v>43934</v>
      </c>
      <c r="B928" s="4">
        <v>0.125</v>
      </c>
      <c r="C928" s="1" t="s">
        <v>95</v>
      </c>
      <c r="D928">
        <v>276</v>
      </c>
      <c r="E928">
        <v>292</v>
      </c>
      <c r="F928">
        <v>0</v>
      </c>
      <c r="G928">
        <v>32</v>
      </c>
      <c r="H928">
        <v>17</v>
      </c>
      <c r="K928">
        <v>8</v>
      </c>
      <c r="L928" s="1" t="s">
        <v>97</v>
      </c>
      <c r="N928" s="1" t="s">
        <v>37</v>
      </c>
      <c r="P928" s="1" t="s">
        <v>37</v>
      </c>
      <c r="R928" s="1" t="s">
        <v>37</v>
      </c>
      <c r="S928">
        <v>47.568714999999997</v>
      </c>
      <c r="T928">
        <v>9.0919570000000007</v>
      </c>
      <c r="U928" s="1" t="s">
        <v>96</v>
      </c>
      <c r="V928">
        <v>1</v>
      </c>
      <c r="W928">
        <v>7</v>
      </c>
      <c r="X928">
        <v>0</v>
      </c>
      <c r="Y928">
        <v>106.65</v>
      </c>
      <c r="Z928">
        <v>2.9220000000000002</v>
      </c>
    </row>
    <row r="929" spans="1:26">
      <c r="A929" s="2">
        <v>43934</v>
      </c>
      <c r="B929" s="4">
        <v>0.33333333333333331</v>
      </c>
      <c r="C929" s="1" t="s">
        <v>98</v>
      </c>
      <c r="E929">
        <v>2900</v>
      </c>
      <c r="F929">
        <v>0</v>
      </c>
      <c r="G929">
        <v>269</v>
      </c>
      <c r="H929">
        <v>63</v>
      </c>
      <c r="I929">
        <v>56</v>
      </c>
      <c r="J929">
        <v>511</v>
      </c>
      <c r="K929">
        <v>251</v>
      </c>
      <c r="L929" s="1" t="s">
        <v>426</v>
      </c>
      <c r="N929" s="1" t="s">
        <v>37</v>
      </c>
      <c r="P929" s="1" t="s">
        <v>37</v>
      </c>
      <c r="R929" s="1" t="s">
        <v>37</v>
      </c>
      <c r="S929">
        <v>46.295617</v>
      </c>
      <c r="T929">
        <v>8.8089239999999993</v>
      </c>
      <c r="U929" s="1" t="s">
        <v>99</v>
      </c>
      <c r="V929">
        <v>21</v>
      </c>
      <c r="W929">
        <v>31</v>
      </c>
      <c r="X929">
        <v>7</v>
      </c>
      <c r="Y929">
        <v>819.9</v>
      </c>
      <c r="Z929">
        <v>70.963999999999999</v>
      </c>
    </row>
    <row r="930" spans="1:26">
      <c r="A930" s="2">
        <v>43934</v>
      </c>
      <c r="B930" s="4">
        <v>0.58333333333333337</v>
      </c>
      <c r="C930" s="1" t="s">
        <v>101</v>
      </c>
      <c r="D930">
        <v>85</v>
      </c>
      <c r="E930">
        <v>78</v>
      </c>
      <c r="F930">
        <v>-1</v>
      </c>
      <c r="G930">
        <v>4</v>
      </c>
      <c r="J930">
        <v>52</v>
      </c>
      <c r="K930">
        <v>4</v>
      </c>
      <c r="L930" s="1" t="s">
        <v>103</v>
      </c>
      <c r="N930" s="1" t="s">
        <v>37</v>
      </c>
      <c r="P930" s="1" t="s">
        <v>37</v>
      </c>
      <c r="R930" s="1" t="s">
        <v>37</v>
      </c>
      <c r="S930">
        <v>46.771849000000003</v>
      </c>
      <c r="T930">
        <v>8.6285860000000003</v>
      </c>
      <c r="U930" s="1" t="s">
        <v>102</v>
      </c>
      <c r="V930">
        <v>4</v>
      </c>
      <c r="W930">
        <v>1</v>
      </c>
      <c r="X930">
        <v>0</v>
      </c>
      <c r="Y930">
        <v>214.88</v>
      </c>
      <c r="Z930">
        <v>11.019</v>
      </c>
    </row>
    <row r="931" spans="1:26">
      <c r="A931" s="2">
        <v>43934</v>
      </c>
      <c r="B931" s="4">
        <v>0.125</v>
      </c>
      <c r="C931" s="1" t="s">
        <v>104</v>
      </c>
      <c r="E931">
        <v>4740</v>
      </c>
      <c r="F931">
        <v>0</v>
      </c>
      <c r="G931">
        <v>303</v>
      </c>
      <c r="H931">
        <v>66</v>
      </c>
      <c r="J931">
        <v>225</v>
      </c>
      <c r="K931">
        <v>255</v>
      </c>
      <c r="L931" s="1" t="s">
        <v>106</v>
      </c>
      <c r="N931" s="1" t="s">
        <v>37</v>
      </c>
      <c r="P931" s="1" t="s">
        <v>37</v>
      </c>
      <c r="R931" s="1" t="s">
        <v>37</v>
      </c>
      <c r="S931">
        <v>46.570090999999998</v>
      </c>
      <c r="T931">
        <v>6.5578090000000007</v>
      </c>
      <c r="U931" s="1" t="s">
        <v>105</v>
      </c>
      <c r="V931">
        <v>22</v>
      </c>
      <c r="W931">
        <v>34</v>
      </c>
      <c r="X931">
        <v>6</v>
      </c>
      <c r="Y931">
        <v>597.65</v>
      </c>
      <c r="Z931">
        <v>32.152000000000001</v>
      </c>
    </row>
    <row r="932" spans="1:26">
      <c r="A932" s="2">
        <v>43934</v>
      </c>
      <c r="B932" s="4">
        <v>0.625</v>
      </c>
      <c r="C932" s="1" t="s">
        <v>107</v>
      </c>
      <c r="E932">
        <v>1680</v>
      </c>
      <c r="F932">
        <v>-4</v>
      </c>
      <c r="G932">
        <v>107</v>
      </c>
      <c r="H932">
        <v>21</v>
      </c>
      <c r="I932">
        <v>12</v>
      </c>
      <c r="J932">
        <v>157</v>
      </c>
      <c r="K932">
        <v>93</v>
      </c>
      <c r="L932" s="1" t="s">
        <v>412</v>
      </c>
      <c r="N932" s="1" t="s">
        <v>37</v>
      </c>
      <c r="P932" s="1" t="s">
        <v>37</v>
      </c>
      <c r="R932" s="1" t="s">
        <v>37</v>
      </c>
      <c r="S932">
        <v>46.209567</v>
      </c>
      <c r="T932">
        <v>7.6046589999999998</v>
      </c>
      <c r="U932" s="1" t="s">
        <v>108</v>
      </c>
      <c r="V932">
        <v>23</v>
      </c>
      <c r="W932">
        <v>14</v>
      </c>
      <c r="X932">
        <v>2</v>
      </c>
      <c r="Y932">
        <v>491.95</v>
      </c>
      <c r="Z932">
        <v>27.233000000000001</v>
      </c>
    </row>
    <row r="933" spans="1:26">
      <c r="A933" s="2">
        <v>43934</v>
      </c>
      <c r="B933" s="4">
        <v>0.33333333333333331</v>
      </c>
      <c r="C933" s="1" t="s">
        <v>109</v>
      </c>
      <c r="E933">
        <v>171</v>
      </c>
      <c r="F933">
        <v>0</v>
      </c>
      <c r="G933">
        <v>13</v>
      </c>
      <c r="H933">
        <v>9</v>
      </c>
      <c r="J933">
        <v>84</v>
      </c>
      <c r="K933">
        <v>5</v>
      </c>
      <c r="L933" s="1" t="s">
        <v>502</v>
      </c>
      <c r="N933" s="1" t="s">
        <v>37</v>
      </c>
      <c r="P933" s="1" t="s">
        <v>37</v>
      </c>
      <c r="R933" s="1" t="s">
        <v>37</v>
      </c>
      <c r="S933">
        <v>47.157296000000002</v>
      </c>
      <c r="T933">
        <v>8.5372939999999993</v>
      </c>
      <c r="U933" s="1" t="s">
        <v>110</v>
      </c>
      <c r="V933">
        <v>9</v>
      </c>
      <c r="W933">
        <v>1</v>
      </c>
      <c r="X933">
        <v>0</v>
      </c>
      <c r="Y933">
        <v>136.36000000000001</v>
      </c>
      <c r="Z933">
        <v>3.9870000000000001</v>
      </c>
    </row>
    <row r="934" spans="1:26">
      <c r="A934" s="2">
        <v>43934</v>
      </c>
      <c r="B934" s="4">
        <v>0.60416666666666663</v>
      </c>
      <c r="C934" s="1" t="s">
        <v>111</v>
      </c>
      <c r="E934">
        <v>3019</v>
      </c>
      <c r="F934">
        <v>1</v>
      </c>
      <c r="G934">
        <v>154</v>
      </c>
      <c r="I934">
        <v>50</v>
      </c>
      <c r="K934">
        <v>83</v>
      </c>
      <c r="L934" s="1" t="s">
        <v>113</v>
      </c>
      <c r="N934" s="1" t="s">
        <v>37</v>
      </c>
      <c r="P934" s="1" t="s">
        <v>37</v>
      </c>
      <c r="R934" s="1" t="s">
        <v>37</v>
      </c>
      <c r="S934">
        <v>47.412750000000003</v>
      </c>
      <c r="T934">
        <v>8.6550799999999999</v>
      </c>
      <c r="U934" s="1" t="s">
        <v>112</v>
      </c>
      <c r="V934">
        <v>1</v>
      </c>
      <c r="W934">
        <v>17</v>
      </c>
      <c r="X934">
        <v>4</v>
      </c>
      <c r="Y934">
        <v>200.69</v>
      </c>
      <c r="Z934">
        <v>5.5179999999999998</v>
      </c>
    </row>
    <row r="935" spans="1:26">
      <c r="A935" s="2">
        <v>43935</v>
      </c>
      <c r="B935" s="4">
        <v>0.61458333333333337</v>
      </c>
      <c r="C935" s="1" t="s">
        <v>35</v>
      </c>
      <c r="E935">
        <v>912</v>
      </c>
      <c r="F935">
        <v>0</v>
      </c>
      <c r="G935">
        <v>78</v>
      </c>
      <c r="H935">
        <v>22</v>
      </c>
      <c r="I935">
        <v>22</v>
      </c>
      <c r="J935">
        <v>400</v>
      </c>
      <c r="K935">
        <v>19</v>
      </c>
      <c r="L935" s="1" t="s">
        <v>439</v>
      </c>
      <c r="N935" s="1" t="s">
        <v>37</v>
      </c>
      <c r="P935" s="1" t="s">
        <v>37</v>
      </c>
      <c r="R935" s="1" t="s">
        <v>37</v>
      </c>
      <c r="S935">
        <v>47.409660000000002</v>
      </c>
      <c r="T935">
        <v>8.1568799999999992</v>
      </c>
      <c r="U935" s="1" t="s">
        <v>36</v>
      </c>
      <c r="V935">
        <v>1</v>
      </c>
      <c r="W935">
        <v>6</v>
      </c>
      <c r="X935">
        <v>0</v>
      </c>
      <c r="Y935">
        <v>135.91999999999999</v>
      </c>
      <c r="Z935">
        <v>2.8319999999999999</v>
      </c>
    </row>
    <row r="936" spans="1:26">
      <c r="A936" s="2">
        <v>43935</v>
      </c>
      <c r="B936" s="4">
        <v>0.45833333333333331</v>
      </c>
      <c r="C936" s="1" t="s">
        <v>39</v>
      </c>
      <c r="E936">
        <v>24</v>
      </c>
      <c r="F936">
        <v>0</v>
      </c>
      <c r="G936">
        <v>1</v>
      </c>
      <c r="L936" s="1" t="s">
        <v>41</v>
      </c>
      <c r="N936" s="1" t="s">
        <v>37</v>
      </c>
      <c r="P936" s="1" t="s">
        <v>37</v>
      </c>
      <c r="R936" s="1" t="s">
        <v>37</v>
      </c>
      <c r="S936">
        <v>47.317264000000002</v>
      </c>
      <c r="T936">
        <v>9.4167539999999992</v>
      </c>
      <c r="U936" s="1" t="s">
        <v>40</v>
      </c>
      <c r="V936">
        <v>16</v>
      </c>
      <c r="W936">
        <v>0</v>
      </c>
      <c r="X936">
        <v>0</v>
      </c>
      <c r="Y936">
        <v>149.07</v>
      </c>
    </row>
    <row r="937" spans="1:26">
      <c r="A937" s="2">
        <v>43935</v>
      </c>
      <c r="B937" s="4">
        <v>0.33333333333333331</v>
      </c>
      <c r="C937" s="1" t="s">
        <v>42</v>
      </c>
      <c r="E937">
        <v>79</v>
      </c>
      <c r="F937">
        <v>0</v>
      </c>
      <c r="G937">
        <v>6</v>
      </c>
      <c r="K937">
        <v>3</v>
      </c>
      <c r="L937" s="1" t="s">
        <v>44</v>
      </c>
      <c r="N937" s="1" t="s">
        <v>37</v>
      </c>
      <c r="P937" s="1" t="s">
        <v>37</v>
      </c>
      <c r="R937" s="1" t="s">
        <v>37</v>
      </c>
      <c r="S937">
        <v>47.416351999999996</v>
      </c>
      <c r="T937">
        <v>9.3679100000000002</v>
      </c>
      <c r="U937" s="1" t="s">
        <v>43</v>
      </c>
      <c r="V937">
        <v>15</v>
      </c>
      <c r="W937">
        <v>1</v>
      </c>
      <c r="X937">
        <v>0</v>
      </c>
      <c r="Y937">
        <v>143.12</v>
      </c>
      <c r="Z937">
        <v>5.4349999999999996</v>
      </c>
    </row>
    <row r="938" spans="1:26">
      <c r="A938" s="2">
        <v>43935</v>
      </c>
      <c r="B938" s="4">
        <v>0.33333333333333331</v>
      </c>
      <c r="C938" s="1" t="s">
        <v>45</v>
      </c>
      <c r="E938">
        <v>1470</v>
      </c>
      <c r="F938">
        <v>-7</v>
      </c>
      <c r="G938">
        <v>85</v>
      </c>
      <c r="H938">
        <v>31</v>
      </c>
      <c r="I938">
        <v>21</v>
      </c>
      <c r="K938">
        <v>49</v>
      </c>
      <c r="L938" s="1" t="s">
        <v>47</v>
      </c>
      <c r="N938" s="1" t="s">
        <v>37</v>
      </c>
      <c r="P938" s="1" t="s">
        <v>37</v>
      </c>
      <c r="R938" s="1" t="s">
        <v>37</v>
      </c>
      <c r="S938">
        <v>46.823608</v>
      </c>
      <c r="T938">
        <v>7.6366670000000001</v>
      </c>
      <c r="U938" s="1" t="s">
        <v>46</v>
      </c>
      <c r="V938">
        <v>2</v>
      </c>
      <c r="W938">
        <v>14</v>
      </c>
      <c r="X938">
        <v>0</v>
      </c>
      <c r="Y938">
        <v>142.57</v>
      </c>
      <c r="Z938">
        <v>4.7519999999999998</v>
      </c>
    </row>
    <row r="939" spans="1:26">
      <c r="A939" s="2">
        <v>43935</v>
      </c>
      <c r="B939" s="4">
        <v>0.125</v>
      </c>
      <c r="C939" s="1" t="s">
        <v>48</v>
      </c>
      <c r="E939">
        <v>755</v>
      </c>
      <c r="F939">
        <v>0</v>
      </c>
      <c r="G939">
        <v>48</v>
      </c>
      <c r="H939">
        <v>14</v>
      </c>
      <c r="I939">
        <v>8</v>
      </c>
      <c r="J939">
        <v>597</v>
      </c>
      <c r="K939">
        <v>25</v>
      </c>
      <c r="L939" s="1" t="s">
        <v>50</v>
      </c>
      <c r="N939" s="1" t="s">
        <v>37</v>
      </c>
      <c r="P939" s="1" t="s">
        <v>37</v>
      </c>
      <c r="R939" s="1" t="s">
        <v>37</v>
      </c>
      <c r="S939">
        <v>47.45176</v>
      </c>
      <c r="T939">
        <v>7.7024140000000001</v>
      </c>
      <c r="U939" s="1" t="s">
        <v>49</v>
      </c>
      <c r="V939">
        <v>13</v>
      </c>
      <c r="W939">
        <v>6</v>
      </c>
      <c r="X939">
        <v>1</v>
      </c>
      <c r="Y939">
        <v>263.07</v>
      </c>
      <c r="Z939">
        <v>8.7110000000000003</v>
      </c>
    </row>
    <row r="940" spans="1:26">
      <c r="A940" s="2">
        <v>43935</v>
      </c>
      <c r="B940" s="4">
        <v>0.41666666666666669</v>
      </c>
      <c r="C940" s="1" t="s">
        <v>51</v>
      </c>
      <c r="D940">
        <v>235</v>
      </c>
      <c r="E940">
        <v>899</v>
      </c>
      <c r="F940">
        <v>0</v>
      </c>
      <c r="G940">
        <v>86</v>
      </c>
      <c r="H940">
        <v>9</v>
      </c>
      <c r="J940">
        <v>663</v>
      </c>
      <c r="K940">
        <v>34</v>
      </c>
      <c r="L940" s="1" t="s">
        <v>436</v>
      </c>
      <c r="M940">
        <v>490</v>
      </c>
      <c r="N940" s="1" t="s">
        <v>438</v>
      </c>
      <c r="P940" s="1" t="s">
        <v>37</v>
      </c>
      <c r="R940" s="1" t="s">
        <v>37</v>
      </c>
      <c r="S940">
        <v>47.564869000000002</v>
      </c>
      <c r="T940">
        <v>7.615259</v>
      </c>
      <c r="U940" s="1" t="s">
        <v>52</v>
      </c>
      <c r="V940">
        <v>12</v>
      </c>
      <c r="W940">
        <v>6</v>
      </c>
      <c r="X940">
        <v>0</v>
      </c>
      <c r="Y940">
        <v>463.64</v>
      </c>
      <c r="Z940">
        <v>17.535</v>
      </c>
    </row>
    <row r="941" spans="1:26">
      <c r="A941" s="2">
        <v>43935</v>
      </c>
      <c r="B941" s="4">
        <v>0.125</v>
      </c>
      <c r="C941" s="1" t="s">
        <v>57</v>
      </c>
      <c r="D941">
        <v>30</v>
      </c>
      <c r="E941">
        <v>879</v>
      </c>
      <c r="F941">
        <v>0</v>
      </c>
      <c r="G941">
        <v>68</v>
      </c>
      <c r="H941">
        <v>14</v>
      </c>
      <c r="J941">
        <v>98</v>
      </c>
      <c r="K941">
        <v>57</v>
      </c>
      <c r="L941" s="1" t="s">
        <v>59</v>
      </c>
      <c r="N941" s="1" t="s">
        <v>37</v>
      </c>
      <c r="P941" s="1" t="s">
        <v>37</v>
      </c>
      <c r="R941" s="1" t="s">
        <v>37</v>
      </c>
      <c r="S941">
        <v>46.718390999999997</v>
      </c>
      <c r="T941">
        <v>7.0740080000000001</v>
      </c>
      <c r="U941" s="1" t="s">
        <v>58</v>
      </c>
      <c r="V941">
        <v>10</v>
      </c>
      <c r="W941">
        <v>20</v>
      </c>
      <c r="X941">
        <v>2</v>
      </c>
      <c r="Y941">
        <v>278.95999999999998</v>
      </c>
      <c r="Z941">
        <v>18.088999999999999</v>
      </c>
    </row>
    <row r="942" spans="1:26">
      <c r="A942" s="2">
        <v>43935</v>
      </c>
      <c r="B942" s="4">
        <v>0.125</v>
      </c>
      <c r="C942" s="1" t="s">
        <v>60</v>
      </c>
      <c r="D942">
        <v>19820</v>
      </c>
      <c r="E942">
        <v>4414</v>
      </c>
      <c r="F942">
        <v>1</v>
      </c>
      <c r="G942">
        <v>365</v>
      </c>
      <c r="H942">
        <v>46</v>
      </c>
      <c r="I942">
        <v>41</v>
      </c>
      <c r="J942">
        <v>490</v>
      </c>
      <c r="K942">
        <v>180</v>
      </c>
      <c r="L942" s="1" t="s">
        <v>62</v>
      </c>
      <c r="N942" s="1" t="s">
        <v>37</v>
      </c>
      <c r="P942" s="1" t="s">
        <v>37</v>
      </c>
      <c r="Q942">
        <v>21</v>
      </c>
      <c r="R942" s="1" t="s">
        <v>37</v>
      </c>
      <c r="S942">
        <v>46.220528000000002</v>
      </c>
      <c r="T942">
        <v>6.1329349999999998</v>
      </c>
      <c r="U942" s="1" t="s">
        <v>61</v>
      </c>
      <c r="V942">
        <v>25</v>
      </c>
      <c r="W942">
        <v>53</v>
      </c>
      <c r="X942">
        <v>4</v>
      </c>
      <c r="Y942">
        <v>891.36</v>
      </c>
      <c r="Z942">
        <v>36.348999999999997</v>
      </c>
    </row>
    <row r="943" spans="1:26">
      <c r="A943" s="2">
        <v>43935</v>
      </c>
      <c r="B943" s="4">
        <v>0.54166666666666663</v>
      </c>
      <c r="C943" s="1" t="s">
        <v>63</v>
      </c>
      <c r="E943">
        <v>105</v>
      </c>
      <c r="F943">
        <v>0</v>
      </c>
      <c r="G943">
        <v>2</v>
      </c>
      <c r="K943">
        <v>2</v>
      </c>
      <c r="L943" s="1" t="s">
        <v>65</v>
      </c>
      <c r="N943" s="1" t="s">
        <v>37</v>
      </c>
      <c r="P943" s="1" t="s">
        <v>37</v>
      </c>
      <c r="R943" s="1" t="s">
        <v>37</v>
      </c>
      <c r="S943">
        <v>46.931042000000005</v>
      </c>
      <c r="T943">
        <v>9.0657510000000006</v>
      </c>
      <c r="U943" s="1" t="s">
        <v>64</v>
      </c>
      <c r="V943">
        <v>8</v>
      </c>
      <c r="W943">
        <v>13</v>
      </c>
      <c r="X943">
        <v>0</v>
      </c>
      <c r="Y943">
        <v>260.55</v>
      </c>
      <c r="Z943">
        <v>4.9630000000000001</v>
      </c>
    </row>
    <row r="944" spans="1:26">
      <c r="A944" s="2">
        <v>43935</v>
      </c>
      <c r="B944" s="4">
        <v>0.125</v>
      </c>
      <c r="C944" s="1" t="s">
        <v>66</v>
      </c>
      <c r="E944">
        <v>740</v>
      </c>
      <c r="F944">
        <v>0</v>
      </c>
      <c r="G944">
        <v>34</v>
      </c>
      <c r="K944">
        <v>37</v>
      </c>
      <c r="L944" s="1" t="s">
        <v>68</v>
      </c>
      <c r="N944" s="1" t="s">
        <v>37</v>
      </c>
      <c r="P944" s="1" t="s">
        <v>37</v>
      </c>
      <c r="R944" s="1" t="s">
        <v>37</v>
      </c>
      <c r="S944">
        <v>46.656247999999998</v>
      </c>
      <c r="T944">
        <v>9.6281979999999994</v>
      </c>
      <c r="U944" s="1" t="s">
        <v>67</v>
      </c>
      <c r="V944">
        <v>1</v>
      </c>
      <c r="W944">
        <v>5</v>
      </c>
      <c r="X944">
        <v>2</v>
      </c>
      <c r="Y944">
        <v>373.93</v>
      </c>
      <c r="Z944">
        <v>18.696000000000002</v>
      </c>
    </row>
    <row r="945" spans="1:26">
      <c r="A945" s="2">
        <v>43935</v>
      </c>
      <c r="B945" s="4">
        <v>0.66666666666666663</v>
      </c>
      <c r="C945" s="1" t="s">
        <v>69</v>
      </c>
      <c r="E945">
        <v>185</v>
      </c>
      <c r="F945">
        <v>-3</v>
      </c>
      <c r="G945">
        <v>21</v>
      </c>
      <c r="H945">
        <v>5</v>
      </c>
      <c r="K945">
        <v>3</v>
      </c>
      <c r="L945" s="1" t="s">
        <v>280</v>
      </c>
      <c r="N945" s="1" t="s">
        <v>37</v>
      </c>
      <c r="P945" s="1" t="s">
        <v>37</v>
      </c>
      <c r="R945" s="1" t="s">
        <v>37</v>
      </c>
      <c r="S945">
        <v>47.350743999999999</v>
      </c>
      <c r="T945">
        <v>7.1561070000000004</v>
      </c>
      <c r="U945" s="1" t="s">
        <v>70</v>
      </c>
      <c r="V945">
        <v>26</v>
      </c>
      <c r="W945">
        <v>1</v>
      </c>
      <c r="X945">
        <v>0</v>
      </c>
      <c r="Y945">
        <v>252.39</v>
      </c>
      <c r="Z945">
        <v>4.093</v>
      </c>
    </row>
    <row r="946" spans="1:26">
      <c r="A946" s="2">
        <v>43935</v>
      </c>
      <c r="B946" s="4">
        <v>0.45833333333333331</v>
      </c>
      <c r="C946" s="1" t="s">
        <v>71</v>
      </c>
      <c r="E946">
        <v>589</v>
      </c>
      <c r="F946">
        <v>7</v>
      </c>
      <c r="G946">
        <v>47</v>
      </c>
      <c r="H946">
        <v>4</v>
      </c>
      <c r="K946">
        <v>11</v>
      </c>
      <c r="L946" s="1" t="s">
        <v>73</v>
      </c>
      <c r="N946" s="1" t="s">
        <v>37</v>
      </c>
      <c r="P946" s="1" t="s">
        <v>37</v>
      </c>
      <c r="R946" s="1" t="s">
        <v>37</v>
      </c>
      <c r="S946">
        <v>47.067762999999999</v>
      </c>
      <c r="T946">
        <v>8.1102000000000007</v>
      </c>
      <c r="U946" s="1" t="s">
        <v>72</v>
      </c>
      <c r="V946">
        <v>3</v>
      </c>
      <c r="W946">
        <v>9</v>
      </c>
      <c r="X946">
        <v>1</v>
      </c>
      <c r="Y946">
        <v>144.9</v>
      </c>
      <c r="Z946">
        <v>2.706</v>
      </c>
    </row>
    <row r="947" spans="1:26">
      <c r="A947" s="2">
        <v>43935</v>
      </c>
      <c r="B947" s="4">
        <v>0.66666666666666663</v>
      </c>
      <c r="C947" s="1" t="s">
        <v>74</v>
      </c>
      <c r="E947">
        <v>606</v>
      </c>
      <c r="F947">
        <v>-7</v>
      </c>
      <c r="G947">
        <v>60</v>
      </c>
      <c r="H947">
        <v>11</v>
      </c>
      <c r="I947">
        <v>10</v>
      </c>
      <c r="K947">
        <v>51</v>
      </c>
      <c r="L947" s="1" t="s">
        <v>76</v>
      </c>
      <c r="N947" s="1" t="s">
        <v>37</v>
      </c>
      <c r="P947" s="1" t="s">
        <v>37</v>
      </c>
      <c r="R947" s="1" t="s">
        <v>37</v>
      </c>
      <c r="S947">
        <v>46.995533999999999</v>
      </c>
      <c r="T947">
        <v>6.7801260000000001</v>
      </c>
      <c r="U947" s="1" t="s">
        <v>75</v>
      </c>
      <c r="V947">
        <v>24</v>
      </c>
      <c r="W947">
        <v>11</v>
      </c>
      <c r="X947">
        <v>3</v>
      </c>
      <c r="Y947">
        <v>340.45</v>
      </c>
      <c r="Z947">
        <v>28.652000000000001</v>
      </c>
    </row>
    <row r="948" spans="1:26">
      <c r="A948" s="2">
        <v>43935</v>
      </c>
      <c r="B948" s="4">
        <v>0.65625</v>
      </c>
      <c r="C948" s="1" t="s">
        <v>77</v>
      </c>
      <c r="E948">
        <v>105</v>
      </c>
      <c r="F948">
        <v>1</v>
      </c>
      <c r="G948">
        <v>7</v>
      </c>
      <c r="H948">
        <v>2</v>
      </c>
      <c r="K948">
        <v>1</v>
      </c>
      <c r="L948" s="1" t="s">
        <v>79</v>
      </c>
      <c r="N948" s="1" t="s">
        <v>37</v>
      </c>
      <c r="P948" s="1" t="s">
        <v>37</v>
      </c>
      <c r="R948" s="1" t="s">
        <v>37</v>
      </c>
      <c r="S948">
        <v>46.926755</v>
      </c>
      <c r="T948">
        <v>8.4053020000000007</v>
      </c>
      <c r="U948" s="1" t="s">
        <v>78</v>
      </c>
      <c r="V948">
        <v>7</v>
      </c>
      <c r="W948">
        <v>1</v>
      </c>
      <c r="X948">
        <v>0</v>
      </c>
      <c r="Y948">
        <v>244.19</v>
      </c>
      <c r="Z948">
        <v>2.3260000000000001</v>
      </c>
    </row>
    <row r="949" spans="1:26">
      <c r="A949" s="2">
        <v>43935</v>
      </c>
      <c r="B949" s="4">
        <v>0.65625</v>
      </c>
      <c r="C949" s="1" t="s">
        <v>80</v>
      </c>
      <c r="D949">
        <v>6</v>
      </c>
      <c r="E949">
        <v>64</v>
      </c>
      <c r="F949">
        <v>-1</v>
      </c>
      <c r="G949">
        <v>0</v>
      </c>
      <c r="J949">
        <v>1</v>
      </c>
      <c r="K949">
        <v>0</v>
      </c>
      <c r="L949" s="1" t="s">
        <v>82</v>
      </c>
      <c r="N949" s="1" t="s">
        <v>37</v>
      </c>
      <c r="P949" s="1" t="s">
        <v>37</v>
      </c>
      <c r="R949" s="1" t="s">
        <v>37</v>
      </c>
      <c r="S949">
        <v>46.804527</v>
      </c>
      <c r="T949">
        <v>8.1443170000000009</v>
      </c>
      <c r="U949" s="1" t="s">
        <v>81</v>
      </c>
      <c r="V949">
        <v>6</v>
      </c>
      <c r="W949">
        <v>2</v>
      </c>
      <c r="X949">
        <v>0</v>
      </c>
      <c r="Y949">
        <v>170.21</v>
      </c>
      <c r="Z949">
        <v>0</v>
      </c>
    </row>
    <row r="950" spans="1:26">
      <c r="A950" s="2">
        <v>43935</v>
      </c>
      <c r="B950" s="4">
        <v>0.125</v>
      </c>
      <c r="C950" s="1" t="s">
        <v>83</v>
      </c>
      <c r="E950">
        <v>664</v>
      </c>
      <c r="F950">
        <v>1</v>
      </c>
      <c r="G950">
        <v>59</v>
      </c>
      <c r="H950">
        <v>9</v>
      </c>
      <c r="J950">
        <v>120</v>
      </c>
      <c r="K950">
        <v>21</v>
      </c>
      <c r="L950" s="1" t="s">
        <v>85</v>
      </c>
      <c r="N950" s="1" t="s">
        <v>37</v>
      </c>
      <c r="P950" s="1" t="s">
        <v>37</v>
      </c>
      <c r="R950" s="1" t="s">
        <v>37</v>
      </c>
      <c r="S950">
        <v>47.183199999999999</v>
      </c>
      <c r="T950">
        <v>9.2747440000000001</v>
      </c>
      <c r="U950" s="1" t="s">
        <v>84</v>
      </c>
      <c r="V950">
        <v>17</v>
      </c>
      <c r="W950">
        <v>7</v>
      </c>
      <c r="X950">
        <v>0</v>
      </c>
      <c r="Y950">
        <v>131.56</v>
      </c>
      <c r="Z950">
        <v>4.1609999999999996</v>
      </c>
    </row>
    <row r="951" spans="1:26">
      <c r="A951" s="2">
        <v>43935</v>
      </c>
      <c r="B951" s="4">
        <v>0.39583333333333331</v>
      </c>
      <c r="C951" s="1" t="s">
        <v>86</v>
      </c>
      <c r="E951">
        <v>57</v>
      </c>
      <c r="F951">
        <v>-6</v>
      </c>
      <c r="G951">
        <v>10</v>
      </c>
      <c r="H951">
        <v>2</v>
      </c>
      <c r="K951">
        <v>1</v>
      </c>
      <c r="L951" s="1" t="s">
        <v>88</v>
      </c>
      <c r="N951" s="1" t="s">
        <v>37</v>
      </c>
      <c r="P951" s="1" t="s">
        <v>37</v>
      </c>
      <c r="R951" s="1" t="s">
        <v>37</v>
      </c>
      <c r="S951">
        <v>47.713569999999997</v>
      </c>
      <c r="T951">
        <v>8.5916700000000006</v>
      </c>
      <c r="U951" s="1" t="s">
        <v>87</v>
      </c>
      <c r="V951">
        <v>14</v>
      </c>
      <c r="W951">
        <v>0</v>
      </c>
      <c r="X951">
        <v>0</v>
      </c>
      <c r="Y951">
        <v>70.02</v>
      </c>
      <c r="Z951">
        <v>1.2290000000000001</v>
      </c>
    </row>
    <row r="952" spans="1:26">
      <c r="A952" s="2">
        <v>43935</v>
      </c>
      <c r="B952" s="4">
        <v>0.125</v>
      </c>
      <c r="C952" s="1" t="s">
        <v>89</v>
      </c>
      <c r="E952">
        <v>325</v>
      </c>
      <c r="F952">
        <v>-1</v>
      </c>
      <c r="G952">
        <v>22</v>
      </c>
      <c r="K952">
        <v>8</v>
      </c>
      <c r="L952" s="1" t="s">
        <v>91</v>
      </c>
      <c r="N952" s="1" t="s">
        <v>37</v>
      </c>
      <c r="P952" s="1" t="s">
        <v>37</v>
      </c>
      <c r="R952" s="1" t="s">
        <v>37</v>
      </c>
      <c r="S952">
        <v>47.304135000000002</v>
      </c>
      <c r="T952">
        <v>7.6393880000000003</v>
      </c>
      <c r="U952" s="1" t="s">
        <v>90</v>
      </c>
      <c r="V952">
        <v>11</v>
      </c>
      <c r="W952">
        <v>4</v>
      </c>
      <c r="X952">
        <v>1</v>
      </c>
      <c r="Y952">
        <v>119.75</v>
      </c>
      <c r="Z952">
        <v>2.948</v>
      </c>
    </row>
    <row r="953" spans="1:26">
      <c r="A953" s="2">
        <v>43935</v>
      </c>
      <c r="B953" s="4">
        <v>0.125</v>
      </c>
      <c r="C953" s="1" t="s">
        <v>92</v>
      </c>
      <c r="D953">
        <v>10</v>
      </c>
      <c r="E953">
        <v>258</v>
      </c>
      <c r="F953">
        <v>0</v>
      </c>
      <c r="G953">
        <v>1</v>
      </c>
      <c r="J953">
        <v>128</v>
      </c>
      <c r="K953">
        <v>13</v>
      </c>
      <c r="L953" s="1" t="s">
        <v>434</v>
      </c>
      <c r="N953" s="1" t="s">
        <v>37</v>
      </c>
      <c r="P953" s="1" t="s">
        <v>37</v>
      </c>
      <c r="R953" s="1" t="s">
        <v>37</v>
      </c>
      <c r="S953">
        <v>47.061787000000002</v>
      </c>
      <c r="T953">
        <v>8.7565849999999994</v>
      </c>
      <c r="U953" s="1" t="s">
        <v>93</v>
      </c>
      <c r="V953">
        <v>5</v>
      </c>
      <c r="W953">
        <v>7</v>
      </c>
      <c r="X953">
        <v>1</v>
      </c>
      <c r="Y953">
        <v>164.02</v>
      </c>
      <c r="Z953">
        <v>8.2639999999999993</v>
      </c>
    </row>
    <row r="954" spans="1:26">
      <c r="A954" s="2">
        <v>43935</v>
      </c>
      <c r="B954" s="4">
        <v>0.125</v>
      </c>
      <c r="C954" s="1" t="s">
        <v>95</v>
      </c>
      <c r="D954">
        <v>276</v>
      </c>
      <c r="E954">
        <v>296</v>
      </c>
      <c r="F954">
        <v>3</v>
      </c>
      <c r="G954">
        <v>35</v>
      </c>
      <c r="H954">
        <v>16</v>
      </c>
      <c r="K954">
        <v>10</v>
      </c>
      <c r="L954" s="1" t="s">
        <v>97</v>
      </c>
      <c r="N954" s="1" t="s">
        <v>37</v>
      </c>
      <c r="P954" s="1" t="s">
        <v>37</v>
      </c>
      <c r="R954" s="1" t="s">
        <v>37</v>
      </c>
      <c r="S954">
        <v>47.568714999999997</v>
      </c>
      <c r="T954">
        <v>9.0919570000000007</v>
      </c>
      <c r="U954" s="1" t="s">
        <v>96</v>
      </c>
      <c r="V954">
        <v>1</v>
      </c>
      <c r="W954">
        <v>4</v>
      </c>
      <c r="X954">
        <v>2</v>
      </c>
      <c r="Y954">
        <v>108.11</v>
      </c>
      <c r="Z954">
        <v>3.6520000000000001</v>
      </c>
    </row>
    <row r="955" spans="1:26">
      <c r="A955" s="2">
        <v>43935</v>
      </c>
      <c r="B955" s="4">
        <v>0.33333333333333331</v>
      </c>
      <c r="C955" s="1" t="s">
        <v>98</v>
      </c>
      <c r="E955">
        <v>2912</v>
      </c>
      <c r="F955">
        <v>5</v>
      </c>
      <c r="G955">
        <v>274</v>
      </c>
      <c r="H955">
        <v>63</v>
      </c>
      <c r="I955">
        <v>54</v>
      </c>
      <c r="J955">
        <v>524</v>
      </c>
      <c r="K955">
        <v>258</v>
      </c>
      <c r="L955" s="1" t="s">
        <v>440</v>
      </c>
      <c r="N955" s="1" t="s">
        <v>37</v>
      </c>
      <c r="P955" s="1" t="s">
        <v>37</v>
      </c>
      <c r="R955" s="1" t="s">
        <v>37</v>
      </c>
      <c r="S955">
        <v>46.295617</v>
      </c>
      <c r="T955">
        <v>8.8089239999999993</v>
      </c>
      <c r="U955" s="1" t="s">
        <v>99</v>
      </c>
      <c r="V955">
        <v>21</v>
      </c>
      <c r="W955">
        <v>12</v>
      </c>
      <c r="X955">
        <v>7</v>
      </c>
      <c r="Y955">
        <v>823.3</v>
      </c>
      <c r="Z955">
        <v>72.942999999999998</v>
      </c>
    </row>
    <row r="956" spans="1:26">
      <c r="A956" s="2">
        <v>43935</v>
      </c>
      <c r="B956" s="4">
        <v>0.58333333333333337</v>
      </c>
      <c r="C956" s="1" t="s">
        <v>101</v>
      </c>
      <c r="D956">
        <v>85</v>
      </c>
      <c r="E956">
        <v>78</v>
      </c>
      <c r="F956">
        <v>-1</v>
      </c>
      <c r="G956">
        <v>3</v>
      </c>
      <c r="J956">
        <v>56</v>
      </c>
      <c r="K956">
        <v>4</v>
      </c>
      <c r="L956" s="1" t="s">
        <v>103</v>
      </c>
      <c r="N956" s="1" t="s">
        <v>37</v>
      </c>
      <c r="P956" s="1" t="s">
        <v>37</v>
      </c>
      <c r="R956" s="1" t="s">
        <v>37</v>
      </c>
      <c r="S956">
        <v>46.771849000000003</v>
      </c>
      <c r="T956">
        <v>8.6285860000000003</v>
      </c>
      <c r="U956" s="1" t="s">
        <v>102</v>
      </c>
      <c r="V956">
        <v>4</v>
      </c>
      <c r="W956">
        <v>0</v>
      </c>
      <c r="X956">
        <v>0</v>
      </c>
      <c r="Y956">
        <v>214.88</v>
      </c>
      <c r="Z956">
        <v>11.019</v>
      </c>
    </row>
    <row r="957" spans="1:26">
      <c r="A957" s="2">
        <v>43935</v>
      </c>
      <c r="B957" s="4">
        <v>0.125</v>
      </c>
      <c r="C957" s="1" t="s">
        <v>104</v>
      </c>
      <c r="E957">
        <v>4794</v>
      </c>
      <c r="F957">
        <v>-17</v>
      </c>
      <c r="G957">
        <v>286</v>
      </c>
      <c r="H957">
        <v>63</v>
      </c>
      <c r="J957">
        <v>225</v>
      </c>
      <c r="K957">
        <v>265</v>
      </c>
      <c r="L957" s="1" t="s">
        <v>106</v>
      </c>
      <c r="N957" s="1" t="s">
        <v>37</v>
      </c>
      <c r="P957" s="1" t="s">
        <v>37</v>
      </c>
      <c r="R957" s="1" t="s">
        <v>37</v>
      </c>
      <c r="S957">
        <v>46.570090999999998</v>
      </c>
      <c r="T957">
        <v>6.5578090000000007</v>
      </c>
      <c r="U957" s="1" t="s">
        <v>105</v>
      </c>
      <c r="V957">
        <v>22</v>
      </c>
      <c r="W957">
        <v>54</v>
      </c>
      <c r="X957">
        <v>10</v>
      </c>
      <c r="Y957">
        <v>604.46</v>
      </c>
      <c r="Z957">
        <v>33.412999999999997</v>
      </c>
    </row>
    <row r="958" spans="1:26">
      <c r="A958" s="2">
        <v>43935</v>
      </c>
      <c r="B958" s="4">
        <v>0.625</v>
      </c>
      <c r="C958" s="1" t="s">
        <v>107</v>
      </c>
      <c r="E958">
        <v>1706</v>
      </c>
      <c r="F958">
        <v>-6</v>
      </c>
      <c r="G958">
        <v>101</v>
      </c>
      <c r="H958">
        <v>20</v>
      </c>
      <c r="I958">
        <v>11</v>
      </c>
      <c r="J958">
        <v>165</v>
      </c>
      <c r="K958">
        <v>94</v>
      </c>
      <c r="L958" s="1" t="s">
        <v>412</v>
      </c>
      <c r="N958" s="1" t="s">
        <v>37</v>
      </c>
      <c r="P958" s="1" t="s">
        <v>37</v>
      </c>
      <c r="R958" s="1" t="s">
        <v>37</v>
      </c>
      <c r="S958">
        <v>46.209567</v>
      </c>
      <c r="T958">
        <v>7.6046589999999998</v>
      </c>
      <c r="U958" s="1" t="s">
        <v>108</v>
      </c>
      <c r="V958">
        <v>23</v>
      </c>
      <c r="W958">
        <v>26</v>
      </c>
      <c r="X958">
        <v>1</v>
      </c>
      <c r="Y958">
        <v>499.56</v>
      </c>
      <c r="Z958">
        <v>27.526</v>
      </c>
    </row>
    <row r="959" spans="1:26">
      <c r="A959" s="2">
        <v>43935</v>
      </c>
      <c r="B959" s="4">
        <v>0.33333333333333331</v>
      </c>
      <c r="C959" s="1" t="s">
        <v>109</v>
      </c>
      <c r="E959">
        <v>171</v>
      </c>
      <c r="F959">
        <v>0</v>
      </c>
      <c r="G959">
        <v>13</v>
      </c>
      <c r="H959">
        <v>9</v>
      </c>
      <c r="J959">
        <v>88</v>
      </c>
      <c r="K959">
        <v>5</v>
      </c>
      <c r="L959" s="1" t="s">
        <v>502</v>
      </c>
      <c r="N959" s="1" t="s">
        <v>37</v>
      </c>
      <c r="P959" s="1" t="s">
        <v>37</v>
      </c>
      <c r="R959" s="1" t="s">
        <v>37</v>
      </c>
      <c r="S959">
        <v>47.157296000000002</v>
      </c>
      <c r="T959">
        <v>8.5372939999999993</v>
      </c>
      <c r="U959" s="1" t="s">
        <v>110</v>
      </c>
      <c r="V959">
        <v>9</v>
      </c>
      <c r="W959">
        <v>0</v>
      </c>
      <c r="X959">
        <v>0</v>
      </c>
      <c r="Y959">
        <v>136.36000000000001</v>
      </c>
      <c r="Z959">
        <v>3.9870000000000001</v>
      </c>
    </row>
    <row r="960" spans="1:26">
      <c r="A960" s="2">
        <v>43935</v>
      </c>
      <c r="B960" s="4">
        <v>0.60416666666666663</v>
      </c>
      <c r="C960" s="1" t="s">
        <v>111</v>
      </c>
      <c r="E960">
        <v>3066</v>
      </c>
      <c r="F960">
        <v>-5</v>
      </c>
      <c r="G960">
        <v>149</v>
      </c>
      <c r="I960">
        <v>52</v>
      </c>
      <c r="K960">
        <v>87</v>
      </c>
      <c r="L960" s="1" t="s">
        <v>113</v>
      </c>
      <c r="N960" s="1" t="s">
        <v>37</v>
      </c>
      <c r="P960" s="1" t="s">
        <v>37</v>
      </c>
      <c r="R960" s="1" t="s">
        <v>37</v>
      </c>
      <c r="S960">
        <v>47.412750000000003</v>
      </c>
      <c r="T960">
        <v>8.6550799999999999</v>
      </c>
      <c r="U960" s="1" t="s">
        <v>112</v>
      </c>
      <c r="V960">
        <v>1</v>
      </c>
      <c r="W960">
        <v>47</v>
      </c>
      <c r="X960">
        <v>4</v>
      </c>
      <c r="Y960">
        <v>203.82</v>
      </c>
      <c r="Z960">
        <v>5.7830000000000004</v>
      </c>
    </row>
    <row r="961" spans="1:26">
      <c r="A961" s="2">
        <v>43936</v>
      </c>
      <c r="B961" s="4">
        <v>0.61458333333333337</v>
      </c>
      <c r="C961" s="1" t="s">
        <v>35</v>
      </c>
      <c r="E961">
        <v>929</v>
      </c>
      <c r="F961">
        <v>-9</v>
      </c>
      <c r="G961">
        <v>69</v>
      </c>
      <c r="H961">
        <v>20</v>
      </c>
      <c r="I961">
        <v>20</v>
      </c>
      <c r="J961">
        <v>450</v>
      </c>
      <c r="K961">
        <v>22</v>
      </c>
      <c r="L961" s="1" t="s">
        <v>449</v>
      </c>
      <c r="N961" s="1" t="s">
        <v>37</v>
      </c>
      <c r="P961" s="1" t="s">
        <v>37</v>
      </c>
      <c r="R961" s="1" t="s">
        <v>37</v>
      </c>
      <c r="S961">
        <v>47.409660000000002</v>
      </c>
      <c r="T961">
        <v>8.1568799999999992</v>
      </c>
      <c r="U961" s="1" t="s">
        <v>36</v>
      </c>
      <c r="V961">
        <v>1</v>
      </c>
      <c r="W961">
        <v>17</v>
      </c>
      <c r="X961">
        <v>3</v>
      </c>
      <c r="Y961">
        <v>138.44999999999999</v>
      </c>
      <c r="Z961">
        <v>3.2789999999999999</v>
      </c>
    </row>
    <row r="962" spans="1:26">
      <c r="A962" s="2">
        <v>43936</v>
      </c>
      <c r="B962" s="4">
        <v>0.45833333333333331</v>
      </c>
      <c r="C962" s="1" t="s">
        <v>39</v>
      </c>
      <c r="E962">
        <v>24</v>
      </c>
      <c r="F962">
        <v>0</v>
      </c>
      <c r="G962">
        <v>1</v>
      </c>
      <c r="L962" s="1" t="s">
        <v>41</v>
      </c>
      <c r="N962" s="1" t="s">
        <v>37</v>
      </c>
      <c r="P962" s="1" t="s">
        <v>37</v>
      </c>
      <c r="R962" s="1" t="s">
        <v>37</v>
      </c>
      <c r="S962">
        <v>47.317264000000002</v>
      </c>
      <c r="T962">
        <v>9.4167539999999992</v>
      </c>
      <c r="U962" s="1" t="s">
        <v>40</v>
      </c>
      <c r="V962">
        <v>16</v>
      </c>
      <c r="W962">
        <v>0</v>
      </c>
      <c r="X962">
        <v>0</v>
      </c>
      <c r="Y962">
        <v>149.07</v>
      </c>
    </row>
    <row r="963" spans="1:26">
      <c r="A963" s="2">
        <v>43936</v>
      </c>
      <c r="B963" s="4">
        <v>0.33333333333333331</v>
      </c>
      <c r="C963" s="1" t="s">
        <v>42</v>
      </c>
      <c r="E963">
        <v>79</v>
      </c>
      <c r="F963">
        <v>0</v>
      </c>
      <c r="G963">
        <v>6</v>
      </c>
      <c r="K963">
        <v>3</v>
      </c>
      <c r="L963" s="1" t="s">
        <v>44</v>
      </c>
      <c r="N963" s="1" t="s">
        <v>37</v>
      </c>
      <c r="P963" s="1" t="s">
        <v>37</v>
      </c>
      <c r="R963" s="1" t="s">
        <v>37</v>
      </c>
      <c r="S963">
        <v>47.416351999999996</v>
      </c>
      <c r="T963">
        <v>9.3679100000000002</v>
      </c>
      <c r="U963" s="1" t="s">
        <v>43</v>
      </c>
      <c r="V963">
        <v>15</v>
      </c>
      <c r="W963">
        <v>0</v>
      </c>
      <c r="X963">
        <v>0</v>
      </c>
      <c r="Y963">
        <v>143.12</v>
      </c>
      <c r="Z963">
        <v>5.4349999999999996</v>
      </c>
    </row>
    <row r="964" spans="1:26">
      <c r="A964" s="2">
        <v>43936</v>
      </c>
      <c r="B964" s="4">
        <v>0.33333333333333331</v>
      </c>
      <c r="C964" s="1" t="s">
        <v>45</v>
      </c>
      <c r="E964">
        <v>1489</v>
      </c>
      <c r="F964">
        <v>-3</v>
      </c>
      <c r="G964">
        <v>82</v>
      </c>
      <c r="H964">
        <v>30</v>
      </c>
      <c r="I964">
        <v>18</v>
      </c>
      <c r="K964">
        <v>53</v>
      </c>
      <c r="L964" s="1" t="s">
        <v>47</v>
      </c>
      <c r="N964" s="1" t="s">
        <v>37</v>
      </c>
      <c r="P964" s="1" t="s">
        <v>37</v>
      </c>
      <c r="R964" s="1" t="s">
        <v>37</v>
      </c>
      <c r="S964">
        <v>46.823608</v>
      </c>
      <c r="T964">
        <v>7.6366670000000001</v>
      </c>
      <c r="U964" s="1" t="s">
        <v>46</v>
      </c>
      <c r="V964">
        <v>2</v>
      </c>
      <c r="W964">
        <v>19</v>
      </c>
      <c r="X964">
        <v>4</v>
      </c>
      <c r="Y964">
        <v>144.41</v>
      </c>
      <c r="Z964">
        <v>5.14</v>
      </c>
    </row>
    <row r="965" spans="1:26">
      <c r="A965" s="2">
        <v>43936</v>
      </c>
      <c r="B965" s="4">
        <v>0.125</v>
      </c>
      <c r="C965" s="1" t="s">
        <v>48</v>
      </c>
      <c r="E965">
        <v>768</v>
      </c>
      <c r="F965">
        <v>-3</v>
      </c>
      <c r="G965">
        <v>45</v>
      </c>
      <c r="H965">
        <v>9</v>
      </c>
      <c r="I965">
        <v>7</v>
      </c>
      <c r="J965">
        <v>610</v>
      </c>
      <c r="K965">
        <v>25</v>
      </c>
      <c r="L965" s="1" t="s">
        <v>50</v>
      </c>
      <c r="N965" s="1" t="s">
        <v>37</v>
      </c>
      <c r="P965" s="1" t="s">
        <v>37</v>
      </c>
      <c r="R965" s="1" t="s">
        <v>37</v>
      </c>
      <c r="S965">
        <v>47.45176</v>
      </c>
      <c r="T965">
        <v>7.7024140000000001</v>
      </c>
      <c r="U965" s="1" t="s">
        <v>49</v>
      </c>
      <c r="V965">
        <v>13</v>
      </c>
      <c r="W965">
        <v>13</v>
      </c>
      <c r="X965">
        <v>0</v>
      </c>
      <c r="Y965">
        <v>267.60000000000002</v>
      </c>
      <c r="Z965">
        <v>8.7110000000000003</v>
      </c>
    </row>
    <row r="966" spans="1:26">
      <c r="A966" s="2">
        <v>43936</v>
      </c>
      <c r="B966" s="4">
        <v>0.41666666666666669</v>
      </c>
      <c r="C966" s="1" t="s">
        <v>51</v>
      </c>
      <c r="D966">
        <v>235</v>
      </c>
      <c r="E966">
        <v>909</v>
      </c>
      <c r="F966">
        <v>-6</v>
      </c>
      <c r="G966">
        <v>80</v>
      </c>
      <c r="H966">
        <v>7</v>
      </c>
      <c r="J966">
        <v>682</v>
      </c>
      <c r="K966">
        <v>36</v>
      </c>
      <c r="L966" s="1" t="s">
        <v>441</v>
      </c>
      <c r="M966">
        <v>492</v>
      </c>
      <c r="N966" s="1" t="s">
        <v>289</v>
      </c>
      <c r="P966" s="1" t="s">
        <v>37</v>
      </c>
      <c r="R966" s="1" t="s">
        <v>37</v>
      </c>
      <c r="S966">
        <v>47.564869000000002</v>
      </c>
      <c r="T966">
        <v>7.615259</v>
      </c>
      <c r="U966" s="1" t="s">
        <v>52</v>
      </c>
      <c r="V966">
        <v>12</v>
      </c>
      <c r="W966">
        <v>10</v>
      </c>
      <c r="X966">
        <v>2</v>
      </c>
      <c r="Y966">
        <v>468.8</v>
      </c>
      <c r="Z966">
        <v>18.565999999999999</v>
      </c>
    </row>
    <row r="967" spans="1:26">
      <c r="A967" s="2">
        <v>43936</v>
      </c>
      <c r="B967" s="4">
        <v>0.125</v>
      </c>
      <c r="C967" s="1" t="s">
        <v>54</v>
      </c>
      <c r="D967">
        <v>900</v>
      </c>
      <c r="E967">
        <v>80</v>
      </c>
      <c r="F967">
        <v>0</v>
      </c>
      <c r="J967">
        <v>1</v>
      </c>
      <c r="K967">
        <v>1</v>
      </c>
      <c r="L967" s="1" t="s">
        <v>445</v>
      </c>
      <c r="N967" s="1" t="s">
        <v>37</v>
      </c>
      <c r="P967" s="1" t="s">
        <v>37</v>
      </c>
      <c r="R967" s="1" t="s">
        <v>37</v>
      </c>
      <c r="S967">
        <v>47.166666999999997</v>
      </c>
      <c r="T967">
        <v>9.509722</v>
      </c>
      <c r="U967" s="1" t="s">
        <v>55</v>
      </c>
      <c r="V967">
        <v>0</v>
      </c>
      <c r="W967">
        <v>0</v>
      </c>
      <c r="X967">
        <v>0</v>
      </c>
      <c r="Y967">
        <v>207.25</v>
      </c>
      <c r="Z967">
        <v>2.5910000000000002</v>
      </c>
    </row>
    <row r="968" spans="1:26">
      <c r="A968" s="2">
        <v>43936</v>
      </c>
      <c r="B968" s="4">
        <v>0.125</v>
      </c>
      <c r="C968" s="1" t="s">
        <v>57</v>
      </c>
      <c r="D968">
        <v>30</v>
      </c>
      <c r="E968">
        <v>890</v>
      </c>
      <c r="F968">
        <v>-7</v>
      </c>
      <c r="G968">
        <v>61</v>
      </c>
      <c r="H968">
        <v>16</v>
      </c>
      <c r="J968">
        <v>105</v>
      </c>
      <c r="K968">
        <v>63</v>
      </c>
      <c r="L968" s="1" t="s">
        <v>59</v>
      </c>
      <c r="N968" s="1" t="s">
        <v>37</v>
      </c>
      <c r="P968" s="1" t="s">
        <v>37</v>
      </c>
      <c r="R968" s="1" t="s">
        <v>37</v>
      </c>
      <c r="S968">
        <v>46.718390999999997</v>
      </c>
      <c r="T968">
        <v>7.0740080000000001</v>
      </c>
      <c r="U968" s="1" t="s">
        <v>58</v>
      </c>
      <c r="V968">
        <v>10</v>
      </c>
      <c r="W968">
        <v>11</v>
      </c>
      <c r="X968">
        <v>6</v>
      </c>
      <c r="Y968">
        <v>282.45</v>
      </c>
      <c r="Z968">
        <v>19.994</v>
      </c>
    </row>
    <row r="969" spans="1:26">
      <c r="A969" s="2">
        <v>43936</v>
      </c>
      <c r="B969" s="4">
        <v>0.125</v>
      </c>
      <c r="C969" s="1" t="s">
        <v>60</v>
      </c>
      <c r="D969">
        <v>20296</v>
      </c>
      <c r="E969">
        <v>4480</v>
      </c>
      <c r="F969">
        <v>-13</v>
      </c>
      <c r="G969">
        <v>352</v>
      </c>
      <c r="H969">
        <v>41</v>
      </c>
      <c r="I969">
        <v>37</v>
      </c>
      <c r="J969">
        <v>502</v>
      </c>
      <c r="K969">
        <v>184</v>
      </c>
      <c r="L969" s="1" t="s">
        <v>62</v>
      </c>
      <c r="N969" s="1" t="s">
        <v>37</v>
      </c>
      <c r="P969" s="1" t="s">
        <v>37</v>
      </c>
      <c r="Q969">
        <v>26</v>
      </c>
      <c r="R969" s="1" t="s">
        <v>37</v>
      </c>
      <c r="S969">
        <v>46.220528000000002</v>
      </c>
      <c r="T969">
        <v>6.1329349999999998</v>
      </c>
      <c r="U969" s="1" t="s">
        <v>61</v>
      </c>
      <c r="V969">
        <v>25</v>
      </c>
      <c r="W969">
        <v>66</v>
      </c>
      <c r="X969">
        <v>4</v>
      </c>
      <c r="Y969">
        <v>904.68</v>
      </c>
      <c r="Z969">
        <v>37.156999999999996</v>
      </c>
    </row>
    <row r="970" spans="1:26">
      <c r="A970" s="2">
        <v>43936</v>
      </c>
      <c r="B970" s="4">
        <v>0.5</v>
      </c>
      <c r="C970" s="1" t="s">
        <v>63</v>
      </c>
      <c r="E970">
        <v>105</v>
      </c>
      <c r="F970">
        <v>0</v>
      </c>
      <c r="G970">
        <v>2</v>
      </c>
      <c r="K970">
        <v>2</v>
      </c>
      <c r="L970" s="1" t="s">
        <v>65</v>
      </c>
      <c r="N970" s="1" t="s">
        <v>37</v>
      </c>
      <c r="P970" s="1" t="s">
        <v>37</v>
      </c>
      <c r="R970" s="1" t="s">
        <v>37</v>
      </c>
      <c r="S970">
        <v>46.931042000000005</v>
      </c>
      <c r="T970">
        <v>9.0657510000000006</v>
      </c>
      <c r="U970" s="1" t="s">
        <v>64</v>
      </c>
      <c r="V970">
        <v>8</v>
      </c>
      <c r="W970">
        <v>0</v>
      </c>
      <c r="X970">
        <v>0</v>
      </c>
      <c r="Y970">
        <v>260.55</v>
      </c>
      <c r="Z970">
        <v>4.9630000000000001</v>
      </c>
    </row>
    <row r="971" spans="1:26">
      <c r="A971" s="2">
        <v>43936</v>
      </c>
      <c r="B971" s="4">
        <v>0.125</v>
      </c>
      <c r="C971" s="1" t="s">
        <v>66</v>
      </c>
      <c r="E971">
        <v>746</v>
      </c>
      <c r="F971">
        <v>2</v>
      </c>
      <c r="G971">
        <v>36</v>
      </c>
      <c r="K971">
        <v>38</v>
      </c>
      <c r="L971" s="1" t="s">
        <v>68</v>
      </c>
      <c r="N971" s="1" t="s">
        <v>37</v>
      </c>
      <c r="P971" s="1" t="s">
        <v>37</v>
      </c>
      <c r="R971" s="1" t="s">
        <v>37</v>
      </c>
      <c r="S971">
        <v>46.656247999999998</v>
      </c>
      <c r="T971">
        <v>9.6281979999999994</v>
      </c>
      <c r="U971" s="1" t="s">
        <v>67</v>
      </c>
      <c r="V971">
        <v>1</v>
      </c>
      <c r="W971">
        <v>6</v>
      </c>
      <c r="X971">
        <v>1</v>
      </c>
      <c r="Y971">
        <v>376.96</v>
      </c>
      <c r="Z971">
        <v>19.202000000000002</v>
      </c>
    </row>
    <row r="972" spans="1:26">
      <c r="A972" s="2">
        <v>43936</v>
      </c>
      <c r="B972" s="4">
        <v>0.66666666666666663</v>
      </c>
      <c r="C972" s="1" t="s">
        <v>69</v>
      </c>
      <c r="E972">
        <v>188</v>
      </c>
      <c r="F972">
        <v>-4</v>
      </c>
      <c r="G972">
        <v>17</v>
      </c>
      <c r="H972">
        <v>5</v>
      </c>
      <c r="K972">
        <v>3</v>
      </c>
      <c r="L972" s="1" t="s">
        <v>446</v>
      </c>
      <c r="N972" s="1" t="s">
        <v>37</v>
      </c>
      <c r="P972" s="1" t="s">
        <v>37</v>
      </c>
      <c r="R972" s="1" t="s">
        <v>37</v>
      </c>
      <c r="S972">
        <v>47.350743999999999</v>
      </c>
      <c r="T972">
        <v>7.1561070000000004</v>
      </c>
      <c r="U972" s="1" t="s">
        <v>70</v>
      </c>
      <c r="V972">
        <v>26</v>
      </c>
      <c r="W972">
        <v>3</v>
      </c>
      <c r="X972">
        <v>0</v>
      </c>
      <c r="Y972">
        <v>256.48</v>
      </c>
      <c r="Z972">
        <v>4.093</v>
      </c>
    </row>
    <row r="973" spans="1:26">
      <c r="A973" s="2">
        <v>43936</v>
      </c>
      <c r="B973" s="4">
        <v>0.45833333333333331</v>
      </c>
      <c r="C973" s="1" t="s">
        <v>71</v>
      </c>
      <c r="E973">
        <v>596</v>
      </c>
      <c r="F973">
        <v>-1</v>
      </c>
      <c r="G973">
        <v>46</v>
      </c>
      <c r="H973">
        <v>4</v>
      </c>
      <c r="K973">
        <v>12</v>
      </c>
      <c r="L973" s="1" t="s">
        <v>73</v>
      </c>
      <c r="N973" s="1" t="s">
        <v>37</v>
      </c>
      <c r="P973" s="1" t="s">
        <v>37</v>
      </c>
      <c r="R973" s="1" t="s">
        <v>37</v>
      </c>
      <c r="S973">
        <v>47.067762999999999</v>
      </c>
      <c r="T973">
        <v>8.1102000000000007</v>
      </c>
      <c r="U973" s="1" t="s">
        <v>72</v>
      </c>
      <c r="V973">
        <v>3</v>
      </c>
      <c r="W973">
        <v>7</v>
      </c>
      <c r="X973">
        <v>1</v>
      </c>
      <c r="Y973">
        <v>146.62</v>
      </c>
      <c r="Z973">
        <v>2.952</v>
      </c>
    </row>
    <row r="974" spans="1:26">
      <c r="A974" s="2">
        <v>43936</v>
      </c>
      <c r="B974" s="4">
        <v>0.66666666666666663</v>
      </c>
      <c r="C974" s="1" t="s">
        <v>74</v>
      </c>
      <c r="E974">
        <v>619</v>
      </c>
      <c r="F974">
        <v>-6</v>
      </c>
      <c r="G974">
        <v>54</v>
      </c>
      <c r="H974">
        <v>12</v>
      </c>
      <c r="I974">
        <v>10</v>
      </c>
      <c r="K974">
        <v>52</v>
      </c>
      <c r="L974" s="1" t="s">
        <v>76</v>
      </c>
      <c r="N974" s="1" t="s">
        <v>37</v>
      </c>
      <c r="P974" s="1" t="s">
        <v>37</v>
      </c>
      <c r="R974" s="1" t="s">
        <v>37</v>
      </c>
      <c r="S974">
        <v>46.995533999999999</v>
      </c>
      <c r="T974">
        <v>6.7801260000000001</v>
      </c>
      <c r="U974" s="1" t="s">
        <v>75</v>
      </c>
      <c r="V974">
        <v>24</v>
      </c>
      <c r="W974">
        <v>13</v>
      </c>
      <c r="X974">
        <v>1</v>
      </c>
      <c r="Y974">
        <v>347.75</v>
      </c>
      <c r="Z974">
        <v>29.213000000000001</v>
      </c>
    </row>
    <row r="975" spans="1:26">
      <c r="A975" s="2">
        <v>43936</v>
      </c>
      <c r="B975" s="4">
        <v>0.72916666666666663</v>
      </c>
      <c r="C975" s="1" t="s">
        <v>77</v>
      </c>
      <c r="E975">
        <v>106</v>
      </c>
      <c r="F975">
        <v>0</v>
      </c>
      <c r="G975">
        <v>7</v>
      </c>
      <c r="H975">
        <v>2</v>
      </c>
      <c r="K975">
        <v>2</v>
      </c>
      <c r="L975" s="1" t="s">
        <v>79</v>
      </c>
      <c r="N975" s="1" t="s">
        <v>37</v>
      </c>
      <c r="P975" s="1" t="s">
        <v>37</v>
      </c>
      <c r="R975" s="1" t="s">
        <v>37</v>
      </c>
      <c r="S975">
        <v>46.926755</v>
      </c>
      <c r="T975">
        <v>8.4053020000000007</v>
      </c>
      <c r="U975" s="1" t="s">
        <v>78</v>
      </c>
      <c r="V975">
        <v>7</v>
      </c>
      <c r="W975">
        <v>1</v>
      </c>
      <c r="X975">
        <v>1</v>
      </c>
      <c r="Y975">
        <v>246.51</v>
      </c>
      <c r="Z975">
        <v>4.6509999999999998</v>
      </c>
    </row>
    <row r="976" spans="1:26">
      <c r="A976" s="2">
        <v>43936</v>
      </c>
      <c r="B976" s="4">
        <v>0.64236111111111116</v>
      </c>
      <c r="C976" s="1" t="s">
        <v>80</v>
      </c>
      <c r="D976">
        <v>6</v>
      </c>
      <c r="E976">
        <v>64</v>
      </c>
      <c r="F976">
        <v>0</v>
      </c>
      <c r="G976">
        <v>0</v>
      </c>
      <c r="J976">
        <v>1</v>
      </c>
      <c r="K976">
        <v>0</v>
      </c>
      <c r="L976" s="1" t="s">
        <v>82</v>
      </c>
      <c r="N976" s="1" t="s">
        <v>37</v>
      </c>
      <c r="P976" s="1" t="s">
        <v>37</v>
      </c>
      <c r="R976" s="1" t="s">
        <v>37</v>
      </c>
      <c r="S976">
        <v>46.804527</v>
      </c>
      <c r="T976">
        <v>8.1443170000000009</v>
      </c>
      <c r="U976" s="1" t="s">
        <v>81</v>
      </c>
      <c r="V976">
        <v>6</v>
      </c>
      <c r="W976">
        <v>0</v>
      </c>
      <c r="X976">
        <v>0</v>
      </c>
      <c r="Y976">
        <v>170.21</v>
      </c>
      <c r="Z976">
        <v>0</v>
      </c>
    </row>
    <row r="977" spans="1:26">
      <c r="A977" s="2">
        <v>43936</v>
      </c>
      <c r="B977" s="4">
        <v>0.125</v>
      </c>
      <c r="C977" s="1" t="s">
        <v>83</v>
      </c>
      <c r="E977">
        <v>676</v>
      </c>
      <c r="F977">
        <v>-12</v>
      </c>
      <c r="G977">
        <v>47</v>
      </c>
      <c r="H977">
        <v>9</v>
      </c>
      <c r="J977">
        <v>123</v>
      </c>
      <c r="K977">
        <v>23</v>
      </c>
      <c r="L977" s="1" t="s">
        <v>85</v>
      </c>
      <c r="N977" s="1" t="s">
        <v>37</v>
      </c>
      <c r="P977" s="1" t="s">
        <v>37</v>
      </c>
      <c r="R977" s="1" t="s">
        <v>37</v>
      </c>
      <c r="S977">
        <v>47.183199999999999</v>
      </c>
      <c r="T977">
        <v>9.2747440000000001</v>
      </c>
      <c r="U977" s="1" t="s">
        <v>84</v>
      </c>
      <c r="V977">
        <v>17</v>
      </c>
      <c r="W977">
        <v>12</v>
      </c>
      <c r="X977">
        <v>2</v>
      </c>
      <c r="Y977">
        <v>133.94</v>
      </c>
      <c r="Z977">
        <v>4.5570000000000004</v>
      </c>
    </row>
    <row r="978" spans="1:26">
      <c r="A978" s="2">
        <v>43936</v>
      </c>
      <c r="B978" s="4">
        <v>0.39583333333333331</v>
      </c>
      <c r="C978" s="1" t="s">
        <v>86</v>
      </c>
      <c r="E978">
        <v>59</v>
      </c>
      <c r="F978">
        <v>1</v>
      </c>
      <c r="G978">
        <v>11</v>
      </c>
      <c r="H978">
        <v>2</v>
      </c>
      <c r="K978">
        <v>1</v>
      </c>
      <c r="L978" s="1" t="s">
        <v>88</v>
      </c>
      <c r="N978" s="1" t="s">
        <v>37</v>
      </c>
      <c r="P978" s="1" t="s">
        <v>37</v>
      </c>
      <c r="R978" s="1" t="s">
        <v>37</v>
      </c>
      <c r="S978">
        <v>47.713569999999997</v>
      </c>
      <c r="T978">
        <v>8.5916700000000006</v>
      </c>
      <c r="U978" s="1" t="s">
        <v>87</v>
      </c>
      <c r="V978">
        <v>14</v>
      </c>
      <c r="W978">
        <v>2</v>
      </c>
      <c r="X978">
        <v>0</v>
      </c>
      <c r="Y978">
        <v>72.48</v>
      </c>
      <c r="Z978">
        <v>1.2290000000000001</v>
      </c>
    </row>
    <row r="979" spans="1:26">
      <c r="A979" s="2">
        <v>43936</v>
      </c>
      <c r="B979" s="4">
        <v>0.125</v>
      </c>
      <c r="C979" s="1" t="s">
        <v>89</v>
      </c>
      <c r="E979">
        <v>329</v>
      </c>
      <c r="F979">
        <v>0</v>
      </c>
      <c r="G979">
        <v>22</v>
      </c>
      <c r="K979">
        <v>8</v>
      </c>
      <c r="L979" s="1" t="s">
        <v>91</v>
      </c>
      <c r="N979" s="1" t="s">
        <v>37</v>
      </c>
      <c r="P979" s="1" t="s">
        <v>37</v>
      </c>
      <c r="R979" s="1" t="s">
        <v>37</v>
      </c>
      <c r="S979">
        <v>47.304135000000002</v>
      </c>
      <c r="T979">
        <v>7.6393880000000003</v>
      </c>
      <c r="U979" s="1" t="s">
        <v>90</v>
      </c>
      <c r="V979">
        <v>11</v>
      </c>
      <c r="W979">
        <v>4</v>
      </c>
      <c r="X979">
        <v>0</v>
      </c>
      <c r="Y979">
        <v>121.22</v>
      </c>
      <c r="Z979">
        <v>2.948</v>
      </c>
    </row>
    <row r="980" spans="1:26">
      <c r="A980" s="2">
        <v>43936</v>
      </c>
      <c r="B980" s="4">
        <v>0.125</v>
      </c>
      <c r="C980" s="1" t="s">
        <v>92</v>
      </c>
      <c r="D980">
        <v>10</v>
      </c>
      <c r="E980">
        <v>261</v>
      </c>
      <c r="F980">
        <v>0</v>
      </c>
      <c r="G980">
        <v>1</v>
      </c>
      <c r="J980">
        <v>144</v>
      </c>
      <c r="K980">
        <v>13</v>
      </c>
      <c r="L980" s="1" t="s">
        <v>442</v>
      </c>
      <c r="N980" s="1" t="s">
        <v>37</v>
      </c>
      <c r="P980" s="1" t="s">
        <v>37</v>
      </c>
      <c r="R980" s="1" t="s">
        <v>37</v>
      </c>
      <c r="S980">
        <v>47.061787000000002</v>
      </c>
      <c r="T980">
        <v>8.7565849999999994</v>
      </c>
      <c r="U980" s="1" t="s">
        <v>93</v>
      </c>
      <c r="V980">
        <v>5</v>
      </c>
      <c r="W980">
        <v>3</v>
      </c>
      <c r="X980">
        <v>0</v>
      </c>
      <c r="Y980">
        <v>165.92</v>
      </c>
      <c r="Z980">
        <v>8.2639999999999993</v>
      </c>
    </row>
    <row r="981" spans="1:26">
      <c r="A981" s="2">
        <v>43936</v>
      </c>
      <c r="B981" s="4">
        <v>0.125</v>
      </c>
      <c r="C981" s="1" t="s">
        <v>95</v>
      </c>
      <c r="D981">
        <v>276</v>
      </c>
      <c r="E981">
        <v>302</v>
      </c>
      <c r="F981">
        <v>-7</v>
      </c>
      <c r="G981">
        <v>28</v>
      </c>
      <c r="H981">
        <v>14</v>
      </c>
      <c r="K981">
        <v>11</v>
      </c>
      <c r="L981" s="1" t="s">
        <v>97</v>
      </c>
      <c r="N981" s="1" t="s">
        <v>37</v>
      </c>
      <c r="P981" s="1" t="s">
        <v>37</v>
      </c>
      <c r="R981" s="1" t="s">
        <v>37</v>
      </c>
      <c r="S981">
        <v>47.568714999999997</v>
      </c>
      <c r="T981">
        <v>9.0919570000000007</v>
      </c>
      <c r="U981" s="1" t="s">
        <v>96</v>
      </c>
      <c r="V981">
        <v>1</v>
      </c>
      <c r="W981">
        <v>6</v>
      </c>
      <c r="X981">
        <v>1</v>
      </c>
      <c r="Y981">
        <v>110.3</v>
      </c>
      <c r="Z981">
        <v>4.0179999999999998</v>
      </c>
    </row>
    <row r="982" spans="1:26">
      <c r="A982" s="2">
        <v>43936</v>
      </c>
      <c r="B982" s="4">
        <v>0.33333333333333331</v>
      </c>
      <c r="C982" s="1" t="s">
        <v>98</v>
      </c>
      <c r="E982">
        <v>2927</v>
      </c>
      <c r="F982">
        <v>-9</v>
      </c>
      <c r="G982">
        <v>265</v>
      </c>
      <c r="H982">
        <v>60</v>
      </c>
      <c r="I982">
        <v>50</v>
      </c>
      <c r="J982">
        <v>548</v>
      </c>
      <c r="K982">
        <v>263</v>
      </c>
      <c r="L982" s="1" t="s">
        <v>448</v>
      </c>
      <c r="N982" s="1" t="s">
        <v>37</v>
      </c>
      <c r="P982" s="1" t="s">
        <v>37</v>
      </c>
      <c r="R982" s="1" t="s">
        <v>37</v>
      </c>
      <c r="S982">
        <v>46.295617</v>
      </c>
      <c r="T982">
        <v>8.8089239999999993</v>
      </c>
      <c r="U982" s="1" t="s">
        <v>99</v>
      </c>
      <c r="V982">
        <v>21</v>
      </c>
      <c r="W982">
        <v>15</v>
      </c>
      <c r="X982">
        <v>5</v>
      </c>
      <c r="Y982">
        <v>827.54</v>
      </c>
      <c r="Z982">
        <v>74.356999999999999</v>
      </c>
    </row>
    <row r="983" spans="1:26">
      <c r="A983" s="2">
        <v>43936</v>
      </c>
      <c r="B983" s="4">
        <v>0.66666666666666663</v>
      </c>
      <c r="C983" s="1" t="s">
        <v>101</v>
      </c>
      <c r="D983">
        <v>85</v>
      </c>
      <c r="E983">
        <v>78</v>
      </c>
      <c r="F983">
        <v>0</v>
      </c>
      <c r="G983">
        <v>3</v>
      </c>
      <c r="J983">
        <v>62</v>
      </c>
      <c r="K983">
        <v>4</v>
      </c>
      <c r="L983" s="1" t="s">
        <v>103</v>
      </c>
      <c r="N983" s="1" t="s">
        <v>37</v>
      </c>
      <c r="P983" s="1" t="s">
        <v>37</v>
      </c>
      <c r="R983" s="1" t="s">
        <v>37</v>
      </c>
      <c r="S983">
        <v>46.771849000000003</v>
      </c>
      <c r="T983">
        <v>8.6285860000000003</v>
      </c>
      <c r="U983" s="1" t="s">
        <v>102</v>
      </c>
      <c r="V983">
        <v>4</v>
      </c>
      <c r="W983">
        <v>0</v>
      </c>
      <c r="X983">
        <v>0</v>
      </c>
      <c r="Y983">
        <v>214.88</v>
      </c>
      <c r="Z983">
        <v>11.019</v>
      </c>
    </row>
    <row r="984" spans="1:26">
      <c r="A984" s="2">
        <v>43936</v>
      </c>
      <c r="B984" s="4">
        <v>0.125</v>
      </c>
      <c r="C984" s="1" t="s">
        <v>104</v>
      </c>
      <c r="E984">
        <v>4843</v>
      </c>
      <c r="F984">
        <v>-27</v>
      </c>
      <c r="G984">
        <v>259</v>
      </c>
      <c r="H984">
        <v>59</v>
      </c>
      <c r="J984">
        <v>225</v>
      </c>
      <c r="K984">
        <v>282</v>
      </c>
      <c r="L984" s="1" t="s">
        <v>106</v>
      </c>
      <c r="N984" s="1" t="s">
        <v>37</v>
      </c>
      <c r="P984" s="1" t="s">
        <v>37</v>
      </c>
      <c r="R984" s="1" t="s">
        <v>37</v>
      </c>
      <c r="S984">
        <v>46.570090999999998</v>
      </c>
      <c r="T984">
        <v>6.5578090000000007</v>
      </c>
      <c r="U984" s="1" t="s">
        <v>105</v>
      </c>
      <c r="V984">
        <v>22</v>
      </c>
      <c r="W984">
        <v>49</v>
      </c>
      <c r="X984">
        <v>17</v>
      </c>
      <c r="Y984">
        <v>610.64</v>
      </c>
      <c r="Z984">
        <v>35.557000000000002</v>
      </c>
    </row>
    <row r="985" spans="1:26">
      <c r="A985" s="2">
        <v>43936</v>
      </c>
      <c r="B985" s="4">
        <v>0.625</v>
      </c>
      <c r="C985" s="1" t="s">
        <v>107</v>
      </c>
      <c r="E985">
        <v>1722</v>
      </c>
      <c r="F985">
        <v>-7</v>
      </c>
      <c r="G985">
        <v>94</v>
      </c>
      <c r="H985">
        <v>20</v>
      </c>
      <c r="I985">
        <v>12</v>
      </c>
      <c r="J985">
        <v>175</v>
      </c>
      <c r="K985">
        <v>94</v>
      </c>
      <c r="L985" s="1" t="s">
        <v>412</v>
      </c>
      <c r="N985" s="1" t="s">
        <v>37</v>
      </c>
      <c r="P985" s="1" t="s">
        <v>37</v>
      </c>
      <c r="R985" s="1" t="s">
        <v>37</v>
      </c>
      <c r="S985">
        <v>46.209567</v>
      </c>
      <c r="T985">
        <v>7.6046589999999998</v>
      </c>
      <c r="U985" s="1" t="s">
        <v>108</v>
      </c>
      <c r="V985">
        <v>23</v>
      </c>
      <c r="W985">
        <v>16</v>
      </c>
      <c r="X985">
        <v>0</v>
      </c>
      <c r="Y985">
        <v>504.25</v>
      </c>
      <c r="Z985">
        <v>27.526</v>
      </c>
    </row>
    <row r="986" spans="1:26">
      <c r="A986" s="2">
        <v>43936</v>
      </c>
      <c r="B986" s="4">
        <v>0.33333333333333331</v>
      </c>
      <c r="C986" s="1" t="s">
        <v>109</v>
      </c>
      <c r="E986">
        <v>171</v>
      </c>
      <c r="F986">
        <v>-4</v>
      </c>
      <c r="G986">
        <v>9</v>
      </c>
      <c r="H986">
        <v>7</v>
      </c>
      <c r="J986">
        <v>92</v>
      </c>
      <c r="K986">
        <v>6</v>
      </c>
      <c r="L986" s="1" t="s">
        <v>502</v>
      </c>
      <c r="N986" s="1" t="s">
        <v>37</v>
      </c>
      <c r="P986" s="1" t="s">
        <v>37</v>
      </c>
      <c r="R986" s="1" t="s">
        <v>37</v>
      </c>
      <c r="S986">
        <v>47.157296000000002</v>
      </c>
      <c r="T986">
        <v>8.5372939999999993</v>
      </c>
      <c r="U986" s="1" t="s">
        <v>110</v>
      </c>
      <c r="V986">
        <v>9</v>
      </c>
      <c r="W986">
        <v>0</v>
      </c>
      <c r="X986">
        <v>1</v>
      </c>
      <c r="Y986">
        <v>136.36000000000001</v>
      </c>
      <c r="Z986">
        <v>4.7850000000000001</v>
      </c>
    </row>
    <row r="987" spans="1:26">
      <c r="A987" s="2">
        <v>43936</v>
      </c>
      <c r="B987" s="4">
        <v>0.60416666666666663</v>
      </c>
      <c r="C987" s="1" t="s">
        <v>111</v>
      </c>
      <c r="E987">
        <v>3113</v>
      </c>
      <c r="F987">
        <v>-13</v>
      </c>
      <c r="G987">
        <v>136</v>
      </c>
      <c r="I987">
        <v>50</v>
      </c>
      <c r="K987">
        <v>91</v>
      </c>
      <c r="L987" s="1" t="s">
        <v>113</v>
      </c>
      <c r="N987" s="1" t="s">
        <v>37</v>
      </c>
      <c r="P987" s="1" t="s">
        <v>37</v>
      </c>
      <c r="R987" s="1" t="s">
        <v>37</v>
      </c>
      <c r="S987">
        <v>47.412750000000003</v>
      </c>
      <c r="T987">
        <v>8.6550799999999999</v>
      </c>
      <c r="U987" s="1" t="s">
        <v>112</v>
      </c>
      <c r="V987">
        <v>1</v>
      </c>
      <c r="W987">
        <v>47</v>
      </c>
      <c r="X987">
        <v>4</v>
      </c>
      <c r="Y987">
        <v>206.94</v>
      </c>
      <c r="Z987">
        <v>6.0490000000000004</v>
      </c>
    </row>
    <row r="988" spans="1:26">
      <c r="A988" s="2">
        <v>43937</v>
      </c>
      <c r="B988" s="4">
        <v>0.61458333333333337</v>
      </c>
      <c r="C988" s="1" t="s">
        <v>35</v>
      </c>
      <c r="E988">
        <v>943</v>
      </c>
      <c r="F988">
        <v>-8</v>
      </c>
      <c r="G988">
        <v>61</v>
      </c>
      <c r="H988">
        <v>20</v>
      </c>
      <c r="I988">
        <v>20</v>
      </c>
      <c r="J988">
        <v>500</v>
      </c>
      <c r="K988">
        <v>23</v>
      </c>
      <c r="L988" s="1" t="s">
        <v>465</v>
      </c>
      <c r="N988" s="1" t="s">
        <v>37</v>
      </c>
      <c r="P988" s="1" t="s">
        <v>37</v>
      </c>
      <c r="R988" s="1" t="s">
        <v>37</v>
      </c>
      <c r="S988">
        <v>47.409660000000002</v>
      </c>
      <c r="T988">
        <v>8.1568799999999992</v>
      </c>
      <c r="U988" s="1" t="s">
        <v>36</v>
      </c>
      <c r="V988">
        <v>1</v>
      </c>
      <c r="W988">
        <v>14</v>
      </c>
      <c r="X988">
        <v>1</v>
      </c>
      <c r="Y988">
        <v>140.54</v>
      </c>
      <c r="Z988">
        <v>3.4279999999999999</v>
      </c>
    </row>
    <row r="989" spans="1:26">
      <c r="A989" s="2">
        <v>43937</v>
      </c>
      <c r="B989" s="4">
        <v>0.45833333333333331</v>
      </c>
      <c r="C989" s="1" t="s">
        <v>39</v>
      </c>
      <c r="E989">
        <v>24</v>
      </c>
      <c r="F989">
        <v>0</v>
      </c>
      <c r="G989">
        <v>1</v>
      </c>
      <c r="L989" s="1" t="s">
        <v>41</v>
      </c>
      <c r="N989" s="1" t="s">
        <v>37</v>
      </c>
      <c r="P989" s="1" t="s">
        <v>37</v>
      </c>
      <c r="R989" s="1" t="s">
        <v>37</v>
      </c>
      <c r="S989">
        <v>47.317264000000002</v>
      </c>
      <c r="T989">
        <v>9.4167539999999992</v>
      </c>
      <c r="U989" s="1" t="s">
        <v>40</v>
      </c>
      <c r="V989">
        <v>16</v>
      </c>
      <c r="W989">
        <v>0</v>
      </c>
      <c r="X989">
        <v>0</v>
      </c>
      <c r="Y989">
        <v>149.07</v>
      </c>
    </row>
    <row r="990" spans="1:26">
      <c r="A990" s="2">
        <v>43937</v>
      </c>
      <c r="B990" s="4">
        <v>0.33333333333333331</v>
      </c>
      <c r="C990" s="1" t="s">
        <v>42</v>
      </c>
      <c r="E990">
        <v>79</v>
      </c>
      <c r="F990">
        <v>0</v>
      </c>
      <c r="G990">
        <v>6</v>
      </c>
      <c r="K990">
        <v>3</v>
      </c>
      <c r="L990" s="1" t="s">
        <v>44</v>
      </c>
      <c r="N990" s="1" t="s">
        <v>37</v>
      </c>
      <c r="P990" s="1" t="s">
        <v>37</v>
      </c>
      <c r="R990" s="1" t="s">
        <v>37</v>
      </c>
      <c r="S990">
        <v>47.416351999999996</v>
      </c>
      <c r="T990">
        <v>9.3679100000000002</v>
      </c>
      <c r="U990" s="1" t="s">
        <v>43</v>
      </c>
      <c r="V990">
        <v>15</v>
      </c>
      <c r="W990">
        <v>0</v>
      </c>
      <c r="X990">
        <v>0</v>
      </c>
      <c r="Y990">
        <v>143.12</v>
      </c>
      <c r="Z990">
        <v>5.4349999999999996</v>
      </c>
    </row>
    <row r="991" spans="1:26">
      <c r="A991" s="2">
        <v>43937</v>
      </c>
      <c r="B991" s="4">
        <v>0.33333333333333331</v>
      </c>
      <c r="C991" s="1" t="s">
        <v>45</v>
      </c>
      <c r="E991">
        <v>1515</v>
      </c>
      <c r="F991">
        <v>-12</v>
      </c>
      <c r="G991">
        <v>70</v>
      </c>
      <c r="H991">
        <v>26</v>
      </c>
      <c r="I991">
        <v>12</v>
      </c>
      <c r="K991">
        <v>55</v>
      </c>
      <c r="L991" s="1" t="s">
        <v>47</v>
      </c>
      <c r="N991" s="1" t="s">
        <v>37</v>
      </c>
      <c r="P991" s="1" t="s">
        <v>37</v>
      </c>
      <c r="R991" s="1" t="s">
        <v>37</v>
      </c>
      <c r="S991">
        <v>46.823608</v>
      </c>
      <c r="T991">
        <v>7.6366670000000001</v>
      </c>
      <c r="U991" s="1" t="s">
        <v>46</v>
      </c>
      <c r="V991">
        <v>2</v>
      </c>
      <c r="W991">
        <v>26</v>
      </c>
      <c r="X991">
        <v>2</v>
      </c>
      <c r="Y991">
        <v>146.93</v>
      </c>
      <c r="Z991">
        <v>5.3339999999999996</v>
      </c>
    </row>
    <row r="992" spans="1:26">
      <c r="A992" s="2">
        <v>43937</v>
      </c>
      <c r="B992" s="4">
        <v>0.125</v>
      </c>
      <c r="C992" s="1" t="s">
        <v>48</v>
      </c>
      <c r="E992">
        <v>781</v>
      </c>
      <c r="F992">
        <v>1</v>
      </c>
      <c r="G992">
        <v>46</v>
      </c>
      <c r="H992">
        <v>8</v>
      </c>
      <c r="I992">
        <v>6</v>
      </c>
      <c r="J992">
        <v>623</v>
      </c>
      <c r="K992">
        <v>25</v>
      </c>
      <c r="L992" s="1" t="s">
        <v>50</v>
      </c>
      <c r="N992" s="1" t="s">
        <v>37</v>
      </c>
      <c r="P992" s="1" t="s">
        <v>37</v>
      </c>
      <c r="R992" s="1" t="s">
        <v>37</v>
      </c>
      <c r="S992">
        <v>47.45176</v>
      </c>
      <c r="T992">
        <v>7.7024140000000001</v>
      </c>
      <c r="U992" s="1" t="s">
        <v>49</v>
      </c>
      <c r="V992">
        <v>13</v>
      </c>
      <c r="W992">
        <v>13</v>
      </c>
      <c r="X992">
        <v>0</v>
      </c>
      <c r="Y992">
        <v>272.13</v>
      </c>
      <c r="Z992">
        <v>8.7110000000000003</v>
      </c>
    </row>
    <row r="993" spans="1:26">
      <c r="A993" s="2">
        <v>43937</v>
      </c>
      <c r="B993" s="4">
        <v>0.375</v>
      </c>
      <c r="C993" s="1" t="s">
        <v>51</v>
      </c>
      <c r="D993">
        <v>235</v>
      </c>
      <c r="E993">
        <v>917</v>
      </c>
      <c r="F993">
        <v>-4</v>
      </c>
      <c r="G993">
        <v>76</v>
      </c>
      <c r="H993">
        <v>6</v>
      </c>
      <c r="J993">
        <v>711</v>
      </c>
      <c r="K993">
        <v>37</v>
      </c>
      <c r="L993" s="1" t="s">
        <v>444</v>
      </c>
      <c r="M993">
        <v>499</v>
      </c>
      <c r="N993" s="1" t="s">
        <v>289</v>
      </c>
      <c r="P993" s="1" t="s">
        <v>37</v>
      </c>
      <c r="R993" s="1" t="s">
        <v>37</v>
      </c>
      <c r="S993">
        <v>47.564869000000002</v>
      </c>
      <c r="T993">
        <v>7.615259</v>
      </c>
      <c r="U993" s="1" t="s">
        <v>52</v>
      </c>
      <c r="V993">
        <v>12</v>
      </c>
      <c r="W993">
        <v>8</v>
      </c>
      <c r="X993">
        <v>1</v>
      </c>
      <c r="Y993">
        <v>472.92</v>
      </c>
      <c r="Z993">
        <v>19.082000000000001</v>
      </c>
    </row>
    <row r="994" spans="1:26">
      <c r="A994" s="2">
        <v>43937</v>
      </c>
      <c r="B994" s="4">
        <v>0.125</v>
      </c>
      <c r="C994" s="1" t="s">
        <v>54</v>
      </c>
      <c r="D994">
        <v>900</v>
      </c>
      <c r="E994">
        <v>80</v>
      </c>
      <c r="F994">
        <v>0</v>
      </c>
      <c r="J994">
        <v>1</v>
      </c>
      <c r="K994">
        <v>1</v>
      </c>
      <c r="L994" s="1" t="s">
        <v>466</v>
      </c>
      <c r="N994" s="1" t="s">
        <v>37</v>
      </c>
      <c r="P994" s="1" t="s">
        <v>37</v>
      </c>
      <c r="R994" s="1" t="s">
        <v>37</v>
      </c>
      <c r="S994">
        <v>47.166666999999997</v>
      </c>
      <c r="T994">
        <v>9.509722</v>
      </c>
      <c r="U994" s="1" t="s">
        <v>55</v>
      </c>
      <c r="V994">
        <v>0</v>
      </c>
      <c r="W994">
        <v>0</v>
      </c>
      <c r="X994">
        <v>0</v>
      </c>
      <c r="Y994">
        <v>207.25</v>
      </c>
      <c r="Z994">
        <v>2.5910000000000002</v>
      </c>
    </row>
    <row r="995" spans="1:26">
      <c r="A995" s="2">
        <v>43937</v>
      </c>
      <c r="B995" s="4">
        <v>0.125</v>
      </c>
      <c r="C995" s="1" t="s">
        <v>57</v>
      </c>
      <c r="D995">
        <v>30</v>
      </c>
      <c r="E995">
        <v>907</v>
      </c>
      <c r="F995">
        <v>-1</v>
      </c>
      <c r="G995">
        <v>60</v>
      </c>
      <c r="H995">
        <v>15</v>
      </c>
      <c r="J995">
        <v>105</v>
      </c>
      <c r="K995">
        <v>65</v>
      </c>
      <c r="L995" s="1" t="s">
        <v>59</v>
      </c>
      <c r="N995" s="1" t="s">
        <v>37</v>
      </c>
      <c r="P995" s="1" t="s">
        <v>37</v>
      </c>
      <c r="R995" s="1" t="s">
        <v>37</v>
      </c>
      <c r="S995">
        <v>46.718390999999997</v>
      </c>
      <c r="T995">
        <v>7.0740080000000001</v>
      </c>
      <c r="U995" s="1" t="s">
        <v>58</v>
      </c>
      <c r="V995">
        <v>10</v>
      </c>
      <c r="W995">
        <v>17</v>
      </c>
      <c r="X995">
        <v>2</v>
      </c>
      <c r="Y995">
        <v>287.85000000000002</v>
      </c>
      <c r="Z995">
        <v>20.628</v>
      </c>
    </row>
    <row r="996" spans="1:26">
      <c r="A996" s="2">
        <v>43937</v>
      </c>
      <c r="B996" s="4">
        <v>0.125</v>
      </c>
      <c r="C996" s="1" t="s">
        <v>60</v>
      </c>
      <c r="D996">
        <v>20988</v>
      </c>
      <c r="E996">
        <v>4545</v>
      </c>
      <c r="F996">
        <v>-2</v>
      </c>
      <c r="G996">
        <v>350</v>
      </c>
      <c r="H996">
        <v>38</v>
      </c>
      <c r="I996">
        <v>33</v>
      </c>
      <c r="J996">
        <v>520</v>
      </c>
      <c r="K996">
        <v>190</v>
      </c>
      <c r="L996" s="1" t="s">
        <v>62</v>
      </c>
      <c r="N996" s="1" t="s">
        <v>37</v>
      </c>
      <c r="P996" s="1" t="s">
        <v>37</v>
      </c>
      <c r="Q996">
        <v>27</v>
      </c>
      <c r="R996" s="1" t="s">
        <v>37</v>
      </c>
      <c r="S996">
        <v>46.220528000000002</v>
      </c>
      <c r="T996">
        <v>6.1329349999999998</v>
      </c>
      <c r="U996" s="1" t="s">
        <v>61</v>
      </c>
      <c r="V996">
        <v>25</v>
      </c>
      <c r="W996">
        <v>65</v>
      </c>
      <c r="X996">
        <v>6</v>
      </c>
      <c r="Y996">
        <v>917.81</v>
      </c>
      <c r="Z996">
        <v>38.368000000000002</v>
      </c>
    </row>
    <row r="997" spans="1:26">
      <c r="A997" s="2">
        <v>43937</v>
      </c>
      <c r="B997" s="4">
        <v>0.54166666666666663</v>
      </c>
      <c r="C997" s="1" t="s">
        <v>63</v>
      </c>
      <c r="E997">
        <v>106</v>
      </c>
      <c r="F997">
        <v>2</v>
      </c>
      <c r="G997">
        <v>4</v>
      </c>
      <c r="K997">
        <v>3</v>
      </c>
      <c r="L997" s="1" t="s">
        <v>65</v>
      </c>
      <c r="N997" s="1" t="s">
        <v>37</v>
      </c>
      <c r="P997" s="1" t="s">
        <v>37</v>
      </c>
      <c r="R997" s="1" t="s">
        <v>37</v>
      </c>
      <c r="S997">
        <v>46.931042000000005</v>
      </c>
      <c r="T997">
        <v>9.0657510000000006</v>
      </c>
      <c r="U997" s="1" t="s">
        <v>64</v>
      </c>
      <c r="V997">
        <v>8</v>
      </c>
      <c r="W997">
        <v>1</v>
      </c>
      <c r="X997">
        <v>1</v>
      </c>
      <c r="Y997">
        <v>263.02999999999997</v>
      </c>
      <c r="Z997">
        <v>7.444</v>
      </c>
    </row>
    <row r="998" spans="1:26">
      <c r="A998" s="2">
        <v>43937</v>
      </c>
      <c r="B998" s="4">
        <v>0.125</v>
      </c>
      <c r="C998" s="1" t="s">
        <v>66</v>
      </c>
      <c r="E998">
        <v>752</v>
      </c>
      <c r="F998">
        <v>1</v>
      </c>
      <c r="G998">
        <v>37</v>
      </c>
      <c r="K998">
        <v>39</v>
      </c>
      <c r="L998" s="1" t="s">
        <v>68</v>
      </c>
      <c r="N998" s="1" t="s">
        <v>37</v>
      </c>
      <c r="P998" s="1" t="s">
        <v>37</v>
      </c>
      <c r="R998" s="1" t="s">
        <v>37</v>
      </c>
      <c r="S998">
        <v>46.656247999999998</v>
      </c>
      <c r="T998">
        <v>9.6281979999999994</v>
      </c>
      <c r="U998" s="1" t="s">
        <v>67</v>
      </c>
      <c r="V998">
        <v>1</v>
      </c>
      <c r="W998">
        <v>6</v>
      </c>
      <c r="X998">
        <v>1</v>
      </c>
      <c r="Y998">
        <v>379.99</v>
      </c>
      <c r="Z998">
        <v>19.707000000000001</v>
      </c>
    </row>
    <row r="999" spans="1:26">
      <c r="A999" s="2">
        <v>43937</v>
      </c>
      <c r="B999" s="4">
        <v>0.66666666666666663</v>
      </c>
      <c r="C999" s="1" t="s">
        <v>69</v>
      </c>
      <c r="E999">
        <v>189</v>
      </c>
      <c r="F999">
        <v>1</v>
      </c>
      <c r="G999">
        <v>18</v>
      </c>
      <c r="H999">
        <v>5</v>
      </c>
      <c r="K999">
        <v>3</v>
      </c>
      <c r="L999" s="1" t="s">
        <v>446</v>
      </c>
      <c r="N999" s="1" t="s">
        <v>37</v>
      </c>
      <c r="P999" s="1" t="s">
        <v>37</v>
      </c>
      <c r="R999" s="1" t="s">
        <v>37</v>
      </c>
      <c r="S999">
        <v>47.350743999999999</v>
      </c>
      <c r="T999">
        <v>7.1561070000000004</v>
      </c>
      <c r="U999" s="1" t="s">
        <v>70</v>
      </c>
      <c r="V999">
        <v>26</v>
      </c>
      <c r="W999">
        <v>1</v>
      </c>
      <c r="X999">
        <v>0</v>
      </c>
      <c r="Y999">
        <v>257.83999999999997</v>
      </c>
      <c r="Z999">
        <v>4.093</v>
      </c>
    </row>
    <row r="1000" spans="1:26">
      <c r="A1000" s="2">
        <v>43937</v>
      </c>
      <c r="B1000" s="4">
        <v>0.52083333333333337</v>
      </c>
      <c r="C1000" s="1" t="s">
        <v>71</v>
      </c>
      <c r="E1000">
        <v>599</v>
      </c>
      <c r="F1000">
        <v>-6</v>
      </c>
      <c r="G1000">
        <v>40</v>
      </c>
      <c r="H1000">
        <v>3</v>
      </c>
      <c r="K1000">
        <v>13</v>
      </c>
      <c r="L1000" s="1" t="s">
        <v>73</v>
      </c>
      <c r="N1000" s="1" t="s">
        <v>37</v>
      </c>
      <c r="P1000" s="1" t="s">
        <v>37</v>
      </c>
      <c r="R1000" s="1" t="s">
        <v>37</v>
      </c>
      <c r="S1000">
        <v>47.067762999999999</v>
      </c>
      <c r="T1000">
        <v>8.1102000000000007</v>
      </c>
      <c r="U1000" s="1" t="s">
        <v>72</v>
      </c>
      <c r="V1000">
        <v>3</v>
      </c>
      <c r="W1000">
        <v>3</v>
      </c>
      <c r="X1000">
        <v>1</v>
      </c>
      <c r="Y1000">
        <v>147.36000000000001</v>
      </c>
      <c r="Z1000">
        <v>3.198</v>
      </c>
    </row>
    <row r="1001" spans="1:26">
      <c r="A1001" s="2">
        <v>43937</v>
      </c>
      <c r="B1001" s="4">
        <v>0.66666666666666663</v>
      </c>
      <c r="C1001" s="1" t="s">
        <v>74</v>
      </c>
      <c r="E1001">
        <v>627</v>
      </c>
      <c r="F1001">
        <v>-2</v>
      </c>
      <c r="G1001">
        <v>52</v>
      </c>
      <c r="H1001">
        <v>11</v>
      </c>
      <c r="I1001">
        <v>9</v>
      </c>
      <c r="K1001">
        <v>53</v>
      </c>
      <c r="L1001" s="1" t="s">
        <v>76</v>
      </c>
      <c r="N1001" s="1" t="s">
        <v>37</v>
      </c>
      <c r="P1001" s="1" t="s">
        <v>37</v>
      </c>
      <c r="R1001" s="1" t="s">
        <v>37</v>
      </c>
      <c r="S1001">
        <v>46.995533999999999</v>
      </c>
      <c r="T1001">
        <v>6.7801260000000001</v>
      </c>
      <c r="U1001" s="1" t="s">
        <v>75</v>
      </c>
      <c r="V1001">
        <v>24</v>
      </c>
      <c r="W1001">
        <v>8</v>
      </c>
      <c r="X1001">
        <v>1</v>
      </c>
      <c r="Y1001">
        <v>352.25</v>
      </c>
      <c r="Z1001">
        <v>29.774999999999999</v>
      </c>
    </row>
    <row r="1002" spans="1:26">
      <c r="A1002" s="2">
        <v>43937</v>
      </c>
      <c r="B1002" s="4">
        <v>0.71527777777777779</v>
      </c>
      <c r="C1002" s="1" t="s">
        <v>77</v>
      </c>
      <c r="E1002">
        <v>106</v>
      </c>
      <c r="F1002">
        <v>-2</v>
      </c>
      <c r="G1002">
        <v>5</v>
      </c>
      <c r="H1002">
        <v>2</v>
      </c>
      <c r="K1002">
        <v>2</v>
      </c>
      <c r="L1002" s="1" t="s">
        <v>79</v>
      </c>
      <c r="N1002" s="1" t="s">
        <v>37</v>
      </c>
      <c r="P1002" s="1" t="s">
        <v>37</v>
      </c>
      <c r="R1002" s="1" t="s">
        <v>37</v>
      </c>
      <c r="S1002">
        <v>46.926755</v>
      </c>
      <c r="T1002">
        <v>8.4053020000000007</v>
      </c>
      <c r="U1002" s="1" t="s">
        <v>78</v>
      </c>
      <c r="V1002">
        <v>7</v>
      </c>
      <c r="W1002">
        <v>0</v>
      </c>
      <c r="X1002">
        <v>0</v>
      </c>
      <c r="Y1002">
        <v>246.51</v>
      </c>
      <c r="Z1002">
        <v>4.6509999999999998</v>
      </c>
    </row>
    <row r="1003" spans="1:26">
      <c r="A1003" s="2">
        <v>43937</v>
      </c>
      <c r="B1003" s="4">
        <v>0.64583333333333337</v>
      </c>
      <c r="C1003" s="1" t="s">
        <v>80</v>
      </c>
      <c r="D1003">
        <v>6</v>
      </c>
      <c r="E1003">
        <v>65</v>
      </c>
      <c r="F1003">
        <v>0</v>
      </c>
      <c r="G1003">
        <v>0</v>
      </c>
      <c r="J1003">
        <v>1</v>
      </c>
      <c r="K1003">
        <v>0</v>
      </c>
      <c r="L1003" s="1" t="s">
        <v>82</v>
      </c>
      <c r="N1003" s="1" t="s">
        <v>37</v>
      </c>
      <c r="P1003" s="1" t="s">
        <v>37</v>
      </c>
      <c r="R1003" s="1" t="s">
        <v>37</v>
      </c>
      <c r="S1003">
        <v>46.804527</v>
      </c>
      <c r="T1003">
        <v>8.1443170000000009</v>
      </c>
      <c r="U1003" s="1" t="s">
        <v>81</v>
      </c>
      <c r="V1003">
        <v>6</v>
      </c>
      <c r="W1003">
        <v>1</v>
      </c>
      <c r="X1003">
        <v>0</v>
      </c>
      <c r="Y1003">
        <v>172.87</v>
      </c>
      <c r="Z1003">
        <v>0</v>
      </c>
    </row>
    <row r="1004" spans="1:26">
      <c r="A1004" s="2">
        <v>43937</v>
      </c>
      <c r="B1004" s="4">
        <v>0.125</v>
      </c>
      <c r="C1004" s="1" t="s">
        <v>83</v>
      </c>
      <c r="E1004">
        <v>680</v>
      </c>
      <c r="F1004">
        <v>9</v>
      </c>
      <c r="G1004">
        <v>56</v>
      </c>
      <c r="H1004">
        <v>7</v>
      </c>
      <c r="J1004">
        <v>138</v>
      </c>
      <c r="K1004">
        <v>25</v>
      </c>
      <c r="L1004" s="1" t="s">
        <v>85</v>
      </c>
      <c r="N1004" s="1" t="s">
        <v>37</v>
      </c>
      <c r="P1004" s="1" t="s">
        <v>37</v>
      </c>
      <c r="R1004" s="1" t="s">
        <v>37</v>
      </c>
      <c r="S1004">
        <v>47.183199999999999</v>
      </c>
      <c r="T1004">
        <v>9.2747440000000001</v>
      </c>
      <c r="U1004" s="1" t="s">
        <v>84</v>
      </c>
      <c r="V1004">
        <v>17</v>
      </c>
      <c r="W1004">
        <v>4</v>
      </c>
      <c r="X1004">
        <v>2</v>
      </c>
      <c r="Y1004">
        <v>134.72999999999999</v>
      </c>
      <c r="Z1004">
        <v>4.9530000000000003</v>
      </c>
    </row>
    <row r="1005" spans="1:26">
      <c r="A1005" s="2">
        <v>43937</v>
      </c>
      <c r="B1005" s="4">
        <v>0.39583333333333331</v>
      </c>
      <c r="C1005" s="1" t="s">
        <v>86</v>
      </c>
      <c r="E1005">
        <v>60</v>
      </c>
      <c r="F1005">
        <v>-1</v>
      </c>
      <c r="G1005">
        <v>10</v>
      </c>
      <c r="H1005">
        <v>2</v>
      </c>
      <c r="K1005">
        <v>1</v>
      </c>
      <c r="L1005" s="1" t="s">
        <v>88</v>
      </c>
      <c r="N1005" s="1" t="s">
        <v>37</v>
      </c>
      <c r="P1005" s="1" t="s">
        <v>37</v>
      </c>
      <c r="R1005" s="1" t="s">
        <v>37</v>
      </c>
      <c r="S1005">
        <v>47.713569999999997</v>
      </c>
      <c r="T1005">
        <v>8.5916700000000006</v>
      </c>
      <c r="U1005" s="1" t="s">
        <v>87</v>
      </c>
      <c r="V1005">
        <v>14</v>
      </c>
      <c r="W1005">
        <v>1</v>
      </c>
      <c r="X1005">
        <v>0</v>
      </c>
      <c r="Y1005">
        <v>73.709999999999994</v>
      </c>
      <c r="Z1005">
        <v>1.2290000000000001</v>
      </c>
    </row>
    <row r="1006" spans="1:26">
      <c r="A1006" s="2">
        <v>43937</v>
      </c>
      <c r="B1006" s="4">
        <v>0.125</v>
      </c>
      <c r="C1006" s="1" t="s">
        <v>89</v>
      </c>
      <c r="E1006">
        <v>343</v>
      </c>
      <c r="F1006">
        <v>0</v>
      </c>
      <c r="G1006">
        <v>22</v>
      </c>
      <c r="K1006">
        <v>8</v>
      </c>
      <c r="L1006" s="1" t="s">
        <v>91</v>
      </c>
      <c r="N1006" s="1" t="s">
        <v>37</v>
      </c>
      <c r="P1006" s="1" t="s">
        <v>37</v>
      </c>
      <c r="R1006" s="1" t="s">
        <v>37</v>
      </c>
      <c r="S1006">
        <v>47.304135000000002</v>
      </c>
      <c r="T1006">
        <v>7.6393880000000003</v>
      </c>
      <c r="U1006" s="1" t="s">
        <v>90</v>
      </c>
      <c r="V1006">
        <v>11</v>
      </c>
      <c r="W1006">
        <v>14</v>
      </c>
      <c r="X1006">
        <v>0</v>
      </c>
      <c r="Y1006">
        <v>126.38</v>
      </c>
      <c r="Z1006">
        <v>2.948</v>
      </c>
    </row>
    <row r="1007" spans="1:26">
      <c r="A1007" s="2">
        <v>43937</v>
      </c>
      <c r="B1007" s="4">
        <v>0.125</v>
      </c>
      <c r="C1007" s="1" t="s">
        <v>92</v>
      </c>
      <c r="D1007">
        <v>10</v>
      </c>
      <c r="E1007">
        <v>265</v>
      </c>
      <c r="F1007">
        <v>0</v>
      </c>
      <c r="G1007">
        <v>1</v>
      </c>
      <c r="J1007">
        <v>154</v>
      </c>
      <c r="K1007">
        <v>14</v>
      </c>
      <c r="L1007" s="1" t="s">
        <v>447</v>
      </c>
      <c r="N1007" s="1" t="s">
        <v>37</v>
      </c>
      <c r="P1007" s="1" t="s">
        <v>37</v>
      </c>
      <c r="R1007" s="1" t="s">
        <v>37</v>
      </c>
      <c r="S1007">
        <v>47.061787000000002</v>
      </c>
      <c r="T1007">
        <v>8.7565849999999994</v>
      </c>
      <c r="U1007" s="1" t="s">
        <v>93</v>
      </c>
      <c r="V1007">
        <v>5</v>
      </c>
      <c r="W1007">
        <v>4</v>
      </c>
      <c r="X1007">
        <v>1</v>
      </c>
      <c r="Y1007">
        <v>168.47</v>
      </c>
      <c r="Z1007">
        <v>8.9</v>
      </c>
    </row>
    <row r="1008" spans="1:26">
      <c r="A1008" s="2">
        <v>43937</v>
      </c>
      <c r="B1008" s="4">
        <v>0.125</v>
      </c>
      <c r="C1008" s="1" t="s">
        <v>95</v>
      </c>
      <c r="D1008">
        <v>276</v>
      </c>
      <c r="E1008">
        <v>308</v>
      </c>
      <c r="F1008">
        <v>0</v>
      </c>
      <c r="G1008">
        <v>28</v>
      </c>
      <c r="H1008">
        <v>14</v>
      </c>
      <c r="K1008">
        <v>11</v>
      </c>
      <c r="L1008" s="1" t="s">
        <v>97</v>
      </c>
      <c r="N1008" s="1" t="s">
        <v>37</v>
      </c>
      <c r="P1008" s="1" t="s">
        <v>37</v>
      </c>
      <c r="R1008" s="1" t="s">
        <v>37</v>
      </c>
      <c r="S1008">
        <v>47.568714999999997</v>
      </c>
      <c r="T1008">
        <v>9.0919570000000007</v>
      </c>
      <c r="U1008" s="1" t="s">
        <v>96</v>
      </c>
      <c r="V1008">
        <v>1</v>
      </c>
      <c r="W1008">
        <v>6</v>
      </c>
      <c r="X1008">
        <v>0</v>
      </c>
      <c r="Y1008">
        <v>112.49</v>
      </c>
      <c r="Z1008">
        <v>4.0179999999999998</v>
      </c>
    </row>
    <row r="1009" spans="1:26">
      <c r="A1009" s="2">
        <v>43937</v>
      </c>
      <c r="B1009" s="4">
        <v>0.33333333333333331</v>
      </c>
      <c r="C1009" s="1" t="s">
        <v>98</v>
      </c>
      <c r="E1009">
        <v>2953</v>
      </c>
      <c r="F1009">
        <v>-16</v>
      </c>
      <c r="G1009">
        <v>249</v>
      </c>
      <c r="H1009">
        <v>59</v>
      </c>
      <c r="I1009">
        <v>49</v>
      </c>
      <c r="J1009">
        <v>568</v>
      </c>
      <c r="K1009">
        <v>269</v>
      </c>
      <c r="L1009" s="1" t="s">
        <v>467</v>
      </c>
      <c r="N1009" s="1" t="s">
        <v>37</v>
      </c>
      <c r="P1009" s="1" t="s">
        <v>37</v>
      </c>
      <c r="R1009" s="1" t="s">
        <v>37</v>
      </c>
      <c r="S1009">
        <v>46.295617</v>
      </c>
      <c r="T1009">
        <v>8.8089239999999993</v>
      </c>
      <c r="U1009" s="1" t="s">
        <v>99</v>
      </c>
      <c r="V1009">
        <v>21</v>
      </c>
      <c r="W1009">
        <v>26</v>
      </c>
      <c r="X1009">
        <v>6</v>
      </c>
      <c r="Y1009">
        <v>834.89</v>
      </c>
      <c r="Z1009">
        <v>76.052999999999997</v>
      </c>
    </row>
    <row r="1010" spans="1:26">
      <c r="A1010" s="2">
        <v>43937</v>
      </c>
      <c r="B1010" s="4">
        <v>0.625</v>
      </c>
      <c r="C1010" s="1" t="s">
        <v>101</v>
      </c>
      <c r="D1010">
        <v>85</v>
      </c>
      <c r="E1010">
        <v>78</v>
      </c>
      <c r="F1010">
        <v>-1</v>
      </c>
      <c r="G1010">
        <v>2</v>
      </c>
      <c r="J1010">
        <v>62</v>
      </c>
      <c r="K1010">
        <v>5</v>
      </c>
      <c r="L1010" s="1" t="s">
        <v>103</v>
      </c>
      <c r="N1010" s="1" t="s">
        <v>37</v>
      </c>
      <c r="P1010" s="1" t="s">
        <v>37</v>
      </c>
      <c r="R1010" s="1" t="s">
        <v>37</v>
      </c>
      <c r="S1010">
        <v>46.771849000000003</v>
      </c>
      <c r="T1010">
        <v>8.6285860000000003</v>
      </c>
      <c r="U1010" s="1" t="s">
        <v>102</v>
      </c>
      <c r="V1010">
        <v>4</v>
      </c>
      <c r="W1010">
        <v>0</v>
      </c>
      <c r="X1010">
        <v>1</v>
      </c>
      <c r="Y1010">
        <v>214.88</v>
      </c>
      <c r="Z1010">
        <v>13.773999999999999</v>
      </c>
    </row>
    <row r="1011" spans="1:26">
      <c r="A1011" s="2">
        <v>43937</v>
      </c>
      <c r="B1011" s="4">
        <v>0.125</v>
      </c>
      <c r="C1011" s="1" t="s">
        <v>104</v>
      </c>
      <c r="E1011">
        <v>4886</v>
      </c>
      <c r="F1011">
        <v>-6</v>
      </c>
      <c r="G1011">
        <v>253</v>
      </c>
      <c r="H1011">
        <v>57</v>
      </c>
      <c r="J1011">
        <v>225</v>
      </c>
      <c r="K1011">
        <v>292</v>
      </c>
      <c r="L1011" s="1" t="s">
        <v>106</v>
      </c>
      <c r="N1011" s="1" t="s">
        <v>37</v>
      </c>
      <c r="P1011" s="1" t="s">
        <v>37</v>
      </c>
      <c r="R1011" s="1" t="s">
        <v>37</v>
      </c>
      <c r="S1011">
        <v>46.570090999999998</v>
      </c>
      <c r="T1011">
        <v>6.5578090000000007</v>
      </c>
      <c r="U1011" s="1" t="s">
        <v>105</v>
      </c>
      <c r="V1011">
        <v>22</v>
      </c>
      <c r="W1011">
        <v>43</v>
      </c>
      <c r="X1011">
        <v>10</v>
      </c>
      <c r="Y1011">
        <v>616.05999999999995</v>
      </c>
      <c r="Z1011">
        <v>36.817999999999998</v>
      </c>
    </row>
    <row r="1012" spans="1:26">
      <c r="A1012" s="2">
        <v>43937</v>
      </c>
      <c r="B1012" s="4">
        <v>0.625</v>
      </c>
      <c r="C1012" s="1" t="s">
        <v>107</v>
      </c>
      <c r="E1012">
        <v>1739</v>
      </c>
      <c r="F1012">
        <v>-4</v>
      </c>
      <c r="G1012">
        <v>90</v>
      </c>
      <c r="H1012">
        <v>18</v>
      </c>
      <c r="I1012">
        <v>12</v>
      </c>
      <c r="J1012">
        <v>178</v>
      </c>
      <c r="K1012">
        <v>95</v>
      </c>
      <c r="L1012" s="1" t="s">
        <v>412</v>
      </c>
      <c r="N1012" s="1" t="s">
        <v>37</v>
      </c>
      <c r="P1012" s="1" t="s">
        <v>37</v>
      </c>
      <c r="R1012" s="1" t="s">
        <v>37</v>
      </c>
      <c r="S1012">
        <v>46.209567</v>
      </c>
      <c r="T1012">
        <v>7.6046589999999998</v>
      </c>
      <c r="U1012" s="1" t="s">
        <v>108</v>
      </c>
      <c r="V1012">
        <v>23</v>
      </c>
      <c r="W1012">
        <v>17</v>
      </c>
      <c r="X1012">
        <v>1</v>
      </c>
      <c r="Y1012">
        <v>509.22</v>
      </c>
      <c r="Z1012">
        <v>27.818000000000001</v>
      </c>
    </row>
    <row r="1013" spans="1:26">
      <c r="A1013" s="2">
        <v>43937</v>
      </c>
      <c r="B1013" s="4">
        <v>0.33333333333333331</v>
      </c>
      <c r="C1013" s="1" t="s">
        <v>109</v>
      </c>
      <c r="E1013">
        <v>172</v>
      </c>
      <c r="F1013">
        <v>-1</v>
      </c>
      <c r="G1013">
        <v>8</v>
      </c>
      <c r="H1013">
        <v>6</v>
      </c>
      <c r="J1013">
        <v>94</v>
      </c>
      <c r="K1013">
        <v>6</v>
      </c>
      <c r="L1013" s="1" t="s">
        <v>502</v>
      </c>
      <c r="N1013" s="1" t="s">
        <v>37</v>
      </c>
      <c r="P1013" s="1" t="s">
        <v>37</v>
      </c>
      <c r="R1013" s="1" t="s">
        <v>37</v>
      </c>
      <c r="S1013">
        <v>47.157296000000002</v>
      </c>
      <c r="T1013">
        <v>8.5372939999999993</v>
      </c>
      <c r="U1013" s="1" t="s">
        <v>110</v>
      </c>
      <c r="V1013">
        <v>9</v>
      </c>
      <c r="W1013">
        <v>1</v>
      </c>
      <c r="X1013">
        <v>0</v>
      </c>
      <c r="Y1013">
        <v>137.16</v>
      </c>
      <c r="Z1013">
        <v>4.7850000000000001</v>
      </c>
    </row>
    <row r="1014" spans="1:26">
      <c r="A1014" s="2">
        <v>43937</v>
      </c>
      <c r="B1014" s="4">
        <v>0.60416666666666663</v>
      </c>
      <c r="C1014" s="1" t="s">
        <v>111</v>
      </c>
      <c r="E1014">
        <v>3148</v>
      </c>
      <c r="F1014">
        <v>-1</v>
      </c>
      <c r="G1014">
        <v>135</v>
      </c>
      <c r="I1014">
        <v>51</v>
      </c>
      <c r="K1014">
        <v>95</v>
      </c>
      <c r="L1014" s="1" t="s">
        <v>113</v>
      </c>
      <c r="N1014" s="1" t="s">
        <v>37</v>
      </c>
      <c r="P1014" s="1" t="s">
        <v>37</v>
      </c>
      <c r="R1014" s="1" t="s">
        <v>37</v>
      </c>
      <c r="S1014">
        <v>47.412750000000003</v>
      </c>
      <c r="T1014">
        <v>8.6550799999999999</v>
      </c>
      <c r="U1014" s="1" t="s">
        <v>112</v>
      </c>
      <c r="V1014">
        <v>1</v>
      </c>
      <c r="W1014">
        <v>35</v>
      </c>
      <c r="X1014">
        <v>4</v>
      </c>
      <c r="Y1014">
        <v>209.27</v>
      </c>
      <c r="Z1014">
        <v>6.3150000000000004</v>
      </c>
    </row>
    <row r="1015" spans="1:26">
      <c r="A1015" s="2">
        <v>43938</v>
      </c>
      <c r="B1015" s="4">
        <v>0.61458333333333337</v>
      </c>
      <c r="C1015" s="1" t="s">
        <v>35</v>
      </c>
      <c r="E1015">
        <v>960</v>
      </c>
      <c r="F1015">
        <v>-3</v>
      </c>
      <c r="G1015">
        <v>58</v>
      </c>
      <c r="H1015">
        <v>20</v>
      </c>
      <c r="I1015">
        <v>20</v>
      </c>
      <c r="J1015">
        <v>540</v>
      </c>
      <c r="K1015">
        <v>24</v>
      </c>
      <c r="L1015" s="1" t="s">
        <v>468</v>
      </c>
      <c r="N1015" s="1" t="s">
        <v>37</v>
      </c>
      <c r="P1015" s="1" t="s">
        <v>37</v>
      </c>
      <c r="R1015" s="1" t="s">
        <v>37</v>
      </c>
      <c r="S1015">
        <v>47.409660000000002</v>
      </c>
      <c r="T1015">
        <v>8.1568799999999992</v>
      </c>
      <c r="U1015" s="1" t="s">
        <v>36</v>
      </c>
      <c r="V1015">
        <v>1</v>
      </c>
      <c r="W1015">
        <v>17</v>
      </c>
      <c r="X1015">
        <v>1</v>
      </c>
      <c r="Y1015">
        <v>143.07</v>
      </c>
      <c r="Z1015">
        <v>3.577</v>
      </c>
    </row>
    <row r="1016" spans="1:26">
      <c r="A1016" s="2">
        <v>43938</v>
      </c>
      <c r="B1016" s="4">
        <v>0.45833333333333331</v>
      </c>
      <c r="C1016" s="1" t="s">
        <v>39</v>
      </c>
      <c r="E1016">
        <v>24</v>
      </c>
      <c r="F1016">
        <v>0</v>
      </c>
      <c r="G1016">
        <v>1</v>
      </c>
      <c r="L1016" s="1" t="s">
        <v>41</v>
      </c>
      <c r="N1016" s="1" t="s">
        <v>37</v>
      </c>
      <c r="P1016" s="1" t="s">
        <v>37</v>
      </c>
      <c r="R1016" s="1" t="s">
        <v>37</v>
      </c>
      <c r="S1016">
        <v>47.317264000000002</v>
      </c>
      <c r="T1016">
        <v>9.4167539999999992</v>
      </c>
      <c r="U1016" s="1" t="s">
        <v>40</v>
      </c>
      <c r="V1016">
        <v>16</v>
      </c>
      <c r="W1016">
        <v>0</v>
      </c>
      <c r="X1016">
        <v>0</v>
      </c>
      <c r="Y1016">
        <v>149.07</v>
      </c>
    </row>
    <row r="1017" spans="1:26">
      <c r="A1017" s="2">
        <v>43938</v>
      </c>
      <c r="B1017" s="4">
        <v>0.5</v>
      </c>
      <c r="C1017" s="1" t="s">
        <v>42</v>
      </c>
      <c r="E1017">
        <v>82</v>
      </c>
      <c r="F1017">
        <v>0</v>
      </c>
      <c r="G1017">
        <v>6</v>
      </c>
      <c r="K1017">
        <v>3</v>
      </c>
      <c r="L1017" s="1" t="s">
        <v>44</v>
      </c>
      <c r="N1017" s="1" t="s">
        <v>37</v>
      </c>
      <c r="P1017" s="1" t="s">
        <v>37</v>
      </c>
      <c r="R1017" s="1" t="s">
        <v>37</v>
      </c>
      <c r="S1017">
        <v>47.416351999999996</v>
      </c>
      <c r="T1017">
        <v>9.3679100000000002</v>
      </c>
      <c r="U1017" s="1" t="s">
        <v>43</v>
      </c>
      <c r="V1017">
        <v>15</v>
      </c>
      <c r="W1017">
        <v>3</v>
      </c>
      <c r="X1017">
        <v>0</v>
      </c>
      <c r="Y1017">
        <v>148.55000000000001</v>
      </c>
      <c r="Z1017">
        <v>5.4349999999999996</v>
      </c>
    </row>
    <row r="1018" spans="1:26">
      <c r="A1018" s="2">
        <v>43938</v>
      </c>
      <c r="B1018" s="4">
        <v>0.33333333333333331</v>
      </c>
      <c r="C1018" s="1" t="s">
        <v>45</v>
      </c>
      <c r="E1018">
        <v>1553</v>
      </c>
      <c r="F1018">
        <v>-1</v>
      </c>
      <c r="G1018">
        <v>69</v>
      </c>
      <c r="H1018">
        <v>25</v>
      </c>
      <c r="I1018">
        <v>13</v>
      </c>
      <c r="K1018">
        <v>67</v>
      </c>
      <c r="L1018" s="1" t="s">
        <v>47</v>
      </c>
      <c r="N1018" s="1" t="s">
        <v>37</v>
      </c>
      <c r="P1018" s="1" t="s">
        <v>37</v>
      </c>
      <c r="R1018" s="1" t="s">
        <v>37</v>
      </c>
      <c r="S1018">
        <v>46.823608</v>
      </c>
      <c r="T1018">
        <v>7.6366670000000001</v>
      </c>
      <c r="U1018" s="1" t="s">
        <v>46</v>
      </c>
      <c r="V1018">
        <v>2</v>
      </c>
      <c r="W1018">
        <v>38</v>
      </c>
      <c r="X1018">
        <v>12</v>
      </c>
      <c r="Y1018">
        <v>150.62</v>
      </c>
      <c r="Z1018">
        <v>6.4980000000000002</v>
      </c>
    </row>
    <row r="1019" spans="1:26">
      <c r="A1019" s="2">
        <v>43938</v>
      </c>
      <c r="B1019" s="4">
        <v>0.125</v>
      </c>
      <c r="C1019" s="1" t="s">
        <v>48</v>
      </c>
      <c r="E1019">
        <v>794</v>
      </c>
      <c r="F1019">
        <v>-6</v>
      </c>
      <c r="G1019">
        <v>40</v>
      </c>
      <c r="H1019">
        <v>8</v>
      </c>
      <c r="I1019">
        <v>5</v>
      </c>
      <c r="J1019">
        <v>632</v>
      </c>
      <c r="K1019">
        <v>25</v>
      </c>
      <c r="L1019" s="1" t="s">
        <v>50</v>
      </c>
      <c r="N1019" s="1" t="s">
        <v>37</v>
      </c>
      <c r="P1019" s="1" t="s">
        <v>37</v>
      </c>
      <c r="R1019" s="1" t="s">
        <v>37</v>
      </c>
      <c r="S1019">
        <v>47.45176</v>
      </c>
      <c r="T1019">
        <v>7.7024140000000001</v>
      </c>
      <c r="U1019" s="1" t="s">
        <v>49</v>
      </c>
      <c r="V1019">
        <v>13</v>
      </c>
      <c r="W1019">
        <v>13</v>
      </c>
      <c r="X1019">
        <v>0</v>
      </c>
      <c r="Y1019">
        <v>276.66000000000003</v>
      </c>
      <c r="Z1019">
        <v>8.7110000000000003</v>
      </c>
    </row>
    <row r="1020" spans="1:26">
      <c r="A1020" s="2">
        <v>43938</v>
      </c>
      <c r="B1020" s="4">
        <v>0.375</v>
      </c>
      <c r="C1020" s="1" t="s">
        <v>51</v>
      </c>
      <c r="D1020">
        <v>235</v>
      </c>
      <c r="E1020">
        <v>923</v>
      </c>
      <c r="F1020">
        <v>-8</v>
      </c>
      <c r="G1020">
        <v>68</v>
      </c>
      <c r="H1020">
        <v>7</v>
      </c>
      <c r="J1020">
        <v>720</v>
      </c>
      <c r="K1020">
        <v>37</v>
      </c>
      <c r="L1020" s="1" t="s">
        <v>469</v>
      </c>
      <c r="M1020">
        <v>501</v>
      </c>
      <c r="N1020" s="1" t="s">
        <v>330</v>
      </c>
      <c r="P1020" s="1" t="s">
        <v>37</v>
      </c>
      <c r="R1020" s="1" t="s">
        <v>37</v>
      </c>
      <c r="S1020">
        <v>47.564869000000002</v>
      </c>
      <c r="T1020">
        <v>7.615259</v>
      </c>
      <c r="U1020" s="1" t="s">
        <v>52</v>
      </c>
      <c r="V1020">
        <v>12</v>
      </c>
      <c r="W1020">
        <v>6</v>
      </c>
      <c r="X1020">
        <v>0</v>
      </c>
      <c r="Y1020">
        <v>476.02</v>
      </c>
      <c r="Z1020">
        <v>19.082000000000001</v>
      </c>
    </row>
    <row r="1021" spans="1:26">
      <c r="A1021" s="2">
        <v>43938</v>
      </c>
      <c r="B1021" s="4">
        <v>0.125</v>
      </c>
      <c r="C1021" s="1" t="s">
        <v>54</v>
      </c>
      <c r="D1021">
        <v>900</v>
      </c>
      <c r="E1021">
        <v>81</v>
      </c>
      <c r="F1021">
        <v>0</v>
      </c>
      <c r="J1021">
        <v>1</v>
      </c>
      <c r="K1021">
        <v>1</v>
      </c>
      <c r="L1021" s="1" t="s">
        <v>470</v>
      </c>
      <c r="N1021" s="1" t="s">
        <v>37</v>
      </c>
      <c r="P1021" s="1" t="s">
        <v>37</v>
      </c>
      <c r="R1021" s="1" t="s">
        <v>37</v>
      </c>
      <c r="S1021">
        <v>47.166666999999997</v>
      </c>
      <c r="T1021">
        <v>9.509722</v>
      </c>
      <c r="U1021" s="1" t="s">
        <v>55</v>
      </c>
      <c r="V1021">
        <v>0</v>
      </c>
      <c r="W1021">
        <v>1</v>
      </c>
      <c r="X1021">
        <v>0</v>
      </c>
      <c r="Y1021">
        <v>209.84</v>
      </c>
      <c r="Z1021">
        <v>2.5910000000000002</v>
      </c>
    </row>
    <row r="1022" spans="1:26">
      <c r="A1022" s="2">
        <v>43938</v>
      </c>
      <c r="B1022" s="4">
        <v>0.125</v>
      </c>
      <c r="C1022" s="1" t="s">
        <v>57</v>
      </c>
      <c r="D1022">
        <v>30</v>
      </c>
      <c r="E1022">
        <v>930</v>
      </c>
      <c r="F1022">
        <v>6</v>
      </c>
      <c r="G1022">
        <v>66</v>
      </c>
      <c r="H1022">
        <v>13</v>
      </c>
      <c r="J1022">
        <v>106</v>
      </c>
      <c r="K1022">
        <v>67</v>
      </c>
      <c r="L1022" s="1" t="s">
        <v>59</v>
      </c>
      <c r="N1022" s="1" t="s">
        <v>37</v>
      </c>
      <c r="P1022" s="1" t="s">
        <v>37</v>
      </c>
      <c r="R1022" s="1" t="s">
        <v>37</v>
      </c>
      <c r="S1022">
        <v>46.718390999999997</v>
      </c>
      <c r="T1022">
        <v>7.0740080000000001</v>
      </c>
      <c r="U1022" s="1" t="s">
        <v>58</v>
      </c>
      <c r="V1022">
        <v>10</v>
      </c>
      <c r="W1022">
        <v>23</v>
      </c>
      <c r="X1022">
        <v>2</v>
      </c>
      <c r="Y1022">
        <v>295.14</v>
      </c>
      <c r="Z1022">
        <v>21.263000000000002</v>
      </c>
    </row>
    <row r="1023" spans="1:26">
      <c r="A1023" s="2">
        <v>43938</v>
      </c>
      <c r="B1023" s="4">
        <v>0.125</v>
      </c>
      <c r="C1023" s="1" t="s">
        <v>60</v>
      </c>
      <c r="D1023">
        <v>21458</v>
      </c>
      <c r="E1023">
        <v>4605</v>
      </c>
      <c r="F1023">
        <v>-21</v>
      </c>
      <c r="G1023">
        <v>329</v>
      </c>
      <c r="H1023">
        <v>39</v>
      </c>
      <c r="I1023">
        <v>33</v>
      </c>
      <c r="J1023">
        <v>532</v>
      </c>
      <c r="K1023">
        <v>196</v>
      </c>
      <c r="L1023" s="1" t="s">
        <v>62</v>
      </c>
      <c r="N1023" s="1" t="s">
        <v>37</v>
      </c>
      <c r="P1023" s="1" t="s">
        <v>37</v>
      </c>
      <c r="Q1023">
        <v>22</v>
      </c>
      <c r="R1023" s="1" t="s">
        <v>37</v>
      </c>
      <c r="S1023">
        <v>46.220528000000002</v>
      </c>
      <c r="T1023">
        <v>6.1329349999999998</v>
      </c>
      <c r="U1023" s="1" t="s">
        <v>61</v>
      </c>
      <c r="V1023">
        <v>25</v>
      </c>
      <c r="W1023">
        <v>60</v>
      </c>
      <c r="X1023">
        <v>6</v>
      </c>
      <c r="Y1023">
        <v>929.93</v>
      </c>
      <c r="Z1023">
        <v>39.58</v>
      </c>
    </row>
    <row r="1024" spans="1:26">
      <c r="A1024" s="2">
        <v>43938</v>
      </c>
      <c r="B1024" s="4">
        <v>0.54166666666666663</v>
      </c>
      <c r="C1024" s="1" t="s">
        <v>63</v>
      </c>
      <c r="E1024">
        <v>108</v>
      </c>
      <c r="F1024">
        <v>0</v>
      </c>
      <c r="G1024">
        <v>4</v>
      </c>
      <c r="K1024">
        <v>3</v>
      </c>
      <c r="L1024" s="1" t="s">
        <v>65</v>
      </c>
      <c r="N1024" s="1" t="s">
        <v>37</v>
      </c>
      <c r="P1024" s="1" t="s">
        <v>37</v>
      </c>
      <c r="R1024" s="1" t="s">
        <v>37</v>
      </c>
      <c r="S1024">
        <v>46.931042000000005</v>
      </c>
      <c r="T1024">
        <v>9.0657510000000006</v>
      </c>
      <c r="U1024" s="1" t="s">
        <v>64</v>
      </c>
      <c r="V1024">
        <v>8</v>
      </c>
      <c r="W1024">
        <v>2</v>
      </c>
      <c r="X1024">
        <v>0</v>
      </c>
      <c r="Y1024">
        <v>267.99</v>
      </c>
      <c r="Z1024">
        <v>7.444</v>
      </c>
    </row>
    <row r="1025" spans="1:26">
      <c r="A1025" s="2">
        <v>43938</v>
      </c>
      <c r="B1025" s="4">
        <v>0.66666666666666663</v>
      </c>
      <c r="C1025" s="1" t="s">
        <v>69</v>
      </c>
      <c r="E1025">
        <v>191</v>
      </c>
      <c r="F1025">
        <v>0</v>
      </c>
      <c r="G1025">
        <v>18</v>
      </c>
      <c r="H1025">
        <v>5</v>
      </c>
      <c r="K1025">
        <v>3</v>
      </c>
      <c r="L1025" s="1" t="s">
        <v>280</v>
      </c>
      <c r="N1025" s="1" t="s">
        <v>37</v>
      </c>
      <c r="P1025" s="1" t="s">
        <v>37</v>
      </c>
      <c r="R1025" s="1" t="s">
        <v>37</v>
      </c>
      <c r="S1025">
        <v>47.350743999999999</v>
      </c>
      <c r="T1025">
        <v>7.1561070000000004</v>
      </c>
      <c r="U1025" s="1" t="s">
        <v>70</v>
      </c>
      <c r="V1025">
        <v>26</v>
      </c>
      <c r="W1025">
        <v>2</v>
      </c>
      <c r="X1025">
        <v>0</v>
      </c>
      <c r="Y1025">
        <v>260.57</v>
      </c>
      <c r="Z1025">
        <v>4.093</v>
      </c>
    </row>
    <row r="1026" spans="1:26">
      <c r="A1026" s="2">
        <v>43938</v>
      </c>
      <c r="B1026" s="4">
        <v>0.45833333333333331</v>
      </c>
      <c r="C1026" s="1" t="s">
        <v>71</v>
      </c>
      <c r="E1026">
        <v>607</v>
      </c>
      <c r="F1026">
        <v>0</v>
      </c>
      <c r="G1026">
        <v>40</v>
      </c>
      <c r="H1026">
        <v>3</v>
      </c>
      <c r="K1026">
        <v>14</v>
      </c>
      <c r="L1026" s="1" t="s">
        <v>73</v>
      </c>
      <c r="N1026" s="1" t="s">
        <v>37</v>
      </c>
      <c r="P1026" s="1" t="s">
        <v>37</v>
      </c>
      <c r="R1026" s="1" t="s">
        <v>37</v>
      </c>
      <c r="S1026">
        <v>47.067762999999999</v>
      </c>
      <c r="T1026">
        <v>8.1102000000000007</v>
      </c>
      <c r="U1026" s="1" t="s">
        <v>72</v>
      </c>
      <c r="V1026">
        <v>3</v>
      </c>
      <c r="W1026">
        <v>8</v>
      </c>
      <c r="X1026">
        <v>1</v>
      </c>
      <c r="Y1026">
        <v>149.32</v>
      </c>
      <c r="Z1026">
        <v>3.444</v>
      </c>
    </row>
    <row r="1027" spans="1:26">
      <c r="A1027" s="2">
        <v>43938</v>
      </c>
      <c r="B1027" s="4">
        <v>0.66666666666666663</v>
      </c>
      <c r="C1027" s="1" t="s">
        <v>74</v>
      </c>
      <c r="E1027">
        <v>637</v>
      </c>
      <c r="F1027">
        <v>-8</v>
      </c>
      <c r="G1027">
        <v>44</v>
      </c>
      <c r="H1027">
        <v>10</v>
      </c>
      <c r="I1027">
        <v>8</v>
      </c>
      <c r="K1027">
        <v>55</v>
      </c>
      <c r="L1027" s="1" t="s">
        <v>76</v>
      </c>
      <c r="N1027" s="1" t="s">
        <v>37</v>
      </c>
      <c r="P1027" s="1" t="s">
        <v>37</v>
      </c>
      <c r="R1027" s="1" t="s">
        <v>37</v>
      </c>
      <c r="S1027">
        <v>46.995533999999999</v>
      </c>
      <c r="T1027">
        <v>6.7801260000000001</v>
      </c>
      <c r="U1027" s="1" t="s">
        <v>75</v>
      </c>
      <c r="V1027">
        <v>24</v>
      </c>
      <c r="W1027">
        <v>10</v>
      </c>
      <c r="X1027">
        <v>2</v>
      </c>
      <c r="Y1027">
        <v>357.87</v>
      </c>
      <c r="Z1027">
        <v>30.899000000000001</v>
      </c>
    </row>
    <row r="1028" spans="1:26">
      <c r="A1028" s="2">
        <v>43938</v>
      </c>
      <c r="B1028" s="4">
        <v>0.68055555555555558</v>
      </c>
      <c r="C1028" s="1" t="s">
        <v>77</v>
      </c>
      <c r="E1028">
        <v>107</v>
      </c>
      <c r="F1028">
        <v>-1</v>
      </c>
      <c r="G1028">
        <v>4</v>
      </c>
      <c r="H1028">
        <v>2</v>
      </c>
      <c r="K1028">
        <v>2</v>
      </c>
      <c r="L1028" s="1" t="s">
        <v>79</v>
      </c>
      <c r="N1028" s="1" t="s">
        <v>37</v>
      </c>
      <c r="P1028" s="1" t="s">
        <v>37</v>
      </c>
      <c r="R1028" s="1" t="s">
        <v>37</v>
      </c>
      <c r="S1028">
        <v>46.926755</v>
      </c>
      <c r="T1028">
        <v>8.4053020000000007</v>
      </c>
      <c r="U1028" s="1" t="s">
        <v>78</v>
      </c>
      <c r="V1028">
        <v>7</v>
      </c>
      <c r="W1028">
        <v>1</v>
      </c>
      <c r="X1028">
        <v>0</v>
      </c>
      <c r="Y1028">
        <v>248.84</v>
      </c>
      <c r="Z1028">
        <v>4.6509999999999998</v>
      </c>
    </row>
    <row r="1029" spans="1:26">
      <c r="A1029" s="2">
        <v>43938</v>
      </c>
      <c r="B1029" s="4">
        <v>0.66666666666666663</v>
      </c>
      <c r="C1029" s="1" t="s">
        <v>80</v>
      </c>
      <c r="D1029">
        <v>6</v>
      </c>
      <c r="E1029">
        <v>66</v>
      </c>
      <c r="F1029">
        <v>0</v>
      </c>
      <c r="G1029">
        <v>0</v>
      </c>
      <c r="J1029">
        <v>1</v>
      </c>
      <c r="K1029">
        <v>0</v>
      </c>
      <c r="L1029" s="1" t="s">
        <v>82</v>
      </c>
      <c r="N1029" s="1" t="s">
        <v>37</v>
      </c>
      <c r="P1029" s="1" t="s">
        <v>37</v>
      </c>
      <c r="R1029" s="1" t="s">
        <v>37</v>
      </c>
      <c r="S1029">
        <v>46.804527</v>
      </c>
      <c r="T1029">
        <v>8.1443170000000009</v>
      </c>
      <c r="U1029" s="1" t="s">
        <v>81</v>
      </c>
      <c r="V1029">
        <v>6</v>
      </c>
      <c r="W1029">
        <v>1</v>
      </c>
      <c r="X1029">
        <v>0</v>
      </c>
      <c r="Y1029">
        <v>175.53</v>
      </c>
      <c r="Z1029">
        <v>0</v>
      </c>
    </row>
    <row r="1030" spans="1:26">
      <c r="A1030" s="2">
        <v>43938</v>
      </c>
      <c r="B1030" s="4">
        <v>0.125</v>
      </c>
      <c r="C1030" s="1" t="s">
        <v>83</v>
      </c>
      <c r="E1030">
        <v>683</v>
      </c>
      <c r="F1030">
        <v>-15</v>
      </c>
      <c r="G1030">
        <v>41</v>
      </c>
      <c r="H1030">
        <v>9</v>
      </c>
      <c r="J1030">
        <v>144</v>
      </c>
      <c r="K1030">
        <v>27</v>
      </c>
      <c r="L1030" s="1" t="s">
        <v>85</v>
      </c>
      <c r="N1030" s="1" t="s">
        <v>37</v>
      </c>
      <c r="P1030" s="1" t="s">
        <v>37</v>
      </c>
      <c r="R1030" s="1" t="s">
        <v>37</v>
      </c>
      <c r="S1030">
        <v>47.183199999999999</v>
      </c>
      <c r="T1030">
        <v>9.2747440000000001</v>
      </c>
      <c r="U1030" s="1" t="s">
        <v>84</v>
      </c>
      <c r="V1030">
        <v>17</v>
      </c>
      <c r="W1030">
        <v>3</v>
      </c>
      <c r="X1030">
        <v>2</v>
      </c>
      <c r="Y1030">
        <v>135.33000000000001</v>
      </c>
      <c r="Z1030">
        <v>5.35</v>
      </c>
    </row>
    <row r="1031" spans="1:26">
      <c r="A1031" s="2">
        <v>43938</v>
      </c>
      <c r="B1031" s="4">
        <v>0.39583333333333331</v>
      </c>
      <c r="C1031" s="1" t="s">
        <v>86</v>
      </c>
      <c r="E1031">
        <v>60</v>
      </c>
      <c r="F1031">
        <v>-2</v>
      </c>
      <c r="G1031">
        <v>8</v>
      </c>
      <c r="H1031">
        <v>2</v>
      </c>
      <c r="K1031">
        <v>1</v>
      </c>
      <c r="L1031" s="1" t="s">
        <v>88</v>
      </c>
      <c r="N1031" s="1" t="s">
        <v>37</v>
      </c>
      <c r="P1031" s="1" t="s">
        <v>37</v>
      </c>
      <c r="R1031" s="1" t="s">
        <v>37</v>
      </c>
      <c r="S1031">
        <v>47.713569999999997</v>
      </c>
      <c r="T1031">
        <v>8.5916700000000006</v>
      </c>
      <c r="U1031" s="1" t="s">
        <v>87</v>
      </c>
      <c r="V1031">
        <v>14</v>
      </c>
      <c r="W1031">
        <v>0</v>
      </c>
      <c r="X1031">
        <v>0</v>
      </c>
      <c r="Y1031">
        <v>73.709999999999994</v>
      </c>
      <c r="Z1031">
        <v>1.2290000000000001</v>
      </c>
    </row>
    <row r="1032" spans="1:26">
      <c r="A1032" s="2">
        <v>43938</v>
      </c>
      <c r="B1032" s="4">
        <v>0.125</v>
      </c>
      <c r="C1032" s="1" t="s">
        <v>89</v>
      </c>
      <c r="E1032">
        <v>350</v>
      </c>
      <c r="F1032">
        <v>-2</v>
      </c>
      <c r="G1032">
        <v>20</v>
      </c>
      <c r="K1032">
        <v>9</v>
      </c>
      <c r="L1032" s="1" t="s">
        <v>91</v>
      </c>
      <c r="N1032" s="1" t="s">
        <v>37</v>
      </c>
      <c r="P1032" s="1" t="s">
        <v>37</v>
      </c>
      <c r="R1032" s="1" t="s">
        <v>37</v>
      </c>
      <c r="S1032">
        <v>47.304135000000002</v>
      </c>
      <c r="T1032">
        <v>7.6393880000000003</v>
      </c>
      <c r="U1032" s="1" t="s">
        <v>90</v>
      </c>
      <c r="V1032">
        <v>11</v>
      </c>
      <c r="W1032">
        <v>7</v>
      </c>
      <c r="X1032">
        <v>1</v>
      </c>
      <c r="Y1032">
        <v>128.96</v>
      </c>
      <c r="Z1032">
        <v>3.3159999999999998</v>
      </c>
    </row>
    <row r="1033" spans="1:26">
      <c r="A1033" s="2">
        <v>43938</v>
      </c>
      <c r="B1033" s="4">
        <v>0.125</v>
      </c>
      <c r="C1033" s="1" t="s">
        <v>92</v>
      </c>
      <c r="D1033">
        <v>10</v>
      </c>
      <c r="E1033">
        <v>266</v>
      </c>
      <c r="F1033">
        <v>0</v>
      </c>
      <c r="G1033">
        <v>1</v>
      </c>
      <c r="J1033">
        <v>161</v>
      </c>
      <c r="K1033">
        <v>14</v>
      </c>
      <c r="L1033" s="1" t="s">
        <v>471</v>
      </c>
      <c r="N1033" s="1" t="s">
        <v>37</v>
      </c>
      <c r="P1033" s="1" t="s">
        <v>37</v>
      </c>
      <c r="R1033" s="1" t="s">
        <v>37</v>
      </c>
      <c r="S1033">
        <v>47.061787000000002</v>
      </c>
      <c r="T1033">
        <v>8.7565849999999994</v>
      </c>
      <c r="U1033" s="1" t="s">
        <v>93</v>
      </c>
      <c r="V1033">
        <v>5</v>
      </c>
      <c r="W1033">
        <v>1</v>
      </c>
      <c r="X1033">
        <v>0</v>
      </c>
      <c r="Y1033">
        <v>169.1</v>
      </c>
      <c r="Z1033">
        <v>8.9</v>
      </c>
    </row>
    <row r="1034" spans="1:26">
      <c r="A1034" s="2">
        <v>43938</v>
      </c>
      <c r="B1034" s="4">
        <v>0.125</v>
      </c>
      <c r="C1034" s="1" t="s">
        <v>95</v>
      </c>
      <c r="D1034">
        <v>276</v>
      </c>
      <c r="E1034">
        <v>321</v>
      </c>
      <c r="F1034">
        <v>-3</v>
      </c>
      <c r="G1034">
        <v>25</v>
      </c>
      <c r="H1034">
        <v>13</v>
      </c>
      <c r="K1034">
        <v>12</v>
      </c>
      <c r="L1034" s="1" t="s">
        <v>97</v>
      </c>
      <c r="N1034" s="1" t="s">
        <v>37</v>
      </c>
      <c r="P1034" s="1" t="s">
        <v>37</v>
      </c>
      <c r="R1034" s="1" t="s">
        <v>37</v>
      </c>
      <c r="S1034">
        <v>47.568714999999997</v>
      </c>
      <c r="T1034">
        <v>9.0919570000000007</v>
      </c>
      <c r="U1034" s="1" t="s">
        <v>96</v>
      </c>
      <c r="V1034">
        <v>1</v>
      </c>
      <c r="W1034">
        <v>13</v>
      </c>
      <c r="X1034">
        <v>1</v>
      </c>
      <c r="Y1034">
        <v>117.24</v>
      </c>
      <c r="Z1034">
        <v>4.383</v>
      </c>
    </row>
    <row r="1035" spans="1:26">
      <c r="A1035" s="2">
        <v>43938</v>
      </c>
      <c r="B1035" s="4">
        <v>0.33333333333333331</v>
      </c>
      <c r="C1035" s="1" t="s">
        <v>98</v>
      </c>
      <c r="E1035">
        <v>2977</v>
      </c>
      <c r="F1035">
        <v>5</v>
      </c>
      <c r="G1035">
        <v>254</v>
      </c>
      <c r="H1035">
        <v>57</v>
      </c>
      <c r="I1035">
        <v>44</v>
      </c>
      <c r="J1035">
        <v>580</v>
      </c>
      <c r="K1035">
        <v>270</v>
      </c>
      <c r="L1035" s="1" t="s">
        <v>472</v>
      </c>
      <c r="N1035" s="1" t="s">
        <v>37</v>
      </c>
      <c r="P1035" s="1" t="s">
        <v>37</v>
      </c>
      <c r="R1035" s="1" t="s">
        <v>37</v>
      </c>
      <c r="S1035">
        <v>46.295617</v>
      </c>
      <c r="T1035">
        <v>8.8089239999999993</v>
      </c>
      <c r="U1035" s="1" t="s">
        <v>99</v>
      </c>
      <c r="V1035">
        <v>21</v>
      </c>
      <c r="W1035">
        <v>24</v>
      </c>
      <c r="X1035">
        <v>1</v>
      </c>
      <c r="Y1035">
        <v>841.67</v>
      </c>
      <c r="Z1035">
        <v>76.335999999999999</v>
      </c>
    </row>
    <row r="1036" spans="1:26">
      <c r="A1036" s="2">
        <v>43938</v>
      </c>
      <c r="B1036" s="4">
        <v>0.58333333333333337</v>
      </c>
      <c r="C1036" s="1" t="s">
        <v>101</v>
      </c>
      <c r="D1036">
        <v>85</v>
      </c>
      <c r="E1036">
        <v>78</v>
      </c>
      <c r="F1036">
        <v>0</v>
      </c>
      <c r="G1036">
        <v>2</v>
      </c>
      <c r="J1036">
        <v>66</v>
      </c>
      <c r="K1036">
        <v>5</v>
      </c>
      <c r="L1036" s="1" t="s">
        <v>103</v>
      </c>
      <c r="N1036" s="1" t="s">
        <v>37</v>
      </c>
      <c r="P1036" s="1" t="s">
        <v>37</v>
      </c>
      <c r="R1036" s="1" t="s">
        <v>37</v>
      </c>
      <c r="S1036">
        <v>46.771849000000003</v>
      </c>
      <c r="T1036">
        <v>8.6285860000000003</v>
      </c>
      <c r="U1036" s="1" t="s">
        <v>102</v>
      </c>
      <c r="V1036">
        <v>4</v>
      </c>
      <c r="W1036">
        <v>0</v>
      </c>
      <c r="X1036">
        <v>0</v>
      </c>
      <c r="Y1036">
        <v>214.88</v>
      </c>
      <c r="Z1036">
        <v>13.773999999999999</v>
      </c>
    </row>
    <row r="1037" spans="1:26">
      <c r="A1037" s="2">
        <v>43938</v>
      </c>
      <c r="B1037" s="4">
        <v>0.125</v>
      </c>
      <c r="C1037" s="1" t="s">
        <v>104</v>
      </c>
      <c r="E1037">
        <v>4913</v>
      </c>
      <c r="F1037">
        <v>-15</v>
      </c>
      <c r="G1037">
        <v>238</v>
      </c>
      <c r="H1037">
        <v>55</v>
      </c>
      <c r="J1037">
        <v>225</v>
      </c>
      <c r="K1037">
        <v>296</v>
      </c>
      <c r="L1037" s="1" t="s">
        <v>106</v>
      </c>
      <c r="N1037" s="1" t="s">
        <v>37</v>
      </c>
      <c r="P1037" s="1" t="s">
        <v>37</v>
      </c>
      <c r="R1037" s="1" t="s">
        <v>37</v>
      </c>
      <c r="S1037">
        <v>46.570090999999998</v>
      </c>
      <c r="T1037">
        <v>6.5578090000000007</v>
      </c>
      <c r="U1037" s="1" t="s">
        <v>105</v>
      </c>
      <c r="V1037">
        <v>22</v>
      </c>
      <c r="W1037">
        <v>27</v>
      </c>
      <c r="X1037">
        <v>4</v>
      </c>
      <c r="Y1037">
        <v>619.47</v>
      </c>
      <c r="Z1037">
        <v>37.322000000000003</v>
      </c>
    </row>
    <row r="1038" spans="1:26">
      <c r="A1038" s="2">
        <v>43938</v>
      </c>
      <c r="B1038" s="4">
        <v>0.625</v>
      </c>
      <c r="C1038" s="1" t="s">
        <v>107</v>
      </c>
      <c r="E1038">
        <v>1757</v>
      </c>
      <c r="F1038">
        <v>-6</v>
      </c>
      <c r="G1038">
        <v>84</v>
      </c>
      <c r="H1038">
        <v>17</v>
      </c>
      <c r="I1038">
        <v>10</v>
      </c>
      <c r="J1038">
        <v>184</v>
      </c>
      <c r="K1038">
        <v>99</v>
      </c>
      <c r="L1038" s="1" t="s">
        <v>412</v>
      </c>
      <c r="N1038" s="1" t="s">
        <v>37</v>
      </c>
      <c r="P1038" s="1" t="s">
        <v>37</v>
      </c>
      <c r="R1038" s="1" t="s">
        <v>37</v>
      </c>
      <c r="S1038">
        <v>46.209567</v>
      </c>
      <c r="T1038">
        <v>7.6046589999999998</v>
      </c>
      <c r="U1038" s="1" t="s">
        <v>108</v>
      </c>
      <c r="V1038">
        <v>23</v>
      </c>
      <c r="W1038">
        <v>18</v>
      </c>
      <c r="X1038">
        <v>4</v>
      </c>
      <c r="Y1038">
        <v>514.49</v>
      </c>
      <c r="Z1038">
        <v>28.99</v>
      </c>
    </row>
    <row r="1039" spans="1:26">
      <c r="A1039" s="2">
        <v>43938</v>
      </c>
      <c r="B1039" s="4">
        <v>0.33333333333333331</v>
      </c>
      <c r="C1039" s="1" t="s">
        <v>109</v>
      </c>
      <c r="E1039">
        <v>174</v>
      </c>
      <c r="F1039">
        <v>-2</v>
      </c>
      <c r="G1039">
        <v>6</v>
      </c>
      <c r="H1039">
        <v>6</v>
      </c>
      <c r="J1039">
        <v>96</v>
      </c>
      <c r="K1039">
        <v>7</v>
      </c>
      <c r="L1039" s="1" t="s">
        <v>502</v>
      </c>
      <c r="N1039" s="1" t="s">
        <v>37</v>
      </c>
      <c r="P1039" s="1" t="s">
        <v>37</v>
      </c>
      <c r="R1039" s="1" t="s">
        <v>37</v>
      </c>
      <c r="S1039">
        <v>47.157296000000002</v>
      </c>
      <c r="T1039">
        <v>8.5372939999999993</v>
      </c>
      <c r="U1039" s="1" t="s">
        <v>110</v>
      </c>
      <c r="V1039">
        <v>9</v>
      </c>
      <c r="W1039">
        <v>2</v>
      </c>
      <c r="X1039">
        <v>1</v>
      </c>
      <c r="Y1039">
        <v>138.76</v>
      </c>
      <c r="Z1039">
        <v>5.5819999999999999</v>
      </c>
    </row>
    <row r="1040" spans="1:26">
      <c r="A1040" s="2">
        <v>43938</v>
      </c>
      <c r="B1040" s="4">
        <v>0.60416666666666663</v>
      </c>
      <c r="C1040" s="1" t="s">
        <v>111</v>
      </c>
      <c r="E1040">
        <v>3171</v>
      </c>
      <c r="F1040">
        <v>-12</v>
      </c>
      <c r="G1040">
        <v>123</v>
      </c>
      <c r="I1040">
        <v>45</v>
      </c>
      <c r="K1040">
        <v>98</v>
      </c>
      <c r="L1040" s="1" t="s">
        <v>113</v>
      </c>
      <c r="N1040" s="1" t="s">
        <v>37</v>
      </c>
      <c r="P1040" s="1" t="s">
        <v>37</v>
      </c>
      <c r="R1040" s="1" t="s">
        <v>37</v>
      </c>
      <c r="S1040">
        <v>47.412750000000003</v>
      </c>
      <c r="T1040">
        <v>8.6550799999999999</v>
      </c>
      <c r="U1040" s="1" t="s">
        <v>112</v>
      </c>
      <c r="V1040">
        <v>1</v>
      </c>
      <c r="W1040">
        <v>23</v>
      </c>
      <c r="X1040">
        <v>3</v>
      </c>
      <c r="Y1040">
        <v>210.8</v>
      </c>
      <c r="Z1040">
        <v>6.5149999999999997</v>
      </c>
    </row>
    <row r="1041" spans="1:26">
      <c r="A1041" s="2">
        <v>43939</v>
      </c>
      <c r="B1041" s="4">
        <v>0.61458333333333337</v>
      </c>
      <c r="C1041" s="1" t="s">
        <v>35</v>
      </c>
      <c r="E1041">
        <v>987</v>
      </c>
      <c r="F1041">
        <v>0</v>
      </c>
      <c r="G1041">
        <v>58</v>
      </c>
      <c r="H1041">
        <v>20</v>
      </c>
      <c r="I1041">
        <v>20</v>
      </c>
      <c r="J1041">
        <v>540</v>
      </c>
      <c r="K1041">
        <v>25</v>
      </c>
      <c r="L1041" s="1" t="s">
        <v>457</v>
      </c>
      <c r="N1041" s="1" t="s">
        <v>37</v>
      </c>
      <c r="P1041" s="1" t="s">
        <v>37</v>
      </c>
      <c r="R1041" s="1" t="s">
        <v>37</v>
      </c>
      <c r="S1041">
        <v>47.409660000000002</v>
      </c>
      <c r="T1041">
        <v>8.1568799999999992</v>
      </c>
      <c r="U1041" s="1" t="s">
        <v>36</v>
      </c>
      <c r="V1041">
        <v>1</v>
      </c>
      <c r="W1041">
        <v>27</v>
      </c>
      <c r="X1041">
        <v>1</v>
      </c>
      <c r="Y1041">
        <v>147.09</v>
      </c>
      <c r="Z1041">
        <v>3.726</v>
      </c>
    </row>
    <row r="1042" spans="1:26">
      <c r="A1042" s="2">
        <v>43939</v>
      </c>
      <c r="B1042" s="4">
        <v>0.33333333333333331</v>
      </c>
      <c r="C1042" s="1" t="s">
        <v>45</v>
      </c>
      <c r="E1042">
        <v>1586</v>
      </c>
      <c r="F1042">
        <v>2</v>
      </c>
      <c r="G1042">
        <v>71</v>
      </c>
      <c r="H1042">
        <v>22</v>
      </c>
      <c r="I1042">
        <v>12</v>
      </c>
      <c r="K1042">
        <v>69</v>
      </c>
      <c r="L1042" s="1" t="s">
        <v>47</v>
      </c>
      <c r="N1042" s="1" t="s">
        <v>37</v>
      </c>
      <c r="P1042" s="1" t="s">
        <v>37</v>
      </c>
      <c r="R1042" s="1" t="s">
        <v>37</v>
      </c>
      <c r="S1042">
        <v>46.823608</v>
      </c>
      <c r="T1042">
        <v>7.6366670000000001</v>
      </c>
      <c r="U1042" s="1" t="s">
        <v>46</v>
      </c>
      <c r="V1042">
        <v>2</v>
      </c>
      <c r="W1042">
        <v>33</v>
      </c>
      <c r="X1042">
        <v>2</v>
      </c>
      <c r="Y1042">
        <v>153.82</v>
      </c>
      <c r="Z1042">
        <v>6.6920000000000002</v>
      </c>
    </row>
    <row r="1043" spans="1:26">
      <c r="A1043" s="2">
        <v>43939</v>
      </c>
      <c r="B1043" s="4">
        <v>0.125</v>
      </c>
      <c r="C1043" s="1" t="s">
        <v>48</v>
      </c>
      <c r="E1043">
        <v>798</v>
      </c>
      <c r="F1043">
        <v>4</v>
      </c>
      <c r="G1043">
        <v>44</v>
      </c>
      <c r="H1043">
        <v>7</v>
      </c>
      <c r="I1043">
        <v>5</v>
      </c>
      <c r="J1043">
        <v>636</v>
      </c>
      <c r="K1043">
        <v>25</v>
      </c>
      <c r="L1043" s="1" t="s">
        <v>50</v>
      </c>
      <c r="N1043" s="1" t="s">
        <v>37</v>
      </c>
      <c r="P1043" s="1" t="s">
        <v>37</v>
      </c>
      <c r="R1043" s="1" t="s">
        <v>37</v>
      </c>
      <c r="S1043">
        <v>47.45176</v>
      </c>
      <c r="T1043">
        <v>7.7024140000000001</v>
      </c>
      <c r="U1043" s="1" t="s">
        <v>49</v>
      </c>
      <c r="V1043">
        <v>13</v>
      </c>
      <c r="W1043">
        <v>4</v>
      </c>
      <c r="X1043">
        <v>0</v>
      </c>
      <c r="Y1043">
        <v>278.05</v>
      </c>
      <c r="Z1043">
        <v>8.7110000000000003</v>
      </c>
    </row>
    <row r="1044" spans="1:26">
      <c r="A1044" s="2">
        <v>43939</v>
      </c>
      <c r="B1044" s="4">
        <v>0.40625</v>
      </c>
      <c r="C1044" s="1" t="s">
        <v>51</v>
      </c>
      <c r="D1044">
        <v>235</v>
      </c>
      <c r="E1044">
        <v>929</v>
      </c>
      <c r="F1044">
        <v>0</v>
      </c>
      <c r="G1044">
        <v>68</v>
      </c>
      <c r="H1044">
        <v>7</v>
      </c>
      <c r="J1044">
        <v>753</v>
      </c>
      <c r="K1044">
        <v>40</v>
      </c>
      <c r="L1044" s="1" t="s">
        <v>473</v>
      </c>
      <c r="M1044">
        <v>506</v>
      </c>
      <c r="N1044" s="1" t="s">
        <v>37</v>
      </c>
      <c r="P1044" s="1" t="s">
        <v>37</v>
      </c>
      <c r="R1044" s="1" t="s">
        <v>37</v>
      </c>
      <c r="S1044">
        <v>47.564869000000002</v>
      </c>
      <c r="T1044">
        <v>7.615259</v>
      </c>
      <c r="U1044" s="1" t="s">
        <v>52</v>
      </c>
      <c r="V1044">
        <v>12</v>
      </c>
      <c r="W1044">
        <v>6</v>
      </c>
      <c r="X1044">
        <v>3</v>
      </c>
      <c r="Y1044">
        <v>479.11</v>
      </c>
      <c r="Z1044">
        <v>20.629000000000001</v>
      </c>
    </row>
    <row r="1045" spans="1:26">
      <c r="A1045" s="2">
        <v>43939</v>
      </c>
      <c r="B1045" s="4">
        <v>0.125</v>
      </c>
      <c r="C1045" s="1" t="s">
        <v>54</v>
      </c>
      <c r="D1045">
        <v>900</v>
      </c>
      <c r="E1045">
        <v>81</v>
      </c>
      <c r="F1045">
        <v>0</v>
      </c>
      <c r="J1045">
        <v>1</v>
      </c>
      <c r="K1045">
        <v>1</v>
      </c>
      <c r="L1045" s="1" t="s">
        <v>474</v>
      </c>
      <c r="N1045" s="1" t="s">
        <v>37</v>
      </c>
      <c r="P1045" s="1" t="s">
        <v>37</v>
      </c>
      <c r="R1045" s="1" t="s">
        <v>37</v>
      </c>
      <c r="S1045">
        <v>47.166666999999997</v>
      </c>
      <c r="T1045">
        <v>9.509722</v>
      </c>
      <c r="U1045" s="1" t="s">
        <v>55</v>
      </c>
      <c r="V1045">
        <v>0</v>
      </c>
      <c r="W1045">
        <v>0</v>
      </c>
      <c r="X1045">
        <v>0</v>
      </c>
      <c r="Y1045">
        <v>209.84</v>
      </c>
      <c r="Z1045">
        <v>2.5910000000000002</v>
      </c>
    </row>
    <row r="1046" spans="1:26">
      <c r="A1046" s="2">
        <v>43939</v>
      </c>
      <c r="B1046" s="4">
        <v>0.125</v>
      </c>
      <c r="C1046" s="1" t="s">
        <v>57</v>
      </c>
      <c r="D1046">
        <v>30</v>
      </c>
      <c r="E1046">
        <v>956</v>
      </c>
      <c r="F1046">
        <v>1</v>
      </c>
      <c r="G1046">
        <v>67</v>
      </c>
      <c r="H1046">
        <v>11</v>
      </c>
      <c r="J1046">
        <v>109</v>
      </c>
      <c r="K1046">
        <v>69</v>
      </c>
      <c r="L1046" s="1" t="s">
        <v>59</v>
      </c>
      <c r="N1046" s="1" t="s">
        <v>37</v>
      </c>
      <c r="P1046" s="1" t="s">
        <v>37</v>
      </c>
      <c r="R1046" s="1" t="s">
        <v>37</v>
      </c>
      <c r="S1046">
        <v>46.718390999999997</v>
      </c>
      <c r="T1046">
        <v>7.0740080000000001</v>
      </c>
      <c r="U1046" s="1" t="s">
        <v>58</v>
      </c>
      <c r="V1046">
        <v>10</v>
      </c>
      <c r="W1046">
        <v>26</v>
      </c>
      <c r="X1046">
        <v>2</v>
      </c>
      <c r="Y1046">
        <v>303.39999999999998</v>
      </c>
      <c r="Z1046">
        <v>21.898</v>
      </c>
    </row>
    <row r="1047" spans="1:26">
      <c r="A1047" s="2">
        <v>43939</v>
      </c>
      <c r="B1047" s="4">
        <v>0.125</v>
      </c>
      <c r="C1047" s="1" t="s">
        <v>60</v>
      </c>
      <c r="D1047">
        <v>21910</v>
      </c>
      <c r="E1047">
        <v>4654</v>
      </c>
      <c r="F1047">
        <v>-14</v>
      </c>
      <c r="G1047">
        <v>315</v>
      </c>
      <c r="H1047">
        <v>34</v>
      </c>
      <c r="I1047">
        <v>33</v>
      </c>
      <c r="J1047">
        <v>553</v>
      </c>
      <c r="K1047">
        <v>199</v>
      </c>
      <c r="L1047" s="1" t="s">
        <v>62</v>
      </c>
      <c r="N1047" s="1" t="s">
        <v>37</v>
      </c>
      <c r="P1047" s="1" t="s">
        <v>37</v>
      </c>
      <c r="Q1047">
        <v>20</v>
      </c>
      <c r="R1047" s="1" t="s">
        <v>37</v>
      </c>
      <c r="S1047">
        <v>46.220528000000002</v>
      </c>
      <c r="T1047">
        <v>6.1329349999999998</v>
      </c>
      <c r="U1047" s="1" t="s">
        <v>61</v>
      </c>
      <c r="V1047">
        <v>25</v>
      </c>
      <c r="W1047">
        <v>49</v>
      </c>
      <c r="X1047">
        <v>3</v>
      </c>
      <c r="Y1047">
        <v>939.82</v>
      </c>
      <c r="Z1047">
        <v>40.186</v>
      </c>
    </row>
    <row r="1048" spans="1:26">
      <c r="A1048" s="2">
        <v>43939</v>
      </c>
      <c r="B1048" s="4">
        <v>0.66666666666666663</v>
      </c>
      <c r="C1048" s="1" t="s">
        <v>69</v>
      </c>
      <c r="E1048">
        <v>192</v>
      </c>
      <c r="F1048">
        <v>-1</v>
      </c>
      <c r="G1048">
        <v>17</v>
      </c>
      <c r="H1048">
        <v>5</v>
      </c>
      <c r="K1048">
        <v>3</v>
      </c>
      <c r="L1048" s="1" t="s">
        <v>446</v>
      </c>
      <c r="N1048" s="1" t="s">
        <v>37</v>
      </c>
      <c r="P1048" s="1" t="s">
        <v>37</v>
      </c>
      <c r="R1048" s="1" t="s">
        <v>37</v>
      </c>
      <c r="S1048">
        <v>47.350743999999999</v>
      </c>
      <c r="T1048">
        <v>7.1561070000000004</v>
      </c>
      <c r="U1048" s="1" t="s">
        <v>70</v>
      </c>
      <c r="V1048">
        <v>26</v>
      </c>
      <c r="W1048">
        <v>1</v>
      </c>
      <c r="X1048">
        <v>0</v>
      </c>
      <c r="Y1048">
        <v>261.94</v>
      </c>
      <c r="Z1048">
        <v>4.093</v>
      </c>
    </row>
    <row r="1049" spans="1:26">
      <c r="A1049" s="2">
        <v>43939</v>
      </c>
      <c r="B1049" s="4">
        <v>0.52083333333333337</v>
      </c>
      <c r="C1049" s="1" t="s">
        <v>71</v>
      </c>
      <c r="E1049">
        <v>623</v>
      </c>
      <c r="F1049">
        <v>-14</v>
      </c>
      <c r="G1049">
        <v>26</v>
      </c>
      <c r="H1049">
        <v>4</v>
      </c>
      <c r="K1049">
        <v>15</v>
      </c>
      <c r="L1049" s="1" t="s">
        <v>73</v>
      </c>
      <c r="N1049" s="1" t="s">
        <v>37</v>
      </c>
      <c r="P1049" s="1" t="s">
        <v>37</v>
      </c>
      <c r="R1049" s="1" t="s">
        <v>37</v>
      </c>
      <c r="S1049">
        <v>47.067762999999999</v>
      </c>
      <c r="T1049">
        <v>8.1102000000000007</v>
      </c>
      <c r="U1049" s="1" t="s">
        <v>72</v>
      </c>
      <c r="V1049">
        <v>3</v>
      </c>
      <c r="W1049">
        <v>16</v>
      </c>
      <c r="X1049">
        <v>1</v>
      </c>
      <c r="Y1049">
        <v>153.26</v>
      </c>
      <c r="Z1049">
        <v>3.69</v>
      </c>
    </row>
    <row r="1050" spans="1:26">
      <c r="A1050" s="2">
        <v>43939</v>
      </c>
      <c r="B1050" s="4">
        <v>0.66666666666666663</v>
      </c>
      <c r="C1050" s="1" t="s">
        <v>74</v>
      </c>
      <c r="E1050">
        <v>639</v>
      </c>
      <c r="F1050">
        <v>0</v>
      </c>
      <c r="G1050">
        <v>44</v>
      </c>
      <c r="H1050">
        <v>10</v>
      </c>
      <c r="I1050">
        <v>8</v>
      </c>
      <c r="K1050">
        <v>55</v>
      </c>
      <c r="L1050" s="1" t="s">
        <v>76</v>
      </c>
      <c r="N1050" s="1" t="s">
        <v>37</v>
      </c>
      <c r="P1050" s="1" t="s">
        <v>37</v>
      </c>
      <c r="R1050" s="1" t="s">
        <v>37</v>
      </c>
      <c r="S1050">
        <v>46.995533999999999</v>
      </c>
      <c r="T1050">
        <v>6.7801260000000001</v>
      </c>
      <c r="U1050" s="1" t="s">
        <v>75</v>
      </c>
      <c r="V1050">
        <v>24</v>
      </c>
      <c r="W1050">
        <v>2</v>
      </c>
      <c r="X1050">
        <v>0</v>
      </c>
      <c r="Y1050">
        <v>358.99</v>
      </c>
      <c r="Z1050">
        <v>30.899000000000001</v>
      </c>
    </row>
    <row r="1051" spans="1:26">
      <c r="A1051" s="2">
        <v>43939</v>
      </c>
      <c r="B1051" s="4">
        <v>0.66666666666666663</v>
      </c>
      <c r="C1051" s="1" t="s">
        <v>77</v>
      </c>
      <c r="E1051">
        <v>108</v>
      </c>
      <c r="F1051">
        <v>0</v>
      </c>
      <c r="G1051">
        <v>4</v>
      </c>
      <c r="H1051">
        <v>2</v>
      </c>
      <c r="K1051">
        <v>3</v>
      </c>
      <c r="L1051" s="1" t="s">
        <v>79</v>
      </c>
      <c r="N1051" s="1" t="s">
        <v>37</v>
      </c>
      <c r="P1051" s="1" t="s">
        <v>37</v>
      </c>
      <c r="R1051" s="1" t="s">
        <v>37</v>
      </c>
      <c r="S1051">
        <v>46.926755</v>
      </c>
      <c r="T1051">
        <v>8.4053020000000007</v>
      </c>
      <c r="U1051" s="1" t="s">
        <v>78</v>
      </c>
      <c r="V1051">
        <v>7</v>
      </c>
      <c r="W1051">
        <v>1</v>
      </c>
      <c r="X1051">
        <v>1</v>
      </c>
      <c r="Y1051">
        <v>251.16</v>
      </c>
      <c r="Z1051">
        <v>6.9770000000000003</v>
      </c>
    </row>
    <row r="1052" spans="1:26">
      <c r="A1052" s="2">
        <v>43939</v>
      </c>
      <c r="B1052" s="4">
        <v>0.125</v>
      </c>
      <c r="C1052" s="1" t="s">
        <v>83</v>
      </c>
      <c r="E1052">
        <v>699</v>
      </c>
      <c r="F1052">
        <v>3</v>
      </c>
      <c r="G1052">
        <v>44</v>
      </c>
      <c r="H1052">
        <v>7</v>
      </c>
      <c r="J1052">
        <v>150</v>
      </c>
      <c r="K1052">
        <v>27</v>
      </c>
      <c r="L1052" s="1" t="s">
        <v>85</v>
      </c>
      <c r="N1052" s="1" t="s">
        <v>37</v>
      </c>
      <c r="P1052" s="1" t="s">
        <v>37</v>
      </c>
      <c r="R1052" s="1" t="s">
        <v>37</v>
      </c>
      <c r="S1052">
        <v>47.183199999999999</v>
      </c>
      <c r="T1052">
        <v>9.2747440000000001</v>
      </c>
      <c r="U1052" s="1" t="s">
        <v>84</v>
      </c>
      <c r="V1052">
        <v>17</v>
      </c>
      <c r="W1052">
        <v>16</v>
      </c>
      <c r="X1052">
        <v>0</v>
      </c>
      <c r="Y1052">
        <v>138.5</v>
      </c>
      <c r="Z1052">
        <v>5.35</v>
      </c>
    </row>
    <row r="1053" spans="1:26">
      <c r="A1053" s="2">
        <v>43939</v>
      </c>
      <c r="B1053" s="4">
        <v>0.39583333333333331</v>
      </c>
      <c r="C1053" s="1" t="s">
        <v>86</v>
      </c>
      <c r="E1053">
        <v>61</v>
      </c>
      <c r="F1053">
        <v>3</v>
      </c>
      <c r="G1053">
        <v>11</v>
      </c>
      <c r="H1053">
        <v>4</v>
      </c>
      <c r="K1053">
        <v>1</v>
      </c>
      <c r="L1053" s="1" t="s">
        <v>88</v>
      </c>
      <c r="N1053" s="1" t="s">
        <v>37</v>
      </c>
      <c r="P1053" s="1" t="s">
        <v>37</v>
      </c>
      <c r="R1053" s="1" t="s">
        <v>37</v>
      </c>
      <c r="S1053">
        <v>47.713569999999997</v>
      </c>
      <c r="T1053">
        <v>8.5916700000000006</v>
      </c>
      <c r="U1053" s="1" t="s">
        <v>87</v>
      </c>
      <c r="V1053">
        <v>14</v>
      </c>
      <c r="W1053">
        <v>1</v>
      </c>
      <c r="X1053">
        <v>0</v>
      </c>
      <c r="Y1053">
        <v>74.94</v>
      </c>
      <c r="Z1053">
        <v>1.2290000000000001</v>
      </c>
    </row>
    <row r="1054" spans="1:26">
      <c r="A1054" s="2">
        <v>43939</v>
      </c>
      <c r="B1054" s="4">
        <v>0.125</v>
      </c>
      <c r="C1054" s="1" t="s">
        <v>89</v>
      </c>
      <c r="E1054">
        <v>353</v>
      </c>
      <c r="F1054">
        <v>-1</v>
      </c>
      <c r="G1054">
        <v>19</v>
      </c>
      <c r="K1054">
        <v>10</v>
      </c>
      <c r="L1054" s="1" t="s">
        <v>91</v>
      </c>
      <c r="N1054" s="1" t="s">
        <v>37</v>
      </c>
      <c r="P1054" s="1" t="s">
        <v>37</v>
      </c>
      <c r="R1054" s="1" t="s">
        <v>37</v>
      </c>
      <c r="S1054">
        <v>47.304135000000002</v>
      </c>
      <c r="T1054">
        <v>7.6393880000000003</v>
      </c>
      <c r="U1054" s="1" t="s">
        <v>90</v>
      </c>
      <c r="V1054">
        <v>11</v>
      </c>
      <c r="W1054">
        <v>3</v>
      </c>
      <c r="X1054">
        <v>1</v>
      </c>
      <c r="Y1054">
        <v>130.07</v>
      </c>
      <c r="Z1054">
        <v>3.6850000000000001</v>
      </c>
    </row>
    <row r="1055" spans="1:26">
      <c r="A1055" s="2">
        <v>43939</v>
      </c>
      <c r="B1055" s="4">
        <v>6.9444444444444447E-4</v>
      </c>
      <c r="C1055" s="1" t="s">
        <v>92</v>
      </c>
      <c r="D1055">
        <v>10</v>
      </c>
      <c r="E1055">
        <v>266</v>
      </c>
      <c r="F1055">
        <v>0</v>
      </c>
      <c r="G1055">
        <v>1</v>
      </c>
      <c r="J1055">
        <v>176</v>
      </c>
      <c r="K1055">
        <v>14</v>
      </c>
      <c r="L1055" s="1" t="s">
        <v>475</v>
      </c>
      <c r="N1055" s="1" t="s">
        <v>37</v>
      </c>
      <c r="P1055" s="1" t="s">
        <v>37</v>
      </c>
      <c r="R1055" s="1" t="s">
        <v>37</v>
      </c>
      <c r="S1055">
        <v>47.061787000000002</v>
      </c>
      <c r="T1055">
        <v>8.7565849999999994</v>
      </c>
      <c r="U1055" s="1" t="s">
        <v>93</v>
      </c>
      <c r="V1055">
        <v>5</v>
      </c>
      <c r="W1055">
        <v>0</v>
      </c>
      <c r="X1055">
        <v>0</v>
      </c>
      <c r="Y1055">
        <v>169.1</v>
      </c>
      <c r="Z1055">
        <v>8.9</v>
      </c>
    </row>
    <row r="1056" spans="1:26">
      <c r="A1056" s="2">
        <v>43939</v>
      </c>
      <c r="B1056" s="4">
        <v>0.125</v>
      </c>
      <c r="C1056" s="1" t="s">
        <v>95</v>
      </c>
      <c r="D1056">
        <v>276</v>
      </c>
      <c r="E1056">
        <v>332</v>
      </c>
      <c r="F1056">
        <v>-2</v>
      </c>
      <c r="G1056">
        <v>23</v>
      </c>
      <c r="H1056">
        <v>12</v>
      </c>
      <c r="K1056">
        <v>13</v>
      </c>
      <c r="L1056" s="1" t="s">
        <v>97</v>
      </c>
      <c r="N1056" s="1" t="s">
        <v>37</v>
      </c>
      <c r="P1056" s="1" t="s">
        <v>37</v>
      </c>
      <c r="R1056" s="1" t="s">
        <v>37</v>
      </c>
      <c r="S1056">
        <v>47.568714999999997</v>
      </c>
      <c r="T1056">
        <v>9.0919570000000007</v>
      </c>
      <c r="U1056" s="1" t="s">
        <v>96</v>
      </c>
      <c r="V1056">
        <v>1</v>
      </c>
      <c r="W1056">
        <v>11</v>
      </c>
      <c r="X1056">
        <v>1</v>
      </c>
      <c r="Y1056">
        <v>121.26</v>
      </c>
      <c r="Z1056">
        <v>4.7480000000000002</v>
      </c>
    </row>
    <row r="1057" spans="1:26">
      <c r="A1057" s="2">
        <v>43939</v>
      </c>
      <c r="B1057" s="4">
        <v>0.33333333333333331</v>
      </c>
      <c r="C1057" s="1" t="s">
        <v>98</v>
      </c>
      <c r="E1057">
        <v>2994</v>
      </c>
      <c r="F1057">
        <v>-10</v>
      </c>
      <c r="G1057">
        <v>244</v>
      </c>
      <c r="H1057">
        <v>56</v>
      </c>
      <c r="I1057">
        <v>42</v>
      </c>
      <c r="J1057">
        <v>606</v>
      </c>
      <c r="K1057">
        <v>277</v>
      </c>
      <c r="L1057" s="1" t="s">
        <v>476</v>
      </c>
      <c r="N1057" s="1" t="s">
        <v>37</v>
      </c>
      <c r="P1057" s="1" t="s">
        <v>37</v>
      </c>
      <c r="R1057" s="1" t="s">
        <v>37</v>
      </c>
      <c r="S1057">
        <v>46.295617</v>
      </c>
      <c r="T1057">
        <v>8.8089239999999993</v>
      </c>
      <c r="U1057" s="1" t="s">
        <v>99</v>
      </c>
      <c r="V1057">
        <v>21</v>
      </c>
      <c r="W1057">
        <v>17</v>
      </c>
      <c r="X1057">
        <v>7</v>
      </c>
      <c r="Y1057">
        <v>846.48</v>
      </c>
      <c r="Z1057">
        <v>78.314999999999998</v>
      </c>
    </row>
    <row r="1058" spans="1:26">
      <c r="A1058" s="2">
        <v>43939</v>
      </c>
      <c r="B1058" s="4">
        <v>0.625</v>
      </c>
      <c r="C1058" s="1" t="s">
        <v>101</v>
      </c>
      <c r="D1058">
        <v>85</v>
      </c>
      <c r="E1058">
        <v>78</v>
      </c>
      <c r="F1058">
        <v>0</v>
      </c>
      <c r="G1058">
        <v>2</v>
      </c>
      <c r="J1058">
        <v>69</v>
      </c>
      <c r="K1058">
        <v>5</v>
      </c>
      <c r="L1058" s="1" t="s">
        <v>103</v>
      </c>
      <c r="N1058" s="1" t="s">
        <v>37</v>
      </c>
      <c r="P1058" s="1" t="s">
        <v>37</v>
      </c>
      <c r="R1058" s="1" t="s">
        <v>37</v>
      </c>
      <c r="S1058">
        <v>46.771849000000003</v>
      </c>
      <c r="T1058">
        <v>8.6285860000000003</v>
      </c>
      <c r="U1058" s="1" t="s">
        <v>102</v>
      </c>
      <c r="V1058">
        <v>4</v>
      </c>
      <c r="W1058">
        <v>0</v>
      </c>
      <c r="X1058">
        <v>0</v>
      </c>
      <c r="Y1058">
        <v>214.88</v>
      </c>
      <c r="Z1058">
        <v>13.773999999999999</v>
      </c>
    </row>
    <row r="1059" spans="1:26">
      <c r="A1059" s="2">
        <v>43939</v>
      </c>
      <c r="B1059" s="4">
        <v>0.125</v>
      </c>
      <c r="C1059" s="1" t="s">
        <v>104</v>
      </c>
      <c r="E1059">
        <v>4972</v>
      </c>
      <c r="F1059">
        <v>-3</v>
      </c>
      <c r="G1059">
        <v>235</v>
      </c>
      <c r="H1059">
        <v>52</v>
      </c>
      <c r="J1059">
        <v>225</v>
      </c>
      <c r="K1059">
        <v>302</v>
      </c>
      <c r="L1059" s="1" t="s">
        <v>106</v>
      </c>
      <c r="N1059" s="1" t="s">
        <v>37</v>
      </c>
      <c r="P1059" s="1" t="s">
        <v>37</v>
      </c>
      <c r="R1059" s="1" t="s">
        <v>37</v>
      </c>
      <c r="S1059">
        <v>46.570090999999998</v>
      </c>
      <c r="T1059">
        <v>6.5578090000000007</v>
      </c>
      <c r="U1059" s="1" t="s">
        <v>105</v>
      </c>
      <c r="V1059">
        <v>22</v>
      </c>
      <c r="W1059">
        <v>59</v>
      </c>
      <c r="X1059">
        <v>6</v>
      </c>
      <c r="Y1059">
        <v>626.91</v>
      </c>
      <c r="Z1059">
        <v>38.078000000000003</v>
      </c>
    </row>
    <row r="1060" spans="1:26">
      <c r="A1060" s="2">
        <v>43939</v>
      </c>
      <c r="B1060" s="4">
        <v>0.625</v>
      </c>
      <c r="C1060" s="1" t="s">
        <v>107</v>
      </c>
      <c r="E1060">
        <v>1766</v>
      </c>
      <c r="F1060">
        <v>-1</v>
      </c>
      <c r="G1060">
        <v>83</v>
      </c>
      <c r="H1060">
        <v>19</v>
      </c>
      <c r="I1060">
        <v>10</v>
      </c>
      <c r="J1060">
        <v>185</v>
      </c>
      <c r="K1060">
        <v>104</v>
      </c>
      <c r="L1060" s="1" t="s">
        <v>412</v>
      </c>
      <c r="N1060" s="1" t="s">
        <v>37</v>
      </c>
      <c r="P1060" s="1" t="s">
        <v>37</v>
      </c>
      <c r="R1060" s="1" t="s">
        <v>37</v>
      </c>
      <c r="S1060">
        <v>46.209567</v>
      </c>
      <c r="T1060">
        <v>7.6046589999999998</v>
      </c>
      <c r="U1060" s="1" t="s">
        <v>108</v>
      </c>
      <c r="V1060">
        <v>23</v>
      </c>
      <c r="W1060">
        <v>9</v>
      </c>
      <c r="X1060">
        <v>5</v>
      </c>
      <c r="Y1060">
        <v>517.13</v>
      </c>
      <c r="Z1060">
        <v>30.454000000000001</v>
      </c>
    </row>
    <row r="1061" spans="1:26">
      <c r="A1061" s="2">
        <v>43939</v>
      </c>
      <c r="B1061" s="4">
        <v>0.33333333333333331</v>
      </c>
      <c r="C1061" s="1" t="s">
        <v>109</v>
      </c>
      <c r="E1061">
        <v>175</v>
      </c>
      <c r="F1061">
        <v>5</v>
      </c>
      <c r="G1061">
        <v>11</v>
      </c>
      <c r="H1061">
        <v>6</v>
      </c>
      <c r="J1061">
        <v>99</v>
      </c>
      <c r="K1061">
        <v>7</v>
      </c>
      <c r="L1061" s="1" t="s">
        <v>502</v>
      </c>
      <c r="N1061" s="1" t="s">
        <v>37</v>
      </c>
      <c r="P1061" s="1" t="s">
        <v>37</v>
      </c>
      <c r="R1061" s="1" t="s">
        <v>37</v>
      </c>
      <c r="S1061">
        <v>47.157296000000002</v>
      </c>
      <c r="T1061">
        <v>8.5372939999999993</v>
      </c>
      <c r="U1061" s="1" t="s">
        <v>110</v>
      </c>
      <c r="V1061">
        <v>9</v>
      </c>
      <c r="W1061">
        <v>1</v>
      </c>
      <c r="X1061">
        <v>0</v>
      </c>
      <c r="Y1061">
        <v>139.55000000000001</v>
      </c>
      <c r="Z1061">
        <v>5.5819999999999999</v>
      </c>
    </row>
    <row r="1062" spans="1:26">
      <c r="A1062" s="2">
        <v>43939</v>
      </c>
      <c r="B1062" s="4">
        <v>0.60416666666666663</v>
      </c>
      <c r="C1062" s="1" t="s">
        <v>111</v>
      </c>
      <c r="E1062">
        <v>3211</v>
      </c>
      <c r="F1062">
        <v>-9</v>
      </c>
      <c r="G1062">
        <v>114</v>
      </c>
      <c r="I1062">
        <v>44</v>
      </c>
      <c r="K1062">
        <v>104</v>
      </c>
      <c r="L1062" s="1" t="s">
        <v>113</v>
      </c>
      <c r="N1062" s="1" t="s">
        <v>37</v>
      </c>
      <c r="P1062" s="1" t="s">
        <v>37</v>
      </c>
      <c r="R1062" s="1" t="s">
        <v>37</v>
      </c>
      <c r="S1062">
        <v>47.412750000000003</v>
      </c>
      <c r="T1062">
        <v>8.6550799999999999</v>
      </c>
      <c r="U1062" s="1" t="s">
        <v>112</v>
      </c>
      <c r="V1062">
        <v>1</v>
      </c>
      <c r="W1062">
        <v>40</v>
      </c>
      <c r="X1062">
        <v>6</v>
      </c>
      <c r="Y1062">
        <v>213.45</v>
      </c>
      <c r="Z1062">
        <v>6.9139999999999997</v>
      </c>
    </row>
    <row r="1063" spans="1:26">
      <c r="A1063" s="2">
        <v>43940</v>
      </c>
      <c r="B1063" s="4">
        <v>0.61458333333333337</v>
      </c>
      <c r="C1063" s="1" t="s">
        <v>35</v>
      </c>
      <c r="E1063">
        <v>1003</v>
      </c>
      <c r="F1063">
        <v>0</v>
      </c>
      <c r="G1063">
        <v>58</v>
      </c>
      <c r="H1063">
        <v>20</v>
      </c>
      <c r="I1063">
        <v>20</v>
      </c>
      <c r="J1063">
        <v>540</v>
      </c>
      <c r="K1063">
        <v>25</v>
      </c>
      <c r="L1063" s="1" t="s">
        <v>457</v>
      </c>
      <c r="N1063" s="1" t="s">
        <v>37</v>
      </c>
      <c r="P1063" s="1" t="s">
        <v>37</v>
      </c>
      <c r="R1063" s="1" t="s">
        <v>37</v>
      </c>
      <c r="S1063">
        <v>47.409660000000002</v>
      </c>
      <c r="T1063">
        <v>8.1568799999999992</v>
      </c>
      <c r="U1063" s="1" t="s">
        <v>36</v>
      </c>
      <c r="V1063">
        <v>1</v>
      </c>
      <c r="W1063">
        <v>16</v>
      </c>
      <c r="X1063">
        <v>0</v>
      </c>
      <c r="Y1063">
        <v>149.47999999999999</v>
      </c>
      <c r="Z1063">
        <v>3.726</v>
      </c>
    </row>
    <row r="1064" spans="1:26">
      <c r="A1064" s="2">
        <v>43940</v>
      </c>
      <c r="B1064" s="4">
        <v>0.45833333333333331</v>
      </c>
      <c r="C1064" s="1" t="s">
        <v>39</v>
      </c>
      <c r="E1064">
        <v>24</v>
      </c>
      <c r="F1064">
        <v>0</v>
      </c>
      <c r="G1064">
        <v>1</v>
      </c>
      <c r="L1064" s="1" t="s">
        <v>41</v>
      </c>
      <c r="N1064" s="1" t="s">
        <v>37</v>
      </c>
      <c r="P1064" s="1" t="s">
        <v>37</v>
      </c>
      <c r="R1064" s="1" t="s">
        <v>37</v>
      </c>
      <c r="S1064">
        <v>47.317264000000002</v>
      </c>
      <c r="T1064">
        <v>9.4167539999999992</v>
      </c>
      <c r="U1064" s="1" t="s">
        <v>40</v>
      </c>
      <c r="V1064">
        <v>16</v>
      </c>
      <c r="W1064">
        <v>0</v>
      </c>
      <c r="X1064">
        <v>0</v>
      </c>
      <c r="Y1064">
        <v>149.07</v>
      </c>
    </row>
    <row r="1065" spans="1:26">
      <c r="A1065" s="2">
        <v>43940</v>
      </c>
      <c r="B1065" s="4">
        <v>0.33333333333333331</v>
      </c>
      <c r="C1065" s="1" t="s">
        <v>45</v>
      </c>
      <c r="E1065">
        <v>1599</v>
      </c>
      <c r="F1065">
        <v>7</v>
      </c>
      <c r="G1065">
        <v>78</v>
      </c>
      <c r="H1065">
        <v>20</v>
      </c>
      <c r="I1065">
        <v>13</v>
      </c>
      <c r="K1065">
        <v>69</v>
      </c>
      <c r="L1065" s="1" t="s">
        <v>47</v>
      </c>
      <c r="N1065" s="1" t="s">
        <v>37</v>
      </c>
      <c r="P1065" s="1" t="s">
        <v>37</v>
      </c>
      <c r="R1065" s="1" t="s">
        <v>37</v>
      </c>
      <c r="S1065">
        <v>46.823608</v>
      </c>
      <c r="T1065">
        <v>7.6366670000000001</v>
      </c>
      <c r="U1065" s="1" t="s">
        <v>46</v>
      </c>
      <c r="V1065">
        <v>2</v>
      </c>
      <c r="W1065">
        <v>13</v>
      </c>
      <c r="X1065">
        <v>0</v>
      </c>
      <c r="Y1065">
        <v>155.08000000000001</v>
      </c>
      <c r="Z1065">
        <v>6.6920000000000002</v>
      </c>
    </row>
    <row r="1066" spans="1:26">
      <c r="A1066" s="2">
        <v>43940</v>
      </c>
      <c r="B1066" s="4">
        <v>0.125</v>
      </c>
      <c r="C1066" s="1" t="s">
        <v>48</v>
      </c>
      <c r="E1066">
        <v>803</v>
      </c>
      <c r="F1066">
        <v>-4</v>
      </c>
      <c r="G1066">
        <v>40</v>
      </c>
      <c r="H1066">
        <v>7</v>
      </c>
      <c r="I1066">
        <v>5</v>
      </c>
      <c r="J1066">
        <v>653</v>
      </c>
      <c r="K1066">
        <v>25</v>
      </c>
      <c r="L1066" s="1" t="s">
        <v>50</v>
      </c>
      <c r="N1066" s="1" t="s">
        <v>37</v>
      </c>
      <c r="P1066" s="1" t="s">
        <v>37</v>
      </c>
      <c r="R1066" s="1" t="s">
        <v>37</v>
      </c>
      <c r="S1066">
        <v>47.45176</v>
      </c>
      <c r="T1066">
        <v>7.7024140000000001</v>
      </c>
      <c r="U1066" s="1" t="s">
        <v>49</v>
      </c>
      <c r="V1066">
        <v>13</v>
      </c>
      <c r="W1066">
        <v>5</v>
      </c>
      <c r="X1066">
        <v>0</v>
      </c>
      <c r="Y1066">
        <v>279.79000000000002</v>
      </c>
      <c r="Z1066">
        <v>8.7110000000000003</v>
      </c>
    </row>
    <row r="1067" spans="1:26">
      <c r="A1067" s="2">
        <v>43940</v>
      </c>
      <c r="B1067" s="4">
        <v>0.41666666666666669</v>
      </c>
      <c r="C1067" s="1" t="s">
        <v>51</v>
      </c>
      <c r="D1067">
        <v>235</v>
      </c>
      <c r="E1067">
        <v>932</v>
      </c>
      <c r="F1067">
        <v>0</v>
      </c>
      <c r="G1067">
        <v>68</v>
      </c>
      <c r="H1067">
        <v>7</v>
      </c>
      <c r="J1067">
        <v>764</v>
      </c>
      <c r="K1067">
        <v>40</v>
      </c>
      <c r="L1067" s="1" t="s">
        <v>477</v>
      </c>
      <c r="M1067">
        <v>508</v>
      </c>
      <c r="N1067" s="1" t="s">
        <v>37</v>
      </c>
      <c r="P1067" s="1" t="s">
        <v>37</v>
      </c>
      <c r="R1067" s="1" t="s">
        <v>37</v>
      </c>
      <c r="S1067">
        <v>47.564869000000002</v>
      </c>
      <c r="T1067">
        <v>7.615259</v>
      </c>
      <c r="U1067" s="1" t="s">
        <v>52</v>
      </c>
      <c r="V1067">
        <v>12</v>
      </c>
      <c r="W1067">
        <v>3</v>
      </c>
      <c r="X1067">
        <v>0</v>
      </c>
      <c r="Y1067">
        <v>480.66</v>
      </c>
      <c r="Z1067">
        <v>20.629000000000001</v>
      </c>
    </row>
    <row r="1068" spans="1:26">
      <c r="A1068" s="2">
        <v>43940</v>
      </c>
      <c r="B1068" s="4">
        <v>0.125</v>
      </c>
      <c r="C1068" s="1" t="s">
        <v>54</v>
      </c>
      <c r="D1068">
        <v>900</v>
      </c>
      <c r="E1068">
        <v>81</v>
      </c>
      <c r="F1068">
        <v>0</v>
      </c>
      <c r="J1068">
        <v>1</v>
      </c>
      <c r="K1068">
        <v>1</v>
      </c>
      <c r="L1068" s="1" t="s">
        <v>478</v>
      </c>
      <c r="N1068" s="1" t="s">
        <v>37</v>
      </c>
      <c r="P1068" s="1" t="s">
        <v>37</v>
      </c>
      <c r="R1068" s="1" t="s">
        <v>37</v>
      </c>
      <c r="S1068">
        <v>47.166666999999997</v>
      </c>
      <c r="T1068">
        <v>9.509722</v>
      </c>
      <c r="U1068" s="1" t="s">
        <v>55</v>
      </c>
      <c r="V1068">
        <v>0</v>
      </c>
      <c r="W1068">
        <v>0</v>
      </c>
      <c r="X1068">
        <v>0</v>
      </c>
      <c r="Y1068">
        <v>209.84</v>
      </c>
      <c r="Z1068">
        <v>2.5910000000000002</v>
      </c>
    </row>
    <row r="1069" spans="1:26">
      <c r="A1069" s="2">
        <v>43940</v>
      </c>
      <c r="B1069" s="4">
        <v>0.125</v>
      </c>
      <c r="C1069" s="1" t="s">
        <v>57</v>
      </c>
      <c r="D1069">
        <v>30</v>
      </c>
      <c r="E1069">
        <v>980</v>
      </c>
      <c r="F1069">
        <v>-6</v>
      </c>
      <c r="G1069">
        <v>61</v>
      </c>
      <c r="H1069">
        <v>12</v>
      </c>
      <c r="J1069">
        <v>113</v>
      </c>
      <c r="K1069">
        <v>71</v>
      </c>
      <c r="L1069" s="1" t="s">
        <v>59</v>
      </c>
      <c r="N1069" s="1" t="s">
        <v>37</v>
      </c>
      <c r="P1069" s="1" t="s">
        <v>37</v>
      </c>
      <c r="R1069" s="1" t="s">
        <v>37</v>
      </c>
      <c r="S1069">
        <v>46.718390999999997</v>
      </c>
      <c r="T1069">
        <v>7.0740080000000001</v>
      </c>
      <c r="U1069" s="1" t="s">
        <v>58</v>
      </c>
      <c r="V1069">
        <v>10</v>
      </c>
      <c r="W1069">
        <v>24</v>
      </c>
      <c r="X1069">
        <v>2</v>
      </c>
      <c r="Y1069">
        <v>311.01</v>
      </c>
      <c r="Z1069">
        <v>22.533000000000001</v>
      </c>
    </row>
    <row r="1070" spans="1:26">
      <c r="A1070" s="2">
        <v>43940</v>
      </c>
      <c r="B1070" s="4">
        <v>0.125</v>
      </c>
      <c r="C1070" s="1" t="s">
        <v>60</v>
      </c>
      <c r="D1070">
        <v>22101</v>
      </c>
      <c r="E1070">
        <v>4665</v>
      </c>
      <c r="F1070">
        <v>0</v>
      </c>
      <c r="G1070">
        <v>315</v>
      </c>
      <c r="H1070">
        <v>35</v>
      </c>
      <c r="I1070">
        <v>33</v>
      </c>
      <c r="J1070">
        <v>558</v>
      </c>
      <c r="K1070">
        <v>201</v>
      </c>
      <c r="L1070" s="1" t="s">
        <v>62</v>
      </c>
      <c r="N1070" s="1" t="s">
        <v>37</v>
      </c>
      <c r="P1070" s="1" t="s">
        <v>37</v>
      </c>
      <c r="Q1070">
        <v>19</v>
      </c>
      <c r="R1070" s="1" t="s">
        <v>37</v>
      </c>
      <c r="S1070">
        <v>46.220528000000002</v>
      </c>
      <c r="T1070">
        <v>6.1329349999999998</v>
      </c>
      <c r="U1070" s="1" t="s">
        <v>61</v>
      </c>
      <c r="V1070">
        <v>25</v>
      </c>
      <c r="W1070">
        <v>11</v>
      </c>
      <c r="X1070">
        <v>2</v>
      </c>
      <c r="Y1070">
        <v>942.04</v>
      </c>
      <c r="Z1070">
        <v>40.590000000000003</v>
      </c>
    </row>
    <row r="1071" spans="1:26">
      <c r="A1071" s="2">
        <v>43940</v>
      </c>
      <c r="B1071" s="4">
        <v>0.125</v>
      </c>
      <c r="C1071" s="1" t="s">
        <v>66</v>
      </c>
      <c r="E1071">
        <v>769</v>
      </c>
      <c r="F1071">
        <v>-9</v>
      </c>
      <c r="G1071">
        <v>28</v>
      </c>
      <c r="K1071">
        <v>40</v>
      </c>
      <c r="L1071" s="1" t="s">
        <v>68</v>
      </c>
      <c r="N1071" s="1" t="s">
        <v>37</v>
      </c>
      <c r="P1071" s="1" t="s">
        <v>37</v>
      </c>
      <c r="R1071" s="1" t="s">
        <v>37</v>
      </c>
      <c r="S1071">
        <v>46.656247999999998</v>
      </c>
      <c r="T1071">
        <v>9.6281979999999994</v>
      </c>
      <c r="U1071" s="1" t="s">
        <v>67</v>
      </c>
      <c r="V1071">
        <v>1</v>
      </c>
      <c r="W1071">
        <v>17</v>
      </c>
      <c r="X1071">
        <v>1</v>
      </c>
      <c r="Y1071">
        <v>388.58</v>
      </c>
      <c r="Z1071">
        <v>20.212</v>
      </c>
    </row>
    <row r="1072" spans="1:26">
      <c r="A1072" s="2">
        <v>43940</v>
      </c>
      <c r="B1072" s="4">
        <v>0.66666666666666663</v>
      </c>
      <c r="C1072" s="1" t="s">
        <v>69</v>
      </c>
      <c r="E1072">
        <v>192</v>
      </c>
      <c r="F1072">
        <v>-1</v>
      </c>
      <c r="G1072">
        <v>16</v>
      </c>
      <c r="H1072">
        <v>5</v>
      </c>
      <c r="K1072">
        <v>5</v>
      </c>
      <c r="L1072" s="1" t="s">
        <v>446</v>
      </c>
      <c r="N1072" s="1" t="s">
        <v>37</v>
      </c>
      <c r="P1072" s="1" t="s">
        <v>37</v>
      </c>
      <c r="R1072" s="1" t="s">
        <v>37</v>
      </c>
      <c r="S1072">
        <v>47.350743999999999</v>
      </c>
      <c r="T1072">
        <v>7.1561070000000004</v>
      </c>
      <c r="U1072" s="1" t="s">
        <v>70</v>
      </c>
      <c r="V1072">
        <v>26</v>
      </c>
      <c r="W1072">
        <v>0</v>
      </c>
      <c r="X1072">
        <v>2</v>
      </c>
      <c r="Y1072">
        <v>261.94</v>
      </c>
      <c r="Z1072">
        <v>6.8209999999999997</v>
      </c>
    </row>
    <row r="1073" spans="1:26">
      <c r="A1073" s="2">
        <v>43940</v>
      </c>
      <c r="B1073" s="4">
        <v>0.45833333333333331</v>
      </c>
      <c r="C1073" s="1" t="s">
        <v>71</v>
      </c>
      <c r="E1073">
        <v>626</v>
      </c>
      <c r="F1073">
        <v>0</v>
      </c>
      <c r="G1073">
        <v>26</v>
      </c>
      <c r="H1073">
        <v>4</v>
      </c>
      <c r="K1073">
        <v>15</v>
      </c>
      <c r="L1073" s="1" t="s">
        <v>73</v>
      </c>
      <c r="N1073" s="1" t="s">
        <v>37</v>
      </c>
      <c r="P1073" s="1" t="s">
        <v>37</v>
      </c>
      <c r="R1073" s="1" t="s">
        <v>37</v>
      </c>
      <c r="S1073">
        <v>47.067762999999999</v>
      </c>
      <c r="T1073">
        <v>8.1102000000000007</v>
      </c>
      <c r="U1073" s="1" t="s">
        <v>72</v>
      </c>
      <c r="V1073">
        <v>3</v>
      </c>
      <c r="W1073">
        <v>3</v>
      </c>
      <c r="X1073">
        <v>0</v>
      </c>
      <c r="Y1073">
        <v>154</v>
      </c>
      <c r="Z1073">
        <v>3.69</v>
      </c>
    </row>
    <row r="1074" spans="1:26">
      <c r="A1074" s="2">
        <v>43940</v>
      </c>
      <c r="B1074" s="4">
        <v>0.66666666666666663</v>
      </c>
      <c r="C1074" s="1" t="s">
        <v>74</v>
      </c>
      <c r="E1074">
        <v>640</v>
      </c>
      <c r="F1074">
        <v>-1</v>
      </c>
      <c r="G1074">
        <v>43</v>
      </c>
      <c r="H1074">
        <v>9</v>
      </c>
      <c r="I1074">
        <v>4</v>
      </c>
      <c r="K1074">
        <v>56</v>
      </c>
      <c r="L1074" s="1" t="s">
        <v>76</v>
      </c>
      <c r="N1074" s="1" t="s">
        <v>37</v>
      </c>
      <c r="P1074" s="1" t="s">
        <v>37</v>
      </c>
      <c r="R1074" s="1" t="s">
        <v>37</v>
      </c>
      <c r="S1074">
        <v>46.995533999999999</v>
      </c>
      <c r="T1074">
        <v>6.7801260000000001</v>
      </c>
      <c r="U1074" s="1" t="s">
        <v>75</v>
      </c>
      <c r="V1074">
        <v>24</v>
      </c>
      <c r="W1074">
        <v>1</v>
      </c>
      <c r="X1074">
        <v>1</v>
      </c>
      <c r="Y1074">
        <v>359.55</v>
      </c>
      <c r="Z1074">
        <v>31.460999999999999</v>
      </c>
    </row>
    <row r="1075" spans="1:26">
      <c r="A1075" s="2">
        <v>43940</v>
      </c>
      <c r="B1075" s="4">
        <v>0.67708333333333337</v>
      </c>
      <c r="C1075" s="1" t="s">
        <v>77</v>
      </c>
      <c r="E1075">
        <v>108</v>
      </c>
      <c r="F1075">
        <v>0</v>
      </c>
      <c r="G1075">
        <v>4</v>
      </c>
      <c r="H1075">
        <v>2</v>
      </c>
      <c r="K1075">
        <v>3</v>
      </c>
      <c r="L1075" s="1" t="s">
        <v>79</v>
      </c>
      <c r="N1075" s="1" t="s">
        <v>37</v>
      </c>
      <c r="P1075" s="1" t="s">
        <v>37</v>
      </c>
      <c r="R1075" s="1" t="s">
        <v>37</v>
      </c>
      <c r="S1075">
        <v>46.926755</v>
      </c>
      <c r="T1075">
        <v>8.4053020000000007</v>
      </c>
      <c r="U1075" s="1" t="s">
        <v>78</v>
      </c>
      <c r="V1075">
        <v>7</v>
      </c>
      <c r="W1075">
        <v>0</v>
      </c>
      <c r="X1075">
        <v>0</v>
      </c>
      <c r="Y1075">
        <v>251.16</v>
      </c>
      <c r="Z1075">
        <v>6.9770000000000003</v>
      </c>
    </row>
    <row r="1076" spans="1:26">
      <c r="A1076" s="2">
        <v>43940</v>
      </c>
      <c r="B1076" s="4">
        <v>0.125</v>
      </c>
      <c r="C1076" s="1" t="s">
        <v>83</v>
      </c>
      <c r="E1076">
        <v>705</v>
      </c>
      <c r="F1076">
        <v>1</v>
      </c>
      <c r="G1076">
        <v>45</v>
      </c>
      <c r="H1076">
        <v>7</v>
      </c>
      <c r="J1076">
        <v>150</v>
      </c>
      <c r="K1076">
        <v>27</v>
      </c>
      <c r="L1076" s="1" t="s">
        <v>85</v>
      </c>
      <c r="N1076" s="1" t="s">
        <v>37</v>
      </c>
      <c r="P1076" s="1" t="s">
        <v>37</v>
      </c>
      <c r="R1076" s="1" t="s">
        <v>37</v>
      </c>
      <c r="S1076">
        <v>47.183199999999999</v>
      </c>
      <c r="T1076">
        <v>9.2747440000000001</v>
      </c>
      <c r="U1076" s="1" t="s">
        <v>84</v>
      </c>
      <c r="V1076">
        <v>17</v>
      </c>
      <c r="W1076">
        <v>6</v>
      </c>
      <c r="X1076">
        <v>0</v>
      </c>
      <c r="Y1076">
        <v>139.69</v>
      </c>
      <c r="Z1076">
        <v>5.35</v>
      </c>
    </row>
    <row r="1077" spans="1:26">
      <c r="A1077" s="2">
        <v>43940</v>
      </c>
      <c r="B1077" s="4">
        <v>0.39583333333333331</v>
      </c>
      <c r="C1077" s="1" t="s">
        <v>86</v>
      </c>
      <c r="E1077">
        <v>62</v>
      </c>
      <c r="F1077">
        <v>-5</v>
      </c>
      <c r="G1077">
        <v>6</v>
      </c>
      <c r="H1077">
        <v>2</v>
      </c>
      <c r="K1077">
        <v>1</v>
      </c>
      <c r="L1077" s="1" t="s">
        <v>88</v>
      </c>
      <c r="N1077" s="1" t="s">
        <v>37</v>
      </c>
      <c r="P1077" s="1" t="s">
        <v>37</v>
      </c>
      <c r="R1077" s="1" t="s">
        <v>37</v>
      </c>
      <c r="S1077">
        <v>47.713569999999997</v>
      </c>
      <c r="T1077">
        <v>8.5916700000000006</v>
      </c>
      <c r="U1077" s="1" t="s">
        <v>87</v>
      </c>
      <c r="V1077">
        <v>14</v>
      </c>
      <c r="W1077">
        <v>1</v>
      </c>
      <c r="X1077">
        <v>0</v>
      </c>
      <c r="Y1077">
        <v>76.17</v>
      </c>
      <c r="Z1077">
        <v>1.2290000000000001</v>
      </c>
    </row>
    <row r="1078" spans="1:26">
      <c r="A1078" s="2">
        <v>43940</v>
      </c>
      <c r="B1078" s="4">
        <v>0.125</v>
      </c>
      <c r="C1078" s="1" t="s">
        <v>89</v>
      </c>
      <c r="E1078">
        <v>355</v>
      </c>
      <c r="F1078">
        <v>0</v>
      </c>
      <c r="G1078">
        <v>19</v>
      </c>
      <c r="K1078">
        <v>11</v>
      </c>
      <c r="L1078" s="1" t="s">
        <v>91</v>
      </c>
      <c r="N1078" s="1" t="s">
        <v>37</v>
      </c>
      <c r="P1078" s="1" t="s">
        <v>37</v>
      </c>
      <c r="R1078" s="1" t="s">
        <v>37</v>
      </c>
      <c r="S1078">
        <v>47.304135000000002</v>
      </c>
      <c r="T1078">
        <v>7.6393880000000003</v>
      </c>
      <c r="U1078" s="1" t="s">
        <v>90</v>
      </c>
      <c r="V1078">
        <v>11</v>
      </c>
      <c r="W1078">
        <v>2</v>
      </c>
      <c r="X1078">
        <v>1</v>
      </c>
      <c r="Y1078">
        <v>130.80000000000001</v>
      </c>
      <c r="Z1078">
        <v>4.0529999999999999</v>
      </c>
    </row>
    <row r="1079" spans="1:26">
      <c r="A1079" s="2">
        <v>43940</v>
      </c>
      <c r="B1079" s="4">
        <v>6.9444444444444447E-4</v>
      </c>
      <c r="C1079" s="1" t="s">
        <v>92</v>
      </c>
      <c r="D1079">
        <v>10</v>
      </c>
      <c r="E1079">
        <v>268</v>
      </c>
      <c r="F1079">
        <v>0</v>
      </c>
      <c r="G1079">
        <v>1</v>
      </c>
      <c r="J1079">
        <v>180</v>
      </c>
      <c r="K1079">
        <v>15</v>
      </c>
      <c r="L1079" s="1" t="s">
        <v>479</v>
      </c>
      <c r="N1079" s="1" t="s">
        <v>37</v>
      </c>
      <c r="P1079" s="1" t="s">
        <v>37</v>
      </c>
      <c r="R1079" s="1" t="s">
        <v>37</v>
      </c>
      <c r="S1079">
        <v>47.061787000000002</v>
      </c>
      <c r="T1079">
        <v>8.7565849999999994</v>
      </c>
      <c r="U1079" s="1" t="s">
        <v>93</v>
      </c>
      <c r="V1079">
        <v>5</v>
      </c>
      <c r="W1079">
        <v>2</v>
      </c>
      <c r="X1079">
        <v>1</v>
      </c>
      <c r="Y1079">
        <v>170.38</v>
      </c>
      <c r="Z1079">
        <v>9.5359999999999996</v>
      </c>
    </row>
    <row r="1080" spans="1:26">
      <c r="A1080" s="2">
        <v>43940</v>
      </c>
      <c r="B1080" s="4">
        <v>0.125</v>
      </c>
      <c r="C1080" s="1" t="s">
        <v>95</v>
      </c>
      <c r="D1080">
        <v>276</v>
      </c>
      <c r="E1080">
        <v>333</v>
      </c>
      <c r="F1080">
        <v>0</v>
      </c>
      <c r="G1080">
        <v>23</v>
      </c>
      <c r="H1080">
        <v>12</v>
      </c>
      <c r="K1080">
        <v>13</v>
      </c>
      <c r="L1080" s="1" t="s">
        <v>97</v>
      </c>
      <c r="N1080" s="1" t="s">
        <v>37</v>
      </c>
      <c r="P1080" s="1" t="s">
        <v>37</v>
      </c>
      <c r="R1080" s="1" t="s">
        <v>37</v>
      </c>
      <c r="S1080">
        <v>47.568714999999997</v>
      </c>
      <c r="T1080">
        <v>9.0919570000000007</v>
      </c>
      <c r="U1080" s="1" t="s">
        <v>96</v>
      </c>
      <c r="V1080">
        <v>1</v>
      </c>
      <c r="W1080">
        <v>1</v>
      </c>
      <c r="X1080">
        <v>0</v>
      </c>
      <c r="Y1080">
        <v>121.62</v>
      </c>
      <c r="Z1080">
        <v>4.7480000000000002</v>
      </c>
    </row>
    <row r="1081" spans="1:26">
      <c r="A1081" s="2">
        <v>43940</v>
      </c>
      <c r="B1081" s="4">
        <v>0.33333333333333331</v>
      </c>
      <c r="C1081" s="1" t="s">
        <v>98</v>
      </c>
      <c r="E1081">
        <v>3032</v>
      </c>
      <c r="F1081">
        <v>-7</v>
      </c>
      <c r="G1081">
        <v>237</v>
      </c>
      <c r="H1081">
        <v>54</v>
      </c>
      <c r="I1081">
        <v>42</v>
      </c>
      <c r="J1081">
        <v>616</v>
      </c>
      <c r="K1081">
        <v>281</v>
      </c>
      <c r="L1081" s="1" t="s">
        <v>480</v>
      </c>
      <c r="N1081" s="1" t="s">
        <v>37</v>
      </c>
      <c r="P1081" s="1" t="s">
        <v>37</v>
      </c>
      <c r="R1081" s="1" t="s">
        <v>37</v>
      </c>
      <c r="S1081">
        <v>46.295617</v>
      </c>
      <c r="T1081">
        <v>8.8089239999999993</v>
      </c>
      <c r="U1081" s="1" t="s">
        <v>99</v>
      </c>
      <c r="V1081">
        <v>21</v>
      </c>
      <c r="W1081">
        <v>38</v>
      </c>
      <c r="X1081">
        <v>4</v>
      </c>
      <c r="Y1081">
        <v>857.22</v>
      </c>
      <c r="Z1081">
        <v>79.445999999999998</v>
      </c>
    </row>
    <row r="1082" spans="1:26">
      <c r="A1082" s="2">
        <v>43940</v>
      </c>
      <c r="B1082" s="4">
        <v>0.54166666666666663</v>
      </c>
      <c r="C1082" s="1" t="s">
        <v>101</v>
      </c>
      <c r="D1082">
        <v>85</v>
      </c>
      <c r="E1082">
        <v>78</v>
      </c>
      <c r="F1082">
        <v>0</v>
      </c>
      <c r="G1082">
        <v>2</v>
      </c>
      <c r="J1082">
        <v>69</v>
      </c>
      <c r="K1082">
        <v>5</v>
      </c>
      <c r="L1082" s="1" t="s">
        <v>103</v>
      </c>
      <c r="N1082" s="1" t="s">
        <v>37</v>
      </c>
      <c r="P1082" s="1" t="s">
        <v>37</v>
      </c>
      <c r="R1082" s="1" t="s">
        <v>37</v>
      </c>
      <c r="S1082">
        <v>46.771849000000003</v>
      </c>
      <c r="T1082">
        <v>8.6285860000000003</v>
      </c>
      <c r="U1082" s="1" t="s">
        <v>102</v>
      </c>
      <c r="V1082">
        <v>4</v>
      </c>
      <c r="W1082">
        <v>0</v>
      </c>
      <c r="X1082">
        <v>0</v>
      </c>
      <c r="Y1082">
        <v>214.88</v>
      </c>
      <c r="Z1082">
        <v>13.773999999999999</v>
      </c>
    </row>
    <row r="1083" spans="1:26">
      <c r="A1083" s="2">
        <v>43940</v>
      </c>
      <c r="B1083" s="4">
        <v>0.125</v>
      </c>
      <c r="C1083" s="1" t="s">
        <v>104</v>
      </c>
      <c r="E1083">
        <v>4993</v>
      </c>
      <c r="F1083">
        <v>3</v>
      </c>
      <c r="G1083">
        <v>238</v>
      </c>
      <c r="H1083">
        <v>52</v>
      </c>
      <c r="J1083">
        <v>225</v>
      </c>
      <c r="K1083">
        <v>306</v>
      </c>
      <c r="L1083" s="1" t="s">
        <v>106</v>
      </c>
      <c r="N1083" s="1" t="s">
        <v>37</v>
      </c>
      <c r="P1083" s="1" t="s">
        <v>37</v>
      </c>
      <c r="R1083" s="1" t="s">
        <v>37</v>
      </c>
      <c r="S1083">
        <v>46.570090999999998</v>
      </c>
      <c r="T1083">
        <v>6.5578090000000007</v>
      </c>
      <c r="U1083" s="1" t="s">
        <v>105</v>
      </c>
      <c r="V1083">
        <v>22</v>
      </c>
      <c r="W1083">
        <v>21</v>
      </c>
      <c r="X1083">
        <v>4</v>
      </c>
      <c r="Y1083">
        <v>629.54999999999995</v>
      </c>
      <c r="Z1083">
        <v>38.582999999999998</v>
      </c>
    </row>
    <row r="1084" spans="1:26">
      <c r="A1084" s="2">
        <v>43940</v>
      </c>
      <c r="B1084" s="4">
        <v>0.625</v>
      </c>
      <c r="C1084" s="1" t="s">
        <v>107</v>
      </c>
      <c r="E1084">
        <v>1773</v>
      </c>
      <c r="F1084">
        <v>-2</v>
      </c>
      <c r="G1084">
        <v>81</v>
      </c>
      <c r="H1084">
        <v>17</v>
      </c>
      <c r="I1084">
        <v>9</v>
      </c>
      <c r="J1084">
        <v>204</v>
      </c>
      <c r="K1084">
        <v>107</v>
      </c>
      <c r="L1084" s="1" t="s">
        <v>412</v>
      </c>
      <c r="N1084" s="1" t="s">
        <v>37</v>
      </c>
      <c r="P1084" s="1" t="s">
        <v>37</v>
      </c>
      <c r="R1084" s="1" t="s">
        <v>37</v>
      </c>
      <c r="S1084">
        <v>46.209567</v>
      </c>
      <c r="T1084">
        <v>7.6046589999999998</v>
      </c>
      <c r="U1084" s="1" t="s">
        <v>108</v>
      </c>
      <c r="V1084">
        <v>23</v>
      </c>
      <c r="W1084">
        <v>7</v>
      </c>
      <c r="X1084">
        <v>3</v>
      </c>
      <c r="Y1084">
        <v>519.17999999999995</v>
      </c>
      <c r="Z1084">
        <v>31.332000000000001</v>
      </c>
    </row>
    <row r="1085" spans="1:26">
      <c r="A1085" s="2">
        <v>43940</v>
      </c>
      <c r="B1085" s="4">
        <v>0.33333333333333331</v>
      </c>
      <c r="C1085" s="1" t="s">
        <v>109</v>
      </c>
      <c r="E1085">
        <v>175</v>
      </c>
      <c r="F1085">
        <v>0</v>
      </c>
      <c r="G1085">
        <v>11</v>
      </c>
      <c r="H1085">
        <v>5</v>
      </c>
      <c r="J1085">
        <v>99</v>
      </c>
      <c r="K1085">
        <v>7</v>
      </c>
      <c r="L1085" s="1" t="s">
        <v>502</v>
      </c>
      <c r="N1085" s="1" t="s">
        <v>37</v>
      </c>
      <c r="P1085" s="1" t="s">
        <v>37</v>
      </c>
      <c r="R1085" s="1" t="s">
        <v>37</v>
      </c>
      <c r="S1085">
        <v>47.157296000000002</v>
      </c>
      <c r="T1085">
        <v>8.5372939999999993</v>
      </c>
      <c r="U1085" s="1" t="s">
        <v>110</v>
      </c>
      <c r="V1085">
        <v>9</v>
      </c>
      <c r="W1085">
        <v>0</v>
      </c>
      <c r="X1085">
        <v>0</v>
      </c>
      <c r="Y1085">
        <v>139.55000000000001</v>
      </c>
      <c r="Z1085">
        <v>5.5819999999999999</v>
      </c>
    </row>
    <row r="1086" spans="1:26">
      <c r="A1086" s="2">
        <v>43940</v>
      </c>
      <c r="B1086" s="4">
        <v>0.60416666666666663</v>
      </c>
      <c r="C1086" s="1" t="s">
        <v>111</v>
      </c>
      <c r="E1086">
        <v>3238</v>
      </c>
      <c r="F1086">
        <v>2</v>
      </c>
      <c r="G1086">
        <v>116</v>
      </c>
      <c r="I1086">
        <v>43</v>
      </c>
      <c r="K1086">
        <v>104</v>
      </c>
      <c r="L1086" s="1" t="s">
        <v>113</v>
      </c>
      <c r="N1086" s="1" t="s">
        <v>37</v>
      </c>
      <c r="P1086" s="1" t="s">
        <v>37</v>
      </c>
      <c r="R1086" s="1" t="s">
        <v>37</v>
      </c>
      <c r="S1086">
        <v>47.412750000000003</v>
      </c>
      <c r="T1086">
        <v>8.6550799999999999</v>
      </c>
      <c r="U1086" s="1" t="s">
        <v>112</v>
      </c>
      <c r="V1086">
        <v>1</v>
      </c>
      <c r="W1086">
        <v>27</v>
      </c>
      <c r="X1086">
        <v>0</v>
      </c>
      <c r="Y1086">
        <v>215.25</v>
      </c>
      <c r="Z1086">
        <v>6.9139999999999997</v>
      </c>
    </row>
    <row r="1087" spans="1:26">
      <c r="A1087" s="2">
        <v>43941</v>
      </c>
      <c r="B1087" s="4">
        <v>0.61458333333333337</v>
      </c>
      <c r="C1087" s="1" t="s">
        <v>35</v>
      </c>
      <c r="E1087">
        <v>1012</v>
      </c>
      <c r="F1087">
        <v>0</v>
      </c>
      <c r="G1087">
        <v>45</v>
      </c>
      <c r="H1087">
        <v>16</v>
      </c>
      <c r="I1087">
        <v>16</v>
      </c>
      <c r="J1087">
        <v>640</v>
      </c>
      <c r="K1087">
        <v>28</v>
      </c>
      <c r="L1087" s="1" t="s">
        <v>457</v>
      </c>
      <c r="N1087" s="1" t="s">
        <v>37</v>
      </c>
      <c r="P1087" s="1" t="s">
        <v>37</v>
      </c>
      <c r="R1087" s="1" t="s">
        <v>37</v>
      </c>
      <c r="S1087">
        <v>47.409660000000002</v>
      </c>
      <c r="T1087">
        <v>8.1568799999999992</v>
      </c>
      <c r="U1087" s="1" t="s">
        <v>36</v>
      </c>
      <c r="V1087">
        <v>1</v>
      </c>
      <c r="W1087">
        <v>9</v>
      </c>
      <c r="X1087">
        <v>3</v>
      </c>
      <c r="Y1087">
        <v>150.82</v>
      </c>
      <c r="Z1087">
        <v>4.173</v>
      </c>
    </row>
    <row r="1088" spans="1:26">
      <c r="A1088" s="2">
        <v>43941</v>
      </c>
      <c r="B1088" s="4">
        <v>0.45833333333333331</v>
      </c>
      <c r="C1088" s="1" t="s">
        <v>39</v>
      </c>
      <c r="E1088">
        <v>24</v>
      </c>
      <c r="F1088">
        <v>0</v>
      </c>
      <c r="G1088">
        <v>1</v>
      </c>
      <c r="L1088" s="1" t="s">
        <v>41</v>
      </c>
      <c r="N1088" s="1" t="s">
        <v>37</v>
      </c>
      <c r="P1088" s="1" t="s">
        <v>37</v>
      </c>
      <c r="R1088" s="1" t="s">
        <v>37</v>
      </c>
      <c r="S1088">
        <v>47.317264000000002</v>
      </c>
      <c r="T1088">
        <v>9.4167539999999992</v>
      </c>
      <c r="U1088" s="1" t="s">
        <v>40</v>
      </c>
      <c r="V1088">
        <v>16</v>
      </c>
      <c r="W1088">
        <v>0</v>
      </c>
      <c r="X1088">
        <v>0</v>
      </c>
      <c r="Y1088">
        <v>149.07</v>
      </c>
    </row>
    <row r="1089" spans="1:26">
      <c r="A1089" s="2">
        <v>43941</v>
      </c>
      <c r="B1089" s="4">
        <v>0.54166666666666663</v>
      </c>
      <c r="C1089" s="1" t="s">
        <v>42</v>
      </c>
      <c r="E1089">
        <v>86</v>
      </c>
      <c r="F1089">
        <v>0</v>
      </c>
      <c r="G1089">
        <v>6</v>
      </c>
      <c r="K1089">
        <v>3</v>
      </c>
      <c r="L1089" s="1" t="s">
        <v>44</v>
      </c>
      <c r="N1089" s="1" t="s">
        <v>37</v>
      </c>
      <c r="P1089" s="1" t="s">
        <v>37</v>
      </c>
      <c r="R1089" s="1" t="s">
        <v>37</v>
      </c>
      <c r="S1089">
        <v>47.416351999999996</v>
      </c>
      <c r="T1089">
        <v>9.3679100000000002</v>
      </c>
      <c r="U1089" s="1" t="s">
        <v>43</v>
      </c>
      <c r="V1089">
        <v>15</v>
      </c>
      <c r="W1089">
        <v>4</v>
      </c>
      <c r="X1089">
        <v>0</v>
      </c>
      <c r="Y1089">
        <v>155.80000000000001</v>
      </c>
      <c r="Z1089">
        <v>5.4349999999999996</v>
      </c>
    </row>
    <row r="1090" spans="1:26">
      <c r="A1090" s="2">
        <v>43941</v>
      </c>
      <c r="B1090" s="4">
        <v>0.33333333333333331</v>
      </c>
      <c r="C1090" s="1" t="s">
        <v>45</v>
      </c>
      <c r="E1090">
        <v>1613</v>
      </c>
      <c r="F1090">
        <v>-7</v>
      </c>
      <c r="G1090">
        <v>71</v>
      </c>
      <c r="H1090">
        <v>19</v>
      </c>
      <c r="I1090">
        <v>11</v>
      </c>
      <c r="K1090">
        <v>73</v>
      </c>
      <c r="L1090" s="1" t="s">
        <v>47</v>
      </c>
      <c r="N1090" s="1" t="s">
        <v>37</v>
      </c>
      <c r="P1090" s="1" t="s">
        <v>37</v>
      </c>
      <c r="R1090" s="1" t="s">
        <v>37</v>
      </c>
      <c r="S1090">
        <v>46.823608</v>
      </c>
      <c r="T1090">
        <v>7.6366670000000001</v>
      </c>
      <c r="U1090" s="1" t="s">
        <v>46</v>
      </c>
      <c r="V1090">
        <v>2</v>
      </c>
      <c r="W1090">
        <v>14</v>
      </c>
      <c r="X1090">
        <v>4</v>
      </c>
      <c r="Y1090">
        <v>156.43</v>
      </c>
      <c r="Z1090">
        <v>7.08</v>
      </c>
    </row>
    <row r="1091" spans="1:26">
      <c r="A1091" s="2">
        <v>43941</v>
      </c>
      <c r="B1091" s="4">
        <v>0.125</v>
      </c>
      <c r="C1091" s="1" t="s">
        <v>48</v>
      </c>
      <c r="E1091">
        <v>806</v>
      </c>
      <c r="F1091">
        <v>0</v>
      </c>
      <c r="G1091">
        <v>40</v>
      </c>
      <c r="H1091">
        <v>6</v>
      </c>
      <c r="I1091">
        <v>3</v>
      </c>
      <c r="J1091">
        <v>664</v>
      </c>
      <c r="K1091">
        <v>25</v>
      </c>
      <c r="L1091" s="1" t="s">
        <v>50</v>
      </c>
      <c r="N1091" s="1" t="s">
        <v>37</v>
      </c>
      <c r="P1091" s="1" t="s">
        <v>37</v>
      </c>
      <c r="R1091" s="1" t="s">
        <v>37</v>
      </c>
      <c r="S1091">
        <v>47.45176</v>
      </c>
      <c r="T1091">
        <v>7.7024140000000001</v>
      </c>
      <c r="U1091" s="1" t="s">
        <v>49</v>
      </c>
      <c r="V1091">
        <v>13</v>
      </c>
      <c r="W1091">
        <v>3</v>
      </c>
      <c r="X1091">
        <v>0</v>
      </c>
      <c r="Y1091">
        <v>280.83999999999997</v>
      </c>
      <c r="Z1091">
        <v>8.7110000000000003</v>
      </c>
    </row>
    <row r="1092" spans="1:26">
      <c r="A1092" s="2">
        <v>43941</v>
      </c>
      <c r="B1092" s="4">
        <v>0.39583333333333331</v>
      </c>
      <c r="C1092" s="1" t="s">
        <v>51</v>
      </c>
      <c r="D1092">
        <v>235</v>
      </c>
      <c r="E1092">
        <v>933</v>
      </c>
      <c r="F1092">
        <v>0</v>
      </c>
      <c r="G1092">
        <v>68</v>
      </c>
      <c r="H1092">
        <v>7</v>
      </c>
      <c r="J1092">
        <v>770</v>
      </c>
      <c r="K1092">
        <v>42</v>
      </c>
      <c r="L1092" s="1" t="s">
        <v>458</v>
      </c>
      <c r="M1092">
        <v>509</v>
      </c>
      <c r="N1092" s="1" t="s">
        <v>37</v>
      </c>
      <c r="P1092" s="1" t="s">
        <v>37</v>
      </c>
      <c r="R1092" s="1" t="s">
        <v>37</v>
      </c>
      <c r="S1092">
        <v>47.564869000000002</v>
      </c>
      <c r="T1092">
        <v>7.615259</v>
      </c>
      <c r="U1092" s="1" t="s">
        <v>52</v>
      </c>
      <c r="V1092">
        <v>12</v>
      </c>
      <c r="W1092">
        <v>1</v>
      </c>
      <c r="X1092">
        <v>2</v>
      </c>
      <c r="Y1092">
        <v>481.18</v>
      </c>
      <c r="Z1092">
        <v>21.661000000000001</v>
      </c>
    </row>
    <row r="1093" spans="1:26">
      <c r="A1093" s="2">
        <v>43941</v>
      </c>
      <c r="B1093" s="4">
        <v>0.125</v>
      </c>
      <c r="C1093" s="1" t="s">
        <v>54</v>
      </c>
      <c r="D1093">
        <v>900</v>
      </c>
      <c r="E1093">
        <v>81</v>
      </c>
      <c r="F1093">
        <v>0</v>
      </c>
      <c r="J1093">
        <v>1</v>
      </c>
      <c r="K1093">
        <v>1</v>
      </c>
      <c r="L1093" s="1" t="s">
        <v>459</v>
      </c>
      <c r="N1093" s="1" t="s">
        <v>37</v>
      </c>
      <c r="P1093" s="1" t="s">
        <v>37</v>
      </c>
      <c r="R1093" s="1" t="s">
        <v>37</v>
      </c>
      <c r="S1093">
        <v>47.166666999999997</v>
      </c>
      <c r="T1093">
        <v>9.509722</v>
      </c>
      <c r="U1093" s="1" t="s">
        <v>55</v>
      </c>
      <c r="V1093">
        <v>0</v>
      </c>
      <c r="W1093">
        <v>0</v>
      </c>
      <c r="X1093">
        <v>0</v>
      </c>
      <c r="Y1093">
        <v>209.84</v>
      </c>
      <c r="Z1093">
        <v>2.5910000000000002</v>
      </c>
    </row>
    <row r="1094" spans="1:26">
      <c r="A1094" s="2">
        <v>43941</v>
      </c>
      <c r="B1094" s="4">
        <v>0.125</v>
      </c>
      <c r="C1094" s="1" t="s">
        <v>57</v>
      </c>
      <c r="D1094">
        <v>30</v>
      </c>
      <c r="E1094">
        <v>989</v>
      </c>
      <c r="F1094">
        <v>1</v>
      </c>
      <c r="G1094">
        <v>62</v>
      </c>
      <c r="H1094">
        <v>11</v>
      </c>
      <c r="J1094">
        <v>113</v>
      </c>
      <c r="K1094">
        <v>72</v>
      </c>
      <c r="L1094" s="1" t="s">
        <v>59</v>
      </c>
      <c r="N1094" s="1" t="s">
        <v>37</v>
      </c>
      <c r="P1094" s="1" t="s">
        <v>37</v>
      </c>
      <c r="R1094" s="1" t="s">
        <v>37</v>
      </c>
      <c r="S1094">
        <v>46.718390999999997</v>
      </c>
      <c r="T1094">
        <v>7.0740080000000001</v>
      </c>
      <c r="U1094" s="1" t="s">
        <v>58</v>
      </c>
      <c r="V1094">
        <v>10</v>
      </c>
      <c r="W1094">
        <v>9</v>
      </c>
      <c r="X1094">
        <v>1</v>
      </c>
      <c r="Y1094">
        <v>313.87</v>
      </c>
      <c r="Z1094">
        <v>22.85</v>
      </c>
    </row>
    <row r="1095" spans="1:26">
      <c r="A1095" s="2">
        <v>43941</v>
      </c>
      <c r="B1095" s="4">
        <v>0.125</v>
      </c>
      <c r="C1095" s="1" t="s">
        <v>60</v>
      </c>
      <c r="D1095">
        <v>22493</v>
      </c>
      <c r="E1095">
        <v>4694</v>
      </c>
      <c r="F1095">
        <v>6</v>
      </c>
      <c r="G1095">
        <v>321</v>
      </c>
      <c r="H1095">
        <v>34</v>
      </c>
      <c r="I1095">
        <v>29</v>
      </c>
      <c r="J1095">
        <v>561</v>
      </c>
      <c r="K1095">
        <v>202</v>
      </c>
      <c r="L1095" s="1" t="s">
        <v>62</v>
      </c>
      <c r="N1095" s="1" t="s">
        <v>37</v>
      </c>
      <c r="P1095" s="1" t="s">
        <v>37</v>
      </c>
      <c r="Q1095">
        <v>20</v>
      </c>
      <c r="R1095" s="1" t="s">
        <v>37</v>
      </c>
      <c r="S1095">
        <v>46.220528000000002</v>
      </c>
      <c r="T1095">
        <v>6.1329349999999998</v>
      </c>
      <c r="U1095" s="1" t="s">
        <v>61</v>
      </c>
      <c r="V1095">
        <v>25</v>
      </c>
      <c r="W1095">
        <v>29</v>
      </c>
      <c r="X1095">
        <v>1</v>
      </c>
      <c r="Y1095">
        <v>947.9</v>
      </c>
      <c r="Z1095">
        <v>40.792000000000002</v>
      </c>
    </row>
    <row r="1096" spans="1:26">
      <c r="A1096" s="2">
        <v>43941</v>
      </c>
      <c r="B1096" s="4">
        <v>0.54166666666666663</v>
      </c>
      <c r="C1096" s="1" t="s">
        <v>63</v>
      </c>
      <c r="E1096">
        <v>114</v>
      </c>
      <c r="F1096">
        <v>1</v>
      </c>
      <c r="G1096">
        <v>5</v>
      </c>
      <c r="K1096">
        <v>5</v>
      </c>
      <c r="L1096" s="1" t="s">
        <v>65</v>
      </c>
      <c r="N1096" s="1" t="s">
        <v>37</v>
      </c>
      <c r="P1096" s="1" t="s">
        <v>37</v>
      </c>
      <c r="R1096" s="1" t="s">
        <v>37</v>
      </c>
      <c r="S1096">
        <v>46.931042000000005</v>
      </c>
      <c r="T1096">
        <v>9.0657510000000006</v>
      </c>
      <c r="U1096" s="1" t="s">
        <v>64</v>
      </c>
      <c r="V1096">
        <v>8</v>
      </c>
      <c r="W1096">
        <v>6</v>
      </c>
      <c r="X1096">
        <v>2</v>
      </c>
      <c r="Y1096">
        <v>282.88</v>
      </c>
      <c r="Z1096">
        <v>12.407</v>
      </c>
    </row>
    <row r="1097" spans="1:26">
      <c r="A1097" s="2">
        <v>43941</v>
      </c>
      <c r="B1097" s="4">
        <v>0.125</v>
      </c>
      <c r="C1097" s="1" t="s">
        <v>66</v>
      </c>
      <c r="E1097">
        <v>778</v>
      </c>
      <c r="F1097">
        <v>1</v>
      </c>
      <c r="G1097">
        <v>29</v>
      </c>
      <c r="K1097">
        <v>40</v>
      </c>
      <c r="L1097" s="1" t="s">
        <v>68</v>
      </c>
      <c r="N1097" s="1" t="s">
        <v>37</v>
      </c>
      <c r="P1097" s="1" t="s">
        <v>37</v>
      </c>
      <c r="R1097" s="1" t="s">
        <v>37</v>
      </c>
      <c r="S1097">
        <v>46.656247999999998</v>
      </c>
      <c r="T1097">
        <v>9.6281979999999994</v>
      </c>
      <c r="U1097" s="1" t="s">
        <v>67</v>
      </c>
      <c r="V1097">
        <v>1</v>
      </c>
      <c r="W1097">
        <v>9</v>
      </c>
      <c r="X1097">
        <v>0</v>
      </c>
      <c r="Y1097">
        <v>393.13</v>
      </c>
      <c r="Z1097">
        <v>20.212</v>
      </c>
    </row>
    <row r="1098" spans="1:26">
      <c r="A1098" s="2">
        <v>43941</v>
      </c>
      <c r="B1098" s="4">
        <v>0.66666666666666663</v>
      </c>
      <c r="C1098" s="1" t="s">
        <v>69</v>
      </c>
      <c r="E1098">
        <v>195</v>
      </c>
      <c r="F1098">
        <v>-2</v>
      </c>
      <c r="G1098">
        <v>14</v>
      </c>
      <c r="H1098">
        <v>4</v>
      </c>
      <c r="K1098">
        <v>6</v>
      </c>
      <c r="L1098" s="1" t="s">
        <v>446</v>
      </c>
      <c r="N1098" s="1" t="s">
        <v>37</v>
      </c>
      <c r="P1098" s="1" t="s">
        <v>37</v>
      </c>
      <c r="R1098" s="1" t="s">
        <v>37</v>
      </c>
      <c r="S1098">
        <v>47.350743999999999</v>
      </c>
      <c r="T1098">
        <v>7.1561070000000004</v>
      </c>
      <c r="U1098" s="1" t="s">
        <v>70</v>
      </c>
      <c r="V1098">
        <v>26</v>
      </c>
      <c r="W1098">
        <v>3</v>
      </c>
      <c r="X1098">
        <v>1</v>
      </c>
      <c r="Y1098">
        <v>266.02999999999997</v>
      </c>
      <c r="Z1098">
        <v>8.1859999999999999</v>
      </c>
    </row>
    <row r="1099" spans="1:26">
      <c r="A1099" s="2">
        <v>43941</v>
      </c>
      <c r="B1099" s="4">
        <v>0.45833333333333331</v>
      </c>
      <c r="C1099" s="1" t="s">
        <v>71</v>
      </c>
      <c r="E1099">
        <v>633</v>
      </c>
      <c r="F1099">
        <v>7</v>
      </c>
      <c r="G1099">
        <v>33</v>
      </c>
      <c r="H1099">
        <v>5</v>
      </c>
      <c r="K1099">
        <v>15</v>
      </c>
      <c r="L1099" s="1" t="s">
        <v>73</v>
      </c>
      <c r="N1099" s="1" t="s">
        <v>37</v>
      </c>
      <c r="P1099" s="1" t="s">
        <v>37</v>
      </c>
      <c r="R1099" s="1" t="s">
        <v>37</v>
      </c>
      <c r="S1099">
        <v>47.067762999999999</v>
      </c>
      <c r="T1099">
        <v>8.1102000000000007</v>
      </c>
      <c r="U1099" s="1" t="s">
        <v>72</v>
      </c>
      <c r="V1099">
        <v>3</v>
      </c>
      <c r="W1099">
        <v>7</v>
      </c>
      <c r="X1099">
        <v>0</v>
      </c>
      <c r="Y1099">
        <v>155.72</v>
      </c>
      <c r="Z1099">
        <v>3.69</v>
      </c>
    </row>
    <row r="1100" spans="1:26">
      <c r="A1100" s="2">
        <v>43941</v>
      </c>
      <c r="B1100" s="4">
        <v>0.66666666666666663</v>
      </c>
      <c r="C1100" s="1" t="s">
        <v>74</v>
      </c>
      <c r="E1100">
        <v>651</v>
      </c>
      <c r="F1100">
        <v>1</v>
      </c>
      <c r="G1100">
        <v>44</v>
      </c>
      <c r="H1100">
        <v>10</v>
      </c>
      <c r="I1100">
        <v>5</v>
      </c>
      <c r="K1100">
        <v>56</v>
      </c>
      <c r="L1100" s="1" t="s">
        <v>76</v>
      </c>
      <c r="N1100" s="1" t="s">
        <v>37</v>
      </c>
      <c r="P1100" s="1" t="s">
        <v>37</v>
      </c>
      <c r="R1100" s="1" t="s">
        <v>37</v>
      </c>
      <c r="S1100">
        <v>46.995533999999999</v>
      </c>
      <c r="T1100">
        <v>6.7801260000000001</v>
      </c>
      <c r="U1100" s="1" t="s">
        <v>75</v>
      </c>
      <c r="V1100">
        <v>24</v>
      </c>
      <c r="W1100">
        <v>11</v>
      </c>
      <c r="X1100">
        <v>0</v>
      </c>
      <c r="Y1100">
        <v>365.73</v>
      </c>
      <c r="Z1100">
        <v>31.460999999999999</v>
      </c>
    </row>
    <row r="1101" spans="1:26">
      <c r="A1101" s="2">
        <v>43941</v>
      </c>
      <c r="B1101" s="4">
        <v>0.125</v>
      </c>
      <c r="C1101" s="1" t="s">
        <v>77</v>
      </c>
      <c r="E1101">
        <v>108</v>
      </c>
      <c r="F1101">
        <v>0</v>
      </c>
      <c r="G1101">
        <v>4</v>
      </c>
      <c r="H1101">
        <v>2</v>
      </c>
      <c r="K1101">
        <v>3</v>
      </c>
      <c r="L1101" s="1" t="s">
        <v>463</v>
      </c>
      <c r="N1101" s="1" t="s">
        <v>37</v>
      </c>
      <c r="P1101" s="1" t="s">
        <v>37</v>
      </c>
      <c r="R1101" s="1" t="s">
        <v>37</v>
      </c>
      <c r="S1101">
        <v>46.926755</v>
      </c>
      <c r="T1101">
        <v>8.4053020000000007</v>
      </c>
      <c r="U1101" s="1" t="s">
        <v>78</v>
      </c>
      <c r="V1101">
        <v>7</v>
      </c>
      <c r="W1101">
        <v>0</v>
      </c>
      <c r="X1101">
        <v>0</v>
      </c>
      <c r="Y1101">
        <v>251.16</v>
      </c>
      <c r="Z1101">
        <v>6.9770000000000003</v>
      </c>
    </row>
    <row r="1102" spans="1:26">
      <c r="A1102" s="2">
        <v>43941</v>
      </c>
      <c r="B1102" s="4">
        <v>0.625</v>
      </c>
      <c r="C1102" s="1" t="s">
        <v>80</v>
      </c>
      <c r="D1102">
        <v>6</v>
      </c>
      <c r="E1102">
        <v>67</v>
      </c>
      <c r="F1102">
        <v>0</v>
      </c>
      <c r="G1102">
        <v>0</v>
      </c>
      <c r="J1102">
        <v>1</v>
      </c>
      <c r="K1102">
        <v>0</v>
      </c>
      <c r="L1102" s="1" t="s">
        <v>82</v>
      </c>
      <c r="N1102" s="1" t="s">
        <v>37</v>
      </c>
      <c r="P1102" s="1" t="s">
        <v>37</v>
      </c>
      <c r="R1102" s="1" t="s">
        <v>37</v>
      </c>
      <c r="S1102">
        <v>46.804527</v>
      </c>
      <c r="T1102">
        <v>8.1443170000000009</v>
      </c>
      <c r="U1102" s="1" t="s">
        <v>81</v>
      </c>
      <c r="V1102">
        <v>6</v>
      </c>
      <c r="W1102">
        <v>1</v>
      </c>
      <c r="X1102">
        <v>0</v>
      </c>
      <c r="Y1102">
        <v>178.19</v>
      </c>
      <c r="Z1102">
        <v>0</v>
      </c>
    </row>
    <row r="1103" spans="1:26">
      <c r="A1103" s="2">
        <v>43941</v>
      </c>
      <c r="B1103" s="4">
        <v>0.125</v>
      </c>
      <c r="C1103" s="1" t="s">
        <v>83</v>
      </c>
      <c r="E1103">
        <v>711</v>
      </c>
      <c r="F1103">
        <v>-3</v>
      </c>
      <c r="G1103">
        <v>42</v>
      </c>
      <c r="H1103">
        <v>7</v>
      </c>
      <c r="J1103">
        <v>159</v>
      </c>
      <c r="K1103">
        <v>27</v>
      </c>
      <c r="L1103" s="1" t="s">
        <v>85</v>
      </c>
      <c r="N1103" s="1" t="s">
        <v>37</v>
      </c>
      <c r="P1103" s="1" t="s">
        <v>37</v>
      </c>
      <c r="R1103" s="1" t="s">
        <v>37</v>
      </c>
      <c r="S1103">
        <v>47.183199999999999</v>
      </c>
      <c r="T1103">
        <v>9.2747440000000001</v>
      </c>
      <c r="U1103" s="1" t="s">
        <v>84</v>
      </c>
      <c r="V1103">
        <v>17</v>
      </c>
      <c r="W1103">
        <v>6</v>
      </c>
      <c r="X1103">
        <v>0</v>
      </c>
      <c r="Y1103">
        <v>140.88</v>
      </c>
      <c r="Z1103">
        <v>5.35</v>
      </c>
    </row>
    <row r="1104" spans="1:26">
      <c r="A1104" s="2">
        <v>43941</v>
      </c>
      <c r="B1104" s="4">
        <v>0.39583333333333331</v>
      </c>
      <c r="C1104" s="1" t="s">
        <v>86</v>
      </c>
      <c r="E1104">
        <v>63</v>
      </c>
      <c r="F1104">
        <v>0</v>
      </c>
      <c r="G1104">
        <v>6</v>
      </c>
      <c r="H1104">
        <v>2</v>
      </c>
      <c r="K1104">
        <v>1</v>
      </c>
      <c r="L1104" s="1" t="s">
        <v>88</v>
      </c>
      <c r="N1104" s="1" t="s">
        <v>37</v>
      </c>
      <c r="P1104" s="1" t="s">
        <v>37</v>
      </c>
      <c r="R1104" s="1" t="s">
        <v>37</v>
      </c>
      <c r="S1104">
        <v>47.713569999999997</v>
      </c>
      <c r="T1104">
        <v>8.5916700000000006</v>
      </c>
      <c r="U1104" s="1" t="s">
        <v>87</v>
      </c>
      <c r="V1104">
        <v>14</v>
      </c>
      <c r="W1104">
        <v>1</v>
      </c>
      <c r="X1104">
        <v>0</v>
      </c>
      <c r="Y1104">
        <v>77.400000000000006</v>
      </c>
      <c r="Z1104">
        <v>1.2290000000000001</v>
      </c>
    </row>
    <row r="1105" spans="1:26">
      <c r="A1105" s="2">
        <v>43941</v>
      </c>
      <c r="B1105" s="4">
        <v>0.125</v>
      </c>
      <c r="C1105" s="1" t="s">
        <v>89</v>
      </c>
      <c r="E1105">
        <v>355</v>
      </c>
      <c r="F1105">
        <v>0</v>
      </c>
      <c r="G1105">
        <v>19</v>
      </c>
      <c r="K1105">
        <v>11</v>
      </c>
      <c r="L1105" s="1" t="s">
        <v>91</v>
      </c>
      <c r="N1105" s="1" t="s">
        <v>37</v>
      </c>
      <c r="P1105" s="1" t="s">
        <v>37</v>
      </c>
      <c r="R1105" s="1" t="s">
        <v>37</v>
      </c>
      <c r="S1105">
        <v>47.304135000000002</v>
      </c>
      <c r="T1105">
        <v>7.6393880000000003</v>
      </c>
      <c r="U1105" s="1" t="s">
        <v>90</v>
      </c>
      <c r="V1105">
        <v>11</v>
      </c>
      <c r="W1105">
        <v>0</v>
      </c>
      <c r="X1105">
        <v>0</v>
      </c>
      <c r="Y1105">
        <v>130.80000000000001</v>
      </c>
      <c r="Z1105">
        <v>4.0529999999999999</v>
      </c>
    </row>
    <row r="1106" spans="1:26">
      <c r="A1106" s="2">
        <v>43941</v>
      </c>
      <c r="B1106" s="4">
        <v>0.37083333333333335</v>
      </c>
      <c r="C1106" s="1" t="s">
        <v>92</v>
      </c>
      <c r="D1106">
        <v>10</v>
      </c>
      <c r="E1106">
        <v>272</v>
      </c>
      <c r="F1106">
        <v>0</v>
      </c>
      <c r="G1106">
        <v>1</v>
      </c>
      <c r="J1106">
        <v>180</v>
      </c>
      <c r="K1106">
        <v>15</v>
      </c>
      <c r="L1106" s="1" t="s">
        <v>460</v>
      </c>
      <c r="N1106" s="1" t="s">
        <v>37</v>
      </c>
      <c r="P1106" s="1" t="s">
        <v>37</v>
      </c>
      <c r="R1106" s="1" t="s">
        <v>37</v>
      </c>
      <c r="S1106">
        <v>47.061787000000002</v>
      </c>
      <c r="T1106">
        <v>8.7565849999999994</v>
      </c>
      <c r="U1106" s="1" t="s">
        <v>93</v>
      </c>
      <c r="V1106">
        <v>5</v>
      </c>
      <c r="W1106">
        <v>4</v>
      </c>
      <c r="X1106">
        <v>0</v>
      </c>
      <c r="Y1106">
        <v>172.92</v>
      </c>
      <c r="Z1106">
        <v>9.5359999999999996</v>
      </c>
    </row>
    <row r="1107" spans="1:26">
      <c r="A1107" s="2">
        <v>43941</v>
      </c>
      <c r="B1107" s="4">
        <v>0.125</v>
      </c>
      <c r="C1107" s="1" t="s">
        <v>95</v>
      </c>
      <c r="D1107">
        <v>276</v>
      </c>
      <c r="E1107">
        <v>335</v>
      </c>
      <c r="F1107">
        <v>1</v>
      </c>
      <c r="G1107">
        <v>24</v>
      </c>
      <c r="H1107">
        <v>12</v>
      </c>
      <c r="K1107">
        <v>13</v>
      </c>
      <c r="L1107" s="1" t="s">
        <v>97</v>
      </c>
      <c r="N1107" s="1" t="s">
        <v>37</v>
      </c>
      <c r="P1107" s="1" t="s">
        <v>37</v>
      </c>
      <c r="R1107" s="1" t="s">
        <v>37</v>
      </c>
      <c r="S1107">
        <v>47.568714999999997</v>
      </c>
      <c r="T1107">
        <v>9.0919570000000007</v>
      </c>
      <c r="U1107" s="1" t="s">
        <v>96</v>
      </c>
      <c r="V1107">
        <v>1</v>
      </c>
      <c r="W1107">
        <v>2</v>
      </c>
      <c r="X1107">
        <v>0</v>
      </c>
      <c r="Y1107">
        <v>122.35</v>
      </c>
      <c r="Z1107">
        <v>4.7480000000000002</v>
      </c>
    </row>
    <row r="1108" spans="1:26">
      <c r="A1108" s="2">
        <v>43941</v>
      </c>
      <c r="B1108" s="4">
        <v>0.33333333333333331</v>
      </c>
      <c r="C1108" s="1" t="s">
        <v>98</v>
      </c>
      <c r="E1108">
        <v>3058</v>
      </c>
      <c r="F1108">
        <v>0</v>
      </c>
      <c r="G1108">
        <v>237</v>
      </c>
      <c r="H1108">
        <v>54</v>
      </c>
      <c r="I1108">
        <v>42</v>
      </c>
      <c r="J1108">
        <v>616</v>
      </c>
      <c r="K1108">
        <v>288</v>
      </c>
      <c r="L1108" s="1" t="s">
        <v>461</v>
      </c>
      <c r="N1108" s="1" t="s">
        <v>37</v>
      </c>
      <c r="P1108" s="1" t="s">
        <v>37</v>
      </c>
      <c r="R1108" s="1" t="s">
        <v>37</v>
      </c>
      <c r="S1108">
        <v>46.295617</v>
      </c>
      <c r="T1108">
        <v>8.8089239999999993</v>
      </c>
      <c r="U1108" s="1" t="s">
        <v>99</v>
      </c>
      <c r="V1108">
        <v>21</v>
      </c>
      <c r="W1108">
        <v>26</v>
      </c>
      <c r="X1108">
        <v>7</v>
      </c>
      <c r="Y1108">
        <v>864.57</v>
      </c>
      <c r="Z1108">
        <v>81.424999999999997</v>
      </c>
    </row>
    <row r="1109" spans="1:26">
      <c r="A1109" s="2">
        <v>43941</v>
      </c>
      <c r="B1109" s="4">
        <v>0.58333333333333337</v>
      </c>
      <c r="C1109" s="1" t="s">
        <v>101</v>
      </c>
      <c r="D1109">
        <v>85</v>
      </c>
      <c r="E1109">
        <v>78</v>
      </c>
      <c r="F1109">
        <v>0</v>
      </c>
      <c r="G1109">
        <v>2</v>
      </c>
      <c r="J1109">
        <v>69</v>
      </c>
      <c r="K1109">
        <v>5</v>
      </c>
      <c r="L1109" s="1" t="s">
        <v>103</v>
      </c>
      <c r="N1109" s="1" t="s">
        <v>37</v>
      </c>
      <c r="P1109" s="1" t="s">
        <v>37</v>
      </c>
      <c r="R1109" s="1" t="s">
        <v>37</v>
      </c>
      <c r="S1109">
        <v>46.771849000000003</v>
      </c>
      <c r="T1109">
        <v>8.6285860000000003</v>
      </c>
      <c r="U1109" s="1" t="s">
        <v>102</v>
      </c>
      <c r="V1109">
        <v>4</v>
      </c>
      <c r="W1109">
        <v>0</v>
      </c>
      <c r="X1109">
        <v>0</v>
      </c>
      <c r="Y1109">
        <v>214.88</v>
      </c>
      <c r="Z1109">
        <v>13.773999999999999</v>
      </c>
    </row>
    <row r="1110" spans="1:26">
      <c r="A1110" s="2">
        <v>43941</v>
      </c>
      <c r="B1110" s="4">
        <v>0.125</v>
      </c>
      <c r="C1110" s="1" t="s">
        <v>104</v>
      </c>
      <c r="E1110">
        <v>5007</v>
      </c>
      <c r="F1110">
        <v>-17</v>
      </c>
      <c r="G1110">
        <v>221</v>
      </c>
      <c r="H1110">
        <v>48</v>
      </c>
      <c r="J1110">
        <v>225</v>
      </c>
      <c r="K1110">
        <v>315</v>
      </c>
      <c r="L1110" s="1" t="s">
        <v>106</v>
      </c>
      <c r="N1110" s="1" t="s">
        <v>37</v>
      </c>
      <c r="P1110" s="1" t="s">
        <v>37</v>
      </c>
      <c r="R1110" s="1" t="s">
        <v>37</v>
      </c>
      <c r="S1110">
        <v>46.570090999999998</v>
      </c>
      <c r="T1110">
        <v>6.5578090000000007</v>
      </c>
      <c r="U1110" s="1" t="s">
        <v>105</v>
      </c>
      <c r="V1110">
        <v>22</v>
      </c>
      <c r="W1110">
        <v>14</v>
      </c>
      <c r="X1110">
        <v>9</v>
      </c>
      <c r="Y1110">
        <v>631.32000000000005</v>
      </c>
      <c r="Z1110">
        <v>39.718000000000004</v>
      </c>
    </row>
    <row r="1111" spans="1:26">
      <c r="A1111" s="2">
        <v>43941</v>
      </c>
      <c r="B1111" s="4">
        <v>0.625</v>
      </c>
      <c r="C1111" s="1" t="s">
        <v>107</v>
      </c>
      <c r="E1111">
        <v>1786</v>
      </c>
      <c r="F1111">
        <v>-4</v>
      </c>
      <c r="G1111">
        <v>77</v>
      </c>
      <c r="H1111">
        <v>16</v>
      </c>
      <c r="I1111">
        <v>9</v>
      </c>
      <c r="J1111">
        <v>206</v>
      </c>
      <c r="K1111">
        <v>110</v>
      </c>
      <c r="L1111" s="1" t="s">
        <v>412</v>
      </c>
      <c r="N1111" s="1" t="s">
        <v>37</v>
      </c>
      <c r="P1111" s="1" t="s">
        <v>37</v>
      </c>
      <c r="R1111" s="1" t="s">
        <v>37</v>
      </c>
      <c r="S1111">
        <v>46.209567</v>
      </c>
      <c r="T1111">
        <v>7.6046589999999998</v>
      </c>
      <c r="U1111" s="1" t="s">
        <v>108</v>
      </c>
      <c r="V1111">
        <v>23</v>
      </c>
      <c r="W1111">
        <v>13</v>
      </c>
      <c r="X1111">
        <v>3</v>
      </c>
      <c r="Y1111">
        <v>522.99</v>
      </c>
      <c r="Z1111">
        <v>32.210999999999999</v>
      </c>
    </row>
    <row r="1112" spans="1:26">
      <c r="A1112" s="2">
        <v>43941</v>
      </c>
      <c r="B1112" s="4">
        <v>0.33333333333333331</v>
      </c>
      <c r="C1112" s="1" t="s">
        <v>109</v>
      </c>
      <c r="E1112">
        <v>176</v>
      </c>
      <c r="F1112">
        <v>-2</v>
      </c>
      <c r="G1112">
        <v>9</v>
      </c>
      <c r="H1112">
        <v>4</v>
      </c>
      <c r="J1112">
        <v>99</v>
      </c>
      <c r="K1112">
        <v>8</v>
      </c>
      <c r="L1112" s="1" t="s">
        <v>502</v>
      </c>
      <c r="N1112" s="1" t="s">
        <v>37</v>
      </c>
      <c r="P1112" s="1" t="s">
        <v>37</v>
      </c>
      <c r="R1112" s="1" t="s">
        <v>37</v>
      </c>
      <c r="S1112">
        <v>47.157296000000002</v>
      </c>
      <c r="T1112">
        <v>8.5372939999999993</v>
      </c>
      <c r="U1112" s="1" t="s">
        <v>110</v>
      </c>
      <c r="V1112">
        <v>9</v>
      </c>
      <c r="W1112">
        <v>1</v>
      </c>
      <c r="X1112">
        <v>1</v>
      </c>
      <c r="Y1112">
        <v>140.35</v>
      </c>
      <c r="Z1112">
        <v>6.38</v>
      </c>
    </row>
    <row r="1113" spans="1:26">
      <c r="A1113" s="2">
        <v>43941</v>
      </c>
      <c r="B1113" s="4">
        <v>0.60416666666666663</v>
      </c>
      <c r="C1113" s="1" t="s">
        <v>111</v>
      </c>
      <c r="E1113">
        <v>3254</v>
      </c>
      <c r="F1113">
        <v>5</v>
      </c>
      <c r="G1113">
        <v>121</v>
      </c>
      <c r="I1113">
        <v>43</v>
      </c>
      <c r="K1113">
        <v>106</v>
      </c>
      <c r="L1113" s="1" t="s">
        <v>113</v>
      </c>
      <c r="N1113" s="1" t="s">
        <v>37</v>
      </c>
      <c r="P1113" s="1" t="s">
        <v>37</v>
      </c>
      <c r="R1113" s="1" t="s">
        <v>37</v>
      </c>
      <c r="S1113">
        <v>47.412750000000003</v>
      </c>
      <c r="T1113">
        <v>8.6550799999999999</v>
      </c>
      <c r="U1113" s="1" t="s">
        <v>112</v>
      </c>
      <c r="V1113">
        <v>1</v>
      </c>
      <c r="W1113">
        <v>16</v>
      </c>
      <c r="X1113">
        <v>2</v>
      </c>
      <c r="Y1113">
        <v>216.31</v>
      </c>
      <c r="Z1113">
        <v>7.0460000000000003</v>
      </c>
    </row>
    <row r="1114" spans="1:26">
      <c r="A1114" s="2">
        <v>43942</v>
      </c>
      <c r="B1114" s="4">
        <v>0.61458333333333337</v>
      </c>
      <c r="C1114" s="1" t="s">
        <v>35</v>
      </c>
      <c r="E1114">
        <v>1017</v>
      </c>
      <c r="F1114">
        <v>-2</v>
      </c>
      <c r="G1114">
        <v>43</v>
      </c>
      <c r="H1114">
        <v>18</v>
      </c>
      <c r="I1114">
        <v>18</v>
      </c>
      <c r="J1114">
        <v>680</v>
      </c>
      <c r="K1114">
        <v>29</v>
      </c>
      <c r="L1114" s="1" t="s">
        <v>481</v>
      </c>
      <c r="N1114" s="1" t="s">
        <v>37</v>
      </c>
      <c r="P1114" s="1" t="s">
        <v>37</v>
      </c>
      <c r="R1114" s="1" t="s">
        <v>37</v>
      </c>
      <c r="S1114">
        <v>47.409660000000002</v>
      </c>
      <c r="T1114">
        <v>8.1568799999999992</v>
      </c>
      <c r="U1114" s="1" t="s">
        <v>36</v>
      </c>
      <c r="V1114">
        <v>1</v>
      </c>
      <c r="W1114">
        <v>5</v>
      </c>
      <c r="X1114">
        <v>1</v>
      </c>
      <c r="Y1114">
        <v>151.56</v>
      </c>
      <c r="Z1114">
        <v>4.3220000000000001</v>
      </c>
    </row>
    <row r="1115" spans="1:26">
      <c r="A1115" s="2">
        <v>43942</v>
      </c>
      <c r="B1115" s="4">
        <v>0.45833333333333331</v>
      </c>
      <c r="C1115" s="1" t="s">
        <v>39</v>
      </c>
      <c r="E1115">
        <v>24</v>
      </c>
      <c r="F1115">
        <v>0</v>
      </c>
      <c r="G1115">
        <v>1</v>
      </c>
      <c r="L1115" s="1" t="s">
        <v>41</v>
      </c>
      <c r="N1115" s="1" t="s">
        <v>37</v>
      </c>
      <c r="P1115" s="1" t="s">
        <v>37</v>
      </c>
      <c r="R1115" s="1" t="s">
        <v>37</v>
      </c>
      <c r="S1115">
        <v>47.317264000000002</v>
      </c>
      <c r="T1115">
        <v>9.4167539999999992</v>
      </c>
      <c r="U1115" s="1" t="s">
        <v>40</v>
      </c>
      <c r="V1115">
        <v>16</v>
      </c>
      <c r="W1115">
        <v>0</v>
      </c>
      <c r="X1115">
        <v>0</v>
      </c>
      <c r="Y1115">
        <v>149.07</v>
      </c>
    </row>
    <row r="1116" spans="1:26">
      <c r="A1116" s="2">
        <v>43942</v>
      </c>
      <c r="B1116" s="4">
        <v>0.54166666666666663</v>
      </c>
      <c r="C1116" s="1" t="s">
        <v>42</v>
      </c>
      <c r="E1116">
        <v>86</v>
      </c>
      <c r="F1116">
        <v>0</v>
      </c>
      <c r="G1116">
        <v>6</v>
      </c>
      <c r="K1116">
        <v>3</v>
      </c>
      <c r="L1116" s="1" t="s">
        <v>44</v>
      </c>
      <c r="N1116" s="1" t="s">
        <v>37</v>
      </c>
      <c r="P1116" s="1" t="s">
        <v>37</v>
      </c>
      <c r="R1116" s="1" t="s">
        <v>37</v>
      </c>
      <c r="S1116">
        <v>47.416351999999996</v>
      </c>
      <c r="T1116">
        <v>9.3679100000000002</v>
      </c>
      <c r="U1116" s="1" t="s">
        <v>43</v>
      </c>
      <c r="V1116">
        <v>15</v>
      </c>
      <c r="W1116">
        <v>0</v>
      </c>
      <c r="X1116">
        <v>0</v>
      </c>
      <c r="Y1116">
        <v>155.80000000000001</v>
      </c>
      <c r="Z1116">
        <v>5.4349999999999996</v>
      </c>
    </row>
    <row r="1117" spans="1:26">
      <c r="A1117" s="2">
        <v>43942</v>
      </c>
      <c r="B1117" s="4">
        <v>0.33333333333333331</v>
      </c>
      <c r="C1117" s="1" t="s">
        <v>45</v>
      </c>
      <c r="E1117">
        <v>1622</v>
      </c>
      <c r="F1117">
        <v>-5</v>
      </c>
      <c r="G1117">
        <v>66</v>
      </c>
      <c r="H1117">
        <v>17</v>
      </c>
      <c r="I1117">
        <v>11</v>
      </c>
      <c r="K1117">
        <v>77</v>
      </c>
      <c r="L1117" s="1" t="s">
        <v>47</v>
      </c>
      <c r="N1117" s="1" t="s">
        <v>37</v>
      </c>
      <c r="P1117" s="1" t="s">
        <v>37</v>
      </c>
      <c r="R1117" s="1" t="s">
        <v>37</v>
      </c>
      <c r="S1117">
        <v>46.823608</v>
      </c>
      <c r="T1117">
        <v>7.6366670000000001</v>
      </c>
      <c r="U1117" s="1" t="s">
        <v>46</v>
      </c>
      <c r="V1117">
        <v>2</v>
      </c>
      <c r="W1117">
        <v>9</v>
      </c>
      <c r="X1117">
        <v>4</v>
      </c>
      <c r="Y1117">
        <v>157.31</v>
      </c>
      <c r="Z1117">
        <v>7.468</v>
      </c>
    </row>
    <row r="1118" spans="1:26">
      <c r="A1118" s="2">
        <v>43942</v>
      </c>
      <c r="B1118" s="4">
        <v>0.125</v>
      </c>
      <c r="C1118" s="1" t="s">
        <v>48</v>
      </c>
      <c r="E1118">
        <v>809</v>
      </c>
      <c r="F1118">
        <v>-7</v>
      </c>
      <c r="G1118">
        <v>33</v>
      </c>
      <c r="H1118">
        <v>3</v>
      </c>
      <c r="I1118">
        <v>3</v>
      </c>
      <c r="J1118">
        <v>679</v>
      </c>
      <c r="K1118">
        <v>26</v>
      </c>
      <c r="L1118" s="1" t="s">
        <v>50</v>
      </c>
      <c r="N1118" s="1" t="s">
        <v>37</v>
      </c>
      <c r="P1118" s="1" t="s">
        <v>37</v>
      </c>
      <c r="R1118" s="1" t="s">
        <v>37</v>
      </c>
      <c r="S1118">
        <v>47.45176</v>
      </c>
      <c r="T1118">
        <v>7.7024140000000001</v>
      </c>
      <c r="U1118" s="1" t="s">
        <v>49</v>
      </c>
      <c r="V1118">
        <v>13</v>
      </c>
      <c r="W1118">
        <v>3</v>
      </c>
      <c r="X1118">
        <v>1</v>
      </c>
      <c r="Y1118">
        <v>281.88</v>
      </c>
      <c r="Z1118">
        <v>9.0589999999999993</v>
      </c>
    </row>
    <row r="1119" spans="1:26">
      <c r="A1119" s="2">
        <v>43942</v>
      </c>
      <c r="B1119" s="4">
        <v>0.38541666666666669</v>
      </c>
      <c r="C1119" s="1" t="s">
        <v>51</v>
      </c>
      <c r="D1119">
        <v>235</v>
      </c>
      <c r="E1119">
        <v>933</v>
      </c>
      <c r="F1119">
        <v>0</v>
      </c>
      <c r="G1119">
        <v>54</v>
      </c>
      <c r="H1119">
        <v>9</v>
      </c>
      <c r="J1119">
        <v>781</v>
      </c>
      <c r="K1119">
        <v>44</v>
      </c>
      <c r="L1119" s="1" t="s">
        <v>462</v>
      </c>
      <c r="M1119">
        <v>509</v>
      </c>
      <c r="N1119" s="1" t="s">
        <v>278</v>
      </c>
      <c r="P1119" s="1" t="s">
        <v>37</v>
      </c>
      <c r="R1119" s="1" t="s">
        <v>37</v>
      </c>
      <c r="S1119">
        <v>47.564869000000002</v>
      </c>
      <c r="T1119">
        <v>7.615259</v>
      </c>
      <c r="U1119" s="1" t="s">
        <v>52</v>
      </c>
      <c r="V1119">
        <v>12</v>
      </c>
      <c r="W1119">
        <v>0</v>
      </c>
      <c r="X1119">
        <v>2</v>
      </c>
      <c r="Y1119">
        <v>481.18</v>
      </c>
      <c r="Z1119">
        <v>22.692</v>
      </c>
    </row>
    <row r="1120" spans="1:26">
      <c r="A1120" s="2">
        <v>43942</v>
      </c>
      <c r="B1120" s="4">
        <v>0.125</v>
      </c>
      <c r="C1120" s="1" t="s">
        <v>54</v>
      </c>
      <c r="D1120">
        <v>900</v>
      </c>
      <c r="E1120">
        <v>81</v>
      </c>
      <c r="F1120">
        <v>0</v>
      </c>
      <c r="J1120">
        <v>1</v>
      </c>
      <c r="K1120">
        <v>1</v>
      </c>
      <c r="L1120" s="1" t="s">
        <v>482</v>
      </c>
      <c r="N1120" s="1" t="s">
        <v>37</v>
      </c>
      <c r="P1120" s="1" t="s">
        <v>37</v>
      </c>
      <c r="R1120" s="1" t="s">
        <v>37</v>
      </c>
      <c r="S1120">
        <v>47.166666999999997</v>
      </c>
      <c r="T1120">
        <v>9.509722</v>
      </c>
      <c r="U1120" s="1" t="s">
        <v>55</v>
      </c>
      <c r="V1120">
        <v>0</v>
      </c>
      <c r="W1120">
        <v>0</v>
      </c>
      <c r="X1120">
        <v>0</v>
      </c>
      <c r="Y1120">
        <v>209.84</v>
      </c>
      <c r="Z1120">
        <v>2.5910000000000002</v>
      </c>
    </row>
    <row r="1121" spans="1:26">
      <c r="A1121" s="2">
        <v>43942</v>
      </c>
      <c r="B1121" s="4">
        <v>0.125</v>
      </c>
      <c r="C1121" s="1" t="s">
        <v>57</v>
      </c>
      <c r="D1121">
        <v>30</v>
      </c>
      <c r="E1121">
        <v>995</v>
      </c>
      <c r="F1121">
        <v>-2</v>
      </c>
      <c r="G1121">
        <v>60</v>
      </c>
      <c r="H1121">
        <v>8</v>
      </c>
      <c r="J1121">
        <v>115</v>
      </c>
      <c r="K1121">
        <v>74</v>
      </c>
      <c r="L1121" s="1" t="s">
        <v>59</v>
      </c>
      <c r="N1121" s="1" t="s">
        <v>37</v>
      </c>
      <c r="P1121" s="1" t="s">
        <v>37</v>
      </c>
      <c r="R1121" s="1" t="s">
        <v>37</v>
      </c>
      <c r="S1121">
        <v>46.718390999999997</v>
      </c>
      <c r="T1121">
        <v>7.0740080000000001</v>
      </c>
      <c r="U1121" s="1" t="s">
        <v>58</v>
      </c>
      <c r="V1121">
        <v>10</v>
      </c>
      <c r="W1121">
        <v>6</v>
      </c>
      <c r="X1121">
        <v>2</v>
      </c>
      <c r="Y1121">
        <v>315.77</v>
      </c>
      <c r="Z1121">
        <v>23.484999999999999</v>
      </c>
    </row>
    <row r="1122" spans="1:26">
      <c r="A1122" s="2">
        <v>43942</v>
      </c>
      <c r="B1122" s="4">
        <v>0.125</v>
      </c>
      <c r="C1122" s="1" t="s">
        <v>60</v>
      </c>
      <c r="D1122">
        <v>22735</v>
      </c>
      <c r="E1122">
        <v>4710</v>
      </c>
      <c r="F1122">
        <v>-17</v>
      </c>
      <c r="G1122">
        <v>304</v>
      </c>
      <c r="H1122">
        <v>32</v>
      </c>
      <c r="I1122">
        <v>29</v>
      </c>
      <c r="J1122">
        <v>581</v>
      </c>
      <c r="K1122">
        <v>205</v>
      </c>
      <c r="L1122" s="1" t="s">
        <v>62</v>
      </c>
      <c r="N1122" s="1" t="s">
        <v>37</v>
      </c>
      <c r="P1122" s="1" t="s">
        <v>37</v>
      </c>
      <c r="Q1122">
        <v>18</v>
      </c>
      <c r="R1122" s="1" t="s">
        <v>37</v>
      </c>
      <c r="S1122">
        <v>46.220528000000002</v>
      </c>
      <c r="T1122">
        <v>6.1329349999999998</v>
      </c>
      <c r="U1122" s="1" t="s">
        <v>61</v>
      </c>
      <c r="V1122">
        <v>25</v>
      </c>
      <c r="W1122">
        <v>16</v>
      </c>
      <c r="X1122">
        <v>3</v>
      </c>
      <c r="Y1122">
        <v>951.13</v>
      </c>
      <c r="Z1122">
        <v>41.396999999999998</v>
      </c>
    </row>
    <row r="1123" spans="1:26">
      <c r="A1123" s="2">
        <v>43942</v>
      </c>
      <c r="B1123" s="4">
        <v>0.5625</v>
      </c>
      <c r="C1123" s="1" t="s">
        <v>63</v>
      </c>
      <c r="E1123">
        <v>115</v>
      </c>
      <c r="F1123">
        <v>-2</v>
      </c>
      <c r="G1123">
        <v>3</v>
      </c>
      <c r="K1123">
        <v>6</v>
      </c>
      <c r="L1123" s="1" t="s">
        <v>65</v>
      </c>
      <c r="N1123" s="1" t="s">
        <v>37</v>
      </c>
      <c r="P1123" s="1" t="s">
        <v>37</v>
      </c>
      <c r="R1123" s="1" t="s">
        <v>37</v>
      </c>
      <c r="S1123">
        <v>46.931042000000005</v>
      </c>
      <c r="T1123">
        <v>9.0657510000000006</v>
      </c>
      <c r="U1123" s="1" t="s">
        <v>64</v>
      </c>
      <c r="V1123">
        <v>8</v>
      </c>
      <c r="W1123">
        <v>1</v>
      </c>
      <c r="X1123">
        <v>1</v>
      </c>
      <c r="Y1123">
        <v>285.36</v>
      </c>
      <c r="Z1123">
        <v>14.888</v>
      </c>
    </row>
    <row r="1124" spans="1:26">
      <c r="A1124" s="2">
        <v>43942</v>
      </c>
      <c r="B1124" s="4">
        <v>0.125</v>
      </c>
      <c r="C1124" s="1" t="s">
        <v>66</v>
      </c>
      <c r="E1124">
        <v>782</v>
      </c>
      <c r="F1124">
        <v>-2</v>
      </c>
      <c r="G1124">
        <v>27</v>
      </c>
      <c r="K1124">
        <v>42</v>
      </c>
      <c r="L1124" s="1" t="s">
        <v>68</v>
      </c>
      <c r="N1124" s="1" t="s">
        <v>37</v>
      </c>
      <c r="P1124" s="1" t="s">
        <v>37</v>
      </c>
      <c r="R1124" s="1" t="s">
        <v>37</v>
      </c>
      <c r="S1124">
        <v>46.656247999999998</v>
      </c>
      <c r="T1124">
        <v>9.6281979999999994</v>
      </c>
      <c r="U1124" s="1" t="s">
        <v>67</v>
      </c>
      <c r="V1124">
        <v>1</v>
      </c>
      <c r="W1124">
        <v>4</v>
      </c>
      <c r="X1124">
        <v>2</v>
      </c>
      <c r="Y1124">
        <v>395.15</v>
      </c>
      <c r="Z1124">
        <v>21.222999999999999</v>
      </c>
    </row>
    <row r="1125" spans="1:26">
      <c r="A1125" s="2">
        <v>43942</v>
      </c>
      <c r="B1125" s="4">
        <v>0.66666666666666663</v>
      </c>
      <c r="C1125" s="1" t="s">
        <v>69</v>
      </c>
      <c r="E1125">
        <v>195</v>
      </c>
      <c r="F1125">
        <v>-2</v>
      </c>
      <c r="G1125">
        <v>12</v>
      </c>
      <c r="H1125">
        <v>4</v>
      </c>
      <c r="K1125">
        <v>6</v>
      </c>
      <c r="L1125" s="1" t="s">
        <v>280</v>
      </c>
      <c r="N1125" s="1" t="s">
        <v>37</v>
      </c>
      <c r="P1125" s="1" t="s">
        <v>37</v>
      </c>
      <c r="R1125" s="1" t="s">
        <v>37</v>
      </c>
      <c r="S1125">
        <v>47.350743999999999</v>
      </c>
      <c r="T1125">
        <v>7.1561070000000004</v>
      </c>
      <c r="U1125" s="1" t="s">
        <v>70</v>
      </c>
      <c r="V1125">
        <v>26</v>
      </c>
      <c r="W1125">
        <v>0</v>
      </c>
      <c r="X1125">
        <v>0</v>
      </c>
      <c r="Y1125">
        <v>266.02999999999997</v>
      </c>
      <c r="Z1125">
        <v>8.1859999999999999</v>
      </c>
    </row>
    <row r="1126" spans="1:26">
      <c r="A1126" s="2">
        <v>43942</v>
      </c>
      <c r="B1126" s="4">
        <v>0.5</v>
      </c>
      <c r="C1126" s="1" t="s">
        <v>71</v>
      </c>
      <c r="E1126">
        <v>643</v>
      </c>
      <c r="F1126">
        <v>2</v>
      </c>
      <c r="G1126">
        <v>35</v>
      </c>
      <c r="H1126">
        <v>5</v>
      </c>
      <c r="K1126">
        <v>15</v>
      </c>
      <c r="L1126" s="1" t="s">
        <v>73</v>
      </c>
      <c r="N1126" s="1" t="s">
        <v>37</v>
      </c>
      <c r="P1126" s="1" t="s">
        <v>37</v>
      </c>
      <c r="R1126" s="1" t="s">
        <v>37</v>
      </c>
      <c r="S1126">
        <v>47.067762999999999</v>
      </c>
      <c r="T1126">
        <v>8.1102000000000007</v>
      </c>
      <c r="U1126" s="1" t="s">
        <v>72</v>
      </c>
      <c r="V1126">
        <v>3</v>
      </c>
      <c r="W1126">
        <v>10</v>
      </c>
      <c r="X1126">
        <v>0</v>
      </c>
      <c r="Y1126">
        <v>158.18</v>
      </c>
      <c r="Z1126">
        <v>3.69</v>
      </c>
    </row>
    <row r="1127" spans="1:26">
      <c r="A1127" s="2">
        <v>43942</v>
      </c>
      <c r="B1127" s="4">
        <v>0.66666666666666663</v>
      </c>
      <c r="C1127" s="1" t="s">
        <v>74</v>
      </c>
      <c r="E1127">
        <v>652</v>
      </c>
      <c r="F1127">
        <v>-7</v>
      </c>
      <c r="G1127">
        <v>37</v>
      </c>
      <c r="H1127">
        <v>7</v>
      </c>
      <c r="I1127">
        <v>4</v>
      </c>
      <c r="K1127">
        <v>56</v>
      </c>
      <c r="L1127" s="1" t="s">
        <v>76</v>
      </c>
      <c r="N1127" s="1" t="s">
        <v>37</v>
      </c>
      <c r="P1127" s="1" t="s">
        <v>37</v>
      </c>
      <c r="R1127" s="1" t="s">
        <v>37</v>
      </c>
      <c r="S1127">
        <v>46.995533999999999</v>
      </c>
      <c r="T1127">
        <v>6.7801260000000001</v>
      </c>
      <c r="U1127" s="1" t="s">
        <v>75</v>
      </c>
      <c r="V1127">
        <v>24</v>
      </c>
      <c r="W1127">
        <v>1</v>
      </c>
      <c r="X1127">
        <v>0</v>
      </c>
      <c r="Y1127">
        <v>366.29</v>
      </c>
      <c r="Z1127">
        <v>31.460999999999999</v>
      </c>
    </row>
    <row r="1128" spans="1:26">
      <c r="A1128" s="2">
        <v>43942</v>
      </c>
      <c r="B1128" s="4">
        <v>0.125</v>
      </c>
      <c r="C1128" s="1" t="s">
        <v>77</v>
      </c>
      <c r="E1128">
        <v>108</v>
      </c>
      <c r="F1128">
        <v>0</v>
      </c>
      <c r="G1128">
        <v>4</v>
      </c>
      <c r="H1128">
        <v>1</v>
      </c>
      <c r="K1128">
        <v>3</v>
      </c>
      <c r="L1128" s="1" t="s">
        <v>463</v>
      </c>
      <c r="N1128" s="1" t="s">
        <v>37</v>
      </c>
      <c r="P1128" s="1" t="s">
        <v>37</v>
      </c>
      <c r="R1128" s="1" t="s">
        <v>37</v>
      </c>
      <c r="S1128">
        <v>46.926755</v>
      </c>
      <c r="T1128">
        <v>8.4053020000000007</v>
      </c>
      <c r="U1128" s="1" t="s">
        <v>78</v>
      </c>
      <c r="V1128">
        <v>7</v>
      </c>
      <c r="W1128">
        <v>0</v>
      </c>
      <c r="X1128">
        <v>0</v>
      </c>
      <c r="Y1128">
        <v>251.16</v>
      </c>
      <c r="Z1128">
        <v>6.9770000000000003</v>
      </c>
    </row>
    <row r="1129" spans="1:26">
      <c r="A1129" s="2">
        <v>43942</v>
      </c>
      <c r="B1129" s="4">
        <v>0.47916666666666669</v>
      </c>
      <c r="C1129" s="1" t="s">
        <v>80</v>
      </c>
      <c r="D1129">
        <v>6</v>
      </c>
      <c r="E1129">
        <v>67</v>
      </c>
      <c r="F1129">
        <v>0</v>
      </c>
      <c r="G1129">
        <v>0</v>
      </c>
      <c r="J1129">
        <v>1</v>
      </c>
      <c r="K1129">
        <v>0</v>
      </c>
      <c r="L1129" s="1" t="s">
        <v>82</v>
      </c>
      <c r="N1129" s="1" t="s">
        <v>37</v>
      </c>
      <c r="P1129" s="1" t="s">
        <v>37</v>
      </c>
      <c r="R1129" s="1" t="s">
        <v>37</v>
      </c>
      <c r="S1129">
        <v>46.804527</v>
      </c>
      <c r="T1129">
        <v>8.1443170000000009</v>
      </c>
      <c r="U1129" s="1" t="s">
        <v>81</v>
      </c>
      <c r="V1129">
        <v>6</v>
      </c>
      <c r="W1129">
        <v>0</v>
      </c>
      <c r="X1129">
        <v>0</v>
      </c>
      <c r="Y1129">
        <v>178.19</v>
      </c>
      <c r="Z1129">
        <v>0</v>
      </c>
    </row>
    <row r="1130" spans="1:26">
      <c r="A1130" s="2">
        <v>43942</v>
      </c>
      <c r="B1130" s="4">
        <v>0.125</v>
      </c>
      <c r="C1130" s="1" t="s">
        <v>83</v>
      </c>
      <c r="E1130">
        <v>718</v>
      </c>
      <c r="F1130">
        <v>6</v>
      </c>
      <c r="G1130">
        <v>48</v>
      </c>
      <c r="H1130">
        <v>8</v>
      </c>
      <c r="J1130">
        <v>159</v>
      </c>
      <c r="K1130">
        <v>29</v>
      </c>
      <c r="L1130" s="1" t="s">
        <v>85</v>
      </c>
      <c r="N1130" s="1" t="s">
        <v>37</v>
      </c>
      <c r="P1130" s="1" t="s">
        <v>37</v>
      </c>
      <c r="R1130" s="1" t="s">
        <v>37</v>
      </c>
      <c r="S1130">
        <v>47.183199999999999</v>
      </c>
      <c r="T1130">
        <v>9.2747440000000001</v>
      </c>
      <c r="U1130" s="1" t="s">
        <v>84</v>
      </c>
      <c r="V1130">
        <v>17</v>
      </c>
      <c r="W1130">
        <v>7</v>
      </c>
      <c r="X1130">
        <v>2</v>
      </c>
      <c r="Y1130">
        <v>142.26</v>
      </c>
      <c r="Z1130">
        <v>5.7460000000000004</v>
      </c>
    </row>
    <row r="1131" spans="1:26">
      <c r="A1131" s="2">
        <v>43942</v>
      </c>
      <c r="B1131" s="4">
        <v>0.39583333333333331</v>
      </c>
      <c r="C1131" s="1" t="s">
        <v>86</v>
      </c>
      <c r="E1131">
        <v>63</v>
      </c>
      <c r="F1131">
        <v>4</v>
      </c>
      <c r="G1131">
        <v>10</v>
      </c>
      <c r="H1131">
        <v>2</v>
      </c>
      <c r="K1131">
        <v>2</v>
      </c>
      <c r="L1131" s="1" t="s">
        <v>88</v>
      </c>
      <c r="N1131" s="1" t="s">
        <v>37</v>
      </c>
      <c r="P1131" s="1" t="s">
        <v>37</v>
      </c>
      <c r="R1131" s="1" t="s">
        <v>37</v>
      </c>
      <c r="S1131">
        <v>47.713569999999997</v>
      </c>
      <c r="T1131">
        <v>8.5916700000000006</v>
      </c>
      <c r="U1131" s="1" t="s">
        <v>87</v>
      </c>
      <c r="V1131">
        <v>14</v>
      </c>
      <c r="W1131">
        <v>0</v>
      </c>
      <c r="X1131">
        <v>1</v>
      </c>
      <c r="Y1131">
        <v>77.400000000000006</v>
      </c>
      <c r="Z1131">
        <v>2.4569999999999999</v>
      </c>
    </row>
    <row r="1132" spans="1:26">
      <c r="A1132" s="2">
        <v>43942</v>
      </c>
      <c r="B1132" s="4">
        <v>0.125</v>
      </c>
      <c r="C1132" s="1" t="s">
        <v>89</v>
      </c>
      <c r="E1132">
        <v>359</v>
      </c>
      <c r="F1132">
        <v>0</v>
      </c>
      <c r="G1132">
        <v>19</v>
      </c>
      <c r="K1132">
        <v>11</v>
      </c>
      <c r="L1132" s="1" t="s">
        <v>91</v>
      </c>
      <c r="N1132" s="1" t="s">
        <v>37</v>
      </c>
      <c r="P1132" s="1" t="s">
        <v>37</v>
      </c>
      <c r="R1132" s="1" t="s">
        <v>37</v>
      </c>
      <c r="S1132">
        <v>47.304135000000002</v>
      </c>
      <c r="T1132">
        <v>7.6393880000000003</v>
      </c>
      <c r="U1132" s="1" t="s">
        <v>90</v>
      </c>
      <c r="V1132">
        <v>11</v>
      </c>
      <c r="W1132">
        <v>4</v>
      </c>
      <c r="X1132">
        <v>0</v>
      </c>
      <c r="Y1132">
        <v>132.28</v>
      </c>
      <c r="Z1132">
        <v>4.0529999999999999</v>
      </c>
    </row>
    <row r="1133" spans="1:26">
      <c r="A1133" s="2">
        <v>43942</v>
      </c>
      <c r="B1133" s="4">
        <v>0.3215277777777778</v>
      </c>
      <c r="C1133" s="1" t="s">
        <v>92</v>
      </c>
      <c r="D1133">
        <v>10</v>
      </c>
      <c r="E1133">
        <v>276</v>
      </c>
      <c r="F1133">
        <v>0</v>
      </c>
      <c r="G1133">
        <v>1</v>
      </c>
      <c r="J1133">
        <v>192</v>
      </c>
      <c r="K1133">
        <v>16</v>
      </c>
      <c r="L1133" s="1" t="s">
        <v>464</v>
      </c>
      <c r="N1133" s="1" t="s">
        <v>37</v>
      </c>
      <c r="P1133" s="1" t="s">
        <v>37</v>
      </c>
      <c r="R1133" s="1" t="s">
        <v>37</v>
      </c>
      <c r="S1133">
        <v>47.061787000000002</v>
      </c>
      <c r="T1133">
        <v>8.7565849999999994</v>
      </c>
      <c r="U1133" s="1" t="s">
        <v>93</v>
      </c>
      <c r="V1133">
        <v>5</v>
      </c>
      <c r="W1133">
        <v>4</v>
      </c>
      <c r="X1133">
        <v>1</v>
      </c>
      <c r="Y1133">
        <v>175.46</v>
      </c>
      <c r="Z1133">
        <v>10.172000000000001</v>
      </c>
    </row>
    <row r="1134" spans="1:26">
      <c r="A1134" s="2">
        <v>43942</v>
      </c>
      <c r="B1134" s="4">
        <v>0.125</v>
      </c>
      <c r="C1134" s="1" t="s">
        <v>95</v>
      </c>
      <c r="D1134">
        <v>276</v>
      </c>
      <c r="E1134">
        <v>339</v>
      </c>
      <c r="F1134">
        <v>0</v>
      </c>
      <c r="G1134">
        <v>24</v>
      </c>
      <c r="H1134">
        <v>12</v>
      </c>
      <c r="K1134">
        <v>13</v>
      </c>
      <c r="L1134" s="1" t="s">
        <v>97</v>
      </c>
      <c r="N1134" s="1" t="s">
        <v>37</v>
      </c>
      <c r="P1134" s="1" t="s">
        <v>37</v>
      </c>
      <c r="R1134" s="1" t="s">
        <v>37</v>
      </c>
      <c r="S1134">
        <v>47.568714999999997</v>
      </c>
      <c r="T1134">
        <v>9.0919570000000007</v>
      </c>
      <c r="U1134" s="1" t="s">
        <v>96</v>
      </c>
      <c r="V1134">
        <v>1</v>
      </c>
      <c r="W1134">
        <v>4</v>
      </c>
      <c r="X1134">
        <v>0</v>
      </c>
      <c r="Y1134">
        <v>123.81</v>
      </c>
      <c r="Z1134">
        <v>4.7480000000000002</v>
      </c>
    </row>
    <row r="1135" spans="1:26">
      <c r="A1135" s="2">
        <v>43942</v>
      </c>
      <c r="B1135" s="4">
        <v>0.33333333333333331</v>
      </c>
      <c r="C1135" s="1" t="s">
        <v>98</v>
      </c>
      <c r="E1135">
        <v>3065</v>
      </c>
      <c r="F1135">
        <v>-1</v>
      </c>
      <c r="G1135">
        <v>236</v>
      </c>
      <c r="H1135">
        <v>54</v>
      </c>
      <c r="I1135">
        <v>36</v>
      </c>
      <c r="J1135">
        <v>639</v>
      </c>
      <c r="K1135">
        <v>291</v>
      </c>
      <c r="L1135" s="1" t="s">
        <v>483</v>
      </c>
      <c r="N1135" s="1" t="s">
        <v>37</v>
      </c>
      <c r="P1135" s="1" t="s">
        <v>37</v>
      </c>
      <c r="R1135" s="1" t="s">
        <v>37</v>
      </c>
      <c r="S1135">
        <v>46.295617</v>
      </c>
      <c r="T1135">
        <v>8.8089239999999993</v>
      </c>
      <c r="U1135" s="1" t="s">
        <v>99</v>
      </c>
      <c r="V1135">
        <v>21</v>
      </c>
      <c r="W1135">
        <v>7</v>
      </c>
      <c r="X1135">
        <v>3</v>
      </c>
      <c r="Y1135">
        <v>866.55</v>
      </c>
      <c r="Z1135">
        <v>82.272999999999996</v>
      </c>
    </row>
    <row r="1136" spans="1:26">
      <c r="A1136" s="2">
        <v>43942</v>
      </c>
      <c r="B1136" s="4">
        <v>0.70833333333333337</v>
      </c>
      <c r="C1136" s="1" t="s">
        <v>101</v>
      </c>
      <c r="D1136">
        <v>85</v>
      </c>
      <c r="E1136">
        <v>78</v>
      </c>
      <c r="F1136">
        <v>0</v>
      </c>
      <c r="G1136">
        <v>2</v>
      </c>
      <c r="J1136">
        <v>69</v>
      </c>
      <c r="K1136">
        <v>5</v>
      </c>
      <c r="L1136" s="1" t="s">
        <v>103</v>
      </c>
      <c r="N1136" s="1" t="s">
        <v>37</v>
      </c>
      <c r="P1136" s="1" t="s">
        <v>37</v>
      </c>
      <c r="R1136" s="1" t="s">
        <v>37</v>
      </c>
      <c r="S1136">
        <v>46.771849000000003</v>
      </c>
      <c r="T1136">
        <v>8.6285860000000003</v>
      </c>
      <c r="U1136" s="1" t="s">
        <v>102</v>
      </c>
      <c r="V1136">
        <v>4</v>
      </c>
      <c r="W1136">
        <v>0</v>
      </c>
      <c r="X1136">
        <v>0</v>
      </c>
      <c r="Y1136">
        <v>214.88</v>
      </c>
      <c r="Z1136">
        <v>13.773999999999999</v>
      </c>
    </row>
    <row r="1137" spans="1:26">
      <c r="A1137" s="2">
        <v>43942</v>
      </c>
      <c r="B1137" s="4">
        <v>0.125</v>
      </c>
      <c r="C1137" s="1" t="s">
        <v>104</v>
      </c>
      <c r="E1137">
        <v>5041</v>
      </c>
      <c r="F1137">
        <v>-13</v>
      </c>
      <c r="G1137">
        <v>208</v>
      </c>
      <c r="H1137">
        <v>47</v>
      </c>
      <c r="J1137">
        <v>225</v>
      </c>
      <c r="K1137">
        <v>321</v>
      </c>
      <c r="L1137" s="1" t="s">
        <v>106</v>
      </c>
      <c r="N1137" s="1" t="s">
        <v>37</v>
      </c>
      <c r="P1137" s="1" t="s">
        <v>37</v>
      </c>
      <c r="R1137" s="1" t="s">
        <v>37</v>
      </c>
      <c r="S1137">
        <v>46.570090999999998</v>
      </c>
      <c r="T1137">
        <v>6.5578090000000007</v>
      </c>
      <c r="U1137" s="1" t="s">
        <v>105</v>
      </c>
      <c r="V1137">
        <v>22</v>
      </c>
      <c r="W1137">
        <v>34</v>
      </c>
      <c r="X1137">
        <v>6</v>
      </c>
      <c r="Y1137">
        <v>635.61</v>
      </c>
      <c r="Z1137">
        <v>40.473999999999997</v>
      </c>
    </row>
    <row r="1138" spans="1:26">
      <c r="A1138" s="2">
        <v>43942</v>
      </c>
      <c r="B1138" s="4">
        <v>0.625</v>
      </c>
      <c r="C1138" s="1" t="s">
        <v>107</v>
      </c>
      <c r="E1138">
        <v>1791</v>
      </c>
      <c r="F1138">
        <v>-1</v>
      </c>
      <c r="G1138">
        <v>76</v>
      </c>
      <c r="H1138">
        <v>15</v>
      </c>
      <c r="I1138">
        <v>11</v>
      </c>
      <c r="J1138">
        <v>210</v>
      </c>
      <c r="K1138">
        <v>113</v>
      </c>
      <c r="L1138" s="1" t="s">
        <v>412</v>
      </c>
      <c r="N1138" s="1" t="s">
        <v>37</v>
      </c>
      <c r="P1138" s="1" t="s">
        <v>37</v>
      </c>
      <c r="R1138" s="1" t="s">
        <v>37</v>
      </c>
      <c r="S1138">
        <v>46.209567</v>
      </c>
      <c r="T1138">
        <v>7.6046589999999998</v>
      </c>
      <c r="U1138" s="1" t="s">
        <v>108</v>
      </c>
      <c r="V1138">
        <v>23</v>
      </c>
      <c r="W1138">
        <v>5</v>
      </c>
      <c r="X1138">
        <v>3</v>
      </c>
      <c r="Y1138">
        <v>524.45000000000005</v>
      </c>
      <c r="Z1138">
        <v>33.088999999999999</v>
      </c>
    </row>
    <row r="1139" spans="1:26">
      <c r="A1139" s="2">
        <v>43942</v>
      </c>
      <c r="B1139" s="4">
        <v>0.33333333333333331</v>
      </c>
      <c r="C1139" s="1" t="s">
        <v>109</v>
      </c>
      <c r="E1139">
        <v>176</v>
      </c>
      <c r="F1139">
        <v>-3</v>
      </c>
      <c r="G1139">
        <v>6</v>
      </c>
      <c r="H1139">
        <v>3</v>
      </c>
      <c r="J1139">
        <v>99</v>
      </c>
      <c r="K1139">
        <v>8</v>
      </c>
      <c r="L1139" s="1" t="s">
        <v>502</v>
      </c>
      <c r="N1139" s="1" t="s">
        <v>37</v>
      </c>
      <c r="P1139" s="1" t="s">
        <v>37</v>
      </c>
      <c r="R1139" s="1" t="s">
        <v>37</v>
      </c>
      <c r="S1139">
        <v>47.157296000000002</v>
      </c>
      <c r="T1139">
        <v>8.5372939999999993</v>
      </c>
      <c r="U1139" s="1" t="s">
        <v>110</v>
      </c>
      <c r="V1139">
        <v>9</v>
      </c>
      <c r="W1139">
        <v>0</v>
      </c>
      <c r="X1139">
        <v>0</v>
      </c>
      <c r="Y1139">
        <v>140.35</v>
      </c>
      <c r="Z1139">
        <v>6.38</v>
      </c>
    </row>
    <row r="1140" spans="1:26">
      <c r="A1140" s="2">
        <v>43942</v>
      </c>
      <c r="B1140" s="4">
        <v>0.60416666666666663</v>
      </c>
      <c r="C1140" s="1" t="s">
        <v>111</v>
      </c>
      <c r="E1140">
        <v>3280</v>
      </c>
      <c r="F1140">
        <v>-11</v>
      </c>
      <c r="G1140">
        <v>110</v>
      </c>
      <c r="I1140">
        <v>41</v>
      </c>
      <c r="K1140">
        <v>108</v>
      </c>
      <c r="L1140" s="1" t="s">
        <v>113</v>
      </c>
      <c r="N1140" s="1" t="s">
        <v>37</v>
      </c>
      <c r="P1140" s="1" t="s">
        <v>37</v>
      </c>
      <c r="R1140" s="1" t="s">
        <v>37</v>
      </c>
      <c r="S1140">
        <v>47.412750000000003</v>
      </c>
      <c r="T1140">
        <v>8.6550799999999999</v>
      </c>
      <c r="U1140" s="1" t="s">
        <v>112</v>
      </c>
      <c r="V1140">
        <v>1</v>
      </c>
      <c r="W1140">
        <v>26</v>
      </c>
      <c r="X1140">
        <v>2</v>
      </c>
      <c r="Y1140">
        <v>218.04</v>
      </c>
      <c r="Z1140">
        <v>7.1790000000000003</v>
      </c>
    </row>
    <row r="1141" spans="1:26">
      <c r="A1141" s="2">
        <v>43943</v>
      </c>
      <c r="B1141" s="4">
        <v>0.61458333333333337</v>
      </c>
      <c r="C1141" s="1" t="s">
        <v>35</v>
      </c>
      <c r="E1141">
        <v>1026</v>
      </c>
      <c r="F1141">
        <v>-6</v>
      </c>
      <c r="G1141">
        <v>37</v>
      </c>
      <c r="H1141">
        <v>15</v>
      </c>
      <c r="I1141">
        <v>15</v>
      </c>
      <c r="J1141">
        <v>710</v>
      </c>
      <c r="K1141">
        <v>31</v>
      </c>
      <c r="L1141" s="1" t="s">
        <v>491</v>
      </c>
      <c r="N1141" s="1" t="s">
        <v>37</v>
      </c>
      <c r="P1141" s="1" t="s">
        <v>37</v>
      </c>
      <c r="R1141" s="1" t="s">
        <v>37</v>
      </c>
      <c r="S1141">
        <v>47.409660000000002</v>
      </c>
      <c r="T1141">
        <v>8.1568799999999992</v>
      </c>
      <c r="U1141" s="1" t="s">
        <v>36</v>
      </c>
      <c r="V1141">
        <v>1</v>
      </c>
      <c r="W1141">
        <v>9</v>
      </c>
      <c r="X1141">
        <v>2</v>
      </c>
      <c r="Y1141">
        <v>152.91</v>
      </c>
      <c r="Z1141">
        <v>4.62</v>
      </c>
    </row>
    <row r="1142" spans="1:26">
      <c r="A1142" s="2">
        <v>43943</v>
      </c>
      <c r="B1142" s="4">
        <v>0.45833333333333331</v>
      </c>
      <c r="C1142" s="1" t="s">
        <v>39</v>
      </c>
      <c r="E1142">
        <v>24</v>
      </c>
      <c r="F1142">
        <v>0</v>
      </c>
      <c r="G1142">
        <v>1</v>
      </c>
      <c r="L1142" s="1" t="s">
        <v>41</v>
      </c>
      <c r="N1142" s="1" t="s">
        <v>37</v>
      </c>
      <c r="P1142" s="1" t="s">
        <v>37</v>
      </c>
      <c r="R1142" s="1" t="s">
        <v>37</v>
      </c>
      <c r="S1142">
        <v>47.317264000000002</v>
      </c>
      <c r="T1142">
        <v>9.4167539999999992</v>
      </c>
      <c r="U1142" s="1" t="s">
        <v>40</v>
      </c>
      <c r="V1142">
        <v>16</v>
      </c>
      <c r="W1142">
        <v>0</v>
      </c>
      <c r="X1142">
        <v>0</v>
      </c>
      <c r="Y1142">
        <v>149.07</v>
      </c>
    </row>
    <row r="1143" spans="1:26">
      <c r="A1143" s="2">
        <v>43943</v>
      </c>
      <c r="B1143" s="4">
        <v>0.75</v>
      </c>
      <c r="C1143" s="1" t="s">
        <v>42</v>
      </c>
      <c r="E1143">
        <v>87</v>
      </c>
      <c r="F1143">
        <v>0</v>
      </c>
      <c r="G1143">
        <v>6</v>
      </c>
      <c r="K1143">
        <v>3</v>
      </c>
      <c r="L1143" s="1" t="s">
        <v>44</v>
      </c>
      <c r="N1143" s="1" t="s">
        <v>37</v>
      </c>
      <c r="P1143" s="1" t="s">
        <v>37</v>
      </c>
      <c r="R1143" s="1" t="s">
        <v>37</v>
      </c>
      <c r="S1143">
        <v>47.416351999999996</v>
      </c>
      <c r="T1143">
        <v>9.3679100000000002</v>
      </c>
      <c r="U1143" s="1" t="s">
        <v>43</v>
      </c>
      <c r="V1143">
        <v>15</v>
      </c>
      <c r="W1143">
        <v>1</v>
      </c>
      <c r="X1143">
        <v>0</v>
      </c>
      <c r="Y1143">
        <v>157.61000000000001</v>
      </c>
      <c r="Z1143">
        <v>5.4349999999999996</v>
      </c>
    </row>
    <row r="1144" spans="1:26">
      <c r="A1144" s="2">
        <v>43943</v>
      </c>
      <c r="B1144" s="4">
        <v>0.33333333333333331</v>
      </c>
      <c r="C1144" s="1" t="s">
        <v>45</v>
      </c>
      <c r="E1144">
        <v>1643</v>
      </c>
      <c r="F1144">
        <v>1</v>
      </c>
      <c r="G1144">
        <v>67</v>
      </c>
      <c r="H1144">
        <v>14</v>
      </c>
      <c r="I1144">
        <v>10</v>
      </c>
      <c r="K1144">
        <v>77</v>
      </c>
      <c r="L1144" s="1" t="s">
        <v>47</v>
      </c>
      <c r="N1144" s="1" t="s">
        <v>37</v>
      </c>
      <c r="P1144" s="1" t="s">
        <v>37</v>
      </c>
      <c r="R1144" s="1" t="s">
        <v>37</v>
      </c>
      <c r="S1144">
        <v>46.823608</v>
      </c>
      <c r="T1144">
        <v>7.6366670000000001</v>
      </c>
      <c r="U1144" s="1" t="s">
        <v>46</v>
      </c>
      <c r="V1144">
        <v>2</v>
      </c>
      <c r="W1144">
        <v>21</v>
      </c>
      <c r="X1144">
        <v>0</v>
      </c>
      <c r="Y1144">
        <v>159.34</v>
      </c>
      <c r="Z1144">
        <v>7.468</v>
      </c>
    </row>
    <row r="1145" spans="1:26">
      <c r="A1145" s="2">
        <v>43943</v>
      </c>
      <c r="B1145" s="4">
        <v>0.125</v>
      </c>
      <c r="C1145" s="1" t="s">
        <v>48</v>
      </c>
      <c r="E1145">
        <v>811</v>
      </c>
      <c r="F1145">
        <v>0</v>
      </c>
      <c r="G1145">
        <v>33</v>
      </c>
      <c r="H1145">
        <v>3</v>
      </c>
      <c r="I1145">
        <v>3</v>
      </c>
      <c r="J1145">
        <v>683</v>
      </c>
      <c r="K1145">
        <v>26</v>
      </c>
      <c r="L1145" s="1" t="s">
        <v>50</v>
      </c>
      <c r="N1145" s="1" t="s">
        <v>37</v>
      </c>
      <c r="P1145" s="1" t="s">
        <v>37</v>
      </c>
      <c r="R1145" s="1" t="s">
        <v>37</v>
      </c>
      <c r="S1145">
        <v>47.45176</v>
      </c>
      <c r="T1145">
        <v>7.7024140000000001</v>
      </c>
      <c r="U1145" s="1" t="s">
        <v>49</v>
      </c>
      <c r="V1145">
        <v>13</v>
      </c>
      <c r="W1145">
        <v>2</v>
      </c>
      <c r="X1145">
        <v>0</v>
      </c>
      <c r="Y1145">
        <v>282.58</v>
      </c>
      <c r="Z1145">
        <v>9.0589999999999993</v>
      </c>
    </row>
    <row r="1146" spans="1:26">
      <c r="A1146" s="2">
        <v>43943</v>
      </c>
      <c r="B1146" s="4">
        <v>0.40625</v>
      </c>
      <c r="C1146" s="1" t="s">
        <v>51</v>
      </c>
      <c r="D1146">
        <v>235</v>
      </c>
      <c r="E1146">
        <v>933</v>
      </c>
      <c r="F1146">
        <v>-5</v>
      </c>
      <c r="G1146">
        <v>49</v>
      </c>
      <c r="H1146">
        <v>7</v>
      </c>
      <c r="J1146">
        <v>786</v>
      </c>
      <c r="K1146">
        <v>45</v>
      </c>
      <c r="L1146" s="1" t="s">
        <v>490</v>
      </c>
      <c r="M1146">
        <v>511</v>
      </c>
      <c r="N1146" s="1" t="s">
        <v>334</v>
      </c>
      <c r="P1146" s="1" t="s">
        <v>37</v>
      </c>
      <c r="R1146" s="1" t="s">
        <v>37</v>
      </c>
      <c r="S1146">
        <v>47.564869000000002</v>
      </c>
      <c r="T1146">
        <v>7.615259</v>
      </c>
      <c r="U1146" s="1" t="s">
        <v>52</v>
      </c>
      <c r="V1146">
        <v>12</v>
      </c>
      <c r="W1146">
        <v>0</v>
      </c>
      <c r="X1146">
        <v>1</v>
      </c>
      <c r="Y1146">
        <v>481.18</v>
      </c>
      <c r="Z1146">
        <v>23.207999999999998</v>
      </c>
    </row>
    <row r="1147" spans="1:26">
      <c r="A1147" s="2">
        <v>43943</v>
      </c>
      <c r="B1147" s="4">
        <v>0.125</v>
      </c>
      <c r="C1147" s="1" t="s">
        <v>54</v>
      </c>
      <c r="D1147">
        <v>900</v>
      </c>
      <c r="E1147">
        <v>81</v>
      </c>
      <c r="F1147">
        <v>0</v>
      </c>
      <c r="J1147">
        <v>1</v>
      </c>
      <c r="K1147">
        <v>1</v>
      </c>
      <c r="L1147" s="1" t="s">
        <v>492</v>
      </c>
      <c r="N1147" s="1" t="s">
        <v>37</v>
      </c>
      <c r="P1147" s="1" t="s">
        <v>37</v>
      </c>
      <c r="R1147" s="1" t="s">
        <v>37</v>
      </c>
      <c r="S1147">
        <v>47.166666999999997</v>
      </c>
      <c r="T1147">
        <v>9.509722</v>
      </c>
      <c r="U1147" s="1" t="s">
        <v>55</v>
      </c>
      <c r="V1147">
        <v>0</v>
      </c>
      <c r="W1147">
        <v>0</v>
      </c>
      <c r="X1147">
        <v>0</v>
      </c>
      <c r="Y1147">
        <v>209.84</v>
      </c>
      <c r="Z1147">
        <v>2.5910000000000002</v>
      </c>
    </row>
    <row r="1148" spans="1:26">
      <c r="A1148" s="2">
        <v>43943</v>
      </c>
      <c r="B1148" s="4">
        <v>0.125</v>
      </c>
      <c r="C1148" s="1" t="s">
        <v>57</v>
      </c>
      <c r="D1148">
        <v>30</v>
      </c>
      <c r="E1148">
        <v>1006</v>
      </c>
      <c r="F1148">
        <v>-3</v>
      </c>
      <c r="G1148">
        <v>57</v>
      </c>
      <c r="H1148">
        <v>5</v>
      </c>
      <c r="J1148">
        <v>116</v>
      </c>
      <c r="K1148">
        <v>76</v>
      </c>
      <c r="L1148" s="1" t="s">
        <v>59</v>
      </c>
      <c r="N1148" s="1" t="s">
        <v>37</v>
      </c>
      <c r="P1148" s="1" t="s">
        <v>37</v>
      </c>
      <c r="R1148" s="1" t="s">
        <v>37</v>
      </c>
      <c r="S1148">
        <v>46.718390999999997</v>
      </c>
      <c r="T1148">
        <v>7.0740080000000001</v>
      </c>
      <c r="U1148" s="1" t="s">
        <v>58</v>
      </c>
      <c r="V1148">
        <v>10</v>
      </c>
      <c r="W1148">
        <v>11</v>
      </c>
      <c r="X1148">
        <v>2</v>
      </c>
      <c r="Y1148">
        <v>319.26</v>
      </c>
      <c r="Z1148">
        <v>24.119</v>
      </c>
    </row>
    <row r="1149" spans="1:26">
      <c r="A1149" s="2">
        <v>43943</v>
      </c>
      <c r="B1149" s="4">
        <v>0.5</v>
      </c>
      <c r="C1149" s="1" t="s">
        <v>60</v>
      </c>
      <c r="D1149">
        <v>22735</v>
      </c>
      <c r="E1149">
        <v>4710</v>
      </c>
      <c r="F1149">
        <v>-16</v>
      </c>
      <c r="G1149">
        <v>288</v>
      </c>
      <c r="H1149">
        <v>30</v>
      </c>
      <c r="I1149">
        <v>27</v>
      </c>
      <c r="J1149">
        <v>589</v>
      </c>
      <c r="K1149">
        <v>205</v>
      </c>
      <c r="L1149" s="1" t="s">
        <v>62</v>
      </c>
      <c r="N1149" s="1" t="s">
        <v>37</v>
      </c>
      <c r="P1149" s="1" t="s">
        <v>37</v>
      </c>
      <c r="Q1149">
        <v>18</v>
      </c>
      <c r="R1149" s="1" t="s">
        <v>37</v>
      </c>
      <c r="S1149">
        <v>46.220528000000002</v>
      </c>
      <c r="T1149">
        <v>6.1329349999999998</v>
      </c>
      <c r="U1149" s="1" t="s">
        <v>61</v>
      </c>
      <c r="V1149">
        <v>25</v>
      </c>
      <c r="W1149">
        <v>0</v>
      </c>
      <c r="X1149">
        <v>0</v>
      </c>
      <c r="Y1149">
        <v>951.13</v>
      </c>
      <c r="Z1149">
        <v>41.396999999999998</v>
      </c>
    </row>
    <row r="1150" spans="1:26">
      <c r="A1150" s="2">
        <v>43943</v>
      </c>
      <c r="B1150" s="4">
        <v>0.5625</v>
      </c>
      <c r="C1150" s="1" t="s">
        <v>63</v>
      </c>
      <c r="E1150">
        <v>117</v>
      </c>
      <c r="F1150">
        <v>0</v>
      </c>
      <c r="G1150">
        <v>3</v>
      </c>
      <c r="K1150">
        <v>6</v>
      </c>
      <c r="L1150" s="1" t="s">
        <v>65</v>
      </c>
      <c r="N1150" s="1" t="s">
        <v>37</v>
      </c>
      <c r="P1150" s="1" t="s">
        <v>37</v>
      </c>
      <c r="R1150" s="1" t="s">
        <v>37</v>
      </c>
      <c r="S1150">
        <v>46.931042000000005</v>
      </c>
      <c r="T1150">
        <v>9.0657510000000006</v>
      </c>
      <c r="U1150" s="1" t="s">
        <v>64</v>
      </c>
      <c r="V1150">
        <v>8</v>
      </c>
      <c r="W1150">
        <v>2</v>
      </c>
      <c r="X1150">
        <v>0</v>
      </c>
      <c r="Y1150">
        <v>290.32</v>
      </c>
      <c r="Z1150">
        <v>14.888</v>
      </c>
    </row>
    <row r="1151" spans="1:26">
      <c r="A1151" s="2">
        <v>43943</v>
      </c>
      <c r="B1151" s="4">
        <v>0.125</v>
      </c>
      <c r="C1151" s="1" t="s">
        <v>66</v>
      </c>
      <c r="E1151">
        <v>788</v>
      </c>
      <c r="F1151">
        <v>-1</v>
      </c>
      <c r="G1151">
        <v>26</v>
      </c>
      <c r="K1151">
        <v>43</v>
      </c>
      <c r="L1151" s="1" t="s">
        <v>68</v>
      </c>
      <c r="N1151" s="1" t="s">
        <v>37</v>
      </c>
      <c r="P1151" s="1" t="s">
        <v>37</v>
      </c>
      <c r="R1151" s="1" t="s">
        <v>37</v>
      </c>
      <c r="S1151">
        <v>46.656247999999998</v>
      </c>
      <c r="T1151">
        <v>9.6281979999999994</v>
      </c>
      <c r="U1151" s="1" t="s">
        <v>67</v>
      </c>
      <c r="V1151">
        <v>1</v>
      </c>
      <c r="W1151">
        <v>6</v>
      </c>
      <c r="X1151">
        <v>1</v>
      </c>
      <c r="Y1151">
        <v>398.18</v>
      </c>
      <c r="Z1151">
        <v>21.728000000000002</v>
      </c>
    </row>
    <row r="1152" spans="1:26">
      <c r="A1152" s="2">
        <v>43943</v>
      </c>
      <c r="B1152" s="4">
        <v>0.66666666666666663</v>
      </c>
      <c r="C1152" s="1" t="s">
        <v>69</v>
      </c>
      <c r="E1152">
        <v>196</v>
      </c>
      <c r="F1152">
        <v>0</v>
      </c>
      <c r="G1152">
        <v>12</v>
      </c>
      <c r="H1152">
        <v>4</v>
      </c>
      <c r="K1152">
        <v>6</v>
      </c>
      <c r="L1152" s="1" t="s">
        <v>280</v>
      </c>
      <c r="N1152" s="1" t="s">
        <v>37</v>
      </c>
      <c r="P1152" s="1" t="s">
        <v>37</v>
      </c>
      <c r="R1152" s="1" t="s">
        <v>37</v>
      </c>
      <c r="S1152">
        <v>47.350743999999999</v>
      </c>
      <c r="T1152">
        <v>7.1561070000000004</v>
      </c>
      <c r="U1152" s="1" t="s">
        <v>70</v>
      </c>
      <c r="V1152">
        <v>26</v>
      </c>
      <c r="W1152">
        <v>1</v>
      </c>
      <c r="X1152">
        <v>0</v>
      </c>
      <c r="Y1152">
        <v>267.39</v>
      </c>
      <c r="Z1152">
        <v>8.1859999999999999</v>
      </c>
    </row>
    <row r="1153" spans="1:26">
      <c r="A1153" s="2">
        <v>43943</v>
      </c>
      <c r="B1153" s="4">
        <v>0.45833333333333331</v>
      </c>
      <c r="C1153" s="1" t="s">
        <v>71</v>
      </c>
      <c r="E1153">
        <v>648</v>
      </c>
      <c r="F1153">
        <v>0</v>
      </c>
      <c r="G1153">
        <v>35</v>
      </c>
      <c r="H1153">
        <v>5</v>
      </c>
      <c r="K1153">
        <v>15</v>
      </c>
      <c r="L1153" s="1" t="s">
        <v>73</v>
      </c>
      <c r="N1153" s="1" t="s">
        <v>37</v>
      </c>
      <c r="P1153" s="1" t="s">
        <v>37</v>
      </c>
      <c r="R1153" s="1" t="s">
        <v>37</v>
      </c>
      <c r="S1153">
        <v>47.067762999999999</v>
      </c>
      <c r="T1153">
        <v>8.1102000000000007</v>
      </c>
      <c r="U1153" s="1" t="s">
        <v>72</v>
      </c>
      <c r="V1153">
        <v>3</v>
      </c>
      <c r="W1153">
        <v>5</v>
      </c>
      <c r="X1153">
        <v>0</v>
      </c>
      <c r="Y1153">
        <v>159.41</v>
      </c>
      <c r="Z1153">
        <v>3.69</v>
      </c>
    </row>
    <row r="1154" spans="1:26">
      <c r="A1154" s="2">
        <v>43943</v>
      </c>
      <c r="B1154" s="4">
        <v>0.66666666666666663</v>
      </c>
      <c r="C1154" s="1" t="s">
        <v>74</v>
      </c>
      <c r="E1154">
        <v>652</v>
      </c>
      <c r="F1154">
        <v>0</v>
      </c>
      <c r="G1154">
        <v>37</v>
      </c>
      <c r="H1154">
        <v>6</v>
      </c>
      <c r="I1154">
        <v>4</v>
      </c>
      <c r="K1154">
        <v>56</v>
      </c>
      <c r="L1154" s="1" t="s">
        <v>493</v>
      </c>
      <c r="N1154" s="1" t="s">
        <v>37</v>
      </c>
      <c r="P1154" s="1" t="s">
        <v>37</v>
      </c>
      <c r="R1154" s="1" t="s">
        <v>37</v>
      </c>
      <c r="S1154">
        <v>46.995533999999999</v>
      </c>
      <c r="T1154">
        <v>6.7801260000000001</v>
      </c>
      <c r="U1154" s="1" t="s">
        <v>75</v>
      </c>
      <c r="V1154">
        <v>24</v>
      </c>
      <c r="W1154">
        <v>0</v>
      </c>
      <c r="X1154">
        <v>0</v>
      </c>
      <c r="Y1154">
        <v>366.29</v>
      </c>
      <c r="Z1154">
        <v>31.460999999999999</v>
      </c>
    </row>
    <row r="1155" spans="1:26">
      <c r="A1155" s="2">
        <v>43943</v>
      </c>
      <c r="B1155" s="4">
        <v>0.66666666666666663</v>
      </c>
      <c r="C1155" s="1" t="s">
        <v>80</v>
      </c>
      <c r="D1155">
        <v>6</v>
      </c>
      <c r="E1155">
        <v>67</v>
      </c>
      <c r="F1155">
        <v>0</v>
      </c>
      <c r="G1155">
        <v>0</v>
      </c>
      <c r="J1155">
        <v>1</v>
      </c>
      <c r="K1155">
        <v>0</v>
      </c>
      <c r="L1155" s="1" t="s">
        <v>82</v>
      </c>
      <c r="N1155" s="1" t="s">
        <v>37</v>
      </c>
      <c r="P1155" s="1" t="s">
        <v>37</v>
      </c>
      <c r="R1155" s="1" t="s">
        <v>37</v>
      </c>
      <c r="S1155">
        <v>46.804527</v>
      </c>
      <c r="T1155">
        <v>8.1443170000000009</v>
      </c>
      <c r="U1155" s="1" t="s">
        <v>81</v>
      </c>
      <c r="V1155">
        <v>6</v>
      </c>
      <c r="W1155">
        <v>0</v>
      </c>
      <c r="X1155">
        <v>0</v>
      </c>
      <c r="Y1155">
        <v>178.19</v>
      </c>
      <c r="Z1155">
        <v>0</v>
      </c>
    </row>
    <row r="1156" spans="1:26">
      <c r="A1156" s="2">
        <v>43943</v>
      </c>
      <c r="B1156" s="4">
        <v>0.125</v>
      </c>
      <c r="C1156" s="1" t="s">
        <v>83</v>
      </c>
      <c r="E1156">
        <v>724</v>
      </c>
      <c r="F1156">
        <v>4</v>
      </c>
      <c r="G1156">
        <v>52</v>
      </c>
      <c r="H1156">
        <v>6</v>
      </c>
      <c r="J1156">
        <v>162</v>
      </c>
      <c r="K1156">
        <v>29</v>
      </c>
      <c r="L1156" s="1" t="s">
        <v>85</v>
      </c>
      <c r="N1156" s="1" t="s">
        <v>37</v>
      </c>
      <c r="P1156" s="1" t="s">
        <v>37</v>
      </c>
      <c r="R1156" s="1" t="s">
        <v>37</v>
      </c>
      <c r="S1156">
        <v>47.183199999999999</v>
      </c>
      <c r="T1156">
        <v>9.2747440000000001</v>
      </c>
      <c r="U1156" s="1" t="s">
        <v>84</v>
      </c>
      <c r="V1156">
        <v>17</v>
      </c>
      <c r="W1156">
        <v>6</v>
      </c>
      <c r="X1156">
        <v>0</v>
      </c>
      <c r="Y1156">
        <v>143.44999999999999</v>
      </c>
      <c r="Z1156">
        <v>5.7460000000000004</v>
      </c>
    </row>
    <row r="1157" spans="1:26">
      <c r="A1157" s="2">
        <v>43943</v>
      </c>
      <c r="B1157" s="4">
        <v>0.39583333333333331</v>
      </c>
      <c r="C1157" s="1" t="s">
        <v>86</v>
      </c>
      <c r="E1157">
        <v>63</v>
      </c>
      <c r="F1157">
        <v>0</v>
      </c>
      <c r="G1157">
        <v>10</v>
      </c>
      <c r="H1157">
        <v>2</v>
      </c>
      <c r="K1157">
        <v>3</v>
      </c>
      <c r="L1157" s="1" t="s">
        <v>88</v>
      </c>
      <c r="N1157" s="1" t="s">
        <v>37</v>
      </c>
      <c r="P1157" s="1" t="s">
        <v>37</v>
      </c>
      <c r="R1157" s="1" t="s">
        <v>37</v>
      </c>
      <c r="S1157">
        <v>47.713569999999997</v>
      </c>
      <c r="T1157">
        <v>8.5916700000000006</v>
      </c>
      <c r="U1157" s="1" t="s">
        <v>87</v>
      </c>
      <c r="V1157">
        <v>14</v>
      </c>
      <c r="W1157">
        <v>0</v>
      </c>
      <c r="X1157">
        <v>1</v>
      </c>
      <c r="Y1157">
        <v>77.400000000000006</v>
      </c>
      <c r="Z1157">
        <v>3.6859999999999999</v>
      </c>
    </row>
    <row r="1158" spans="1:26">
      <c r="A1158" s="2">
        <v>43943</v>
      </c>
      <c r="B1158" s="4">
        <v>0.125</v>
      </c>
      <c r="C1158" s="1" t="s">
        <v>89</v>
      </c>
      <c r="E1158">
        <v>368</v>
      </c>
      <c r="F1158">
        <v>-1</v>
      </c>
      <c r="G1158">
        <v>18</v>
      </c>
      <c r="K1158">
        <v>11</v>
      </c>
      <c r="L1158" s="1" t="s">
        <v>91</v>
      </c>
      <c r="N1158" s="1" t="s">
        <v>37</v>
      </c>
      <c r="P1158" s="1" t="s">
        <v>37</v>
      </c>
      <c r="R1158" s="1" t="s">
        <v>37</v>
      </c>
      <c r="S1158">
        <v>47.304135000000002</v>
      </c>
      <c r="T1158">
        <v>7.6393880000000003</v>
      </c>
      <c r="U1158" s="1" t="s">
        <v>90</v>
      </c>
      <c r="V1158">
        <v>11</v>
      </c>
      <c r="W1158">
        <v>9</v>
      </c>
      <c r="X1158">
        <v>0</v>
      </c>
      <c r="Y1158">
        <v>135.59</v>
      </c>
      <c r="Z1158">
        <v>4.0529999999999999</v>
      </c>
    </row>
    <row r="1159" spans="1:26">
      <c r="A1159" s="2">
        <v>43943</v>
      </c>
      <c r="B1159" s="4">
        <v>0.34930555555555554</v>
      </c>
      <c r="C1159" s="1" t="s">
        <v>92</v>
      </c>
      <c r="D1159">
        <v>10</v>
      </c>
      <c r="E1159">
        <v>282</v>
      </c>
      <c r="F1159">
        <v>0</v>
      </c>
      <c r="G1159">
        <v>1</v>
      </c>
      <c r="J1159">
        <v>194</v>
      </c>
      <c r="K1159">
        <v>16</v>
      </c>
      <c r="L1159" s="1" t="s">
        <v>489</v>
      </c>
      <c r="N1159" s="1" t="s">
        <v>37</v>
      </c>
      <c r="P1159" s="1" t="s">
        <v>37</v>
      </c>
      <c r="R1159" s="1" t="s">
        <v>37</v>
      </c>
      <c r="S1159">
        <v>47.061787000000002</v>
      </c>
      <c r="T1159">
        <v>8.7565849999999994</v>
      </c>
      <c r="U1159" s="1" t="s">
        <v>93</v>
      </c>
      <c r="V1159">
        <v>5</v>
      </c>
      <c r="W1159">
        <v>6</v>
      </c>
      <c r="X1159">
        <v>0</v>
      </c>
      <c r="Y1159">
        <v>179.28</v>
      </c>
      <c r="Z1159">
        <v>10.172000000000001</v>
      </c>
    </row>
    <row r="1160" spans="1:26">
      <c r="A1160" s="2">
        <v>43943</v>
      </c>
      <c r="B1160" s="4">
        <v>0.125</v>
      </c>
      <c r="C1160" s="1" t="s">
        <v>95</v>
      </c>
      <c r="D1160">
        <v>276</v>
      </c>
      <c r="E1160">
        <v>340</v>
      </c>
      <c r="F1160">
        <v>-1</v>
      </c>
      <c r="G1160">
        <v>23</v>
      </c>
      <c r="H1160">
        <v>9</v>
      </c>
      <c r="K1160">
        <v>14</v>
      </c>
      <c r="L1160" s="1" t="s">
        <v>97</v>
      </c>
      <c r="N1160" s="1" t="s">
        <v>37</v>
      </c>
      <c r="P1160" s="1" t="s">
        <v>37</v>
      </c>
      <c r="R1160" s="1" t="s">
        <v>37</v>
      </c>
      <c r="S1160">
        <v>47.568714999999997</v>
      </c>
      <c r="T1160">
        <v>9.0919570000000007</v>
      </c>
      <c r="U1160" s="1" t="s">
        <v>96</v>
      </c>
      <c r="V1160">
        <v>1</v>
      </c>
      <c r="W1160">
        <v>1</v>
      </c>
      <c r="X1160">
        <v>1</v>
      </c>
      <c r="Y1160">
        <v>124.18</v>
      </c>
      <c r="Z1160">
        <v>5.1130000000000004</v>
      </c>
    </row>
    <row r="1161" spans="1:26">
      <c r="A1161" s="2">
        <v>43943</v>
      </c>
      <c r="B1161" s="4">
        <v>0.33333333333333331</v>
      </c>
      <c r="C1161" s="1" t="s">
        <v>98</v>
      </c>
      <c r="E1161">
        <v>3089</v>
      </c>
      <c r="F1161">
        <v>-23</v>
      </c>
      <c r="G1161">
        <v>213</v>
      </c>
      <c r="H1161">
        <v>42</v>
      </c>
      <c r="I1161">
        <v>32</v>
      </c>
      <c r="J1161">
        <v>661</v>
      </c>
      <c r="K1161">
        <v>295</v>
      </c>
      <c r="L1161" s="1" t="s">
        <v>494</v>
      </c>
      <c r="N1161" s="1" t="s">
        <v>37</v>
      </c>
      <c r="P1161" s="1" t="s">
        <v>37</v>
      </c>
      <c r="R1161" s="1" t="s">
        <v>37</v>
      </c>
      <c r="S1161">
        <v>46.295617</v>
      </c>
      <c r="T1161">
        <v>8.8089239999999993</v>
      </c>
      <c r="U1161" s="1" t="s">
        <v>99</v>
      </c>
      <c r="V1161">
        <v>21</v>
      </c>
      <c r="W1161">
        <v>24</v>
      </c>
      <c r="X1161">
        <v>4</v>
      </c>
      <c r="Y1161">
        <v>873.34</v>
      </c>
      <c r="Z1161">
        <v>83.403999999999996</v>
      </c>
    </row>
    <row r="1162" spans="1:26">
      <c r="A1162" s="2">
        <v>43943</v>
      </c>
      <c r="B1162" s="4">
        <v>0.625</v>
      </c>
      <c r="C1162" s="1" t="s">
        <v>101</v>
      </c>
      <c r="D1162">
        <v>85</v>
      </c>
      <c r="E1162">
        <v>78</v>
      </c>
      <c r="F1162">
        <v>1</v>
      </c>
      <c r="G1162">
        <v>3</v>
      </c>
      <c r="J1162">
        <v>69</v>
      </c>
      <c r="K1162">
        <v>5</v>
      </c>
      <c r="L1162" s="1" t="s">
        <v>103</v>
      </c>
      <c r="N1162" s="1" t="s">
        <v>37</v>
      </c>
      <c r="P1162" s="1" t="s">
        <v>37</v>
      </c>
      <c r="R1162" s="1" t="s">
        <v>37</v>
      </c>
      <c r="S1162">
        <v>46.771849000000003</v>
      </c>
      <c r="T1162">
        <v>8.6285860000000003</v>
      </c>
      <c r="U1162" s="1" t="s">
        <v>102</v>
      </c>
      <c r="V1162">
        <v>4</v>
      </c>
      <c r="W1162">
        <v>0</v>
      </c>
      <c r="X1162">
        <v>0</v>
      </c>
      <c r="Y1162">
        <v>214.88</v>
      </c>
      <c r="Z1162">
        <v>13.773999999999999</v>
      </c>
    </row>
    <row r="1163" spans="1:26">
      <c r="A1163" s="2">
        <v>43943</v>
      </c>
      <c r="B1163" s="4">
        <v>0.125</v>
      </c>
      <c r="C1163" s="1" t="s">
        <v>104</v>
      </c>
      <c r="E1163">
        <v>5071</v>
      </c>
      <c r="F1163">
        <v>-12</v>
      </c>
      <c r="G1163">
        <v>196</v>
      </c>
      <c r="H1163">
        <v>44</v>
      </c>
      <c r="J1163">
        <v>225</v>
      </c>
      <c r="K1163">
        <v>324</v>
      </c>
      <c r="L1163" s="1" t="s">
        <v>106</v>
      </c>
      <c r="N1163" s="1" t="s">
        <v>37</v>
      </c>
      <c r="P1163" s="1" t="s">
        <v>37</v>
      </c>
      <c r="R1163" s="1" t="s">
        <v>37</v>
      </c>
      <c r="S1163">
        <v>46.570090999999998</v>
      </c>
      <c r="T1163">
        <v>6.5578090000000007</v>
      </c>
      <c r="U1163" s="1" t="s">
        <v>105</v>
      </c>
      <c r="V1163">
        <v>22</v>
      </c>
      <c r="W1163">
        <v>30</v>
      </c>
      <c r="X1163">
        <v>3</v>
      </c>
      <c r="Y1163">
        <v>639.39</v>
      </c>
      <c r="Z1163">
        <v>40.851999999999997</v>
      </c>
    </row>
    <row r="1164" spans="1:26">
      <c r="A1164" s="2">
        <v>43943</v>
      </c>
      <c r="B1164" s="4">
        <v>0.625</v>
      </c>
      <c r="C1164" s="1" t="s">
        <v>107</v>
      </c>
      <c r="E1164">
        <v>1792</v>
      </c>
      <c r="F1164">
        <v>0</v>
      </c>
      <c r="G1164">
        <v>76</v>
      </c>
      <c r="H1164">
        <v>15</v>
      </c>
      <c r="I1164">
        <v>11</v>
      </c>
      <c r="J1164">
        <v>210</v>
      </c>
      <c r="K1164">
        <v>114</v>
      </c>
      <c r="L1164" s="1" t="s">
        <v>495</v>
      </c>
      <c r="N1164" s="1" t="s">
        <v>37</v>
      </c>
      <c r="P1164" s="1" t="s">
        <v>37</v>
      </c>
      <c r="R1164" s="1" t="s">
        <v>37</v>
      </c>
      <c r="S1164">
        <v>46.209567</v>
      </c>
      <c r="T1164">
        <v>7.6046589999999998</v>
      </c>
      <c r="U1164" s="1" t="s">
        <v>108</v>
      </c>
      <c r="V1164">
        <v>23</v>
      </c>
      <c r="W1164">
        <v>1</v>
      </c>
      <c r="X1164">
        <v>1</v>
      </c>
      <c r="Y1164">
        <v>524.74</v>
      </c>
      <c r="Z1164">
        <v>33.381999999999998</v>
      </c>
    </row>
    <row r="1165" spans="1:26">
      <c r="A1165" s="2">
        <v>43943</v>
      </c>
      <c r="B1165" s="4">
        <v>0.33333333333333331</v>
      </c>
      <c r="C1165" s="1" t="s">
        <v>109</v>
      </c>
      <c r="E1165">
        <v>178</v>
      </c>
      <c r="F1165">
        <v>-1</v>
      </c>
      <c r="G1165">
        <v>5</v>
      </c>
      <c r="H1165">
        <v>3</v>
      </c>
      <c r="J1165">
        <v>131</v>
      </c>
      <c r="K1165">
        <v>8</v>
      </c>
      <c r="L1165" s="1" t="s">
        <v>502</v>
      </c>
      <c r="N1165" s="1" t="s">
        <v>37</v>
      </c>
      <c r="P1165" s="1" t="s">
        <v>37</v>
      </c>
      <c r="R1165" s="1" t="s">
        <v>37</v>
      </c>
      <c r="S1165">
        <v>47.157296000000002</v>
      </c>
      <c r="T1165">
        <v>8.5372939999999993</v>
      </c>
      <c r="U1165" s="1" t="s">
        <v>110</v>
      </c>
      <c r="V1165">
        <v>9</v>
      </c>
      <c r="W1165">
        <v>2</v>
      </c>
      <c r="X1165">
        <v>0</v>
      </c>
      <c r="Y1165">
        <v>141.94999999999999</v>
      </c>
      <c r="Z1165">
        <v>6.38</v>
      </c>
    </row>
    <row r="1166" spans="1:26">
      <c r="A1166" s="2">
        <v>43943</v>
      </c>
      <c r="B1166" s="4">
        <v>0.60416666666666663</v>
      </c>
      <c r="C1166" s="1" t="s">
        <v>111</v>
      </c>
      <c r="E1166">
        <v>3320</v>
      </c>
      <c r="F1166">
        <v>0</v>
      </c>
      <c r="G1166">
        <v>110</v>
      </c>
      <c r="I1166">
        <v>44</v>
      </c>
      <c r="K1166">
        <v>108</v>
      </c>
      <c r="L1166" s="1" t="s">
        <v>113</v>
      </c>
      <c r="N1166" s="1" t="s">
        <v>37</v>
      </c>
      <c r="P1166" s="1" t="s">
        <v>37</v>
      </c>
      <c r="R1166" s="1" t="s">
        <v>37</v>
      </c>
      <c r="S1166">
        <v>47.412750000000003</v>
      </c>
      <c r="T1166">
        <v>8.6550799999999999</v>
      </c>
      <c r="U1166" s="1" t="s">
        <v>112</v>
      </c>
      <c r="V1166">
        <v>1</v>
      </c>
      <c r="W1166">
        <v>40</v>
      </c>
      <c r="X1166">
        <v>0</v>
      </c>
      <c r="Y1166">
        <v>220.7</v>
      </c>
      <c r="Z1166">
        <v>7.1790000000000003</v>
      </c>
    </row>
    <row r="1167" spans="1:26">
      <c r="A1167" s="2">
        <v>43944</v>
      </c>
      <c r="B1167" s="4">
        <v>0.45833333333333331</v>
      </c>
      <c r="C1167" s="1" t="s">
        <v>39</v>
      </c>
      <c r="E1167">
        <v>25</v>
      </c>
      <c r="F1167">
        <v>0</v>
      </c>
      <c r="G1167">
        <v>1</v>
      </c>
      <c r="L1167" s="1" t="s">
        <v>41</v>
      </c>
      <c r="N1167" s="1" t="s">
        <v>37</v>
      </c>
      <c r="P1167" s="1" t="s">
        <v>37</v>
      </c>
      <c r="R1167" s="1" t="s">
        <v>37</v>
      </c>
      <c r="S1167">
        <v>47.317264000000002</v>
      </c>
      <c r="T1167">
        <v>9.4167539999999992</v>
      </c>
      <c r="U1167" s="1" t="s">
        <v>40</v>
      </c>
      <c r="V1167">
        <v>16</v>
      </c>
      <c r="W1167">
        <v>1</v>
      </c>
      <c r="X1167">
        <v>0</v>
      </c>
      <c r="Y1167">
        <v>155.28</v>
      </c>
    </row>
    <row r="1168" spans="1:26">
      <c r="A1168" s="2">
        <v>43944</v>
      </c>
      <c r="B1168" s="4">
        <v>0.33333333333333331</v>
      </c>
      <c r="C1168" s="1" t="s">
        <v>42</v>
      </c>
      <c r="E1168">
        <v>88</v>
      </c>
      <c r="F1168">
        <v>0</v>
      </c>
      <c r="G1168">
        <v>6</v>
      </c>
      <c r="K1168">
        <v>3</v>
      </c>
      <c r="L1168" s="1" t="s">
        <v>44</v>
      </c>
      <c r="N1168" s="1" t="s">
        <v>37</v>
      </c>
      <c r="P1168" s="1" t="s">
        <v>37</v>
      </c>
      <c r="R1168" s="1" t="s">
        <v>37</v>
      </c>
      <c r="S1168">
        <v>47.416351999999996</v>
      </c>
      <c r="T1168">
        <v>9.3679100000000002</v>
      </c>
      <c r="U1168" s="1" t="s">
        <v>43</v>
      </c>
      <c r="V1168">
        <v>15</v>
      </c>
      <c r="W1168">
        <v>1</v>
      </c>
      <c r="X1168">
        <v>0</v>
      </c>
      <c r="Y1168">
        <v>159.41999999999999</v>
      </c>
      <c r="Z1168">
        <v>5.4349999999999996</v>
      </c>
    </row>
    <row r="1169" spans="1:26">
      <c r="A1169" s="2">
        <v>43944</v>
      </c>
      <c r="B1169" s="4">
        <v>0.33333333333333331</v>
      </c>
      <c r="C1169" s="1" t="s">
        <v>45</v>
      </c>
      <c r="E1169">
        <v>1670</v>
      </c>
      <c r="F1169">
        <v>-1</v>
      </c>
      <c r="G1169">
        <v>66</v>
      </c>
      <c r="H1169">
        <v>11</v>
      </c>
      <c r="I1169">
        <v>7</v>
      </c>
      <c r="K1169">
        <v>79</v>
      </c>
      <c r="L1169" s="1" t="s">
        <v>47</v>
      </c>
      <c r="N1169" s="1" t="s">
        <v>37</v>
      </c>
      <c r="P1169" s="1" t="s">
        <v>37</v>
      </c>
      <c r="R1169" s="1" t="s">
        <v>37</v>
      </c>
      <c r="S1169">
        <v>46.823608</v>
      </c>
      <c r="T1169">
        <v>7.6366670000000001</v>
      </c>
      <c r="U1169" s="1" t="s">
        <v>46</v>
      </c>
      <c r="V1169">
        <v>2</v>
      </c>
      <c r="W1169">
        <v>27</v>
      </c>
      <c r="X1169">
        <v>2</v>
      </c>
      <c r="Y1169">
        <v>161.96</v>
      </c>
      <c r="Z1169">
        <v>7.6619999999999999</v>
      </c>
    </row>
    <row r="1170" spans="1:26">
      <c r="A1170" s="2">
        <v>43944</v>
      </c>
      <c r="B1170" s="4">
        <v>0.125</v>
      </c>
      <c r="C1170" s="1" t="s">
        <v>57</v>
      </c>
      <c r="D1170">
        <v>30</v>
      </c>
      <c r="E1170">
        <v>1014</v>
      </c>
      <c r="F1170">
        <v>0</v>
      </c>
      <c r="G1170">
        <v>57</v>
      </c>
      <c r="H1170">
        <v>5</v>
      </c>
      <c r="J1170">
        <v>118</v>
      </c>
      <c r="K1170">
        <v>76</v>
      </c>
      <c r="L1170" s="1" t="s">
        <v>59</v>
      </c>
      <c r="N1170" s="1" t="s">
        <v>37</v>
      </c>
      <c r="P1170" s="1" t="s">
        <v>37</v>
      </c>
      <c r="R1170" s="1" t="s">
        <v>37</v>
      </c>
      <c r="S1170">
        <v>46.718390999999997</v>
      </c>
      <c r="T1170">
        <v>7.0740080000000001</v>
      </c>
      <c r="U1170" s="1" t="s">
        <v>58</v>
      </c>
      <c r="V1170">
        <v>10</v>
      </c>
      <c r="W1170">
        <v>8</v>
      </c>
      <c r="X1170">
        <v>0</v>
      </c>
      <c r="Y1170">
        <v>321.8</v>
      </c>
      <c r="Z1170">
        <v>24.119</v>
      </c>
    </row>
    <row r="1171" spans="1:26">
      <c r="A1171" s="2">
        <v>43944</v>
      </c>
      <c r="B1171" s="4">
        <v>0.5625</v>
      </c>
      <c r="C1171" s="1" t="s">
        <v>63</v>
      </c>
      <c r="E1171">
        <v>117</v>
      </c>
      <c r="F1171">
        <v>0</v>
      </c>
      <c r="G1171">
        <v>3</v>
      </c>
      <c r="K1171">
        <v>6</v>
      </c>
      <c r="L1171" s="1" t="s">
        <v>65</v>
      </c>
      <c r="N1171" s="1" t="s">
        <v>37</v>
      </c>
      <c r="P1171" s="1" t="s">
        <v>37</v>
      </c>
      <c r="R1171" s="1" t="s">
        <v>37</v>
      </c>
      <c r="S1171">
        <v>46.931042000000005</v>
      </c>
      <c r="T1171">
        <v>9.0657510000000006</v>
      </c>
      <c r="U1171" s="1" t="s">
        <v>64</v>
      </c>
      <c r="V1171">
        <v>8</v>
      </c>
      <c r="W1171">
        <v>0</v>
      </c>
      <c r="X1171">
        <v>0</v>
      </c>
      <c r="Y1171">
        <v>290.32</v>
      </c>
      <c r="Z1171">
        <v>14.888</v>
      </c>
    </row>
    <row r="1172" spans="1:26">
      <c r="A1172" s="2">
        <v>43944</v>
      </c>
      <c r="B1172" s="4">
        <v>0.45833333333333331</v>
      </c>
      <c r="C1172" s="1" t="s">
        <v>71</v>
      </c>
      <c r="E1172">
        <v>654</v>
      </c>
      <c r="F1172">
        <v>0</v>
      </c>
      <c r="G1172">
        <v>35</v>
      </c>
      <c r="H1172">
        <v>5</v>
      </c>
      <c r="K1172">
        <v>15</v>
      </c>
      <c r="L1172" s="1" t="s">
        <v>73</v>
      </c>
      <c r="N1172" s="1" t="s">
        <v>37</v>
      </c>
      <c r="P1172" s="1" t="s">
        <v>37</v>
      </c>
      <c r="R1172" s="1" t="s">
        <v>37</v>
      </c>
      <c r="S1172">
        <v>47.067762999999999</v>
      </c>
      <c r="T1172">
        <v>8.1102000000000007</v>
      </c>
      <c r="U1172" s="1" t="s">
        <v>72</v>
      </c>
      <c r="V1172">
        <v>3</v>
      </c>
      <c r="W1172">
        <v>6</v>
      </c>
      <c r="X1172">
        <v>0</v>
      </c>
      <c r="Y1172">
        <v>160.88999999999999</v>
      </c>
      <c r="Z1172">
        <v>3.69</v>
      </c>
    </row>
    <row r="1173" spans="1:26">
      <c r="A1173" s="2">
        <v>43944</v>
      </c>
      <c r="B1173" s="4">
        <v>0.54166666666666663</v>
      </c>
      <c r="C1173" s="1" t="s">
        <v>80</v>
      </c>
      <c r="D1173">
        <v>6</v>
      </c>
      <c r="E1173">
        <v>68</v>
      </c>
      <c r="F1173">
        <v>0</v>
      </c>
      <c r="G1173">
        <v>0</v>
      </c>
      <c r="J1173">
        <v>1</v>
      </c>
      <c r="K1173">
        <v>0</v>
      </c>
      <c r="L1173" s="1" t="s">
        <v>82</v>
      </c>
      <c r="N1173" s="1" t="s">
        <v>37</v>
      </c>
      <c r="P1173" s="1" t="s">
        <v>37</v>
      </c>
      <c r="R1173" s="1" t="s">
        <v>37</v>
      </c>
      <c r="S1173">
        <v>46.804527</v>
      </c>
      <c r="T1173">
        <v>8.1443170000000009</v>
      </c>
      <c r="U1173" s="1" t="s">
        <v>81</v>
      </c>
      <c r="V1173">
        <v>6</v>
      </c>
      <c r="W1173">
        <v>1</v>
      </c>
      <c r="X1173">
        <v>0</v>
      </c>
      <c r="Y1173">
        <v>180.85</v>
      </c>
      <c r="Z1173">
        <v>0</v>
      </c>
    </row>
    <row r="1174" spans="1:26">
      <c r="A1174" s="2">
        <v>43944</v>
      </c>
      <c r="B1174" s="4">
        <v>0.125</v>
      </c>
      <c r="C1174" s="1" t="s">
        <v>83</v>
      </c>
      <c r="E1174">
        <v>736</v>
      </c>
      <c r="F1174">
        <v>-9</v>
      </c>
      <c r="G1174">
        <v>43</v>
      </c>
      <c r="H1174">
        <v>4</v>
      </c>
      <c r="J1174">
        <v>167</v>
      </c>
      <c r="K1174">
        <v>31</v>
      </c>
      <c r="L1174" s="1" t="s">
        <v>85</v>
      </c>
      <c r="N1174" s="1" t="s">
        <v>37</v>
      </c>
      <c r="P1174" s="1" t="s">
        <v>37</v>
      </c>
      <c r="R1174" s="1" t="s">
        <v>37</v>
      </c>
      <c r="S1174">
        <v>47.183199999999999</v>
      </c>
      <c r="T1174">
        <v>9.2747440000000001</v>
      </c>
      <c r="U1174" s="1" t="s">
        <v>84</v>
      </c>
      <c r="V1174">
        <v>17</v>
      </c>
      <c r="W1174">
        <v>12</v>
      </c>
      <c r="X1174">
        <v>2</v>
      </c>
      <c r="Y1174">
        <v>145.83000000000001</v>
      </c>
      <c r="Z1174">
        <v>6.1420000000000003</v>
      </c>
    </row>
    <row r="1175" spans="1:26">
      <c r="A1175" s="2">
        <v>43944</v>
      </c>
      <c r="B1175" s="4">
        <v>0.39583333333333331</v>
      </c>
      <c r="C1175" s="1" t="s">
        <v>86</v>
      </c>
      <c r="E1175">
        <v>65</v>
      </c>
      <c r="F1175">
        <v>-2</v>
      </c>
      <c r="G1175">
        <v>8</v>
      </c>
      <c r="H1175">
        <v>2</v>
      </c>
      <c r="K1175">
        <v>3</v>
      </c>
      <c r="L1175" s="1" t="s">
        <v>88</v>
      </c>
      <c r="N1175" s="1" t="s">
        <v>37</v>
      </c>
      <c r="P1175" s="1" t="s">
        <v>37</v>
      </c>
      <c r="R1175" s="1" t="s">
        <v>37</v>
      </c>
      <c r="S1175">
        <v>47.713569999999997</v>
      </c>
      <c r="T1175">
        <v>8.5916700000000006</v>
      </c>
      <c r="U1175" s="1" t="s">
        <v>87</v>
      </c>
      <c r="V1175">
        <v>14</v>
      </c>
      <c r="W1175">
        <v>2</v>
      </c>
      <c r="X1175">
        <v>0</v>
      </c>
      <c r="Y1175">
        <v>79.849999999999994</v>
      </c>
      <c r="Z1175">
        <v>3.6859999999999999</v>
      </c>
    </row>
    <row r="1176" spans="1:26">
      <c r="A1176" s="2">
        <v>43944</v>
      </c>
      <c r="B1176" s="4">
        <v>0.125</v>
      </c>
      <c r="C1176" s="1" t="s">
        <v>89</v>
      </c>
      <c r="E1176">
        <v>375</v>
      </c>
      <c r="F1176">
        <v>-3</v>
      </c>
      <c r="G1176">
        <v>15</v>
      </c>
      <c r="K1176">
        <v>12</v>
      </c>
      <c r="L1176" s="1" t="s">
        <v>91</v>
      </c>
      <c r="N1176" s="1" t="s">
        <v>37</v>
      </c>
      <c r="P1176" s="1" t="s">
        <v>37</v>
      </c>
      <c r="R1176" s="1" t="s">
        <v>37</v>
      </c>
      <c r="S1176">
        <v>47.304135000000002</v>
      </c>
      <c r="T1176">
        <v>7.6393880000000003</v>
      </c>
      <c r="U1176" s="1" t="s">
        <v>90</v>
      </c>
      <c r="V1176">
        <v>11</v>
      </c>
      <c r="W1176">
        <v>7</v>
      </c>
      <c r="X1176">
        <v>1</v>
      </c>
      <c r="Y1176">
        <v>138.16999999999999</v>
      </c>
      <c r="Z1176">
        <v>4.4219999999999997</v>
      </c>
    </row>
    <row r="1177" spans="1:26">
      <c r="A1177" s="2">
        <v>43944</v>
      </c>
      <c r="B1177" s="4">
        <v>0.34722222222222221</v>
      </c>
      <c r="C1177" s="1" t="s">
        <v>92</v>
      </c>
      <c r="D1177">
        <v>10</v>
      </c>
      <c r="E1177">
        <v>282</v>
      </c>
      <c r="F1177">
        <v>0</v>
      </c>
      <c r="G1177">
        <v>1</v>
      </c>
      <c r="J1177">
        <v>198</v>
      </c>
      <c r="K1177">
        <v>16</v>
      </c>
      <c r="L1177" s="1" t="s">
        <v>497</v>
      </c>
      <c r="N1177" s="1" t="s">
        <v>37</v>
      </c>
      <c r="P1177" s="1" t="s">
        <v>37</v>
      </c>
      <c r="R1177" s="1" t="s">
        <v>37</v>
      </c>
      <c r="S1177">
        <v>47.061787000000002</v>
      </c>
      <c r="T1177">
        <v>8.7565849999999994</v>
      </c>
      <c r="U1177" s="1" t="s">
        <v>93</v>
      </c>
      <c r="V1177">
        <v>5</v>
      </c>
      <c r="W1177">
        <v>0</v>
      </c>
      <c r="X1177">
        <v>0</v>
      </c>
      <c r="Y1177">
        <v>179.28</v>
      </c>
      <c r="Z1177">
        <v>10.172000000000001</v>
      </c>
    </row>
    <row r="1178" spans="1:26">
      <c r="A1178" s="2">
        <v>43944</v>
      </c>
      <c r="B1178" s="4">
        <v>0.125</v>
      </c>
      <c r="C1178" s="1" t="s">
        <v>95</v>
      </c>
      <c r="D1178">
        <v>276</v>
      </c>
      <c r="E1178">
        <v>353</v>
      </c>
      <c r="F1178">
        <v>-2</v>
      </c>
      <c r="G1178">
        <v>21</v>
      </c>
      <c r="H1178">
        <v>9</v>
      </c>
      <c r="K1178">
        <v>14</v>
      </c>
      <c r="L1178" s="1" t="s">
        <v>97</v>
      </c>
      <c r="N1178" s="1" t="s">
        <v>37</v>
      </c>
      <c r="P1178" s="1" t="s">
        <v>37</v>
      </c>
      <c r="R1178" s="1" t="s">
        <v>37</v>
      </c>
      <c r="S1178">
        <v>47.568714999999997</v>
      </c>
      <c r="T1178">
        <v>9.0919570000000007</v>
      </c>
      <c r="U1178" s="1" t="s">
        <v>96</v>
      </c>
      <c r="V1178">
        <v>1</v>
      </c>
      <c r="W1178">
        <v>13</v>
      </c>
      <c r="X1178">
        <v>0</v>
      </c>
      <c r="Y1178">
        <v>128.93</v>
      </c>
      <c r="Z1178">
        <v>5.1130000000000004</v>
      </c>
    </row>
    <row r="1179" spans="1:26">
      <c r="A1179" s="2">
        <v>43944</v>
      </c>
      <c r="B1179" s="4">
        <v>0.33333333333333331</v>
      </c>
      <c r="C1179" s="1" t="s">
        <v>98</v>
      </c>
      <c r="E1179">
        <v>3106</v>
      </c>
      <c r="F1179">
        <v>0</v>
      </c>
      <c r="G1179">
        <v>213</v>
      </c>
      <c r="H1179">
        <v>42</v>
      </c>
      <c r="I1179">
        <v>32</v>
      </c>
      <c r="J1179">
        <v>661</v>
      </c>
      <c r="K1179">
        <v>298</v>
      </c>
      <c r="L1179" s="1" t="s">
        <v>501</v>
      </c>
      <c r="N1179" s="1" t="s">
        <v>37</v>
      </c>
      <c r="P1179" s="1" t="s">
        <v>37</v>
      </c>
      <c r="R1179" s="1" t="s">
        <v>37</v>
      </c>
      <c r="S1179">
        <v>46.295617</v>
      </c>
      <c r="T1179">
        <v>8.8089239999999993</v>
      </c>
      <c r="U1179" s="1" t="s">
        <v>99</v>
      </c>
      <c r="V1179">
        <v>21</v>
      </c>
      <c r="W1179">
        <v>17</v>
      </c>
      <c r="X1179">
        <v>3</v>
      </c>
      <c r="Y1179">
        <v>878.15</v>
      </c>
      <c r="Z1179">
        <v>84.251999999999995</v>
      </c>
    </row>
    <row r="1180" spans="1:26">
      <c r="A1180" s="2">
        <v>43944</v>
      </c>
      <c r="B1180" s="4">
        <v>0.33333333333333331</v>
      </c>
      <c r="C1180" s="1" t="s">
        <v>109</v>
      </c>
      <c r="E1180">
        <v>178</v>
      </c>
      <c r="F1180">
        <v>0</v>
      </c>
      <c r="G1180">
        <v>5</v>
      </c>
      <c r="H1180">
        <v>3</v>
      </c>
      <c r="J1180">
        <v>133</v>
      </c>
      <c r="K1180">
        <v>8</v>
      </c>
      <c r="L1180" s="1" t="s">
        <v>502</v>
      </c>
      <c r="N1180" s="1" t="s">
        <v>37</v>
      </c>
      <c r="P1180" s="1" t="s">
        <v>37</v>
      </c>
      <c r="R1180" s="1" t="s">
        <v>37</v>
      </c>
      <c r="S1180">
        <v>47.157296000000002</v>
      </c>
      <c r="T1180">
        <v>8.5372939999999993</v>
      </c>
      <c r="U1180" s="1" t="s">
        <v>110</v>
      </c>
      <c r="V1180">
        <v>9</v>
      </c>
      <c r="W1180">
        <v>0</v>
      </c>
      <c r="X1180">
        <v>0</v>
      </c>
      <c r="Y1180">
        <v>141.94999999999999</v>
      </c>
      <c r="Z1180">
        <v>6.38</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53260-071C-42BC-9DC0-774571999768}">
  <sheetPr codeName="Tabelle6"/>
  <dimension ref="A1:Y32"/>
  <sheetViews>
    <sheetView workbookViewId="0">
      <selection activeCell="C1" sqref="C1:C1048576"/>
    </sheetView>
  </sheetViews>
  <sheetFormatPr baseColWidth="10" defaultRowHeight="14.5"/>
  <cols>
    <col min="1" max="1" width="14.6328125" customWidth="1"/>
  </cols>
  <sheetData>
    <row r="1" spans="1:25">
      <c r="A1" s="7" t="s">
        <v>354</v>
      </c>
      <c r="B1" s="7" t="s">
        <v>355</v>
      </c>
      <c r="C1" s="8" t="s">
        <v>498</v>
      </c>
      <c r="D1" s="8" t="s">
        <v>496</v>
      </c>
      <c r="E1" s="7" t="s">
        <v>356</v>
      </c>
      <c r="F1" s="8"/>
      <c r="H1" s="8"/>
      <c r="I1" s="8"/>
      <c r="J1" s="8"/>
      <c r="K1" s="8"/>
      <c r="L1" s="8"/>
      <c r="M1" s="8"/>
      <c r="N1" s="8"/>
      <c r="O1" s="8"/>
      <c r="P1" s="8"/>
      <c r="Q1" s="8"/>
      <c r="R1" s="8"/>
      <c r="S1" s="8"/>
      <c r="T1" s="8"/>
      <c r="U1" s="8"/>
      <c r="V1" s="8"/>
      <c r="W1" s="8"/>
      <c r="X1" s="8"/>
      <c r="Y1" s="8"/>
    </row>
    <row r="2" spans="1:25">
      <c r="A2" t="s">
        <v>357</v>
      </c>
      <c r="B2" t="s">
        <v>35</v>
      </c>
      <c r="C2" s="9" t="str">
        <f>kt_latest!E2</f>
        <v>Aargau</v>
      </c>
      <c r="D2" s="9">
        <f>kt_latest!R2</f>
        <v>31</v>
      </c>
      <c r="E2" s="5">
        <v>878</v>
      </c>
      <c r="F2" s="9"/>
      <c r="H2" s="9"/>
      <c r="I2" s="9"/>
      <c r="J2" s="9"/>
      <c r="K2" s="9"/>
      <c r="L2" s="9"/>
      <c r="M2" s="9"/>
      <c r="N2" s="9"/>
      <c r="O2" s="9"/>
      <c r="P2" s="11"/>
      <c r="Q2" s="11"/>
      <c r="R2" s="9"/>
      <c r="S2" s="9"/>
      <c r="T2" s="11"/>
      <c r="U2" s="9"/>
      <c r="V2" s="11"/>
      <c r="W2" s="9"/>
      <c r="X2" s="9"/>
      <c r="Y2" s="9"/>
    </row>
    <row r="3" spans="1:25">
      <c r="A3" t="s">
        <v>357</v>
      </c>
      <c r="B3" t="s">
        <v>39</v>
      </c>
      <c r="C3" s="10" t="str">
        <f>kt_latest!E3</f>
        <v>Appenzell Innerrhoden</v>
      </c>
      <c r="D3" s="10">
        <f>kt_latest!R3</f>
        <v>0</v>
      </c>
      <c r="E3" s="6">
        <v>24</v>
      </c>
      <c r="F3" s="10"/>
      <c r="H3" s="10"/>
      <c r="I3" s="10"/>
      <c r="J3" s="10"/>
      <c r="K3" s="10"/>
      <c r="L3" s="10"/>
      <c r="M3" s="10"/>
      <c r="N3" s="10"/>
      <c r="O3" s="10"/>
      <c r="P3" s="12"/>
      <c r="Q3" s="12"/>
      <c r="R3" s="10"/>
      <c r="S3" s="10"/>
      <c r="T3" s="12"/>
      <c r="U3" s="10"/>
      <c r="V3" s="12"/>
      <c r="W3" s="10"/>
      <c r="X3" s="10"/>
      <c r="Y3" s="10"/>
    </row>
    <row r="4" spans="1:25">
      <c r="A4" t="s">
        <v>357</v>
      </c>
      <c r="B4" t="s">
        <v>42</v>
      </c>
      <c r="C4" s="9" t="str">
        <f>kt_latest!E4</f>
        <v>Appenzell Ausserrhoden</v>
      </c>
      <c r="D4" s="9">
        <f>kt_latest!R4</f>
        <v>3</v>
      </c>
      <c r="E4" s="5">
        <v>77</v>
      </c>
      <c r="F4" s="9"/>
      <c r="H4" s="9"/>
      <c r="I4" s="9"/>
      <c r="J4" s="9"/>
      <c r="K4" s="9"/>
      <c r="L4" s="9"/>
      <c r="M4" s="9"/>
      <c r="N4" s="9"/>
      <c r="O4" s="9"/>
      <c r="P4" s="11"/>
      <c r="Q4" s="11"/>
      <c r="R4" s="9"/>
      <c r="S4" s="9"/>
      <c r="T4" s="11"/>
      <c r="U4" s="9"/>
      <c r="V4" s="11"/>
      <c r="W4" s="9"/>
      <c r="X4" s="9"/>
      <c r="Y4" s="9"/>
    </row>
    <row r="5" spans="1:25">
      <c r="A5" t="s">
        <v>357</v>
      </c>
      <c r="B5" t="s">
        <v>45</v>
      </c>
      <c r="C5" s="10" t="str">
        <f>kt_latest!E5</f>
        <v>Bern/Berne</v>
      </c>
      <c r="D5" s="10">
        <f>kt_latest!R5</f>
        <v>79</v>
      </c>
      <c r="E5" s="6">
        <v>1419</v>
      </c>
      <c r="F5" s="10"/>
      <c r="H5" s="10"/>
      <c r="I5" s="10"/>
      <c r="J5" s="10"/>
      <c r="K5" s="10"/>
      <c r="L5" s="10"/>
      <c r="M5" s="10"/>
      <c r="N5" s="10"/>
      <c r="O5" s="10"/>
      <c r="P5" s="12"/>
      <c r="Q5" s="12"/>
      <c r="R5" s="10"/>
      <c r="S5" s="10"/>
      <c r="T5" s="12"/>
      <c r="U5" s="10"/>
      <c r="V5" s="12"/>
      <c r="W5" s="10"/>
      <c r="X5" s="10"/>
      <c r="Y5" s="10"/>
    </row>
    <row r="6" spans="1:25">
      <c r="A6" t="s">
        <v>357</v>
      </c>
      <c r="B6" t="s">
        <v>48</v>
      </c>
      <c r="C6" s="9" t="str">
        <f>kt_latest!E6</f>
        <v>Basel-Landschaft</v>
      </c>
      <c r="D6" s="9">
        <f>kt_latest!R6</f>
        <v>26</v>
      </c>
      <c r="E6" s="5">
        <v>736</v>
      </c>
      <c r="F6" s="9"/>
      <c r="H6" s="9"/>
      <c r="I6" s="9"/>
      <c r="J6" s="9"/>
      <c r="K6" s="9"/>
      <c r="L6" s="9"/>
      <c r="M6" s="9"/>
      <c r="N6" s="9"/>
      <c r="O6" s="9"/>
      <c r="P6" s="11"/>
      <c r="Q6" s="11"/>
      <c r="R6" s="9"/>
      <c r="S6" s="9"/>
      <c r="T6" s="11"/>
      <c r="U6" s="9"/>
      <c r="V6" s="11"/>
      <c r="W6" s="9"/>
      <c r="X6" s="9"/>
      <c r="Y6" s="9"/>
    </row>
    <row r="7" spans="1:25">
      <c r="A7" t="s">
        <v>357</v>
      </c>
      <c r="B7" t="s">
        <v>51</v>
      </c>
      <c r="C7" s="10" t="str">
        <f>kt_latest!E7</f>
        <v>Basel-Stadt</v>
      </c>
      <c r="D7" s="10">
        <f>kt_latest!R7</f>
        <v>45</v>
      </c>
      <c r="E7" s="6">
        <v>882</v>
      </c>
      <c r="F7" s="10"/>
      <c r="H7" s="10"/>
      <c r="I7" s="10"/>
      <c r="J7" s="10"/>
      <c r="K7" s="10"/>
      <c r="L7" s="10"/>
      <c r="M7" s="10"/>
      <c r="N7" s="10"/>
      <c r="O7" s="10"/>
      <c r="P7" s="12"/>
      <c r="Q7" s="12"/>
      <c r="R7" s="10"/>
      <c r="S7" s="10"/>
      <c r="T7" s="12"/>
      <c r="U7" s="10"/>
      <c r="V7" s="12"/>
      <c r="W7" s="10"/>
      <c r="X7" s="10"/>
      <c r="Y7" s="10"/>
    </row>
    <row r="8" spans="1:25">
      <c r="A8" t="s">
        <v>357</v>
      </c>
      <c r="B8" t="s">
        <v>57</v>
      </c>
      <c r="C8" s="9" t="str">
        <f>kt_latest!E9</f>
        <v>Fribourg</v>
      </c>
      <c r="D8" s="9">
        <f>kt_latest!R9</f>
        <v>76</v>
      </c>
      <c r="E8" s="6">
        <v>846</v>
      </c>
      <c r="F8" s="10"/>
      <c r="H8" s="10"/>
      <c r="I8" s="10"/>
      <c r="J8" s="10"/>
      <c r="K8" s="10"/>
      <c r="L8" s="10"/>
      <c r="M8" s="10"/>
      <c r="N8" s="10"/>
      <c r="O8" s="10"/>
      <c r="P8" s="12"/>
      <c r="Q8" s="12"/>
      <c r="R8" s="10"/>
      <c r="S8" s="10"/>
      <c r="T8" s="12"/>
      <c r="U8" s="10"/>
      <c r="V8" s="12"/>
      <c r="W8" s="10"/>
      <c r="X8" s="10"/>
      <c r="Y8" s="10"/>
    </row>
    <row r="9" spans="1:25">
      <c r="A9" t="s">
        <v>357</v>
      </c>
      <c r="B9" t="s">
        <v>60</v>
      </c>
      <c r="C9" s="10" t="str">
        <f>kt_latest!E10</f>
        <v>Genève</v>
      </c>
      <c r="D9" s="10">
        <f>kt_latest!R10</f>
        <v>205</v>
      </c>
      <c r="E9" s="5">
        <v>4310</v>
      </c>
      <c r="F9" s="9"/>
      <c r="H9" s="9"/>
      <c r="I9" s="9"/>
      <c r="J9" s="9"/>
      <c r="K9" s="9"/>
      <c r="L9" s="9"/>
      <c r="M9" s="9"/>
      <c r="N9" s="9"/>
      <c r="O9" s="9"/>
      <c r="P9" s="11"/>
      <c r="Q9" s="11"/>
      <c r="R9" s="9"/>
      <c r="S9" s="9"/>
      <c r="T9" s="11"/>
      <c r="U9" s="9"/>
      <c r="V9" s="11"/>
      <c r="W9" s="9"/>
      <c r="X9" s="9"/>
      <c r="Y9" s="9"/>
    </row>
    <row r="10" spans="1:25">
      <c r="A10" t="s">
        <v>357</v>
      </c>
      <c r="B10" t="s">
        <v>63</v>
      </c>
      <c r="C10" s="9" t="str">
        <f>kt_latest!E11</f>
        <v>Glarus</v>
      </c>
      <c r="D10" s="9">
        <f>kt_latest!R11</f>
        <v>6</v>
      </c>
      <c r="E10" s="6">
        <v>91</v>
      </c>
      <c r="F10" s="10"/>
      <c r="H10" s="10"/>
      <c r="I10" s="10"/>
      <c r="J10" s="10"/>
      <c r="K10" s="10"/>
      <c r="L10" s="10"/>
      <c r="M10" s="10"/>
      <c r="N10" s="10"/>
      <c r="O10" s="10"/>
      <c r="P10" s="12"/>
      <c r="Q10" s="12"/>
      <c r="R10" s="10"/>
      <c r="S10" s="10"/>
      <c r="T10" s="12"/>
      <c r="U10" s="10"/>
      <c r="V10" s="12"/>
      <c r="W10" s="10"/>
      <c r="X10" s="10"/>
      <c r="Y10" s="10"/>
    </row>
    <row r="11" spans="1:25">
      <c r="A11" t="s">
        <v>357</v>
      </c>
      <c r="B11" t="s">
        <v>66</v>
      </c>
      <c r="C11" s="10" t="str">
        <f>kt_latest!E12</f>
        <v>Graubünden/Grigioni</v>
      </c>
      <c r="D11" s="10">
        <f>kt_latest!R12</f>
        <v>43</v>
      </c>
      <c r="E11" s="5">
        <v>715</v>
      </c>
      <c r="F11" s="9"/>
      <c r="H11" s="9"/>
      <c r="I11" s="9"/>
      <c r="J11" s="9"/>
      <c r="K11" s="9"/>
      <c r="L11" s="9"/>
      <c r="M11" s="9"/>
      <c r="N11" s="9"/>
      <c r="O11" s="9"/>
      <c r="P11" s="11"/>
      <c r="Q11" s="11"/>
      <c r="R11" s="9"/>
      <c r="S11" s="9"/>
      <c r="T11" s="11"/>
      <c r="U11" s="9"/>
      <c r="V11" s="11"/>
      <c r="W11" s="9"/>
      <c r="X11" s="9"/>
      <c r="Y11" s="9"/>
    </row>
    <row r="12" spans="1:25">
      <c r="A12" t="s">
        <v>357</v>
      </c>
      <c r="B12" t="s">
        <v>69</v>
      </c>
      <c r="C12" s="9" t="str">
        <f>kt_latest!E13</f>
        <v>Jura</v>
      </c>
      <c r="D12" s="9">
        <f>kt_latest!R13</f>
        <v>6</v>
      </c>
      <c r="E12" s="6">
        <v>183</v>
      </c>
      <c r="F12" s="10"/>
      <c r="H12" s="10"/>
      <c r="I12" s="10"/>
      <c r="J12" s="10"/>
      <c r="K12" s="10"/>
      <c r="L12" s="10"/>
      <c r="M12" s="10"/>
      <c r="N12" s="10"/>
      <c r="O12" s="10"/>
      <c r="P12" s="12"/>
      <c r="Q12" s="12"/>
      <c r="R12" s="10"/>
      <c r="S12" s="10"/>
      <c r="T12" s="12"/>
      <c r="U12" s="10"/>
      <c r="V12" s="12"/>
      <c r="W12" s="10"/>
      <c r="X12" s="10"/>
      <c r="Y12" s="10"/>
    </row>
    <row r="13" spans="1:25">
      <c r="A13" t="s">
        <v>357</v>
      </c>
      <c r="B13" t="s">
        <v>71</v>
      </c>
      <c r="C13" s="10" t="str">
        <f>kt_latest!E14</f>
        <v>Luzern</v>
      </c>
      <c r="D13" s="10">
        <f>kt_latest!R14</f>
        <v>15</v>
      </c>
      <c r="E13" s="5">
        <v>568</v>
      </c>
      <c r="F13" s="9"/>
      <c r="H13" s="9"/>
      <c r="I13" s="9"/>
      <c r="J13" s="9"/>
      <c r="K13" s="9"/>
      <c r="L13" s="9"/>
      <c r="M13" s="9"/>
      <c r="N13" s="9"/>
      <c r="O13" s="9"/>
      <c r="P13" s="11"/>
      <c r="Q13" s="11"/>
      <c r="R13" s="9"/>
      <c r="S13" s="9"/>
      <c r="T13" s="11"/>
      <c r="U13" s="9"/>
      <c r="V13" s="11"/>
      <c r="W13" s="9"/>
      <c r="X13" s="9"/>
      <c r="Y13" s="9"/>
    </row>
    <row r="14" spans="1:25">
      <c r="A14" t="s">
        <v>357</v>
      </c>
      <c r="B14" t="s">
        <v>74</v>
      </c>
      <c r="C14" s="9" t="str">
        <f>kt_latest!E15</f>
        <v>Neuchâtel</v>
      </c>
      <c r="D14" s="9">
        <f>kt_latest!R15</f>
        <v>56</v>
      </c>
      <c r="E14" s="6">
        <v>552</v>
      </c>
      <c r="F14" s="10"/>
      <c r="H14" s="10"/>
      <c r="I14" s="10"/>
      <c r="J14" s="10"/>
      <c r="K14" s="10"/>
      <c r="L14" s="10"/>
      <c r="M14" s="10"/>
      <c r="N14" s="10"/>
      <c r="O14" s="10"/>
      <c r="P14" s="12"/>
      <c r="Q14" s="12"/>
      <c r="R14" s="10"/>
      <c r="S14" s="10"/>
      <c r="T14" s="12"/>
      <c r="U14" s="10"/>
      <c r="V14" s="12"/>
      <c r="W14" s="10"/>
      <c r="X14" s="10"/>
      <c r="Y14" s="10"/>
    </row>
    <row r="15" spans="1:25">
      <c r="A15" t="s">
        <v>357</v>
      </c>
      <c r="B15" t="s">
        <v>77</v>
      </c>
      <c r="C15" s="10" t="str">
        <f>kt_latest!E16</f>
        <v>Nidwalden</v>
      </c>
      <c r="D15" s="10">
        <f>kt_latest!R16</f>
        <v>3</v>
      </c>
      <c r="E15" s="5">
        <v>103</v>
      </c>
      <c r="F15" s="9"/>
      <c r="H15" s="9"/>
      <c r="I15" s="9"/>
      <c r="J15" s="9"/>
      <c r="K15" s="9"/>
      <c r="L15" s="9"/>
      <c r="M15" s="9"/>
      <c r="N15" s="9"/>
      <c r="O15" s="9"/>
      <c r="P15" s="11"/>
      <c r="Q15" s="11"/>
      <c r="R15" s="9"/>
      <c r="S15" s="9"/>
      <c r="T15" s="11"/>
      <c r="U15" s="9"/>
      <c r="V15" s="11"/>
      <c r="W15" s="9"/>
      <c r="X15" s="9"/>
      <c r="Y15" s="9"/>
    </row>
    <row r="16" spans="1:25">
      <c r="A16" t="s">
        <v>357</v>
      </c>
      <c r="B16" t="s">
        <v>80</v>
      </c>
      <c r="C16" s="9" t="str">
        <f>kt_latest!E17</f>
        <v>Obwalden</v>
      </c>
      <c r="D16" s="9">
        <f>kt_latest!R17</f>
        <v>0</v>
      </c>
      <c r="E16" s="6">
        <v>62</v>
      </c>
      <c r="F16" s="10"/>
      <c r="H16" s="10"/>
      <c r="I16" s="10"/>
      <c r="J16" s="10"/>
      <c r="K16" s="10"/>
      <c r="L16" s="10"/>
      <c r="M16" s="10"/>
      <c r="N16" s="10"/>
      <c r="O16" s="10"/>
      <c r="P16" s="12"/>
      <c r="Q16" s="12"/>
      <c r="R16" s="10"/>
      <c r="S16" s="10"/>
      <c r="T16" s="12"/>
      <c r="U16" s="10"/>
      <c r="V16" s="12"/>
      <c r="W16" s="10"/>
      <c r="X16" s="10"/>
      <c r="Y16" s="10"/>
    </row>
    <row r="17" spans="1:25">
      <c r="A17" t="s">
        <v>357</v>
      </c>
      <c r="B17" t="s">
        <v>83</v>
      </c>
      <c r="C17" s="10" t="str">
        <f>kt_latest!E18</f>
        <v>St. Gallen</v>
      </c>
      <c r="D17" s="10">
        <f>kt_latest!R18</f>
        <v>31</v>
      </c>
      <c r="E17" s="5">
        <v>649</v>
      </c>
      <c r="F17" s="9"/>
      <c r="H17" s="9"/>
      <c r="I17" s="9"/>
      <c r="J17" s="9"/>
      <c r="K17" s="9"/>
      <c r="L17" s="9"/>
      <c r="M17" s="9"/>
      <c r="N17" s="9"/>
      <c r="O17" s="9"/>
      <c r="P17" s="11"/>
      <c r="Q17" s="11"/>
      <c r="R17" s="9"/>
      <c r="S17" s="9"/>
      <c r="T17" s="11"/>
      <c r="U17" s="9"/>
      <c r="V17" s="11"/>
      <c r="W17" s="9"/>
      <c r="X17" s="9"/>
      <c r="Y17" s="9"/>
    </row>
    <row r="18" spans="1:25">
      <c r="A18" t="s">
        <v>357</v>
      </c>
      <c r="B18" t="s">
        <v>86</v>
      </c>
      <c r="C18" s="9" t="str">
        <f>kt_latest!E19</f>
        <v>Schaffhausen</v>
      </c>
      <c r="D18" s="9">
        <f>kt_latest!R19</f>
        <v>3</v>
      </c>
      <c r="E18" s="6">
        <v>57</v>
      </c>
      <c r="F18" s="10"/>
      <c r="H18" s="10"/>
      <c r="I18" s="10"/>
      <c r="J18" s="10"/>
      <c r="K18" s="10"/>
      <c r="L18" s="10"/>
      <c r="M18" s="10"/>
      <c r="N18" s="10"/>
      <c r="O18" s="10"/>
      <c r="P18" s="12"/>
      <c r="Q18" s="12"/>
      <c r="R18" s="10"/>
      <c r="S18" s="10"/>
      <c r="T18" s="12"/>
      <c r="U18" s="10"/>
      <c r="V18" s="12"/>
      <c r="W18" s="10"/>
      <c r="X18" s="10"/>
      <c r="Y18" s="10"/>
    </row>
    <row r="19" spans="1:25">
      <c r="A19" t="s">
        <v>357</v>
      </c>
      <c r="B19" t="s">
        <v>89</v>
      </c>
      <c r="C19" s="10" t="str">
        <f>kt_latest!E20</f>
        <v>Solothurn</v>
      </c>
      <c r="D19" s="10">
        <f>kt_latest!R20</f>
        <v>12</v>
      </c>
      <c r="E19" s="5">
        <v>306</v>
      </c>
      <c r="F19" s="9"/>
      <c r="H19" s="9"/>
      <c r="I19" s="9"/>
      <c r="J19" s="9"/>
      <c r="K19" s="9"/>
      <c r="L19" s="9"/>
      <c r="M19" s="9"/>
      <c r="N19" s="9"/>
      <c r="O19" s="9"/>
      <c r="P19" s="11"/>
      <c r="Q19" s="11"/>
      <c r="R19" s="9"/>
      <c r="S19" s="9"/>
      <c r="T19" s="11"/>
      <c r="U19" s="9"/>
      <c r="V19" s="11"/>
      <c r="W19" s="9"/>
      <c r="X19" s="9"/>
      <c r="Y19" s="9"/>
    </row>
    <row r="20" spans="1:25">
      <c r="A20" t="s">
        <v>357</v>
      </c>
      <c r="B20" t="s">
        <v>92</v>
      </c>
      <c r="C20" s="9" t="str">
        <f>kt_latest!E21</f>
        <v>Schwyz</v>
      </c>
      <c r="D20" s="9">
        <f>kt_latest!R21</f>
        <v>16</v>
      </c>
      <c r="E20" s="6">
        <v>251</v>
      </c>
      <c r="F20" s="10"/>
      <c r="H20" s="10"/>
      <c r="I20" s="10"/>
      <c r="J20" s="10"/>
      <c r="K20" s="10"/>
      <c r="L20" s="10"/>
      <c r="M20" s="10"/>
      <c r="N20" s="10"/>
      <c r="O20" s="10"/>
      <c r="P20" s="12"/>
      <c r="Q20" s="12"/>
      <c r="R20" s="10"/>
      <c r="S20" s="10"/>
      <c r="T20" s="12"/>
      <c r="U20" s="10"/>
      <c r="V20" s="12"/>
      <c r="W20" s="10"/>
      <c r="X20" s="10"/>
      <c r="Y20" s="10"/>
    </row>
    <row r="21" spans="1:25">
      <c r="A21" t="s">
        <v>357</v>
      </c>
      <c r="B21" t="s">
        <v>95</v>
      </c>
      <c r="C21" s="10" t="str">
        <f>kt_latest!E22</f>
        <v>Thurgau</v>
      </c>
      <c r="D21" s="10">
        <f>kt_latest!R22</f>
        <v>14</v>
      </c>
      <c r="E21" s="5">
        <v>274</v>
      </c>
      <c r="F21" s="9"/>
      <c r="H21" s="9"/>
      <c r="I21" s="9"/>
      <c r="J21" s="9"/>
      <c r="K21" s="9"/>
      <c r="L21" s="9"/>
      <c r="M21" s="9"/>
      <c r="N21" s="9"/>
      <c r="O21" s="9"/>
      <c r="P21" s="11"/>
      <c r="Q21" s="11"/>
      <c r="R21" s="9"/>
      <c r="S21" s="9"/>
      <c r="T21" s="11"/>
      <c r="U21" s="9"/>
      <c r="V21" s="11"/>
      <c r="W21" s="9"/>
      <c r="X21" s="9"/>
      <c r="Y21" s="9"/>
    </row>
    <row r="22" spans="1:25">
      <c r="A22" t="s">
        <v>357</v>
      </c>
      <c r="B22" t="s">
        <v>98</v>
      </c>
      <c r="C22" s="9" t="str">
        <f>kt_latest!E23</f>
        <v>Ticino</v>
      </c>
      <c r="D22" s="9">
        <f>kt_latest!R23</f>
        <v>298</v>
      </c>
      <c r="E22" s="6">
        <v>2869</v>
      </c>
      <c r="F22" s="10"/>
      <c r="H22" s="10"/>
      <c r="I22" s="10"/>
      <c r="J22" s="10"/>
      <c r="K22" s="10"/>
      <c r="L22" s="10"/>
      <c r="M22" s="10"/>
      <c r="N22" s="10"/>
      <c r="O22" s="10"/>
      <c r="P22" s="12"/>
      <c r="Q22" s="12"/>
      <c r="R22" s="10"/>
      <c r="S22" s="10"/>
      <c r="T22" s="12"/>
      <c r="U22" s="10"/>
      <c r="V22" s="12"/>
      <c r="W22" s="10"/>
      <c r="X22" s="10"/>
      <c r="Y22" s="10"/>
    </row>
    <row r="23" spans="1:25">
      <c r="A23" t="s">
        <v>357</v>
      </c>
      <c r="B23" t="s">
        <v>101</v>
      </c>
      <c r="C23" s="10" t="str">
        <f>kt_latest!E24</f>
        <v>Uri</v>
      </c>
      <c r="D23" s="10">
        <f>kt_latest!R24</f>
        <v>5</v>
      </c>
      <c r="E23" s="5">
        <v>75</v>
      </c>
      <c r="F23" s="9"/>
      <c r="H23" s="9"/>
      <c r="I23" s="9"/>
      <c r="J23" s="9"/>
      <c r="K23" s="9"/>
      <c r="L23" s="9"/>
      <c r="M23" s="9"/>
      <c r="N23" s="9"/>
      <c r="O23" s="9"/>
      <c r="P23" s="11"/>
      <c r="Q23" s="11"/>
      <c r="R23" s="9"/>
      <c r="S23" s="9"/>
      <c r="T23" s="11"/>
      <c r="U23" s="9"/>
      <c r="V23" s="11"/>
      <c r="W23" s="9"/>
      <c r="X23" s="9"/>
      <c r="Y23" s="9"/>
    </row>
    <row r="24" spans="1:25">
      <c r="A24" t="s">
        <v>357</v>
      </c>
      <c r="B24" t="s">
        <v>104</v>
      </c>
      <c r="C24" s="9" t="str">
        <f>kt_latest!E25</f>
        <v>Vaud</v>
      </c>
      <c r="D24" s="9">
        <f>kt_latest!R25</f>
        <v>324</v>
      </c>
      <c r="E24" s="6">
        <v>4524</v>
      </c>
      <c r="F24" s="10"/>
      <c r="H24" s="10"/>
      <c r="I24" s="10"/>
      <c r="J24" s="10"/>
      <c r="K24" s="10"/>
      <c r="L24" s="10"/>
      <c r="M24" s="10"/>
      <c r="N24" s="10"/>
      <c r="O24" s="10"/>
      <c r="P24" s="12"/>
      <c r="Q24" s="12"/>
      <c r="R24" s="10"/>
      <c r="S24" s="10"/>
      <c r="T24" s="12"/>
      <c r="U24" s="10"/>
      <c r="V24" s="12"/>
      <c r="W24" s="10"/>
      <c r="X24" s="10"/>
      <c r="Y24" s="10"/>
    </row>
    <row r="25" spans="1:25">
      <c r="A25" t="s">
        <v>357</v>
      </c>
      <c r="B25" t="s">
        <v>107</v>
      </c>
      <c r="C25" s="10" t="str">
        <f>kt_latest!E26</f>
        <v>Valais/Wallis</v>
      </c>
      <c r="D25" s="10">
        <f>kt_latest!R26</f>
        <v>114</v>
      </c>
      <c r="E25" s="5">
        <v>1592</v>
      </c>
      <c r="F25" s="9"/>
      <c r="H25" s="9"/>
      <c r="I25" s="9"/>
      <c r="J25" s="9"/>
      <c r="K25" s="9"/>
      <c r="L25" s="9"/>
      <c r="M25" s="9"/>
      <c r="N25" s="9"/>
      <c r="O25" s="9"/>
      <c r="P25" s="11"/>
      <c r="Q25" s="11"/>
      <c r="R25" s="9"/>
      <c r="S25" s="9"/>
      <c r="T25" s="11"/>
      <c r="U25" s="9"/>
      <c r="V25" s="11"/>
      <c r="W25" s="9"/>
      <c r="X25" s="9"/>
      <c r="Y25" s="9"/>
    </row>
    <row r="26" spans="1:25">
      <c r="A26" t="s">
        <v>357</v>
      </c>
      <c r="B26" t="s">
        <v>109</v>
      </c>
      <c r="C26" s="9" t="str">
        <f>kt_latest!E27</f>
        <v>Zug</v>
      </c>
      <c r="D26" s="9">
        <f>kt_latest!R27</f>
        <v>8</v>
      </c>
      <c r="E26" s="6">
        <v>168</v>
      </c>
      <c r="F26" s="10"/>
      <c r="H26" s="10"/>
      <c r="I26" s="10"/>
      <c r="J26" s="10"/>
      <c r="K26" s="10"/>
      <c r="L26" s="10"/>
      <c r="M26" s="10"/>
      <c r="N26" s="10"/>
      <c r="O26" s="10"/>
      <c r="P26" s="12"/>
      <c r="Q26" s="12"/>
      <c r="R26" s="10"/>
      <c r="S26" s="10"/>
      <c r="T26" s="12"/>
      <c r="U26" s="10"/>
      <c r="V26" s="12"/>
      <c r="W26" s="10"/>
      <c r="X26" s="10"/>
      <c r="Y26" s="10"/>
    </row>
    <row r="27" spans="1:25">
      <c r="A27" t="s">
        <v>357</v>
      </c>
      <c r="B27" t="s">
        <v>111</v>
      </c>
      <c r="C27" t="str">
        <f>kt_latest!E28</f>
        <v>Zürich</v>
      </c>
      <c r="D27">
        <f>kt_latest!R28</f>
        <v>108</v>
      </c>
      <c r="E27" s="5">
        <v>2987</v>
      </c>
      <c r="F27" s="9"/>
      <c r="H27" s="9"/>
      <c r="I27" s="9"/>
      <c r="J27" s="9"/>
      <c r="K27" s="9"/>
      <c r="L27" s="9"/>
      <c r="M27" s="9"/>
      <c r="N27" s="9"/>
      <c r="O27" s="9"/>
      <c r="P27" s="11"/>
      <c r="Q27" s="11"/>
      <c r="R27" s="9"/>
      <c r="S27" s="9"/>
      <c r="T27" s="11"/>
      <c r="U27" s="9"/>
      <c r="V27" s="11"/>
      <c r="W27" s="9"/>
      <c r="X27" s="9"/>
      <c r="Y27" s="9"/>
    </row>
    <row r="32" spans="1:25">
      <c r="A32" s="11"/>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909CB-1423-4FD6-9CBB-8798B4E3FAAF}">
  <sheetPr codeName="Tabelle7"/>
  <dimension ref="A3:G31"/>
  <sheetViews>
    <sheetView workbookViewId="0">
      <selection activeCell="I8" sqref="I8"/>
    </sheetView>
  </sheetViews>
  <sheetFormatPr baseColWidth="10" defaultRowHeight="14.5"/>
  <cols>
    <col min="1" max="1" width="20.7265625" bestFit="1" customWidth="1"/>
    <col min="2" max="2" width="19.81640625" bestFit="1" customWidth="1"/>
    <col min="3" max="3" width="26.453125" bestFit="1" customWidth="1"/>
    <col min="4" max="4" width="16.90625" bestFit="1" customWidth="1"/>
    <col min="5" max="5" width="21.54296875" bestFit="1" customWidth="1"/>
    <col min="6" max="6" width="18.26953125" bestFit="1" customWidth="1"/>
    <col min="7" max="7" width="28.6328125" bestFit="1" customWidth="1"/>
  </cols>
  <sheetData>
    <row r="3" spans="1:7">
      <c r="A3" s="18" t="s">
        <v>358</v>
      </c>
      <c r="B3" t="s">
        <v>422</v>
      </c>
      <c r="C3" t="s">
        <v>421</v>
      </c>
      <c r="D3" t="s">
        <v>409</v>
      </c>
      <c r="E3" t="s">
        <v>423</v>
      </c>
      <c r="F3" t="s">
        <v>424</v>
      </c>
      <c r="G3" t="s">
        <v>427</v>
      </c>
    </row>
    <row r="4" spans="1:7">
      <c r="A4" s="19" t="s">
        <v>57</v>
      </c>
      <c r="B4" s="1">
        <v>0</v>
      </c>
      <c r="C4" s="1">
        <v>57</v>
      </c>
      <c r="D4" s="1">
        <v>76</v>
      </c>
      <c r="E4" s="1">
        <v>0</v>
      </c>
      <c r="F4" s="1">
        <v>118</v>
      </c>
      <c r="G4" s="1">
        <v>24.119</v>
      </c>
    </row>
    <row r="5" spans="1:7">
      <c r="A5" s="19" t="s">
        <v>89</v>
      </c>
      <c r="B5" s="1">
        <v>-3</v>
      </c>
      <c r="C5" s="1">
        <v>15</v>
      </c>
      <c r="D5" s="1">
        <v>12</v>
      </c>
      <c r="E5" s="1">
        <v>1</v>
      </c>
      <c r="F5" s="1"/>
      <c r="G5" s="1">
        <v>4.4219999999999997</v>
      </c>
    </row>
    <row r="6" spans="1:7">
      <c r="A6" s="19" t="s">
        <v>35</v>
      </c>
      <c r="B6" s="1">
        <v>-6</v>
      </c>
      <c r="C6" s="1">
        <v>37</v>
      </c>
      <c r="D6" s="1">
        <v>31</v>
      </c>
      <c r="E6" s="1">
        <v>2</v>
      </c>
      <c r="F6" s="1">
        <v>710</v>
      </c>
      <c r="G6" s="1">
        <v>4.62</v>
      </c>
    </row>
    <row r="7" spans="1:7">
      <c r="A7" s="19" t="s">
        <v>39</v>
      </c>
      <c r="B7" s="1">
        <v>0</v>
      </c>
      <c r="C7" s="1">
        <v>1</v>
      </c>
      <c r="D7" s="1"/>
      <c r="E7" s="1"/>
      <c r="F7" s="1"/>
      <c r="G7" s="1"/>
    </row>
    <row r="8" spans="1:7">
      <c r="A8" s="19" t="s">
        <v>42</v>
      </c>
      <c r="B8" s="1">
        <v>0</v>
      </c>
      <c r="C8" s="1">
        <v>6</v>
      </c>
      <c r="D8" s="1">
        <v>3</v>
      </c>
      <c r="E8" s="1">
        <v>0</v>
      </c>
      <c r="F8" s="1"/>
      <c r="G8" s="1">
        <v>5.4349999999999996</v>
      </c>
    </row>
    <row r="9" spans="1:7">
      <c r="A9" s="19" t="s">
        <v>45</v>
      </c>
      <c r="B9" s="1">
        <v>-1</v>
      </c>
      <c r="C9" s="1">
        <v>66</v>
      </c>
      <c r="D9" s="1">
        <v>79</v>
      </c>
      <c r="E9" s="1">
        <v>2</v>
      </c>
      <c r="F9" s="1"/>
      <c r="G9" s="1">
        <v>7.6619999999999999</v>
      </c>
    </row>
    <row r="10" spans="1:7">
      <c r="A10" s="19" t="s">
        <v>48</v>
      </c>
      <c r="B10" s="1">
        <v>0</v>
      </c>
      <c r="C10" s="1">
        <v>33</v>
      </c>
      <c r="D10" s="1">
        <v>26</v>
      </c>
      <c r="E10" s="1">
        <v>0</v>
      </c>
      <c r="F10" s="1">
        <v>683</v>
      </c>
      <c r="G10" s="1">
        <v>9.0589999999999993</v>
      </c>
    </row>
    <row r="11" spans="1:7">
      <c r="A11" s="19" t="s">
        <v>51</v>
      </c>
      <c r="B11" s="1">
        <v>-5</v>
      </c>
      <c r="C11" s="1">
        <v>49</v>
      </c>
      <c r="D11" s="1">
        <v>45</v>
      </c>
      <c r="E11" s="1">
        <v>1</v>
      </c>
      <c r="F11" s="1">
        <v>786</v>
      </c>
      <c r="G11" s="1">
        <v>23.207999999999998</v>
      </c>
    </row>
    <row r="12" spans="1:7">
      <c r="A12" s="19" t="s">
        <v>54</v>
      </c>
      <c r="B12" s="1"/>
      <c r="C12" s="1"/>
      <c r="D12" s="1">
        <v>1</v>
      </c>
      <c r="E12" s="1">
        <v>0</v>
      </c>
      <c r="F12" s="1">
        <v>1</v>
      </c>
      <c r="G12" s="1">
        <v>2.5910000000000002</v>
      </c>
    </row>
    <row r="13" spans="1:7">
      <c r="A13" s="19" t="s">
        <v>60</v>
      </c>
      <c r="B13" s="1">
        <v>-16</v>
      </c>
      <c r="C13" s="1">
        <v>288</v>
      </c>
      <c r="D13" s="1">
        <v>205</v>
      </c>
      <c r="E13" s="1">
        <v>0</v>
      </c>
      <c r="F13" s="1">
        <v>589</v>
      </c>
      <c r="G13" s="1">
        <v>41.396999999999998</v>
      </c>
    </row>
    <row r="14" spans="1:7">
      <c r="A14" s="19" t="s">
        <v>63</v>
      </c>
      <c r="B14" s="1">
        <v>0</v>
      </c>
      <c r="C14" s="1">
        <v>3</v>
      </c>
      <c r="D14" s="1">
        <v>6</v>
      </c>
      <c r="E14" s="1">
        <v>0</v>
      </c>
      <c r="F14" s="1"/>
      <c r="G14" s="1">
        <v>14.888</v>
      </c>
    </row>
    <row r="15" spans="1:7">
      <c r="A15" s="19" t="s">
        <v>66</v>
      </c>
      <c r="B15" s="1">
        <v>-1</v>
      </c>
      <c r="C15" s="1">
        <v>26</v>
      </c>
      <c r="D15" s="1">
        <v>43</v>
      </c>
      <c r="E15" s="1">
        <v>1</v>
      </c>
      <c r="F15" s="1"/>
      <c r="G15" s="1">
        <v>21.728000000000002</v>
      </c>
    </row>
    <row r="16" spans="1:7">
      <c r="A16" s="19" t="s">
        <v>69</v>
      </c>
      <c r="B16" s="1">
        <v>0</v>
      </c>
      <c r="C16" s="1">
        <v>12</v>
      </c>
      <c r="D16" s="1">
        <v>6</v>
      </c>
      <c r="E16" s="1">
        <v>0</v>
      </c>
      <c r="F16" s="1"/>
      <c r="G16" s="1">
        <v>8.1859999999999999</v>
      </c>
    </row>
    <row r="17" spans="1:7">
      <c r="A17" s="19" t="s">
        <v>71</v>
      </c>
      <c r="B17" s="1">
        <v>0</v>
      </c>
      <c r="C17" s="1">
        <v>35</v>
      </c>
      <c r="D17" s="1">
        <v>15</v>
      </c>
      <c r="E17" s="1">
        <v>0</v>
      </c>
      <c r="F17" s="1"/>
      <c r="G17" s="1">
        <v>3.69</v>
      </c>
    </row>
    <row r="18" spans="1:7">
      <c r="A18" s="19" t="s">
        <v>74</v>
      </c>
      <c r="B18" s="1">
        <v>0</v>
      </c>
      <c r="C18" s="1">
        <v>37</v>
      </c>
      <c r="D18" s="1">
        <v>56</v>
      </c>
      <c r="E18" s="1">
        <v>0</v>
      </c>
      <c r="F18" s="1"/>
      <c r="G18" s="1">
        <v>31.460999999999999</v>
      </c>
    </row>
    <row r="19" spans="1:7">
      <c r="A19" s="19" t="s">
        <v>77</v>
      </c>
      <c r="B19" s="1">
        <v>0</v>
      </c>
      <c r="C19" s="1">
        <v>4</v>
      </c>
      <c r="D19" s="1">
        <v>3</v>
      </c>
      <c r="E19" s="1">
        <v>0</v>
      </c>
      <c r="F19" s="1"/>
      <c r="G19" s="1">
        <v>6.9770000000000003</v>
      </c>
    </row>
    <row r="20" spans="1:7">
      <c r="A20" s="19" t="s">
        <v>80</v>
      </c>
      <c r="B20" s="1">
        <v>0</v>
      </c>
      <c r="C20" s="1">
        <v>0</v>
      </c>
      <c r="D20" s="1">
        <v>0</v>
      </c>
      <c r="E20" s="1">
        <v>0</v>
      </c>
      <c r="F20" s="1">
        <v>1</v>
      </c>
      <c r="G20" s="1">
        <v>0</v>
      </c>
    </row>
    <row r="21" spans="1:7">
      <c r="A21" s="19" t="s">
        <v>83</v>
      </c>
      <c r="B21" s="1">
        <v>-9</v>
      </c>
      <c r="C21" s="1">
        <v>43</v>
      </c>
      <c r="D21" s="1">
        <v>31</v>
      </c>
      <c r="E21" s="1">
        <v>2</v>
      </c>
      <c r="F21" s="1">
        <v>167</v>
      </c>
      <c r="G21" s="1">
        <v>6.1420000000000003</v>
      </c>
    </row>
    <row r="22" spans="1:7">
      <c r="A22" s="19" t="s">
        <v>86</v>
      </c>
      <c r="B22" s="1">
        <v>-2</v>
      </c>
      <c r="C22" s="1">
        <v>8</v>
      </c>
      <c r="D22" s="1">
        <v>3</v>
      </c>
      <c r="E22" s="1">
        <v>0</v>
      </c>
      <c r="F22" s="1"/>
      <c r="G22" s="1">
        <v>3.6859999999999999</v>
      </c>
    </row>
    <row r="23" spans="1:7">
      <c r="A23" s="19" t="s">
        <v>92</v>
      </c>
      <c r="B23" s="1">
        <v>0</v>
      </c>
      <c r="C23" s="1">
        <v>1</v>
      </c>
      <c r="D23" s="1">
        <v>16</v>
      </c>
      <c r="E23" s="1">
        <v>0</v>
      </c>
      <c r="F23" s="1">
        <v>198</v>
      </c>
      <c r="G23" s="1">
        <v>10.172000000000001</v>
      </c>
    </row>
    <row r="24" spans="1:7">
      <c r="A24" s="19" t="s">
        <v>95</v>
      </c>
      <c r="B24" s="1">
        <v>-2</v>
      </c>
      <c r="C24" s="1">
        <v>21</v>
      </c>
      <c r="D24" s="1">
        <v>14</v>
      </c>
      <c r="E24" s="1">
        <v>0</v>
      </c>
      <c r="F24" s="1"/>
      <c r="G24" s="1">
        <v>5.1130000000000004</v>
      </c>
    </row>
    <row r="25" spans="1:7">
      <c r="A25" s="19" t="s">
        <v>98</v>
      </c>
      <c r="B25" s="1">
        <v>0</v>
      </c>
      <c r="C25" s="1">
        <v>213</v>
      </c>
      <c r="D25" s="1">
        <v>298</v>
      </c>
      <c r="E25" s="1">
        <v>3</v>
      </c>
      <c r="F25" s="1">
        <v>661</v>
      </c>
      <c r="G25" s="1">
        <v>84.251999999999995</v>
      </c>
    </row>
    <row r="26" spans="1:7">
      <c r="A26" s="19" t="s">
        <v>101</v>
      </c>
      <c r="B26" s="1">
        <v>1</v>
      </c>
      <c r="C26" s="1">
        <v>3</v>
      </c>
      <c r="D26" s="1">
        <v>5</v>
      </c>
      <c r="E26" s="1">
        <v>0</v>
      </c>
      <c r="F26" s="1">
        <v>69</v>
      </c>
      <c r="G26" s="1">
        <v>13.773999999999999</v>
      </c>
    </row>
    <row r="27" spans="1:7">
      <c r="A27" s="19" t="s">
        <v>104</v>
      </c>
      <c r="B27" s="1">
        <v>-12</v>
      </c>
      <c r="C27" s="1">
        <v>196</v>
      </c>
      <c r="D27" s="1">
        <v>324</v>
      </c>
      <c r="E27" s="1">
        <v>3</v>
      </c>
      <c r="F27" s="1">
        <v>225</v>
      </c>
      <c r="G27" s="1">
        <v>40.851999999999997</v>
      </c>
    </row>
    <row r="28" spans="1:7">
      <c r="A28" s="19" t="s">
        <v>107</v>
      </c>
      <c r="B28" s="1">
        <v>0</v>
      </c>
      <c r="C28" s="1">
        <v>76</v>
      </c>
      <c r="D28" s="1">
        <v>114</v>
      </c>
      <c r="E28" s="1">
        <v>1</v>
      </c>
      <c r="F28" s="1">
        <v>210</v>
      </c>
      <c r="G28" s="1">
        <v>33.381999999999998</v>
      </c>
    </row>
    <row r="29" spans="1:7">
      <c r="A29" s="19" t="s">
        <v>109</v>
      </c>
      <c r="B29" s="1">
        <v>0</v>
      </c>
      <c r="C29" s="1">
        <v>5</v>
      </c>
      <c r="D29" s="1">
        <v>8</v>
      </c>
      <c r="E29" s="1">
        <v>0</v>
      </c>
      <c r="F29" s="1">
        <v>133</v>
      </c>
      <c r="G29" s="1">
        <v>6.38</v>
      </c>
    </row>
    <row r="30" spans="1:7">
      <c r="A30" s="19" t="s">
        <v>111</v>
      </c>
      <c r="B30" s="1">
        <v>0</v>
      </c>
      <c r="C30" s="1">
        <v>110</v>
      </c>
      <c r="D30" s="1">
        <v>108</v>
      </c>
      <c r="E30" s="1">
        <v>0</v>
      </c>
      <c r="F30" s="1"/>
      <c r="G30" s="1">
        <v>7.1790000000000003</v>
      </c>
    </row>
    <row r="31" spans="1:7">
      <c r="A31" s="19" t="s">
        <v>359</v>
      </c>
      <c r="B31" s="1">
        <v>-56</v>
      </c>
      <c r="C31" s="1">
        <v>1345</v>
      </c>
      <c r="D31" s="1">
        <v>1528</v>
      </c>
      <c r="E31" s="1">
        <v>16</v>
      </c>
      <c r="F31" s="1">
        <v>4551</v>
      </c>
      <c r="G31" s="1">
        <v>16.16826923076923</v>
      </c>
    </row>
  </sheetData>
  <pageMargins left="0.7" right="0.7" top="0.78740157499999996" bottom="0.78740157499999996"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B6EAB-1FED-4A3E-A338-6A924449E9B3}">
  <sheetPr codeName="Tabelle8"/>
  <dimension ref="A3:AD64"/>
  <sheetViews>
    <sheetView workbookViewId="0">
      <selection activeCell="P17" sqref="P17"/>
    </sheetView>
  </sheetViews>
  <sheetFormatPr baseColWidth="10" defaultRowHeight="14.5"/>
  <cols>
    <col min="1" max="1" width="20.7265625" bestFit="1" customWidth="1"/>
    <col min="2" max="2" width="22" bestFit="1" customWidth="1"/>
    <col min="3" max="4" width="3.81640625" bestFit="1" customWidth="1"/>
    <col min="5" max="5" width="2.54296875" bestFit="1" customWidth="1"/>
    <col min="6" max="6" width="3.08984375" bestFit="1" customWidth="1"/>
    <col min="7" max="7" width="4.81640625" bestFit="1" customWidth="1"/>
    <col min="8" max="9" width="3.81640625" bestFit="1" customWidth="1"/>
    <col min="10" max="10" width="2.81640625" bestFit="1" customWidth="1"/>
    <col min="11" max="11" width="4.81640625" bestFit="1" customWidth="1"/>
    <col min="12" max="12" width="2.90625" bestFit="1" customWidth="1"/>
    <col min="13" max="13" width="3.81640625" bestFit="1" customWidth="1"/>
    <col min="14" max="14" width="2.81640625" bestFit="1" customWidth="1"/>
    <col min="15" max="15" width="3.81640625" bestFit="1" customWidth="1"/>
    <col min="16" max="16" width="4.81640625" bestFit="1" customWidth="1"/>
    <col min="17" max="17" width="3.90625" bestFit="1" customWidth="1"/>
    <col min="18" max="18" width="4" bestFit="1" customWidth="1"/>
    <col min="19" max="19" width="3.81640625" bestFit="1" customWidth="1"/>
    <col min="20" max="20" width="3" bestFit="1" customWidth="1"/>
    <col min="21" max="22" width="3.81640625" bestFit="1" customWidth="1"/>
    <col min="23" max="23" width="4.81640625" bestFit="1" customWidth="1"/>
    <col min="24" max="24" width="3.1796875" bestFit="1" customWidth="1"/>
    <col min="25" max="26" width="4.81640625" bestFit="1" customWidth="1"/>
    <col min="27" max="27" width="3.81640625" bestFit="1" customWidth="1"/>
    <col min="28" max="28" width="4.81640625" bestFit="1" customWidth="1"/>
    <col min="29" max="29" width="14.36328125" bestFit="1" customWidth="1"/>
  </cols>
  <sheetData>
    <row r="3" spans="1:30">
      <c r="A3" s="18" t="s">
        <v>409</v>
      </c>
      <c r="B3" s="18" t="s">
        <v>408</v>
      </c>
    </row>
    <row r="4" spans="1:30">
      <c r="A4" s="18" t="s">
        <v>358</v>
      </c>
      <c r="B4" t="s">
        <v>57</v>
      </c>
      <c r="C4" t="s">
        <v>89</v>
      </c>
      <c r="D4" t="s">
        <v>35</v>
      </c>
      <c r="E4" t="s">
        <v>39</v>
      </c>
      <c r="F4" t="s">
        <v>42</v>
      </c>
      <c r="G4" t="s">
        <v>45</v>
      </c>
      <c r="H4" t="s">
        <v>48</v>
      </c>
      <c r="I4" t="s">
        <v>51</v>
      </c>
      <c r="J4" t="s">
        <v>54</v>
      </c>
      <c r="K4" t="s">
        <v>60</v>
      </c>
      <c r="L4" t="s">
        <v>63</v>
      </c>
      <c r="M4" t="s">
        <v>66</v>
      </c>
      <c r="N4" t="s">
        <v>69</v>
      </c>
      <c r="O4" t="s">
        <v>71</v>
      </c>
      <c r="P4" t="s">
        <v>74</v>
      </c>
      <c r="Q4" t="s">
        <v>77</v>
      </c>
      <c r="R4" t="s">
        <v>80</v>
      </c>
      <c r="S4" t="s">
        <v>83</v>
      </c>
      <c r="T4" t="s">
        <v>86</v>
      </c>
      <c r="U4" t="s">
        <v>92</v>
      </c>
      <c r="V4" t="s">
        <v>95</v>
      </c>
      <c r="W4" t="s">
        <v>98</v>
      </c>
      <c r="X4" t="s">
        <v>101</v>
      </c>
      <c r="Y4" t="s">
        <v>104</v>
      </c>
      <c r="Z4" t="s">
        <v>107</v>
      </c>
      <c r="AA4" t="s">
        <v>109</v>
      </c>
      <c r="AB4" t="s">
        <v>111</v>
      </c>
      <c r="AC4" t="s">
        <v>359</v>
      </c>
      <c r="AD4" s="18"/>
    </row>
    <row r="5" spans="1:30">
      <c r="A5" s="26" t="s">
        <v>360</v>
      </c>
      <c r="B5" s="1"/>
      <c r="C5" s="1"/>
      <c r="D5" s="1"/>
      <c r="E5" s="1"/>
      <c r="F5" s="1"/>
      <c r="G5" s="1"/>
      <c r="H5" s="1"/>
      <c r="I5" s="1"/>
      <c r="J5" s="1"/>
      <c r="K5" s="1">
        <v>0</v>
      </c>
      <c r="L5" s="1"/>
      <c r="M5" s="1"/>
      <c r="N5" s="1"/>
      <c r="O5" s="1"/>
      <c r="P5" s="1"/>
      <c r="Q5" s="1"/>
      <c r="R5" s="1"/>
      <c r="S5" s="1"/>
      <c r="T5" s="1"/>
      <c r="U5" s="1"/>
      <c r="V5" s="1"/>
      <c r="W5" s="1"/>
      <c r="X5" s="1"/>
      <c r="Y5" s="1"/>
      <c r="Z5" s="1"/>
      <c r="AA5" s="1"/>
      <c r="AB5" s="1"/>
      <c r="AC5" s="1">
        <v>0</v>
      </c>
    </row>
    <row r="6" spans="1:30">
      <c r="A6" s="26" t="s">
        <v>361</v>
      </c>
      <c r="B6" s="1"/>
      <c r="C6" s="1"/>
      <c r="D6" s="1"/>
      <c r="E6" s="1"/>
      <c r="F6" s="1"/>
      <c r="G6" s="1"/>
      <c r="H6" s="1"/>
      <c r="I6" s="1"/>
      <c r="J6" s="1"/>
      <c r="K6" s="1">
        <v>0</v>
      </c>
      <c r="L6" s="1"/>
      <c r="M6" s="1"/>
      <c r="N6" s="1"/>
      <c r="O6" s="1"/>
      <c r="P6" s="1"/>
      <c r="Q6" s="1"/>
      <c r="R6" s="1"/>
      <c r="S6" s="1"/>
      <c r="T6" s="1"/>
      <c r="U6" s="1"/>
      <c r="V6" s="1"/>
      <c r="W6" s="1"/>
      <c r="X6" s="1"/>
      <c r="Y6" s="1"/>
      <c r="Z6" s="1"/>
      <c r="AA6" s="1"/>
      <c r="AB6" s="1"/>
      <c r="AC6" s="1">
        <v>0</v>
      </c>
    </row>
    <row r="7" spans="1:30">
      <c r="A7" s="26" t="s">
        <v>362</v>
      </c>
      <c r="B7" s="1"/>
      <c r="C7" s="1"/>
      <c r="D7" s="1"/>
      <c r="E7" s="1"/>
      <c r="F7" s="1"/>
      <c r="G7" s="1"/>
      <c r="H7" s="1"/>
      <c r="I7" s="1"/>
      <c r="J7" s="1"/>
      <c r="K7" s="1">
        <v>0</v>
      </c>
      <c r="L7" s="1"/>
      <c r="M7" s="1"/>
      <c r="N7" s="1"/>
      <c r="O7" s="1"/>
      <c r="P7" s="1"/>
      <c r="Q7" s="1"/>
      <c r="R7" s="1"/>
      <c r="S7" s="1"/>
      <c r="T7" s="1"/>
      <c r="U7" s="1"/>
      <c r="V7" s="1"/>
      <c r="W7" s="1"/>
      <c r="X7" s="1"/>
      <c r="Y7" s="1"/>
      <c r="Z7" s="1"/>
      <c r="AA7" s="1"/>
      <c r="AB7" s="1"/>
      <c r="AC7" s="1">
        <v>0</v>
      </c>
    </row>
    <row r="8" spans="1:30">
      <c r="A8" s="26" t="s">
        <v>363</v>
      </c>
      <c r="B8" s="1"/>
      <c r="C8" s="1"/>
      <c r="D8" s="1"/>
      <c r="E8" s="1"/>
      <c r="F8" s="1"/>
      <c r="G8" s="1"/>
      <c r="H8" s="1"/>
      <c r="I8" s="1"/>
      <c r="J8" s="1"/>
      <c r="K8" s="1">
        <v>0</v>
      </c>
      <c r="L8" s="1"/>
      <c r="M8" s="1"/>
      <c r="N8" s="1"/>
      <c r="O8" s="1"/>
      <c r="P8" s="1"/>
      <c r="Q8" s="1"/>
      <c r="R8" s="1"/>
      <c r="S8" s="1"/>
      <c r="T8" s="1"/>
      <c r="U8" s="1"/>
      <c r="V8" s="1"/>
      <c r="W8" s="1"/>
      <c r="X8" s="1"/>
      <c r="Y8" s="1"/>
      <c r="Z8" s="1">
        <v>0</v>
      </c>
      <c r="AA8" s="1"/>
      <c r="AB8" s="1"/>
      <c r="AC8" s="1">
        <v>0</v>
      </c>
    </row>
    <row r="9" spans="1:30">
      <c r="A9" s="26" t="s">
        <v>364</v>
      </c>
      <c r="B9" s="1"/>
      <c r="C9" s="1"/>
      <c r="D9" s="1"/>
      <c r="E9" s="1"/>
      <c r="F9" s="1"/>
      <c r="G9" s="1"/>
      <c r="H9" s="1"/>
      <c r="I9" s="1"/>
      <c r="J9" s="1"/>
      <c r="K9" s="1">
        <v>0</v>
      </c>
      <c r="L9" s="1"/>
      <c r="M9" s="1"/>
      <c r="N9" s="1"/>
      <c r="O9" s="1"/>
      <c r="P9" s="1"/>
      <c r="Q9" s="1"/>
      <c r="R9" s="1"/>
      <c r="S9" s="1"/>
      <c r="T9" s="1"/>
      <c r="U9" s="1"/>
      <c r="V9" s="1"/>
      <c r="W9" s="1"/>
      <c r="X9" s="1"/>
      <c r="Y9" s="1"/>
      <c r="Z9" s="1">
        <v>0</v>
      </c>
      <c r="AA9" s="1">
        <v>0</v>
      </c>
      <c r="AB9" s="1"/>
      <c r="AC9" s="1">
        <v>0</v>
      </c>
    </row>
    <row r="10" spans="1:30">
      <c r="A10" s="26" t="s">
        <v>365</v>
      </c>
      <c r="B10" s="1"/>
      <c r="C10" s="1"/>
      <c r="D10" s="1"/>
      <c r="E10" s="1"/>
      <c r="F10" s="1"/>
      <c r="G10" s="1"/>
      <c r="H10" s="1"/>
      <c r="I10" s="1"/>
      <c r="J10" s="1"/>
      <c r="K10" s="1">
        <v>0</v>
      </c>
      <c r="L10" s="1"/>
      <c r="M10" s="1"/>
      <c r="N10" s="1"/>
      <c r="O10" s="1"/>
      <c r="P10" s="1"/>
      <c r="Q10" s="1"/>
      <c r="R10" s="1"/>
      <c r="S10" s="1"/>
      <c r="T10" s="1"/>
      <c r="U10" s="1"/>
      <c r="V10" s="1"/>
      <c r="W10" s="1"/>
      <c r="X10" s="1"/>
      <c r="Y10" s="1"/>
      <c r="Z10" s="1">
        <v>0</v>
      </c>
      <c r="AA10" s="1">
        <v>0</v>
      </c>
      <c r="AB10" s="1"/>
      <c r="AC10" s="1">
        <v>0</v>
      </c>
    </row>
    <row r="11" spans="1:30">
      <c r="A11" s="26" t="s">
        <v>366</v>
      </c>
      <c r="B11" s="1"/>
      <c r="C11" s="1"/>
      <c r="D11" s="1"/>
      <c r="E11" s="1"/>
      <c r="F11" s="1"/>
      <c r="G11" s="1"/>
      <c r="H11" s="1"/>
      <c r="I11" s="1"/>
      <c r="J11" s="1"/>
      <c r="K11" s="1">
        <v>0</v>
      </c>
      <c r="L11" s="1"/>
      <c r="M11" s="1"/>
      <c r="N11" s="1"/>
      <c r="O11" s="1"/>
      <c r="P11" s="1"/>
      <c r="Q11" s="1"/>
      <c r="R11" s="1"/>
      <c r="S11" s="1"/>
      <c r="T11" s="1"/>
      <c r="U11" s="1"/>
      <c r="V11" s="1"/>
      <c r="W11" s="1"/>
      <c r="X11" s="1"/>
      <c r="Y11" s="1"/>
      <c r="Z11" s="1">
        <v>0</v>
      </c>
      <c r="AA11" s="1">
        <v>0</v>
      </c>
      <c r="AB11" s="1"/>
      <c r="AC11" s="1">
        <v>0</v>
      </c>
    </row>
    <row r="12" spans="1:30">
      <c r="A12" s="26" t="s">
        <v>367</v>
      </c>
      <c r="B12" s="1"/>
      <c r="C12" s="1"/>
      <c r="D12" s="1"/>
      <c r="E12" s="1"/>
      <c r="F12" s="1"/>
      <c r="G12" s="1"/>
      <c r="H12" s="1"/>
      <c r="I12" s="1"/>
      <c r="J12" s="1"/>
      <c r="K12" s="1">
        <v>0</v>
      </c>
      <c r="L12" s="1"/>
      <c r="M12" s="1"/>
      <c r="N12" s="1"/>
      <c r="O12" s="1"/>
      <c r="P12" s="1"/>
      <c r="Q12" s="1"/>
      <c r="R12" s="1"/>
      <c r="S12" s="1"/>
      <c r="T12" s="1"/>
      <c r="U12" s="1"/>
      <c r="V12" s="1"/>
      <c r="W12" s="1"/>
      <c r="X12" s="1"/>
      <c r="Y12" s="1"/>
      <c r="Z12" s="1">
        <v>0</v>
      </c>
      <c r="AA12" s="1">
        <v>0</v>
      </c>
      <c r="AB12" s="1"/>
      <c r="AC12" s="1">
        <v>0</v>
      </c>
    </row>
    <row r="13" spans="1:30">
      <c r="A13" s="26" t="s">
        <v>368</v>
      </c>
      <c r="B13" s="1"/>
      <c r="C13" s="1"/>
      <c r="D13" s="1"/>
      <c r="E13" s="1"/>
      <c r="F13" s="1"/>
      <c r="G13" s="1"/>
      <c r="H13" s="1"/>
      <c r="I13" s="1"/>
      <c r="J13" s="1"/>
      <c r="K13" s="1">
        <v>0</v>
      </c>
      <c r="L13" s="1"/>
      <c r="M13" s="1"/>
      <c r="N13" s="1"/>
      <c r="O13" s="1"/>
      <c r="P13" s="1"/>
      <c r="Q13" s="1"/>
      <c r="R13" s="1"/>
      <c r="S13" s="1"/>
      <c r="T13" s="1"/>
      <c r="U13" s="1"/>
      <c r="V13" s="1"/>
      <c r="W13" s="1"/>
      <c r="X13" s="1"/>
      <c r="Y13" s="1"/>
      <c r="Z13" s="1">
        <v>0</v>
      </c>
      <c r="AA13" s="1">
        <v>0</v>
      </c>
      <c r="AB13" s="1"/>
      <c r="AC13" s="1">
        <v>0</v>
      </c>
    </row>
    <row r="14" spans="1:30">
      <c r="A14" s="26" t="s">
        <v>369</v>
      </c>
      <c r="B14" s="1"/>
      <c r="C14" s="1"/>
      <c r="D14" s="1"/>
      <c r="E14" s="1"/>
      <c r="F14" s="1"/>
      <c r="G14" s="1"/>
      <c r="H14" s="1"/>
      <c r="I14" s="1"/>
      <c r="J14" s="1"/>
      <c r="K14" s="1">
        <v>0</v>
      </c>
      <c r="L14" s="1"/>
      <c r="M14" s="1"/>
      <c r="N14" s="1"/>
      <c r="O14" s="1"/>
      <c r="P14" s="1"/>
      <c r="Q14" s="1"/>
      <c r="R14" s="1"/>
      <c r="S14" s="1"/>
      <c r="T14" s="1"/>
      <c r="U14" s="1"/>
      <c r="V14" s="1"/>
      <c r="W14" s="1"/>
      <c r="X14" s="1"/>
      <c r="Y14" s="1"/>
      <c r="Z14" s="1">
        <v>0</v>
      </c>
      <c r="AA14" s="1">
        <v>0</v>
      </c>
      <c r="AB14" s="1"/>
      <c r="AC14" s="1">
        <v>0</v>
      </c>
    </row>
    <row r="15" spans="1:30">
      <c r="A15" s="26" t="s">
        <v>370</v>
      </c>
      <c r="B15" s="1"/>
      <c r="C15" s="1"/>
      <c r="D15" s="1"/>
      <c r="E15" s="1"/>
      <c r="F15" s="1"/>
      <c r="G15" s="1"/>
      <c r="H15" s="1"/>
      <c r="I15" s="1"/>
      <c r="J15" s="1"/>
      <c r="K15" s="1">
        <v>0</v>
      </c>
      <c r="L15" s="1"/>
      <c r="M15" s="1"/>
      <c r="N15" s="1"/>
      <c r="O15" s="1"/>
      <c r="P15" s="1"/>
      <c r="Q15" s="1"/>
      <c r="R15" s="1"/>
      <c r="S15" s="1"/>
      <c r="T15" s="1"/>
      <c r="U15" s="1"/>
      <c r="V15" s="1"/>
      <c r="W15" s="1"/>
      <c r="X15" s="1"/>
      <c r="Y15" s="1">
        <v>1</v>
      </c>
      <c r="Z15" s="1">
        <v>0</v>
      </c>
      <c r="AA15" s="1">
        <v>0</v>
      </c>
      <c r="AB15" s="1"/>
      <c r="AC15" s="1">
        <v>1</v>
      </c>
    </row>
    <row r="16" spans="1:30">
      <c r="A16" s="26" t="s">
        <v>371</v>
      </c>
      <c r="B16" s="1"/>
      <c r="C16" s="1"/>
      <c r="D16" s="1"/>
      <c r="E16" s="1"/>
      <c r="F16" s="1"/>
      <c r="G16" s="1"/>
      <c r="H16" s="1"/>
      <c r="I16" s="1"/>
      <c r="J16" s="1"/>
      <c r="K16" s="1">
        <v>0</v>
      </c>
      <c r="L16" s="1"/>
      <c r="M16" s="1"/>
      <c r="N16" s="1"/>
      <c r="O16" s="1"/>
      <c r="P16" s="1"/>
      <c r="Q16" s="1"/>
      <c r="R16" s="1"/>
      <c r="S16" s="1"/>
      <c r="T16" s="1"/>
      <c r="U16" s="1"/>
      <c r="V16" s="1"/>
      <c r="W16" s="1"/>
      <c r="X16" s="1"/>
      <c r="Y16" s="1">
        <v>1</v>
      </c>
      <c r="Z16" s="1">
        <v>0</v>
      </c>
      <c r="AA16" s="1">
        <v>0</v>
      </c>
      <c r="AB16" s="1"/>
      <c r="AC16" s="1">
        <v>1</v>
      </c>
    </row>
    <row r="17" spans="1:29">
      <c r="A17" s="26" t="s">
        <v>372</v>
      </c>
      <c r="B17" s="1"/>
      <c r="C17" s="1"/>
      <c r="D17" s="1"/>
      <c r="E17" s="1"/>
      <c r="F17" s="1"/>
      <c r="G17" s="1"/>
      <c r="H17" s="1">
        <v>1</v>
      </c>
      <c r="I17" s="1"/>
      <c r="J17" s="1"/>
      <c r="K17" s="1">
        <v>0</v>
      </c>
      <c r="L17" s="1"/>
      <c r="M17" s="1"/>
      <c r="N17" s="1"/>
      <c r="O17" s="1"/>
      <c r="P17" s="1"/>
      <c r="Q17" s="1"/>
      <c r="R17" s="1"/>
      <c r="S17" s="1"/>
      <c r="T17" s="1"/>
      <c r="U17" s="1"/>
      <c r="V17" s="1"/>
      <c r="W17" s="1"/>
      <c r="X17" s="1"/>
      <c r="Y17" s="1">
        <v>1</v>
      </c>
      <c r="Z17" s="1">
        <v>0</v>
      </c>
      <c r="AA17" s="1">
        <v>0</v>
      </c>
      <c r="AB17" s="1"/>
      <c r="AC17" s="1">
        <v>2</v>
      </c>
    </row>
    <row r="18" spans="1:29">
      <c r="A18" s="26" t="s">
        <v>373</v>
      </c>
      <c r="B18" s="1"/>
      <c r="C18" s="1"/>
      <c r="D18" s="1"/>
      <c r="E18" s="1"/>
      <c r="F18" s="1"/>
      <c r="G18" s="1"/>
      <c r="H18" s="1">
        <v>1</v>
      </c>
      <c r="I18" s="1"/>
      <c r="J18" s="1"/>
      <c r="K18" s="1">
        <v>0</v>
      </c>
      <c r="L18" s="1"/>
      <c r="M18" s="1"/>
      <c r="N18" s="1"/>
      <c r="O18" s="1"/>
      <c r="P18" s="1"/>
      <c r="Q18" s="1"/>
      <c r="R18" s="1"/>
      <c r="S18" s="1"/>
      <c r="T18" s="1"/>
      <c r="U18" s="1"/>
      <c r="V18" s="1"/>
      <c r="W18" s="1"/>
      <c r="X18" s="1"/>
      <c r="Y18" s="1">
        <v>1</v>
      </c>
      <c r="Z18" s="1">
        <v>0</v>
      </c>
      <c r="AA18" s="1">
        <v>0</v>
      </c>
      <c r="AB18" s="1"/>
      <c r="AC18" s="1">
        <v>2</v>
      </c>
    </row>
    <row r="19" spans="1:29">
      <c r="A19" s="26" t="s">
        <v>374</v>
      </c>
      <c r="B19" s="1"/>
      <c r="C19" s="1"/>
      <c r="D19" s="1"/>
      <c r="E19" s="1"/>
      <c r="F19" s="1"/>
      <c r="G19" s="1"/>
      <c r="H19" s="1">
        <v>1</v>
      </c>
      <c r="I19" s="1"/>
      <c r="J19" s="1"/>
      <c r="K19" s="1">
        <v>1</v>
      </c>
      <c r="L19" s="1"/>
      <c r="M19" s="1"/>
      <c r="N19" s="1"/>
      <c r="O19" s="1"/>
      <c r="P19" s="1"/>
      <c r="Q19" s="1"/>
      <c r="R19" s="1"/>
      <c r="S19" s="1"/>
      <c r="T19" s="1"/>
      <c r="U19" s="1"/>
      <c r="V19" s="1"/>
      <c r="W19" s="1">
        <v>1</v>
      </c>
      <c r="X19" s="1"/>
      <c r="Y19" s="1">
        <v>1</v>
      </c>
      <c r="Z19" s="1">
        <v>0</v>
      </c>
      <c r="AA19" s="1">
        <v>0</v>
      </c>
      <c r="AB19" s="1"/>
      <c r="AC19" s="1">
        <v>4</v>
      </c>
    </row>
    <row r="20" spans="1:29">
      <c r="A20" s="26" t="s">
        <v>375</v>
      </c>
      <c r="B20" s="1"/>
      <c r="C20" s="1"/>
      <c r="D20" s="1"/>
      <c r="E20" s="1"/>
      <c r="F20" s="1"/>
      <c r="G20" s="1"/>
      <c r="H20" s="1">
        <v>2</v>
      </c>
      <c r="I20" s="1"/>
      <c r="J20" s="1"/>
      <c r="K20" s="1">
        <v>1</v>
      </c>
      <c r="L20" s="1"/>
      <c r="M20" s="1"/>
      <c r="N20" s="1"/>
      <c r="O20" s="1"/>
      <c r="P20" s="1"/>
      <c r="Q20" s="1"/>
      <c r="R20" s="1"/>
      <c r="S20" s="1"/>
      <c r="T20" s="1">
        <v>0</v>
      </c>
      <c r="U20" s="1"/>
      <c r="V20" s="1"/>
      <c r="W20" s="1">
        <v>1</v>
      </c>
      <c r="X20" s="1"/>
      <c r="Y20" s="1">
        <v>1</v>
      </c>
      <c r="Z20" s="1">
        <v>0</v>
      </c>
      <c r="AA20" s="1">
        <v>0</v>
      </c>
      <c r="AB20" s="1"/>
      <c r="AC20" s="1">
        <v>5</v>
      </c>
    </row>
    <row r="21" spans="1:29">
      <c r="A21" s="26" t="s">
        <v>376</v>
      </c>
      <c r="B21" s="1"/>
      <c r="C21" s="1"/>
      <c r="D21" s="1"/>
      <c r="E21" s="1"/>
      <c r="F21" s="1"/>
      <c r="G21" s="1"/>
      <c r="H21" s="1">
        <v>2</v>
      </c>
      <c r="I21" s="1">
        <v>1</v>
      </c>
      <c r="J21" s="1"/>
      <c r="K21" s="1">
        <v>1</v>
      </c>
      <c r="L21" s="1"/>
      <c r="M21" s="1"/>
      <c r="N21" s="1"/>
      <c r="O21" s="1"/>
      <c r="P21" s="1"/>
      <c r="Q21" s="1"/>
      <c r="R21" s="1"/>
      <c r="S21" s="1"/>
      <c r="T21" s="1">
        <v>0</v>
      </c>
      <c r="U21" s="1"/>
      <c r="V21" s="1"/>
      <c r="W21" s="1">
        <v>1</v>
      </c>
      <c r="X21" s="1"/>
      <c r="Y21" s="1">
        <v>3</v>
      </c>
      <c r="Z21" s="1">
        <v>0</v>
      </c>
      <c r="AA21" s="1">
        <v>0</v>
      </c>
      <c r="AB21" s="1"/>
      <c r="AC21" s="1">
        <v>8</v>
      </c>
    </row>
    <row r="22" spans="1:29">
      <c r="A22" s="26" t="s">
        <v>377</v>
      </c>
      <c r="B22" s="1"/>
      <c r="C22" s="1"/>
      <c r="D22" s="1"/>
      <c r="E22" s="1"/>
      <c r="F22" s="1"/>
      <c r="G22" s="1"/>
      <c r="H22" s="1">
        <v>2</v>
      </c>
      <c r="I22" s="1">
        <v>1</v>
      </c>
      <c r="J22" s="1"/>
      <c r="K22" s="1">
        <v>1</v>
      </c>
      <c r="L22" s="1"/>
      <c r="M22" s="1"/>
      <c r="N22" s="1"/>
      <c r="O22" s="1"/>
      <c r="P22" s="1"/>
      <c r="Q22" s="1"/>
      <c r="R22" s="1"/>
      <c r="S22" s="1"/>
      <c r="T22" s="1">
        <v>0</v>
      </c>
      <c r="U22" s="1"/>
      <c r="V22" s="1"/>
      <c r="W22" s="1">
        <v>1</v>
      </c>
      <c r="X22" s="1"/>
      <c r="Y22" s="1">
        <v>3</v>
      </c>
      <c r="Z22" s="1">
        <v>1</v>
      </c>
      <c r="AA22" s="1">
        <v>0</v>
      </c>
      <c r="AB22" s="1"/>
      <c r="AC22" s="1">
        <v>9</v>
      </c>
    </row>
    <row r="23" spans="1:29">
      <c r="A23" s="26" t="s">
        <v>378</v>
      </c>
      <c r="B23" s="1"/>
      <c r="C23" s="1"/>
      <c r="D23" s="1"/>
      <c r="E23" s="1"/>
      <c r="F23" s="1"/>
      <c r="G23" s="1"/>
      <c r="H23" s="1">
        <v>2</v>
      </c>
      <c r="I23" s="1">
        <v>1</v>
      </c>
      <c r="J23" s="1"/>
      <c r="K23" s="1">
        <v>1</v>
      </c>
      <c r="L23" s="1"/>
      <c r="M23" s="1"/>
      <c r="N23" s="1"/>
      <c r="O23" s="1"/>
      <c r="P23" s="1"/>
      <c r="Q23" s="1"/>
      <c r="R23" s="1"/>
      <c r="S23" s="1"/>
      <c r="T23" s="1">
        <v>0</v>
      </c>
      <c r="U23" s="1"/>
      <c r="V23" s="1"/>
      <c r="W23" s="1">
        <v>3</v>
      </c>
      <c r="X23" s="1"/>
      <c r="Y23" s="1">
        <v>4</v>
      </c>
      <c r="Z23" s="1">
        <v>1</v>
      </c>
      <c r="AA23" s="1">
        <v>0</v>
      </c>
      <c r="AB23" s="1"/>
      <c r="AC23" s="1">
        <v>12</v>
      </c>
    </row>
    <row r="24" spans="1:29">
      <c r="A24" s="26" t="s">
        <v>379</v>
      </c>
      <c r="B24" s="1"/>
      <c r="C24" s="1"/>
      <c r="D24" s="1"/>
      <c r="E24" s="1"/>
      <c r="F24" s="1"/>
      <c r="G24" s="1"/>
      <c r="H24" s="1">
        <v>2</v>
      </c>
      <c r="I24" s="1"/>
      <c r="J24" s="1"/>
      <c r="K24" s="1">
        <v>3</v>
      </c>
      <c r="L24" s="1"/>
      <c r="M24" s="1"/>
      <c r="N24" s="1"/>
      <c r="O24" s="1"/>
      <c r="P24" s="1"/>
      <c r="Q24" s="1"/>
      <c r="R24" s="1"/>
      <c r="S24" s="1"/>
      <c r="T24" s="1">
        <v>0</v>
      </c>
      <c r="U24" s="1"/>
      <c r="V24" s="1"/>
      <c r="W24" s="1">
        <v>6</v>
      </c>
      <c r="X24" s="1"/>
      <c r="Y24" s="1">
        <v>5</v>
      </c>
      <c r="Z24" s="1">
        <v>2</v>
      </c>
      <c r="AA24" s="1">
        <v>0</v>
      </c>
      <c r="AB24" s="1">
        <v>1</v>
      </c>
      <c r="AC24" s="1">
        <v>19</v>
      </c>
    </row>
    <row r="25" spans="1:29">
      <c r="A25" s="26" t="s">
        <v>380</v>
      </c>
      <c r="B25" s="1"/>
      <c r="C25" s="1"/>
      <c r="D25" s="1"/>
      <c r="E25" s="1"/>
      <c r="F25" s="1"/>
      <c r="G25" s="1">
        <v>1</v>
      </c>
      <c r="H25" s="1">
        <v>2</v>
      </c>
      <c r="I25" s="1">
        <v>4</v>
      </c>
      <c r="J25" s="1"/>
      <c r="K25" s="1">
        <v>3</v>
      </c>
      <c r="L25" s="1"/>
      <c r="M25" s="1"/>
      <c r="N25" s="1"/>
      <c r="O25" s="1"/>
      <c r="P25" s="1"/>
      <c r="Q25" s="1"/>
      <c r="R25" s="1"/>
      <c r="S25" s="1"/>
      <c r="T25" s="1">
        <v>0</v>
      </c>
      <c r="U25" s="1"/>
      <c r="V25" s="1"/>
      <c r="W25" s="1">
        <v>8</v>
      </c>
      <c r="X25" s="1"/>
      <c r="Y25" s="1">
        <v>7</v>
      </c>
      <c r="Z25" s="1">
        <v>3</v>
      </c>
      <c r="AA25" s="1">
        <v>0</v>
      </c>
      <c r="AB25" s="1">
        <v>1</v>
      </c>
      <c r="AC25" s="1">
        <v>29</v>
      </c>
    </row>
    <row r="26" spans="1:29">
      <c r="A26" s="26" t="s">
        <v>381</v>
      </c>
      <c r="B26" s="1"/>
      <c r="C26" s="1"/>
      <c r="D26" s="1"/>
      <c r="E26" s="1"/>
      <c r="F26" s="1"/>
      <c r="G26" s="1"/>
      <c r="H26" s="1">
        <v>2</v>
      </c>
      <c r="I26" s="1">
        <v>4</v>
      </c>
      <c r="J26" s="1"/>
      <c r="K26" s="1">
        <v>4</v>
      </c>
      <c r="L26" s="1"/>
      <c r="M26" s="1"/>
      <c r="N26" s="1"/>
      <c r="O26" s="1"/>
      <c r="P26" s="1">
        <v>1</v>
      </c>
      <c r="Q26" s="1"/>
      <c r="R26" s="1"/>
      <c r="S26" s="1"/>
      <c r="T26" s="1">
        <v>0</v>
      </c>
      <c r="U26" s="1"/>
      <c r="V26" s="1"/>
      <c r="W26" s="1">
        <v>10</v>
      </c>
      <c r="X26" s="1"/>
      <c r="Y26" s="1">
        <v>9</v>
      </c>
      <c r="Z26" s="1">
        <v>3</v>
      </c>
      <c r="AA26" s="1">
        <v>0</v>
      </c>
      <c r="AB26" s="1">
        <v>1</v>
      </c>
      <c r="AC26" s="1">
        <v>34</v>
      </c>
    </row>
    <row r="27" spans="1:29">
      <c r="A27" s="26" t="s">
        <v>382</v>
      </c>
      <c r="B27" s="1">
        <v>1</v>
      </c>
      <c r="C27" s="1"/>
      <c r="D27" s="1"/>
      <c r="E27" s="1"/>
      <c r="F27" s="1"/>
      <c r="G27" s="1">
        <v>1</v>
      </c>
      <c r="H27" s="1">
        <v>2</v>
      </c>
      <c r="I27" s="1">
        <v>4</v>
      </c>
      <c r="J27" s="1"/>
      <c r="K27" s="1">
        <v>5</v>
      </c>
      <c r="L27" s="1"/>
      <c r="M27" s="1">
        <v>1</v>
      </c>
      <c r="N27" s="1"/>
      <c r="O27" s="1"/>
      <c r="P27" s="1">
        <v>2</v>
      </c>
      <c r="Q27" s="1"/>
      <c r="R27" s="1"/>
      <c r="S27" s="1"/>
      <c r="T27" s="1">
        <v>0</v>
      </c>
      <c r="U27" s="1"/>
      <c r="V27" s="1"/>
      <c r="W27" s="1">
        <v>14</v>
      </c>
      <c r="X27" s="1"/>
      <c r="Y27" s="1">
        <v>12</v>
      </c>
      <c r="Z27" s="1">
        <v>4</v>
      </c>
      <c r="AA27" s="1">
        <v>0</v>
      </c>
      <c r="AB27" s="1">
        <v>2</v>
      </c>
      <c r="AC27" s="1">
        <v>48</v>
      </c>
    </row>
    <row r="28" spans="1:29">
      <c r="A28" s="26" t="s">
        <v>383</v>
      </c>
      <c r="B28" s="1">
        <v>1</v>
      </c>
      <c r="C28" s="1"/>
      <c r="D28" s="1"/>
      <c r="E28" s="1"/>
      <c r="F28" s="1"/>
      <c r="G28" s="1">
        <v>1</v>
      </c>
      <c r="H28" s="1">
        <v>2</v>
      </c>
      <c r="I28" s="1">
        <v>4</v>
      </c>
      <c r="J28" s="1"/>
      <c r="K28" s="1">
        <v>6</v>
      </c>
      <c r="L28" s="1"/>
      <c r="M28" s="1">
        <v>1</v>
      </c>
      <c r="N28" s="1"/>
      <c r="O28" s="1"/>
      <c r="P28" s="1">
        <v>3</v>
      </c>
      <c r="Q28" s="1"/>
      <c r="R28" s="1"/>
      <c r="S28" s="1"/>
      <c r="T28" s="1">
        <v>0</v>
      </c>
      <c r="U28" s="1"/>
      <c r="V28" s="1"/>
      <c r="W28" s="1">
        <v>15</v>
      </c>
      <c r="X28" s="1"/>
      <c r="Y28" s="1">
        <v>13</v>
      </c>
      <c r="Z28" s="1">
        <v>6</v>
      </c>
      <c r="AA28" s="1">
        <v>0</v>
      </c>
      <c r="AB28" s="1">
        <v>3</v>
      </c>
      <c r="AC28" s="1">
        <v>55</v>
      </c>
    </row>
    <row r="29" spans="1:29">
      <c r="A29" s="26" t="s">
        <v>384</v>
      </c>
      <c r="B29" s="1">
        <v>1</v>
      </c>
      <c r="C29" s="1"/>
      <c r="D29" s="1">
        <v>1</v>
      </c>
      <c r="E29" s="1"/>
      <c r="F29" s="1"/>
      <c r="G29" s="1">
        <v>2</v>
      </c>
      <c r="H29" s="1">
        <v>3</v>
      </c>
      <c r="I29" s="1">
        <v>4</v>
      </c>
      <c r="J29" s="1"/>
      <c r="K29" s="1">
        <v>8</v>
      </c>
      <c r="L29" s="1"/>
      <c r="M29" s="1">
        <v>3</v>
      </c>
      <c r="N29" s="1"/>
      <c r="O29" s="1"/>
      <c r="P29" s="1">
        <v>3</v>
      </c>
      <c r="Q29" s="1"/>
      <c r="R29" s="1"/>
      <c r="S29" s="1"/>
      <c r="T29" s="1">
        <v>0</v>
      </c>
      <c r="U29" s="1"/>
      <c r="V29" s="1"/>
      <c r="W29" s="1">
        <v>22</v>
      </c>
      <c r="X29" s="1"/>
      <c r="Y29" s="1">
        <v>19</v>
      </c>
      <c r="Z29" s="1">
        <v>7</v>
      </c>
      <c r="AA29" s="1">
        <v>0</v>
      </c>
      <c r="AB29" s="1">
        <v>4</v>
      </c>
      <c r="AC29" s="1">
        <v>77</v>
      </c>
    </row>
    <row r="30" spans="1:29">
      <c r="A30" s="26" t="s">
        <v>385</v>
      </c>
      <c r="B30" s="1">
        <v>2</v>
      </c>
      <c r="C30" s="1"/>
      <c r="D30" s="1"/>
      <c r="E30" s="1"/>
      <c r="F30" s="1">
        <v>1</v>
      </c>
      <c r="G30" s="1">
        <v>3</v>
      </c>
      <c r="H30" s="1">
        <v>3</v>
      </c>
      <c r="I30" s="1">
        <v>5</v>
      </c>
      <c r="J30" s="1"/>
      <c r="K30" s="1">
        <v>8</v>
      </c>
      <c r="L30" s="1"/>
      <c r="M30" s="1">
        <v>3</v>
      </c>
      <c r="N30" s="1"/>
      <c r="O30" s="1">
        <v>1</v>
      </c>
      <c r="P30" s="1">
        <v>4</v>
      </c>
      <c r="Q30" s="1"/>
      <c r="R30" s="1"/>
      <c r="S30" s="1"/>
      <c r="T30" s="1">
        <v>0</v>
      </c>
      <c r="U30" s="1"/>
      <c r="V30" s="1"/>
      <c r="W30" s="1">
        <v>28</v>
      </c>
      <c r="X30" s="1"/>
      <c r="Y30" s="1">
        <v>22</v>
      </c>
      <c r="Z30" s="1">
        <v>10</v>
      </c>
      <c r="AA30" s="1">
        <v>0</v>
      </c>
      <c r="AB30" s="1">
        <v>5</v>
      </c>
      <c r="AC30" s="1">
        <v>95</v>
      </c>
    </row>
    <row r="31" spans="1:29">
      <c r="A31" s="26" t="s">
        <v>386</v>
      </c>
      <c r="B31" s="1">
        <v>3</v>
      </c>
      <c r="C31" s="1"/>
      <c r="D31" s="1">
        <v>1</v>
      </c>
      <c r="E31" s="1"/>
      <c r="F31" s="1"/>
      <c r="G31" s="1"/>
      <c r="H31" s="1">
        <v>3</v>
      </c>
      <c r="I31" s="1">
        <v>5</v>
      </c>
      <c r="J31" s="1"/>
      <c r="K31" s="1">
        <v>9</v>
      </c>
      <c r="L31" s="1"/>
      <c r="M31" s="1">
        <v>6</v>
      </c>
      <c r="N31" s="1"/>
      <c r="O31" s="1">
        <v>1</v>
      </c>
      <c r="P31" s="1">
        <v>4</v>
      </c>
      <c r="Q31" s="1"/>
      <c r="R31" s="1"/>
      <c r="S31" s="1"/>
      <c r="T31" s="1">
        <v>0</v>
      </c>
      <c r="U31" s="1"/>
      <c r="V31" s="1"/>
      <c r="W31" s="1">
        <v>37</v>
      </c>
      <c r="X31" s="1"/>
      <c r="Y31" s="1">
        <v>24</v>
      </c>
      <c r="Z31" s="1">
        <v>11</v>
      </c>
      <c r="AA31" s="1">
        <v>0</v>
      </c>
      <c r="AB31" s="1">
        <v>6</v>
      </c>
      <c r="AC31" s="1">
        <v>110</v>
      </c>
    </row>
    <row r="32" spans="1:29">
      <c r="A32" s="26" t="s">
        <v>387</v>
      </c>
      <c r="B32" s="1">
        <v>4</v>
      </c>
      <c r="C32" s="1">
        <v>1</v>
      </c>
      <c r="D32" s="1">
        <v>1</v>
      </c>
      <c r="E32" s="1"/>
      <c r="F32" s="1">
        <v>1</v>
      </c>
      <c r="G32" s="1">
        <v>5</v>
      </c>
      <c r="H32" s="1">
        <v>3</v>
      </c>
      <c r="I32" s="1">
        <v>5</v>
      </c>
      <c r="J32" s="1"/>
      <c r="K32" s="1">
        <v>14</v>
      </c>
      <c r="L32" s="1"/>
      <c r="M32" s="1"/>
      <c r="N32" s="1"/>
      <c r="O32" s="1">
        <v>1</v>
      </c>
      <c r="P32" s="1">
        <v>5</v>
      </c>
      <c r="Q32" s="1"/>
      <c r="R32" s="1"/>
      <c r="S32" s="1">
        <v>1</v>
      </c>
      <c r="T32" s="1">
        <v>0</v>
      </c>
      <c r="U32" s="1"/>
      <c r="V32" s="1"/>
      <c r="W32" s="1">
        <v>48</v>
      </c>
      <c r="X32" s="1"/>
      <c r="Y32" s="1">
        <v>28</v>
      </c>
      <c r="Z32" s="1">
        <v>13</v>
      </c>
      <c r="AA32" s="1">
        <v>0</v>
      </c>
      <c r="AB32" s="1">
        <v>6</v>
      </c>
      <c r="AC32" s="1">
        <v>136</v>
      </c>
    </row>
    <row r="33" spans="1:29">
      <c r="A33" s="26" t="s">
        <v>388</v>
      </c>
      <c r="B33" s="1">
        <v>5</v>
      </c>
      <c r="C33" s="1">
        <v>1</v>
      </c>
      <c r="D33" s="1">
        <v>2</v>
      </c>
      <c r="E33" s="1"/>
      <c r="F33" s="1">
        <v>2</v>
      </c>
      <c r="G33" s="1">
        <v>6</v>
      </c>
      <c r="H33" s="1">
        <v>4</v>
      </c>
      <c r="I33" s="1">
        <v>5</v>
      </c>
      <c r="J33" s="1"/>
      <c r="K33" s="1">
        <v>15</v>
      </c>
      <c r="L33" s="1"/>
      <c r="M33" s="1">
        <v>6</v>
      </c>
      <c r="N33" s="1"/>
      <c r="O33" s="1">
        <v>2</v>
      </c>
      <c r="P33" s="1">
        <v>6</v>
      </c>
      <c r="Q33" s="1"/>
      <c r="R33" s="1"/>
      <c r="S33" s="1"/>
      <c r="T33" s="1">
        <v>0</v>
      </c>
      <c r="U33" s="1"/>
      <c r="V33" s="1">
        <v>1</v>
      </c>
      <c r="W33" s="1">
        <v>53</v>
      </c>
      <c r="X33" s="1"/>
      <c r="Y33" s="1">
        <v>32</v>
      </c>
      <c r="Z33" s="1">
        <v>14</v>
      </c>
      <c r="AA33" s="1">
        <v>0</v>
      </c>
      <c r="AB33" s="1">
        <v>8</v>
      </c>
      <c r="AC33" s="1">
        <v>162</v>
      </c>
    </row>
    <row r="34" spans="1:29">
      <c r="A34" s="26" t="s">
        <v>389</v>
      </c>
      <c r="B34" s="1">
        <v>6</v>
      </c>
      <c r="C34" s="1">
        <v>1</v>
      </c>
      <c r="D34" s="1">
        <v>2</v>
      </c>
      <c r="E34" s="1"/>
      <c r="F34" s="1">
        <v>2</v>
      </c>
      <c r="G34" s="1">
        <v>6</v>
      </c>
      <c r="H34" s="1">
        <v>5</v>
      </c>
      <c r="I34" s="1">
        <v>8</v>
      </c>
      <c r="J34" s="1"/>
      <c r="K34" s="1">
        <v>22</v>
      </c>
      <c r="L34" s="1"/>
      <c r="M34" s="1">
        <v>6</v>
      </c>
      <c r="N34" s="1"/>
      <c r="O34" s="1">
        <v>2</v>
      </c>
      <c r="P34" s="1">
        <v>9</v>
      </c>
      <c r="Q34" s="1"/>
      <c r="R34" s="1"/>
      <c r="S34" s="1">
        <v>1</v>
      </c>
      <c r="T34" s="1">
        <v>0</v>
      </c>
      <c r="U34" s="1"/>
      <c r="V34" s="1">
        <v>1</v>
      </c>
      <c r="W34" s="1">
        <v>60</v>
      </c>
      <c r="X34" s="1"/>
      <c r="Y34" s="1">
        <v>40</v>
      </c>
      <c r="Z34" s="1">
        <v>15</v>
      </c>
      <c r="AA34" s="1">
        <v>0</v>
      </c>
      <c r="AB34" s="1">
        <v>10</v>
      </c>
      <c r="AC34" s="1">
        <v>196</v>
      </c>
    </row>
    <row r="35" spans="1:29">
      <c r="A35" s="26" t="s">
        <v>390</v>
      </c>
      <c r="B35" s="1">
        <v>11</v>
      </c>
      <c r="C35" s="1">
        <v>1</v>
      </c>
      <c r="D35" s="1">
        <v>2</v>
      </c>
      <c r="E35" s="1"/>
      <c r="F35" s="1">
        <v>2</v>
      </c>
      <c r="G35" s="1">
        <v>7</v>
      </c>
      <c r="H35" s="1">
        <v>5</v>
      </c>
      <c r="I35" s="1">
        <v>12</v>
      </c>
      <c r="J35" s="1"/>
      <c r="K35" s="1">
        <v>24</v>
      </c>
      <c r="L35" s="1"/>
      <c r="M35" s="1">
        <v>9</v>
      </c>
      <c r="N35" s="1"/>
      <c r="O35" s="1">
        <v>3</v>
      </c>
      <c r="P35" s="1">
        <v>12</v>
      </c>
      <c r="Q35" s="1"/>
      <c r="R35" s="1"/>
      <c r="S35" s="1">
        <v>2</v>
      </c>
      <c r="T35" s="1">
        <v>0</v>
      </c>
      <c r="U35" s="1">
        <v>1</v>
      </c>
      <c r="V35" s="1">
        <v>1</v>
      </c>
      <c r="W35" s="1">
        <v>67</v>
      </c>
      <c r="X35" s="1"/>
      <c r="Y35" s="1">
        <v>57</v>
      </c>
      <c r="Z35" s="1">
        <v>17</v>
      </c>
      <c r="AA35" s="1">
        <v>0</v>
      </c>
      <c r="AB35" s="1">
        <v>13</v>
      </c>
      <c r="AC35" s="1">
        <v>246</v>
      </c>
    </row>
    <row r="36" spans="1:29">
      <c r="A36" s="26" t="s">
        <v>391</v>
      </c>
      <c r="B36" s="1">
        <v>15</v>
      </c>
      <c r="C36" s="1">
        <v>1</v>
      </c>
      <c r="D36" s="1">
        <v>3</v>
      </c>
      <c r="E36" s="1"/>
      <c r="F36" s="1">
        <v>2</v>
      </c>
      <c r="G36" s="1">
        <v>8</v>
      </c>
      <c r="H36" s="1">
        <v>5</v>
      </c>
      <c r="I36" s="1">
        <v>13</v>
      </c>
      <c r="J36" s="1"/>
      <c r="K36" s="1">
        <v>31</v>
      </c>
      <c r="L36" s="1"/>
      <c r="M36" s="1">
        <v>9</v>
      </c>
      <c r="N36" s="1"/>
      <c r="O36" s="1">
        <v>3</v>
      </c>
      <c r="P36" s="1">
        <v>13</v>
      </c>
      <c r="Q36" s="1"/>
      <c r="R36" s="1"/>
      <c r="S36" s="1"/>
      <c r="T36" s="1">
        <v>0</v>
      </c>
      <c r="U36" s="1">
        <v>1</v>
      </c>
      <c r="V36" s="1">
        <v>2</v>
      </c>
      <c r="W36" s="1">
        <v>76</v>
      </c>
      <c r="X36" s="1"/>
      <c r="Y36" s="1">
        <v>61</v>
      </c>
      <c r="Z36" s="1">
        <v>21</v>
      </c>
      <c r="AA36" s="1">
        <v>1</v>
      </c>
      <c r="AB36" s="1">
        <v>15</v>
      </c>
      <c r="AC36" s="1">
        <v>280</v>
      </c>
    </row>
    <row r="37" spans="1:29">
      <c r="A37" s="26" t="s">
        <v>392</v>
      </c>
      <c r="B37" s="1">
        <v>15</v>
      </c>
      <c r="C37" s="1">
        <v>1</v>
      </c>
      <c r="D37" s="1"/>
      <c r="E37" s="1"/>
      <c r="F37" s="1">
        <v>2</v>
      </c>
      <c r="G37" s="1">
        <v>9</v>
      </c>
      <c r="H37" s="1">
        <v>6</v>
      </c>
      <c r="I37" s="1">
        <v>13</v>
      </c>
      <c r="J37" s="1"/>
      <c r="K37" s="1">
        <v>39</v>
      </c>
      <c r="L37" s="1">
        <v>1</v>
      </c>
      <c r="M37" s="1"/>
      <c r="N37" s="1"/>
      <c r="O37" s="1">
        <v>4</v>
      </c>
      <c r="P37" s="1">
        <v>15</v>
      </c>
      <c r="Q37" s="1"/>
      <c r="R37" s="1"/>
      <c r="S37" s="1">
        <v>5</v>
      </c>
      <c r="T37" s="1">
        <v>0</v>
      </c>
      <c r="U37" s="1">
        <v>2</v>
      </c>
      <c r="V37" s="1">
        <v>2</v>
      </c>
      <c r="W37" s="1">
        <v>87</v>
      </c>
      <c r="X37" s="1"/>
      <c r="Y37" s="1">
        <v>72</v>
      </c>
      <c r="Z37" s="1">
        <v>25</v>
      </c>
      <c r="AA37" s="1">
        <v>1</v>
      </c>
      <c r="AB37" s="1">
        <v>19</v>
      </c>
      <c r="AC37" s="1">
        <v>318</v>
      </c>
    </row>
    <row r="38" spans="1:29">
      <c r="A38" s="26" t="s">
        <v>393</v>
      </c>
      <c r="B38" s="1">
        <v>16</v>
      </c>
      <c r="C38" s="1">
        <v>2</v>
      </c>
      <c r="D38" s="1"/>
      <c r="E38" s="1"/>
      <c r="F38" s="1">
        <v>2</v>
      </c>
      <c r="G38" s="1">
        <v>10</v>
      </c>
      <c r="H38" s="1">
        <v>6</v>
      </c>
      <c r="I38" s="1">
        <v>15</v>
      </c>
      <c r="J38" s="1"/>
      <c r="K38" s="1">
        <v>46</v>
      </c>
      <c r="L38" s="1"/>
      <c r="M38" s="1"/>
      <c r="N38" s="1"/>
      <c r="O38" s="1">
        <v>5</v>
      </c>
      <c r="P38" s="1">
        <v>18</v>
      </c>
      <c r="Q38" s="1"/>
      <c r="R38" s="1"/>
      <c r="S38" s="1">
        <v>5</v>
      </c>
      <c r="T38" s="1">
        <v>0</v>
      </c>
      <c r="U38" s="1">
        <v>2</v>
      </c>
      <c r="V38" s="1">
        <v>2</v>
      </c>
      <c r="W38" s="1">
        <v>93</v>
      </c>
      <c r="X38" s="1"/>
      <c r="Y38" s="1">
        <v>81</v>
      </c>
      <c r="Z38" s="1">
        <v>31</v>
      </c>
      <c r="AA38" s="1">
        <v>1</v>
      </c>
      <c r="AB38" s="1">
        <v>22</v>
      </c>
      <c r="AC38" s="1">
        <v>357</v>
      </c>
    </row>
    <row r="39" spans="1:29">
      <c r="A39" s="26" t="s">
        <v>394</v>
      </c>
      <c r="B39" s="1">
        <v>17</v>
      </c>
      <c r="C39" s="1"/>
      <c r="D39" s="1">
        <v>8</v>
      </c>
      <c r="E39" s="1"/>
      <c r="F39" s="1">
        <v>2</v>
      </c>
      <c r="G39" s="1">
        <v>13</v>
      </c>
      <c r="H39" s="1">
        <v>7</v>
      </c>
      <c r="I39" s="1">
        <v>15</v>
      </c>
      <c r="J39" s="1"/>
      <c r="K39" s="1">
        <v>55</v>
      </c>
      <c r="L39" s="1">
        <v>1</v>
      </c>
      <c r="M39" s="1">
        <v>12</v>
      </c>
      <c r="N39" s="1"/>
      <c r="O39" s="1">
        <v>6</v>
      </c>
      <c r="P39" s="1">
        <v>21</v>
      </c>
      <c r="Q39" s="1"/>
      <c r="R39" s="1"/>
      <c r="S39" s="1">
        <v>5</v>
      </c>
      <c r="T39" s="1">
        <v>0</v>
      </c>
      <c r="U39" s="1">
        <v>2</v>
      </c>
      <c r="V39" s="1">
        <v>2</v>
      </c>
      <c r="W39" s="1">
        <v>105</v>
      </c>
      <c r="X39" s="1"/>
      <c r="Y39" s="1">
        <v>92</v>
      </c>
      <c r="Z39" s="1">
        <v>35</v>
      </c>
      <c r="AA39" s="1">
        <v>1</v>
      </c>
      <c r="AB39" s="1">
        <v>24</v>
      </c>
      <c r="AC39" s="1">
        <v>423</v>
      </c>
    </row>
    <row r="40" spans="1:29">
      <c r="A40" s="26" t="s">
        <v>395</v>
      </c>
      <c r="B40" s="1">
        <v>20</v>
      </c>
      <c r="C40" s="1">
        <v>2</v>
      </c>
      <c r="D40" s="1">
        <v>11</v>
      </c>
      <c r="E40" s="1"/>
      <c r="F40" s="1">
        <v>2</v>
      </c>
      <c r="G40" s="1">
        <v>16</v>
      </c>
      <c r="H40" s="1">
        <v>10</v>
      </c>
      <c r="I40" s="1">
        <v>16</v>
      </c>
      <c r="J40" s="1"/>
      <c r="K40" s="1">
        <v>63</v>
      </c>
      <c r="L40" s="1">
        <v>2</v>
      </c>
      <c r="M40" s="1">
        <v>19</v>
      </c>
      <c r="N40" s="1"/>
      <c r="O40" s="1">
        <v>7</v>
      </c>
      <c r="P40" s="1">
        <v>23</v>
      </c>
      <c r="Q40" s="1"/>
      <c r="R40" s="1"/>
      <c r="S40" s="1">
        <v>7</v>
      </c>
      <c r="T40" s="1">
        <v>1</v>
      </c>
      <c r="U40" s="1">
        <v>4</v>
      </c>
      <c r="V40" s="1">
        <v>3</v>
      </c>
      <c r="W40" s="1">
        <v>120</v>
      </c>
      <c r="X40" s="1"/>
      <c r="Y40" s="1">
        <v>104</v>
      </c>
      <c r="Z40" s="1">
        <v>37</v>
      </c>
      <c r="AA40" s="1">
        <v>1</v>
      </c>
      <c r="AB40" s="1">
        <v>27</v>
      </c>
      <c r="AC40" s="1">
        <v>495</v>
      </c>
    </row>
    <row r="41" spans="1:29">
      <c r="A41" s="26" t="s">
        <v>396</v>
      </c>
      <c r="B41" s="1">
        <v>23</v>
      </c>
      <c r="C41" s="1">
        <v>3</v>
      </c>
      <c r="D41" s="1">
        <v>11</v>
      </c>
      <c r="E41" s="1"/>
      <c r="F41" s="1">
        <v>3</v>
      </c>
      <c r="G41" s="1">
        <v>20</v>
      </c>
      <c r="H41" s="1">
        <v>11</v>
      </c>
      <c r="I41" s="1">
        <v>18</v>
      </c>
      <c r="J41" s="1"/>
      <c r="K41" s="1">
        <v>71</v>
      </c>
      <c r="L41" s="1">
        <v>2</v>
      </c>
      <c r="M41" s="1">
        <v>21</v>
      </c>
      <c r="N41" s="1"/>
      <c r="O41" s="1">
        <v>7</v>
      </c>
      <c r="P41" s="1">
        <v>25</v>
      </c>
      <c r="Q41" s="1"/>
      <c r="R41" s="1"/>
      <c r="S41" s="1">
        <v>7</v>
      </c>
      <c r="T41" s="1">
        <v>1</v>
      </c>
      <c r="U41" s="1">
        <v>4</v>
      </c>
      <c r="V41" s="1">
        <v>4</v>
      </c>
      <c r="W41" s="1">
        <v>132</v>
      </c>
      <c r="X41" s="1">
        <v>1</v>
      </c>
      <c r="Y41" s="1">
        <v>115</v>
      </c>
      <c r="Z41" s="1">
        <v>40</v>
      </c>
      <c r="AA41" s="1">
        <v>1</v>
      </c>
      <c r="AB41" s="1">
        <v>36</v>
      </c>
      <c r="AC41" s="1">
        <v>556</v>
      </c>
    </row>
    <row r="42" spans="1:29">
      <c r="A42" s="26" t="s">
        <v>397</v>
      </c>
      <c r="B42" s="1">
        <v>26</v>
      </c>
      <c r="C42" s="1">
        <v>3</v>
      </c>
      <c r="D42" s="1">
        <v>12</v>
      </c>
      <c r="E42" s="1"/>
      <c r="F42" s="1">
        <v>3</v>
      </c>
      <c r="G42" s="1">
        <v>23</v>
      </c>
      <c r="H42" s="1">
        <v>12</v>
      </c>
      <c r="I42" s="1">
        <v>19</v>
      </c>
      <c r="J42" s="1"/>
      <c r="K42" s="1">
        <v>79</v>
      </c>
      <c r="L42" s="1">
        <v>2</v>
      </c>
      <c r="M42" s="1">
        <v>23</v>
      </c>
      <c r="N42" s="1"/>
      <c r="O42" s="1">
        <v>7</v>
      </c>
      <c r="P42" s="1">
        <v>28</v>
      </c>
      <c r="Q42" s="1"/>
      <c r="R42" s="1"/>
      <c r="S42" s="1">
        <v>8</v>
      </c>
      <c r="T42" s="1">
        <v>1</v>
      </c>
      <c r="U42" s="1">
        <v>4</v>
      </c>
      <c r="V42" s="1">
        <v>4</v>
      </c>
      <c r="W42" s="1">
        <v>141</v>
      </c>
      <c r="X42" s="1">
        <v>1</v>
      </c>
      <c r="Y42" s="1">
        <v>134</v>
      </c>
      <c r="Z42" s="1">
        <v>47</v>
      </c>
      <c r="AA42" s="1">
        <v>1</v>
      </c>
      <c r="AB42" s="1">
        <v>39</v>
      </c>
      <c r="AC42" s="1">
        <v>617</v>
      </c>
    </row>
    <row r="43" spans="1:29">
      <c r="A43" s="26" t="s">
        <v>398</v>
      </c>
      <c r="B43" s="1">
        <v>31</v>
      </c>
      <c r="C43" s="1">
        <v>3</v>
      </c>
      <c r="D43" s="1">
        <v>12</v>
      </c>
      <c r="E43" s="1"/>
      <c r="F43" s="1">
        <v>3</v>
      </c>
      <c r="G43" s="1">
        <v>26</v>
      </c>
      <c r="H43" s="1">
        <v>14</v>
      </c>
      <c r="I43" s="1">
        <v>21</v>
      </c>
      <c r="J43" s="1"/>
      <c r="K43" s="1">
        <v>85</v>
      </c>
      <c r="L43" s="1">
        <v>2</v>
      </c>
      <c r="M43" s="1">
        <v>27</v>
      </c>
      <c r="N43" s="1"/>
      <c r="O43" s="1">
        <v>7</v>
      </c>
      <c r="P43" s="1">
        <v>29</v>
      </c>
      <c r="Q43" s="1"/>
      <c r="R43" s="1"/>
      <c r="S43" s="1">
        <v>8</v>
      </c>
      <c r="T43" s="1">
        <v>1</v>
      </c>
      <c r="U43" s="1">
        <v>4</v>
      </c>
      <c r="V43" s="1">
        <v>5</v>
      </c>
      <c r="W43" s="1">
        <v>155</v>
      </c>
      <c r="X43" s="1">
        <v>1</v>
      </c>
      <c r="Y43" s="1">
        <v>152</v>
      </c>
      <c r="Z43" s="1">
        <v>51</v>
      </c>
      <c r="AA43" s="1">
        <v>2</v>
      </c>
      <c r="AB43" s="1">
        <v>41</v>
      </c>
      <c r="AC43" s="1">
        <v>680</v>
      </c>
    </row>
    <row r="44" spans="1:29">
      <c r="A44" s="26" t="s">
        <v>399</v>
      </c>
      <c r="B44" s="1">
        <v>37</v>
      </c>
      <c r="C44" s="1">
        <v>3</v>
      </c>
      <c r="D44" s="1"/>
      <c r="E44" s="1"/>
      <c r="F44" s="1">
        <v>3</v>
      </c>
      <c r="G44" s="1">
        <v>28</v>
      </c>
      <c r="H44" s="1">
        <v>19</v>
      </c>
      <c r="I44" s="1">
        <v>24</v>
      </c>
      <c r="J44" s="1">
        <v>1</v>
      </c>
      <c r="K44" s="1">
        <v>98</v>
      </c>
      <c r="L44" s="1"/>
      <c r="M44" s="1"/>
      <c r="N44" s="1"/>
      <c r="O44" s="1">
        <v>7</v>
      </c>
      <c r="P44" s="1">
        <v>31</v>
      </c>
      <c r="Q44" s="1">
        <v>0</v>
      </c>
      <c r="R44" s="1"/>
      <c r="S44" s="1">
        <v>9</v>
      </c>
      <c r="T44" s="1">
        <v>1</v>
      </c>
      <c r="U44" s="1">
        <v>5</v>
      </c>
      <c r="V44" s="1">
        <v>5</v>
      </c>
      <c r="W44" s="1">
        <v>165</v>
      </c>
      <c r="X44" s="1">
        <v>1</v>
      </c>
      <c r="Y44" s="1">
        <v>162</v>
      </c>
      <c r="Z44" s="1">
        <v>53</v>
      </c>
      <c r="AA44" s="1">
        <v>2</v>
      </c>
      <c r="AB44" s="1">
        <v>49</v>
      </c>
      <c r="AC44" s="1">
        <v>703</v>
      </c>
    </row>
    <row r="45" spans="1:29">
      <c r="A45" s="26" t="s">
        <v>400</v>
      </c>
      <c r="B45" s="1">
        <v>40</v>
      </c>
      <c r="C45" s="1">
        <v>3</v>
      </c>
      <c r="D45" s="1"/>
      <c r="E45" s="1"/>
      <c r="F45" s="1">
        <v>3</v>
      </c>
      <c r="G45" s="1">
        <v>28</v>
      </c>
      <c r="H45" s="1">
        <v>19</v>
      </c>
      <c r="I45" s="1">
        <v>26</v>
      </c>
      <c r="J45" s="1">
        <v>1</v>
      </c>
      <c r="K45" s="1">
        <v>105</v>
      </c>
      <c r="L45" s="1"/>
      <c r="M45" s="1">
        <v>30</v>
      </c>
      <c r="N45" s="1"/>
      <c r="O45" s="1">
        <v>9</v>
      </c>
      <c r="P45" s="1">
        <v>31</v>
      </c>
      <c r="Q45" s="1">
        <v>0</v>
      </c>
      <c r="R45" s="1"/>
      <c r="S45" s="1">
        <v>9</v>
      </c>
      <c r="T45" s="1">
        <v>1</v>
      </c>
      <c r="U45" s="1">
        <v>5</v>
      </c>
      <c r="V45" s="1">
        <v>7</v>
      </c>
      <c r="W45" s="1">
        <v>177</v>
      </c>
      <c r="X45" s="1">
        <v>2</v>
      </c>
      <c r="Y45" s="1">
        <v>174</v>
      </c>
      <c r="Z45" s="1">
        <v>57</v>
      </c>
      <c r="AA45" s="1">
        <v>3</v>
      </c>
      <c r="AB45" s="1">
        <v>53</v>
      </c>
      <c r="AC45" s="1">
        <v>783</v>
      </c>
    </row>
    <row r="46" spans="1:29">
      <c r="A46" s="26" t="s">
        <v>401</v>
      </c>
      <c r="B46" s="1">
        <v>41</v>
      </c>
      <c r="C46" s="1">
        <v>3</v>
      </c>
      <c r="D46" s="1">
        <v>13</v>
      </c>
      <c r="E46" s="1"/>
      <c r="F46" s="1">
        <v>3</v>
      </c>
      <c r="G46" s="1">
        <v>31</v>
      </c>
      <c r="H46" s="1">
        <v>19</v>
      </c>
      <c r="I46" s="1">
        <v>26</v>
      </c>
      <c r="J46" s="1"/>
      <c r="K46" s="1">
        <v>116</v>
      </c>
      <c r="L46" s="1">
        <v>2</v>
      </c>
      <c r="M46" s="1">
        <v>31</v>
      </c>
      <c r="N46" s="1"/>
      <c r="O46" s="1">
        <v>9</v>
      </c>
      <c r="P46" s="1">
        <v>34</v>
      </c>
      <c r="Q46" s="1">
        <v>0</v>
      </c>
      <c r="R46" s="1">
        <v>0</v>
      </c>
      <c r="S46" s="1">
        <v>11</v>
      </c>
      <c r="T46" s="1">
        <v>1</v>
      </c>
      <c r="U46" s="1">
        <v>6</v>
      </c>
      <c r="V46" s="1">
        <v>7</v>
      </c>
      <c r="W46" s="1">
        <v>189</v>
      </c>
      <c r="X46" s="1">
        <v>2</v>
      </c>
      <c r="Y46" s="1">
        <v>190</v>
      </c>
      <c r="Z46" s="1">
        <v>60</v>
      </c>
      <c r="AA46" s="1">
        <v>3</v>
      </c>
      <c r="AB46" s="1">
        <v>55</v>
      </c>
      <c r="AC46" s="1">
        <v>852</v>
      </c>
    </row>
    <row r="47" spans="1:29">
      <c r="A47" s="26" t="s">
        <v>402</v>
      </c>
      <c r="B47" s="1">
        <v>44</v>
      </c>
      <c r="C47" s="1">
        <v>3</v>
      </c>
      <c r="D47" s="1">
        <v>16</v>
      </c>
      <c r="E47" s="1"/>
      <c r="F47" s="1">
        <v>3</v>
      </c>
      <c r="G47" s="1">
        <v>33</v>
      </c>
      <c r="H47" s="1">
        <v>19</v>
      </c>
      <c r="I47" s="1">
        <v>28</v>
      </c>
      <c r="J47" s="1">
        <v>1</v>
      </c>
      <c r="K47" s="1">
        <v>127</v>
      </c>
      <c r="L47" s="1">
        <v>2</v>
      </c>
      <c r="M47" s="1">
        <v>34</v>
      </c>
      <c r="N47" s="1"/>
      <c r="O47" s="1">
        <v>9</v>
      </c>
      <c r="P47" s="1">
        <v>36</v>
      </c>
      <c r="Q47" s="1">
        <v>0</v>
      </c>
      <c r="R47" s="1">
        <v>0</v>
      </c>
      <c r="S47" s="1">
        <v>13</v>
      </c>
      <c r="T47" s="1">
        <v>1</v>
      </c>
      <c r="U47" s="1">
        <v>7</v>
      </c>
      <c r="V47" s="1">
        <v>8</v>
      </c>
      <c r="W47" s="1">
        <v>198</v>
      </c>
      <c r="X47" s="1">
        <v>2</v>
      </c>
      <c r="Y47" s="1">
        <v>202</v>
      </c>
      <c r="Z47" s="1">
        <v>68</v>
      </c>
      <c r="AA47" s="1">
        <v>3</v>
      </c>
      <c r="AB47" s="1">
        <v>57</v>
      </c>
      <c r="AC47" s="1">
        <v>914</v>
      </c>
    </row>
    <row r="48" spans="1:29">
      <c r="A48" s="26" t="s">
        <v>403</v>
      </c>
      <c r="B48" s="1">
        <v>45</v>
      </c>
      <c r="C48" s="1">
        <v>3</v>
      </c>
      <c r="D48" s="1">
        <v>16</v>
      </c>
      <c r="E48" s="1"/>
      <c r="F48" s="1">
        <v>3</v>
      </c>
      <c r="G48" s="1">
        <v>37</v>
      </c>
      <c r="H48" s="1">
        <v>21</v>
      </c>
      <c r="I48" s="1">
        <v>31</v>
      </c>
      <c r="J48" s="1"/>
      <c r="K48" s="1">
        <v>140</v>
      </c>
      <c r="L48" s="1">
        <v>2</v>
      </c>
      <c r="M48" s="1">
        <v>35</v>
      </c>
      <c r="N48" s="1">
        <v>1</v>
      </c>
      <c r="O48" s="1">
        <v>9</v>
      </c>
      <c r="P48" s="1">
        <v>39</v>
      </c>
      <c r="Q48" s="1">
        <v>0</v>
      </c>
      <c r="R48" s="1">
        <v>0</v>
      </c>
      <c r="S48" s="1">
        <v>15</v>
      </c>
      <c r="T48" s="1">
        <v>1</v>
      </c>
      <c r="U48" s="1">
        <v>7</v>
      </c>
      <c r="V48" s="1">
        <v>8</v>
      </c>
      <c r="W48" s="1">
        <v>211</v>
      </c>
      <c r="X48" s="1">
        <v>4</v>
      </c>
      <c r="Y48" s="1">
        <v>214</v>
      </c>
      <c r="Z48" s="1">
        <v>71</v>
      </c>
      <c r="AA48" s="1">
        <v>3</v>
      </c>
      <c r="AB48" s="1">
        <v>65</v>
      </c>
      <c r="AC48" s="1">
        <v>981</v>
      </c>
    </row>
    <row r="49" spans="1:29">
      <c r="A49" s="26" t="s">
        <v>404</v>
      </c>
      <c r="B49" s="1">
        <v>46</v>
      </c>
      <c r="C49" s="1">
        <v>5</v>
      </c>
      <c r="D49" s="1">
        <v>17</v>
      </c>
      <c r="E49" s="1"/>
      <c r="F49" s="1">
        <v>3</v>
      </c>
      <c r="G49" s="1">
        <v>38</v>
      </c>
      <c r="H49" s="1">
        <v>21</v>
      </c>
      <c r="I49" s="1">
        <v>33</v>
      </c>
      <c r="J49" s="1"/>
      <c r="K49" s="1">
        <v>149</v>
      </c>
      <c r="L49" s="1">
        <v>2</v>
      </c>
      <c r="M49" s="1">
        <v>35</v>
      </c>
      <c r="N49" s="1">
        <v>1</v>
      </c>
      <c r="O49" s="1">
        <v>9</v>
      </c>
      <c r="P49" s="1">
        <v>40</v>
      </c>
      <c r="Q49" s="1">
        <v>0</v>
      </c>
      <c r="R49" s="1">
        <v>0</v>
      </c>
      <c r="S49" s="1">
        <v>16</v>
      </c>
      <c r="T49" s="1">
        <v>1</v>
      </c>
      <c r="U49" s="1">
        <v>9</v>
      </c>
      <c r="V49" s="1">
        <v>8</v>
      </c>
      <c r="W49" s="1">
        <v>219</v>
      </c>
      <c r="X49" s="1">
        <v>4</v>
      </c>
      <c r="Y49" s="1">
        <v>228</v>
      </c>
      <c r="Z49" s="1">
        <v>77</v>
      </c>
      <c r="AA49" s="1">
        <v>3</v>
      </c>
      <c r="AB49" s="1">
        <v>66</v>
      </c>
      <c r="AC49" s="1">
        <v>1030</v>
      </c>
    </row>
    <row r="50" spans="1:29">
      <c r="A50" s="26" t="s">
        <v>405</v>
      </c>
      <c r="B50" s="1">
        <v>49</v>
      </c>
      <c r="C50" s="1">
        <v>5</v>
      </c>
      <c r="D50" s="1">
        <v>18</v>
      </c>
      <c r="E50" s="1"/>
      <c r="F50" s="1">
        <v>3</v>
      </c>
      <c r="G50" s="1">
        <v>42</v>
      </c>
      <c r="H50" s="1">
        <v>22</v>
      </c>
      <c r="I50" s="1">
        <v>33</v>
      </c>
      <c r="J50" s="1">
        <v>1</v>
      </c>
      <c r="K50" s="1">
        <v>159</v>
      </c>
      <c r="L50" s="1"/>
      <c r="M50" s="1">
        <v>35</v>
      </c>
      <c r="N50" s="1">
        <v>3</v>
      </c>
      <c r="O50" s="1">
        <v>9</v>
      </c>
      <c r="P50" s="1">
        <v>40</v>
      </c>
      <c r="Q50" s="1">
        <v>0</v>
      </c>
      <c r="R50" s="1"/>
      <c r="S50" s="1">
        <v>17</v>
      </c>
      <c r="T50" s="1">
        <v>1</v>
      </c>
      <c r="U50" s="1">
        <v>10</v>
      </c>
      <c r="V50" s="1">
        <v>8</v>
      </c>
      <c r="W50" s="1">
        <v>227</v>
      </c>
      <c r="X50" s="1">
        <v>4</v>
      </c>
      <c r="Y50" s="1">
        <v>235</v>
      </c>
      <c r="Z50" s="1">
        <v>83</v>
      </c>
      <c r="AA50" s="1">
        <v>4</v>
      </c>
      <c r="AB50" s="1">
        <v>71</v>
      </c>
      <c r="AC50" s="1">
        <v>1079</v>
      </c>
    </row>
    <row r="51" spans="1:29">
      <c r="A51" s="26" t="s">
        <v>406</v>
      </c>
      <c r="B51" s="1">
        <v>53</v>
      </c>
      <c r="C51" s="1">
        <v>6</v>
      </c>
      <c r="D51" s="1">
        <v>18</v>
      </c>
      <c r="E51" s="1"/>
      <c r="F51" s="1">
        <v>3</v>
      </c>
      <c r="G51" s="1">
        <v>44</v>
      </c>
      <c r="H51" s="1">
        <v>22</v>
      </c>
      <c r="I51" s="1">
        <v>33</v>
      </c>
      <c r="J51" s="1">
        <v>1</v>
      </c>
      <c r="K51" s="1">
        <v>167</v>
      </c>
      <c r="L51" s="1">
        <v>2</v>
      </c>
      <c r="M51" s="1">
        <v>35</v>
      </c>
      <c r="N51" s="1">
        <v>3</v>
      </c>
      <c r="O51" s="1">
        <v>10</v>
      </c>
      <c r="P51" s="1">
        <v>42</v>
      </c>
      <c r="Q51" s="1">
        <v>0</v>
      </c>
      <c r="R51" s="1"/>
      <c r="S51" s="1">
        <v>18</v>
      </c>
      <c r="T51" s="1">
        <v>1</v>
      </c>
      <c r="U51" s="1">
        <v>10</v>
      </c>
      <c r="V51" s="1">
        <v>8</v>
      </c>
      <c r="W51" s="1">
        <v>229</v>
      </c>
      <c r="X51" s="1">
        <v>4</v>
      </c>
      <c r="Y51" s="1">
        <v>241</v>
      </c>
      <c r="Z51" s="1">
        <v>85</v>
      </c>
      <c r="AA51" s="1">
        <v>5</v>
      </c>
      <c r="AB51" s="1">
        <v>77</v>
      </c>
      <c r="AC51" s="1">
        <v>1117</v>
      </c>
    </row>
    <row r="52" spans="1:29">
      <c r="A52" s="26" t="s">
        <v>407</v>
      </c>
      <c r="B52" s="1">
        <v>54</v>
      </c>
      <c r="C52" s="1">
        <v>7</v>
      </c>
      <c r="D52" s="1">
        <v>18</v>
      </c>
      <c r="E52" s="1"/>
      <c r="F52" s="1"/>
      <c r="G52" s="1">
        <v>49</v>
      </c>
      <c r="H52" s="1">
        <v>23</v>
      </c>
      <c r="I52" s="1">
        <v>33</v>
      </c>
      <c r="J52" s="1">
        <v>1</v>
      </c>
      <c r="K52" s="1">
        <v>173</v>
      </c>
      <c r="L52" s="1"/>
      <c r="M52" s="1">
        <v>35</v>
      </c>
      <c r="N52" s="1">
        <v>3</v>
      </c>
      <c r="O52" s="1">
        <v>10</v>
      </c>
      <c r="P52" s="1">
        <v>47</v>
      </c>
      <c r="Q52" s="1">
        <v>0</v>
      </c>
      <c r="R52" s="1"/>
      <c r="S52" s="1">
        <v>21</v>
      </c>
      <c r="T52" s="1">
        <v>1</v>
      </c>
      <c r="U52" s="1">
        <v>11</v>
      </c>
      <c r="V52" s="1">
        <v>8</v>
      </c>
      <c r="W52" s="1">
        <v>244</v>
      </c>
      <c r="X52" s="1">
        <v>4</v>
      </c>
      <c r="Y52" s="1">
        <v>249</v>
      </c>
      <c r="Z52" s="1">
        <v>91</v>
      </c>
      <c r="AA52" s="1">
        <v>5</v>
      </c>
      <c r="AB52" s="1">
        <v>79</v>
      </c>
      <c r="AC52" s="1">
        <v>1166</v>
      </c>
    </row>
    <row r="53" spans="1:29">
      <c r="A53" s="26" t="s">
        <v>417</v>
      </c>
      <c r="B53" s="1">
        <v>55</v>
      </c>
      <c r="C53" s="1">
        <v>7</v>
      </c>
      <c r="D53" s="1">
        <v>19</v>
      </c>
      <c r="E53" s="1"/>
      <c r="F53" s="1">
        <v>3</v>
      </c>
      <c r="G53" s="1">
        <v>49</v>
      </c>
      <c r="H53" s="1">
        <v>24</v>
      </c>
      <c r="I53" s="1">
        <v>34</v>
      </c>
      <c r="J53" s="1">
        <v>1</v>
      </c>
      <c r="K53" s="1">
        <v>176</v>
      </c>
      <c r="L53" s="1">
        <v>2</v>
      </c>
      <c r="M53" s="1">
        <v>35</v>
      </c>
      <c r="N53" s="1">
        <v>3</v>
      </c>
      <c r="O53" s="1">
        <v>10</v>
      </c>
      <c r="P53" s="1">
        <v>48</v>
      </c>
      <c r="Q53" s="1">
        <v>1</v>
      </c>
      <c r="R53" s="1"/>
      <c r="S53" s="1">
        <v>21</v>
      </c>
      <c r="T53" s="1">
        <v>1</v>
      </c>
      <c r="U53" s="1">
        <v>12</v>
      </c>
      <c r="V53" s="1">
        <v>8</v>
      </c>
      <c r="W53" s="1">
        <v>251</v>
      </c>
      <c r="X53" s="1">
        <v>4</v>
      </c>
      <c r="Y53" s="1">
        <v>255</v>
      </c>
      <c r="Z53" s="1">
        <v>93</v>
      </c>
      <c r="AA53" s="1">
        <v>5</v>
      </c>
      <c r="AB53" s="1">
        <v>83</v>
      </c>
      <c r="AC53" s="1">
        <v>1200</v>
      </c>
    </row>
    <row r="54" spans="1:29">
      <c r="A54" s="26" t="s">
        <v>433</v>
      </c>
      <c r="B54" s="1">
        <v>57</v>
      </c>
      <c r="C54" s="1">
        <v>8</v>
      </c>
      <c r="D54" s="1">
        <v>19</v>
      </c>
      <c r="E54" s="1"/>
      <c r="F54" s="1">
        <v>3</v>
      </c>
      <c r="G54" s="1">
        <v>49</v>
      </c>
      <c r="H54" s="1">
        <v>25</v>
      </c>
      <c r="I54" s="1">
        <v>34</v>
      </c>
      <c r="J54" s="1"/>
      <c r="K54" s="1">
        <v>180</v>
      </c>
      <c r="L54" s="1">
        <v>2</v>
      </c>
      <c r="M54" s="1">
        <v>37</v>
      </c>
      <c r="N54" s="1">
        <v>3</v>
      </c>
      <c r="O54" s="1">
        <v>11</v>
      </c>
      <c r="P54" s="1">
        <v>51</v>
      </c>
      <c r="Q54" s="1">
        <v>1</v>
      </c>
      <c r="R54" s="1">
        <v>0</v>
      </c>
      <c r="S54" s="1">
        <v>21</v>
      </c>
      <c r="T54" s="1">
        <v>1</v>
      </c>
      <c r="U54" s="1">
        <v>13</v>
      </c>
      <c r="V54" s="1">
        <v>10</v>
      </c>
      <c r="W54" s="1">
        <v>258</v>
      </c>
      <c r="X54" s="1">
        <v>4</v>
      </c>
      <c r="Y54" s="1">
        <v>265</v>
      </c>
      <c r="Z54" s="1">
        <v>94</v>
      </c>
      <c r="AA54" s="1">
        <v>5</v>
      </c>
      <c r="AB54" s="1">
        <v>87</v>
      </c>
      <c r="AC54" s="1">
        <v>1238</v>
      </c>
    </row>
    <row r="55" spans="1:29">
      <c r="A55" s="26" t="s">
        <v>443</v>
      </c>
      <c r="B55" s="1">
        <v>63</v>
      </c>
      <c r="C55" s="1">
        <v>8</v>
      </c>
      <c r="D55" s="1">
        <v>22</v>
      </c>
      <c r="E55" s="1"/>
      <c r="F55" s="1">
        <v>3</v>
      </c>
      <c r="G55" s="1">
        <v>53</v>
      </c>
      <c r="H55" s="1">
        <v>25</v>
      </c>
      <c r="I55" s="1">
        <v>36</v>
      </c>
      <c r="J55" s="1">
        <v>1</v>
      </c>
      <c r="K55" s="1">
        <v>184</v>
      </c>
      <c r="L55" s="1">
        <v>2</v>
      </c>
      <c r="M55" s="1">
        <v>38</v>
      </c>
      <c r="N55" s="1">
        <v>3</v>
      </c>
      <c r="O55" s="1">
        <v>12</v>
      </c>
      <c r="P55" s="1">
        <v>52</v>
      </c>
      <c r="Q55" s="1">
        <v>2</v>
      </c>
      <c r="R55" s="1">
        <v>0</v>
      </c>
      <c r="S55" s="1">
        <v>23</v>
      </c>
      <c r="T55" s="1">
        <v>1</v>
      </c>
      <c r="U55" s="1">
        <v>13</v>
      </c>
      <c r="V55" s="1">
        <v>11</v>
      </c>
      <c r="W55" s="1">
        <v>263</v>
      </c>
      <c r="X55" s="1">
        <v>4</v>
      </c>
      <c r="Y55" s="1">
        <v>282</v>
      </c>
      <c r="Z55" s="1">
        <v>94</v>
      </c>
      <c r="AA55" s="1">
        <v>6</v>
      </c>
      <c r="AB55" s="1">
        <v>91</v>
      </c>
      <c r="AC55" s="1">
        <v>1292</v>
      </c>
    </row>
    <row r="56" spans="1:29">
      <c r="A56" s="26" t="s">
        <v>452</v>
      </c>
      <c r="B56" s="1">
        <v>65</v>
      </c>
      <c r="C56" s="1">
        <v>8</v>
      </c>
      <c r="D56" s="1">
        <v>23</v>
      </c>
      <c r="E56" s="1"/>
      <c r="F56" s="1">
        <v>3</v>
      </c>
      <c r="G56" s="1">
        <v>55</v>
      </c>
      <c r="H56" s="1">
        <v>25</v>
      </c>
      <c r="I56" s="1">
        <v>37</v>
      </c>
      <c r="J56" s="1">
        <v>1</v>
      </c>
      <c r="K56" s="1">
        <v>190</v>
      </c>
      <c r="L56" s="1">
        <v>3</v>
      </c>
      <c r="M56" s="1">
        <v>39</v>
      </c>
      <c r="N56" s="1">
        <v>3</v>
      </c>
      <c r="O56" s="1">
        <v>13</v>
      </c>
      <c r="P56" s="1">
        <v>53</v>
      </c>
      <c r="Q56" s="1">
        <v>2</v>
      </c>
      <c r="R56" s="1">
        <v>0</v>
      </c>
      <c r="S56" s="1">
        <v>25</v>
      </c>
      <c r="T56" s="1">
        <v>1</v>
      </c>
      <c r="U56" s="1">
        <v>14</v>
      </c>
      <c r="V56" s="1">
        <v>11</v>
      </c>
      <c r="W56" s="1">
        <v>269</v>
      </c>
      <c r="X56" s="1">
        <v>5</v>
      </c>
      <c r="Y56" s="1">
        <v>292</v>
      </c>
      <c r="Z56" s="1">
        <v>95</v>
      </c>
      <c r="AA56" s="1">
        <v>6</v>
      </c>
      <c r="AB56" s="1">
        <v>95</v>
      </c>
      <c r="AC56" s="1">
        <v>1333</v>
      </c>
    </row>
    <row r="57" spans="1:29">
      <c r="A57" s="26" t="s">
        <v>484</v>
      </c>
      <c r="B57" s="1">
        <v>67</v>
      </c>
      <c r="C57" s="1">
        <v>9</v>
      </c>
      <c r="D57" s="1">
        <v>24</v>
      </c>
      <c r="E57" s="1"/>
      <c r="F57" s="1">
        <v>3</v>
      </c>
      <c r="G57" s="1">
        <v>67</v>
      </c>
      <c r="H57" s="1">
        <v>25</v>
      </c>
      <c r="I57" s="1">
        <v>37</v>
      </c>
      <c r="J57" s="1">
        <v>1</v>
      </c>
      <c r="K57" s="1">
        <v>196</v>
      </c>
      <c r="L57" s="1">
        <v>3</v>
      </c>
      <c r="M57" s="1"/>
      <c r="N57" s="1">
        <v>3</v>
      </c>
      <c r="O57" s="1">
        <v>14</v>
      </c>
      <c r="P57" s="1">
        <v>55</v>
      </c>
      <c r="Q57" s="1">
        <v>2</v>
      </c>
      <c r="R57" s="1">
        <v>0</v>
      </c>
      <c r="S57" s="1">
        <v>27</v>
      </c>
      <c r="T57" s="1">
        <v>1</v>
      </c>
      <c r="U57" s="1">
        <v>14</v>
      </c>
      <c r="V57" s="1">
        <v>12</v>
      </c>
      <c r="W57" s="1">
        <v>270</v>
      </c>
      <c r="X57" s="1">
        <v>5</v>
      </c>
      <c r="Y57" s="1">
        <v>296</v>
      </c>
      <c r="Z57" s="1">
        <v>99</v>
      </c>
      <c r="AA57" s="1">
        <v>7</v>
      </c>
      <c r="AB57" s="1">
        <v>98</v>
      </c>
      <c r="AC57" s="1">
        <v>1335</v>
      </c>
    </row>
    <row r="58" spans="1:29">
      <c r="A58" s="26" t="s">
        <v>485</v>
      </c>
      <c r="B58" s="1">
        <v>69</v>
      </c>
      <c r="C58" s="1">
        <v>10</v>
      </c>
      <c r="D58" s="1">
        <v>25</v>
      </c>
      <c r="E58" s="1"/>
      <c r="F58" s="1"/>
      <c r="G58" s="1">
        <v>69</v>
      </c>
      <c r="H58" s="1">
        <v>25</v>
      </c>
      <c r="I58" s="1">
        <v>40</v>
      </c>
      <c r="J58" s="1">
        <v>1</v>
      </c>
      <c r="K58" s="1">
        <v>199</v>
      </c>
      <c r="L58" s="1"/>
      <c r="M58" s="1"/>
      <c r="N58" s="1">
        <v>3</v>
      </c>
      <c r="O58" s="1">
        <v>15</v>
      </c>
      <c r="P58" s="1">
        <v>55</v>
      </c>
      <c r="Q58" s="1">
        <v>3</v>
      </c>
      <c r="R58" s="1"/>
      <c r="S58" s="1">
        <v>27</v>
      </c>
      <c r="T58" s="1">
        <v>1</v>
      </c>
      <c r="U58" s="1">
        <v>14</v>
      </c>
      <c r="V58" s="1">
        <v>13</v>
      </c>
      <c r="W58" s="1">
        <v>277</v>
      </c>
      <c r="X58" s="1">
        <v>5</v>
      </c>
      <c r="Y58" s="1">
        <v>302</v>
      </c>
      <c r="Z58" s="1">
        <v>104</v>
      </c>
      <c r="AA58" s="1">
        <v>7</v>
      </c>
      <c r="AB58" s="1">
        <v>104</v>
      </c>
      <c r="AC58" s="1">
        <v>1368</v>
      </c>
    </row>
    <row r="59" spans="1:29">
      <c r="A59" s="26" t="s">
        <v>486</v>
      </c>
      <c r="B59" s="1">
        <v>71</v>
      </c>
      <c r="C59" s="1">
        <v>11</v>
      </c>
      <c r="D59" s="1">
        <v>25</v>
      </c>
      <c r="E59" s="1"/>
      <c r="F59" s="1"/>
      <c r="G59" s="1">
        <v>69</v>
      </c>
      <c r="H59" s="1">
        <v>25</v>
      </c>
      <c r="I59" s="1">
        <v>40</v>
      </c>
      <c r="J59" s="1">
        <v>1</v>
      </c>
      <c r="K59" s="1">
        <v>201</v>
      </c>
      <c r="L59" s="1"/>
      <c r="M59" s="1">
        <v>40</v>
      </c>
      <c r="N59" s="1">
        <v>5</v>
      </c>
      <c r="O59" s="1">
        <v>15</v>
      </c>
      <c r="P59" s="1">
        <v>56</v>
      </c>
      <c r="Q59" s="1">
        <v>3</v>
      </c>
      <c r="R59" s="1"/>
      <c r="S59" s="1">
        <v>27</v>
      </c>
      <c r="T59" s="1">
        <v>1</v>
      </c>
      <c r="U59" s="1">
        <v>15</v>
      </c>
      <c r="V59" s="1">
        <v>13</v>
      </c>
      <c r="W59" s="1">
        <v>281</v>
      </c>
      <c r="X59" s="1">
        <v>5</v>
      </c>
      <c r="Y59" s="1">
        <v>306</v>
      </c>
      <c r="Z59" s="1">
        <v>107</v>
      </c>
      <c r="AA59" s="1">
        <v>7</v>
      </c>
      <c r="AB59" s="1">
        <v>104</v>
      </c>
      <c r="AC59" s="1">
        <v>1428</v>
      </c>
    </row>
    <row r="60" spans="1:29">
      <c r="A60" s="26" t="s">
        <v>487</v>
      </c>
      <c r="B60" s="1">
        <v>72</v>
      </c>
      <c r="C60" s="1">
        <v>11</v>
      </c>
      <c r="D60" s="1">
        <v>28</v>
      </c>
      <c r="E60" s="1"/>
      <c r="F60" s="1">
        <v>3</v>
      </c>
      <c r="G60" s="1">
        <v>73</v>
      </c>
      <c r="H60" s="1">
        <v>25</v>
      </c>
      <c r="I60" s="1">
        <v>42</v>
      </c>
      <c r="J60" s="1">
        <v>1</v>
      </c>
      <c r="K60" s="1">
        <v>202</v>
      </c>
      <c r="L60" s="1">
        <v>5</v>
      </c>
      <c r="M60" s="1">
        <v>40</v>
      </c>
      <c r="N60" s="1">
        <v>6</v>
      </c>
      <c r="O60" s="1">
        <v>15</v>
      </c>
      <c r="P60" s="1">
        <v>56</v>
      </c>
      <c r="Q60" s="1">
        <v>3</v>
      </c>
      <c r="R60" s="1">
        <v>0</v>
      </c>
      <c r="S60" s="1">
        <v>27</v>
      </c>
      <c r="T60" s="1">
        <v>1</v>
      </c>
      <c r="U60" s="1">
        <v>15</v>
      </c>
      <c r="V60" s="1">
        <v>13</v>
      </c>
      <c r="W60" s="1">
        <v>288</v>
      </c>
      <c r="X60" s="1">
        <v>5</v>
      </c>
      <c r="Y60" s="1">
        <v>315</v>
      </c>
      <c r="Z60" s="1">
        <v>110</v>
      </c>
      <c r="AA60" s="1">
        <v>8</v>
      </c>
      <c r="AB60" s="1">
        <v>106</v>
      </c>
      <c r="AC60" s="1">
        <v>1470</v>
      </c>
    </row>
    <row r="61" spans="1:29">
      <c r="A61" s="26" t="s">
        <v>488</v>
      </c>
      <c r="B61" s="1">
        <v>74</v>
      </c>
      <c r="C61" s="1">
        <v>11</v>
      </c>
      <c r="D61" s="1">
        <v>29</v>
      </c>
      <c r="E61" s="1"/>
      <c r="F61" s="1">
        <v>3</v>
      </c>
      <c r="G61" s="1">
        <v>77</v>
      </c>
      <c r="H61" s="1">
        <v>26</v>
      </c>
      <c r="I61" s="1">
        <v>44</v>
      </c>
      <c r="J61" s="1">
        <v>1</v>
      </c>
      <c r="K61" s="1">
        <v>205</v>
      </c>
      <c r="L61" s="1">
        <v>6</v>
      </c>
      <c r="M61" s="1">
        <v>42</v>
      </c>
      <c r="N61" s="1">
        <v>6</v>
      </c>
      <c r="O61" s="1">
        <v>15</v>
      </c>
      <c r="P61" s="1">
        <v>56</v>
      </c>
      <c r="Q61" s="1">
        <v>3</v>
      </c>
      <c r="R61" s="1">
        <v>0</v>
      </c>
      <c r="S61" s="1">
        <v>29</v>
      </c>
      <c r="T61" s="1">
        <v>2</v>
      </c>
      <c r="U61" s="1">
        <v>16</v>
      </c>
      <c r="V61" s="1">
        <v>13</v>
      </c>
      <c r="W61" s="1">
        <v>291</v>
      </c>
      <c r="X61" s="1">
        <v>5</v>
      </c>
      <c r="Y61" s="1">
        <v>321</v>
      </c>
      <c r="Z61" s="1">
        <v>113</v>
      </c>
      <c r="AA61" s="1">
        <v>8</v>
      </c>
      <c r="AB61" s="1">
        <v>108</v>
      </c>
      <c r="AC61" s="1">
        <v>1504</v>
      </c>
    </row>
    <row r="62" spans="1:29">
      <c r="A62" s="26" t="s">
        <v>499</v>
      </c>
      <c r="B62" s="1">
        <v>76</v>
      </c>
      <c r="C62" s="1">
        <v>11</v>
      </c>
      <c r="D62" s="1">
        <v>31</v>
      </c>
      <c r="E62" s="1"/>
      <c r="F62" s="1">
        <v>3</v>
      </c>
      <c r="G62" s="1">
        <v>77</v>
      </c>
      <c r="H62" s="1">
        <v>26</v>
      </c>
      <c r="I62" s="1">
        <v>45</v>
      </c>
      <c r="J62" s="1">
        <v>1</v>
      </c>
      <c r="K62" s="1">
        <v>205</v>
      </c>
      <c r="L62" s="1">
        <v>6</v>
      </c>
      <c r="M62" s="1">
        <v>43</v>
      </c>
      <c r="N62" s="1">
        <v>6</v>
      </c>
      <c r="O62" s="1">
        <v>15</v>
      </c>
      <c r="P62" s="1">
        <v>56</v>
      </c>
      <c r="Q62" s="1"/>
      <c r="R62" s="1">
        <v>0</v>
      </c>
      <c r="S62" s="1">
        <v>29</v>
      </c>
      <c r="T62" s="1">
        <v>3</v>
      </c>
      <c r="U62" s="1">
        <v>16</v>
      </c>
      <c r="V62" s="1">
        <v>14</v>
      </c>
      <c r="W62" s="1">
        <v>295</v>
      </c>
      <c r="X62" s="1">
        <v>5</v>
      </c>
      <c r="Y62" s="1">
        <v>324</v>
      </c>
      <c r="Z62" s="1">
        <v>114</v>
      </c>
      <c r="AA62" s="1">
        <v>8</v>
      </c>
      <c r="AB62" s="1">
        <v>108</v>
      </c>
      <c r="AC62" s="1">
        <v>1517</v>
      </c>
    </row>
    <row r="63" spans="1:29">
      <c r="A63" s="26" t="s">
        <v>500</v>
      </c>
      <c r="B63" s="1">
        <v>76</v>
      </c>
      <c r="C63" s="1">
        <v>12</v>
      </c>
      <c r="D63" s="1"/>
      <c r="E63" s="1"/>
      <c r="F63" s="1">
        <v>3</v>
      </c>
      <c r="G63" s="1">
        <v>79</v>
      </c>
      <c r="H63" s="1"/>
      <c r="I63" s="1"/>
      <c r="J63" s="1"/>
      <c r="K63" s="1"/>
      <c r="L63" s="1">
        <v>6</v>
      </c>
      <c r="M63" s="1"/>
      <c r="N63" s="1"/>
      <c r="O63" s="1">
        <v>15</v>
      </c>
      <c r="P63" s="1"/>
      <c r="Q63" s="1"/>
      <c r="R63" s="1">
        <v>0</v>
      </c>
      <c r="S63" s="1">
        <v>31</v>
      </c>
      <c r="T63" s="1">
        <v>3</v>
      </c>
      <c r="U63" s="1">
        <v>16</v>
      </c>
      <c r="V63" s="1">
        <v>14</v>
      </c>
      <c r="W63" s="1">
        <v>298</v>
      </c>
      <c r="X63" s="1"/>
      <c r="Y63" s="1"/>
      <c r="Z63" s="1"/>
      <c r="AA63" s="1">
        <v>8</v>
      </c>
      <c r="AB63" s="1"/>
      <c r="AC63" s="1">
        <v>561</v>
      </c>
    </row>
    <row r="64" spans="1:29">
      <c r="A64" s="26" t="s">
        <v>359</v>
      </c>
      <c r="B64" s="1">
        <v>1351</v>
      </c>
      <c r="C64" s="1">
        <v>163</v>
      </c>
      <c r="D64" s="1">
        <v>427</v>
      </c>
      <c r="E64" s="1"/>
      <c r="F64" s="1">
        <v>78</v>
      </c>
      <c r="G64" s="1">
        <v>1204</v>
      </c>
      <c r="H64" s="1">
        <v>554</v>
      </c>
      <c r="I64" s="1">
        <v>849</v>
      </c>
      <c r="J64" s="1">
        <v>15</v>
      </c>
      <c r="K64" s="1">
        <v>3767</v>
      </c>
      <c r="L64" s="1">
        <v>55</v>
      </c>
      <c r="M64" s="1">
        <v>730</v>
      </c>
      <c r="N64" s="1">
        <v>52</v>
      </c>
      <c r="O64" s="1">
        <v>287</v>
      </c>
      <c r="P64" s="1">
        <v>1099</v>
      </c>
      <c r="Q64" s="1">
        <v>20</v>
      </c>
      <c r="R64" s="1">
        <v>0</v>
      </c>
      <c r="S64" s="1">
        <v>465</v>
      </c>
      <c r="T64" s="1">
        <v>29</v>
      </c>
      <c r="U64" s="1">
        <v>252</v>
      </c>
      <c r="V64" s="1">
        <v>226</v>
      </c>
      <c r="W64" s="1">
        <v>6184</v>
      </c>
      <c r="X64" s="1">
        <v>77</v>
      </c>
      <c r="Y64" s="1">
        <v>5948</v>
      </c>
      <c r="Z64" s="1">
        <v>2062</v>
      </c>
      <c r="AA64" s="1">
        <v>115</v>
      </c>
      <c r="AB64" s="1">
        <v>1839</v>
      </c>
      <c r="AC64" s="1">
        <v>27848</v>
      </c>
    </row>
  </sheetData>
  <pageMargins left="0.7" right="0.7" top="0.78740157499999996" bottom="0.78740157499999996"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A4171-DC14-4B7E-911B-4838C591F696}">
  <sheetPr codeName="Tabelle9"/>
  <dimension ref="A1:A27"/>
  <sheetViews>
    <sheetView workbookViewId="0">
      <selection activeCell="A2" sqref="A2"/>
    </sheetView>
  </sheetViews>
  <sheetFormatPr baseColWidth="10" defaultRowHeight="14.5"/>
  <cols>
    <col min="1" max="1" width="141.26953125" style="44" customWidth="1"/>
    <col min="2" max="16384" width="10.90625" style="44"/>
  </cols>
  <sheetData>
    <row r="1" spans="1:1" ht="409" customHeight="1">
      <c r="A1" s="48" t="s">
        <v>455</v>
      </c>
    </row>
    <row r="2" spans="1:1" ht="409" customHeight="1">
      <c r="A2" s="43" t="s">
        <v>456</v>
      </c>
    </row>
    <row r="3" spans="1:1">
      <c r="A3" s="43"/>
    </row>
    <row r="4" spans="1:1" ht="15.5">
      <c r="A4" s="47"/>
    </row>
    <row r="5" spans="1:1">
      <c r="A5" s="43"/>
    </row>
    <row r="6" spans="1:1" ht="15.5">
      <c r="A6" s="47"/>
    </row>
    <row r="7" spans="1:1">
      <c r="A7" s="43"/>
    </row>
    <row r="8" spans="1:1">
      <c r="A8" s="43"/>
    </row>
    <row r="9" spans="1:1">
      <c r="A9" s="43"/>
    </row>
    <row r="10" spans="1:1">
      <c r="A10" s="43"/>
    </row>
    <row r="11" spans="1:1">
      <c r="A11" s="45"/>
    </row>
    <row r="12" spans="1:1">
      <c r="A12" s="43"/>
    </row>
    <row r="13" spans="1:1" ht="15.5">
      <c r="A13" s="47"/>
    </row>
    <row r="14" spans="1:1">
      <c r="A14" s="43"/>
    </row>
    <row r="15" spans="1:1" ht="15.5">
      <c r="A15" s="47"/>
    </row>
    <row r="16" spans="1:1">
      <c r="A16" s="43"/>
    </row>
    <row r="17" spans="1:1" ht="15.5">
      <c r="A17" s="47"/>
    </row>
    <row r="18" spans="1:1">
      <c r="A18" s="43"/>
    </row>
    <row r="19" spans="1:1">
      <c r="A19" s="43"/>
    </row>
    <row r="20" spans="1:1">
      <c r="A20" s="43"/>
    </row>
    <row r="21" spans="1:1" ht="15.5">
      <c r="A21" s="47"/>
    </row>
    <row r="22" spans="1:1">
      <c r="A22" s="45"/>
    </row>
    <row r="23" spans="1:1">
      <c r="A23" s="43"/>
    </row>
    <row r="24" spans="1:1">
      <c r="A24" s="43"/>
    </row>
    <row r="25" spans="1:1">
      <c r="A25" s="43"/>
    </row>
    <row r="26" spans="1:1">
      <c r="A26" s="43"/>
    </row>
    <row r="27" spans="1:1">
      <c r="A27" s="46"/>
    </row>
  </sheetData>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27E88CF-0494-47BA-BDEB-04927C2BB250}">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02D8EF25-BBF0-467A-95E0-77469F65D118}">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2D07BDB7-FD87-4315-93A1-B8F768B62FC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10</vt:i4>
      </vt:variant>
      <vt:variant>
        <vt:lpstr>Benannte Bereiche</vt:lpstr>
      </vt:variant>
      <vt:variant>
        <vt:i4>1</vt:i4>
      </vt:variant>
    </vt:vector>
  </HeadingPairs>
  <TitlesOfParts>
    <vt:vector size="11" baseType="lpstr">
      <vt:lpstr>Graphs</vt:lpstr>
      <vt:lpstr>ch_latest</vt:lpstr>
      <vt:lpstr>analyse</vt:lpstr>
      <vt:lpstr>kt_latest</vt:lpstr>
      <vt:lpstr>Tabelle1</vt:lpstr>
      <vt:lpstr>kt_serie</vt:lpstr>
      <vt:lpstr>Map death</vt:lpstr>
      <vt:lpstr>pivot_kt_latest</vt:lpstr>
      <vt:lpstr>pivot_kt_serie</vt:lpstr>
      <vt:lpstr>Readme</vt:lpstr>
      <vt:lpstr>Graphs!Druckbereich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tgdbepe4</dc:creator>
  <cp:lastModifiedBy>tgdbepe4</cp:lastModifiedBy>
  <cp:lastPrinted>2020-04-13T12:33:32Z</cp:lastPrinted>
  <dcterms:created xsi:type="dcterms:W3CDTF">2020-04-08T15:29:54Z</dcterms:created>
  <dcterms:modified xsi:type="dcterms:W3CDTF">2020-04-23T13:10:04Z</dcterms:modified>
</cp:coreProperties>
</file>