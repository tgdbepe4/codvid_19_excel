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harts/chartEx2.xml" ContentType="application/vnd.ms-office.chartex+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DieseArbeitsmappe" hidePivotFieldList="1"/>
  <mc:AlternateContent xmlns:mc="http://schemas.openxmlformats.org/markup-compatibility/2006">
    <mc:Choice Requires="x15">
      <x15ac:absPath xmlns:x15ac="http://schemas.microsoft.com/office/spreadsheetml/2010/11/ac" url="K:\myCloud\QGIS_Projekte_github\covid_19_excel\privious versions\"/>
    </mc:Choice>
  </mc:AlternateContent>
  <xr:revisionPtr revIDLastSave="0" documentId="13_ncr:1_{38C56DC1-7DAF-438B-B4AA-858345EFF819}" xr6:coauthVersionLast="45" xr6:coauthVersionMax="45" xr10:uidLastSave="{00000000-0000-0000-0000-000000000000}"/>
  <bookViews>
    <workbookView minimized="1" xWindow="4850" yWindow="930" windowWidth="30220" windowHeight="18530" tabRatio="888" activeTab="2" xr2:uid="{B7984E8D-725D-425C-9EA3-75DA3EFF58B2}"/>
  </bookViews>
  <sheets>
    <sheet name="pivot_Sterblichkeit_2010-2019" sheetId="41" r:id="rId1"/>
    <sheet name="Sterblichkeit_2010-2019" sheetId="40" r:id="rId2"/>
    <sheet name="Graphs" sheetId="4" r:id="rId3"/>
    <sheet name="Readme" sheetId="29" r:id="rId4"/>
    <sheet name="ch_latest" sheetId="20" r:id="rId5"/>
    <sheet name="kt_latest" sheetId="37" r:id="rId6"/>
    <sheet name="Fallzahlen_CH" sheetId="31" r:id="rId7"/>
    <sheet name="Sterblichkeit" sheetId="38" r:id="rId8"/>
    <sheet name="pivot_ch_days" sheetId="32" r:id="rId9"/>
    <sheet name="pivot_icu" sheetId="33" r:id="rId10"/>
    <sheet name="pivot_sterblichkeit" sheetId="39" r:id="rId11"/>
    <sheet name="Map death" sheetId="15" r:id="rId12"/>
    <sheet name="analyse" sheetId="24" r:id="rId13"/>
  </sheets>
  <definedNames>
    <definedName name="_xlchart.v5.0" hidden="1">'Map death'!$A$1:$C$1</definedName>
    <definedName name="_xlchart.v5.1" hidden="1">'Map death'!$A$2:$C$27</definedName>
    <definedName name="_xlchart.v5.2" hidden="1">'Map death'!$D$1</definedName>
    <definedName name="_xlchart.v5.3" hidden="1">'Map death'!$D$2:$D$27</definedName>
    <definedName name="_xlchart.v5.4" hidden="1">'Map death'!$A$1:$C$1</definedName>
    <definedName name="_xlchart.v5.5" hidden="1">'Map death'!$A$2:$C$27</definedName>
    <definedName name="_xlchart.v5.6" hidden="1">'Map death'!$D$1</definedName>
    <definedName name="_xlchart.v5.7" hidden="1">'Map death'!$D$2:$D$27</definedName>
    <definedName name="_xlnm.Print_Area" localSheetId="2">Graphs!$A$2:$F$65</definedName>
    <definedName name="ExterneDaten_1" localSheetId="4" hidden="1">ch_latest!$A$1:$R$68</definedName>
    <definedName name="ExterneDaten_1" localSheetId="5" hidden="1">kt_latest!$A$1:$AF$28</definedName>
    <definedName name="ExterneDaten_1" localSheetId="7" hidden="1">Sterblichkeit!$A$1:$G$107</definedName>
    <definedName name="ExterneDaten_1" localSheetId="1" hidden="1">'Sterblichkeit_2010-2019'!$A$1:$I$1054</definedName>
    <definedName name="ExterneDaten_3" localSheetId="6" hidden="1">Fallzahlen_CH!$A$1:$K$1430</definedName>
    <definedName name="ExterneDaten_5" localSheetId="4" hidden="1">ch_latest!#REF!</definedName>
  </definedNames>
  <calcPr calcId="191029"/>
  <pivotCaches>
    <pivotCache cacheId="0" r:id="rId14"/>
    <pivotCache cacheId="1" r:id="rId15"/>
    <pivotCache cacheId="2"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4" i="15" l="1"/>
  <c r="C4" i="4" l="1"/>
  <c r="D4" i="4"/>
  <c r="B21" i="24"/>
  <c r="B20" i="24"/>
  <c r="C3" i="4"/>
  <c r="B3" i="4"/>
  <c r="B22" i="24" l="1"/>
  <c r="E3" i="4"/>
  <c r="B15" i="24" l="1"/>
  <c r="B16" i="24"/>
  <c r="B17" i="24" l="1"/>
  <c r="B4" i="4" s="1"/>
  <c r="D2" i="15"/>
  <c r="D5" i="15"/>
  <c r="D6" i="15"/>
  <c r="D7" i="15"/>
  <c r="D8" i="15"/>
  <c r="D9" i="15"/>
  <c r="D10" i="15"/>
  <c r="D11" i="15"/>
  <c r="D12" i="15"/>
  <c r="D13" i="15"/>
  <c r="D14" i="15"/>
  <c r="D15" i="15"/>
  <c r="D16" i="15"/>
  <c r="D17" i="15"/>
  <c r="D18" i="15"/>
  <c r="D19" i="15"/>
  <c r="D20" i="15"/>
  <c r="D21" i="15"/>
  <c r="D22" i="15"/>
  <c r="D23" i="15"/>
  <c r="D24" i="15"/>
  <c r="D25" i="15"/>
  <c r="D26" i="15"/>
  <c r="D27" i="15"/>
  <c r="C2" i="15"/>
  <c r="C3" i="15"/>
  <c r="C4" i="15"/>
  <c r="C5" i="15"/>
  <c r="C6" i="15"/>
  <c r="C7" i="15"/>
  <c r="C8" i="15"/>
  <c r="C9" i="15"/>
  <c r="C10" i="15"/>
  <c r="C11" i="15"/>
  <c r="C12" i="15"/>
  <c r="C13" i="15"/>
  <c r="C14" i="15"/>
  <c r="C15" i="15"/>
  <c r="C16" i="15"/>
  <c r="C17" i="15"/>
  <c r="C18" i="15"/>
  <c r="C19" i="15"/>
  <c r="C20" i="15"/>
  <c r="C21" i="15"/>
  <c r="C22" i="15"/>
  <c r="C23" i="15"/>
  <c r="C24" i="15"/>
  <c r="C25" i="15"/>
  <c r="C26" i="15"/>
  <c r="C27" i="15"/>
  <c r="B8" i="24"/>
  <c r="D3" i="4"/>
  <c r="C12" i="24" l="1"/>
  <c r="G4" i="4" s="1"/>
  <c r="B12" i="24"/>
  <c r="G3" i="4" s="1"/>
  <c r="C5" i="24" l="1"/>
  <c r="F3" i="4" s="1"/>
  <c r="B5" i="24"/>
  <c r="B9" i="24" l="1"/>
  <c r="B10" i="24" s="1"/>
  <c r="E4" i="4" s="1"/>
  <c r="B2" i="24"/>
  <c r="A3" i="4" s="1"/>
  <c r="A4"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368061-A837-49C8-B42E-988B1379A1B9}" keepAlive="1" interval="20" name="Abfrage - COVID19_Fallzahlen_CH_total" description="Verbindung mit der Abfrage 'COVID19_Fallzahlen_CH_total' in der Arbeitsmappe." type="5" refreshedVersion="6" background="1" refreshOnLoad="1" saveData="1">
    <dbPr connection="Provider=Microsoft.Mashup.OleDb.1;Data Source=$Workbook$;Location=COVID19_Fallzahlen_CH_total;Extended Properties=&quot;&quot;" command="SELECT * FROM [COVID19_Fallzahlen_CH_total]"/>
  </connection>
  <connection id="2" xr16:uid="{B798EE6E-B1B6-4B30-B682-C2252D6FA82D}" keepAlive="1" interval="20" name="Abfrage - dd-covid19-openzh-cantons-latest" description="Verbindung mit der Abfrage 'dd-covid19-openzh-cantons-latest' in der Arbeitsmappe." type="5" refreshedVersion="6" background="1" refreshOnLoad="1" saveData="1">
    <dbPr connection="Provider=Microsoft.Mashup.OleDb.1;Data Source=$Workbook$;Location=dd-covid19-openzh-cantons-latest;Extended Properties=&quot;&quot;" command="SELECT * FROM [dd-covid19-openzh-cantons-latest]"/>
  </connection>
  <connection id="3" xr16:uid="{B3A74981-1224-44A6-969D-E78AE7515E1D}" keepAlive="1" interval="20" name="Abfrage - dd-covid19-openzh-switzerland-latest" description="Verbindung mit der Abfrage 'dd-covid19-openzh-switzerland-latest' in der Arbeitsmappe." type="5" refreshedVersion="6" background="1" refreshOnLoad="1" saveData="1">
    <dbPr connection="Provider=Microsoft.Mashup.OleDb.1;Data Source=$Workbook$;Location=dd-covid19-openzh-switzerland-latest;Extended Properties=&quot;&quot;" command="SELECT * FROM [dd-covid19-openzh-switzerland-latest]"/>
  </connection>
  <connection id="4" xr16:uid="{113FAE5C-BC36-48CB-BF55-B1990952B4B3}" keepAlive="1" interval="60" name="Abfrage - master" description="Verbindung mit der Abfrage 'master' in der Arbeitsmappe." type="5" refreshedVersion="6" background="1" refreshOnLoad="1" saveData="1">
    <dbPr connection="Provider=Microsoft.Mashup.OleDb.1;Data Source=$Workbook$;Location=master;Extended Properties=&quot;&quot;" command="SELECT * FROM [master]"/>
  </connection>
  <connection id="5" xr16:uid="{8199119D-2721-4BCF-AA99-8FD9EFDE399E}" keepAlive="1" name="Abfrage - master (2)" description="Verbindung mit der Abfrage 'master (2)' in der Arbeitsmappe." type="5" refreshedVersion="6" background="1" saveData="1">
    <dbPr connection="Provider=Microsoft.Mashup.OleDb.1;Data Source=$Workbook$;Location=master (2);Extended Properties=&quot;&quot;" command="SELECT * FROM [master (2)]"/>
  </connection>
</connections>
</file>

<file path=xl/sharedStrings.xml><?xml version="1.0" encoding="utf-8"?>
<sst xmlns="http://schemas.openxmlformats.org/spreadsheetml/2006/main" count="5150" uniqueCount="724">
  <si>
    <t>date</t>
  </si>
  <si>
    <t>last_update</t>
  </si>
  <si>
    <t>country</t>
  </si>
  <si>
    <t>tests_performed</t>
  </si>
  <si>
    <t>total_currently_positive</t>
  </si>
  <si>
    <t>total_positive</t>
  </si>
  <si>
    <t>new_positive</t>
  </si>
  <si>
    <t>old_positive</t>
  </si>
  <si>
    <t>home_confinment</t>
  </si>
  <si>
    <t>total_hospitalized</t>
  </si>
  <si>
    <t>hospitalized_with_symptoms</t>
  </si>
  <si>
    <t>intensive_care</t>
  </si>
  <si>
    <t>released</t>
  </si>
  <si>
    <t>deaths</t>
  </si>
  <si>
    <t>doubling_time_total_positive</t>
  </si>
  <si>
    <t>doubling_time_fatalities</t>
  </si>
  <si>
    <t>CH</t>
  </si>
  <si>
    <t>timestamp</t>
  </si>
  <si>
    <t>abbreviation_canton</t>
  </si>
  <si>
    <t>name_canton</t>
  </si>
  <si>
    <t>number_canton</t>
  </si>
  <si>
    <t>lat</t>
  </si>
  <si>
    <t>long</t>
  </si>
  <si>
    <t>total_currently_positive_cases</t>
  </si>
  <si>
    <t>total_positive_cases</t>
  </si>
  <si>
    <t>new_positive_cases</t>
  </si>
  <si>
    <t>total_currently_positive_per_100k</t>
  </si>
  <si>
    <t>deaths_per_100k</t>
  </si>
  <si>
    <t>ncumul_ICU_intub</t>
  </si>
  <si>
    <t>ncumul_vent</t>
  </si>
  <si>
    <t>ncumul_confirmed_non_resident</t>
  </si>
  <si>
    <t>ninst_ICU_intub</t>
  </si>
  <si>
    <t>ncumul_ICF</t>
  </si>
  <si>
    <t>source</t>
  </si>
  <si>
    <t>AG</t>
  </si>
  <si>
    <t>Aargau</t>
  </si>
  <si>
    <t/>
  </si>
  <si>
    <t>https://www.ag.ch/media/kanton_aargau/themen_1/coronavirus_1/lagebulletins/200409_KFS_Coronavirus_Lagebulletin_30.pdf</t>
  </si>
  <si>
    <t>AI</t>
  </si>
  <si>
    <t>Appenzell Innerrhoden</t>
  </si>
  <si>
    <t>https://www.ai.ch/themen/gesundheit-alter-und-soziales/gesundheitsfoerderung-und-praevention/uebertragbare-krankheiten/coronavirus</t>
  </si>
  <si>
    <t>AR</t>
  </si>
  <si>
    <t>Appenzell Ausserrhoden</t>
  </si>
  <si>
    <t>https://www.ar.ch/verwaltung/departement-gesundheit-und-soziales/amt-fuer-gesundheit/informationsseite-coronavirus/</t>
  </si>
  <si>
    <t>BE</t>
  </si>
  <si>
    <t>Bern/Berne</t>
  </si>
  <si>
    <t>https://www.besondere-lage.sites.be.ch/besondere-lage_sites/de/index/corona/index.html</t>
  </si>
  <si>
    <t>BL</t>
  </si>
  <si>
    <t>Basel-Landschaft</t>
  </si>
  <si>
    <t>https://www.baselland.ch/politik-und-behorden/direktionen/volkswirtschafts-und-gesundheitsdirektion/amt-fur-gesundheit/medizinische-dienste/kantonsarztlicher-dienst/aktuelles/covid-19-faelle-kanton-basel-landschaft</t>
  </si>
  <si>
    <t>BS</t>
  </si>
  <si>
    <t>Basel-Stadt</t>
  </si>
  <si>
    <t>https://www.gd.bs.ch//nm/2020-tagesbulletin-coronavirus-846-bestaetigte-faelle-im-kanton-basel-stadt-gd.html</t>
  </si>
  <si>
    <t>FL</t>
  </si>
  <si>
    <t>Fürstentum Lichtenstein</t>
  </si>
  <si>
    <t>https://www.regierung.li/de/mitteilungen/223366/?typ=news</t>
  </si>
  <si>
    <t>FR</t>
  </si>
  <si>
    <t>Fribourg</t>
  </si>
  <si>
    <t>GE</t>
  </si>
  <si>
    <t>Genève</t>
  </si>
  <si>
    <t>https://www.ge.ch/document/covid-19-situation-epidemiologique-geneve/telecharger</t>
  </si>
  <si>
    <t>GL</t>
  </si>
  <si>
    <t>Glarus</t>
  </si>
  <si>
    <t>GR</t>
  </si>
  <si>
    <t>Graubünden/Grigioni</t>
  </si>
  <si>
    <t>https://www.gr.ch/DE/institutionen/verwaltung/djsg/ga/coronavirus/info/Seiten/Start.aspx</t>
  </si>
  <si>
    <t>JU</t>
  </si>
  <si>
    <t>Jura</t>
  </si>
  <si>
    <t>LU</t>
  </si>
  <si>
    <t>Luzern</t>
  </si>
  <si>
    <t>https://gesundheit.lu.ch/themen/Humanmedizin/Infektionskrankheiten/Coronavirus</t>
  </si>
  <si>
    <t>NE</t>
  </si>
  <si>
    <t>Neuchâtel</t>
  </si>
  <si>
    <t>NW</t>
  </si>
  <si>
    <t>Nidwalden</t>
  </si>
  <si>
    <t>OW</t>
  </si>
  <si>
    <t>Obwalden</t>
  </si>
  <si>
    <t>https://www.ow.ch/de/verwaltung/dienstleistungen/?dienst_id=5962</t>
  </si>
  <si>
    <t>SG</t>
  </si>
  <si>
    <t>St. Gallen</t>
  </si>
  <si>
    <t>https://www.sg.ch/tools/informationen-coronavirus.html</t>
  </si>
  <si>
    <t>SH</t>
  </si>
  <si>
    <t>Schaffhausen</t>
  </si>
  <si>
    <t>SO</t>
  </si>
  <si>
    <t>Solothurn</t>
  </si>
  <si>
    <t>https://corona.so.ch/</t>
  </si>
  <si>
    <t>SZ</t>
  </si>
  <si>
    <t>Schwyz</t>
  </si>
  <si>
    <t>TG</t>
  </si>
  <si>
    <t>Thurgau</t>
  </si>
  <si>
    <t>https://www.tg.ch/news/fachdossier-coronavirus.html/10552</t>
  </si>
  <si>
    <t>TI</t>
  </si>
  <si>
    <t>Ticino</t>
  </si>
  <si>
    <t>https://www4.ti.ch/area-media/comunicati/dettaglio-comunicato/?NEWS_ID=187601&amp;tx_tichareamedia_comunicazioni%5Baction%5D=show&amp;tx_tichareamedia_comunicazioni%5Bcontroller%5D=Comunicazioni&amp;cHash=a02f7a88b61d913138f4f86dbeeaa599</t>
  </si>
  <si>
    <t>UR</t>
  </si>
  <si>
    <t>Uri</t>
  </si>
  <si>
    <t>https://www.ur.ch/themen/2962</t>
  </si>
  <si>
    <t>VD</t>
  </si>
  <si>
    <t>Vaud</t>
  </si>
  <si>
    <t>https://www.vd.ch/toutes-les-actualites/hotline-et-informations-sur-le-coronavirus/point-de-situation-statistique-dans-le-canton-de-vaud/</t>
  </si>
  <si>
    <t>VS</t>
  </si>
  <si>
    <t>Valais/Wallis</t>
  </si>
  <si>
    <t>ZG</t>
  </si>
  <si>
    <t>Zug</t>
  </si>
  <si>
    <t>ZH</t>
  </si>
  <si>
    <t>Zürich</t>
  </si>
  <si>
    <t>https://gd.zh.ch/internet/gesundheitsdirektion/de/themen/coronavirus.html</t>
  </si>
  <si>
    <t>time</t>
  </si>
  <si>
    <t>https://www.srf.ch/news/schweiz/tessiner-patient-erster-coronavirus-fall-in-der-schweiz</t>
  </si>
  <si>
    <t>https://www.coronavirus.bs.ch/nm/2020-coronavirus-erster-positiver-fall-in-basel-stadt-zweiter-positiv-getesteter-ausserkantonaler-fall-gd.html</t>
  </si>
  <si>
    <t>https://www.regierung.li/media/attachments/83-verdachtsfaelle-negativ-getestet.pdf?t=637202562374055719</t>
  </si>
  <si>
    <t>https://www.ag.ch/media/kanton_aargau/themen_1/coronavirus_1/20200228_KFS_20200106_Coronavirus_Lagebulletin_AG_Unterschrieben.pdf</t>
  </si>
  <si>
    <t>https://www.be.ch/portal/de/index/mediencenter/medienmitteilungen/suche.archiv.meldungNeu.html/portal/de/meldungen/mm/2020/02/20200229_0936_corona.html</t>
  </si>
  <si>
    <t>https://www.baselland.ch/politik-und-behorden/direktionen/volkswirtschafts-und-gesundheitsdirektion/medienmitteilungen/neuer-coronavirus-covid-19-erster-bestaetigter-fall-aus-dem-kanton-basel-landschaft</t>
  </si>
  <si>
    <t>https://twitter.com/BR_Sprecher/status/1233316679863631873?s=20</t>
  </si>
  <si>
    <t>https://www.vd.ch/toutes-les-actualites/hotline-et-informations-sur-le-coronavirus/</t>
  </si>
  <si>
    <t>https://www.baselland.ch/politik-und-behorden/direktionen/volkswirtschafts-und-gesundheitsdirektion/medienmitteilungen/weiterer-bestaetigter-fall-aus-dem-kanton-basel-landschaft</t>
  </si>
  <si>
    <t>https://twitter.com/BAG_OFSP_UFSP/status/1233759578241863681?s=20</t>
  </si>
  <si>
    <t>https://www.be.ch/portal/de/index/mediencenter/medienmitteilungen/suche.meldungNeu.html/portal/de/meldungen/mm/2020/03/20200302_1522_zweiter_bestaetigtercorona-fallinbiel</t>
  </si>
  <si>
    <t>https://www.coronavirus.bs.ch/nm/2020-coronavirus-anzahl-der-getesteten-faelle-und-zwischenstand-kita-riehen-gd.html</t>
  </si>
  <si>
    <t>https://www.fr.ch/sites/default/files/2020-03/200301_commd_dsas_covid_cas_fr.pdf</t>
  </si>
  <si>
    <t>https://www.ag.ch/media/kanton_aargau/themen_1/coronavirus_1/200302_KFS_Coronavirus_Lagebulletin_2.pdf</t>
  </si>
  <si>
    <t>https://www.be.ch/portal/de/index/mediencenter/medienmitteilungen/suche.meldungNeu.html/portal/de/meldungen/mm/2020/03/20200303_1333_mann_in_spital_interlakenpositivgetestet</t>
  </si>
  <si>
    <t>https://www.coronavirus.bs.ch/nm/2020-coronavirus-zwei-neue-positive-faelle-in-basel-stadt-gd.html</t>
  </si>
  <si>
    <t>https://www.fr.ch/sites/default/files/2020-03/200302_CommD_DSAS_covid_cas%20FR.pdf</t>
  </si>
  <si>
    <t>https://www.sg.ch/news/sgch_allgemein/2020/03/zwei-personen-in-quarantaene---kein-bestaetigter-fall.html</t>
  </si>
  <si>
    <t>https://www4.ti.ch/area-media/comunicati/dettaglio-comunicato/?NEWS_ID=187352&amp;tx_tichareamedia_comunicazioni%5Baction%5D=show&amp;tx_tichareamedia_comunicazioni%5Bcontroller%5D=Comunicazioni&amp;cHash=ea65dbcabb28d4711459f3b613bbc1b7</t>
  </si>
  <si>
    <t>https://www.ag.ch/media/kanton_aargau/themen_1/coronavirus_1/lagebulletins/200303_KFS_Coronavirus_Lagebulletin_3.pdf</t>
  </si>
  <si>
    <t>https://twitter.com/BAG_OFSP_UFSP/status/1234880556095213569?s=20</t>
  </si>
  <si>
    <t>https://www.regierung.li/media/attachments/90-coronavirus.pdf?t=637202562374055719</t>
  </si>
  <si>
    <t>https://www.sz.ch/public/upload/assets/45351/MM_Coronavirus_4_3_2020.pdf</t>
  </si>
  <si>
    <t>https://www4.ti.ch/area-media/comunicati/dettaglio-comunicato/?NEWS_ID=187363&amp;tx_tichareamedia_comunicazioni%5Baction%5D=show&amp;tx_tichareamedia_comunicazioni%5Bcontroller%5D=Comunicazioni&amp;cHash=b34e82602a39cad67a7f8d54150dcf70   https://www4.ti.ch/area-media/comunicati/dettaglio-comunicato/?NEWS_ID=187369&amp;tx_tichareamedia_comunicazioni%5Baction%5D=show&amp;tx_tichareamedia_comunicazioni%5Bcontroller%5D=Comunicazioni&amp;cHash=3154d18e72821fc23d7b3c5cdfe9f9a3</t>
  </si>
  <si>
    <t>https://www.ag.ch/media/kanton_aargau/themen_1/coronavirus_1/lagebulletins/200304_KFS_Coronavirus_Lagebulletin_4.pdf</t>
  </si>
  <si>
    <t>https://www.be.ch/portal/de/index/mediencenter/medienmitteilungen/suche.meldungNeu.html/portal/de/meldungen/mm/2020/03/20200304_1443_corona-4-3-2020</t>
  </si>
  <si>
    <t>https://twitter.com/BAG_OFSP_UFSP/status/1235240377134862336?s=20</t>
  </si>
  <si>
    <t>https://www.regierung.li/media/attachments/97-coronavirus.pdf?t=637202562374055719</t>
  </si>
  <si>
    <t>https://www.fr.ch/sites/default/files/2020-03/200304_CommD_DSAS_covid_cas%20FR.pdf</t>
  </si>
  <si>
    <t>https://web.archive.org/web/20200304173939/https://gesundheit.lu.ch/themen/Humanmedizin/Infektionskrankheiten/Coronavirus</t>
  </si>
  <si>
    <t>https://www.sg.ch/news/sgch_allgemein/2020/03/erster-bestaetigter-corona-fall-im-kanton-.html</t>
  </si>
  <si>
    <t>https://www4.ti.ch/area-media/comunicati/dettaglio-comunicato/?NEWS_ID=187371&amp;tx_tichareamedia_comunicazioni%5Baction%5D=show&amp;tx_tichareamedia_comunicazioni%5Bcontroller%5D=Comunicazioni&amp;cHash=174f2d754f3b657af79f343c92fc5c89</t>
  </si>
  <si>
    <t>https://www.ag.ch/media/kanton_aargau/themen_1/coronavirus_1/lagebulletins/200305_KFS_Coronavirus_Lagebulletin_5.pdf</t>
  </si>
  <si>
    <t>https://www.ar.ch/verwaltung/departement-gesundheit-und-soziales/news-aus-dem-departement/detail/news/coronavirusersterfallinappenzellausserrhoden/?tx_news_pi1[controller]=News&amp;tx_news_pi1[action]=detail&amp;cHash=fb1a9cf08108cdc7b82780b9239b009d</t>
  </si>
  <si>
    <t>https://www.baselland.ch/politik-und-behorden/direktionen/volkswirtschafts-und-gesundheitsdirektion/medienmitteilungen/neuer-coronavirus-covid-19-sechs-bestaetigte-faelle-im-kanton-basel-landschaft</t>
  </si>
  <si>
    <t>https://www.coronavirus.bs.ch/nm/2020-coronavirus-fuenf-neue-positive-faelle-in-basel-stadt-gd.html</t>
  </si>
  <si>
    <t>https://www.regierung.li/media/attachments/100-coronavirus-18-verdachtsfaelle-0305.pdf?t=637202562374055719</t>
  </si>
  <si>
    <t>https://www.fr.ch/de/covid19/gesundheit/covid-19/coronavirus-entwicklungen-der-situation</t>
  </si>
  <si>
    <t>https://www4.ti.ch/area-media/comunicati/dettaglio-comunicato/?NEWS_ID=187385&amp;tx_tichareamedia_comunicazioni%5Baction%5D=show&amp;tx_tichareamedia_comunicazioni%5Bcontroller%5D=Comunicazioni&amp;cHash=a9ddddfae2c7446e5b856451e178a61a</t>
  </si>
  <si>
    <t>https://www.ag.ch/media/kanton_aargau/themen_1/coronavirus_1/lagebulletins/200305_KFS_Coronavirus_Lagebulletin_6.pdf</t>
  </si>
  <si>
    <t>https://www.be.ch/portal/de/index/mediencenter/medienmitteilungen/suche.meldungNeu.html/portal/de/meldungen/mm/2020/03/20200306_1343_corona6-3</t>
  </si>
  <si>
    <t>https://twitter.com/BAG_OFSP_UFSP/status/1235934884167852035?s=20</t>
  </si>
  <si>
    <t>https://www.regierung.li/media/attachments/104-coronavirus-vorsicht.pdf?t=637202562374055719</t>
  </si>
  <si>
    <t>https://www.sg.ch/news/sgch_allgemein/2020/03/zweiter-bestaetigter-fall-einer-corona-patientin.html</t>
  </si>
  <si>
    <t>https://so.ch/startseite/aktuell/news/erster-laborbestaetigter-covid-19-fall-im-kanton-solothurn/?tx_news_pi1%5Bcontroller%5D=News&amp;tx_news_pi1%5Baction%5D=detail&amp;cHash=3074bbdc8f0fcdcb9f1e11a21fc05e73</t>
  </si>
  <si>
    <t>https://www.sz.ch/public/upload/assets/45417/MM_Coronavirus_6_3_2020.pdf</t>
  </si>
  <si>
    <t>https://www.baselland.ch/politik-und-behorden/direktionen/volkswirtschafts-und-gesundheitsdirektion/medienmitteilungen/update-15-bestaetigte-faelle-in-basel-landschaft</t>
  </si>
  <si>
    <t>https://twitter.com/BAG_OFSP_UFSP/status/1236249864473894914?s=20</t>
  </si>
  <si>
    <t>https://www4.ti.ch/area-media/comunicati/dettaglio-comunicato/?NEWS_ID=187406&amp;tx_tichareamedia_comunicazioni%5Baction%5D=show&amp;tx_tichareamedia_comunicazioni%5Bcontroller%5D=Comunicazioni&amp;cHash=e553d0b42db2ead87a7d05e499fac4db</t>
  </si>
  <si>
    <t>https://www.baselland.ch/politik-und-behorden/direktionen/volkswirtschafts-und-gesundheitsdirektion/medienmitteilungen/patient-im-kantonsspital-baselland-stirbt-an-den-folgen-einer-coronavirus-infektion</t>
  </si>
  <si>
    <t>https://twitter.com/BAG_OFSP_UFSP/status/1236609191831384064?s=20</t>
  </si>
  <si>
    <t>https://www4.ti.ch/area-media/comunicati/dettaglio-comunicato/?NEWS_ID=187407&amp;tx_tichareamedia_comunicazioni%5Baction%5D=show&amp;tx_tichareamedia_comunicazioni%5Bcontroller%5D=Comunicazioni&amp;cHash=8d1ff4bf2a674892913340827de952ea</t>
  </si>
  <si>
    <t>https://www.ag.ch/media/kanton_aargau/themen_1/coronavirus_1/lagebulletins/200309_KFS_Coronavirus_Lagebulletin_7.pdf</t>
  </si>
  <si>
    <t>https://www.ar.ch/schnellzugriff/medienmitteilungen-der-kantonalen-verwaltung/detail/news/zweiter-coronafall-in-appenzell-ausserrhoden/?tx_news_pi1[controller]=News&amp;tx_news_pi1[action]=detail&amp;cHash=de7ec38198b5e60b6dce8fccc7735501</t>
  </si>
  <si>
    <t>https://www.be.ch/portal/de/index/mediencenter/medienmitteilungen/suche.meldungNeu.html/portal/de/meldungen/mm/2020/03/20200309_1545_corona-9-3</t>
  </si>
  <si>
    <t>https://www.baselland.ch/politik-und-behorden/direktionen/volkswirtschafts-und-gesundheitsdirektion/medienmitteilungen/update-xx-bestaetigte-faelle-in-basel-landschaft</t>
  </si>
  <si>
    <t>https://twitter.com/BAG_OFSP_UFSP/status/1236973685602426881?s=20</t>
  </si>
  <si>
    <t>https://www.regierung.li/media/attachments/106-coronavirus-anpassung-massnahmen.pdf?t=637202562374055719</t>
  </si>
  <si>
    <t>https://www4.ti.ch/area-media/comunicati/dettaglio-comunicato/?NEWS_ID=187417&amp;tx_tichareamedia_comunicazioni%5Baction%5D=show&amp;tx_tichareamedia_comunicazioni%5Bcontroller%5D=Comunicazioni&amp;cHash=20e9b76118246e98781581881b459523</t>
  </si>
  <si>
    <t>https://www.ag.ch/media/kanton_aargau/themen_1/coronavirus_1/lagebulletins/200310_KFS_Coronavirus_Lagebulletin_8.pdf</t>
  </si>
  <si>
    <t>https://www.baselland.ch/politik-und-behorden/direktionen/volkswirtschafts-und-gesundheitsdirektion/medienmitteilungen/update</t>
  </si>
  <si>
    <t>https://twitter.com/BAG_OFSP_UFSP/status/1237336196772175873?s=20</t>
  </si>
  <si>
    <t>https://www.regierung.li/media/attachments/110-corona-0310.pdf?t=637202562374055719</t>
  </si>
  <si>
    <t>https://www4.ti.ch/area-media/comunicati/dettaglio-comunicato/?NEWS_ID=187422&amp;tx_tichareamedia_comunicazioni%5Baction%5D=show&amp;tx_tichareamedia_comunicazioni%5Bcontroller%5D=Comunicazioni&amp;cHash=24aa247e65de88fdd1551a61fcc407d9</t>
  </si>
  <si>
    <t>https://www.ag.ch/media/kanton_aargau/themen_1/coronavirus_1/lagebulletins/200311_KFS_Coronavirus_Lagebulletin_9.pdf</t>
  </si>
  <si>
    <t>https://www.baselland.ch/politik-und-behorden/direktionen/volkswirtschafts-und-gesundheitsdirektion/medienmitteilungen/update-26-bestaetigte-faelle-in-basel-landschaft-1</t>
  </si>
  <si>
    <t>https://www.coronavirus.bs.ch/nm/2020-coronavirus-ende-der-quarantaenemassnahmen-im-fall-kita-riehen-gd.html</t>
  </si>
  <si>
    <t>https://www.regierung.li/media/attachments/112-drei-personen-infiziert.pdf?t=637202562374055719</t>
  </si>
  <si>
    <t>https://www.ag.ch/media/kanton_aargau/themen_1/coronavirus_1/lagebulletins/200312_KFS_Coronavirus_Lagebulletin_10.pdf</t>
  </si>
  <si>
    <t>https://www.ar.ch/schnellzugriff/medienmitteilungen-der-kantonalen-verwaltung/detail/news/coronavirus-drei-neue-faelle-in-appenzell-ausserrhoden/?tx_news_pi1[controller]=News&amp;tx_news_pi1[action]=detail&amp;cHash=272411484066c8fb971dcc838aa96ef9</t>
  </si>
  <si>
    <t>https://twitter.com/BAG_OFSP_UFSP/status/1238073089902235648?s=20 https://www.coronavirus.bs.ch/nm/2020-coronavirus-erster-todesfall-im-kanton-basel-stadt-gd.html</t>
  </si>
  <si>
    <t>https://www.regierung.li/media/attachments/114-hallenbaeder-geschlossen-0312.pdf?t=637202562374055719</t>
  </si>
  <si>
    <t>https://www4.ti.ch/area-media/comunicati/dettaglio-comunicato/?NEWS_ID=187437&amp;tx_tichareamedia_comunicazioni%5Baction%5D=show&amp;tx_tichareamedia_comunicazioni%5Bcontroller%5D=Comunicazioni&amp;cHash=59cf6112c82abed490acd8901f5a0bb2</t>
  </si>
  <si>
    <t>https://www.ag.ch/media/kanton_aargau/themen_1/coronavirus_1/lagebulletins/200313_KFS_Coronavirus_Lagebulletin_11.pdf</t>
  </si>
  <si>
    <t>https://www.baselland.ch/politik-und-behorden/direktionen/volkswirtschafts-und-gesundheitsdirektion/medienmitteilungen/update-26-bestaetigte-faelle-in-basel-landschaft-2</t>
  </si>
  <si>
    <t>https://twitter.com/BAG_OFSP_UFSP/status/1238430659762364417?s=20</t>
  </si>
  <si>
    <t>https://www.ow.ch/de/aktuelles/aktuellesinformationen/amtsmitteilungen/welcome.php?action=showinfo&amp;info_id=63566&amp;ls=0&amp;sq=&amp;kategorie_id=&amp;date_from=&amp;date_to=</t>
  </si>
  <si>
    <t>https://www.sz.ch/public/upload/assets/45585/MM_Coronavirus_13_03_2020.pdf</t>
  </si>
  <si>
    <t>https://www.youtube.com/watch?v=_x_yQ6uwGAQ</t>
  </si>
  <si>
    <t>https://www.ai.ch/themen/gesundheit-alter-und-soziales/gesundheitsfoerderung-und-praevention/aktuelles/erste-bestaetigte-coronavirus-faelle-auch-in-innerrhoden</t>
  </si>
  <si>
    <t>https://www.baselland.ch/politik-und-behorden/direktionen/volkswirtschafts-und-gesundheitsdirektion/medienmitteilungen/update-47-bestaetigte-faelle-in-basel-landschaft</t>
  </si>
  <si>
    <t>https://twitter.com/BAG_OFSP_UFSP/status/1238773726423941127?s=20</t>
  </si>
  <si>
    <t>https://www.regierung.li/media/attachments/118-corona-rueckkehrer-skiferien-0314.pdf?t=637202562374055719</t>
  </si>
  <si>
    <t>https://www4.ti.ch/area-media/comunicati/dettaglio-comunicato/?NEWS_ID=187466&amp;tx_tichareamedia_comunicazioni%5Baction%5D=show&amp;tx_tichareamedia_comunicazioni%5Bcontroller%5D=Comunicazioni&amp;cHash=1b10e6e8117296766155edcf9c317a4c</t>
  </si>
  <si>
    <t>https://www.baselland.ch/politik-und-behorden/direktionen/volkswirtschafts-und-gesundheitsdirektion/medienmitteilungen/update-54-bestaetigte-faelle-in-basel-landschaft</t>
  </si>
  <si>
    <t>https://www.regierung.li/media/attachments/119-corona-massnahmen-verschaerft-0315.pdf?t=637202562374055719</t>
  </si>
  <si>
    <t>https://www.sz.ch/public/upload/assets/45590/MM_Coronavirus_15_3_2020.pdf</t>
  </si>
  <si>
    <t>https://www4.ti.ch/area-media/comunicati/dettaglio-comunicato/?NEWS_ID=187467&amp;tx_tichareamedia_comunicazioni%5Baction%5D=show&amp;tx_tichareamedia_comunicazioni%5Bcontroller%5D=Comunicazioni&amp;cHash=af5473066754ef4d1272e156056acc07</t>
  </si>
  <si>
    <t>https://www.ag.ch/media/kanton_aargau/themen_1/coronavirus_1/lagebulletins/200316_KFS_Coronavirus_Lagebulletin_12.pdf</t>
  </si>
  <si>
    <t>Kantonaler Führungsstab Appenzell Innerrhoden</t>
  </si>
  <si>
    <t>https://www.baselland.ch/politik-und-behorden/direktionen/volkswirtschafts-und-gesundheitsdirektion/medienmitteilungen/update-67-bestaetigte-faelle-in-basel-landschaft</t>
  </si>
  <si>
    <t>https://www.coronavirus.bs.ch/nm/2020-tagesbulletin-coronavirus-144-bestaetigte-faelle-im-kanton-basel-stadt-gd.html</t>
  </si>
  <si>
    <t>https://www4.ti.ch/area-media/comunicati/dettaglio-comunicato/?NEWS_ID=187475&amp;tx_tichareamedia_comunicazioni%5Baction%5D=show&amp;tx_tichareamedia_comunicazioni%5Bcontroller%5D=Comunicazioni&amp;cHash=dee4a529abd4e9300e116c7ff4db5774</t>
  </si>
  <si>
    <t>https://www.ag.ch/media/kanton_aargau/themen_1/coronavirus_1/lagebulletins/200317_KFS_Coronavirus_Lagebulletin_13.pdf</t>
  </si>
  <si>
    <t>https://www.baselland.ch/politik-und-behorden/direktionen/volkswirtschafts-und-gesundheitsdirektion/medienmitteilungen/update-89-bestaetigte-faelle-in-basel-landschaft</t>
  </si>
  <si>
    <t>https://www.coronavirus.bs.ch/nm/2020-tagesbulletin-coronavirus-165-bestaetigte-faelle-im-kanton-basel-stadt-gd.html</t>
  </si>
  <si>
    <t>https://www.regierung.li/media/attachments/126-corona-generelles-veranstaltungsverbot-weitere-schliessungen.pdf?t=637202562374055719</t>
  </si>
  <si>
    <t>https://www4.ti.ch/area-media/comunicati/dettaglio-comunicato/?NEWS_ID=187486&amp;tx_tichareamedia_comunicazioni%5Baction%5D=show&amp;tx_tichareamedia_comunicazioni%5Bcontroller%5D=Comunicazioni&amp;cHash=d106aab74491da09b294ff13ffadd02f</t>
  </si>
  <si>
    <t>https://www.ag.ch/media/kanton_aargau/themen_1/coronavirus_1/lagebulletins/200318_KFS_Coronavirus_Lagebulletin_14.pdf</t>
  </si>
  <si>
    <t>https://www.ar.ch/schnellzugriff/medienmitteilungen-der-kantonalen-verwaltung/detail/news/coronavirus-bevoelkerung-und-alle-spitaeler-machen-bei-der-gesundheitsversorgung-mit/?tx_news_pi1%5Bcontroller%5D=News&amp;tx_news_pi1%5Baction%5D=detail&amp;cHash=3d2a0733446b5fc7cdad0f48f61c28fd</t>
  </si>
  <si>
    <t>https://www.baselland.ch/politik-und-behorden/direktionen/volkswirtschafts-und-gesundheitsdirektion/medienmitteilungen/update-116-bestaetigte-faelle-in-basel-landschaft</t>
  </si>
  <si>
    <t>https://www.coronavirus.bs.ch/nm/2020-tagesbulletin-coronavirus-182-bestaetigte-faelle-im-kanton-basel-stadt-treffen-mit-allen-spitaelern-gd.html</t>
  </si>
  <si>
    <t>https://www.regierung.li/media/attachments/131-corona-hotline-0318.pdf?t=637202562374055719</t>
  </si>
  <si>
    <t>https://web.archive.org/web/20200318191404/https://gesundheit.lu.ch/themen/Humanmedizin/Infektionskrankheiten/Coronavirus</t>
  </si>
  <si>
    <t>https://www.oltnertagblatt.ch/solothurn/kanton-solothurn/zivilschuetzer-kontrollieren-wer-in-die-solothurner-spitaeler-rein-will-137174885</t>
  </si>
  <si>
    <t>https://www4.ti.ch/area-media/comunicati/dettaglio-comunicato/?NEWS_ID=187493&amp;tx_tichareamedia_comunicazioni%5Baction%5D=show&amp;tx_tichareamedia_comunicazioni%5Bcontroller%5D=Comunicazioni&amp;cHash=7803bbc03dd49ef2e421dfd6b12dd239</t>
  </si>
  <si>
    <t>https://www.ur.ch/mmdirektionen/63802</t>
  </si>
  <si>
    <t>https://www.ag.ch/media/kanton_aargau/themen_1/coronavirus_1/lagebulletins/200319_KFS_Coronavirus_Lagebulletin_15.pdf</t>
  </si>
  <si>
    <t>https://www.baselland.ch/politik-und-behorden/direktionen/volkswirtschafts-und-gesundheitsdirektion/medienmitteilungen/update-131-bestaetigte-faelle-in-basel-landschaft</t>
  </si>
  <si>
    <t>https://www.coronavirus.bs.ch/nm/2020-tagesbulletin-coronavirus-222-bestaetigte-faelle-basel-stadt-trifft-gemeinsam-mit-den-spitaelern-vorkehrungen-fuer-intensiv--und-beatmungskapazitaeten-gd.html</t>
  </si>
  <si>
    <t>https://www4.ti.ch/area-media/comunicati/dettaglio-comunicato/?NEWS_ID=187499&amp;tx_tichareamedia_comunicazioni%5Baction%5D=show&amp;tx_tichareamedia_comunicazioni%5Bcontroller%5D=Comunicazioni&amp;cHash=634a783514bdcbb426c005f1ea916268 https://www.youtube.com/watch?v=34RQ7OOWYoI</t>
  </si>
  <si>
    <t>https://www.ur.ch/mmdirektionen/63841</t>
  </si>
  <si>
    <t>https://www.ag.ch/media/kanton_aargau/themen_1/coronavirus_1/lagebulletins/200320_KFS_Coronavirus_Lagebulletin_16.pdf</t>
  </si>
  <si>
    <t>https://www.baselland.ch/politik-und-behorden/direktionen/volkswirtschafts-und-gesundheitsdirektion/medienmitteilungen/update-170-bestaetigte-faelle-in-basel-landschaft</t>
  </si>
  <si>
    <t>https://www.coronavirus.bs.ch/nm/2020-tagesbulletin-coronavirus-272-bestaetigte-faelle-im-kanton-basel-stadt-gd.html</t>
  </si>
  <si>
    <t>https://www.regierung.li/media/attachments/136-soziale-kontakte-reduktion-corona.pdf?t=637203388043363286</t>
  </si>
  <si>
    <t>https://twitter.com/KantonSolothurn/status/1241041303024041989?p=p</t>
  </si>
  <si>
    <t>https://www4.ti.ch/dss/dsp/covid19/home/ https://www.youtube.com/watch?v=34RQ7OOWYoI</t>
  </si>
  <si>
    <t>https://www.ur.ch/themen/2920</t>
  </si>
  <si>
    <t>https://www.ar.ch/schnellzugriff/medienmitteilungen-der-kantonalen-verwaltung/detail/news/coronavirus-erster-todesfall-in-appenzell-ausserrhoden/?tx_news_pi1%5Bcontroller%5D=News&amp;tx_news_pi1%5Baction%5D=detail&amp;cHash=a88f209df29c38474f9c5f9e1c5dd53f</t>
  </si>
  <si>
    <t>https://www.baselland.ch/politik-und-behorden/direktionen/volkswirtschafts-und-gesundheitsdirektion/medienmitteilungen/update-282-bestaetigte-faelle-in-basel-landschaft</t>
  </si>
  <si>
    <t>https://www.coronavirus.bs.ch/nm/2020-tagesbulletin-coronavirus-299-bestaetigte-faelle-im-kanton-basel-stadt-gd.html</t>
  </si>
  <si>
    <t>https://www.regierung.li/media/attachments/138-corona-starke-zunahme-0321.pdf?t=637204593432337675</t>
  </si>
  <si>
    <t>https://gesundheit.lu.ch/themen/Humanmedizin/Infektionskrankheiten/Coronavirus;https://newsletter.lu.ch/inxmail/html_mail.jsp?params=7UGt4J1Fx6OIONHlV9upAAuOzkQ6ZmQA%2FxRrLjJkeDWZdweUdKfwhAE94i2Apium%2F6rIvcF2Z5MaTtV52A77W2jrwVmrkZ8UhFPVmHC4iuI%3D</t>
  </si>
  <si>
    <t>https://www4.ti.ch/dss/dsp/covid19/home/ https://www.youtube.com/watch?v=7g2sALU9bQM</t>
  </si>
  <si>
    <t>https://www.ag.ch/de/aktuelles/medienportal/medienmitteilung/medienmitteilungen/mediendetails_139237.jsp</t>
  </si>
  <si>
    <t>https://www.baselland.ch/politik-und-behorden/direktionen/volkswirtschafts-und-gesundheitsdirektion/medienmitteilungen/update-289-bestaetigte-faelle-in-basel-landschaft</t>
  </si>
  <si>
    <t>https://www.coronavirus.bs.ch/nm/2020-tagesbulletin-coronavirus-358-bestaetigte-faelle-im-kanton-basel-stadt-gd.html</t>
  </si>
  <si>
    <t>https://www.regierung.li/media/attachments/139-46-faelle-0322.pdf?t=637204971345932209</t>
  </si>
  <si>
    <t>https://web.archive.org/web/20200322153528/https://www4.ti.ch/dss/dsp/covid19/home/</t>
  </si>
  <si>
    <t>https://www.ag.ch/media/kanton_aargau/themen_1/coronavirus_1/lagebulletins/200323_KFS_Coronavirus_Lagebulletin_17.pdf</t>
  </si>
  <si>
    <t>https://www.baselland.ch/politik-und-behorden/direktionen/volkswirtschafts-und-gesundheitsdirektion/medienmitteilungen/update-289-bestaetigte-faelle-in-basel-landschaft-1</t>
  </si>
  <si>
    <t>https://www.coronavirus.bs.ch/nm/2020-tagesbulletin-coronavirus-376-bestaetigte-faelle-im-kanton-basel-stadt-gd.html</t>
  </si>
  <si>
    <t>https://www.regierung.li/media/attachments/140-corona-regierung-0323.pdf?t=637205847493377066</t>
  </si>
  <si>
    <t>https://www4.ti.ch/area-media/comunicati/dettaglio-comunicato/?NEWS_ID=187510&amp;tx_tichareamedia_comunicazioni%5Baction%5D=show&amp;tx_tichareamedia_comunicazioni%5Bcontroller%5D=Comunicazioni&amp;cHash=0120f665ab49651b9d66c876ef272a91</t>
  </si>
  <si>
    <t>https://www.ag.ch/media/kanton_aargau/themen_1/coronavirus_1/lagebulletins/200324_KFS_Coronavirus_Lagebulletin_18.pdf</t>
  </si>
  <si>
    <t>https://www.coronavirus.bs.ch/nm/2020-tagesbulletin-coronavirus-414-bestaetigte-faelle-im-kanton-basel-stadt-gd.html</t>
  </si>
  <si>
    <t>https://www.regierung.li/media/attachments/143-coronavirus-praesenz-fernunterricht.pdf?t=637207680400073990</t>
  </si>
  <si>
    <t>https://www.tg.ch/news/fachdossier-coronavirus.html/10552 &amp; https://www.tg.ch/news/news-detailseite.html/485/news/44925</t>
  </si>
  <si>
    <t>https://www4.ti.ch/area-media/comunicati/dettaglio-comunicato/?NEWS_ID=187520&amp;tx_tichareamedia_comunicazioni%5Baction%5D=show&amp;tx_tichareamedia_comunicazioni%5Bcontroller%5D=Comunicazioni&amp;cHash=4d581f57e92de04937175bab9e5b0f14</t>
  </si>
  <si>
    <t>https://www.ag.ch/media/kanton_aargau/themen_1/coronavirus_1/lagebulletins/200325_KFS_Coronavirus_Lagebulletin_19.pdf</t>
  </si>
  <si>
    <t>https://www.coronavirus.bs.ch/nm/2020-tagesbulletin-coronavirus-466-bestaetigte-faelle-im-kanton-basel-stadt-gd.html</t>
  </si>
  <si>
    <t>https://www.regierung.li/media/attachments/145-drive-trouhg-anlage-corona.pdf?t=637207634421649200</t>
  </si>
  <si>
    <t>https://www4.ti.ch/area-media/comunicati/dettaglio-comunicato/?NEWS_ID=187523&amp;tx_tichareamedia_comunicazioni%5Baction%5D=show&amp;tx_tichareamedia_comunicazioni%5Bcontroller%5D=Comunicazioni&amp;cHash=982795a2c13394282accc3a8506c9ba0</t>
  </si>
  <si>
    <t>https://www.ag.ch/media/kanton_aargau/themen_1/coronavirus_1/lagebulletins/200326_KFS_Coronavirus_Lagebulletin_20.pdf</t>
  </si>
  <si>
    <t>https://www.coronavirus.bs.ch/nm/2020-tagesbulletin-coronavirus-505-bestaetigte-faelle-im-kanton-basel-stadt-gd.html</t>
  </si>
  <si>
    <t>https://www.regierung.li/media/attachments/151-900-personen-getestet.pdf?t=637208497707275503</t>
  </si>
  <si>
    <t>https://www4.ti.ch/area-media/comunicati/dettaglio-comunicato/?NEWS_ID=187529&amp;tx_tichareamedia_comunicazioni%5Baction%5D=show&amp;tx_tichareamedia_comunicazioni%5Bcontroller%5D=Comunicazioni&amp;cHash=8ce8f2f412a3bb9022fb4a28c9ad7fa4</t>
  </si>
  <si>
    <t>https://www.ag.ch/media/kanton_aargau/themen_1/coronavirus_1/lagebulletins/200327_KFS_Coronavirus_Lagebulletin_21.pdf</t>
  </si>
  <si>
    <t>https://www.coronavirus.bs.ch/nm/2020-tagesbulletin-coronavirus-534-bestaetigte-faelle-im-kanton-basel-stadt-gd.html</t>
  </si>
  <si>
    <t>https://www.regierung.li/media/attachments/152-regierung-bedankt-sich.pdf?t=637209361840426241</t>
  </si>
  <si>
    <t>https://www.tg.ch/news/fachdossier-coronavirus.html/10552 &amp; email der Staatskanzlei des Kanton Thurgau</t>
  </si>
  <si>
    <t>https://www4.ti.ch/area-media/comunicati/dettaglio-comunicato/?NEWS_ID=187533&amp;tx_tichareamedia_comunicazioni%5Baction%5D=show&amp;tx_tichareamedia_comunicazioni%5Bcontroller%5D=Comunicazioni&amp;cHash=0f01b9fd5e63dbb0f6f5cec02aa32b40</t>
  </si>
  <si>
    <t>https://www.coronavirus.bs.ch/nm/2020-tagesbulletin-coronavirus-573-bestaetigte-faelle-im-kanton-basel-stadt-gd.html</t>
  </si>
  <si>
    <t>https://www.regierung.li/de/mitteilungen/223346/?typ=news</t>
  </si>
  <si>
    <t>https://www4.ti.ch/area-media/comunicati/dettaglio-comunicato/?NEWS_ID=187538&amp;tx_tichareamedia_comunicazioni%5Baction%5D=show&amp;tx_tichareamedia_comunicazioni%5Bcontroller%5D=Comunicazioni&amp;cHash=736a7f1a780ed9bdb1d8e45f8a0326ff</t>
  </si>
  <si>
    <t>https://www.coronavirus.bs.ch/nm/2020-tagesbulletin-coronavirus-609-bestaetigte-faelle-im-kanton-basel-stadt-gd.html</t>
  </si>
  <si>
    <t>https://www.regierung.li/de/mitteilungen/223347/?typ=news</t>
  </si>
  <si>
    <t>https://www4.ti.ch/area-media/comunicati/dettaglio-comunicato/?NEWS_ID=187540&amp;tx_tichareamedia_comunicazioni%5Baction%5D=show&amp;tx_tichareamedia_comunicazioni%5Bcontroller%5D=Comunicazioni&amp;cHash=ae32268e60ac2b59add1b9d55de51cbf</t>
  </si>
  <si>
    <t>https://www.ag.ch/media/kanton_aargau/themen_1/coronavirus_1/lagebulletins/200330_KFS_Coronavirus_Lagebulletin_22.pdf</t>
  </si>
  <si>
    <t>https://www.coronavirus.bs.ch/nm/2020-tagesbulletin-coronavirus-621-bestaetigte-faelle-im-kanton-basel-stadt-gd.html</t>
  </si>
  <si>
    <t>https://www.regierung.li/de/mitteilungen/223349/?typ=newss</t>
  </si>
  <si>
    <t>https://www4.ti.ch/area-media/comunicati/dettaglio-comunicato/?NEWS_ID=187546&amp;tx_tichareamedia_comunicazioni%5Baction%5D=show&amp;tx_tichareamedia_comunicazioni%5Bcontroller%5D=Comunicazioni&amp;cHash=1465eace9ac68357130a7327d0c9b8f9</t>
  </si>
  <si>
    <t>https://www.ag.ch/media/kanton_aargau/themen_1/coronavirus_1/lagebulletins/200331_KFS_Coronavirus_Lagebulletin_23.pdf</t>
  </si>
  <si>
    <t>https://www.coronavirus.bs.ch/nm/2020-tagesbulletin-coronavirus-628-bestaetigte-faelle-im-kanton-basel-stadt-gd.html https://www.coronavirus.bs.ch/nm/2020-tagesbulletin-coronavirus-691-bestaetigte-faelle-im-kanton-basel-stadt-gd.html</t>
  </si>
  <si>
    <t>https://www.regierung.li/media/attachments/160-coronavirus-68-personen-positiv.pdf?t=637212737830081294</t>
  </si>
  <si>
    <t>https://www4.ti.ch/area-media/comunicati/dettaglio-comunicato/?NEWS_ID=187550&amp;tx_tichareamedia_comunicazioni%5Baction%5D=show&amp;tx_tichareamedia_comunicazioni%5Bcontroller%5D=Comunicazioni&amp;cHash=007dc1182450e5b85ee4f533dfdcd6e3</t>
  </si>
  <si>
    <t>https://www.ag.ch/media/kanton_aargau/themen_1/coronavirus_1/lagebulletins/200401_KFS_Coronavirus_Lagebulletin_24.pdf</t>
  </si>
  <si>
    <t>https://www.coronavirus.bs.ch/nm/2020-tagesbulletin-coronavirus-691-bestaetigte-faelle-im-kanton-basel-stadt-gd.html</t>
  </si>
  <si>
    <t>https://www.regierung.li/media/attachments/164-corona-schweizer-sanitaetssoldaten-0401.pdf?t=637213766824962451</t>
  </si>
  <si>
    <t>https://www4.ti.ch/area-media/comunicati/dettaglio-comunicato/?NEWS_ID=187555&amp;tx_tichareamedia_comunicazioni%5Baction%5D=show&amp;tx_tichareamedia_comunicazioni%5Bcontroller%5D=Comunicazioni&amp;cHash=843d72993004667ab731d64142591372</t>
  </si>
  <si>
    <t>https://www.ag.ch/media/kanton_aargau/themen_1/coronavirus_1/lagebulletins/200402_KFS_Coronavirus_Lagebulletin_25.pdf</t>
  </si>
  <si>
    <t>https://www.gd.bs.ch//nm/2020-tagesbulletin-coronavirus-718-bestaetigte-faelle-im-kanton-basel-stadt-gd.html</t>
  </si>
  <si>
    <t>https://www.regierung.li/media/attachments/166-massnahmen-weiter-einhalten-0402.pdf?t=637214501732587547</t>
  </si>
  <si>
    <t>https://www4.ti.ch/area-media/comunicati/dettaglio-comunicato/?NEWS_ID=187564&amp;tx_tichareamedia_comunicazioni%5Baction%5D=show&amp;tx_tichareamedia_comunicazioni%5Bcontroller%5D=Comunicazioni&amp;cHash=6abbcb9cd18b83f8ce260e2748b9a326</t>
  </si>
  <si>
    <t>https://www.ag.ch/media/kanton_aargau/themen_1/coronavirus_1/lagebulletins/200403_KFS_Coronavirus_Lagebulletin_26.pdf</t>
  </si>
  <si>
    <t>https://www.gd.bs.ch/nm/2020-tagesbulletin-coronavirus-748-bestaetigte-faelle-im-kanton-basel-stadt-gd.html https://www.coronavirus.bs.ch/nm/2020-tagesbulletin-coronavirus-771-bestaetigte-faelle-im-kanton-basel-stadt-gd.html</t>
  </si>
  <si>
    <t>https://www4.ti.ch/area-media/comunicati/dettaglio-comunicato/?NEWS_ID=187570&amp;tx_tichareamedia_comunicazioni%5Baction%5D=show&amp;tx_tichareamedia_comunicazioni%5Bcontroller%5D=Comunicazioni&amp;cHash=bf727072887350e7700586450c3cf957</t>
  </si>
  <si>
    <t>https://www.gd.bs.ch//nm/2020-tagesbulletin-coronavirus-771-bestaetigte-faelle-im-kanton-basel-stadt-gd.html</t>
  </si>
  <si>
    <t>https://www.regierung.li/media/attachments/168-corona-person-verstorben-0404.pdf?t=637216219078826521</t>
  </si>
  <si>
    <t>https://www4.ti.ch/area-media/comunicati/dettaglio-comunicato/?NEWS_ID=187575&amp;tx_tichareamedia_comunicazioni%5Baction%5D=show&amp;tx_tichareamedia_comunicazioni%5Bcontroller%5D=Comunicazioni&amp;cHash=4b3f64139a9dd36b9fd30a1ace23654a</t>
  </si>
  <si>
    <t>https://www.gd.bs.ch//nm/2020-tagesbulletin-coronavirus-794-bestaetigte-faelle-im-kanton-basel-stadt-gd.html</t>
  </si>
  <si>
    <t>https://www4.ti.ch/area-media/comunicati/dettaglio-comunicato/?NEWS_ID=187576&amp;tx_tichareamedia_comunicazioni%5Baction%5D=show&amp;tx_tichareamedia_comunicazioni%5Bcontroller%5D=Comunicazioni&amp;cHash=7486178287491dbfa00376059224e150</t>
  </si>
  <si>
    <t>https://www.ag.ch/media/kanton_aargau/themen_1/coronavirus_1/lagebulletins/200406_KFS_Coronavirus_Lagebulletin_27.pdf</t>
  </si>
  <si>
    <t>https://www.coronavirus.bs.ch/nm/2020-tagesbulletin-coronavirus-803-bestaetigte-faelle-im-kanton-basel-stadt-gd.html</t>
  </si>
  <si>
    <t>https://www4.ti.ch/area-media/comunicati/dettaglio-comunicato/?NEWS_ID=187585&amp;cHash=71dae3c15afd6b09d15f28f43d415af1</t>
  </si>
  <si>
    <t>https://www.ag.ch/media/kanton_aargau/themen_1/coronavirus_1/lagebulletins/200407_KFS_Coronavirus_Lagebulletin_28.pdf</t>
  </si>
  <si>
    <t>https://www.gd.bs.ch//nm/2020-tagesbulletin-coronavirus-813-bestaetigte-faelle-im-kanton-basel-stadt-gd.html</t>
  </si>
  <si>
    <t>https://www4.ti.ch/area-media/comunicati/dettaglio-comunicato/?NEWS_ID=187585&amp;tx_tichareamedia_comunicazioni%5Baction%5D=show&amp;tx_tichareamedia_comunicazioni%5Bcontroller%5D=Comunicazioni&amp;cHash=4bf78e02dc8ee0d240e06c4603f5605c</t>
  </si>
  <si>
    <t>https://www.ag.ch/media/kanton_aargau/themen_1/coronavirus_1/lagebulletins/200408_KFS_Coronavirus_Lagebulletin_29.pdf</t>
  </si>
  <si>
    <t>https://www.gd.bs.ch//nm/2020-tagesbulletin-coronavirus-834-bestaetigte-faelle-im-kanton-basel-stadt-gd.html</t>
  </si>
  <si>
    <t>https://www4.ti.ch/area-media/comunicati/dettaglio-comunicato/?NEWS_ID=187593&amp;cHash=04877af9adec32de4f5ef43a5916f801</t>
  </si>
  <si>
    <t>new_hosp</t>
  </si>
  <si>
    <t>TotalPosTests1</t>
  </si>
  <si>
    <t>https://www.gd.bs.ch//nm/2020-tagesbulletin-coronavirus-866-bestaetigte-faelle-im-kanton-basel-stadt-gd.html</t>
  </si>
  <si>
    <t>https://www4.ti.ch/area-media/comunicati/dettaglio-comunicato/?NEWS_ID=187607&amp;tx_tichareamedia_comunicazioni%5Baction%5D=show&amp;tx_tichareamedia_comunicazioni%5Bcontroller%5D=Comunicazioni&amp;cHash=e9c51debb7c11815ec53651f6c8c8d24</t>
  </si>
  <si>
    <t>https://www.gd.bs.ch//nm/2020-tagesbulletin-coronavirus-859-bestaetigte-faelle-im-kanton-basel-stadt-gd.html</t>
  </si>
  <si>
    <t>Confirmed cases</t>
  </si>
  <si>
    <t>Current hospitalized</t>
  </si>
  <si>
    <t>Fatalities</t>
  </si>
  <si>
    <t>Total released</t>
  </si>
  <si>
    <t xml:space="preserve">Doubling time confirmed cases </t>
  </si>
  <si>
    <t>https://www.ag.ch/media/kanton_aargau/themen_1/coronavirus_1/lagebulletins/200411_KFS_Coronavirus_Lagebulletin_31.pdf</t>
  </si>
  <si>
    <t>https://www.regierung.li/media/attachments/188-corona-keine-neuen-faelle-0410.pdf?t=637222261316868970</t>
  </si>
  <si>
    <t>https://www.regierung.li/media/attachments/189-corona-keine-neuen-faelle-0411.pdf?t=637222261316868970</t>
  </si>
  <si>
    <t>https://www4.ti.ch/area-media/comunicati/dettaglio-comunicato/?NEWS_ID=187611&amp;tx_tichareamedia_comunicazioni%5Baction%5D=show&amp;tx_tichareamedia_comunicazioni%5Bcontroller%5D=Comunicazioni&amp;cHash=6f94f1f1d5cf92bdf5a1e053e6602530</t>
  </si>
  <si>
    <t>https://www.gd.bs.ch//nm/2020-tagesbulletin-coronavirus-882-bestaetigte-faelle-im-kanton-basel-stadt-gd.html</t>
  </si>
  <si>
    <t>Land</t>
  </si>
  <si>
    <t>Kanton</t>
  </si>
  <si>
    <t>Bevölkerung</t>
  </si>
  <si>
    <t>Schweiz</t>
  </si>
  <si>
    <t>Zeilenbeschriftungen</t>
  </si>
  <si>
    <t>Gesamtergebnis</t>
  </si>
  <si>
    <t>Spaltenbeschriftungen</t>
  </si>
  <si>
    <t>https://www.regierung.li/media/attachments/190-corona-zusaetzliche-person-0412.pdf?t=637223083991919653</t>
  </si>
  <si>
    <t>https://www4.ti.ch/area-media/comunicati/dettaglio-comunicato/?NEWS_ID=187612&amp;tx_tichareamedia_comunicazioni%5Baction%5D=show&amp;tx_tichareamedia_comunicazioni%5Bcontroller%5D=Comunicazioni&amp;cHash=01ed3fadc99b1b00f0a8c4a0e41e7252</t>
  </si>
  <si>
    <t>https://www.gd.bs.ch//nm/2020-tagesbulletin-coronavirus-893-bestaetigte-faelle-im-kanton-basel-stadt-gd.html</t>
  </si>
  <si>
    <t>new_deaths</t>
  </si>
  <si>
    <t>old_deaths</t>
  </si>
  <si>
    <t>Gröster Wert</t>
  </si>
  <si>
    <t>totel_positive</t>
  </si>
  <si>
    <t>Letzter Wert</t>
  </si>
  <si>
    <t>https://www.regierung.li/media/attachments/191-corona-keine-neuen-faelle-0413.pdf?t=637224053004137202</t>
  </si>
  <si>
    <t>https://www4.ti.ch/area-media/comunicati/dettaglio-comunicato/?NEWS_ID=187614&amp;tx_tichareamedia_comunicazioni%5Baction%5D=show&amp;tx_tichareamedia_comunicazioni%5Bcontroller%5D=Comunicazioni&amp;cHash=0464d89cb8c291fbc9c266e6b7008814</t>
  </si>
  <si>
    <t>newreleased</t>
  </si>
  <si>
    <t>New Released</t>
  </si>
  <si>
    <t>latest</t>
  </si>
  <si>
    <t>latest-1</t>
  </si>
  <si>
    <t>diff</t>
  </si>
  <si>
    <t>current_hosp_non_resident</t>
  </si>
  <si>
    <t>https://www.gd.bs.ch//nm/2020-tagesbulletin-coronavirus-899-bestaetigte-faelle-im-kanton-basel-stadt-gd.html</t>
  </si>
  <si>
    <t>https://www.liechtenstein.li/news-detail/article/aktuelle-informationen-zum-coronavirus/</t>
  </si>
  <si>
    <t>https://www.ag.ch/media/kanton_aargau/themen_1/coronavirus_1/lagebulletins/200414_KFS_Coronavirus_Lagebulletin_32.pdf</t>
  </si>
  <si>
    <t>https://www4.ti.ch/area-media/comunicati/dettaglio-comunicato/?NEWS_ID=187617&amp;tx_tichareamedia_comunicazioni%5Baction%5D=show&amp;tx_tichareamedia_comunicazioni%5Bcontroller%5D=Comunicazioni&amp;cHash=64be59067038bfdaf603d60bfab0aa52</t>
  </si>
  <si>
    <t>https://www.gd.bs.ch//nm/2020-tagesbulletin-coronavirus-909-bestaetigte-faelle-im-kanton-basel-stadt-gd.html</t>
  </si>
  <si>
    <t>https://www.gd.bs.ch//nm/2020-tagesbulletin-coronavirus-917-bestaetigte-faelle-im-kanton-basel-stadt-gd.html</t>
  </si>
  <si>
    <t>https://www.regierung.li/media/attachments/194-corona-neue-wege-zur-messung-0415.pdf?t=637225709239139141</t>
  </si>
  <si>
    <t>https://www4.ti.ch/area-media/comunicati/dettaglio-comunicato/?NEWS_ID=187624&amp;tx_tichareamedia_comunicazioni%5Baction%5D=show&amp;tx_tichareamedia_comunicazioni%5Bcontroller%5D=Comunicazioni&amp;cHash=c6ac05de202d47a4a41e41ec4d16b3b1</t>
  </si>
  <si>
    <t>https://www.ag.ch/media/kanton_aargau/themen_1/coronavirus_1/lagebulletins/200415_KFS_Coronavirus_Lagebulletin_33.pdf</t>
  </si>
  <si>
    <t>Latest date</t>
  </si>
  <si>
    <t>Date of collection</t>
  </si>
  <si>
    <t>Covid_19 Dashboard Peter Berger, https://github.com/tgdbepe4/covid_19_excel based on data form https://github.com/openZH/covid_19 and https://github.com/zdavatz/covid19_ch. All the data will be updated fraquently from these sources</t>
  </si>
  <si>
    <t>Covid19 CH Dashboard in MS Excel
Ausgangslage
Zurzeit existieren mindestens drei verschiedene Online Covid-19 CH Dashboads. Alle drei bieten gute Grafiken jedoch teilweise mit verschiedenen Diagrammen an. Die Daten sind alle up-to-date.
Covid-19 CH als Excelfile
Die Online Dashboards sind betreffend den Daten und Grafiken statisch. Da heisst, der Endbenutzer hat keine Möglichkeiten die Daten anders auszuwerten und auch andere Grafiken anzufertigen. Daraus entstand die Idee inwieweit sich ein solches Dashboard in MS Excel realisieren liesse. 
Datenbezug
Die Daten werden über Webverbindungen aus Excel heraus bezogen und transformiert. 
Quellen sind: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Weil diese Daten in einem anderen Projekt mit Python:Scripts aufbereitet werden besteht eine Abhängigkeit bezüglich Aktualisierung. Wird die Datenstruktur verändert so funktionieren die Updates nicht mehr. Die Daten im Excelfile sind dann quasi eingefroren.
Datenaktualisierung
In Excel muss die Datenbearbeitung aktiviert sein. Danach verbindet Excel bei jedem neuen Start des Excelfiles die Daten und aktualisiert diese alle 20 Minuten.
Vorteile
Da man das Excelfile nach eigenem Wunsch anpassen kann sind Auswertungen aller Art möglich.
Warnung
Die Tabellenblätter „ch_latest“, „kt_latest“, kt_serie“, pivot_kt_latest und „pivot_kt_serie“ sollten nicht verändert werden, da sonst auch das Blatt Graphs nicht mehr funktionieren könnte. Will man eigene Auswertungen machen, so empfiehlt es sich sehr neue Tablellenblätter anzulegen und dort tätig zu werden.
Updates
Das Excelfile wird periodisch updated. Die aktuelle Version ist über https://github.com/tgdbepe4/covid_19_excel zu finden.
Kontakt
Meinungen, Fehlermeldungen, etc bitte an mailto:corona@bergi-it-consulting.ch
Peter Berger, Zürich, 2020-04-19</t>
  </si>
  <si>
    <t xml:space="preserve">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t>
  </si>
  <si>
    <t>https://www.ag.ch/media/kanton_aargau/themen_1/coronavirus_1/lagebulletins/200420_KFS_Coronavirus_Lagebulletin_36.pdf</t>
  </si>
  <si>
    <t>https://www.gd.bs.ch//nm/2020-tagesbulletin-coronavirus-933-bestaetigte-faelle-im-kanton-basel-stadt-gd.html</t>
  </si>
  <si>
    <t>https://www.regierung.li/de/mitteilungen/223410/?typ=news</t>
  </si>
  <si>
    <t>https://www4.ti.ch/area-media/comunicati/dettaglio-comunicato/?NEWS_ID=187648&amp;tx_tichareamedia_comunicazioni%5Baction%5D=show&amp;tx_tichareamedia_comunicazioni%5Bcontroller%5D=Comunicazioni&amp;cHash=8c7fb45c6eada1e8d97d120f23176eb1</t>
  </si>
  <si>
    <t>https://www.gd.bs.ch//nm/2020-tagesbulletin-coronavirus-933-bestaetigte-faelle-im-kanton-basel-stadt-gd-2.html</t>
  </si>
  <si>
    <t>http://www.nw.ch/coronastatistik</t>
  </si>
  <si>
    <t>https://www.ag.ch/media/kanton_aargau/themen_1/coronavirus_1/lagebulletins/200416_KFS_Coronavirus_Lagebulletin_34.pdf</t>
  </si>
  <si>
    <t>https://www.regierung.li/media/attachments/196-corona-regierung-informiert-freitag-0416.pdf?t=637226573940474014</t>
  </si>
  <si>
    <t>https://www4.ti.ch/area-media/comunicati/dettaglio-comunicato/?NEWS_ID=187632&amp;tx_tichareamedia_comunicazioni%5Baction%5D=show&amp;tx_tichareamedia_comunicazioni%5Bcontroller%5D=Comunicazioni&amp;cHash=65b441f9003d32defd9e1c4f2650c177</t>
  </si>
  <si>
    <t>https://www.ag.ch/media/kanton_aargau/themen_1/coronavirus_1/lagebulletins/200417_KFS_Coronavirus_Lagebulletin_35.pdf</t>
  </si>
  <si>
    <t>https://www.gd.bs.ch//nm/2020-tagesbulletin-coronavirus-923-bestaetigte-faelle-im-kanton-basel-stadt-gd.html</t>
  </si>
  <si>
    <t>https://www.regierung.li/media/attachments/197-corona-regierung-orientiert-ueber-vorgehen-0417.pdf?t=637227446845695629</t>
  </si>
  <si>
    <t>https://www4.ti.ch/area-media/comunicati/dettaglio-comunicato/?NEWS_ID=187639&amp;tx_tichareamedia_comunicazioni%5Baction%5D=show&amp;tx_tichareamedia_comunicazioni%5Bcontroller%5D=Comunicazioni&amp;cHash=293da33bc5267650fbd8e590032cd6f3</t>
  </si>
  <si>
    <t>https://www.gd.bs.ch//nm/2020-tagesbulletin-coronavirus-929-bestaetigte-faelle-im-kanton-basel-stadt-gd.html</t>
  </si>
  <si>
    <t>https://www.regierung.li/media/attachments/198-corona-kein-zusaetzlicher-fall-0418.pdf?t=637228301134424983</t>
  </si>
  <si>
    <t>https://www4.ti.ch/area-media/comunicati/dettaglio-comunicato/?NEWS_ID=187644&amp;tx_tichareamedia_comunicazioni%5Baction%5D=show&amp;tx_tichareamedia_comunicazioni%5Bcontroller%5D=Comunicazioni&amp;cHash=df3ace8d6228b4587b78db3bfa080a83</t>
  </si>
  <si>
    <t>https://www.gd.bs.ch//nm/2020-tagesbulletin-coronavirus-932-bestaetigte-faelle-im-kanton-basel-stadt-gd.html</t>
  </si>
  <si>
    <t>https://www.regierung.li/media/attachments/199-corona-keine-neuen-faelle-0419.pdf?t=637229165752237624</t>
  </si>
  <si>
    <t>https://www4.ti.ch/area-media/comunicati/dettaglio-comunicato/?NEWS_ID=187645&amp;tx_tichareamedia_comunicazioni%5Baction%5D=show&amp;tx_tichareamedia_comunicazioni%5Bcontroller%5D=Comunicazioni&amp;cHash=7c0ead3ab8e681d79f11cb3d67995946</t>
  </si>
  <si>
    <t>https://www.ag.ch/media/kanton_aargau/themen_1/coronavirus_1/lagebulletins/200421_KFS_Coronavirus_Lagebulletin_37.pdf</t>
  </si>
  <si>
    <t>https://www.regierung.li/media/attachments/207-corona-keine-neuen-Faelle-0421.pdf?t=637230900737305962</t>
  </si>
  <si>
    <t>https://www4.ti.ch/area-media/comunicati/dettaglio-comunicato/?NEWS_ID=187654&amp;tx_tichareamedia_comunicazioni%5Baction%5D=show&amp;tx_tichareamedia_comunicazioni%5Bcontroller%5D=Comunicazioni&amp;cHash=8ae7085e87cf92c2997d0e458baa17f9</t>
  </si>
  <si>
    <t>https://www.gd.bs.ch//nm/2020-tagesbulletin-coronavirus-933-bestaetigte-faelle-im-kanton-basel-stadt-gd-3.html</t>
  </si>
  <si>
    <t>https://www.ag.ch/media/kanton_aargau/themen_1/coronavirus_1/lagebulletins/200422_KFS_Coronavirus_Lagebulletin_38.pdf</t>
  </si>
  <si>
    <t>https://www.regierung.li/de/mitteilungen/223419/?typ=news</t>
  </si>
  <si>
    <t>https://www.ne.ch/autorites/DFS/SCSP/medecin-cantonal/maladies-vaccinations/Documents/Covid-19-Statistiques/COVID19_PublicationInternet.xlsx</t>
  </si>
  <si>
    <t>https://www4.ti.ch/area-media/comunicati/dettaglio-comunicato/?NEWS_ID=187672&amp;cHash=73c20eed4b20c3cb714758f2678c3f15</t>
  </si>
  <si>
    <t>death</t>
  </si>
  <si>
    <t>Bez</t>
  </si>
  <si>
    <t>https://www.zg.ch/behoerden/gesundheitsdirektion/statistikfachstelle/themen/gesundheit/corona</t>
  </si>
  <si>
    <t>https://www.ag.ch/media/kanton_aargau/themen_1/coronavirus_1/lagebulletins/200423_KFS_Coronavirus_Lagebulletin_39.pdf</t>
  </si>
  <si>
    <t>https://www4.ti.ch/area-media/comunicati/dettaglio-comunicato/?NEWS_ID=187678&amp;tx_tichareamedia_comunicazioni%5Baction%5D=show&amp;tx_tichareamedia_comunicazioni%5Bcontroller%5D=Comunicazioni&amp;cHash=c546dd2da307919487d6578b8c7353cd</t>
  </si>
  <si>
    <t>https://www.regierung.li/de/mitteilungen/223424/?typ=news</t>
  </si>
  <si>
    <t>https://www.gd.bs.ch//nm/2020-tagesbulletin-coronavirus-936-bestaetigte-faelle-im-kanton-basel-stadt-gd.html</t>
  </si>
  <si>
    <t>https://www.gd.bs.ch//nm/2020-tagesbulletin-coronavirus-931-bestaetigte-faelle-im-kanton-basel-stadt-gd.html</t>
  </si>
  <si>
    <t>https://corona.so.ch/index.php?id=27979</t>
  </si>
  <si>
    <t>https://www.bote.ch/nachrichten/schwyz/schwyz_bdu/coronavirus-einsatz-fuer-spitalbataillon-5</t>
  </si>
  <si>
    <t>https://www.ag.ch/media/kanton_aargau/themen_1/coronavirus_1/lagebulletins/200424_KFS_Coronavirus_Lagebulletin_40.pdf</t>
  </si>
  <si>
    <t>https://www.regierung.li/media/attachments/212-corona-massnahmen-und-wirtschaft.pdf?t=637233485133850178</t>
  </si>
  <si>
    <t>https://www4.ti.ch/area-media/comunicati/dettaglio-comunicato/?NEWS_ID=187683&amp;tx_tichareamedia_comunicazioni%5Baction%5D=show&amp;tx_tichareamedia_comunicazioni%5Bcontroller%5D=Comunicazioni&amp;cHash=96a9e3da92c22f69b3a6ed9000584d1b</t>
  </si>
  <si>
    <t>abbreviation_canton_and_fl</t>
  </si>
  <si>
    <t>ncumul_tested</t>
  </si>
  <si>
    <t>ncumul_conf</t>
  </si>
  <si>
    <t>ncumul_released</t>
  </si>
  <si>
    <t>ncumul_deceased</t>
  </si>
  <si>
    <t>https://www.regierung.li/de/mitteilungen/223427/?typ=news</t>
  </si>
  <si>
    <t>https://www4.ti.ch/area-media/comunicati/dettaglio-comunicato/?NEWS_ID=187687&amp;tx_tichareamedia_comunicazioni%5Baction%5D=show&amp;tx_tichareamedia_comunicazioni%5Bcontroller%5D=Comunicazioni&amp;cHash=4113a890fda2606d774861e2b936b052</t>
  </si>
  <si>
    <t>https://www.regierung.li/de/mitteilungen/223428/?typ=news</t>
  </si>
  <si>
    <t>https://www4.ti.ch/area-media/comunicati/dettaglio-comunicato/?NEWS_ID=187688&amp;tx_tichareamedia_comunicazioni%5Baction%5D=show&amp;tx_tichareamedia_comunicazioni%5Bcontroller%5D=Comunicazioni&amp;cHash=88b9dbc8a11bbaf69e33668cf73a2501</t>
  </si>
  <si>
    <t>ncumul_hosp</t>
  </si>
  <si>
    <t>ncumul_ICU</t>
  </si>
  <si>
    <t>(Leer)</t>
  </si>
  <si>
    <t>Summe von ncumul_released</t>
  </si>
  <si>
    <t>Summe von ncumul_deceased</t>
  </si>
  <si>
    <t>Summe von ncumul_conf</t>
  </si>
  <si>
    <t>Column1</t>
  </si>
  <si>
    <t>https://www.ag.ch/media/kanton_aargau/themen_1/coronavirus_1/lagebulletins/200427_KFS_Coronavirus_Lagebulletin_41.pdf</t>
  </si>
  <si>
    <t>https://www.gd.bs.ch//nm/2020-tagesbulletin-coronavirus-941-bestaetigte-faelle-im-kanton-basel-stadt-gd.html</t>
  </si>
  <si>
    <t>https://www4.ti.ch/area-media/comunicati/dettaglio-comunicato/?NEWS_ID=187690&amp;tx_tichareamedia_comunicazioni%5Baction%5D=show&amp;tx_tichareamedia_comunicazioni%5Bcontroller%5D=Comunicazioni&amp;cHash=b776cbdac6ff3c231bf4c3da4ce22b7f</t>
  </si>
  <si>
    <t>_1</t>
  </si>
  <si>
    <t>https://www.regierung.li/de/mitteilungen/223429/?typ=content&amp;nid=11076</t>
  </si>
  <si>
    <t>https://www.gd.bs.ch//nm/2020-tagesbulletin-coronavirus-943-bestaetigte-faelle-im-kanton-basel-stadt-gd.html</t>
  </si>
  <si>
    <t>New Hospitalized</t>
  </si>
  <si>
    <t>new hospitalized</t>
  </si>
  <si>
    <t>https://www.ag.ch/media/kanton_aargau/themen_1/coronavirus_1/lagebulletins/200429_KFS_Coronavirus_Lagebulletin_43.pdf</t>
  </si>
  <si>
    <t>https://www.gd.bs.ch//nm/2020-tagesbulletin-coronavirus-946-bestaetigte-faelle-im-kanton-basel-stadt-gd.html</t>
  </si>
  <si>
    <t>https://www.regierung.li/de/mitteilungen/223435/?typ=content&amp;nid=11076</t>
  </si>
  <si>
    <t>https://www.vs.ch/documents/6756452/7008787/2020%2004%2029%20Sit%20Epid%20-%20%C3%89tat%20Stand</t>
  </si>
  <si>
    <t>https://www4.ti.ch/area-media/comunicati/dettaglio-comunicato/?NEWS_ID=187695&amp;cHash=3d4572a26df56761bd6605aea6d65b84</t>
  </si>
  <si>
    <t>https://www.ag.ch/media/kanton_aargau/themen_1/coronavirus_1/lagebulletins/200428_KFS_Coronavirus_Lagebulletin_42.pdf</t>
  </si>
  <si>
    <t>https://www.regierung.li/media/attachments/228-corona-information-lockerungen-0429.pdf?t=637237803125206694</t>
  </si>
  <si>
    <t>https://www4.ti.ch/area-media/comunicati/dettaglio-comunicato/?NEWS_ID=187697&amp;tx_tichareamedia_comunicazioni%5Baction%5D=show&amp;tx_tichareamedia_comunicazioni%5Bcontroller%5D=Comunicazioni&amp;cHash=b8bc11fad760b3058475d2ff66e64b4b</t>
  </si>
  <si>
    <t>https://www.gd.bs.ch//nm/2020-tagesbulletin-coronavirus-951-bestaetigte-faelle-im-kanton-basel-stadt-gd.html</t>
  </si>
  <si>
    <t>Summe von ncumul_ICU</t>
  </si>
  <si>
    <t>Intensive care</t>
  </si>
  <si>
    <t>https://www.gl.ch/public/upload/assets/27992/COVID-19_Fallzahlen_Kanton_Glarus.xlsx</t>
  </si>
  <si>
    <t>ICU</t>
  </si>
  <si>
    <t>icu</t>
  </si>
  <si>
    <t>7.0</t>
  </si>
  <si>
    <t>https://www.ag.ch/media/kanton_aargau/themen_1/coronavirus_1/lagebulletins/200430_KFS_Coronavirus_Lagebulletin_44.pdf</t>
  </si>
  <si>
    <t>https://www.vs.ch/documents/6756452/7008787/2020%2004%2030%20Sit%20Epid%20-%20%C3%89tat%20Stand</t>
  </si>
  <si>
    <t>https://www.jura.ch/Htdocs/Files/v/34292.xlsx/Departements/CHA/SIC/Carrousel/Coronavirus/Cornavirus/Chiffres/donnees_30_04.xlsx?download=1</t>
  </si>
  <si>
    <t>https://www.ge.ch/document/20094/telecharger</t>
  </si>
  <si>
    <t>https://www.regierung.li/media/attachments/229-corona-massnahmen-0430.pdf?t=637238673125266621</t>
  </si>
  <si>
    <t>https://www4.ti.ch/area-media/comunicati/dettaglio-comunicato/?NEWS_ID=187705&amp;tx_tichareamedia_comunicazioni%5Baction%5D=show&amp;tx_tichareamedia_comunicazioni%5Bcontroller%5D=Comunicazioni&amp;cHash=784ddfcb642aacdda332f314cb6089b4</t>
  </si>
  <si>
    <t>Endend</t>
  </si>
  <si>
    <t>Alter</t>
  </si>
  <si>
    <t>Woche</t>
  </si>
  <si>
    <t>untGrenze</t>
  </si>
  <si>
    <t>Erwartung</t>
  </si>
  <si>
    <t>obeGrenze</t>
  </si>
  <si>
    <t>hochrechnung</t>
  </si>
  <si>
    <t>0-64</t>
  </si>
  <si>
    <t>65+</t>
  </si>
  <si>
    <t>01</t>
  </si>
  <si>
    <t>47.40966</t>
  </si>
  <si>
    <t>8.15688</t>
  </si>
  <si>
    <t>0</t>
  </si>
  <si>
    <t>9</t>
  </si>
  <si>
    <t>8</t>
  </si>
  <si>
    <t>55.433719</t>
  </si>
  <si>
    <t>16</t>
  </si>
  <si>
    <t>47.317264</t>
  </si>
  <si>
    <t>9.416754</t>
  </si>
  <si>
    <t>25</t>
  </si>
  <si>
    <t>1</t>
  </si>
  <si>
    <t>155.28</t>
  </si>
  <si>
    <t>0.0</t>
  </si>
  <si>
    <t>15</t>
  </si>
  <si>
    <t>47.416351999999996</t>
  </si>
  <si>
    <t>9.36791</t>
  </si>
  <si>
    <t>2</t>
  </si>
  <si>
    <t>5.435</t>
  </si>
  <si>
    <t>3</t>
  </si>
  <si>
    <t>02</t>
  </si>
  <si>
    <t>46.823608</t>
  </si>
  <si>
    <t>7.636667</t>
  </si>
  <si>
    <t>85</t>
  </si>
  <si>
    <t>2020-04-30 01:00:00</t>
  </si>
  <si>
    <t>13</t>
  </si>
  <si>
    <t>47.45176</t>
  </si>
  <si>
    <t>7.702414</t>
  </si>
  <si>
    <t>-3</t>
  </si>
  <si>
    <t>30</t>
  </si>
  <si>
    <t>2020-04-30 07:00:00</t>
  </si>
  <si>
    <t>12</t>
  </si>
  <si>
    <t>47.564869</t>
  </si>
  <si>
    <t>7.615259</t>
  </si>
  <si>
    <t>235</t>
  </si>
  <si>
    <t>951</t>
  </si>
  <si>
    <t>-2</t>
  </si>
  <si>
    <t>24</t>
  </si>
  <si>
    <t>490.46</t>
  </si>
  <si>
    <t>25.786</t>
  </si>
  <si>
    <t>828</t>
  </si>
  <si>
    <t>517.0</t>
  </si>
  <si>
    <t>5</t>
  </si>
  <si>
    <t>251.795068</t>
  </si>
  <si>
    <t>41.564752</t>
  </si>
  <si>
    <t>00</t>
  </si>
  <si>
    <t>47.166667</t>
  </si>
  <si>
    <t>9.509722</t>
  </si>
  <si>
    <t>900</t>
  </si>
  <si>
    <t>82</t>
  </si>
  <si>
    <t>212.44</t>
  </si>
  <si>
    <t>2.591</t>
  </si>
  <si>
    <t>10</t>
  </si>
  <si>
    <t>46.718391</t>
  </si>
  <si>
    <t>7.074008</t>
  </si>
  <si>
    <t>24.754</t>
  </si>
  <si>
    <t>123</t>
  </si>
  <si>
    <t>78</t>
  </si>
  <si>
    <t>6</t>
  </si>
  <si>
    <t>133.42333</t>
  </si>
  <si>
    <t>2020-04-29 10:00:00</t>
  </si>
  <si>
    <t>46.220528</t>
  </si>
  <si>
    <t>6.132935</t>
  </si>
  <si>
    <t>25000</t>
  </si>
  <si>
    <t>4785</t>
  </si>
  <si>
    <t>-23</t>
  </si>
  <si>
    <t>254</t>
  </si>
  <si>
    <t>966.28</t>
  </si>
  <si>
    <t>49.273</t>
  </si>
  <si>
    <t>634</t>
  </si>
  <si>
    <t>21</t>
  </si>
  <si>
    <t>19</t>
  </si>
  <si>
    <t>16.0</t>
  </si>
  <si>
    <t>375.163243</t>
  </si>
  <si>
    <t>139.199868</t>
  </si>
  <si>
    <t>08</t>
  </si>
  <si>
    <t>46.931042000000005</t>
  </si>
  <si>
    <t>9.065751</t>
  </si>
  <si>
    <t>122</t>
  </si>
  <si>
    <t>-1</t>
  </si>
  <si>
    <t>302.73</t>
  </si>
  <si>
    <t>209.672248</t>
  </si>
  <si>
    <t>46.656248</t>
  </si>
  <si>
    <t>9.628198</t>
  </si>
  <si>
    <t>23</t>
  </si>
  <si>
    <t>22.739</t>
  </si>
  <si>
    <t>154.218757</t>
  </si>
  <si>
    <t>26</t>
  </si>
  <si>
    <t>47.350744</t>
  </si>
  <si>
    <t>7.156107</t>
  </si>
  <si>
    <t>198</t>
  </si>
  <si>
    <t>270.12</t>
  </si>
  <si>
    <t>9.55</t>
  </si>
  <si>
    <t>7</t>
  </si>
  <si>
    <t>341.372054</t>
  </si>
  <si>
    <t>22.482781</t>
  </si>
  <si>
    <t>03</t>
  </si>
  <si>
    <t>47.067763</t>
  </si>
  <si>
    <t>8.1102</t>
  </si>
  <si>
    <t>4.182</t>
  </si>
  <si>
    <t>17</t>
  </si>
  <si>
    <t>57.167134</t>
  </si>
  <si>
    <t>46.995534</t>
  </si>
  <si>
    <t>6.780126</t>
  </si>
  <si>
    <t>677</t>
  </si>
  <si>
    <t>380.34</t>
  </si>
  <si>
    <t>41.573</t>
  </si>
  <si>
    <t>4</t>
  </si>
  <si>
    <t>232.893155</t>
  </si>
  <si>
    <t>83.743332</t>
  </si>
  <si>
    <t>07</t>
  </si>
  <si>
    <t>46.926755</t>
  </si>
  <si>
    <t>8.405302</t>
  </si>
  <si>
    <t>6.977</t>
  </si>
  <si>
    <t>06</t>
  </si>
  <si>
    <t>46.804527</t>
  </si>
  <si>
    <t>8.144317000000001</t>
  </si>
  <si>
    <t>207.45</t>
  </si>
  <si>
    <t>47.1832</t>
  </si>
  <si>
    <t>9.274744</t>
  </si>
  <si>
    <t>6.539</t>
  </si>
  <si>
    <t>14</t>
  </si>
  <si>
    <t>47.71357</t>
  </si>
  <si>
    <t>8.59167</t>
  </si>
  <si>
    <t>75</t>
  </si>
  <si>
    <t>92.14</t>
  </si>
  <si>
    <t>7.371</t>
  </si>
  <si>
    <t>19.00892</t>
  </si>
  <si>
    <t>11</t>
  </si>
  <si>
    <t>47.304135</t>
  </si>
  <si>
    <t>7.639388</t>
  </si>
  <si>
    <t>5.527</t>
  </si>
  <si>
    <t>05</t>
  </si>
  <si>
    <t>47.061787</t>
  </si>
  <si>
    <t>8.756585</t>
  </si>
  <si>
    <t>47.568715</t>
  </si>
  <si>
    <t>9.091957</t>
  </si>
  <si>
    <t>276</t>
  </si>
  <si>
    <t>6.209</t>
  </si>
  <si>
    <t>46.295617</t>
  </si>
  <si>
    <t>8.808924</t>
  </si>
  <si>
    <t>739</t>
  </si>
  <si>
    <t>04</t>
  </si>
  <si>
    <t>46.771849</t>
  </si>
  <si>
    <t>8.628586</t>
  </si>
  <si>
    <t>22</t>
  </si>
  <si>
    <t>46.570091</t>
  </si>
  <si>
    <t>6.557809000000001</t>
  </si>
  <si>
    <t>46.209567</t>
  </si>
  <si>
    <t>7.604659</t>
  </si>
  <si>
    <t>55</t>
  </si>
  <si>
    <t>09</t>
  </si>
  <si>
    <t>47.157296</t>
  </si>
  <si>
    <t>8.537294</t>
  </si>
  <si>
    <t>189</t>
  </si>
  <si>
    <t>150.72</t>
  </si>
  <si>
    <t>6.38</t>
  </si>
  <si>
    <t>80.132652</t>
  </si>
  <si>
    <t>47.41275</t>
  </si>
  <si>
    <t>8.65508</t>
  </si>
  <si>
    <t>https://sh.ch/CMS/get/file/c1688ab0-1c33-488a-8c2b-85b3bde7fe77</t>
  </si>
  <si>
    <t>https://www.sz.ch/public/upload/assets/46403/COVID-19_Fallzahlen_Kanton_Schwyz.xlsx</t>
  </si>
  <si>
    <t>813</t>
  </si>
  <si>
    <t>410.81</t>
  </si>
  <si>
    <t>215.004268</t>
  </si>
  <si>
    <t>113</t>
  </si>
  <si>
    <t>262.79</t>
  </si>
  <si>
    <t>76.579693</t>
  </si>
  <si>
    <t>2020-05-01 07:30:00</t>
  </si>
  <si>
    <t>84.89874</t>
  </si>
  <si>
    <t>2020-05-01 01:00:00</t>
  </si>
  <si>
    <t>390</t>
  </si>
  <si>
    <t>143.7</t>
  </si>
  <si>
    <t>2020-05-01 08:00:00</t>
  </si>
  <si>
    <t>303</t>
  </si>
  <si>
    <t>192.63</t>
  </si>
  <si>
    <t>13.35</t>
  </si>
  <si>
    <t>242</t>
  </si>
  <si>
    <t>103.269238</t>
  </si>
  <si>
    <t xml:space="preserve"> </t>
  </si>
  <si>
    <t>367</t>
  </si>
  <si>
    <t>134.04</t>
  </si>
  <si>
    <t>210.249884</t>
  </si>
  <si>
    <t>2020-05-01 06:00:00</t>
  </si>
  <si>
    <t>3218</t>
  </si>
  <si>
    <t>909.81</t>
  </si>
  <si>
    <t>91.038</t>
  </si>
  <si>
    <t>193.924043</t>
  </si>
  <si>
    <t>68.000348</t>
  </si>
  <si>
    <t>136</t>
  </si>
  <si>
    <t>Untere Grenze</t>
  </si>
  <si>
    <t>Erwartungen</t>
  </si>
  <si>
    <t>Obere Grenze</t>
  </si>
  <si>
    <t>Hochrechnungen</t>
  </si>
  <si>
    <t>https://www.fr.ch/sites/default/files/2020-05/statistiques_situation_FR_0105.xlsx</t>
  </si>
  <si>
    <t>2020-05-01 09:00:00</t>
  </si>
  <si>
    <t>1078</t>
  </si>
  <si>
    <t>43</t>
  </si>
  <si>
    <t>342.11</t>
  </si>
  <si>
    <t>81.278446</t>
  </si>
  <si>
    <t>268.590806</t>
  </si>
  <si>
    <t>788</t>
  </si>
  <si>
    <t>36</t>
  </si>
  <si>
    <t>156.13</t>
  </si>
  <si>
    <t>187</t>
  </si>
  <si>
    <t>99.405207</t>
  </si>
  <si>
    <t>KJ</t>
  </si>
  <si>
    <t>Kalenderwoche</t>
  </si>
  <si>
    <t>Anzahl_Todesfalle</t>
  </si>
  <si>
    <t>Exzess</t>
  </si>
  <si>
    <t>Todesfalle</t>
  </si>
  <si>
    <t>Gesamt: Todesfalle</t>
  </si>
  <si>
    <t>Gesamt: Erwartungen</t>
  </si>
  <si>
    <t>1767</t>
  </si>
  <si>
    <t>40</t>
  </si>
  <si>
    <t>171.37</t>
  </si>
  <si>
    <t>8.341</t>
  </si>
  <si>
    <t>113.804664</t>
  </si>
  <si>
    <t>97.607973</t>
  </si>
  <si>
    <t>5284</t>
  </si>
  <si>
    <t>-4</t>
  </si>
  <si>
    <t>142</t>
  </si>
  <si>
    <t>666.25</t>
  </si>
  <si>
    <t>47.535</t>
  </si>
  <si>
    <t>27</t>
  </si>
  <si>
    <t>267.571458</t>
  </si>
  <si>
    <t>91.58352</t>
  </si>
  <si>
    <t>2020-05-01 16:03:35</t>
  </si>
  <si>
    <t>2020-05-01 12:45:00</t>
  </si>
  <si>
    <t>1112</t>
  </si>
  <si>
    <t>34</t>
  </si>
  <si>
    <t>165.72</t>
  </si>
  <si>
    <t>5.067</t>
  </si>
  <si>
    <t>890</t>
  </si>
  <si>
    <t>62.482752</t>
  </si>
  <si>
    <t>37.518798</t>
  </si>
  <si>
    <t>https://www.ag.ch/media/kanton_aargau/themen_1/coronavirus_1/lagebulletins/200501_KFS_Coronavirus_Lagebulletin_45.pdf</t>
  </si>
  <si>
    <t>2020-05-01 10:30:00</t>
  </si>
  <si>
    <t>96</t>
  </si>
  <si>
    <t>173.91</t>
  </si>
  <si>
    <t>39.830836</t>
  </si>
  <si>
    <t>825</t>
  </si>
  <si>
    <t>287.46</t>
  </si>
  <si>
    <t>11.15</t>
  </si>
  <si>
    <t>758</t>
  </si>
  <si>
    <t>315.956422</t>
  </si>
  <si>
    <t>53.700268</t>
  </si>
  <si>
    <t>https://www.regierung.li/media/attachments/230-corona-immer-noch-82-0501.pdf?t=637239528964359340</t>
  </si>
  <si>
    <t>2020-05-01 11:00:00</t>
  </si>
  <si>
    <t>27.295</t>
  </si>
  <si>
    <t>7.66781</t>
  </si>
  <si>
    <t>703</t>
  </si>
  <si>
    <t>172.94</t>
  </si>
  <si>
    <t>72.083924</t>
  </si>
  <si>
    <t>2020-05-01 13:00:00</t>
  </si>
  <si>
    <t>36.858179</t>
  </si>
  <si>
    <t>-20</t>
  </si>
  <si>
    <t>2020-05-01 13:30:00</t>
  </si>
  <si>
    <t>87</t>
  </si>
  <si>
    <t>239.67</t>
  </si>
  <si>
    <t>16.529</t>
  </si>
  <si>
    <t>72</t>
  </si>
  <si>
    <t>41.317055</t>
  </si>
  <si>
    <t>1871</t>
  </si>
  <si>
    <t>547.88</t>
  </si>
  <si>
    <t>40.41</t>
  </si>
  <si>
    <t>239</t>
  </si>
  <si>
    <t>188.979244</t>
  </si>
  <si>
    <t>66.576606</t>
  </si>
  <si>
    <t>https://www.vs.ch/documents/6756452/7008787/2020%2005%2001%20Sit%20Epid%20-%20%C3%89tat%20Stand</t>
  </si>
  <si>
    <t>2020-05-01 12:30:00</t>
  </si>
  <si>
    <t>3486</t>
  </si>
  <si>
    <t>-18</t>
  </si>
  <si>
    <t>231.74</t>
  </si>
  <si>
    <t>8.177</t>
  </si>
  <si>
    <t>138.74312</t>
  </si>
  <si>
    <t>51.5334</t>
  </si>
  <si>
    <t>https://www4.ti.ch/area-media/comunicati/dettaglio-comunicato/?NEWS_ID=187711&amp;tx_tichareamedia_comunicazioni%5Baction%5D=show&amp;tx_tichareamedia_comunicazioni%5Bcontroller%5D=Comunicazioni&amp;cHash=0d1b5183c317edf314906c84c9fbe736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</si>
</sst>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F400]h:mm:ss\ AM/PM"/>
    <numFmt numFmtId="165" formatCode="&quot;+&quot;\ #,##0\ &quot; today&quot;"/>
    <numFmt numFmtId="166" formatCode="&quot;+&quot;0"/>
    <numFmt numFmtId="167" formatCode="0\ &quot;days&quot;"/>
    <numFmt numFmtId="168" formatCode="&quot;+&quot;\ #,##0\ &quot; new released&quot;"/>
  </numFmts>
  <fonts count="28">
    <font>
      <sz val="11"/>
      <color theme="1"/>
      <name val="Calibri"/>
      <family val="2"/>
      <scheme val="minor"/>
    </font>
    <font>
      <sz val="11"/>
      <color theme="5" tint="0.39997558519241921"/>
      <name val="Calibri"/>
      <family val="2"/>
      <scheme val="minor"/>
    </font>
    <font>
      <sz val="36"/>
      <color theme="5" tint="0.39997558519241921"/>
      <name val="Calibri"/>
      <family val="2"/>
      <scheme val="minor"/>
    </font>
    <font>
      <sz val="24"/>
      <color theme="5" tint="0.39997558519241921"/>
      <name val="Calibri"/>
      <family val="2"/>
      <scheme val="minor"/>
    </font>
    <font>
      <sz val="11"/>
      <color rgb="FFFF66FF"/>
      <name val="Calibri"/>
      <family val="2"/>
      <scheme val="minor"/>
    </font>
    <font>
      <sz val="36"/>
      <color rgb="FFFF66FF"/>
      <name val="Calibri"/>
      <family val="2"/>
      <scheme val="minor"/>
    </font>
    <font>
      <sz val="24"/>
      <color rgb="FFFF66FF"/>
      <name val="Calibri"/>
      <family val="2"/>
      <scheme val="minor"/>
    </font>
    <font>
      <sz val="11"/>
      <color theme="0" tint="-0.14999847407452621"/>
      <name val="Calibri"/>
      <family val="2"/>
      <scheme val="minor"/>
    </font>
    <font>
      <sz val="36"/>
      <color theme="0" tint="-0.14999847407452621"/>
      <name val="Calibri"/>
      <family val="2"/>
      <scheme val="minor"/>
    </font>
    <font>
      <sz val="24"/>
      <color theme="0" tint="-0.14999847407452621"/>
      <name val="Calibri"/>
      <family val="2"/>
      <scheme val="minor"/>
    </font>
    <font>
      <sz val="11"/>
      <color rgb="FF33CC33"/>
      <name val="Calibri"/>
      <family val="2"/>
      <scheme val="minor"/>
    </font>
    <font>
      <sz val="36"/>
      <color rgb="FF33CC33"/>
      <name val="Calibri"/>
      <family val="2"/>
      <scheme val="minor"/>
    </font>
    <font>
      <sz val="24"/>
      <color rgb="FF33CC33"/>
      <name val="Calibri"/>
      <family val="2"/>
      <scheme val="minor"/>
    </font>
    <font>
      <sz val="11"/>
      <color rgb="FF33CCFF"/>
      <name val="Calibri"/>
      <family val="2"/>
      <scheme val="minor"/>
    </font>
    <font>
      <sz val="36"/>
      <color rgb="FF33CCFF"/>
      <name val="Calibri"/>
      <family val="2"/>
      <scheme val="minor"/>
    </font>
    <font>
      <sz val="24"/>
      <color rgb="FF33CCFF"/>
      <name val="Calibri"/>
      <family val="2"/>
      <scheme val="minor"/>
    </font>
    <font>
      <b/>
      <sz val="11"/>
      <color theme="1"/>
      <name val="Calibri"/>
      <family val="2"/>
      <scheme val="minor"/>
    </font>
    <font>
      <b/>
      <sz val="11"/>
      <color theme="0"/>
      <name val="Calibri"/>
      <family val="2"/>
      <scheme val="minor"/>
    </font>
    <font>
      <sz val="9"/>
      <color rgb="FF232323"/>
      <name val="Inherit"/>
    </font>
    <font>
      <sz val="9"/>
      <color rgb="FF400F0F"/>
      <name val="Arial"/>
      <family val="2"/>
    </font>
    <font>
      <b/>
      <sz val="7"/>
      <color rgb="FF777777"/>
      <name val="Open Sans"/>
      <family val="2"/>
    </font>
    <font>
      <sz val="8"/>
      <color rgb="FF5A5A5A"/>
      <name val="Consolas"/>
      <family val="3"/>
    </font>
    <font>
      <sz val="11"/>
      <color theme="0"/>
      <name val="Calibri"/>
      <family val="2"/>
      <scheme val="minor"/>
    </font>
    <font>
      <sz val="36"/>
      <color theme="0"/>
      <name val="Calibri"/>
      <family val="2"/>
      <scheme val="minor"/>
    </font>
    <font>
      <sz val="24"/>
      <color theme="0"/>
      <name val="Calibri"/>
      <family val="2"/>
      <scheme val="minor"/>
    </font>
    <font>
      <u/>
      <sz val="11"/>
      <color theme="10"/>
      <name val="Calibri"/>
      <family val="2"/>
      <scheme val="minor"/>
    </font>
    <font>
      <b/>
      <sz val="12"/>
      <color theme="1"/>
      <name val="Calibri"/>
      <family val="2"/>
      <scheme val="minor"/>
    </font>
    <font>
      <sz val="8"/>
      <name val="Calibri"/>
      <family val="2"/>
      <scheme val="minor"/>
    </font>
  </fonts>
  <fills count="5">
    <fill>
      <patternFill patternType="none"/>
    </fill>
    <fill>
      <patternFill patternType="gray125"/>
    </fill>
    <fill>
      <patternFill patternType="solid">
        <fgColor theme="1" tint="0.249977111117893"/>
        <bgColor indexed="64"/>
      </patternFill>
    </fill>
    <fill>
      <patternFill patternType="solid">
        <fgColor theme="9" tint="0.79998168889431442"/>
        <bgColor theme="9" tint="0.79998168889431442"/>
      </patternFill>
    </fill>
    <fill>
      <patternFill patternType="solid">
        <fgColor theme="9"/>
        <bgColor theme="9"/>
      </patternFill>
    </fill>
  </fills>
  <borders count="4">
    <border>
      <left/>
      <right/>
      <top/>
      <bottom/>
      <diagonal/>
    </border>
    <border>
      <left/>
      <right/>
      <top style="thin">
        <color theme="9" tint="0.39997558519241921"/>
      </top>
      <bottom style="thin">
        <color theme="9" tint="0.3999755851924192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2">
    <xf numFmtId="0" fontId="0" fillId="0" borderId="0"/>
    <xf numFmtId="0" fontId="25" fillId="0" borderId="0" applyNumberFormat="0" applyFill="0" applyBorder="0" applyAlignment="0" applyProtection="0"/>
  </cellStyleXfs>
  <cellXfs count="54">
    <xf numFmtId="0" fontId="0" fillId="0" borderId="0" xfId="0"/>
    <xf numFmtId="0" fontId="0" fillId="0" borderId="0" xfId="0" applyNumberFormat="1"/>
    <xf numFmtId="14" fontId="0" fillId="0" borderId="0" xfId="0" applyNumberFormat="1"/>
    <xf numFmtId="22" fontId="0" fillId="0" borderId="0" xfId="0" applyNumberFormat="1"/>
    <xf numFmtId="164" fontId="0" fillId="0" borderId="0" xfId="0" applyNumberFormat="1"/>
    <xf numFmtId="0" fontId="0" fillId="3" borderId="1" xfId="0" applyFill="1" applyBorder="1"/>
    <xf numFmtId="0" fontId="0" fillId="0" borderId="1" xfId="0" applyBorder="1"/>
    <xf numFmtId="0" fontId="16" fillId="0" borderId="0" xfId="0" applyFont="1"/>
    <xf numFmtId="0" fontId="17" fillId="4" borderId="1" xfId="0" applyFont="1" applyFill="1" applyBorder="1"/>
    <xf numFmtId="0" fontId="0" fillId="3" borderId="1" xfId="0" applyFont="1" applyFill="1" applyBorder="1"/>
    <xf numFmtId="0" fontId="0" fillId="0" borderId="1" xfId="0" applyFont="1" applyBorder="1"/>
    <xf numFmtId="0" fontId="0" fillId="3" borderId="1" xfId="0" applyNumberFormat="1" applyFont="1" applyFill="1" applyBorder="1"/>
    <xf numFmtId="0" fontId="0" fillId="0" borderId="1" xfId="0" applyNumberFormat="1" applyFont="1" applyBorder="1"/>
    <xf numFmtId="0" fontId="0" fillId="2" borderId="2" xfId="0" applyFill="1" applyBorder="1"/>
    <xf numFmtId="165" fontId="3" fillId="2" borderId="2" xfId="0" applyNumberFormat="1" applyFont="1" applyFill="1" applyBorder="1" applyAlignment="1">
      <alignment horizontal="center"/>
    </xf>
    <xf numFmtId="0" fontId="15" fillId="2" borderId="2" xfId="0" applyFont="1" applyFill="1" applyBorder="1" applyAlignment="1">
      <alignment horizontal="center"/>
    </xf>
    <xf numFmtId="0" fontId="0" fillId="0" borderId="0" xfId="0" pivotButton="1"/>
    <xf numFmtId="0" fontId="0" fillId="0" borderId="0" xfId="0" applyAlignment="1">
      <alignment horizontal="left"/>
    </xf>
    <xf numFmtId="0" fontId="18" fillId="0" borderId="0" xfId="0" applyFont="1" applyAlignment="1">
      <alignment horizontal="left" vertical="center" indent="1"/>
    </xf>
    <xf numFmtId="0" fontId="19" fillId="0" borderId="0" xfId="0" applyFont="1"/>
    <xf numFmtId="0" fontId="20" fillId="0" borderId="0" xfId="0" applyFont="1"/>
    <xf numFmtId="14" fontId="21" fillId="0" borderId="0" xfId="0" applyNumberFormat="1" applyFont="1"/>
    <xf numFmtId="166" fontId="9" fillId="2" borderId="2" xfId="0" applyNumberFormat="1" applyFont="1" applyFill="1" applyBorder="1" applyAlignment="1">
      <alignment horizontal="center"/>
    </xf>
    <xf numFmtId="164" fontId="24" fillId="2" borderId="2" xfId="0" applyNumberFormat="1" applyFont="1" applyFill="1" applyBorder="1" applyAlignment="1">
      <alignment horizontal="center"/>
    </xf>
    <xf numFmtId="0" fontId="0" fillId="2" borderId="3" xfId="0" applyFill="1" applyBorder="1"/>
    <xf numFmtId="0" fontId="22" fillId="2" borderId="0" xfId="0" applyFont="1" applyFill="1" applyBorder="1"/>
    <xf numFmtId="0" fontId="2" fillId="2" borderId="3" xfId="0" applyFont="1" applyFill="1" applyBorder="1" applyAlignment="1">
      <alignment horizontal="center"/>
    </xf>
    <xf numFmtId="0" fontId="5" fillId="2" borderId="3" xfId="0" applyFont="1" applyFill="1" applyBorder="1" applyAlignment="1">
      <alignment horizontal="center"/>
    </xf>
    <xf numFmtId="0" fontId="8" fillId="2" borderId="3" xfId="0" applyFont="1" applyFill="1" applyBorder="1" applyAlignment="1">
      <alignment horizontal="center"/>
    </xf>
    <xf numFmtId="0" fontId="11" fillId="2" borderId="3" xfId="0" applyFont="1" applyFill="1" applyBorder="1" applyAlignment="1">
      <alignment horizontal="center"/>
    </xf>
    <xf numFmtId="167" fontId="14" fillId="2" borderId="3" xfId="0" applyNumberFormat="1" applyFont="1" applyFill="1" applyBorder="1" applyAlignment="1">
      <alignment horizontal="center"/>
    </xf>
    <xf numFmtId="14" fontId="23" fillId="2" borderId="3" xfId="0" applyNumberFormat="1" applyFont="1" applyFill="1" applyBorder="1" applyAlignment="1">
      <alignment horizontal="center"/>
    </xf>
    <xf numFmtId="0" fontId="1" fillId="2" borderId="0" xfId="0" applyFont="1" applyFill="1" applyBorder="1" applyAlignment="1">
      <alignment horizontal="center"/>
    </xf>
    <xf numFmtId="0" fontId="4" fillId="2" borderId="0" xfId="0" applyFont="1" applyFill="1" applyBorder="1" applyAlignment="1">
      <alignment horizontal="center"/>
    </xf>
    <xf numFmtId="0" fontId="7" fillId="2" borderId="0" xfId="0" applyFont="1" applyFill="1" applyBorder="1" applyAlignment="1">
      <alignment horizontal="center"/>
    </xf>
    <xf numFmtId="0" fontId="10" fillId="2" borderId="0" xfId="0" applyFont="1" applyFill="1" applyBorder="1" applyAlignment="1">
      <alignment horizontal="center"/>
    </xf>
    <xf numFmtId="0" fontId="13" fillId="2" borderId="0" xfId="0" applyFont="1" applyFill="1" applyBorder="1" applyAlignment="1">
      <alignment horizontal="center"/>
    </xf>
    <xf numFmtId="0" fontId="22" fillId="2" borderId="0" xfId="0" applyFont="1" applyFill="1" applyBorder="1" applyAlignment="1">
      <alignment horizontal="center"/>
    </xf>
    <xf numFmtId="0" fontId="0" fillId="2" borderId="0" xfId="0" applyFill="1" applyBorder="1"/>
    <xf numFmtId="0" fontId="0" fillId="0" borderId="0" xfId="0" applyAlignment="1">
      <alignment vertical="center" wrapText="1"/>
    </xf>
    <xf numFmtId="0" fontId="0" fillId="2" borderId="2" xfId="0" applyFill="1" applyBorder="1" applyAlignment="1">
      <alignment wrapText="1"/>
    </xf>
    <xf numFmtId="0" fontId="25" fillId="0" borderId="0" xfId="1" applyAlignment="1">
      <alignment vertical="center" wrapText="1"/>
    </xf>
    <xf numFmtId="0" fontId="22" fillId="2" borderId="2" xfId="0" applyFont="1" applyFill="1" applyBorder="1" applyAlignment="1">
      <alignment wrapText="1"/>
    </xf>
    <xf numFmtId="0" fontId="26" fillId="0" borderId="0" xfId="0" applyFont="1" applyAlignment="1">
      <alignment vertical="center" wrapText="1"/>
    </xf>
    <xf numFmtId="0" fontId="0" fillId="0" borderId="0" xfId="0" applyFont="1" applyAlignment="1">
      <alignment vertical="center" wrapText="1"/>
    </xf>
    <xf numFmtId="1" fontId="6" fillId="2" borderId="2" xfId="0" applyNumberFormat="1" applyFont="1" applyFill="1" applyBorder="1" applyAlignment="1">
      <alignment horizontal="center"/>
    </xf>
    <xf numFmtId="14" fontId="0" fillId="0" borderId="0" xfId="0" applyNumberFormat="1" applyAlignment="1">
      <alignment horizontal="left"/>
    </xf>
    <xf numFmtId="2" fontId="0" fillId="0" borderId="0" xfId="0" applyNumberFormat="1"/>
    <xf numFmtId="168" fontId="12" fillId="2" borderId="2" xfId="0" applyNumberFormat="1" applyFont="1" applyFill="1" applyBorder="1" applyAlignment="1">
      <alignment horizontal="center"/>
    </xf>
    <xf numFmtId="1" fontId="0" fillId="0" borderId="0" xfId="0" applyNumberFormat="1"/>
    <xf numFmtId="1" fontId="17" fillId="4" borderId="1" xfId="0" applyNumberFormat="1" applyFont="1" applyFill="1" applyBorder="1"/>
    <xf numFmtId="1" fontId="0" fillId="3" borderId="1" xfId="0" applyNumberFormat="1" applyFont="1" applyFill="1" applyBorder="1"/>
    <xf numFmtId="1" fontId="0" fillId="0" borderId="1" xfId="0" applyNumberFormat="1" applyFont="1" applyBorder="1"/>
    <xf numFmtId="0" fontId="22" fillId="2" borderId="0" xfId="0" applyFont="1" applyFill="1" applyBorder="1" applyAlignment="1">
      <alignment horizontal="center" vertical="center"/>
    </xf>
  </cellXfs>
  <cellStyles count="2">
    <cellStyle name="Link" xfId="1" builtinId="8"/>
    <cellStyle name="Standard" xfId="0" builtinId="0"/>
  </cellStyles>
  <dxfs count="54">
    <dxf>
      <numFmt numFmtId="0" formatCode="General"/>
    </dxf>
    <dxf>
      <numFmt numFmtId="19" formatCode="dd/mm/yyyy"/>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numFmt numFmtId="27" formatCode="dd/mm/yyyy\ hh:mm"/>
    </dxf>
    <dxf>
      <numFmt numFmtId="19" formatCode="dd/mm/yyyy"/>
    </dxf>
    <dxf>
      <numFmt numFmtId="2" formatCode="0.00"/>
    </dxf>
    <dxf>
      <numFmt numFmtId="2" formatCode="0.00"/>
    </dxf>
    <dxf>
      <numFmt numFmtId="1" formatCode="0"/>
    </dxf>
    <dxf>
      <numFmt numFmtId="1" formatCode="0"/>
    </dxf>
    <dxf>
      <numFmt numFmtId="0" formatCode="General"/>
    </dxf>
    <dxf>
      <numFmt numFmtId="19" formatCode="dd/mm/yyyy"/>
    </dxf>
  </dxfs>
  <tableStyles count="0" defaultTableStyle="TableStyleMedium2" defaultPivotStyle="PivotStyleLight16"/>
  <colors>
    <mruColors>
      <color rgb="FFFF66FF"/>
      <color rgb="FF33CC33"/>
      <color rgb="FF33CCFF"/>
      <color rgb="FF0078A2"/>
      <color rgb="FF66FF99"/>
      <color rgb="FFFFFF00"/>
      <color rgb="FFFFCCFF"/>
      <color rgb="FFCC99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[covid-19-ch-dashboarcovid-19-excel_test.xlsm]pivot_Sterblichkeit_2010-2019!PivotTable1</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'pivot_Sterblichkeit_2010-2019'!$B$3:$B$5</c:f>
              <c:strCache>
                <c:ptCount val="1"/>
                <c:pt idx="0">
                  <c:v>Todesfalle - 0-64</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'pivot_Sterblichkeit_2010-2019'!$B$6:$B$527</c:f>
              <c:numCache>
                <c:formatCode>General</c:formatCode>
                <c:ptCount val="521"/>
                <c:pt idx="0">
                  <c:v>193</c:v>
                </c:pt>
                <c:pt idx="1">
                  <c:v>198</c:v>
                </c:pt>
                <c:pt idx="2">
                  <c:v>191</c:v>
                </c:pt>
                <c:pt idx="3">
                  <c:v>207</c:v>
                </c:pt>
                <c:pt idx="4">
                  <c:v>175</c:v>
                </c:pt>
                <c:pt idx="5">
                  <c:v>179</c:v>
                </c:pt>
                <c:pt idx="6">
                  <c:v>218</c:v>
                </c:pt>
                <c:pt idx="7">
                  <c:v>184</c:v>
                </c:pt>
                <c:pt idx="8">
                  <c:v>179</c:v>
                </c:pt>
                <c:pt idx="9">
                  <c:v>221</c:v>
                </c:pt>
                <c:pt idx="10">
                  <c:v>196</c:v>
                </c:pt>
                <c:pt idx="11">
                  <c:v>200</c:v>
                </c:pt>
                <c:pt idx="12">
                  <c:v>162</c:v>
                </c:pt>
                <c:pt idx="13">
                  <c:v>180</c:v>
                </c:pt>
                <c:pt idx="14">
                  <c:v>158</c:v>
                </c:pt>
                <c:pt idx="15">
                  <c:v>226</c:v>
                </c:pt>
                <c:pt idx="16">
                  <c:v>176</c:v>
                </c:pt>
                <c:pt idx="17">
                  <c:v>161</c:v>
                </c:pt>
                <c:pt idx="18">
                  <c:v>190</c:v>
                </c:pt>
                <c:pt idx="19">
                  <c:v>193</c:v>
                </c:pt>
                <c:pt idx="20">
                  <c:v>191</c:v>
                </c:pt>
                <c:pt idx="21">
                  <c:v>202</c:v>
                </c:pt>
                <c:pt idx="22">
                  <c:v>189</c:v>
                </c:pt>
                <c:pt idx="23">
                  <c:v>192</c:v>
                </c:pt>
                <c:pt idx="24">
                  <c:v>168</c:v>
                </c:pt>
                <c:pt idx="25">
                  <c:v>189</c:v>
                </c:pt>
                <c:pt idx="26">
                  <c:v>187</c:v>
                </c:pt>
                <c:pt idx="27">
                  <c:v>184</c:v>
                </c:pt>
                <c:pt idx="28">
                  <c:v>170</c:v>
                </c:pt>
                <c:pt idx="29">
                  <c:v>177</c:v>
                </c:pt>
                <c:pt idx="30">
                  <c:v>187</c:v>
                </c:pt>
                <c:pt idx="31">
                  <c:v>172</c:v>
                </c:pt>
                <c:pt idx="32">
                  <c:v>171</c:v>
                </c:pt>
                <c:pt idx="33">
                  <c:v>169</c:v>
                </c:pt>
                <c:pt idx="34">
                  <c:v>176</c:v>
                </c:pt>
                <c:pt idx="35">
                  <c:v>197</c:v>
                </c:pt>
                <c:pt idx="36">
                  <c:v>176</c:v>
                </c:pt>
                <c:pt idx="37">
                  <c:v>186</c:v>
                </c:pt>
                <c:pt idx="38">
                  <c:v>185</c:v>
                </c:pt>
                <c:pt idx="39">
                  <c:v>192</c:v>
                </c:pt>
                <c:pt idx="40">
                  <c:v>189</c:v>
                </c:pt>
                <c:pt idx="41">
                  <c:v>183</c:v>
                </c:pt>
                <c:pt idx="42">
                  <c:v>181</c:v>
                </c:pt>
                <c:pt idx="43">
                  <c:v>178</c:v>
                </c:pt>
                <c:pt idx="44">
                  <c:v>169</c:v>
                </c:pt>
                <c:pt idx="45">
                  <c:v>182</c:v>
                </c:pt>
                <c:pt idx="46">
                  <c:v>180</c:v>
                </c:pt>
                <c:pt idx="47">
                  <c:v>185</c:v>
                </c:pt>
                <c:pt idx="48">
                  <c:v>188</c:v>
                </c:pt>
                <c:pt idx="49">
                  <c:v>191</c:v>
                </c:pt>
                <c:pt idx="50">
                  <c:v>209</c:v>
                </c:pt>
                <c:pt idx="51">
                  <c:v>197</c:v>
                </c:pt>
                <c:pt idx="52">
                  <c:v>199</c:v>
                </c:pt>
                <c:pt idx="53">
                  <c:v>172</c:v>
                </c:pt>
                <c:pt idx="54">
                  <c:v>213</c:v>
                </c:pt>
                <c:pt idx="55">
                  <c:v>188</c:v>
                </c:pt>
                <c:pt idx="56">
                  <c:v>219</c:v>
                </c:pt>
                <c:pt idx="57">
                  <c:v>188</c:v>
                </c:pt>
                <c:pt idx="58">
                  <c:v>167</c:v>
                </c:pt>
                <c:pt idx="59">
                  <c:v>199</c:v>
                </c:pt>
                <c:pt idx="60">
                  <c:v>196</c:v>
                </c:pt>
                <c:pt idx="61">
                  <c:v>174</c:v>
                </c:pt>
                <c:pt idx="62">
                  <c:v>180</c:v>
                </c:pt>
                <c:pt idx="63">
                  <c:v>165</c:v>
                </c:pt>
                <c:pt idx="64">
                  <c:v>192</c:v>
                </c:pt>
                <c:pt idx="65">
                  <c:v>170</c:v>
                </c:pt>
                <c:pt idx="66">
                  <c:v>173</c:v>
                </c:pt>
                <c:pt idx="67">
                  <c:v>164</c:v>
                </c:pt>
                <c:pt idx="68">
                  <c:v>166</c:v>
                </c:pt>
                <c:pt idx="69">
                  <c:v>180</c:v>
                </c:pt>
                <c:pt idx="70">
                  <c:v>182</c:v>
                </c:pt>
                <c:pt idx="71">
                  <c:v>187</c:v>
                </c:pt>
                <c:pt idx="72">
                  <c:v>175</c:v>
                </c:pt>
                <c:pt idx="73">
                  <c:v>178</c:v>
                </c:pt>
                <c:pt idx="74">
                  <c:v>160</c:v>
                </c:pt>
                <c:pt idx="75">
                  <c:v>170</c:v>
                </c:pt>
                <c:pt idx="76">
                  <c:v>170</c:v>
                </c:pt>
                <c:pt idx="77">
                  <c:v>186</c:v>
                </c:pt>
                <c:pt idx="78">
                  <c:v>172</c:v>
                </c:pt>
                <c:pt idx="79">
                  <c:v>172</c:v>
                </c:pt>
                <c:pt idx="80">
                  <c:v>179</c:v>
                </c:pt>
                <c:pt idx="81">
                  <c:v>157</c:v>
                </c:pt>
                <c:pt idx="82">
                  <c:v>154</c:v>
                </c:pt>
                <c:pt idx="83">
                  <c:v>191</c:v>
                </c:pt>
                <c:pt idx="84">
                  <c:v>182</c:v>
                </c:pt>
                <c:pt idx="85">
                  <c:v>181</c:v>
                </c:pt>
                <c:pt idx="86">
                  <c:v>192</c:v>
                </c:pt>
                <c:pt idx="87">
                  <c:v>181</c:v>
                </c:pt>
                <c:pt idx="88">
                  <c:v>161</c:v>
                </c:pt>
                <c:pt idx="89">
                  <c:v>182</c:v>
                </c:pt>
                <c:pt idx="90">
                  <c:v>179</c:v>
                </c:pt>
                <c:pt idx="91">
                  <c:v>171</c:v>
                </c:pt>
                <c:pt idx="92">
                  <c:v>191</c:v>
                </c:pt>
                <c:pt idx="93">
                  <c:v>177</c:v>
                </c:pt>
                <c:pt idx="94">
                  <c:v>194</c:v>
                </c:pt>
                <c:pt idx="95">
                  <c:v>156</c:v>
                </c:pt>
                <c:pt idx="96">
                  <c:v>177</c:v>
                </c:pt>
                <c:pt idx="97">
                  <c:v>195</c:v>
                </c:pt>
                <c:pt idx="98">
                  <c:v>175</c:v>
                </c:pt>
                <c:pt idx="99">
                  <c:v>168</c:v>
                </c:pt>
                <c:pt idx="100">
                  <c:v>184</c:v>
                </c:pt>
                <c:pt idx="101">
                  <c:v>191</c:v>
                </c:pt>
                <c:pt idx="102">
                  <c:v>197</c:v>
                </c:pt>
                <c:pt idx="103">
                  <c:v>171</c:v>
                </c:pt>
                <c:pt idx="104">
                  <c:v>175</c:v>
                </c:pt>
                <c:pt idx="105">
                  <c:v>198</c:v>
                </c:pt>
                <c:pt idx="106">
                  <c:v>163</c:v>
                </c:pt>
                <c:pt idx="107">
                  <c:v>189</c:v>
                </c:pt>
                <c:pt idx="108">
                  <c:v>199</c:v>
                </c:pt>
                <c:pt idx="109">
                  <c:v>218</c:v>
                </c:pt>
                <c:pt idx="110">
                  <c:v>206</c:v>
                </c:pt>
                <c:pt idx="111">
                  <c:v>181</c:v>
                </c:pt>
                <c:pt idx="112">
                  <c:v>198</c:v>
                </c:pt>
                <c:pt idx="113">
                  <c:v>181</c:v>
                </c:pt>
                <c:pt idx="114">
                  <c:v>210</c:v>
                </c:pt>
                <c:pt idx="115">
                  <c:v>180</c:v>
                </c:pt>
                <c:pt idx="116">
                  <c:v>187</c:v>
                </c:pt>
                <c:pt idx="117">
                  <c:v>202</c:v>
                </c:pt>
                <c:pt idx="118">
                  <c:v>182</c:v>
                </c:pt>
                <c:pt idx="119">
                  <c:v>189</c:v>
                </c:pt>
                <c:pt idx="120">
                  <c:v>207</c:v>
                </c:pt>
                <c:pt idx="121">
                  <c:v>167</c:v>
                </c:pt>
                <c:pt idx="122">
                  <c:v>195</c:v>
                </c:pt>
                <c:pt idx="123">
                  <c:v>161</c:v>
                </c:pt>
                <c:pt idx="124">
                  <c:v>175</c:v>
                </c:pt>
                <c:pt idx="125">
                  <c:v>177</c:v>
                </c:pt>
                <c:pt idx="126">
                  <c:v>162</c:v>
                </c:pt>
                <c:pt idx="127">
                  <c:v>183</c:v>
                </c:pt>
                <c:pt idx="128">
                  <c:v>185</c:v>
                </c:pt>
                <c:pt idx="129">
                  <c:v>190</c:v>
                </c:pt>
                <c:pt idx="130">
                  <c:v>194</c:v>
                </c:pt>
                <c:pt idx="131">
                  <c:v>178</c:v>
                </c:pt>
                <c:pt idx="132">
                  <c:v>140</c:v>
                </c:pt>
                <c:pt idx="133">
                  <c:v>185</c:v>
                </c:pt>
                <c:pt idx="134">
                  <c:v>177</c:v>
                </c:pt>
                <c:pt idx="135">
                  <c:v>166</c:v>
                </c:pt>
                <c:pt idx="136">
                  <c:v>169</c:v>
                </c:pt>
                <c:pt idx="137">
                  <c:v>201</c:v>
                </c:pt>
                <c:pt idx="138">
                  <c:v>167</c:v>
                </c:pt>
                <c:pt idx="139">
                  <c:v>172</c:v>
                </c:pt>
                <c:pt idx="140">
                  <c:v>189</c:v>
                </c:pt>
                <c:pt idx="141">
                  <c:v>180</c:v>
                </c:pt>
                <c:pt idx="142">
                  <c:v>176</c:v>
                </c:pt>
                <c:pt idx="143">
                  <c:v>180</c:v>
                </c:pt>
                <c:pt idx="144">
                  <c:v>162</c:v>
                </c:pt>
                <c:pt idx="145">
                  <c:v>149</c:v>
                </c:pt>
                <c:pt idx="146">
                  <c:v>181</c:v>
                </c:pt>
                <c:pt idx="147">
                  <c:v>187</c:v>
                </c:pt>
                <c:pt idx="148">
                  <c:v>190</c:v>
                </c:pt>
                <c:pt idx="149">
                  <c:v>183</c:v>
                </c:pt>
                <c:pt idx="150">
                  <c:v>192</c:v>
                </c:pt>
                <c:pt idx="151">
                  <c:v>143</c:v>
                </c:pt>
                <c:pt idx="152">
                  <c:v>168</c:v>
                </c:pt>
                <c:pt idx="153">
                  <c:v>163</c:v>
                </c:pt>
                <c:pt idx="154">
                  <c:v>178</c:v>
                </c:pt>
                <c:pt idx="155">
                  <c:v>202</c:v>
                </c:pt>
                <c:pt idx="156">
                  <c:v>194</c:v>
                </c:pt>
                <c:pt idx="157">
                  <c:v>174</c:v>
                </c:pt>
                <c:pt idx="158">
                  <c:v>204</c:v>
                </c:pt>
                <c:pt idx="159">
                  <c:v>192</c:v>
                </c:pt>
                <c:pt idx="160">
                  <c:v>207</c:v>
                </c:pt>
                <c:pt idx="161">
                  <c:v>195</c:v>
                </c:pt>
                <c:pt idx="162">
                  <c:v>232</c:v>
                </c:pt>
                <c:pt idx="163">
                  <c:v>193</c:v>
                </c:pt>
                <c:pt idx="164">
                  <c:v>206</c:v>
                </c:pt>
                <c:pt idx="165">
                  <c:v>151</c:v>
                </c:pt>
                <c:pt idx="166">
                  <c:v>192</c:v>
                </c:pt>
                <c:pt idx="167">
                  <c:v>203</c:v>
                </c:pt>
                <c:pt idx="168">
                  <c:v>182</c:v>
                </c:pt>
                <c:pt idx="169">
                  <c:v>185</c:v>
                </c:pt>
                <c:pt idx="170">
                  <c:v>161</c:v>
                </c:pt>
                <c:pt idx="171">
                  <c:v>170</c:v>
                </c:pt>
                <c:pt idx="172">
                  <c:v>191</c:v>
                </c:pt>
                <c:pt idx="173">
                  <c:v>184</c:v>
                </c:pt>
                <c:pt idx="174">
                  <c:v>170</c:v>
                </c:pt>
                <c:pt idx="175">
                  <c:v>173</c:v>
                </c:pt>
                <c:pt idx="176">
                  <c:v>164</c:v>
                </c:pt>
                <c:pt idx="177">
                  <c:v>184</c:v>
                </c:pt>
                <c:pt idx="178">
                  <c:v>153</c:v>
                </c:pt>
                <c:pt idx="179">
                  <c:v>182</c:v>
                </c:pt>
                <c:pt idx="180">
                  <c:v>169</c:v>
                </c:pt>
                <c:pt idx="181">
                  <c:v>191</c:v>
                </c:pt>
                <c:pt idx="182">
                  <c:v>174</c:v>
                </c:pt>
                <c:pt idx="183">
                  <c:v>175</c:v>
                </c:pt>
                <c:pt idx="184">
                  <c:v>161</c:v>
                </c:pt>
                <c:pt idx="185">
                  <c:v>176</c:v>
                </c:pt>
                <c:pt idx="186">
                  <c:v>174</c:v>
                </c:pt>
                <c:pt idx="187">
                  <c:v>174</c:v>
                </c:pt>
                <c:pt idx="188">
                  <c:v>185</c:v>
                </c:pt>
                <c:pt idx="189">
                  <c:v>176</c:v>
                </c:pt>
                <c:pt idx="190">
                  <c:v>188</c:v>
                </c:pt>
                <c:pt idx="191">
                  <c:v>162</c:v>
                </c:pt>
                <c:pt idx="192">
                  <c:v>164</c:v>
                </c:pt>
                <c:pt idx="193">
                  <c:v>168</c:v>
                </c:pt>
                <c:pt idx="194">
                  <c:v>179</c:v>
                </c:pt>
                <c:pt idx="195">
                  <c:v>195</c:v>
                </c:pt>
                <c:pt idx="196">
                  <c:v>165</c:v>
                </c:pt>
                <c:pt idx="197">
                  <c:v>158</c:v>
                </c:pt>
                <c:pt idx="198">
                  <c:v>181</c:v>
                </c:pt>
                <c:pt idx="199">
                  <c:v>166</c:v>
                </c:pt>
                <c:pt idx="200">
                  <c:v>168</c:v>
                </c:pt>
                <c:pt idx="201">
                  <c:v>161</c:v>
                </c:pt>
                <c:pt idx="202">
                  <c:v>179</c:v>
                </c:pt>
                <c:pt idx="203">
                  <c:v>165</c:v>
                </c:pt>
                <c:pt idx="204">
                  <c:v>201</c:v>
                </c:pt>
                <c:pt idx="205">
                  <c:v>180</c:v>
                </c:pt>
                <c:pt idx="206">
                  <c:v>190</c:v>
                </c:pt>
                <c:pt idx="207">
                  <c:v>169</c:v>
                </c:pt>
                <c:pt idx="208">
                  <c:v>166</c:v>
                </c:pt>
                <c:pt idx="209">
                  <c:v>160</c:v>
                </c:pt>
                <c:pt idx="210">
                  <c:v>215</c:v>
                </c:pt>
                <c:pt idx="211">
                  <c:v>184</c:v>
                </c:pt>
                <c:pt idx="212">
                  <c:v>149</c:v>
                </c:pt>
                <c:pt idx="213">
                  <c:v>167</c:v>
                </c:pt>
                <c:pt idx="214">
                  <c:v>205</c:v>
                </c:pt>
                <c:pt idx="215">
                  <c:v>191</c:v>
                </c:pt>
                <c:pt idx="216">
                  <c:v>198</c:v>
                </c:pt>
                <c:pt idx="217">
                  <c:v>184</c:v>
                </c:pt>
                <c:pt idx="218">
                  <c:v>178</c:v>
                </c:pt>
                <c:pt idx="219">
                  <c:v>172</c:v>
                </c:pt>
                <c:pt idx="220">
                  <c:v>183</c:v>
                </c:pt>
                <c:pt idx="221">
                  <c:v>188</c:v>
                </c:pt>
                <c:pt idx="222">
                  <c:v>177</c:v>
                </c:pt>
                <c:pt idx="223">
                  <c:v>170</c:v>
                </c:pt>
                <c:pt idx="224">
                  <c:v>156</c:v>
                </c:pt>
                <c:pt idx="225">
                  <c:v>141</c:v>
                </c:pt>
                <c:pt idx="226">
                  <c:v>208</c:v>
                </c:pt>
                <c:pt idx="227">
                  <c:v>165</c:v>
                </c:pt>
                <c:pt idx="228">
                  <c:v>170</c:v>
                </c:pt>
                <c:pt idx="229">
                  <c:v>176</c:v>
                </c:pt>
                <c:pt idx="230">
                  <c:v>163</c:v>
                </c:pt>
                <c:pt idx="231">
                  <c:v>158</c:v>
                </c:pt>
                <c:pt idx="232">
                  <c:v>159</c:v>
                </c:pt>
                <c:pt idx="233">
                  <c:v>163</c:v>
                </c:pt>
                <c:pt idx="234">
                  <c:v>163</c:v>
                </c:pt>
                <c:pt idx="235">
                  <c:v>150</c:v>
                </c:pt>
                <c:pt idx="236">
                  <c:v>167</c:v>
                </c:pt>
                <c:pt idx="237">
                  <c:v>165</c:v>
                </c:pt>
                <c:pt idx="238">
                  <c:v>159</c:v>
                </c:pt>
                <c:pt idx="239">
                  <c:v>154</c:v>
                </c:pt>
                <c:pt idx="240">
                  <c:v>142</c:v>
                </c:pt>
                <c:pt idx="241">
                  <c:v>160</c:v>
                </c:pt>
                <c:pt idx="242">
                  <c:v>163</c:v>
                </c:pt>
                <c:pt idx="243">
                  <c:v>188</c:v>
                </c:pt>
                <c:pt idx="244">
                  <c:v>141</c:v>
                </c:pt>
                <c:pt idx="245">
                  <c:v>157</c:v>
                </c:pt>
                <c:pt idx="246">
                  <c:v>169</c:v>
                </c:pt>
                <c:pt idx="247">
                  <c:v>167</c:v>
                </c:pt>
                <c:pt idx="248">
                  <c:v>188</c:v>
                </c:pt>
                <c:pt idx="249">
                  <c:v>149</c:v>
                </c:pt>
                <c:pt idx="250">
                  <c:v>158</c:v>
                </c:pt>
                <c:pt idx="251">
                  <c:v>182</c:v>
                </c:pt>
                <c:pt idx="252">
                  <c:v>181</c:v>
                </c:pt>
                <c:pt idx="253">
                  <c:v>207</c:v>
                </c:pt>
                <c:pt idx="254">
                  <c:v>181</c:v>
                </c:pt>
                <c:pt idx="255">
                  <c:v>158</c:v>
                </c:pt>
                <c:pt idx="256">
                  <c:v>194</c:v>
                </c:pt>
                <c:pt idx="257">
                  <c:v>171</c:v>
                </c:pt>
                <c:pt idx="258">
                  <c:v>173</c:v>
                </c:pt>
                <c:pt idx="259">
                  <c:v>177</c:v>
                </c:pt>
                <c:pt idx="260">
                  <c:v>192</c:v>
                </c:pt>
                <c:pt idx="261">
                  <c:v>190</c:v>
                </c:pt>
                <c:pt idx="262">
                  <c:v>197</c:v>
                </c:pt>
                <c:pt idx="263">
                  <c:v>174</c:v>
                </c:pt>
                <c:pt idx="264">
                  <c:v>203</c:v>
                </c:pt>
                <c:pt idx="265">
                  <c:v>178</c:v>
                </c:pt>
                <c:pt idx="266">
                  <c:v>223</c:v>
                </c:pt>
                <c:pt idx="267">
                  <c:v>208</c:v>
                </c:pt>
                <c:pt idx="268">
                  <c:v>188</c:v>
                </c:pt>
                <c:pt idx="269">
                  <c:v>184</c:v>
                </c:pt>
                <c:pt idx="270">
                  <c:v>171</c:v>
                </c:pt>
                <c:pt idx="271">
                  <c:v>187</c:v>
                </c:pt>
                <c:pt idx="272">
                  <c:v>170</c:v>
                </c:pt>
                <c:pt idx="273">
                  <c:v>186</c:v>
                </c:pt>
                <c:pt idx="274">
                  <c:v>161</c:v>
                </c:pt>
                <c:pt idx="275">
                  <c:v>171</c:v>
                </c:pt>
                <c:pt idx="276">
                  <c:v>163</c:v>
                </c:pt>
                <c:pt idx="277">
                  <c:v>159</c:v>
                </c:pt>
                <c:pt idx="278">
                  <c:v>180</c:v>
                </c:pt>
                <c:pt idx="279">
                  <c:v>184</c:v>
                </c:pt>
                <c:pt idx="280">
                  <c:v>166</c:v>
                </c:pt>
                <c:pt idx="281">
                  <c:v>164</c:v>
                </c:pt>
                <c:pt idx="282">
                  <c:v>164</c:v>
                </c:pt>
                <c:pt idx="283">
                  <c:v>175</c:v>
                </c:pt>
                <c:pt idx="284">
                  <c:v>166</c:v>
                </c:pt>
                <c:pt idx="285">
                  <c:v>202</c:v>
                </c:pt>
                <c:pt idx="286">
                  <c:v>179</c:v>
                </c:pt>
                <c:pt idx="287">
                  <c:v>181</c:v>
                </c:pt>
                <c:pt idx="288">
                  <c:v>203</c:v>
                </c:pt>
                <c:pt idx="289">
                  <c:v>157</c:v>
                </c:pt>
                <c:pt idx="290">
                  <c:v>164</c:v>
                </c:pt>
                <c:pt idx="291">
                  <c:v>180</c:v>
                </c:pt>
                <c:pt idx="292">
                  <c:v>165</c:v>
                </c:pt>
                <c:pt idx="293">
                  <c:v>163</c:v>
                </c:pt>
                <c:pt idx="294">
                  <c:v>176</c:v>
                </c:pt>
                <c:pt idx="295">
                  <c:v>162</c:v>
                </c:pt>
                <c:pt idx="296">
                  <c:v>186</c:v>
                </c:pt>
                <c:pt idx="297">
                  <c:v>169</c:v>
                </c:pt>
                <c:pt idx="298">
                  <c:v>146</c:v>
                </c:pt>
                <c:pt idx="299">
                  <c:v>185</c:v>
                </c:pt>
                <c:pt idx="300">
                  <c:v>159</c:v>
                </c:pt>
                <c:pt idx="301">
                  <c:v>171</c:v>
                </c:pt>
                <c:pt idx="302">
                  <c:v>170</c:v>
                </c:pt>
                <c:pt idx="303">
                  <c:v>177</c:v>
                </c:pt>
                <c:pt idx="304">
                  <c:v>167</c:v>
                </c:pt>
                <c:pt idx="305">
                  <c:v>181</c:v>
                </c:pt>
                <c:pt idx="306">
                  <c:v>178</c:v>
                </c:pt>
                <c:pt idx="307">
                  <c:v>159</c:v>
                </c:pt>
                <c:pt idx="308">
                  <c:v>179</c:v>
                </c:pt>
                <c:pt idx="309">
                  <c:v>180</c:v>
                </c:pt>
                <c:pt idx="310">
                  <c:v>162</c:v>
                </c:pt>
                <c:pt idx="311">
                  <c:v>169</c:v>
                </c:pt>
                <c:pt idx="312">
                  <c:v>165</c:v>
                </c:pt>
                <c:pt idx="313">
                  <c:v>183</c:v>
                </c:pt>
                <c:pt idx="314">
                  <c:v>149</c:v>
                </c:pt>
                <c:pt idx="315">
                  <c:v>183</c:v>
                </c:pt>
                <c:pt idx="316">
                  <c:v>194</c:v>
                </c:pt>
                <c:pt idx="317">
                  <c:v>190</c:v>
                </c:pt>
                <c:pt idx="318">
                  <c:v>187</c:v>
                </c:pt>
                <c:pt idx="319">
                  <c:v>179</c:v>
                </c:pt>
                <c:pt idx="320">
                  <c:v>194</c:v>
                </c:pt>
                <c:pt idx="321">
                  <c:v>181</c:v>
                </c:pt>
                <c:pt idx="322">
                  <c:v>191</c:v>
                </c:pt>
                <c:pt idx="323">
                  <c:v>168</c:v>
                </c:pt>
                <c:pt idx="324">
                  <c:v>183</c:v>
                </c:pt>
                <c:pt idx="325">
                  <c:v>167</c:v>
                </c:pt>
                <c:pt idx="326">
                  <c:v>143</c:v>
                </c:pt>
                <c:pt idx="327">
                  <c:v>159</c:v>
                </c:pt>
                <c:pt idx="328">
                  <c:v>168</c:v>
                </c:pt>
                <c:pt idx="329">
                  <c:v>152</c:v>
                </c:pt>
                <c:pt idx="330">
                  <c:v>169</c:v>
                </c:pt>
                <c:pt idx="331">
                  <c:v>177</c:v>
                </c:pt>
                <c:pt idx="332">
                  <c:v>165</c:v>
                </c:pt>
                <c:pt idx="333">
                  <c:v>146</c:v>
                </c:pt>
                <c:pt idx="334">
                  <c:v>151</c:v>
                </c:pt>
                <c:pt idx="335">
                  <c:v>165</c:v>
                </c:pt>
                <c:pt idx="336">
                  <c:v>173</c:v>
                </c:pt>
                <c:pt idx="337">
                  <c:v>163</c:v>
                </c:pt>
                <c:pt idx="338">
                  <c:v>169</c:v>
                </c:pt>
                <c:pt idx="339">
                  <c:v>154</c:v>
                </c:pt>
                <c:pt idx="340">
                  <c:v>155</c:v>
                </c:pt>
                <c:pt idx="341">
                  <c:v>166</c:v>
                </c:pt>
                <c:pt idx="342">
                  <c:v>160</c:v>
                </c:pt>
                <c:pt idx="343">
                  <c:v>195</c:v>
                </c:pt>
                <c:pt idx="344">
                  <c:v>187</c:v>
                </c:pt>
                <c:pt idx="345">
                  <c:v>151</c:v>
                </c:pt>
                <c:pt idx="346">
                  <c:v>139</c:v>
                </c:pt>
                <c:pt idx="347">
                  <c:v>169</c:v>
                </c:pt>
                <c:pt idx="348">
                  <c:v>182</c:v>
                </c:pt>
                <c:pt idx="349">
                  <c:v>150</c:v>
                </c:pt>
                <c:pt idx="350">
                  <c:v>171</c:v>
                </c:pt>
                <c:pt idx="351">
                  <c:v>172</c:v>
                </c:pt>
                <c:pt idx="352">
                  <c:v>185</c:v>
                </c:pt>
                <c:pt idx="353">
                  <c:v>172</c:v>
                </c:pt>
                <c:pt idx="354">
                  <c:v>163</c:v>
                </c:pt>
                <c:pt idx="355">
                  <c:v>168</c:v>
                </c:pt>
                <c:pt idx="356">
                  <c:v>176</c:v>
                </c:pt>
                <c:pt idx="357">
                  <c:v>172</c:v>
                </c:pt>
                <c:pt idx="358">
                  <c:v>170</c:v>
                </c:pt>
                <c:pt idx="359">
                  <c:v>134</c:v>
                </c:pt>
                <c:pt idx="360">
                  <c:v>179</c:v>
                </c:pt>
                <c:pt idx="361">
                  <c:v>159</c:v>
                </c:pt>
                <c:pt idx="362">
                  <c:v>163</c:v>
                </c:pt>
                <c:pt idx="363">
                  <c:v>187</c:v>
                </c:pt>
                <c:pt idx="364">
                  <c:v>168</c:v>
                </c:pt>
                <c:pt idx="365">
                  <c:v>170</c:v>
                </c:pt>
                <c:pt idx="366">
                  <c:v>181</c:v>
                </c:pt>
                <c:pt idx="367">
                  <c:v>189</c:v>
                </c:pt>
                <c:pt idx="368">
                  <c:v>170</c:v>
                </c:pt>
                <c:pt idx="369">
                  <c:v>181</c:v>
                </c:pt>
                <c:pt idx="370">
                  <c:v>180</c:v>
                </c:pt>
                <c:pt idx="371">
                  <c:v>174</c:v>
                </c:pt>
                <c:pt idx="372">
                  <c:v>176</c:v>
                </c:pt>
                <c:pt idx="373">
                  <c:v>171</c:v>
                </c:pt>
                <c:pt idx="374">
                  <c:v>194</c:v>
                </c:pt>
                <c:pt idx="375">
                  <c:v>169</c:v>
                </c:pt>
                <c:pt idx="376">
                  <c:v>174</c:v>
                </c:pt>
                <c:pt idx="377">
                  <c:v>169</c:v>
                </c:pt>
                <c:pt idx="378">
                  <c:v>169</c:v>
                </c:pt>
                <c:pt idx="379">
                  <c:v>163</c:v>
                </c:pt>
                <c:pt idx="380">
                  <c:v>159</c:v>
                </c:pt>
                <c:pt idx="381">
                  <c:v>159</c:v>
                </c:pt>
                <c:pt idx="382">
                  <c:v>162</c:v>
                </c:pt>
                <c:pt idx="383">
                  <c:v>164</c:v>
                </c:pt>
                <c:pt idx="384">
                  <c:v>169</c:v>
                </c:pt>
                <c:pt idx="385">
                  <c:v>159</c:v>
                </c:pt>
                <c:pt idx="386">
                  <c:v>159</c:v>
                </c:pt>
                <c:pt idx="387">
                  <c:v>175</c:v>
                </c:pt>
                <c:pt idx="388">
                  <c:v>149</c:v>
                </c:pt>
                <c:pt idx="389">
                  <c:v>154</c:v>
                </c:pt>
                <c:pt idx="390">
                  <c:v>166</c:v>
                </c:pt>
                <c:pt idx="391">
                  <c:v>146</c:v>
                </c:pt>
                <c:pt idx="392">
                  <c:v>150</c:v>
                </c:pt>
                <c:pt idx="393">
                  <c:v>167</c:v>
                </c:pt>
                <c:pt idx="394">
                  <c:v>153</c:v>
                </c:pt>
                <c:pt idx="395">
                  <c:v>170</c:v>
                </c:pt>
                <c:pt idx="396">
                  <c:v>141</c:v>
                </c:pt>
                <c:pt idx="397">
                  <c:v>139</c:v>
                </c:pt>
                <c:pt idx="398">
                  <c:v>201</c:v>
                </c:pt>
                <c:pt idx="399">
                  <c:v>166</c:v>
                </c:pt>
                <c:pt idx="400">
                  <c:v>177</c:v>
                </c:pt>
                <c:pt idx="401">
                  <c:v>184</c:v>
                </c:pt>
                <c:pt idx="402">
                  <c:v>186</c:v>
                </c:pt>
                <c:pt idx="403">
                  <c:v>166</c:v>
                </c:pt>
                <c:pt idx="404">
                  <c:v>171</c:v>
                </c:pt>
                <c:pt idx="405">
                  <c:v>170</c:v>
                </c:pt>
                <c:pt idx="406">
                  <c:v>165</c:v>
                </c:pt>
                <c:pt idx="407">
                  <c:v>151</c:v>
                </c:pt>
                <c:pt idx="408">
                  <c:v>176</c:v>
                </c:pt>
                <c:pt idx="409">
                  <c:v>198</c:v>
                </c:pt>
                <c:pt idx="410">
                  <c:v>180</c:v>
                </c:pt>
                <c:pt idx="411">
                  <c:v>161</c:v>
                </c:pt>
                <c:pt idx="412">
                  <c:v>188</c:v>
                </c:pt>
                <c:pt idx="413">
                  <c:v>166</c:v>
                </c:pt>
                <c:pt idx="414">
                  <c:v>164</c:v>
                </c:pt>
                <c:pt idx="415">
                  <c:v>156</c:v>
                </c:pt>
                <c:pt idx="416">
                  <c:v>171</c:v>
                </c:pt>
                <c:pt idx="417">
                  <c:v>179</c:v>
                </c:pt>
                <c:pt idx="418">
                  <c:v>174</c:v>
                </c:pt>
                <c:pt idx="419">
                  <c:v>187</c:v>
                </c:pt>
                <c:pt idx="420">
                  <c:v>189</c:v>
                </c:pt>
                <c:pt idx="421">
                  <c:v>152</c:v>
                </c:pt>
                <c:pt idx="422">
                  <c:v>191</c:v>
                </c:pt>
                <c:pt idx="423">
                  <c:v>195</c:v>
                </c:pt>
                <c:pt idx="424">
                  <c:v>190</c:v>
                </c:pt>
                <c:pt idx="425">
                  <c:v>213</c:v>
                </c:pt>
                <c:pt idx="426">
                  <c:v>202</c:v>
                </c:pt>
                <c:pt idx="427">
                  <c:v>175</c:v>
                </c:pt>
                <c:pt idx="428">
                  <c:v>160</c:v>
                </c:pt>
                <c:pt idx="429">
                  <c:v>171</c:v>
                </c:pt>
                <c:pt idx="430">
                  <c:v>171</c:v>
                </c:pt>
                <c:pt idx="431">
                  <c:v>170</c:v>
                </c:pt>
                <c:pt idx="432">
                  <c:v>182</c:v>
                </c:pt>
                <c:pt idx="433">
                  <c:v>163</c:v>
                </c:pt>
                <c:pt idx="434">
                  <c:v>151</c:v>
                </c:pt>
                <c:pt idx="435">
                  <c:v>162</c:v>
                </c:pt>
                <c:pt idx="436">
                  <c:v>167</c:v>
                </c:pt>
                <c:pt idx="437">
                  <c:v>172</c:v>
                </c:pt>
                <c:pt idx="438">
                  <c:v>156</c:v>
                </c:pt>
                <c:pt idx="439">
                  <c:v>171</c:v>
                </c:pt>
                <c:pt idx="440">
                  <c:v>149</c:v>
                </c:pt>
                <c:pt idx="441">
                  <c:v>174</c:v>
                </c:pt>
                <c:pt idx="442">
                  <c:v>150</c:v>
                </c:pt>
                <c:pt idx="443">
                  <c:v>155</c:v>
                </c:pt>
                <c:pt idx="444">
                  <c:v>146</c:v>
                </c:pt>
                <c:pt idx="445">
                  <c:v>159</c:v>
                </c:pt>
                <c:pt idx="446">
                  <c:v>170</c:v>
                </c:pt>
                <c:pt idx="447">
                  <c:v>188</c:v>
                </c:pt>
                <c:pt idx="448">
                  <c:v>153</c:v>
                </c:pt>
                <c:pt idx="449">
                  <c:v>162</c:v>
                </c:pt>
                <c:pt idx="450">
                  <c:v>152</c:v>
                </c:pt>
                <c:pt idx="451">
                  <c:v>168</c:v>
                </c:pt>
                <c:pt idx="452">
                  <c:v>177</c:v>
                </c:pt>
                <c:pt idx="453">
                  <c:v>159</c:v>
                </c:pt>
                <c:pt idx="454">
                  <c:v>172</c:v>
                </c:pt>
                <c:pt idx="455">
                  <c:v>166</c:v>
                </c:pt>
                <c:pt idx="456">
                  <c:v>171</c:v>
                </c:pt>
                <c:pt idx="457">
                  <c:v>162</c:v>
                </c:pt>
                <c:pt idx="458">
                  <c:v>149</c:v>
                </c:pt>
                <c:pt idx="459">
                  <c:v>134</c:v>
                </c:pt>
                <c:pt idx="460">
                  <c:v>149</c:v>
                </c:pt>
                <c:pt idx="461">
                  <c:v>169</c:v>
                </c:pt>
                <c:pt idx="462">
                  <c:v>186</c:v>
                </c:pt>
                <c:pt idx="463">
                  <c:v>164</c:v>
                </c:pt>
                <c:pt idx="464">
                  <c:v>181</c:v>
                </c:pt>
                <c:pt idx="465">
                  <c:v>198</c:v>
                </c:pt>
                <c:pt idx="466">
                  <c:v>161</c:v>
                </c:pt>
                <c:pt idx="467">
                  <c:v>177</c:v>
                </c:pt>
                <c:pt idx="468">
                  <c:v>154</c:v>
                </c:pt>
                <c:pt idx="469">
                  <c:v>156</c:v>
                </c:pt>
                <c:pt idx="470">
                  <c:v>171</c:v>
                </c:pt>
                <c:pt idx="471">
                  <c:v>177</c:v>
                </c:pt>
                <c:pt idx="472">
                  <c:v>172</c:v>
                </c:pt>
                <c:pt idx="473">
                  <c:v>170</c:v>
                </c:pt>
                <c:pt idx="474">
                  <c:v>162</c:v>
                </c:pt>
                <c:pt idx="475">
                  <c:v>175</c:v>
                </c:pt>
                <c:pt idx="476">
                  <c:v>159</c:v>
                </c:pt>
                <c:pt idx="477">
                  <c:v>184</c:v>
                </c:pt>
                <c:pt idx="478">
                  <c:v>178</c:v>
                </c:pt>
                <c:pt idx="479">
                  <c:v>147</c:v>
                </c:pt>
                <c:pt idx="480">
                  <c:v>180</c:v>
                </c:pt>
                <c:pt idx="481">
                  <c:v>182</c:v>
                </c:pt>
                <c:pt idx="482">
                  <c:v>175</c:v>
                </c:pt>
                <c:pt idx="483">
                  <c:v>143</c:v>
                </c:pt>
                <c:pt idx="484">
                  <c:v>172</c:v>
                </c:pt>
                <c:pt idx="485">
                  <c:v>151</c:v>
                </c:pt>
                <c:pt idx="486">
                  <c:v>146</c:v>
                </c:pt>
                <c:pt idx="487">
                  <c:v>197</c:v>
                </c:pt>
                <c:pt idx="488">
                  <c:v>164</c:v>
                </c:pt>
                <c:pt idx="489">
                  <c:v>180</c:v>
                </c:pt>
                <c:pt idx="490">
                  <c:v>158</c:v>
                </c:pt>
                <c:pt idx="491">
                  <c:v>154</c:v>
                </c:pt>
                <c:pt idx="492">
                  <c:v>177</c:v>
                </c:pt>
                <c:pt idx="493">
                  <c:v>179</c:v>
                </c:pt>
                <c:pt idx="494">
                  <c:v>161</c:v>
                </c:pt>
                <c:pt idx="495">
                  <c:v>177</c:v>
                </c:pt>
                <c:pt idx="496">
                  <c:v>166</c:v>
                </c:pt>
                <c:pt idx="497">
                  <c:v>163</c:v>
                </c:pt>
                <c:pt idx="498">
                  <c:v>138</c:v>
                </c:pt>
                <c:pt idx="499">
                  <c:v>147</c:v>
                </c:pt>
                <c:pt idx="500">
                  <c:v>154</c:v>
                </c:pt>
                <c:pt idx="501">
                  <c:v>148</c:v>
                </c:pt>
                <c:pt idx="502">
                  <c:v>167</c:v>
                </c:pt>
                <c:pt idx="503">
                  <c:v>137</c:v>
                </c:pt>
                <c:pt idx="504">
                  <c:v>141</c:v>
                </c:pt>
                <c:pt idx="505">
                  <c:v>164</c:v>
                </c:pt>
                <c:pt idx="506">
                  <c:v>174</c:v>
                </c:pt>
                <c:pt idx="507">
                  <c:v>163</c:v>
                </c:pt>
                <c:pt idx="508">
                  <c:v>166</c:v>
                </c:pt>
                <c:pt idx="509">
                  <c:v>176</c:v>
                </c:pt>
                <c:pt idx="510">
                  <c:v>174</c:v>
                </c:pt>
                <c:pt idx="511">
                  <c:v>160</c:v>
                </c:pt>
                <c:pt idx="512">
                  <c:v>152</c:v>
                </c:pt>
                <c:pt idx="513">
                  <c:v>130</c:v>
                </c:pt>
                <c:pt idx="514">
                  <c:v>155</c:v>
                </c:pt>
                <c:pt idx="515">
                  <c:v>156</c:v>
                </c:pt>
                <c:pt idx="516">
                  <c:v>171</c:v>
                </c:pt>
                <c:pt idx="517">
                  <c:v>138</c:v>
                </c:pt>
                <c:pt idx="518">
                  <c:v>163</c:v>
                </c:pt>
                <c:pt idx="519">
                  <c:v>175</c:v>
                </c:pt>
                <c:pt idx="520">
                  <c:v>147</c:v>
                </c:pt>
              </c:numCache>
            </c:numRef>
          </c:val>
          <c:smooth val="0"/>
          <c:extLst>
            <c:ext xmlns:c16="http://schemas.microsoft.com/office/drawing/2014/chart" uri="{C3380CC4-5D6E-409C-BE32-E72D297353CC}">
              <c16:uniqueId val="{00000000-7234-497A-9674-CB9AF3A57D24}"/>
            </c:ext>
          </c:extLst>
        </c:ser>
        <c:ser>
          <c:idx val="1"/>
          <c:order val="1"/>
          <c:tx>
            <c:strRef>
              <c:f>'pivot_Sterblichkeit_2010-2019'!$C$3:$C$5</c:f>
              <c:strCache>
                <c:ptCount val="1"/>
                <c:pt idx="0">
                  <c:v>Todesfalle - 65+</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'pivot_Sterblichkeit_2010-2019'!$C$6:$C$527</c:f>
              <c:numCache>
                <c:formatCode>General</c:formatCode>
                <c:ptCount val="521"/>
                <c:pt idx="0">
                  <c:v>1100</c:v>
                </c:pt>
                <c:pt idx="1">
                  <c:v>1071</c:v>
                </c:pt>
                <c:pt idx="2">
                  <c:v>1005</c:v>
                </c:pt>
                <c:pt idx="3">
                  <c:v>1039</c:v>
                </c:pt>
                <c:pt idx="4">
                  <c:v>1110</c:v>
                </c:pt>
                <c:pt idx="5">
                  <c:v>1057</c:v>
                </c:pt>
                <c:pt idx="6">
                  <c:v>1203</c:v>
                </c:pt>
                <c:pt idx="7">
                  <c:v>1131</c:v>
                </c:pt>
                <c:pt idx="8">
                  <c:v>1119</c:v>
                </c:pt>
                <c:pt idx="9">
                  <c:v>1131</c:v>
                </c:pt>
                <c:pt idx="10">
                  <c:v>1114</c:v>
                </c:pt>
                <c:pt idx="11">
                  <c:v>1048</c:v>
                </c:pt>
                <c:pt idx="12">
                  <c:v>1049</c:v>
                </c:pt>
                <c:pt idx="13">
                  <c:v>970</c:v>
                </c:pt>
                <c:pt idx="14">
                  <c:v>987</c:v>
                </c:pt>
                <c:pt idx="15">
                  <c:v>971</c:v>
                </c:pt>
                <c:pt idx="16">
                  <c:v>964</c:v>
                </c:pt>
                <c:pt idx="17">
                  <c:v>976</c:v>
                </c:pt>
                <c:pt idx="18">
                  <c:v>974</c:v>
                </c:pt>
                <c:pt idx="19">
                  <c:v>985</c:v>
                </c:pt>
                <c:pt idx="20">
                  <c:v>961</c:v>
                </c:pt>
                <c:pt idx="21">
                  <c:v>898</c:v>
                </c:pt>
                <c:pt idx="22">
                  <c:v>946</c:v>
                </c:pt>
                <c:pt idx="23">
                  <c:v>887</c:v>
                </c:pt>
                <c:pt idx="24">
                  <c:v>907</c:v>
                </c:pt>
                <c:pt idx="25">
                  <c:v>956</c:v>
                </c:pt>
                <c:pt idx="26">
                  <c:v>918</c:v>
                </c:pt>
                <c:pt idx="27">
                  <c:v>936</c:v>
                </c:pt>
                <c:pt idx="28">
                  <c:v>870</c:v>
                </c:pt>
                <c:pt idx="29">
                  <c:v>922</c:v>
                </c:pt>
                <c:pt idx="30">
                  <c:v>914</c:v>
                </c:pt>
                <c:pt idx="31">
                  <c:v>911</c:v>
                </c:pt>
                <c:pt idx="32">
                  <c:v>882</c:v>
                </c:pt>
                <c:pt idx="33">
                  <c:v>938</c:v>
                </c:pt>
                <c:pt idx="34">
                  <c:v>938</c:v>
                </c:pt>
                <c:pt idx="35">
                  <c:v>993</c:v>
                </c:pt>
                <c:pt idx="36">
                  <c:v>945</c:v>
                </c:pt>
                <c:pt idx="37">
                  <c:v>996</c:v>
                </c:pt>
                <c:pt idx="38">
                  <c:v>1035</c:v>
                </c:pt>
                <c:pt idx="39">
                  <c:v>1018</c:v>
                </c:pt>
                <c:pt idx="40">
                  <c:v>1060</c:v>
                </c:pt>
                <c:pt idx="41">
                  <c:v>976</c:v>
                </c:pt>
                <c:pt idx="42">
                  <c:v>1036</c:v>
                </c:pt>
                <c:pt idx="43">
                  <c:v>1059</c:v>
                </c:pt>
                <c:pt idx="44">
                  <c:v>1054</c:v>
                </c:pt>
                <c:pt idx="45">
                  <c:v>993</c:v>
                </c:pt>
                <c:pt idx="46">
                  <c:v>1017</c:v>
                </c:pt>
                <c:pt idx="47">
                  <c:v>1030</c:v>
                </c:pt>
                <c:pt idx="48">
                  <c:v>1085</c:v>
                </c:pt>
                <c:pt idx="49">
                  <c:v>1092</c:v>
                </c:pt>
                <c:pt idx="50">
                  <c:v>1060</c:v>
                </c:pt>
                <c:pt idx="51">
                  <c:v>1122</c:v>
                </c:pt>
                <c:pt idx="52">
                  <c:v>1155</c:v>
                </c:pt>
                <c:pt idx="53">
                  <c:v>1118</c:v>
                </c:pt>
                <c:pt idx="54">
                  <c:v>1033</c:v>
                </c:pt>
                <c:pt idx="55">
                  <c:v>1106</c:v>
                </c:pt>
                <c:pt idx="56">
                  <c:v>1049</c:v>
                </c:pt>
                <c:pt idx="57">
                  <c:v>1059</c:v>
                </c:pt>
                <c:pt idx="58">
                  <c:v>1094</c:v>
                </c:pt>
                <c:pt idx="59">
                  <c:v>1074</c:v>
                </c:pt>
                <c:pt idx="60">
                  <c:v>1050</c:v>
                </c:pt>
                <c:pt idx="61">
                  <c:v>1109</c:v>
                </c:pt>
                <c:pt idx="62">
                  <c:v>1065</c:v>
                </c:pt>
                <c:pt idx="63">
                  <c:v>1017</c:v>
                </c:pt>
                <c:pt idx="64">
                  <c:v>1084</c:v>
                </c:pt>
                <c:pt idx="65">
                  <c:v>1049</c:v>
                </c:pt>
                <c:pt idx="66">
                  <c:v>895</c:v>
                </c:pt>
                <c:pt idx="67">
                  <c:v>1027</c:v>
                </c:pt>
                <c:pt idx="68">
                  <c:v>992</c:v>
                </c:pt>
                <c:pt idx="69">
                  <c:v>1011</c:v>
                </c:pt>
                <c:pt idx="70">
                  <c:v>923</c:v>
                </c:pt>
                <c:pt idx="71">
                  <c:v>920</c:v>
                </c:pt>
                <c:pt idx="72">
                  <c:v>901</c:v>
                </c:pt>
                <c:pt idx="73">
                  <c:v>927</c:v>
                </c:pt>
                <c:pt idx="74">
                  <c:v>906</c:v>
                </c:pt>
                <c:pt idx="75">
                  <c:v>928</c:v>
                </c:pt>
                <c:pt idx="76">
                  <c:v>926</c:v>
                </c:pt>
                <c:pt idx="77">
                  <c:v>955</c:v>
                </c:pt>
                <c:pt idx="78">
                  <c:v>929</c:v>
                </c:pt>
                <c:pt idx="79">
                  <c:v>938</c:v>
                </c:pt>
                <c:pt idx="80">
                  <c:v>908</c:v>
                </c:pt>
                <c:pt idx="81">
                  <c:v>989</c:v>
                </c:pt>
                <c:pt idx="82">
                  <c:v>955</c:v>
                </c:pt>
                <c:pt idx="83">
                  <c:v>892</c:v>
                </c:pt>
                <c:pt idx="84">
                  <c:v>968</c:v>
                </c:pt>
                <c:pt idx="85">
                  <c:v>1024</c:v>
                </c:pt>
                <c:pt idx="86">
                  <c:v>933</c:v>
                </c:pt>
                <c:pt idx="87">
                  <c:v>930</c:v>
                </c:pt>
                <c:pt idx="88">
                  <c:v>924</c:v>
                </c:pt>
                <c:pt idx="89">
                  <c:v>931</c:v>
                </c:pt>
                <c:pt idx="90">
                  <c:v>953</c:v>
                </c:pt>
                <c:pt idx="91">
                  <c:v>970</c:v>
                </c:pt>
                <c:pt idx="92">
                  <c:v>1005</c:v>
                </c:pt>
                <c:pt idx="93">
                  <c:v>939</c:v>
                </c:pt>
                <c:pt idx="94">
                  <c:v>1060</c:v>
                </c:pt>
                <c:pt idx="95">
                  <c:v>1030</c:v>
                </c:pt>
                <c:pt idx="96">
                  <c:v>991</c:v>
                </c:pt>
                <c:pt idx="97">
                  <c:v>1004</c:v>
                </c:pt>
                <c:pt idx="98">
                  <c:v>1048</c:v>
                </c:pt>
                <c:pt idx="99">
                  <c:v>1087</c:v>
                </c:pt>
                <c:pt idx="100">
                  <c:v>1057</c:v>
                </c:pt>
                <c:pt idx="101">
                  <c:v>1090</c:v>
                </c:pt>
                <c:pt idx="102">
                  <c:v>1084</c:v>
                </c:pt>
                <c:pt idx="103">
                  <c:v>1065</c:v>
                </c:pt>
                <c:pt idx="104">
                  <c:v>1174</c:v>
                </c:pt>
                <c:pt idx="105">
                  <c:v>1153</c:v>
                </c:pt>
                <c:pt idx="106">
                  <c:v>1181</c:v>
                </c:pt>
                <c:pt idx="107">
                  <c:v>1148</c:v>
                </c:pt>
                <c:pt idx="108">
                  <c:v>1137</c:v>
                </c:pt>
                <c:pt idx="109">
                  <c:v>1197</c:v>
                </c:pt>
                <c:pt idx="110">
                  <c:v>1218</c:v>
                </c:pt>
                <c:pt idx="111">
                  <c:v>1216</c:v>
                </c:pt>
                <c:pt idx="112">
                  <c:v>1209</c:v>
                </c:pt>
                <c:pt idx="113">
                  <c:v>1146</c:v>
                </c:pt>
                <c:pt idx="114">
                  <c:v>1182</c:v>
                </c:pt>
                <c:pt idx="115">
                  <c:v>1048</c:v>
                </c:pt>
                <c:pt idx="116">
                  <c:v>1121</c:v>
                </c:pt>
                <c:pt idx="117">
                  <c:v>1082</c:v>
                </c:pt>
                <c:pt idx="118">
                  <c:v>1092</c:v>
                </c:pt>
                <c:pt idx="119">
                  <c:v>1018</c:v>
                </c:pt>
                <c:pt idx="120">
                  <c:v>1088</c:v>
                </c:pt>
                <c:pt idx="121">
                  <c:v>987</c:v>
                </c:pt>
                <c:pt idx="122">
                  <c:v>979</c:v>
                </c:pt>
                <c:pt idx="123">
                  <c:v>941</c:v>
                </c:pt>
                <c:pt idx="124">
                  <c:v>921</c:v>
                </c:pt>
                <c:pt idx="125">
                  <c:v>951</c:v>
                </c:pt>
                <c:pt idx="126">
                  <c:v>873</c:v>
                </c:pt>
                <c:pt idx="127">
                  <c:v>985</c:v>
                </c:pt>
                <c:pt idx="128">
                  <c:v>956</c:v>
                </c:pt>
                <c:pt idx="129">
                  <c:v>945</c:v>
                </c:pt>
                <c:pt idx="130">
                  <c:v>903</c:v>
                </c:pt>
                <c:pt idx="131">
                  <c:v>925</c:v>
                </c:pt>
                <c:pt idx="132">
                  <c:v>933</c:v>
                </c:pt>
                <c:pt idx="133">
                  <c:v>957</c:v>
                </c:pt>
                <c:pt idx="134">
                  <c:v>945</c:v>
                </c:pt>
                <c:pt idx="135">
                  <c:v>858</c:v>
                </c:pt>
                <c:pt idx="136">
                  <c:v>949</c:v>
                </c:pt>
                <c:pt idx="137">
                  <c:v>979</c:v>
                </c:pt>
                <c:pt idx="138">
                  <c:v>914</c:v>
                </c:pt>
                <c:pt idx="139">
                  <c:v>955</c:v>
                </c:pt>
                <c:pt idx="140">
                  <c:v>970</c:v>
                </c:pt>
                <c:pt idx="141">
                  <c:v>993</c:v>
                </c:pt>
                <c:pt idx="142">
                  <c:v>979</c:v>
                </c:pt>
                <c:pt idx="143">
                  <c:v>1057</c:v>
                </c:pt>
                <c:pt idx="144">
                  <c:v>1018</c:v>
                </c:pt>
                <c:pt idx="145">
                  <c:v>993</c:v>
                </c:pt>
                <c:pt idx="146">
                  <c:v>1064</c:v>
                </c:pt>
                <c:pt idx="147">
                  <c:v>986</c:v>
                </c:pt>
                <c:pt idx="148">
                  <c:v>994</c:v>
                </c:pt>
                <c:pt idx="149">
                  <c:v>1024</c:v>
                </c:pt>
                <c:pt idx="150">
                  <c:v>1073</c:v>
                </c:pt>
                <c:pt idx="151">
                  <c:v>1067</c:v>
                </c:pt>
                <c:pt idx="152">
                  <c:v>1095</c:v>
                </c:pt>
                <c:pt idx="153">
                  <c:v>1103</c:v>
                </c:pt>
                <c:pt idx="154">
                  <c:v>1094</c:v>
                </c:pt>
                <c:pt idx="155">
                  <c:v>1140</c:v>
                </c:pt>
                <c:pt idx="156">
                  <c:v>1093</c:v>
                </c:pt>
                <c:pt idx="157">
                  <c:v>1238</c:v>
                </c:pt>
                <c:pt idx="158">
                  <c:v>1191</c:v>
                </c:pt>
                <c:pt idx="159">
                  <c:v>1212</c:v>
                </c:pt>
                <c:pt idx="160">
                  <c:v>1223</c:v>
                </c:pt>
                <c:pt idx="161">
                  <c:v>1256</c:v>
                </c:pt>
                <c:pt idx="162">
                  <c:v>1264</c:v>
                </c:pt>
                <c:pt idx="163">
                  <c:v>1230</c:v>
                </c:pt>
                <c:pt idx="164">
                  <c:v>1255</c:v>
                </c:pt>
                <c:pt idx="165">
                  <c:v>1305</c:v>
                </c:pt>
                <c:pt idx="166">
                  <c:v>1227</c:v>
                </c:pt>
                <c:pt idx="167">
                  <c:v>1146</c:v>
                </c:pt>
                <c:pt idx="168">
                  <c:v>1170</c:v>
                </c:pt>
                <c:pt idx="169">
                  <c:v>1132</c:v>
                </c:pt>
                <c:pt idx="170">
                  <c:v>1107</c:v>
                </c:pt>
                <c:pt idx="171">
                  <c:v>1043</c:v>
                </c:pt>
                <c:pt idx="172">
                  <c:v>1054</c:v>
                </c:pt>
                <c:pt idx="173">
                  <c:v>968</c:v>
                </c:pt>
                <c:pt idx="174">
                  <c:v>935</c:v>
                </c:pt>
                <c:pt idx="175">
                  <c:v>981</c:v>
                </c:pt>
                <c:pt idx="176">
                  <c:v>937</c:v>
                </c:pt>
                <c:pt idx="177">
                  <c:v>935</c:v>
                </c:pt>
                <c:pt idx="178">
                  <c:v>986</c:v>
                </c:pt>
                <c:pt idx="179">
                  <c:v>992</c:v>
                </c:pt>
                <c:pt idx="180">
                  <c:v>1002</c:v>
                </c:pt>
                <c:pt idx="181">
                  <c:v>909</c:v>
                </c:pt>
                <c:pt idx="182">
                  <c:v>991</c:v>
                </c:pt>
                <c:pt idx="183">
                  <c:v>924</c:v>
                </c:pt>
                <c:pt idx="184">
                  <c:v>1012</c:v>
                </c:pt>
                <c:pt idx="185">
                  <c:v>1020</c:v>
                </c:pt>
                <c:pt idx="186">
                  <c:v>967</c:v>
                </c:pt>
                <c:pt idx="187">
                  <c:v>910</c:v>
                </c:pt>
                <c:pt idx="188">
                  <c:v>993</c:v>
                </c:pt>
                <c:pt idx="189">
                  <c:v>948</c:v>
                </c:pt>
                <c:pt idx="190">
                  <c:v>975</c:v>
                </c:pt>
                <c:pt idx="191">
                  <c:v>996</c:v>
                </c:pt>
                <c:pt idx="192">
                  <c:v>942</c:v>
                </c:pt>
                <c:pt idx="193">
                  <c:v>992</c:v>
                </c:pt>
                <c:pt idx="194">
                  <c:v>989</c:v>
                </c:pt>
                <c:pt idx="195">
                  <c:v>920</c:v>
                </c:pt>
                <c:pt idx="196">
                  <c:v>980</c:v>
                </c:pt>
                <c:pt idx="197">
                  <c:v>984</c:v>
                </c:pt>
                <c:pt idx="198">
                  <c:v>1024</c:v>
                </c:pt>
                <c:pt idx="199">
                  <c:v>1030</c:v>
                </c:pt>
                <c:pt idx="200">
                  <c:v>1035</c:v>
                </c:pt>
                <c:pt idx="201">
                  <c:v>1007</c:v>
                </c:pt>
                <c:pt idx="202">
                  <c:v>1061</c:v>
                </c:pt>
                <c:pt idx="203">
                  <c:v>1049</c:v>
                </c:pt>
                <c:pt idx="204">
                  <c:v>1128</c:v>
                </c:pt>
                <c:pt idx="205">
                  <c:v>1076</c:v>
                </c:pt>
                <c:pt idx="206">
                  <c:v>1031</c:v>
                </c:pt>
                <c:pt idx="207">
                  <c:v>1106</c:v>
                </c:pt>
                <c:pt idx="208">
                  <c:v>1143</c:v>
                </c:pt>
                <c:pt idx="209">
                  <c:v>1126</c:v>
                </c:pt>
                <c:pt idx="210">
                  <c:v>1097</c:v>
                </c:pt>
                <c:pt idx="211">
                  <c:v>1131</c:v>
                </c:pt>
                <c:pt idx="212">
                  <c:v>1164</c:v>
                </c:pt>
                <c:pt idx="213">
                  <c:v>1108</c:v>
                </c:pt>
                <c:pt idx="214">
                  <c:v>1095</c:v>
                </c:pt>
                <c:pt idx="215">
                  <c:v>1158</c:v>
                </c:pt>
                <c:pt idx="216">
                  <c:v>1160</c:v>
                </c:pt>
                <c:pt idx="217">
                  <c:v>1151</c:v>
                </c:pt>
                <c:pt idx="218">
                  <c:v>1114</c:v>
                </c:pt>
                <c:pt idx="219">
                  <c:v>1114</c:v>
                </c:pt>
                <c:pt idx="220">
                  <c:v>1026</c:v>
                </c:pt>
                <c:pt idx="221">
                  <c:v>1036</c:v>
                </c:pt>
                <c:pt idx="222">
                  <c:v>1035</c:v>
                </c:pt>
                <c:pt idx="223">
                  <c:v>1020</c:v>
                </c:pt>
                <c:pt idx="224">
                  <c:v>980</c:v>
                </c:pt>
                <c:pt idx="225">
                  <c:v>1047</c:v>
                </c:pt>
                <c:pt idx="226">
                  <c:v>1001</c:v>
                </c:pt>
                <c:pt idx="227">
                  <c:v>970</c:v>
                </c:pt>
                <c:pt idx="228">
                  <c:v>983</c:v>
                </c:pt>
                <c:pt idx="229">
                  <c:v>948</c:v>
                </c:pt>
                <c:pt idx="230">
                  <c:v>934</c:v>
                </c:pt>
                <c:pt idx="231">
                  <c:v>1057</c:v>
                </c:pt>
                <c:pt idx="232">
                  <c:v>921</c:v>
                </c:pt>
                <c:pt idx="233">
                  <c:v>916</c:v>
                </c:pt>
                <c:pt idx="234">
                  <c:v>993</c:v>
                </c:pt>
                <c:pt idx="235">
                  <c:v>927</c:v>
                </c:pt>
                <c:pt idx="236">
                  <c:v>1014</c:v>
                </c:pt>
                <c:pt idx="237">
                  <c:v>971</c:v>
                </c:pt>
                <c:pt idx="238">
                  <c:v>1002</c:v>
                </c:pt>
                <c:pt idx="239">
                  <c:v>900</c:v>
                </c:pt>
                <c:pt idx="240">
                  <c:v>965</c:v>
                </c:pt>
                <c:pt idx="241">
                  <c:v>943</c:v>
                </c:pt>
                <c:pt idx="242">
                  <c:v>1014</c:v>
                </c:pt>
                <c:pt idx="243">
                  <c:v>963</c:v>
                </c:pt>
                <c:pt idx="244">
                  <c:v>991</c:v>
                </c:pt>
                <c:pt idx="245">
                  <c:v>958</c:v>
                </c:pt>
                <c:pt idx="246">
                  <c:v>966</c:v>
                </c:pt>
                <c:pt idx="247">
                  <c:v>1022</c:v>
                </c:pt>
                <c:pt idx="248">
                  <c:v>1020</c:v>
                </c:pt>
                <c:pt idx="249">
                  <c:v>1020</c:v>
                </c:pt>
                <c:pt idx="250">
                  <c:v>1086</c:v>
                </c:pt>
                <c:pt idx="251">
                  <c:v>1036</c:v>
                </c:pt>
                <c:pt idx="252">
                  <c:v>1085</c:v>
                </c:pt>
                <c:pt idx="253">
                  <c:v>1092</c:v>
                </c:pt>
                <c:pt idx="254">
                  <c:v>1112</c:v>
                </c:pt>
                <c:pt idx="255">
                  <c:v>1125</c:v>
                </c:pt>
                <c:pt idx="256">
                  <c:v>1100</c:v>
                </c:pt>
                <c:pt idx="257">
                  <c:v>1080</c:v>
                </c:pt>
                <c:pt idx="258">
                  <c:v>1160</c:v>
                </c:pt>
                <c:pt idx="259">
                  <c:v>1155</c:v>
                </c:pt>
                <c:pt idx="260">
                  <c:v>1210</c:v>
                </c:pt>
                <c:pt idx="261">
                  <c:v>1293</c:v>
                </c:pt>
                <c:pt idx="262">
                  <c:v>1313</c:v>
                </c:pt>
                <c:pt idx="263">
                  <c:v>1299</c:v>
                </c:pt>
                <c:pt idx="264">
                  <c:v>1378</c:v>
                </c:pt>
                <c:pt idx="265">
                  <c:v>1468</c:v>
                </c:pt>
                <c:pt idx="266">
                  <c:v>1572</c:v>
                </c:pt>
                <c:pt idx="267">
                  <c:v>1548</c:v>
                </c:pt>
                <c:pt idx="268">
                  <c:v>1527</c:v>
                </c:pt>
                <c:pt idx="269">
                  <c:v>1359</c:v>
                </c:pt>
                <c:pt idx="270">
                  <c:v>1359</c:v>
                </c:pt>
                <c:pt idx="271">
                  <c:v>1237</c:v>
                </c:pt>
                <c:pt idx="272">
                  <c:v>1112</c:v>
                </c:pt>
                <c:pt idx="273">
                  <c:v>1104</c:v>
                </c:pt>
                <c:pt idx="274">
                  <c:v>1059</c:v>
                </c:pt>
                <c:pt idx="275">
                  <c:v>1106</c:v>
                </c:pt>
                <c:pt idx="276">
                  <c:v>1043</c:v>
                </c:pt>
                <c:pt idx="277">
                  <c:v>1105</c:v>
                </c:pt>
                <c:pt idx="278">
                  <c:v>970</c:v>
                </c:pt>
                <c:pt idx="279">
                  <c:v>957</c:v>
                </c:pt>
                <c:pt idx="280">
                  <c:v>950</c:v>
                </c:pt>
                <c:pt idx="281">
                  <c:v>921</c:v>
                </c:pt>
                <c:pt idx="282">
                  <c:v>994</c:v>
                </c:pt>
                <c:pt idx="283">
                  <c:v>982</c:v>
                </c:pt>
                <c:pt idx="284">
                  <c:v>923</c:v>
                </c:pt>
                <c:pt idx="285">
                  <c:v>983</c:v>
                </c:pt>
                <c:pt idx="286">
                  <c:v>1098</c:v>
                </c:pt>
                <c:pt idx="287">
                  <c:v>1157</c:v>
                </c:pt>
                <c:pt idx="288">
                  <c:v>1077</c:v>
                </c:pt>
                <c:pt idx="289">
                  <c:v>994</c:v>
                </c:pt>
                <c:pt idx="290">
                  <c:v>957</c:v>
                </c:pt>
                <c:pt idx="291">
                  <c:v>1018</c:v>
                </c:pt>
                <c:pt idx="292">
                  <c:v>1015</c:v>
                </c:pt>
                <c:pt idx="293">
                  <c:v>967</c:v>
                </c:pt>
                <c:pt idx="294">
                  <c:v>990</c:v>
                </c:pt>
                <c:pt idx="295">
                  <c:v>980</c:v>
                </c:pt>
                <c:pt idx="296">
                  <c:v>991</c:v>
                </c:pt>
                <c:pt idx="297">
                  <c:v>952</c:v>
                </c:pt>
                <c:pt idx="298">
                  <c:v>1027</c:v>
                </c:pt>
                <c:pt idx="299">
                  <c:v>1031</c:v>
                </c:pt>
                <c:pt idx="300">
                  <c:v>999</c:v>
                </c:pt>
                <c:pt idx="301">
                  <c:v>1039</c:v>
                </c:pt>
                <c:pt idx="302">
                  <c:v>1026</c:v>
                </c:pt>
                <c:pt idx="303">
                  <c:v>1093</c:v>
                </c:pt>
                <c:pt idx="304">
                  <c:v>994</c:v>
                </c:pt>
                <c:pt idx="305">
                  <c:v>1007</c:v>
                </c:pt>
                <c:pt idx="306">
                  <c:v>1066</c:v>
                </c:pt>
                <c:pt idx="307">
                  <c:v>1084</c:v>
                </c:pt>
                <c:pt idx="308">
                  <c:v>1111</c:v>
                </c:pt>
                <c:pt idx="309">
                  <c:v>1034</c:v>
                </c:pt>
                <c:pt idx="310">
                  <c:v>1022</c:v>
                </c:pt>
                <c:pt idx="311">
                  <c:v>1099</c:v>
                </c:pt>
                <c:pt idx="312">
                  <c:v>1126</c:v>
                </c:pt>
                <c:pt idx="313">
                  <c:v>1146</c:v>
                </c:pt>
                <c:pt idx="314">
                  <c:v>1090</c:v>
                </c:pt>
                <c:pt idx="315">
                  <c:v>1134</c:v>
                </c:pt>
                <c:pt idx="316">
                  <c:v>1151</c:v>
                </c:pt>
                <c:pt idx="317">
                  <c:v>1138</c:v>
                </c:pt>
                <c:pt idx="318">
                  <c:v>1145</c:v>
                </c:pt>
                <c:pt idx="319">
                  <c:v>1124</c:v>
                </c:pt>
                <c:pt idx="320">
                  <c:v>1181</c:v>
                </c:pt>
                <c:pt idx="321">
                  <c:v>1137</c:v>
                </c:pt>
                <c:pt idx="322">
                  <c:v>1151</c:v>
                </c:pt>
                <c:pt idx="323">
                  <c:v>1102</c:v>
                </c:pt>
                <c:pt idx="324">
                  <c:v>1100</c:v>
                </c:pt>
                <c:pt idx="325">
                  <c:v>1093</c:v>
                </c:pt>
                <c:pt idx="326">
                  <c:v>1091</c:v>
                </c:pt>
                <c:pt idx="327">
                  <c:v>1059</c:v>
                </c:pt>
                <c:pt idx="328">
                  <c:v>962</c:v>
                </c:pt>
                <c:pt idx="329">
                  <c:v>1013</c:v>
                </c:pt>
                <c:pt idx="330">
                  <c:v>987</c:v>
                </c:pt>
                <c:pt idx="331">
                  <c:v>964</c:v>
                </c:pt>
                <c:pt idx="332">
                  <c:v>1003</c:v>
                </c:pt>
                <c:pt idx="333">
                  <c:v>1071</c:v>
                </c:pt>
                <c:pt idx="334">
                  <c:v>989</c:v>
                </c:pt>
                <c:pt idx="335">
                  <c:v>928</c:v>
                </c:pt>
                <c:pt idx="336">
                  <c:v>929</c:v>
                </c:pt>
                <c:pt idx="337">
                  <c:v>1057</c:v>
                </c:pt>
                <c:pt idx="338">
                  <c:v>990</c:v>
                </c:pt>
                <c:pt idx="339">
                  <c:v>928</c:v>
                </c:pt>
                <c:pt idx="340">
                  <c:v>985</c:v>
                </c:pt>
                <c:pt idx="341">
                  <c:v>1053</c:v>
                </c:pt>
                <c:pt idx="342">
                  <c:v>999</c:v>
                </c:pt>
                <c:pt idx="343">
                  <c:v>902</c:v>
                </c:pt>
                <c:pt idx="344">
                  <c:v>959</c:v>
                </c:pt>
                <c:pt idx="345">
                  <c:v>1006</c:v>
                </c:pt>
                <c:pt idx="346">
                  <c:v>979</c:v>
                </c:pt>
                <c:pt idx="347">
                  <c:v>958</c:v>
                </c:pt>
                <c:pt idx="348">
                  <c:v>987</c:v>
                </c:pt>
                <c:pt idx="349">
                  <c:v>943</c:v>
                </c:pt>
                <c:pt idx="350">
                  <c:v>998</c:v>
                </c:pt>
                <c:pt idx="351">
                  <c:v>1024</c:v>
                </c:pt>
                <c:pt idx="352">
                  <c:v>1082</c:v>
                </c:pt>
                <c:pt idx="353">
                  <c:v>1085</c:v>
                </c:pt>
                <c:pt idx="354">
                  <c:v>1109</c:v>
                </c:pt>
                <c:pt idx="355">
                  <c:v>1054</c:v>
                </c:pt>
                <c:pt idx="356">
                  <c:v>1124</c:v>
                </c:pt>
                <c:pt idx="357">
                  <c:v>1108</c:v>
                </c:pt>
                <c:pt idx="358">
                  <c:v>1176</c:v>
                </c:pt>
                <c:pt idx="359">
                  <c:v>1050</c:v>
                </c:pt>
                <c:pt idx="360">
                  <c:v>1144</c:v>
                </c:pt>
                <c:pt idx="361">
                  <c:v>1125</c:v>
                </c:pt>
                <c:pt idx="362">
                  <c:v>1129</c:v>
                </c:pt>
                <c:pt idx="363">
                  <c:v>1247</c:v>
                </c:pt>
                <c:pt idx="364">
                  <c:v>1404</c:v>
                </c:pt>
                <c:pt idx="365">
                  <c:v>1499</c:v>
                </c:pt>
                <c:pt idx="366">
                  <c:v>1537</c:v>
                </c:pt>
                <c:pt idx="367">
                  <c:v>1549</c:v>
                </c:pt>
                <c:pt idx="368">
                  <c:v>1472</c:v>
                </c:pt>
                <c:pt idx="369">
                  <c:v>1377</c:v>
                </c:pt>
                <c:pt idx="370">
                  <c:v>1405</c:v>
                </c:pt>
                <c:pt idx="371">
                  <c:v>1222</c:v>
                </c:pt>
                <c:pt idx="372">
                  <c:v>1199</c:v>
                </c:pt>
                <c:pt idx="373">
                  <c:v>1204</c:v>
                </c:pt>
                <c:pt idx="374">
                  <c:v>1136</c:v>
                </c:pt>
                <c:pt idx="375">
                  <c:v>1070</c:v>
                </c:pt>
                <c:pt idx="376">
                  <c:v>1061</c:v>
                </c:pt>
                <c:pt idx="377">
                  <c:v>1002</c:v>
                </c:pt>
                <c:pt idx="378">
                  <c:v>1055</c:v>
                </c:pt>
                <c:pt idx="379">
                  <c:v>1022</c:v>
                </c:pt>
                <c:pt idx="380">
                  <c:v>1005</c:v>
                </c:pt>
                <c:pt idx="381">
                  <c:v>1052</c:v>
                </c:pt>
                <c:pt idx="382">
                  <c:v>1035</c:v>
                </c:pt>
                <c:pt idx="383">
                  <c:v>1023</c:v>
                </c:pt>
                <c:pt idx="384">
                  <c:v>1029</c:v>
                </c:pt>
                <c:pt idx="385">
                  <c:v>1012</c:v>
                </c:pt>
                <c:pt idx="386">
                  <c:v>951</c:v>
                </c:pt>
                <c:pt idx="387">
                  <c:v>920</c:v>
                </c:pt>
                <c:pt idx="388">
                  <c:v>960</c:v>
                </c:pt>
                <c:pt idx="389">
                  <c:v>1028</c:v>
                </c:pt>
                <c:pt idx="390">
                  <c:v>991</c:v>
                </c:pt>
                <c:pt idx="391">
                  <c:v>993</c:v>
                </c:pt>
                <c:pt idx="392">
                  <c:v>922</c:v>
                </c:pt>
                <c:pt idx="393">
                  <c:v>968</c:v>
                </c:pt>
                <c:pt idx="394">
                  <c:v>947</c:v>
                </c:pt>
                <c:pt idx="395">
                  <c:v>1011</c:v>
                </c:pt>
                <c:pt idx="396">
                  <c:v>944</c:v>
                </c:pt>
                <c:pt idx="397">
                  <c:v>972</c:v>
                </c:pt>
                <c:pt idx="398">
                  <c:v>990</c:v>
                </c:pt>
                <c:pt idx="399">
                  <c:v>984</c:v>
                </c:pt>
                <c:pt idx="400">
                  <c:v>960</c:v>
                </c:pt>
                <c:pt idx="401">
                  <c:v>989</c:v>
                </c:pt>
                <c:pt idx="402">
                  <c:v>1072</c:v>
                </c:pt>
                <c:pt idx="403">
                  <c:v>1059</c:v>
                </c:pt>
                <c:pt idx="404">
                  <c:v>1104</c:v>
                </c:pt>
                <c:pt idx="405">
                  <c:v>1087</c:v>
                </c:pt>
                <c:pt idx="406">
                  <c:v>1023</c:v>
                </c:pt>
                <c:pt idx="407">
                  <c:v>1050</c:v>
                </c:pt>
                <c:pt idx="408">
                  <c:v>967</c:v>
                </c:pt>
                <c:pt idx="409">
                  <c:v>1100</c:v>
                </c:pt>
                <c:pt idx="410">
                  <c:v>1055</c:v>
                </c:pt>
                <c:pt idx="411">
                  <c:v>1139</c:v>
                </c:pt>
                <c:pt idx="412">
                  <c:v>1177</c:v>
                </c:pt>
                <c:pt idx="413">
                  <c:v>1196</c:v>
                </c:pt>
                <c:pt idx="414">
                  <c:v>1165</c:v>
                </c:pt>
                <c:pt idx="415">
                  <c:v>1270</c:v>
                </c:pt>
                <c:pt idx="416">
                  <c:v>1159</c:v>
                </c:pt>
                <c:pt idx="417">
                  <c:v>1355</c:v>
                </c:pt>
                <c:pt idx="418">
                  <c:v>1352</c:v>
                </c:pt>
                <c:pt idx="419">
                  <c:v>1300</c:v>
                </c:pt>
                <c:pt idx="420">
                  <c:v>1189</c:v>
                </c:pt>
                <c:pt idx="421">
                  <c:v>1231</c:v>
                </c:pt>
                <c:pt idx="422">
                  <c:v>1241</c:v>
                </c:pt>
                <c:pt idx="423">
                  <c:v>1254</c:v>
                </c:pt>
                <c:pt idx="424">
                  <c:v>1275</c:v>
                </c:pt>
                <c:pt idx="425">
                  <c:v>1412</c:v>
                </c:pt>
                <c:pt idx="426">
                  <c:v>1322</c:v>
                </c:pt>
                <c:pt idx="427">
                  <c:v>1302</c:v>
                </c:pt>
                <c:pt idx="428">
                  <c:v>1211</c:v>
                </c:pt>
                <c:pt idx="429">
                  <c:v>1168</c:v>
                </c:pt>
                <c:pt idx="430">
                  <c:v>1163</c:v>
                </c:pt>
                <c:pt idx="431">
                  <c:v>1118</c:v>
                </c:pt>
                <c:pt idx="432">
                  <c:v>1033</c:v>
                </c:pt>
                <c:pt idx="433">
                  <c:v>967</c:v>
                </c:pt>
                <c:pt idx="434">
                  <c:v>1064</c:v>
                </c:pt>
                <c:pt idx="435">
                  <c:v>1022</c:v>
                </c:pt>
                <c:pt idx="436">
                  <c:v>932</c:v>
                </c:pt>
                <c:pt idx="437">
                  <c:v>1044</c:v>
                </c:pt>
                <c:pt idx="438">
                  <c:v>989</c:v>
                </c:pt>
                <c:pt idx="439">
                  <c:v>984</c:v>
                </c:pt>
                <c:pt idx="440">
                  <c:v>962</c:v>
                </c:pt>
                <c:pt idx="441">
                  <c:v>938</c:v>
                </c:pt>
                <c:pt idx="442">
                  <c:v>1018</c:v>
                </c:pt>
                <c:pt idx="443">
                  <c:v>973</c:v>
                </c:pt>
                <c:pt idx="444">
                  <c:v>918</c:v>
                </c:pt>
                <c:pt idx="445">
                  <c:v>1045</c:v>
                </c:pt>
                <c:pt idx="446">
                  <c:v>1029</c:v>
                </c:pt>
                <c:pt idx="447">
                  <c:v>1056</c:v>
                </c:pt>
                <c:pt idx="448">
                  <c:v>1053</c:v>
                </c:pt>
                <c:pt idx="449">
                  <c:v>1006</c:v>
                </c:pt>
                <c:pt idx="450">
                  <c:v>985</c:v>
                </c:pt>
                <c:pt idx="451">
                  <c:v>1024</c:v>
                </c:pt>
                <c:pt idx="452">
                  <c:v>986</c:v>
                </c:pt>
                <c:pt idx="453">
                  <c:v>1052</c:v>
                </c:pt>
                <c:pt idx="454">
                  <c:v>989</c:v>
                </c:pt>
                <c:pt idx="455">
                  <c:v>1021</c:v>
                </c:pt>
                <c:pt idx="456">
                  <c:v>1042</c:v>
                </c:pt>
                <c:pt idx="457">
                  <c:v>1046</c:v>
                </c:pt>
                <c:pt idx="458">
                  <c:v>1050</c:v>
                </c:pt>
                <c:pt idx="459">
                  <c:v>1083</c:v>
                </c:pt>
                <c:pt idx="460">
                  <c:v>1106</c:v>
                </c:pt>
                <c:pt idx="461">
                  <c:v>1084</c:v>
                </c:pt>
                <c:pt idx="462">
                  <c:v>1037</c:v>
                </c:pt>
                <c:pt idx="463">
                  <c:v>1103</c:v>
                </c:pt>
                <c:pt idx="464">
                  <c:v>1125</c:v>
                </c:pt>
                <c:pt idx="465">
                  <c:v>1172</c:v>
                </c:pt>
                <c:pt idx="466">
                  <c:v>1166</c:v>
                </c:pt>
                <c:pt idx="467">
                  <c:v>1122</c:v>
                </c:pt>
                <c:pt idx="468">
                  <c:v>1152</c:v>
                </c:pt>
                <c:pt idx="469">
                  <c:v>1174</c:v>
                </c:pt>
                <c:pt idx="470">
                  <c:v>1199</c:v>
                </c:pt>
                <c:pt idx="471">
                  <c:v>1170</c:v>
                </c:pt>
                <c:pt idx="472">
                  <c:v>1219</c:v>
                </c:pt>
                <c:pt idx="473">
                  <c:v>1255</c:v>
                </c:pt>
                <c:pt idx="474">
                  <c:v>1308</c:v>
                </c:pt>
                <c:pt idx="475">
                  <c:v>1373</c:v>
                </c:pt>
                <c:pt idx="476">
                  <c:v>1354</c:v>
                </c:pt>
                <c:pt idx="477">
                  <c:v>1334</c:v>
                </c:pt>
                <c:pt idx="478">
                  <c:v>1269</c:v>
                </c:pt>
                <c:pt idx="479">
                  <c:v>1223</c:v>
                </c:pt>
                <c:pt idx="480">
                  <c:v>1159</c:v>
                </c:pt>
                <c:pt idx="481">
                  <c:v>1124</c:v>
                </c:pt>
                <c:pt idx="482">
                  <c:v>1199</c:v>
                </c:pt>
                <c:pt idx="483">
                  <c:v>1070</c:v>
                </c:pt>
                <c:pt idx="484">
                  <c:v>1121</c:v>
                </c:pt>
                <c:pt idx="485">
                  <c:v>1076</c:v>
                </c:pt>
                <c:pt idx="486">
                  <c:v>1103</c:v>
                </c:pt>
                <c:pt idx="487">
                  <c:v>1060</c:v>
                </c:pt>
                <c:pt idx="488">
                  <c:v>1038</c:v>
                </c:pt>
                <c:pt idx="489">
                  <c:v>1080</c:v>
                </c:pt>
                <c:pt idx="490">
                  <c:v>1073</c:v>
                </c:pt>
                <c:pt idx="491">
                  <c:v>1077</c:v>
                </c:pt>
                <c:pt idx="492">
                  <c:v>984</c:v>
                </c:pt>
                <c:pt idx="493">
                  <c:v>1020</c:v>
                </c:pt>
                <c:pt idx="494">
                  <c:v>1069</c:v>
                </c:pt>
                <c:pt idx="495">
                  <c:v>1071</c:v>
                </c:pt>
                <c:pt idx="496">
                  <c:v>1052</c:v>
                </c:pt>
                <c:pt idx="497">
                  <c:v>1033</c:v>
                </c:pt>
                <c:pt idx="498">
                  <c:v>1101</c:v>
                </c:pt>
                <c:pt idx="499">
                  <c:v>972</c:v>
                </c:pt>
                <c:pt idx="500">
                  <c:v>971</c:v>
                </c:pt>
                <c:pt idx="501">
                  <c:v>988</c:v>
                </c:pt>
                <c:pt idx="502">
                  <c:v>1069</c:v>
                </c:pt>
                <c:pt idx="503">
                  <c:v>1001</c:v>
                </c:pt>
                <c:pt idx="504">
                  <c:v>1018</c:v>
                </c:pt>
                <c:pt idx="505">
                  <c:v>1066</c:v>
                </c:pt>
                <c:pt idx="506">
                  <c:v>1100</c:v>
                </c:pt>
                <c:pt idx="507">
                  <c:v>1062</c:v>
                </c:pt>
                <c:pt idx="508">
                  <c:v>1050</c:v>
                </c:pt>
                <c:pt idx="509">
                  <c:v>1088</c:v>
                </c:pt>
                <c:pt idx="510">
                  <c:v>1108</c:v>
                </c:pt>
                <c:pt idx="511">
                  <c:v>1133</c:v>
                </c:pt>
                <c:pt idx="512">
                  <c:v>1060</c:v>
                </c:pt>
                <c:pt idx="513">
                  <c:v>1118</c:v>
                </c:pt>
                <c:pt idx="514">
                  <c:v>1192</c:v>
                </c:pt>
                <c:pt idx="515">
                  <c:v>1168</c:v>
                </c:pt>
                <c:pt idx="516">
                  <c:v>1183</c:v>
                </c:pt>
                <c:pt idx="517">
                  <c:v>1057</c:v>
                </c:pt>
                <c:pt idx="518">
                  <c:v>1189</c:v>
                </c:pt>
                <c:pt idx="519">
                  <c:v>1200</c:v>
                </c:pt>
                <c:pt idx="520">
                  <c:v>1157</c:v>
                </c:pt>
              </c:numCache>
            </c:numRef>
          </c:val>
          <c:smooth val="0"/>
          <c:extLst>
            <c:ext xmlns:c16="http://schemas.microsoft.com/office/drawing/2014/chart" uri="{C3380CC4-5D6E-409C-BE32-E72D297353CC}">
              <c16:uniqueId val="{00000001-7234-497A-9674-CB9AF3A57D24}"/>
            </c:ext>
          </c:extLst>
        </c:ser>
        <c:ser>
          <c:idx val="2"/>
          <c:order val="2"/>
          <c:tx>
            <c:strRef>
              <c:f>'pivot_Sterblichkeit_2010-2019'!$D$3:$D$5</c:f>
              <c:strCache>
                <c:ptCount val="1"/>
                <c:pt idx="0">
                  <c:v>Erwartungen - 0-64</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'pivot_Sterblichkeit_2010-2019'!$D$6:$D$527</c:f>
              <c:numCache>
                <c:formatCode>General</c:formatCode>
                <c:ptCount val="521"/>
                <c:pt idx="0">
                  <c:v>195</c:v>
                </c:pt>
                <c:pt idx="1">
                  <c:v>195</c:v>
                </c:pt>
                <c:pt idx="2">
                  <c:v>194</c:v>
                </c:pt>
                <c:pt idx="3">
                  <c:v>194</c:v>
                </c:pt>
                <c:pt idx="4">
                  <c:v>193</c:v>
                </c:pt>
                <c:pt idx="5">
                  <c:v>192</c:v>
                </c:pt>
                <c:pt idx="6">
                  <c:v>192</c:v>
                </c:pt>
                <c:pt idx="7">
                  <c:v>191</c:v>
                </c:pt>
                <c:pt idx="8">
                  <c:v>190</c:v>
                </c:pt>
                <c:pt idx="9">
                  <c:v>190</c:v>
                </c:pt>
                <c:pt idx="10">
                  <c:v>189</c:v>
                </c:pt>
                <c:pt idx="11">
                  <c:v>189</c:v>
                </c:pt>
                <c:pt idx="12">
                  <c:v>188</c:v>
                </c:pt>
                <c:pt idx="13">
                  <c:v>187</c:v>
                </c:pt>
                <c:pt idx="14">
                  <c:v>187</c:v>
                </c:pt>
                <c:pt idx="15">
                  <c:v>186</c:v>
                </c:pt>
                <c:pt idx="16">
                  <c:v>185</c:v>
                </c:pt>
                <c:pt idx="17">
                  <c:v>185</c:v>
                </c:pt>
                <c:pt idx="18">
                  <c:v>184</c:v>
                </c:pt>
                <c:pt idx="19">
                  <c:v>183</c:v>
                </c:pt>
                <c:pt idx="20">
                  <c:v>183</c:v>
                </c:pt>
                <c:pt idx="21">
                  <c:v>182</c:v>
                </c:pt>
                <c:pt idx="22">
                  <c:v>182</c:v>
                </c:pt>
                <c:pt idx="23">
                  <c:v>182</c:v>
                </c:pt>
                <c:pt idx="24">
                  <c:v>182</c:v>
                </c:pt>
                <c:pt idx="25">
                  <c:v>181</c:v>
                </c:pt>
                <c:pt idx="26">
                  <c:v>181</c:v>
                </c:pt>
                <c:pt idx="27">
                  <c:v>181</c:v>
                </c:pt>
                <c:pt idx="28">
                  <c:v>181</c:v>
                </c:pt>
                <c:pt idx="29">
                  <c:v>181</c:v>
                </c:pt>
                <c:pt idx="30">
                  <c:v>181</c:v>
                </c:pt>
                <c:pt idx="31">
                  <c:v>181</c:v>
                </c:pt>
                <c:pt idx="32">
                  <c:v>181</c:v>
                </c:pt>
                <c:pt idx="33">
                  <c:v>182</c:v>
                </c:pt>
                <c:pt idx="34">
                  <c:v>182</c:v>
                </c:pt>
                <c:pt idx="35">
                  <c:v>182</c:v>
                </c:pt>
                <c:pt idx="36">
                  <c:v>182</c:v>
                </c:pt>
                <c:pt idx="37">
                  <c:v>182</c:v>
                </c:pt>
                <c:pt idx="38">
                  <c:v>182</c:v>
                </c:pt>
                <c:pt idx="39">
                  <c:v>183</c:v>
                </c:pt>
                <c:pt idx="40">
                  <c:v>183</c:v>
                </c:pt>
                <c:pt idx="41">
                  <c:v>183</c:v>
                </c:pt>
                <c:pt idx="42">
                  <c:v>183</c:v>
                </c:pt>
                <c:pt idx="43">
                  <c:v>183</c:v>
                </c:pt>
                <c:pt idx="44">
                  <c:v>183</c:v>
                </c:pt>
                <c:pt idx="45">
                  <c:v>183</c:v>
                </c:pt>
                <c:pt idx="46">
                  <c:v>183</c:v>
                </c:pt>
                <c:pt idx="47">
                  <c:v>183</c:v>
                </c:pt>
                <c:pt idx="48">
                  <c:v>184</c:v>
                </c:pt>
                <c:pt idx="49">
                  <c:v>184</c:v>
                </c:pt>
                <c:pt idx="50">
                  <c:v>184</c:v>
                </c:pt>
                <c:pt idx="51">
                  <c:v>184</c:v>
                </c:pt>
                <c:pt idx="52">
                  <c:v>193</c:v>
                </c:pt>
                <c:pt idx="53">
                  <c:v>193</c:v>
                </c:pt>
                <c:pt idx="54">
                  <c:v>192</c:v>
                </c:pt>
                <c:pt idx="55">
                  <c:v>191</c:v>
                </c:pt>
                <c:pt idx="56">
                  <c:v>191</c:v>
                </c:pt>
                <c:pt idx="57">
                  <c:v>190</c:v>
                </c:pt>
                <c:pt idx="58">
                  <c:v>190</c:v>
                </c:pt>
                <c:pt idx="59">
                  <c:v>189</c:v>
                </c:pt>
                <c:pt idx="60">
                  <c:v>189</c:v>
                </c:pt>
                <c:pt idx="61">
                  <c:v>188</c:v>
                </c:pt>
                <c:pt idx="62">
                  <c:v>187</c:v>
                </c:pt>
                <c:pt idx="63">
                  <c:v>187</c:v>
                </c:pt>
                <c:pt idx="64">
                  <c:v>186</c:v>
                </c:pt>
                <c:pt idx="65">
                  <c:v>186</c:v>
                </c:pt>
                <c:pt idx="66">
                  <c:v>185</c:v>
                </c:pt>
                <c:pt idx="67">
                  <c:v>184</c:v>
                </c:pt>
                <c:pt idx="68">
                  <c:v>184</c:v>
                </c:pt>
                <c:pt idx="69">
                  <c:v>183</c:v>
                </c:pt>
                <c:pt idx="70">
                  <c:v>182</c:v>
                </c:pt>
                <c:pt idx="71">
                  <c:v>181</c:v>
                </c:pt>
                <c:pt idx="72">
                  <c:v>181</c:v>
                </c:pt>
                <c:pt idx="73">
                  <c:v>180</c:v>
                </c:pt>
                <c:pt idx="74">
                  <c:v>180</c:v>
                </c:pt>
                <c:pt idx="75">
                  <c:v>179</c:v>
                </c:pt>
                <c:pt idx="76">
                  <c:v>179</c:v>
                </c:pt>
                <c:pt idx="77">
                  <c:v>179</c:v>
                </c:pt>
                <c:pt idx="78">
                  <c:v>178</c:v>
                </c:pt>
                <c:pt idx="79">
                  <c:v>178</c:v>
                </c:pt>
                <c:pt idx="80">
                  <c:v>178</c:v>
                </c:pt>
                <c:pt idx="81">
                  <c:v>178</c:v>
                </c:pt>
                <c:pt idx="82">
                  <c:v>178</c:v>
                </c:pt>
                <c:pt idx="83">
                  <c:v>178</c:v>
                </c:pt>
                <c:pt idx="84">
                  <c:v>178</c:v>
                </c:pt>
                <c:pt idx="85">
                  <c:v>178</c:v>
                </c:pt>
                <c:pt idx="86">
                  <c:v>178</c:v>
                </c:pt>
                <c:pt idx="87">
                  <c:v>179</c:v>
                </c:pt>
                <c:pt idx="88">
                  <c:v>179</c:v>
                </c:pt>
                <c:pt idx="89">
                  <c:v>179</c:v>
                </c:pt>
                <c:pt idx="90">
                  <c:v>179</c:v>
                </c:pt>
                <c:pt idx="91">
                  <c:v>180</c:v>
                </c:pt>
                <c:pt idx="92">
                  <c:v>180</c:v>
                </c:pt>
                <c:pt idx="93">
                  <c:v>180</c:v>
                </c:pt>
                <c:pt idx="94">
                  <c:v>180</c:v>
                </c:pt>
                <c:pt idx="95">
                  <c:v>181</c:v>
                </c:pt>
                <c:pt idx="96">
                  <c:v>181</c:v>
                </c:pt>
                <c:pt idx="97">
                  <c:v>181</c:v>
                </c:pt>
                <c:pt idx="98">
                  <c:v>181</c:v>
                </c:pt>
                <c:pt idx="99">
                  <c:v>182</c:v>
                </c:pt>
                <c:pt idx="100">
                  <c:v>182</c:v>
                </c:pt>
                <c:pt idx="101">
                  <c:v>182</c:v>
                </c:pt>
                <c:pt idx="102">
                  <c:v>182</c:v>
                </c:pt>
                <c:pt idx="103">
                  <c:v>182</c:v>
                </c:pt>
                <c:pt idx="104">
                  <c:v>188</c:v>
                </c:pt>
                <c:pt idx="105">
                  <c:v>187</c:v>
                </c:pt>
                <c:pt idx="106">
                  <c:v>186</c:v>
                </c:pt>
                <c:pt idx="107">
                  <c:v>186</c:v>
                </c:pt>
                <c:pt idx="108">
                  <c:v>185</c:v>
                </c:pt>
                <c:pt idx="109">
                  <c:v>185</c:v>
                </c:pt>
                <c:pt idx="110">
                  <c:v>184</c:v>
                </c:pt>
                <c:pt idx="111">
                  <c:v>184</c:v>
                </c:pt>
                <c:pt idx="112">
                  <c:v>183</c:v>
                </c:pt>
                <c:pt idx="113">
                  <c:v>182</c:v>
                </c:pt>
                <c:pt idx="114">
                  <c:v>182</c:v>
                </c:pt>
                <c:pt idx="115">
                  <c:v>181</c:v>
                </c:pt>
                <c:pt idx="116">
                  <c:v>181</c:v>
                </c:pt>
                <c:pt idx="117">
                  <c:v>180</c:v>
                </c:pt>
                <c:pt idx="118">
                  <c:v>179</c:v>
                </c:pt>
                <c:pt idx="119">
                  <c:v>179</c:v>
                </c:pt>
                <c:pt idx="120">
                  <c:v>178</c:v>
                </c:pt>
                <c:pt idx="121">
                  <c:v>178</c:v>
                </c:pt>
                <c:pt idx="122">
                  <c:v>177</c:v>
                </c:pt>
                <c:pt idx="123">
                  <c:v>176</c:v>
                </c:pt>
                <c:pt idx="124">
                  <c:v>176</c:v>
                </c:pt>
                <c:pt idx="125">
                  <c:v>175</c:v>
                </c:pt>
                <c:pt idx="126">
                  <c:v>175</c:v>
                </c:pt>
                <c:pt idx="127">
                  <c:v>175</c:v>
                </c:pt>
                <c:pt idx="128">
                  <c:v>174</c:v>
                </c:pt>
                <c:pt idx="129">
                  <c:v>174</c:v>
                </c:pt>
                <c:pt idx="130">
                  <c:v>174</c:v>
                </c:pt>
                <c:pt idx="131">
                  <c:v>174</c:v>
                </c:pt>
                <c:pt idx="132">
                  <c:v>173</c:v>
                </c:pt>
                <c:pt idx="133">
                  <c:v>173</c:v>
                </c:pt>
                <c:pt idx="134">
                  <c:v>173</c:v>
                </c:pt>
                <c:pt idx="135">
                  <c:v>173</c:v>
                </c:pt>
                <c:pt idx="136">
                  <c:v>173</c:v>
                </c:pt>
                <c:pt idx="137">
                  <c:v>173</c:v>
                </c:pt>
                <c:pt idx="138">
                  <c:v>174</c:v>
                </c:pt>
                <c:pt idx="139">
                  <c:v>174</c:v>
                </c:pt>
                <c:pt idx="140">
                  <c:v>174</c:v>
                </c:pt>
                <c:pt idx="141">
                  <c:v>174</c:v>
                </c:pt>
                <c:pt idx="142">
                  <c:v>175</c:v>
                </c:pt>
                <c:pt idx="143">
                  <c:v>175</c:v>
                </c:pt>
                <c:pt idx="144">
                  <c:v>175</c:v>
                </c:pt>
                <c:pt idx="145">
                  <c:v>175</c:v>
                </c:pt>
                <c:pt idx="146">
                  <c:v>176</c:v>
                </c:pt>
                <c:pt idx="147">
                  <c:v>176</c:v>
                </c:pt>
                <c:pt idx="148">
                  <c:v>176</c:v>
                </c:pt>
                <c:pt idx="149">
                  <c:v>177</c:v>
                </c:pt>
                <c:pt idx="150">
                  <c:v>177</c:v>
                </c:pt>
                <c:pt idx="151">
                  <c:v>177</c:v>
                </c:pt>
                <c:pt idx="152">
                  <c:v>177</c:v>
                </c:pt>
                <c:pt idx="153">
                  <c:v>178</c:v>
                </c:pt>
                <c:pt idx="154">
                  <c:v>178</c:v>
                </c:pt>
                <c:pt idx="155">
                  <c:v>178</c:v>
                </c:pt>
                <c:pt idx="156">
                  <c:v>185</c:v>
                </c:pt>
                <c:pt idx="157">
                  <c:v>185</c:v>
                </c:pt>
                <c:pt idx="158">
                  <c:v>184</c:v>
                </c:pt>
                <c:pt idx="159">
                  <c:v>184</c:v>
                </c:pt>
                <c:pt idx="160">
                  <c:v>183</c:v>
                </c:pt>
                <c:pt idx="161">
                  <c:v>182</c:v>
                </c:pt>
                <c:pt idx="162">
                  <c:v>182</c:v>
                </c:pt>
                <c:pt idx="163">
                  <c:v>181</c:v>
                </c:pt>
                <c:pt idx="164">
                  <c:v>181</c:v>
                </c:pt>
                <c:pt idx="165">
                  <c:v>180</c:v>
                </c:pt>
                <c:pt idx="166">
                  <c:v>180</c:v>
                </c:pt>
                <c:pt idx="167">
                  <c:v>179</c:v>
                </c:pt>
                <c:pt idx="168">
                  <c:v>178</c:v>
                </c:pt>
                <c:pt idx="169">
                  <c:v>178</c:v>
                </c:pt>
                <c:pt idx="170">
                  <c:v>177</c:v>
                </c:pt>
                <c:pt idx="171">
                  <c:v>177</c:v>
                </c:pt>
                <c:pt idx="172">
                  <c:v>176</c:v>
                </c:pt>
                <c:pt idx="173">
                  <c:v>175</c:v>
                </c:pt>
                <c:pt idx="174">
                  <c:v>175</c:v>
                </c:pt>
                <c:pt idx="175">
                  <c:v>174</c:v>
                </c:pt>
                <c:pt idx="176">
                  <c:v>173</c:v>
                </c:pt>
                <c:pt idx="177">
                  <c:v>173</c:v>
                </c:pt>
                <c:pt idx="178">
                  <c:v>173</c:v>
                </c:pt>
                <c:pt idx="179">
                  <c:v>172</c:v>
                </c:pt>
                <c:pt idx="180">
                  <c:v>172</c:v>
                </c:pt>
                <c:pt idx="181">
                  <c:v>172</c:v>
                </c:pt>
                <c:pt idx="182">
                  <c:v>171</c:v>
                </c:pt>
                <c:pt idx="183">
                  <c:v>171</c:v>
                </c:pt>
                <c:pt idx="184">
                  <c:v>171</c:v>
                </c:pt>
                <c:pt idx="185">
                  <c:v>171</c:v>
                </c:pt>
                <c:pt idx="186">
                  <c:v>171</c:v>
                </c:pt>
                <c:pt idx="187">
                  <c:v>171</c:v>
                </c:pt>
                <c:pt idx="188">
                  <c:v>171</c:v>
                </c:pt>
                <c:pt idx="189">
                  <c:v>171</c:v>
                </c:pt>
                <c:pt idx="190">
                  <c:v>172</c:v>
                </c:pt>
                <c:pt idx="191">
                  <c:v>172</c:v>
                </c:pt>
                <c:pt idx="192">
                  <c:v>172</c:v>
                </c:pt>
                <c:pt idx="193">
                  <c:v>173</c:v>
                </c:pt>
                <c:pt idx="194">
                  <c:v>173</c:v>
                </c:pt>
                <c:pt idx="195">
                  <c:v>173</c:v>
                </c:pt>
                <c:pt idx="196">
                  <c:v>174</c:v>
                </c:pt>
                <c:pt idx="197">
                  <c:v>174</c:v>
                </c:pt>
                <c:pt idx="198">
                  <c:v>174</c:v>
                </c:pt>
                <c:pt idx="199">
                  <c:v>175</c:v>
                </c:pt>
                <c:pt idx="200">
                  <c:v>175</c:v>
                </c:pt>
                <c:pt idx="201">
                  <c:v>176</c:v>
                </c:pt>
                <c:pt idx="202">
                  <c:v>176</c:v>
                </c:pt>
                <c:pt idx="203">
                  <c:v>176</c:v>
                </c:pt>
                <c:pt idx="204">
                  <c:v>177</c:v>
                </c:pt>
                <c:pt idx="205">
                  <c:v>177</c:v>
                </c:pt>
                <c:pt idx="206">
                  <c:v>178</c:v>
                </c:pt>
                <c:pt idx="207">
                  <c:v>178</c:v>
                </c:pt>
                <c:pt idx="208">
                  <c:v>185</c:v>
                </c:pt>
                <c:pt idx="209">
                  <c:v>185</c:v>
                </c:pt>
                <c:pt idx="210">
                  <c:v>184</c:v>
                </c:pt>
                <c:pt idx="211">
                  <c:v>183</c:v>
                </c:pt>
                <c:pt idx="212">
                  <c:v>182</c:v>
                </c:pt>
                <c:pt idx="213">
                  <c:v>182</c:v>
                </c:pt>
                <c:pt idx="214">
                  <c:v>181</c:v>
                </c:pt>
                <c:pt idx="215">
                  <c:v>180</c:v>
                </c:pt>
                <c:pt idx="216">
                  <c:v>180</c:v>
                </c:pt>
                <c:pt idx="217">
                  <c:v>179</c:v>
                </c:pt>
                <c:pt idx="218">
                  <c:v>178</c:v>
                </c:pt>
                <c:pt idx="219">
                  <c:v>178</c:v>
                </c:pt>
                <c:pt idx="220">
                  <c:v>177</c:v>
                </c:pt>
                <c:pt idx="221">
                  <c:v>176</c:v>
                </c:pt>
                <c:pt idx="222">
                  <c:v>176</c:v>
                </c:pt>
                <c:pt idx="223">
                  <c:v>175</c:v>
                </c:pt>
                <c:pt idx="224">
                  <c:v>174</c:v>
                </c:pt>
                <c:pt idx="225">
                  <c:v>173</c:v>
                </c:pt>
                <c:pt idx="226">
                  <c:v>173</c:v>
                </c:pt>
                <c:pt idx="227">
                  <c:v>172</c:v>
                </c:pt>
                <c:pt idx="228">
                  <c:v>171</c:v>
                </c:pt>
                <c:pt idx="229">
                  <c:v>171</c:v>
                </c:pt>
                <c:pt idx="230">
                  <c:v>170</c:v>
                </c:pt>
                <c:pt idx="231">
                  <c:v>170</c:v>
                </c:pt>
                <c:pt idx="232">
                  <c:v>169</c:v>
                </c:pt>
                <c:pt idx="233">
                  <c:v>169</c:v>
                </c:pt>
                <c:pt idx="234">
                  <c:v>169</c:v>
                </c:pt>
                <c:pt idx="235">
                  <c:v>169</c:v>
                </c:pt>
                <c:pt idx="236">
                  <c:v>168</c:v>
                </c:pt>
                <c:pt idx="237">
                  <c:v>168</c:v>
                </c:pt>
                <c:pt idx="238">
                  <c:v>168</c:v>
                </c:pt>
                <c:pt idx="239">
                  <c:v>168</c:v>
                </c:pt>
                <c:pt idx="240">
                  <c:v>168</c:v>
                </c:pt>
                <c:pt idx="241">
                  <c:v>168</c:v>
                </c:pt>
                <c:pt idx="242">
                  <c:v>169</c:v>
                </c:pt>
                <c:pt idx="243">
                  <c:v>169</c:v>
                </c:pt>
                <c:pt idx="244">
                  <c:v>169</c:v>
                </c:pt>
                <c:pt idx="245">
                  <c:v>170</c:v>
                </c:pt>
                <c:pt idx="246">
                  <c:v>170</c:v>
                </c:pt>
                <c:pt idx="247">
                  <c:v>170</c:v>
                </c:pt>
                <c:pt idx="248">
                  <c:v>171</c:v>
                </c:pt>
                <c:pt idx="249">
                  <c:v>172</c:v>
                </c:pt>
                <c:pt idx="250">
                  <c:v>172</c:v>
                </c:pt>
                <c:pt idx="251">
                  <c:v>173</c:v>
                </c:pt>
                <c:pt idx="252">
                  <c:v>173</c:v>
                </c:pt>
                <c:pt idx="253">
                  <c:v>174</c:v>
                </c:pt>
                <c:pt idx="254">
                  <c:v>174</c:v>
                </c:pt>
                <c:pt idx="255">
                  <c:v>175</c:v>
                </c:pt>
                <c:pt idx="256">
                  <c:v>176</c:v>
                </c:pt>
                <c:pt idx="257">
                  <c:v>176</c:v>
                </c:pt>
                <c:pt idx="258">
                  <c:v>177</c:v>
                </c:pt>
                <c:pt idx="259">
                  <c:v>178</c:v>
                </c:pt>
                <c:pt idx="260">
                  <c:v>177</c:v>
                </c:pt>
                <c:pt idx="261">
                  <c:v>177</c:v>
                </c:pt>
                <c:pt idx="262">
                  <c:v>178</c:v>
                </c:pt>
                <c:pt idx="263">
                  <c:v>178</c:v>
                </c:pt>
                <c:pt idx="264">
                  <c:v>179</c:v>
                </c:pt>
                <c:pt idx="265">
                  <c:v>179</c:v>
                </c:pt>
                <c:pt idx="266">
                  <c:v>179</c:v>
                </c:pt>
                <c:pt idx="267">
                  <c:v>178</c:v>
                </c:pt>
                <c:pt idx="268">
                  <c:v>177</c:v>
                </c:pt>
                <c:pt idx="269">
                  <c:v>175</c:v>
                </c:pt>
                <c:pt idx="270">
                  <c:v>174</c:v>
                </c:pt>
                <c:pt idx="271">
                  <c:v>172</c:v>
                </c:pt>
                <c:pt idx="272">
                  <c:v>171</c:v>
                </c:pt>
                <c:pt idx="273">
                  <c:v>170</c:v>
                </c:pt>
                <c:pt idx="274">
                  <c:v>169</c:v>
                </c:pt>
                <c:pt idx="275">
                  <c:v>169</c:v>
                </c:pt>
                <c:pt idx="276">
                  <c:v>169</c:v>
                </c:pt>
                <c:pt idx="277">
                  <c:v>168</c:v>
                </c:pt>
                <c:pt idx="278">
                  <c:v>168</c:v>
                </c:pt>
                <c:pt idx="279">
                  <c:v>167</c:v>
                </c:pt>
                <c:pt idx="280">
                  <c:v>167</c:v>
                </c:pt>
                <c:pt idx="281">
                  <c:v>166</c:v>
                </c:pt>
                <c:pt idx="282">
                  <c:v>166</c:v>
                </c:pt>
                <c:pt idx="283">
                  <c:v>166</c:v>
                </c:pt>
                <c:pt idx="284">
                  <c:v>165</c:v>
                </c:pt>
                <c:pt idx="285">
                  <c:v>165</c:v>
                </c:pt>
                <c:pt idx="286">
                  <c:v>164</c:v>
                </c:pt>
                <c:pt idx="287">
                  <c:v>163</c:v>
                </c:pt>
                <c:pt idx="288">
                  <c:v>162</c:v>
                </c:pt>
                <c:pt idx="289">
                  <c:v>161</c:v>
                </c:pt>
                <c:pt idx="290">
                  <c:v>161</c:v>
                </c:pt>
                <c:pt idx="291">
                  <c:v>161</c:v>
                </c:pt>
                <c:pt idx="292">
                  <c:v>162</c:v>
                </c:pt>
                <c:pt idx="293">
                  <c:v>162</c:v>
                </c:pt>
                <c:pt idx="294">
                  <c:v>163</c:v>
                </c:pt>
                <c:pt idx="295">
                  <c:v>164</c:v>
                </c:pt>
                <c:pt idx="296">
                  <c:v>165</c:v>
                </c:pt>
                <c:pt idx="297">
                  <c:v>166</c:v>
                </c:pt>
                <c:pt idx="298">
                  <c:v>166</c:v>
                </c:pt>
                <c:pt idx="299">
                  <c:v>166</c:v>
                </c:pt>
                <c:pt idx="300">
                  <c:v>167</c:v>
                </c:pt>
                <c:pt idx="301">
                  <c:v>167</c:v>
                </c:pt>
                <c:pt idx="302">
                  <c:v>167</c:v>
                </c:pt>
                <c:pt idx="303">
                  <c:v>166</c:v>
                </c:pt>
                <c:pt idx="304">
                  <c:v>167</c:v>
                </c:pt>
                <c:pt idx="305">
                  <c:v>167</c:v>
                </c:pt>
                <c:pt idx="306">
                  <c:v>169</c:v>
                </c:pt>
                <c:pt idx="307">
                  <c:v>171</c:v>
                </c:pt>
                <c:pt idx="308">
                  <c:v>173</c:v>
                </c:pt>
                <c:pt idx="309">
                  <c:v>175</c:v>
                </c:pt>
                <c:pt idx="310">
                  <c:v>177</c:v>
                </c:pt>
                <c:pt idx="311">
                  <c:v>179</c:v>
                </c:pt>
                <c:pt idx="312">
                  <c:v>181</c:v>
                </c:pt>
                <c:pt idx="313">
                  <c:v>181</c:v>
                </c:pt>
                <c:pt idx="314">
                  <c:v>181</c:v>
                </c:pt>
                <c:pt idx="315">
                  <c:v>180</c:v>
                </c:pt>
                <c:pt idx="316">
                  <c:v>179</c:v>
                </c:pt>
                <c:pt idx="317">
                  <c:v>178</c:v>
                </c:pt>
                <c:pt idx="318">
                  <c:v>177</c:v>
                </c:pt>
                <c:pt idx="319">
                  <c:v>177</c:v>
                </c:pt>
                <c:pt idx="320">
                  <c:v>176</c:v>
                </c:pt>
                <c:pt idx="321">
                  <c:v>175</c:v>
                </c:pt>
                <c:pt idx="322">
                  <c:v>174</c:v>
                </c:pt>
                <c:pt idx="323">
                  <c:v>174</c:v>
                </c:pt>
                <c:pt idx="324">
                  <c:v>173</c:v>
                </c:pt>
                <c:pt idx="325">
                  <c:v>172</c:v>
                </c:pt>
                <c:pt idx="326">
                  <c:v>171</c:v>
                </c:pt>
                <c:pt idx="327">
                  <c:v>170</c:v>
                </c:pt>
                <c:pt idx="328">
                  <c:v>170</c:v>
                </c:pt>
                <c:pt idx="329">
                  <c:v>169</c:v>
                </c:pt>
                <c:pt idx="330">
                  <c:v>168</c:v>
                </c:pt>
                <c:pt idx="331">
                  <c:v>167</c:v>
                </c:pt>
                <c:pt idx="332">
                  <c:v>166</c:v>
                </c:pt>
                <c:pt idx="333">
                  <c:v>166</c:v>
                </c:pt>
                <c:pt idx="334">
                  <c:v>165</c:v>
                </c:pt>
                <c:pt idx="335">
                  <c:v>165</c:v>
                </c:pt>
                <c:pt idx="336">
                  <c:v>164</c:v>
                </c:pt>
                <c:pt idx="337">
                  <c:v>164</c:v>
                </c:pt>
                <c:pt idx="338">
                  <c:v>164</c:v>
                </c:pt>
                <c:pt idx="339">
                  <c:v>163</c:v>
                </c:pt>
                <c:pt idx="340">
                  <c:v>163</c:v>
                </c:pt>
                <c:pt idx="341">
                  <c:v>163</c:v>
                </c:pt>
                <c:pt idx="342">
                  <c:v>163</c:v>
                </c:pt>
                <c:pt idx="343">
                  <c:v>163</c:v>
                </c:pt>
                <c:pt idx="344">
                  <c:v>163</c:v>
                </c:pt>
                <c:pt idx="345">
                  <c:v>163</c:v>
                </c:pt>
                <c:pt idx="346">
                  <c:v>163</c:v>
                </c:pt>
                <c:pt idx="347">
                  <c:v>164</c:v>
                </c:pt>
                <c:pt idx="348">
                  <c:v>164</c:v>
                </c:pt>
                <c:pt idx="349">
                  <c:v>164</c:v>
                </c:pt>
                <c:pt idx="350">
                  <c:v>165</c:v>
                </c:pt>
                <c:pt idx="351">
                  <c:v>165</c:v>
                </c:pt>
                <c:pt idx="352">
                  <c:v>165</c:v>
                </c:pt>
                <c:pt idx="353">
                  <c:v>166</c:v>
                </c:pt>
                <c:pt idx="354">
                  <c:v>167</c:v>
                </c:pt>
                <c:pt idx="355">
                  <c:v>167</c:v>
                </c:pt>
                <c:pt idx="356">
                  <c:v>168</c:v>
                </c:pt>
                <c:pt idx="357">
                  <c:v>168</c:v>
                </c:pt>
                <c:pt idx="358">
                  <c:v>169</c:v>
                </c:pt>
                <c:pt idx="359">
                  <c:v>169</c:v>
                </c:pt>
                <c:pt idx="360">
                  <c:v>170</c:v>
                </c:pt>
                <c:pt idx="361">
                  <c:v>170</c:v>
                </c:pt>
                <c:pt idx="362">
                  <c:v>171</c:v>
                </c:pt>
                <c:pt idx="363">
                  <c:v>171</c:v>
                </c:pt>
                <c:pt idx="364">
                  <c:v>172</c:v>
                </c:pt>
                <c:pt idx="365">
                  <c:v>176</c:v>
                </c:pt>
                <c:pt idx="366">
                  <c:v>176</c:v>
                </c:pt>
                <c:pt idx="367">
                  <c:v>176</c:v>
                </c:pt>
                <c:pt idx="368">
                  <c:v>177</c:v>
                </c:pt>
                <c:pt idx="369">
                  <c:v>177</c:v>
                </c:pt>
                <c:pt idx="370">
                  <c:v>177</c:v>
                </c:pt>
                <c:pt idx="371">
                  <c:v>176</c:v>
                </c:pt>
                <c:pt idx="372">
                  <c:v>176</c:v>
                </c:pt>
                <c:pt idx="373">
                  <c:v>175</c:v>
                </c:pt>
                <c:pt idx="374">
                  <c:v>174</c:v>
                </c:pt>
                <c:pt idx="375">
                  <c:v>172</c:v>
                </c:pt>
                <c:pt idx="376">
                  <c:v>171</c:v>
                </c:pt>
                <c:pt idx="377">
                  <c:v>169</c:v>
                </c:pt>
                <c:pt idx="378">
                  <c:v>167</c:v>
                </c:pt>
                <c:pt idx="379">
                  <c:v>166</c:v>
                </c:pt>
                <c:pt idx="380">
                  <c:v>165</c:v>
                </c:pt>
                <c:pt idx="381">
                  <c:v>164</c:v>
                </c:pt>
                <c:pt idx="382">
                  <c:v>163</c:v>
                </c:pt>
                <c:pt idx="383">
                  <c:v>162</c:v>
                </c:pt>
                <c:pt idx="384">
                  <c:v>162</c:v>
                </c:pt>
                <c:pt idx="385">
                  <c:v>162</c:v>
                </c:pt>
                <c:pt idx="386">
                  <c:v>162</c:v>
                </c:pt>
                <c:pt idx="387">
                  <c:v>162</c:v>
                </c:pt>
                <c:pt idx="388">
                  <c:v>162</c:v>
                </c:pt>
                <c:pt idx="389">
                  <c:v>161</c:v>
                </c:pt>
                <c:pt idx="390">
                  <c:v>161</c:v>
                </c:pt>
                <c:pt idx="391">
                  <c:v>161</c:v>
                </c:pt>
                <c:pt idx="392">
                  <c:v>161</c:v>
                </c:pt>
                <c:pt idx="393">
                  <c:v>161</c:v>
                </c:pt>
                <c:pt idx="394">
                  <c:v>161</c:v>
                </c:pt>
                <c:pt idx="395">
                  <c:v>161</c:v>
                </c:pt>
                <c:pt idx="396">
                  <c:v>161</c:v>
                </c:pt>
                <c:pt idx="397">
                  <c:v>161</c:v>
                </c:pt>
                <c:pt idx="398">
                  <c:v>161</c:v>
                </c:pt>
                <c:pt idx="399">
                  <c:v>161</c:v>
                </c:pt>
                <c:pt idx="400">
                  <c:v>162</c:v>
                </c:pt>
                <c:pt idx="401">
                  <c:v>162</c:v>
                </c:pt>
                <c:pt idx="402">
                  <c:v>163</c:v>
                </c:pt>
                <c:pt idx="403">
                  <c:v>163</c:v>
                </c:pt>
                <c:pt idx="404">
                  <c:v>163</c:v>
                </c:pt>
                <c:pt idx="405">
                  <c:v>163</c:v>
                </c:pt>
                <c:pt idx="406">
                  <c:v>164</c:v>
                </c:pt>
                <c:pt idx="407">
                  <c:v>164</c:v>
                </c:pt>
                <c:pt idx="408">
                  <c:v>164</c:v>
                </c:pt>
                <c:pt idx="409">
                  <c:v>164</c:v>
                </c:pt>
                <c:pt idx="410">
                  <c:v>165</c:v>
                </c:pt>
                <c:pt idx="411">
                  <c:v>166</c:v>
                </c:pt>
                <c:pt idx="412">
                  <c:v>167</c:v>
                </c:pt>
                <c:pt idx="413">
                  <c:v>168</c:v>
                </c:pt>
                <c:pt idx="414">
                  <c:v>169</c:v>
                </c:pt>
                <c:pt idx="415">
                  <c:v>170</c:v>
                </c:pt>
                <c:pt idx="416">
                  <c:v>171</c:v>
                </c:pt>
                <c:pt idx="417">
                  <c:v>174</c:v>
                </c:pt>
                <c:pt idx="418">
                  <c:v>175</c:v>
                </c:pt>
                <c:pt idx="419">
                  <c:v>176</c:v>
                </c:pt>
                <c:pt idx="420">
                  <c:v>176</c:v>
                </c:pt>
                <c:pt idx="421">
                  <c:v>177</c:v>
                </c:pt>
                <c:pt idx="422">
                  <c:v>177</c:v>
                </c:pt>
                <c:pt idx="423">
                  <c:v>177</c:v>
                </c:pt>
                <c:pt idx="424">
                  <c:v>176</c:v>
                </c:pt>
                <c:pt idx="425">
                  <c:v>175</c:v>
                </c:pt>
                <c:pt idx="426">
                  <c:v>173</c:v>
                </c:pt>
                <c:pt idx="427">
                  <c:v>171</c:v>
                </c:pt>
                <c:pt idx="428">
                  <c:v>168</c:v>
                </c:pt>
                <c:pt idx="429">
                  <c:v>166</c:v>
                </c:pt>
                <c:pt idx="430">
                  <c:v>163</c:v>
                </c:pt>
                <c:pt idx="431">
                  <c:v>162</c:v>
                </c:pt>
                <c:pt idx="432">
                  <c:v>160</c:v>
                </c:pt>
                <c:pt idx="433">
                  <c:v>160</c:v>
                </c:pt>
                <c:pt idx="434">
                  <c:v>159</c:v>
                </c:pt>
                <c:pt idx="435">
                  <c:v>159</c:v>
                </c:pt>
                <c:pt idx="436">
                  <c:v>159</c:v>
                </c:pt>
                <c:pt idx="437">
                  <c:v>159</c:v>
                </c:pt>
                <c:pt idx="438">
                  <c:v>159</c:v>
                </c:pt>
                <c:pt idx="439">
                  <c:v>160</c:v>
                </c:pt>
                <c:pt idx="440">
                  <c:v>160</c:v>
                </c:pt>
                <c:pt idx="441">
                  <c:v>160</c:v>
                </c:pt>
                <c:pt idx="442">
                  <c:v>160</c:v>
                </c:pt>
                <c:pt idx="443">
                  <c:v>160</c:v>
                </c:pt>
                <c:pt idx="444">
                  <c:v>160</c:v>
                </c:pt>
                <c:pt idx="445">
                  <c:v>160</c:v>
                </c:pt>
                <c:pt idx="446">
                  <c:v>159</c:v>
                </c:pt>
                <c:pt idx="447">
                  <c:v>159</c:v>
                </c:pt>
                <c:pt idx="448">
                  <c:v>159</c:v>
                </c:pt>
                <c:pt idx="449">
                  <c:v>159</c:v>
                </c:pt>
                <c:pt idx="450">
                  <c:v>160</c:v>
                </c:pt>
                <c:pt idx="451">
                  <c:v>161</c:v>
                </c:pt>
                <c:pt idx="452">
                  <c:v>161</c:v>
                </c:pt>
                <c:pt idx="453">
                  <c:v>162</c:v>
                </c:pt>
                <c:pt idx="454">
                  <c:v>162</c:v>
                </c:pt>
                <c:pt idx="455">
                  <c:v>162</c:v>
                </c:pt>
                <c:pt idx="456">
                  <c:v>163</c:v>
                </c:pt>
                <c:pt idx="457">
                  <c:v>163</c:v>
                </c:pt>
                <c:pt idx="458">
                  <c:v>163</c:v>
                </c:pt>
                <c:pt idx="459">
                  <c:v>163</c:v>
                </c:pt>
                <c:pt idx="460">
                  <c:v>163</c:v>
                </c:pt>
                <c:pt idx="461">
                  <c:v>163</c:v>
                </c:pt>
                <c:pt idx="462">
                  <c:v>163</c:v>
                </c:pt>
                <c:pt idx="463">
                  <c:v>164</c:v>
                </c:pt>
                <c:pt idx="464">
                  <c:v>165</c:v>
                </c:pt>
                <c:pt idx="465">
                  <c:v>166</c:v>
                </c:pt>
                <c:pt idx="466">
                  <c:v>166</c:v>
                </c:pt>
                <c:pt idx="467">
                  <c:v>167</c:v>
                </c:pt>
                <c:pt idx="468">
                  <c:v>168</c:v>
                </c:pt>
                <c:pt idx="469">
                  <c:v>174</c:v>
                </c:pt>
                <c:pt idx="470">
                  <c:v>174</c:v>
                </c:pt>
                <c:pt idx="471">
                  <c:v>175</c:v>
                </c:pt>
                <c:pt idx="472">
                  <c:v>176</c:v>
                </c:pt>
                <c:pt idx="473">
                  <c:v>176</c:v>
                </c:pt>
                <c:pt idx="474">
                  <c:v>177</c:v>
                </c:pt>
                <c:pt idx="475">
                  <c:v>177</c:v>
                </c:pt>
                <c:pt idx="476">
                  <c:v>176</c:v>
                </c:pt>
                <c:pt idx="477">
                  <c:v>174</c:v>
                </c:pt>
                <c:pt idx="478">
                  <c:v>172</c:v>
                </c:pt>
                <c:pt idx="479">
                  <c:v>170</c:v>
                </c:pt>
                <c:pt idx="480">
                  <c:v>167</c:v>
                </c:pt>
                <c:pt idx="481">
                  <c:v>165</c:v>
                </c:pt>
                <c:pt idx="482">
                  <c:v>162</c:v>
                </c:pt>
                <c:pt idx="483">
                  <c:v>161</c:v>
                </c:pt>
                <c:pt idx="484">
                  <c:v>159</c:v>
                </c:pt>
                <c:pt idx="485">
                  <c:v>159</c:v>
                </c:pt>
                <c:pt idx="486">
                  <c:v>158</c:v>
                </c:pt>
                <c:pt idx="487">
                  <c:v>158</c:v>
                </c:pt>
                <c:pt idx="488">
                  <c:v>158</c:v>
                </c:pt>
                <c:pt idx="489">
                  <c:v>159</c:v>
                </c:pt>
                <c:pt idx="490">
                  <c:v>159</c:v>
                </c:pt>
                <c:pt idx="491">
                  <c:v>160</c:v>
                </c:pt>
                <c:pt idx="492">
                  <c:v>160</c:v>
                </c:pt>
                <c:pt idx="493">
                  <c:v>159</c:v>
                </c:pt>
                <c:pt idx="494">
                  <c:v>159</c:v>
                </c:pt>
                <c:pt idx="495">
                  <c:v>159</c:v>
                </c:pt>
                <c:pt idx="496">
                  <c:v>159</c:v>
                </c:pt>
                <c:pt idx="497">
                  <c:v>159</c:v>
                </c:pt>
                <c:pt idx="498">
                  <c:v>158</c:v>
                </c:pt>
                <c:pt idx="499">
                  <c:v>158</c:v>
                </c:pt>
                <c:pt idx="500">
                  <c:v>158</c:v>
                </c:pt>
                <c:pt idx="501">
                  <c:v>158</c:v>
                </c:pt>
                <c:pt idx="502">
                  <c:v>159</c:v>
                </c:pt>
                <c:pt idx="503">
                  <c:v>160</c:v>
                </c:pt>
                <c:pt idx="504">
                  <c:v>160</c:v>
                </c:pt>
                <c:pt idx="505">
                  <c:v>161</c:v>
                </c:pt>
                <c:pt idx="506">
                  <c:v>161</c:v>
                </c:pt>
                <c:pt idx="507">
                  <c:v>161</c:v>
                </c:pt>
                <c:pt idx="508">
                  <c:v>161</c:v>
                </c:pt>
                <c:pt idx="509">
                  <c:v>162</c:v>
                </c:pt>
                <c:pt idx="510">
                  <c:v>162</c:v>
                </c:pt>
                <c:pt idx="511">
                  <c:v>162</c:v>
                </c:pt>
                <c:pt idx="512">
                  <c:v>163</c:v>
                </c:pt>
                <c:pt idx="513">
                  <c:v>163</c:v>
                </c:pt>
                <c:pt idx="514">
                  <c:v>164</c:v>
                </c:pt>
                <c:pt idx="515">
                  <c:v>165</c:v>
                </c:pt>
                <c:pt idx="516">
                  <c:v>165</c:v>
                </c:pt>
                <c:pt idx="517">
                  <c:v>166</c:v>
                </c:pt>
                <c:pt idx="518">
                  <c:v>167</c:v>
                </c:pt>
                <c:pt idx="519">
                  <c:v>167</c:v>
                </c:pt>
                <c:pt idx="520">
                  <c:v>168</c:v>
                </c:pt>
              </c:numCache>
            </c:numRef>
          </c:val>
          <c:smooth val="0"/>
          <c:extLst>
            <c:ext xmlns:c16="http://schemas.microsoft.com/office/drawing/2014/chart" uri="{C3380CC4-5D6E-409C-BE32-E72D297353CC}">
              <c16:uniqueId val="{00000002-7234-497A-9674-CB9AF3A57D24}"/>
            </c:ext>
          </c:extLst>
        </c:ser>
        <c:ser>
          <c:idx val="3"/>
          <c:order val="3"/>
          <c:tx>
            <c:strRef>
              <c:f>'pivot_Sterblichkeit_2010-2019'!$E$3:$E$5</c:f>
              <c:strCache>
                <c:ptCount val="1"/>
                <c:pt idx="0">
                  <c:v>Erwartungen - 65+</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'pivot_Sterblichkeit_2010-2019'!$E$6:$E$527</c:f>
              <c:numCache>
                <c:formatCode>General</c:formatCode>
                <c:ptCount val="521"/>
                <c:pt idx="0">
                  <c:v>1156</c:v>
                </c:pt>
                <c:pt idx="1">
                  <c:v>1149</c:v>
                </c:pt>
                <c:pt idx="2">
                  <c:v>1141</c:v>
                </c:pt>
                <c:pt idx="3">
                  <c:v>1133</c:v>
                </c:pt>
                <c:pt idx="4">
                  <c:v>1125</c:v>
                </c:pt>
                <c:pt idx="5">
                  <c:v>1117</c:v>
                </c:pt>
                <c:pt idx="6">
                  <c:v>1109</c:v>
                </c:pt>
                <c:pt idx="7">
                  <c:v>1095</c:v>
                </c:pt>
                <c:pt idx="8">
                  <c:v>1082</c:v>
                </c:pt>
                <c:pt idx="9">
                  <c:v>1065</c:v>
                </c:pt>
                <c:pt idx="10">
                  <c:v>1049</c:v>
                </c:pt>
                <c:pt idx="11">
                  <c:v>1033</c:v>
                </c:pt>
                <c:pt idx="12">
                  <c:v>1017</c:v>
                </c:pt>
                <c:pt idx="13">
                  <c:v>1002</c:v>
                </c:pt>
                <c:pt idx="14">
                  <c:v>988</c:v>
                </c:pt>
                <c:pt idx="15">
                  <c:v>975</c:v>
                </c:pt>
                <c:pt idx="16">
                  <c:v>965</c:v>
                </c:pt>
                <c:pt idx="17">
                  <c:v>954</c:v>
                </c:pt>
                <c:pt idx="18">
                  <c:v>947</c:v>
                </c:pt>
                <c:pt idx="19">
                  <c:v>939</c:v>
                </c:pt>
                <c:pt idx="20">
                  <c:v>934</c:v>
                </c:pt>
                <c:pt idx="21">
                  <c:v>930</c:v>
                </c:pt>
                <c:pt idx="22">
                  <c:v>926</c:v>
                </c:pt>
                <c:pt idx="23">
                  <c:v>922</c:v>
                </c:pt>
                <c:pt idx="24">
                  <c:v>919</c:v>
                </c:pt>
                <c:pt idx="25">
                  <c:v>915</c:v>
                </c:pt>
                <c:pt idx="26">
                  <c:v>912</c:v>
                </c:pt>
                <c:pt idx="27">
                  <c:v>910</c:v>
                </c:pt>
                <c:pt idx="28">
                  <c:v>907</c:v>
                </c:pt>
                <c:pt idx="29">
                  <c:v>905</c:v>
                </c:pt>
                <c:pt idx="30">
                  <c:v>902</c:v>
                </c:pt>
                <c:pt idx="31">
                  <c:v>903</c:v>
                </c:pt>
                <c:pt idx="32">
                  <c:v>904</c:v>
                </c:pt>
                <c:pt idx="33">
                  <c:v>909</c:v>
                </c:pt>
                <c:pt idx="34">
                  <c:v>915</c:v>
                </c:pt>
                <c:pt idx="35">
                  <c:v>920</c:v>
                </c:pt>
                <c:pt idx="36">
                  <c:v>927</c:v>
                </c:pt>
                <c:pt idx="37">
                  <c:v>934</c:v>
                </c:pt>
                <c:pt idx="38">
                  <c:v>942</c:v>
                </c:pt>
                <c:pt idx="39">
                  <c:v>950</c:v>
                </c:pt>
                <c:pt idx="40">
                  <c:v>959</c:v>
                </c:pt>
                <c:pt idx="41">
                  <c:v>967</c:v>
                </c:pt>
                <c:pt idx="42">
                  <c:v>978</c:v>
                </c:pt>
                <c:pt idx="43">
                  <c:v>988</c:v>
                </c:pt>
                <c:pt idx="44">
                  <c:v>999</c:v>
                </c:pt>
                <c:pt idx="45">
                  <c:v>1011</c:v>
                </c:pt>
                <c:pt idx="46">
                  <c:v>1025</c:v>
                </c:pt>
                <c:pt idx="47">
                  <c:v>1041</c:v>
                </c:pt>
                <c:pt idx="48">
                  <c:v>1057</c:v>
                </c:pt>
                <c:pt idx="49">
                  <c:v>1073</c:v>
                </c:pt>
                <c:pt idx="50">
                  <c:v>1089</c:v>
                </c:pt>
                <c:pt idx="51">
                  <c:v>1105</c:v>
                </c:pt>
                <c:pt idx="52">
                  <c:v>1153</c:v>
                </c:pt>
                <c:pt idx="53">
                  <c:v>1150</c:v>
                </c:pt>
                <c:pt idx="54">
                  <c:v>1146</c:v>
                </c:pt>
                <c:pt idx="55">
                  <c:v>1142</c:v>
                </c:pt>
                <c:pt idx="56">
                  <c:v>1138</c:v>
                </c:pt>
                <c:pt idx="57">
                  <c:v>1134</c:v>
                </c:pt>
                <c:pt idx="58">
                  <c:v>1130</c:v>
                </c:pt>
                <c:pt idx="59">
                  <c:v>1119</c:v>
                </c:pt>
                <c:pt idx="60">
                  <c:v>1108</c:v>
                </c:pt>
                <c:pt idx="61">
                  <c:v>1092</c:v>
                </c:pt>
                <c:pt idx="62">
                  <c:v>1076</c:v>
                </c:pt>
                <c:pt idx="63">
                  <c:v>1057</c:v>
                </c:pt>
                <c:pt idx="64">
                  <c:v>1038</c:v>
                </c:pt>
                <c:pt idx="65">
                  <c:v>1021</c:v>
                </c:pt>
                <c:pt idx="66">
                  <c:v>1008</c:v>
                </c:pt>
                <c:pt idx="67">
                  <c:v>995</c:v>
                </c:pt>
                <c:pt idx="68">
                  <c:v>985</c:v>
                </c:pt>
                <c:pt idx="69">
                  <c:v>974</c:v>
                </c:pt>
                <c:pt idx="70">
                  <c:v>965</c:v>
                </c:pt>
                <c:pt idx="71">
                  <c:v>956</c:v>
                </c:pt>
                <c:pt idx="72">
                  <c:v>949</c:v>
                </c:pt>
                <c:pt idx="73">
                  <c:v>946</c:v>
                </c:pt>
                <c:pt idx="74">
                  <c:v>943</c:v>
                </c:pt>
                <c:pt idx="75">
                  <c:v>941</c:v>
                </c:pt>
                <c:pt idx="76">
                  <c:v>938</c:v>
                </c:pt>
                <c:pt idx="77">
                  <c:v>934</c:v>
                </c:pt>
                <c:pt idx="78">
                  <c:v>931</c:v>
                </c:pt>
                <c:pt idx="79">
                  <c:v>928</c:v>
                </c:pt>
                <c:pt idx="80">
                  <c:v>924</c:v>
                </c:pt>
                <c:pt idx="81">
                  <c:v>921</c:v>
                </c:pt>
                <c:pt idx="82">
                  <c:v>917</c:v>
                </c:pt>
                <c:pt idx="83">
                  <c:v>919</c:v>
                </c:pt>
                <c:pt idx="84">
                  <c:v>921</c:v>
                </c:pt>
                <c:pt idx="85">
                  <c:v>925</c:v>
                </c:pt>
                <c:pt idx="86">
                  <c:v>931</c:v>
                </c:pt>
                <c:pt idx="87">
                  <c:v>936</c:v>
                </c:pt>
                <c:pt idx="88">
                  <c:v>943</c:v>
                </c:pt>
                <c:pt idx="89">
                  <c:v>951</c:v>
                </c:pt>
                <c:pt idx="90">
                  <c:v>958</c:v>
                </c:pt>
                <c:pt idx="91">
                  <c:v>966</c:v>
                </c:pt>
                <c:pt idx="92">
                  <c:v>974</c:v>
                </c:pt>
                <c:pt idx="93">
                  <c:v>981</c:v>
                </c:pt>
                <c:pt idx="94">
                  <c:v>991</c:v>
                </c:pt>
                <c:pt idx="95">
                  <c:v>1001</c:v>
                </c:pt>
                <c:pt idx="96">
                  <c:v>1013</c:v>
                </c:pt>
                <c:pt idx="97">
                  <c:v>1024</c:v>
                </c:pt>
                <c:pt idx="98">
                  <c:v>1039</c:v>
                </c:pt>
                <c:pt idx="99">
                  <c:v>1057</c:v>
                </c:pt>
                <c:pt idx="100">
                  <c:v>1075</c:v>
                </c:pt>
                <c:pt idx="101">
                  <c:v>1092</c:v>
                </c:pt>
                <c:pt idx="102">
                  <c:v>1109</c:v>
                </c:pt>
                <c:pt idx="103">
                  <c:v>1126</c:v>
                </c:pt>
                <c:pt idx="104">
                  <c:v>1156</c:v>
                </c:pt>
                <c:pt idx="105">
                  <c:v>1153</c:v>
                </c:pt>
                <c:pt idx="106">
                  <c:v>1149</c:v>
                </c:pt>
                <c:pt idx="107">
                  <c:v>1146</c:v>
                </c:pt>
                <c:pt idx="108">
                  <c:v>1142</c:v>
                </c:pt>
                <c:pt idx="109">
                  <c:v>1138</c:v>
                </c:pt>
                <c:pt idx="110">
                  <c:v>1135</c:v>
                </c:pt>
                <c:pt idx="111">
                  <c:v>1125</c:v>
                </c:pt>
                <c:pt idx="112">
                  <c:v>1115</c:v>
                </c:pt>
                <c:pt idx="113">
                  <c:v>1099</c:v>
                </c:pt>
                <c:pt idx="114">
                  <c:v>1082</c:v>
                </c:pt>
                <c:pt idx="115">
                  <c:v>1062</c:v>
                </c:pt>
                <c:pt idx="116">
                  <c:v>1042</c:v>
                </c:pt>
                <c:pt idx="117">
                  <c:v>1025</c:v>
                </c:pt>
                <c:pt idx="118">
                  <c:v>1010</c:v>
                </c:pt>
                <c:pt idx="119">
                  <c:v>996</c:v>
                </c:pt>
                <c:pt idx="120">
                  <c:v>985</c:v>
                </c:pt>
                <c:pt idx="121">
                  <c:v>974</c:v>
                </c:pt>
                <c:pt idx="122">
                  <c:v>966</c:v>
                </c:pt>
                <c:pt idx="123">
                  <c:v>957</c:v>
                </c:pt>
                <c:pt idx="124">
                  <c:v>950</c:v>
                </c:pt>
                <c:pt idx="125">
                  <c:v>947</c:v>
                </c:pt>
                <c:pt idx="126">
                  <c:v>944</c:v>
                </c:pt>
                <c:pt idx="127">
                  <c:v>941</c:v>
                </c:pt>
                <c:pt idx="128">
                  <c:v>937</c:v>
                </c:pt>
                <c:pt idx="129">
                  <c:v>933</c:v>
                </c:pt>
                <c:pt idx="130">
                  <c:v>929</c:v>
                </c:pt>
                <c:pt idx="131">
                  <c:v>925</c:v>
                </c:pt>
                <c:pt idx="132">
                  <c:v>921</c:v>
                </c:pt>
                <c:pt idx="133">
                  <c:v>920</c:v>
                </c:pt>
                <c:pt idx="134">
                  <c:v>918</c:v>
                </c:pt>
                <c:pt idx="135">
                  <c:v>921</c:v>
                </c:pt>
                <c:pt idx="136">
                  <c:v>924</c:v>
                </c:pt>
                <c:pt idx="137">
                  <c:v>928</c:v>
                </c:pt>
                <c:pt idx="138">
                  <c:v>934</c:v>
                </c:pt>
                <c:pt idx="139">
                  <c:v>939</c:v>
                </c:pt>
                <c:pt idx="140">
                  <c:v>944</c:v>
                </c:pt>
                <c:pt idx="141">
                  <c:v>950</c:v>
                </c:pt>
                <c:pt idx="142">
                  <c:v>957</c:v>
                </c:pt>
                <c:pt idx="143">
                  <c:v>965</c:v>
                </c:pt>
                <c:pt idx="144">
                  <c:v>972</c:v>
                </c:pt>
                <c:pt idx="145">
                  <c:v>980</c:v>
                </c:pt>
                <c:pt idx="146">
                  <c:v>991</c:v>
                </c:pt>
                <c:pt idx="147">
                  <c:v>1002</c:v>
                </c:pt>
                <c:pt idx="148">
                  <c:v>1015</c:v>
                </c:pt>
                <c:pt idx="149">
                  <c:v>1028</c:v>
                </c:pt>
                <c:pt idx="150">
                  <c:v>1043</c:v>
                </c:pt>
                <c:pt idx="151">
                  <c:v>1059</c:v>
                </c:pt>
                <c:pt idx="152">
                  <c:v>1075</c:v>
                </c:pt>
                <c:pt idx="153">
                  <c:v>1091</c:v>
                </c:pt>
                <c:pt idx="154">
                  <c:v>1107</c:v>
                </c:pt>
                <c:pt idx="155">
                  <c:v>1123</c:v>
                </c:pt>
                <c:pt idx="156">
                  <c:v>1184</c:v>
                </c:pt>
                <c:pt idx="157">
                  <c:v>1182</c:v>
                </c:pt>
                <c:pt idx="158">
                  <c:v>1180</c:v>
                </c:pt>
                <c:pt idx="159">
                  <c:v>1178</c:v>
                </c:pt>
                <c:pt idx="160">
                  <c:v>1176</c:v>
                </c:pt>
                <c:pt idx="161">
                  <c:v>1173</c:v>
                </c:pt>
                <c:pt idx="162">
                  <c:v>1171</c:v>
                </c:pt>
                <c:pt idx="163">
                  <c:v>1162</c:v>
                </c:pt>
                <c:pt idx="164">
                  <c:v>1152</c:v>
                </c:pt>
                <c:pt idx="165">
                  <c:v>1136</c:v>
                </c:pt>
                <c:pt idx="166">
                  <c:v>1119</c:v>
                </c:pt>
                <c:pt idx="167">
                  <c:v>1098</c:v>
                </c:pt>
                <c:pt idx="168">
                  <c:v>1077</c:v>
                </c:pt>
                <c:pt idx="169">
                  <c:v>1059</c:v>
                </c:pt>
                <c:pt idx="170">
                  <c:v>1043</c:v>
                </c:pt>
                <c:pt idx="171">
                  <c:v>1028</c:v>
                </c:pt>
                <c:pt idx="172">
                  <c:v>1016</c:v>
                </c:pt>
                <c:pt idx="173">
                  <c:v>1003</c:v>
                </c:pt>
                <c:pt idx="174">
                  <c:v>992</c:v>
                </c:pt>
                <c:pt idx="175">
                  <c:v>981</c:v>
                </c:pt>
                <c:pt idx="176">
                  <c:v>971</c:v>
                </c:pt>
                <c:pt idx="177">
                  <c:v>966</c:v>
                </c:pt>
                <c:pt idx="178">
                  <c:v>961</c:v>
                </c:pt>
                <c:pt idx="179">
                  <c:v>958</c:v>
                </c:pt>
                <c:pt idx="180">
                  <c:v>956</c:v>
                </c:pt>
                <c:pt idx="181">
                  <c:v>953</c:v>
                </c:pt>
                <c:pt idx="182">
                  <c:v>952</c:v>
                </c:pt>
                <c:pt idx="183">
                  <c:v>950</c:v>
                </c:pt>
                <c:pt idx="184">
                  <c:v>948</c:v>
                </c:pt>
                <c:pt idx="185">
                  <c:v>947</c:v>
                </c:pt>
                <c:pt idx="186">
                  <c:v>946</c:v>
                </c:pt>
                <c:pt idx="187">
                  <c:v>948</c:v>
                </c:pt>
                <c:pt idx="188">
                  <c:v>951</c:v>
                </c:pt>
                <c:pt idx="189">
                  <c:v>955</c:v>
                </c:pt>
                <c:pt idx="190">
                  <c:v>960</c:v>
                </c:pt>
                <c:pt idx="191">
                  <c:v>965</c:v>
                </c:pt>
                <c:pt idx="192">
                  <c:v>970</c:v>
                </c:pt>
                <c:pt idx="193">
                  <c:v>975</c:v>
                </c:pt>
                <c:pt idx="194">
                  <c:v>980</c:v>
                </c:pt>
                <c:pt idx="195">
                  <c:v>987</c:v>
                </c:pt>
                <c:pt idx="196">
                  <c:v>995</c:v>
                </c:pt>
                <c:pt idx="197">
                  <c:v>1003</c:v>
                </c:pt>
                <c:pt idx="198">
                  <c:v>1015</c:v>
                </c:pt>
                <c:pt idx="199">
                  <c:v>1027</c:v>
                </c:pt>
                <c:pt idx="200">
                  <c:v>1042</c:v>
                </c:pt>
                <c:pt idx="201">
                  <c:v>1057</c:v>
                </c:pt>
                <c:pt idx="202">
                  <c:v>1073</c:v>
                </c:pt>
                <c:pt idx="203">
                  <c:v>1088</c:v>
                </c:pt>
                <c:pt idx="204">
                  <c:v>1103</c:v>
                </c:pt>
                <c:pt idx="205">
                  <c:v>1118</c:v>
                </c:pt>
                <c:pt idx="206">
                  <c:v>1132</c:v>
                </c:pt>
                <c:pt idx="207">
                  <c:v>1147</c:v>
                </c:pt>
                <c:pt idx="208">
                  <c:v>1216</c:v>
                </c:pt>
                <c:pt idx="209">
                  <c:v>1215</c:v>
                </c:pt>
                <c:pt idx="210">
                  <c:v>1216</c:v>
                </c:pt>
                <c:pt idx="211">
                  <c:v>1216</c:v>
                </c:pt>
                <c:pt idx="212">
                  <c:v>1217</c:v>
                </c:pt>
                <c:pt idx="213">
                  <c:v>1218</c:v>
                </c:pt>
                <c:pt idx="214">
                  <c:v>1215</c:v>
                </c:pt>
                <c:pt idx="215">
                  <c:v>1204</c:v>
                </c:pt>
                <c:pt idx="216">
                  <c:v>1193</c:v>
                </c:pt>
                <c:pt idx="217">
                  <c:v>1170</c:v>
                </c:pt>
                <c:pt idx="218">
                  <c:v>1146</c:v>
                </c:pt>
                <c:pt idx="219">
                  <c:v>1121</c:v>
                </c:pt>
                <c:pt idx="220">
                  <c:v>1095</c:v>
                </c:pt>
                <c:pt idx="221">
                  <c:v>1077</c:v>
                </c:pt>
                <c:pt idx="222">
                  <c:v>1063</c:v>
                </c:pt>
                <c:pt idx="223">
                  <c:v>1049</c:v>
                </c:pt>
                <c:pt idx="224">
                  <c:v>1036</c:v>
                </c:pt>
                <c:pt idx="225">
                  <c:v>1024</c:v>
                </c:pt>
                <c:pt idx="226">
                  <c:v>1012</c:v>
                </c:pt>
                <c:pt idx="227">
                  <c:v>999</c:v>
                </c:pt>
                <c:pt idx="228">
                  <c:v>988</c:v>
                </c:pt>
                <c:pt idx="229">
                  <c:v>984</c:v>
                </c:pt>
                <c:pt idx="230">
                  <c:v>979</c:v>
                </c:pt>
                <c:pt idx="231">
                  <c:v>978</c:v>
                </c:pt>
                <c:pt idx="232">
                  <c:v>976</c:v>
                </c:pt>
                <c:pt idx="233">
                  <c:v>975</c:v>
                </c:pt>
                <c:pt idx="234">
                  <c:v>975</c:v>
                </c:pt>
                <c:pt idx="235">
                  <c:v>971</c:v>
                </c:pt>
                <c:pt idx="236">
                  <c:v>968</c:v>
                </c:pt>
                <c:pt idx="237">
                  <c:v>967</c:v>
                </c:pt>
                <c:pt idx="238">
                  <c:v>967</c:v>
                </c:pt>
                <c:pt idx="239">
                  <c:v>970</c:v>
                </c:pt>
                <c:pt idx="240">
                  <c:v>974</c:v>
                </c:pt>
                <c:pt idx="241">
                  <c:v>980</c:v>
                </c:pt>
                <c:pt idx="242">
                  <c:v>987</c:v>
                </c:pt>
                <c:pt idx="243">
                  <c:v>994</c:v>
                </c:pt>
                <c:pt idx="244">
                  <c:v>999</c:v>
                </c:pt>
                <c:pt idx="245">
                  <c:v>1003</c:v>
                </c:pt>
                <c:pt idx="246">
                  <c:v>1008</c:v>
                </c:pt>
                <c:pt idx="247">
                  <c:v>1015</c:v>
                </c:pt>
                <c:pt idx="248">
                  <c:v>1024</c:v>
                </c:pt>
                <c:pt idx="249">
                  <c:v>1033</c:v>
                </c:pt>
                <c:pt idx="250">
                  <c:v>1045</c:v>
                </c:pt>
                <c:pt idx="251">
                  <c:v>1057</c:v>
                </c:pt>
                <c:pt idx="252">
                  <c:v>1074</c:v>
                </c:pt>
                <c:pt idx="253">
                  <c:v>1090</c:v>
                </c:pt>
                <c:pt idx="254">
                  <c:v>1106</c:v>
                </c:pt>
                <c:pt idx="255">
                  <c:v>1123</c:v>
                </c:pt>
                <c:pt idx="256">
                  <c:v>1140</c:v>
                </c:pt>
                <c:pt idx="257">
                  <c:v>1149</c:v>
                </c:pt>
                <c:pt idx="258">
                  <c:v>1158</c:v>
                </c:pt>
                <c:pt idx="259">
                  <c:v>1167</c:v>
                </c:pt>
                <c:pt idx="260">
                  <c:v>1188</c:v>
                </c:pt>
                <c:pt idx="261">
                  <c:v>1190</c:v>
                </c:pt>
                <c:pt idx="262">
                  <c:v>1192</c:v>
                </c:pt>
                <c:pt idx="263">
                  <c:v>1195</c:v>
                </c:pt>
                <c:pt idx="264">
                  <c:v>1199</c:v>
                </c:pt>
                <c:pt idx="265">
                  <c:v>1209</c:v>
                </c:pt>
                <c:pt idx="266">
                  <c:v>1213</c:v>
                </c:pt>
                <c:pt idx="267">
                  <c:v>1212</c:v>
                </c:pt>
                <c:pt idx="268">
                  <c:v>1201</c:v>
                </c:pt>
                <c:pt idx="269">
                  <c:v>1176</c:v>
                </c:pt>
                <c:pt idx="270">
                  <c:v>1147</c:v>
                </c:pt>
                <c:pt idx="271">
                  <c:v>1119</c:v>
                </c:pt>
                <c:pt idx="272">
                  <c:v>1092</c:v>
                </c:pt>
                <c:pt idx="273">
                  <c:v>1071</c:v>
                </c:pt>
                <c:pt idx="274">
                  <c:v>1058</c:v>
                </c:pt>
                <c:pt idx="275">
                  <c:v>1045</c:v>
                </c:pt>
                <c:pt idx="276">
                  <c:v>1032</c:v>
                </c:pt>
                <c:pt idx="277">
                  <c:v>1019</c:v>
                </c:pt>
                <c:pt idx="278">
                  <c:v>1006</c:v>
                </c:pt>
                <c:pt idx="279">
                  <c:v>993</c:v>
                </c:pt>
                <c:pt idx="280">
                  <c:v>981</c:v>
                </c:pt>
                <c:pt idx="281">
                  <c:v>975</c:v>
                </c:pt>
                <c:pt idx="282">
                  <c:v>974</c:v>
                </c:pt>
                <c:pt idx="283">
                  <c:v>975</c:v>
                </c:pt>
                <c:pt idx="284">
                  <c:v>976</c:v>
                </c:pt>
                <c:pt idx="285">
                  <c:v>980</c:v>
                </c:pt>
                <c:pt idx="286">
                  <c:v>983</c:v>
                </c:pt>
                <c:pt idx="287">
                  <c:v>984</c:v>
                </c:pt>
                <c:pt idx="288">
                  <c:v>981</c:v>
                </c:pt>
                <c:pt idx="289">
                  <c:v>977</c:v>
                </c:pt>
                <c:pt idx="290">
                  <c:v>973</c:v>
                </c:pt>
                <c:pt idx="291">
                  <c:v>972</c:v>
                </c:pt>
                <c:pt idx="292">
                  <c:v>972</c:v>
                </c:pt>
                <c:pt idx="293">
                  <c:v>978</c:v>
                </c:pt>
                <c:pt idx="294">
                  <c:v>988</c:v>
                </c:pt>
                <c:pt idx="295">
                  <c:v>995</c:v>
                </c:pt>
                <c:pt idx="296">
                  <c:v>999</c:v>
                </c:pt>
                <c:pt idx="297">
                  <c:v>1005</c:v>
                </c:pt>
                <c:pt idx="298">
                  <c:v>1012</c:v>
                </c:pt>
                <c:pt idx="299">
                  <c:v>1021</c:v>
                </c:pt>
                <c:pt idx="300">
                  <c:v>1034</c:v>
                </c:pt>
                <c:pt idx="301">
                  <c:v>1045</c:v>
                </c:pt>
                <c:pt idx="302">
                  <c:v>1053</c:v>
                </c:pt>
                <c:pt idx="303">
                  <c:v>1061</c:v>
                </c:pt>
                <c:pt idx="304">
                  <c:v>1073</c:v>
                </c:pt>
                <c:pt idx="305">
                  <c:v>1084</c:v>
                </c:pt>
                <c:pt idx="306">
                  <c:v>1101</c:v>
                </c:pt>
                <c:pt idx="307">
                  <c:v>1121</c:v>
                </c:pt>
                <c:pt idx="308">
                  <c:v>1138</c:v>
                </c:pt>
                <c:pt idx="309">
                  <c:v>1149</c:v>
                </c:pt>
                <c:pt idx="310">
                  <c:v>1159</c:v>
                </c:pt>
                <c:pt idx="311">
                  <c:v>1168</c:v>
                </c:pt>
                <c:pt idx="312">
                  <c:v>1177</c:v>
                </c:pt>
                <c:pt idx="313">
                  <c:v>1237</c:v>
                </c:pt>
                <c:pt idx="314">
                  <c:v>1236</c:v>
                </c:pt>
                <c:pt idx="315">
                  <c:v>1236</c:v>
                </c:pt>
                <c:pt idx="316">
                  <c:v>1235</c:v>
                </c:pt>
                <c:pt idx="317">
                  <c:v>1234</c:v>
                </c:pt>
                <c:pt idx="318">
                  <c:v>1233</c:v>
                </c:pt>
                <c:pt idx="319">
                  <c:v>1231</c:v>
                </c:pt>
                <c:pt idx="320">
                  <c:v>1223</c:v>
                </c:pt>
                <c:pt idx="321">
                  <c:v>1215</c:v>
                </c:pt>
                <c:pt idx="322">
                  <c:v>1200</c:v>
                </c:pt>
                <c:pt idx="323">
                  <c:v>1184</c:v>
                </c:pt>
                <c:pt idx="324">
                  <c:v>1163</c:v>
                </c:pt>
                <c:pt idx="325">
                  <c:v>1143</c:v>
                </c:pt>
                <c:pt idx="326">
                  <c:v>1123</c:v>
                </c:pt>
                <c:pt idx="327">
                  <c:v>1106</c:v>
                </c:pt>
                <c:pt idx="328">
                  <c:v>1088</c:v>
                </c:pt>
                <c:pt idx="329">
                  <c:v>1073</c:v>
                </c:pt>
                <c:pt idx="330">
                  <c:v>1057</c:v>
                </c:pt>
                <c:pt idx="331">
                  <c:v>1045</c:v>
                </c:pt>
                <c:pt idx="332">
                  <c:v>1032</c:v>
                </c:pt>
                <c:pt idx="333">
                  <c:v>1024</c:v>
                </c:pt>
                <c:pt idx="334">
                  <c:v>1019</c:v>
                </c:pt>
                <c:pt idx="335">
                  <c:v>1013</c:v>
                </c:pt>
                <c:pt idx="336">
                  <c:v>1011</c:v>
                </c:pt>
                <c:pt idx="337">
                  <c:v>1012</c:v>
                </c:pt>
                <c:pt idx="338">
                  <c:v>1012</c:v>
                </c:pt>
                <c:pt idx="339">
                  <c:v>1015</c:v>
                </c:pt>
                <c:pt idx="340">
                  <c:v>1014</c:v>
                </c:pt>
                <c:pt idx="341">
                  <c:v>1013</c:v>
                </c:pt>
                <c:pt idx="342">
                  <c:v>1014</c:v>
                </c:pt>
                <c:pt idx="343">
                  <c:v>1014</c:v>
                </c:pt>
                <c:pt idx="344">
                  <c:v>1015</c:v>
                </c:pt>
                <c:pt idx="345">
                  <c:v>1016</c:v>
                </c:pt>
                <c:pt idx="346">
                  <c:v>1018</c:v>
                </c:pt>
                <c:pt idx="347">
                  <c:v>1022</c:v>
                </c:pt>
                <c:pt idx="348">
                  <c:v>1027</c:v>
                </c:pt>
                <c:pt idx="349">
                  <c:v>1034</c:v>
                </c:pt>
                <c:pt idx="350">
                  <c:v>1042</c:v>
                </c:pt>
                <c:pt idx="351">
                  <c:v>1051</c:v>
                </c:pt>
                <c:pt idx="352">
                  <c:v>1060</c:v>
                </c:pt>
                <c:pt idx="353">
                  <c:v>1069</c:v>
                </c:pt>
                <c:pt idx="354">
                  <c:v>1078</c:v>
                </c:pt>
                <c:pt idx="355">
                  <c:v>1088</c:v>
                </c:pt>
                <c:pt idx="356">
                  <c:v>1098</c:v>
                </c:pt>
                <c:pt idx="357">
                  <c:v>1109</c:v>
                </c:pt>
                <c:pt idx="358">
                  <c:v>1121</c:v>
                </c:pt>
                <c:pt idx="359">
                  <c:v>1133</c:v>
                </c:pt>
                <c:pt idx="360">
                  <c:v>1146</c:v>
                </c:pt>
                <c:pt idx="361">
                  <c:v>1159</c:v>
                </c:pt>
                <c:pt idx="362">
                  <c:v>1172</c:v>
                </c:pt>
                <c:pt idx="363">
                  <c:v>1186</c:v>
                </c:pt>
                <c:pt idx="364">
                  <c:v>1199</c:v>
                </c:pt>
                <c:pt idx="365">
                  <c:v>1228</c:v>
                </c:pt>
                <c:pt idx="366">
                  <c:v>1228</c:v>
                </c:pt>
                <c:pt idx="367">
                  <c:v>1229</c:v>
                </c:pt>
                <c:pt idx="368">
                  <c:v>1229</c:v>
                </c:pt>
                <c:pt idx="369">
                  <c:v>1229</c:v>
                </c:pt>
                <c:pt idx="370">
                  <c:v>1228</c:v>
                </c:pt>
                <c:pt idx="371">
                  <c:v>1228</c:v>
                </c:pt>
                <c:pt idx="372">
                  <c:v>1220</c:v>
                </c:pt>
                <c:pt idx="373">
                  <c:v>1213</c:v>
                </c:pt>
                <c:pt idx="374">
                  <c:v>1199</c:v>
                </c:pt>
                <c:pt idx="375">
                  <c:v>1185</c:v>
                </c:pt>
                <c:pt idx="376">
                  <c:v>1165</c:v>
                </c:pt>
                <c:pt idx="377">
                  <c:v>1146</c:v>
                </c:pt>
                <c:pt idx="378">
                  <c:v>1125</c:v>
                </c:pt>
                <c:pt idx="379">
                  <c:v>1107</c:v>
                </c:pt>
                <c:pt idx="380">
                  <c:v>1089</c:v>
                </c:pt>
                <c:pt idx="381">
                  <c:v>1072</c:v>
                </c:pt>
                <c:pt idx="382">
                  <c:v>1055</c:v>
                </c:pt>
                <c:pt idx="383">
                  <c:v>1041</c:v>
                </c:pt>
                <c:pt idx="384">
                  <c:v>1027</c:v>
                </c:pt>
                <c:pt idx="385">
                  <c:v>1017</c:v>
                </c:pt>
                <c:pt idx="386">
                  <c:v>1011</c:v>
                </c:pt>
                <c:pt idx="387">
                  <c:v>1005</c:v>
                </c:pt>
                <c:pt idx="388">
                  <c:v>1002</c:v>
                </c:pt>
                <c:pt idx="389">
                  <c:v>1002</c:v>
                </c:pt>
                <c:pt idx="390">
                  <c:v>1002</c:v>
                </c:pt>
                <c:pt idx="391">
                  <c:v>1004</c:v>
                </c:pt>
                <c:pt idx="392">
                  <c:v>1004</c:v>
                </c:pt>
                <c:pt idx="393">
                  <c:v>1005</c:v>
                </c:pt>
                <c:pt idx="394">
                  <c:v>1006</c:v>
                </c:pt>
                <c:pt idx="395">
                  <c:v>1007</c:v>
                </c:pt>
                <c:pt idx="396">
                  <c:v>1009</c:v>
                </c:pt>
                <c:pt idx="397">
                  <c:v>1011</c:v>
                </c:pt>
                <c:pt idx="398">
                  <c:v>1012</c:v>
                </c:pt>
                <c:pt idx="399">
                  <c:v>1018</c:v>
                </c:pt>
                <c:pt idx="400">
                  <c:v>1023</c:v>
                </c:pt>
                <c:pt idx="401">
                  <c:v>1031</c:v>
                </c:pt>
                <c:pt idx="402">
                  <c:v>1040</c:v>
                </c:pt>
                <c:pt idx="403">
                  <c:v>1049</c:v>
                </c:pt>
                <c:pt idx="404">
                  <c:v>1060</c:v>
                </c:pt>
                <c:pt idx="405">
                  <c:v>1069</c:v>
                </c:pt>
                <c:pt idx="406">
                  <c:v>1078</c:v>
                </c:pt>
                <c:pt idx="407">
                  <c:v>1086</c:v>
                </c:pt>
                <c:pt idx="408">
                  <c:v>1094</c:v>
                </c:pt>
                <c:pt idx="409">
                  <c:v>1104</c:v>
                </c:pt>
                <c:pt idx="410">
                  <c:v>1114</c:v>
                </c:pt>
                <c:pt idx="411">
                  <c:v>1126</c:v>
                </c:pt>
                <c:pt idx="412">
                  <c:v>1140</c:v>
                </c:pt>
                <c:pt idx="413">
                  <c:v>1154</c:v>
                </c:pt>
                <c:pt idx="414">
                  <c:v>1168</c:v>
                </c:pt>
                <c:pt idx="415">
                  <c:v>1182</c:v>
                </c:pt>
                <c:pt idx="416">
                  <c:v>1197</c:v>
                </c:pt>
                <c:pt idx="417">
                  <c:v>1251</c:v>
                </c:pt>
                <c:pt idx="418">
                  <c:v>1251</c:v>
                </c:pt>
                <c:pt idx="419">
                  <c:v>1250</c:v>
                </c:pt>
                <c:pt idx="420">
                  <c:v>1250</c:v>
                </c:pt>
                <c:pt idx="421">
                  <c:v>1248</c:v>
                </c:pt>
                <c:pt idx="422">
                  <c:v>1247</c:v>
                </c:pt>
                <c:pt idx="423">
                  <c:v>1245</c:v>
                </c:pt>
                <c:pt idx="424">
                  <c:v>1235</c:v>
                </c:pt>
                <c:pt idx="425">
                  <c:v>1225</c:v>
                </c:pt>
                <c:pt idx="426">
                  <c:v>1209</c:v>
                </c:pt>
                <c:pt idx="427">
                  <c:v>1192</c:v>
                </c:pt>
                <c:pt idx="428">
                  <c:v>1172</c:v>
                </c:pt>
                <c:pt idx="429">
                  <c:v>1151</c:v>
                </c:pt>
                <c:pt idx="430">
                  <c:v>1131</c:v>
                </c:pt>
                <c:pt idx="431">
                  <c:v>1114</c:v>
                </c:pt>
                <c:pt idx="432">
                  <c:v>1096</c:v>
                </c:pt>
                <c:pt idx="433">
                  <c:v>1079</c:v>
                </c:pt>
                <c:pt idx="434">
                  <c:v>1063</c:v>
                </c:pt>
                <c:pt idx="435">
                  <c:v>1048</c:v>
                </c:pt>
                <c:pt idx="436">
                  <c:v>1034</c:v>
                </c:pt>
                <c:pt idx="437">
                  <c:v>1024</c:v>
                </c:pt>
                <c:pt idx="438">
                  <c:v>1018</c:v>
                </c:pt>
                <c:pt idx="439">
                  <c:v>1012</c:v>
                </c:pt>
                <c:pt idx="440">
                  <c:v>1008</c:v>
                </c:pt>
                <c:pt idx="441">
                  <c:v>1008</c:v>
                </c:pt>
                <c:pt idx="442">
                  <c:v>1009</c:v>
                </c:pt>
                <c:pt idx="443">
                  <c:v>1011</c:v>
                </c:pt>
                <c:pt idx="444">
                  <c:v>1012</c:v>
                </c:pt>
                <c:pt idx="445">
                  <c:v>1013</c:v>
                </c:pt>
                <c:pt idx="446">
                  <c:v>1014</c:v>
                </c:pt>
                <c:pt idx="447">
                  <c:v>1016</c:v>
                </c:pt>
                <c:pt idx="448">
                  <c:v>1018</c:v>
                </c:pt>
                <c:pt idx="449">
                  <c:v>1020</c:v>
                </c:pt>
                <c:pt idx="450">
                  <c:v>1022</c:v>
                </c:pt>
                <c:pt idx="451">
                  <c:v>1028</c:v>
                </c:pt>
                <c:pt idx="452">
                  <c:v>1034</c:v>
                </c:pt>
                <c:pt idx="453">
                  <c:v>1043</c:v>
                </c:pt>
                <c:pt idx="454">
                  <c:v>1052</c:v>
                </c:pt>
                <c:pt idx="455">
                  <c:v>1061</c:v>
                </c:pt>
                <c:pt idx="456">
                  <c:v>1072</c:v>
                </c:pt>
                <c:pt idx="457">
                  <c:v>1081</c:v>
                </c:pt>
                <c:pt idx="458">
                  <c:v>1089</c:v>
                </c:pt>
                <c:pt idx="459">
                  <c:v>1096</c:v>
                </c:pt>
                <c:pt idx="460">
                  <c:v>1103</c:v>
                </c:pt>
                <c:pt idx="461">
                  <c:v>1113</c:v>
                </c:pt>
                <c:pt idx="462">
                  <c:v>1122</c:v>
                </c:pt>
                <c:pt idx="463">
                  <c:v>1133</c:v>
                </c:pt>
                <c:pt idx="464">
                  <c:v>1146</c:v>
                </c:pt>
                <c:pt idx="465">
                  <c:v>1159</c:v>
                </c:pt>
                <c:pt idx="466">
                  <c:v>1172</c:v>
                </c:pt>
                <c:pt idx="467">
                  <c:v>1185</c:v>
                </c:pt>
                <c:pt idx="468">
                  <c:v>1198</c:v>
                </c:pt>
                <c:pt idx="469">
                  <c:v>1247</c:v>
                </c:pt>
                <c:pt idx="470">
                  <c:v>1253</c:v>
                </c:pt>
                <c:pt idx="471">
                  <c:v>1258</c:v>
                </c:pt>
                <c:pt idx="472">
                  <c:v>1263</c:v>
                </c:pt>
                <c:pt idx="473">
                  <c:v>1267</c:v>
                </c:pt>
                <c:pt idx="474">
                  <c:v>1272</c:v>
                </c:pt>
                <c:pt idx="475">
                  <c:v>1268</c:v>
                </c:pt>
                <c:pt idx="476">
                  <c:v>1255</c:v>
                </c:pt>
                <c:pt idx="477">
                  <c:v>1241</c:v>
                </c:pt>
                <c:pt idx="478">
                  <c:v>1219</c:v>
                </c:pt>
                <c:pt idx="479">
                  <c:v>1196</c:v>
                </c:pt>
                <c:pt idx="480">
                  <c:v>1173</c:v>
                </c:pt>
                <c:pt idx="481">
                  <c:v>1150</c:v>
                </c:pt>
                <c:pt idx="482">
                  <c:v>1130</c:v>
                </c:pt>
                <c:pt idx="483">
                  <c:v>1111</c:v>
                </c:pt>
                <c:pt idx="484">
                  <c:v>1093</c:v>
                </c:pt>
                <c:pt idx="485">
                  <c:v>1076</c:v>
                </c:pt>
                <c:pt idx="486">
                  <c:v>1058</c:v>
                </c:pt>
                <c:pt idx="487">
                  <c:v>1044</c:v>
                </c:pt>
                <c:pt idx="488">
                  <c:v>1030</c:v>
                </c:pt>
                <c:pt idx="489">
                  <c:v>1021</c:v>
                </c:pt>
                <c:pt idx="490">
                  <c:v>1015</c:v>
                </c:pt>
                <c:pt idx="491">
                  <c:v>1009</c:v>
                </c:pt>
                <c:pt idx="492">
                  <c:v>1007</c:v>
                </c:pt>
                <c:pt idx="493">
                  <c:v>1009</c:v>
                </c:pt>
                <c:pt idx="494">
                  <c:v>1010</c:v>
                </c:pt>
                <c:pt idx="495">
                  <c:v>1016</c:v>
                </c:pt>
                <c:pt idx="496">
                  <c:v>1017</c:v>
                </c:pt>
                <c:pt idx="497">
                  <c:v>1019</c:v>
                </c:pt>
                <c:pt idx="498">
                  <c:v>1020</c:v>
                </c:pt>
                <c:pt idx="499">
                  <c:v>1021</c:v>
                </c:pt>
                <c:pt idx="500">
                  <c:v>1021</c:v>
                </c:pt>
                <c:pt idx="501">
                  <c:v>1022</c:v>
                </c:pt>
                <c:pt idx="502">
                  <c:v>1023</c:v>
                </c:pt>
                <c:pt idx="503">
                  <c:v>1030</c:v>
                </c:pt>
                <c:pt idx="504">
                  <c:v>1037</c:v>
                </c:pt>
                <c:pt idx="505">
                  <c:v>1046</c:v>
                </c:pt>
                <c:pt idx="506">
                  <c:v>1055</c:v>
                </c:pt>
                <c:pt idx="507">
                  <c:v>1065</c:v>
                </c:pt>
                <c:pt idx="508">
                  <c:v>1076</c:v>
                </c:pt>
                <c:pt idx="509">
                  <c:v>1085</c:v>
                </c:pt>
                <c:pt idx="510">
                  <c:v>1094</c:v>
                </c:pt>
                <c:pt idx="511">
                  <c:v>1099</c:v>
                </c:pt>
                <c:pt idx="512">
                  <c:v>1103</c:v>
                </c:pt>
                <c:pt idx="513">
                  <c:v>1113</c:v>
                </c:pt>
                <c:pt idx="514">
                  <c:v>1123</c:v>
                </c:pt>
                <c:pt idx="515">
                  <c:v>1133</c:v>
                </c:pt>
                <c:pt idx="516">
                  <c:v>1146</c:v>
                </c:pt>
                <c:pt idx="517">
                  <c:v>1158</c:v>
                </c:pt>
                <c:pt idx="518">
                  <c:v>1170</c:v>
                </c:pt>
                <c:pt idx="519">
                  <c:v>1181</c:v>
                </c:pt>
                <c:pt idx="520">
                  <c:v>1193</c:v>
                </c:pt>
              </c:numCache>
            </c:numRef>
          </c:val>
          <c:smooth val="0"/>
          <c:extLst>
            <c:ext xmlns:c16="http://schemas.microsoft.com/office/drawing/2014/chart" uri="{C3380CC4-5D6E-409C-BE32-E72D297353CC}">
              <c16:uniqueId val="{00000003-7234-497A-9674-CB9AF3A57D24}"/>
            </c:ext>
          </c:extLst>
        </c:ser>
        <c:dLbls>
          <c:showLegendKey val="0"/>
          <c:showVal val="0"/>
          <c:showCatName val="0"/>
          <c:showSerName val="0"/>
          <c:showPercent val="0"/>
          <c:showBubbleSize val="0"/>
        </c:dLbls>
        <c:smooth val="0"/>
        <c:axId val="602287856"/>
        <c:axId val="481413088"/>
      </c:lineChart>
      <c:catAx>
        <c:axId val="6022878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81413088"/>
        <c:crosses val="autoZero"/>
        <c:auto val="1"/>
        <c:lblAlgn val="ctr"/>
        <c:lblOffset val="100"/>
        <c:noMultiLvlLbl val="0"/>
      </c:catAx>
      <c:valAx>
        <c:axId val="4814130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60228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Total confirmed case</a:t>
            </a:r>
          </a:p>
        </c:rich>
      </c:tx>
      <c:overlay val="1"/>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728355277472318E-2"/>
          <c:y val="2.5608194622279128E-2"/>
          <c:w val="0.92733512493163894"/>
          <c:h val="0.80347404397753741"/>
        </c:manualLayout>
      </c:layout>
      <c:lineChart>
        <c:grouping val="standard"/>
        <c:varyColors val="0"/>
        <c:ser>
          <c:idx val="5"/>
          <c:order val="5"/>
          <c:tx>
            <c:strRef>
              <c:f>ch_latest!$I$1</c:f>
              <c:strCache>
                <c:ptCount val="1"/>
                <c:pt idx="0">
                  <c:v>released</c:v>
                </c:pt>
              </c:strCache>
            </c:strRef>
          </c:tx>
          <c:spPr>
            <a:ln w="34925" cap="rnd">
              <a:solidFill>
                <a:srgbClr val="66FF99"/>
              </a:solidFill>
              <a:round/>
            </a:ln>
            <a:effectLst>
              <a:outerShdw blurRad="57150" dist="19050" dir="5400000" algn="ctr" rotWithShape="0">
                <a:srgbClr val="000000">
                  <a:alpha val="63000"/>
                </a:srgbClr>
              </a:outerShdw>
            </a:effectLst>
          </c:spPr>
          <c:marker>
            <c:symbol val="none"/>
          </c:marker>
          <c:cat>
            <c:numRef>
              <c:f>ch_latest!$A$2:$A$68</c:f>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f>ch_latest!$I$2:$I$68</c:f>
              <c:numCache>
                <c:formatCode>General</c:formatCode>
                <c:ptCount val="67"/>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4624</c:v>
                </c:pt>
                <c:pt idx="63">
                  <c:v>4676</c:v>
                </c:pt>
                <c:pt idx="64">
                  <c:v>4742</c:v>
                </c:pt>
                <c:pt idx="65">
                  <c:v>4819</c:v>
                </c:pt>
                <c:pt idx="66">
                  <c:v>4850</c:v>
                </c:pt>
              </c:numCache>
            </c:numRef>
          </c:val>
          <c:smooth val="0"/>
          <c:extLst>
            <c:ext xmlns:c16="http://schemas.microsoft.com/office/drawing/2014/chart" uri="{C3380CC4-5D6E-409C-BE32-E72D297353CC}">
              <c16:uniqueId val="{00000004-1B1B-4E8A-9467-6BF6B6803E2C}"/>
            </c:ext>
          </c:extLst>
        </c:ser>
        <c:ser>
          <c:idx val="3"/>
          <c:order val="3"/>
          <c:tx>
            <c:strRef>
              <c:f>ch_latest!$G$1</c:f>
              <c:strCache>
                <c:ptCount val="1"/>
                <c:pt idx="0">
                  <c:v>total_positive</c:v>
                </c:pt>
              </c:strCache>
            </c:strRef>
          </c:tx>
          <c:spPr>
            <a:ln w="34925" cap="rnd">
              <a:solidFill>
                <a:srgbClr val="FFFF00"/>
              </a:solidFill>
              <a:round/>
            </a:ln>
            <a:effectLst>
              <a:outerShdw blurRad="57150" dist="19050" dir="5400000" algn="ctr" rotWithShape="0">
                <a:srgbClr val="000000">
                  <a:alpha val="63000"/>
                </a:srgbClr>
              </a:outerShdw>
            </a:effectLst>
          </c:spPr>
          <c:marker>
            <c:symbol val="none"/>
          </c:marker>
          <c:cat>
            <c:numRef>
              <c:f>ch_latest!$A$2:$A$68</c:f>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f>ch_latest!$G$2:$G$68</c:f>
              <c:numCache>
                <c:formatCode>General</c:formatCode>
                <c:ptCount val="67"/>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23890</c:v>
                </c:pt>
                <c:pt idx="44">
                  <c:v>24558</c:v>
                </c:pt>
                <c:pt idx="45">
                  <c:v>25007</c:v>
                </c:pt>
                <c:pt idx="46">
                  <c:v>25470</c:v>
                </c:pt>
                <c:pt idx="47">
                  <c:v>25743</c:v>
                </c:pt>
                <c:pt idx="48">
                  <c:v>25993</c:v>
                </c:pt>
                <c:pt idx="49">
                  <c:v>26315</c:v>
                </c:pt>
                <c:pt idx="50">
                  <c:v>26633</c:v>
                </c:pt>
                <c:pt idx="51">
                  <c:v>26932</c:v>
                </c:pt>
                <c:pt idx="52">
                  <c:v>27255</c:v>
                </c:pt>
                <c:pt idx="53">
                  <c:v>27538</c:v>
                </c:pt>
                <c:pt idx="54">
                  <c:v>27715</c:v>
                </c:pt>
                <c:pt idx="55">
                  <c:v>27917</c:v>
                </c:pt>
                <c:pt idx="56">
                  <c:v>28076</c:v>
                </c:pt>
                <c:pt idx="57">
                  <c:v>28273</c:v>
                </c:pt>
                <c:pt idx="58">
                  <c:v>28490</c:v>
                </c:pt>
                <c:pt idx="59">
                  <c:v>28681</c:v>
                </c:pt>
                <c:pt idx="60">
                  <c:v>28820</c:v>
                </c:pt>
                <c:pt idx="61">
                  <c:v>28901</c:v>
                </c:pt>
                <c:pt idx="62">
                  <c:v>29066</c:v>
                </c:pt>
                <c:pt idx="63">
                  <c:v>29179</c:v>
                </c:pt>
                <c:pt idx="64">
                  <c:v>29285</c:v>
                </c:pt>
                <c:pt idx="65">
                  <c:v>29410</c:v>
                </c:pt>
                <c:pt idx="66">
                  <c:v>29483</c:v>
                </c:pt>
              </c:numCache>
            </c:numRef>
          </c:val>
          <c:smooth val="0"/>
          <c:extLst>
            <c:ext xmlns:c16="http://schemas.microsoft.com/office/drawing/2014/chart" uri="{C3380CC4-5D6E-409C-BE32-E72D297353CC}">
              <c16:uniqueId val="{00000002-1B1B-4E8A-9467-6BF6B6803E2C}"/>
            </c:ext>
          </c:extLst>
        </c:ser>
        <c:ser>
          <c:idx val="6"/>
          <c:order val="6"/>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ch_latest!$A$2:$A$68</c:f>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f>ch_latest!$J$2:$J$68</c:f>
              <c:numCache>
                <c:formatCode>General</c:formatCode>
                <c:ptCount val="67"/>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245</c:v>
                </c:pt>
                <c:pt idx="31">
                  <c:v>282</c:v>
                </c:pt>
                <c:pt idx="32">
                  <c:v>334</c:v>
                </c:pt>
                <c:pt idx="33">
                  <c:v>378</c:v>
                </c:pt>
                <c:pt idx="34">
                  <c:v>439</c:v>
                </c:pt>
                <c:pt idx="35">
                  <c:v>504</c:v>
                </c:pt>
                <c:pt idx="36">
                  <c:v>567</c:v>
                </c:pt>
                <c:pt idx="37">
                  <c:v>628</c:v>
                </c:pt>
                <c:pt idx="38">
                  <c:v>689</c:v>
                </c:pt>
                <c:pt idx="39">
                  <c:v>756</c:v>
                </c:pt>
                <c:pt idx="40">
                  <c:v>808</c:v>
                </c:pt>
                <c:pt idx="41">
                  <c:v>867</c:v>
                </c:pt>
                <c:pt idx="42">
                  <c:v>927</c:v>
                </c:pt>
                <c:pt idx="43">
                  <c:v>995</c:v>
                </c:pt>
                <c:pt idx="44">
                  <c:v>1046</c:v>
                </c:pt>
                <c:pt idx="45">
                  <c:v>1096</c:v>
                </c:pt>
                <c:pt idx="46">
                  <c:v>1134</c:v>
                </c:pt>
                <c:pt idx="47">
                  <c:v>1190</c:v>
                </c:pt>
                <c:pt idx="48">
                  <c:v>1220</c:v>
                </c:pt>
                <c:pt idx="49">
                  <c:v>1258</c:v>
                </c:pt>
                <c:pt idx="50">
                  <c:v>1311</c:v>
                </c:pt>
                <c:pt idx="51">
                  <c:v>1356</c:v>
                </c:pt>
                <c:pt idx="52">
                  <c:v>1402</c:v>
                </c:pt>
                <c:pt idx="53">
                  <c:v>1444</c:v>
                </c:pt>
                <c:pt idx="54">
                  <c:v>1468</c:v>
                </c:pt>
                <c:pt idx="55">
                  <c:v>1510</c:v>
                </c:pt>
                <c:pt idx="56">
                  <c:v>1551</c:v>
                </c:pt>
                <c:pt idx="57">
                  <c:v>1578</c:v>
                </c:pt>
                <c:pt idx="58">
                  <c:v>1608</c:v>
                </c:pt>
                <c:pt idx="59">
                  <c:v>1637</c:v>
                </c:pt>
                <c:pt idx="60">
                  <c:v>1661</c:v>
                </c:pt>
                <c:pt idx="61">
                  <c:v>1677</c:v>
                </c:pt>
                <c:pt idx="62">
                  <c:v>1699</c:v>
                </c:pt>
                <c:pt idx="63">
                  <c:v>1724</c:v>
                </c:pt>
                <c:pt idx="64">
                  <c:v>1731</c:v>
                </c:pt>
                <c:pt idx="65">
                  <c:v>1742</c:v>
                </c:pt>
                <c:pt idx="66">
                  <c:v>1751</c:v>
                </c:pt>
              </c:numCache>
            </c:numRef>
          </c:val>
          <c:smooth val="0"/>
          <c:extLst xmlns:c15="http://schemas.microsoft.com/office/drawing/2012/chart">
            <c:ext xmlns:c16="http://schemas.microsoft.com/office/drawing/2014/chart" uri="{C3380CC4-5D6E-409C-BE32-E72D297353CC}">
              <c16:uniqueId val="{00000005-1B1B-4E8A-9467-6BF6B6803E2C}"/>
            </c:ext>
          </c:extLst>
        </c:ser>
        <c:dLbls>
          <c:showLegendKey val="0"/>
          <c:showVal val="0"/>
          <c:showCatName val="0"/>
          <c:showSerName val="0"/>
          <c:showPercent val="0"/>
          <c:showBubbleSize val="0"/>
        </c:dLbls>
        <c:smooth val="0"/>
        <c:axId val="1165289807"/>
        <c:axId val="72936975"/>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c:ext uri="{02D57815-91ED-43cb-92C2-25804820EDAC}">
                        <c15:formulaRef>
                          <c15:sqref>ch_latest!$D$2:$D$68</c15:sqref>
                        </c15:formulaRef>
                      </c:ext>
                    </c:extLst>
                    <c:numCache>
                      <c:formatCode>General</c:formatCode>
                      <c:ptCount val="67"/>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322</c:v>
                      </c:pt>
                      <c:pt idx="33">
                        <c:v>336</c:v>
                      </c:pt>
                      <c:pt idx="34">
                        <c:v>382</c:v>
                      </c:pt>
                      <c:pt idx="35">
                        <c:v>408</c:v>
                      </c:pt>
                      <c:pt idx="36">
                        <c:v>437</c:v>
                      </c:pt>
                      <c:pt idx="37">
                        <c:v>442</c:v>
                      </c:pt>
                      <c:pt idx="38">
                        <c:v>452</c:v>
                      </c:pt>
                      <c:pt idx="39">
                        <c:v>454</c:v>
                      </c:pt>
                      <c:pt idx="40">
                        <c:v>444</c:v>
                      </c:pt>
                      <c:pt idx="41">
                        <c:v>443</c:v>
                      </c:pt>
                      <c:pt idx="42">
                        <c:v>437</c:v>
                      </c:pt>
                      <c:pt idx="43">
                        <c:v>434</c:v>
                      </c:pt>
                      <c:pt idx="44">
                        <c:v>426</c:v>
                      </c:pt>
                      <c:pt idx="45">
                        <c:v>414</c:v>
                      </c:pt>
                      <c:pt idx="46">
                        <c:v>414</c:v>
                      </c:pt>
                      <c:pt idx="47">
                        <c:v>403</c:v>
                      </c:pt>
                      <c:pt idx="48">
                        <c:v>399</c:v>
                      </c:pt>
                      <c:pt idx="49">
                        <c:v>386</c:v>
                      </c:pt>
                      <c:pt idx="50">
                        <c:v>363</c:v>
                      </c:pt>
                      <c:pt idx="51">
                        <c:v>343</c:v>
                      </c:pt>
                      <c:pt idx="52">
                        <c:v>331</c:v>
                      </c:pt>
                      <c:pt idx="53">
                        <c:v>317</c:v>
                      </c:pt>
                      <c:pt idx="54">
                        <c:v>308</c:v>
                      </c:pt>
                      <c:pt idx="55">
                        <c:v>294</c:v>
                      </c:pt>
                      <c:pt idx="56">
                        <c:v>280</c:v>
                      </c:pt>
                      <c:pt idx="57">
                        <c:v>249</c:v>
                      </c:pt>
                      <c:pt idx="58">
                        <c:v>241</c:v>
                      </c:pt>
                      <c:pt idx="59">
                        <c:v>237</c:v>
                      </c:pt>
                      <c:pt idx="60">
                        <c:v>228</c:v>
                      </c:pt>
                      <c:pt idx="61">
                        <c:v>206</c:v>
                      </c:pt>
                      <c:pt idx="62">
                        <c:v>201</c:v>
                      </c:pt>
                      <c:pt idx="63">
                        <c:v>182</c:v>
                      </c:pt>
                      <c:pt idx="64">
                        <c:v>187</c:v>
                      </c:pt>
                      <c:pt idx="65">
                        <c:v>172</c:v>
                      </c:pt>
                      <c:pt idx="66">
                        <c:v>169</c:v>
                      </c:pt>
                    </c:numCache>
                  </c:numRef>
                </c:val>
                <c:smooth val="0"/>
                <c:extLst>
                  <c:ext xmlns:c16="http://schemas.microsoft.com/office/drawing/2014/chart" uri="{C3380CC4-5D6E-409C-BE32-E72D297353CC}">
                    <c16:uniqueId val="{00000000-2841-49BC-AC15-B5837423ED65}"/>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ch_latest!$E$2:$E$68</c15:sqref>
                        </c15:formulaRef>
                      </c:ext>
                    </c:extLst>
                    <c:numCache>
                      <c:formatCode>General</c:formatCode>
                      <c:ptCount val="67"/>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1462</c:v>
                      </c:pt>
                      <c:pt idx="30">
                        <c:v>1608</c:v>
                      </c:pt>
                      <c:pt idx="31">
                        <c:v>1789</c:v>
                      </c:pt>
                      <c:pt idx="32">
                        <c:v>1876</c:v>
                      </c:pt>
                      <c:pt idx="33">
                        <c:v>1990</c:v>
                      </c:pt>
                      <c:pt idx="34">
                        <c:v>2174</c:v>
                      </c:pt>
                      <c:pt idx="35">
                        <c:v>2202</c:v>
                      </c:pt>
                      <c:pt idx="36">
                        <c:v>2280</c:v>
                      </c:pt>
                      <c:pt idx="37">
                        <c:v>2343</c:v>
                      </c:pt>
                      <c:pt idx="38">
                        <c:v>2324</c:v>
                      </c:pt>
                      <c:pt idx="39">
                        <c:v>2311</c:v>
                      </c:pt>
                      <c:pt idx="40">
                        <c:v>2296</c:v>
                      </c:pt>
                      <c:pt idx="41">
                        <c:v>2301</c:v>
                      </c:pt>
                      <c:pt idx="42">
                        <c:v>2219</c:v>
                      </c:pt>
                      <c:pt idx="43">
                        <c:v>2129</c:v>
                      </c:pt>
                      <c:pt idx="44">
                        <c:v>2061</c:v>
                      </c:pt>
                      <c:pt idx="45">
                        <c:v>2001</c:v>
                      </c:pt>
                      <c:pt idx="46">
                        <c:v>1926</c:v>
                      </c:pt>
                      <c:pt idx="47">
                        <c:v>1903</c:v>
                      </c:pt>
                      <c:pt idx="48">
                        <c:v>1886</c:v>
                      </c:pt>
                      <c:pt idx="49">
                        <c:v>1846</c:v>
                      </c:pt>
                      <c:pt idx="50">
                        <c:v>1723</c:v>
                      </c:pt>
                      <c:pt idx="51">
                        <c:v>1665</c:v>
                      </c:pt>
                      <c:pt idx="52">
                        <c:v>1566</c:v>
                      </c:pt>
                      <c:pt idx="53">
                        <c:v>1515</c:v>
                      </c:pt>
                      <c:pt idx="54">
                        <c:v>1507</c:v>
                      </c:pt>
                      <c:pt idx="55">
                        <c:v>1483</c:v>
                      </c:pt>
                      <c:pt idx="56">
                        <c:v>1405</c:v>
                      </c:pt>
                      <c:pt idx="57">
                        <c:v>1339</c:v>
                      </c:pt>
                      <c:pt idx="58">
                        <c:v>1286</c:v>
                      </c:pt>
                      <c:pt idx="59">
                        <c:v>1241</c:v>
                      </c:pt>
                      <c:pt idx="60">
                        <c:v>1212</c:v>
                      </c:pt>
                      <c:pt idx="61">
                        <c:v>1191</c:v>
                      </c:pt>
                      <c:pt idx="62">
                        <c:v>1169</c:v>
                      </c:pt>
                      <c:pt idx="63">
                        <c:v>1141</c:v>
                      </c:pt>
                      <c:pt idx="64">
                        <c:v>1072</c:v>
                      </c:pt>
                      <c:pt idx="65">
                        <c:v>998</c:v>
                      </c:pt>
                      <c:pt idx="66">
                        <c:v>966</c:v>
                      </c:pt>
                    </c:numCache>
                  </c:numRef>
                </c:val>
                <c:smooth val="0"/>
                <c:extLst xmlns:c15="http://schemas.microsoft.com/office/drawing/2012/chart">
                  <c:ext xmlns:c16="http://schemas.microsoft.com/office/drawing/2014/chart" uri="{C3380CC4-5D6E-409C-BE32-E72D297353CC}">
                    <c16:uniqueId val="{00000000-1B1B-4E8A-9467-6BF6B6803E2C}"/>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ch_latest!$F$2:$F$68</c15:sqref>
                        </c15:formulaRef>
                      </c:ext>
                    </c:extLst>
                    <c:numCache>
                      <c:formatCode>General</c:formatCode>
                      <c:ptCount val="67"/>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23890</c:v>
                      </c:pt>
                      <c:pt idx="44">
                        <c:v>24558</c:v>
                      </c:pt>
                      <c:pt idx="45">
                        <c:v>25007</c:v>
                      </c:pt>
                      <c:pt idx="46">
                        <c:v>25470</c:v>
                      </c:pt>
                      <c:pt idx="47">
                        <c:v>25743</c:v>
                      </c:pt>
                      <c:pt idx="48">
                        <c:v>25993</c:v>
                      </c:pt>
                      <c:pt idx="49">
                        <c:v>26315</c:v>
                      </c:pt>
                      <c:pt idx="50">
                        <c:v>26633</c:v>
                      </c:pt>
                      <c:pt idx="51">
                        <c:v>26932</c:v>
                      </c:pt>
                      <c:pt idx="52">
                        <c:v>27255</c:v>
                      </c:pt>
                      <c:pt idx="53">
                        <c:v>27538</c:v>
                      </c:pt>
                      <c:pt idx="54">
                        <c:v>27715</c:v>
                      </c:pt>
                      <c:pt idx="55">
                        <c:v>27917</c:v>
                      </c:pt>
                      <c:pt idx="56">
                        <c:v>28076</c:v>
                      </c:pt>
                      <c:pt idx="57">
                        <c:v>28273</c:v>
                      </c:pt>
                      <c:pt idx="58">
                        <c:v>28490</c:v>
                      </c:pt>
                      <c:pt idx="59">
                        <c:v>28681</c:v>
                      </c:pt>
                      <c:pt idx="60">
                        <c:v>28820</c:v>
                      </c:pt>
                      <c:pt idx="61">
                        <c:v>28901</c:v>
                      </c:pt>
                      <c:pt idx="62">
                        <c:v>29066</c:v>
                      </c:pt>
                      <c:pt idx="63">
                        <c:v>29179</c:v>
                      </c:pt>
                      <c:pt idx="64">
                        <c:v>29285</c:v>
                      </c:pt>
                      <c:pt idx="65">
                        <c:v>29410</c:v>
                      </c:pt>
                      <c:pt idx="66">
                        <c:v>29483</c:v>
                      </c:pt>
                    </c:numCache>
                  </c:numRef>
                </c:val>
                <c:smooth val="0"/>
                <c:extLst xmlns:c15="http://schemas.microsoft.com/office/drawing/2012/chart">
                  <c:ext xmlns:c16="http://schemas.microsoft.com/office/drawing/2014/chart" uri="{C3380CC4-5D6E-409C-BE32-E72D297353CC}">
                    <c16:uniqueId val="{00000001-1B1B-4E8A-9467-6BF6B6803E2C}"/>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ch_latest!$H$2:$H$68</c15:sqref>
                        </c15:formulaRef>
                      </c:ext>
                    </c:extLst>
                    <c:numCache>
                      <c:formatCode>General</c:formatCode>
                      <c:ptCount val="67"/>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10908</c:v>
                      </c:pt>
                      <c:pt idx="32">
                        <c:v>11501</c:v>
                      </c:pt>
                      <c:pt idx="33">
                        <c:v>11810</c:v>
                      </c:pt>
                      <c:pt idx="34">
                        <c:v>12476</c:v>
                      </c:pt>
                      <c:pt idx="35">
                        <c:v>13236</c:v>
                      </c:pt>
                      <c:pt idx="36">
                        <c:v>13892</c:v>
                      </c:pt>
                      <c:pt idx="37">
                        <c:v>14839</c:v>
                      </c:pt>
                      <c:pt idx="38">
                        <c:v>15668</c:v>
                      </c:pt>
                      <c:pt idx="39">
                        <c:v>16259</c:v>
                      </c:pt>
                      <c:pt idx="40">
                        <c:v>16558</c:v>
                      </c:pt>
                      <c:pt idx="41">
                        <c:v>17197</c:v>
                      </c:pt>
                      <c:pt idx="42">
                        <c:v>18038</c:v>
                      </c:pt>
                      <c:pt idx="43">
                        <c:v>18843</c:v>
                      </c:pt>
                      <c:pt idx="44">
                        <c:v>19357</c:v>
                      </c:pt>
                      <c:pt idx="45">
                        <c:v>19769</c:v>
                      </c:pt>
                      <c:pt idx="46">
                        <c:v>20129</c:v>
                      </c:pt>
                      <c:pt idx="47">
                        <c:v>20304</c:v>
                      </c:pt>
                      <c:pt idx="48">
                        <c:v>20609</c:v>
                      </c:pt>
                      <c:pt idx="49">
                        <c:v>21153</c:v>
                      </c:pt>
                      <c:pt idx="50">
                        <c:v>21611</c:v>
                      </c:pt>
                      <c:pt idx="51">
                        <c:v>22288</c:v>
                      </c:pt>
                      <c:pt idx="52">
                        <c:v>22727</c:v>
                      </c:pt>
                      <c:pt idx="53">
                        <c:v>23168</c:v>
                      </c:pt>
                      <c:pt idx="54">
                        <c:v>23350</c:v>
                      </c:pt>
                      <c:pt idx="55">
                        <c:v>23724</c:v>
                      </c:pt>
                      <c:pt idx="56">
                        <c:v>24135</c:v>
                      </c:pt>
                      <c:pt idx="57">
                        <c:v>24483</c:v>
                      </c:pt>
                      <c:pt idx="58">
                        <c:v>24945</c:v>
                      </c:pt>
                      <c:pt idx="59">
                        <c:v>25337</c:v>
                      </c:pt>
                      <c:pt idx="60">
                        <c:v>25695</c:v>
                      </c:pt>
                      <c:pt idx="61">
                        <c:v>25889</c:v>
                      </c:pt>
                      <c:pt idx="62">
                        <c:v>26162</c:v>
                      </c:pt>
                      <c:pt idx="63">
                        <c:v>26542</c:v>
                      </c:pt>
                      <c:pt idx="64">
                        <c:v>26542</c:v>
                      </c:pt>
                      <c:pt idx="65">
                        <c:v>26542</c:v>
                      </c:pt>
                      <c:pt idx="66">
                        <c:v>26542</c:v>
                      </c:pt>
                    </c:numCache>
                  </c:numRef>
                </c:val>
                <c:smooth val="0"/>
                <c:extLst xmlns:c15="http://schemas.microsoft.com/office/drawing/2012/chart">
                  <c:ext xmlns:c16="http://schemas.microsoft.com/office/drawing/2014/chart" uri="{C3380CC4-5D6E-409C-BE32-E72D297353CC}">
                    <c16:uniqueId val="{00000003-1B1B-4E8A-9467-6BF6B6803E2C}"/>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ch_latest!$K$2:$K$68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xmlns:c15="http://schemas.microsoft.com/office/drawing/2012/chart">
                  <c:ext xmlns:c16="http://schemas.microsoft.com/office/drawing/2014/chart" uri="{C3380CC4-5D6E-409C-BE32-E72D297353CC}">
                    <c16:uniqueId val="{00000006-1B1B-4E8A-9467-6BF6B6803E2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ln w="34925" cap="rnd">
                    <a:solidFill>
                      <a:srgbClr val="0078A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ch_latest!$L$2:$L$68</c15:sqref>
                        </c15:formulaRef>
                      </c:ext>
                    </c:extLst>
                    <c:numCache>
                      <c:formatCode>General</c:formatCode>
                      <c:ptCount val="67"/>
                      <c:pt idx="1">
                        <c:v>1</c:v>
                      </c:pt>
                      <c:pt idx="2">
                        <c:v>4</c:v>
                      </c:pt>
                      <c:pt idx="3">
                        <c:v>7</c:v>
                      </c:pt>
                      <c:pt idx="4">
                        <c:v>7</c:v>
                      </c:pt>
                      <c:pt idx="5">
                        <c:v>7</c:v>
                      </c:pt>
                      <c:pt idx="6">
                        <c:v>10</c:v>
                      </c:pt>
                      <c:pt idx="7">
                        <c:v>17</c:v>
                      </c:pt>
                      <c:pt idx="8">
                        <c:v>20</c:v>
                      </c:pt>
                      <c:pt idx="9">
                        <c:v>44</c:v>
                      </c:pt>
                      <c:pt idx="10">
                        <c:v>65</c:v>
                      </c:pt>
                      <c:pt idx="11">
                        <c:v>72</c:v>
                      </c:pt>
                      <c:pt idx="12">
                        <c:v>57</c:v>
                      </c:pt>
                      <c:pt idx="13">
                        <c:v>84</c:v>
                      </c:pt>
                      <c:pt idx="14">
                        <c:v>138</c:v>
                      </c:pt>
                      <c:pt idx="15">
                        <c:v>171</c:v>
                      </c:pt>
                      <c:pt idx="16">
                        <c:v>352</c:v>
                      </c:pt>
                      <c:pt idx="17">
                        <c:v>352</c:v>
                      </c:pt>
                      <c:pt idx="18">
                        <c:v>333</c:v>
                      </c:pt>
                      <c:pt idx="19">
                        <c:v>286</c:v>
                      </c:pt>
                      <c:pt idx="20">
                        <c:v>721</c:v>
                      </c:pt>
                      <c:pt idx="21">
                        <c:v>871</c:v>
                      </c:pt>
                      <c:pt idx="22">
                        <c:v>1172</c:v>
                      </c:pt>
                      <c:pt idx="23">
                        <c:v>1027</c:v>
                      </c:pt>
                      <c:pt idx="24">
                        <c:v>1135</c:v>
                      </c:pt>
                      <c:pt idx="25">
                        <c:v>697</c:v>
                      </c:pt>
                      <c:pt idx="26">
                        <c:v>569</c:v>
                      </c:pt>
                      <c:pt idx="27">
                        <c:v>1517</c:v>
                      </c:pt>
                      <c:pt idx="28">
                        <c:v>1086</c:v>
                      </c:pt>
                      <c:pt idx="29">
                        <c:v>1122</c:v>
                      </c:pt>
                      <c:pt idx="30">
                        <c:v>1113</c:v>
                      </c:pt>
                      <c:pt idx="31">
                        <c:v>1334</c:v>
                      </c:pt>
                      <c:pt idx="32">
                        <c:v>833</c:v>
                      </c:pt>
                      <c:pt idx="33">
                        <c:v>598</c:v>
                      </c:pt>
                      <c:pt idx="34">
                        <c:v>1115</c:v>
                      </c:pt>
                      <c:pt idx="35">
                        <c:v>918</c:v>
                      </c:pt>
                      <c:pt idx="36">
                        <c:v>1048</c:v>
                      </c:pt>
                      <c:pt idx="37">
                        <c:v>1020</c:v>
                      </c:pt>
                      <c:pt idx="38">
                        <c:v>954</c:v>
                      </c:pt>
                      <c:pt idx="39">
                        <c:v>567</c:v>
                      </c:pt>
                      <c:pt idx="40">
                        <c:v>382</c:v>
                      </c:pt>
                      <c:pt idx="41">
                        <c:v>742</c:v>
                      </c:pt>
                      <c:pt idx="42">
                        <c:v>652</c:v>
                      </c:pt>
                      <c:pt idx="43">
                        <c:v>669</c:v>
                      </c:pt>
                      <c:pt idx="44">
                        <c:v>668</c:v>
                      </c:pt>
                      <c:pt idx="45">
                        <c:v>449</c:v>
                      </c:pt>
                      <c:pt idx="46">
                        <c:v>463</c:v>
                      </c:pt>
                      <c:pt idx="47">
                        <c:v>273</c:v>
                      </c:pt>
                      <c:pt idx="48">
                        <c:v>250</c:v>
                      </c:pt>
                      <c:pt idx="49">
                        <c:v>322</c:v>
                      </c:pt>
                      <c:pt idx="50">
                        <c:v>318</c:v>
                      </c:pt>
                      <c:pt idx="51">
                        <c:v>299</c:v>
                      </c:pt>
                      <c:pt idx="52">
                        <c:v>323</c:v>
                      </c:pt>
                      <c:pt idx="53">
                        <c:v>283</c:v>
                      </c:pt>
                      <c:pt idx="54">
                        <c:v>177</c:v>
                      </c:pt>
                      <c:pt idx="55">
                        <c:v>202</c:v>
                      </c:pt>
                      <c:pt idx="56">
                        <c:v>159</c:v>
                      </c:pt>
                      <c:pt idx="57">
                        <c:v>197</c:v>
                      </c:pt>
                      <c:pt idx="58">
                        <c:v>217</c:v>
                      </c:pt>
                      <c:pt idx="59">
                        <c:v>191</c:v>
                      </c:pt>
                      <c:pt idx="60">
                        <c:v>139</c:v>
                      </c:pt>
                      <c:pt idx="61">
                        <c:v>81</c:v>
                      </c:pt>
                      <c:pt idx="62">
                        <c:v>165</c:v>
                      </c:pt>
                      <c:pt idx="63">
                        <c:v>113</c:v>
                      </c:pt>
                      <c:pt idx="64">
                        <c:v>106</c:v>
                      </c:pt>
                      <c:pt idx="65">
                        <c:v>125</c:v>
                      </c:pt>
                      <c:pt idx="66">
                        <c:v>73</c:v>
                      </c:pt>
                    </c:numCache>
                  </c:numRef>
                </c:val>
                <c:smooth val="0"/>
                <c:extLst xmlns:c15="http://schemas.microsoft.com/office/drawing/2012/chart">
                  <c:ext xmlns:c16="http://schemas.microsoft.com/office/drawing/2014/chart" uri="{C3380CC4-5D6E-409C-BE32-E72D297353CC}">
                    <c16:uniqueId val="{00000007-1B1B-4E8A-9467-6BF6B6803E2C}"/>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ch_latest!$M$2:$M$68</c15:sqref>
                        </c15:formulaRef>
                      </c:ext>
                    </c:extLst>
                    <c:numCache>
                      <c:formatCode>General</c:formatCode>
                      <c:ptCount val="67"/>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534</c:v>
                      </c:pt>
                      <c:pt idx="16">
                        <c:v>705</c:v>
                      </c:pt>
                      <c:pt idx="17">
                        <c:v>1057</c:v>
                      </c:pt>
                      <c:pt idx="18">
                        <c:v>1409</c:v>
                      </c:pt>
                      <c:pt idx="19">
                        <c:v>1742</c:v>
                      </c:pt>
                      <c:pt idx="20">
                        <c:v>2028</c:v>
                      </c:pt>
                      <c:pt idx="21">
                        <c:v>2749</c:v>
                      </c:pt>
                      <c:pt idx="22">
                        <c:v>3620</c:v>
                      </c:pt>
                      <c:pt idx="23">
                        <c:v>4792</c:v>
                      </c:pt>
                      <c:pt idx="24">
                        <c:v>5819</c:v>
                      </c:pt>
                      <c:pt idx="25">
                        <c:v>6954</c:v>
                      </c:pt>
                      <c:pt idx="26">
                        <c:v>7651</c:v>
                      </c:pt>
                      <c:pt idx="27">
                        <c:v>8220</c:v>
                      </c:pt>
                      <c:pt idx="28">
                        <c:v>9737</c:v>
                      </c:pt>
                      <c:pt idx="29">
                        <c:v>10823</c:v>
                      </c:pt>
                      <c:pt idx="30">
                        <c:v>11945</c:v>
                      </c:pt>
                      <c:pt idx="31">
                        <c:v>13058</c:v>
                      </c:pt>
                      <c:pt idx="32">
                        <c:v>14392</c:v>
                      </c:pt>
                      <c:pt idx="33">
                        <c:v>15225</c:v>
                      </c:pt>
                      <c:pt idx="34">
                        <c:v>15823</c:v>
                      </c:pt>
                      <c:pt idx="35">
                        <c:v>16938</c:v>
                      </c:pt>
                      <c:pt idx="36">
                        <c:v>17856</c:v>
                      </c:pt>
                      <c:pt idx="37">
                        <c:v>18904</c:v>
                      </c:pt>
                      <c:pt idx="38">
                        <c:v>19924</c:v>
                      </c:pt>
                      <c:pt idx="39">
                        <c:v>20878</c:v>
                      </c:pt>
                      <c:pt idx="40">
                        <c:v>21445</c:v>
                      </c:pt>
                      <c:pt idx="41">
                        <c:v>21827</c:v>
                      </c:pt>
                      <c:pt idx="42">
                        <c:v>22569</c:v>
                      </c:pt>
                      <c:pt idx="43">
                        <c:v>23221</c:v>
                      </c:pt>
                      <c:pt idx="44">
                        <c:v>23890</c:v>
                      </c:pt>
                      <c:pt idx="45">
                        <c:v>24558</c:v>
                      </c:pt>
                      <c:pt idx="46">
                        <c:v>25007</c:v>
                      </c:pt>
                      <c:pt idx="47">
                        <c:v>25470</c:v>
                      </c:pt>
                      <c:pt idx="48">
                        <c:v>25743</c:v>
                      </c:pt>
                      <c:pt idx="49">
                        <c:v>25993</c:v>
                      </c:pt>
                      <c:pt idx="50">
                        <c:v>26315</c:v>
                      </c:pt>
                      <c:pt idx="51">
                        <c:v>26633</c:v>
                      </c:pt>
                      <c:pt idx="52">
                        <c:v>26932</c:v>
                      </c:pt>
                      <c:pt idx="53">
                        <c:v>27255</c:v>
                      </c:pt>
                      <c:pt idx="54">
                        <c:v>27538</c:v>
                      </c:pt>
                      <c:pt idx="55">
                        <c:v>27715</c:v>
                      </c:pt>
                      <c:pt idx="56">
                        <c:v>27917</c:v>
                      </c:pt>
                      <c:pt idx="57">
                        <c:v>28076</c:v>
                      </c:pt>
                      <c:pt idx="58">
                        <c:v>28273</c:v>
                      </c:pt>
                      <c:pt idx="59">
                        <c:v>28490</c:v>
                      </c:pt>
                      <c:pt idx="60">
                        <c:v>28681</c:v>
                      </c:pt>
                      <c:pt idx="61">
                        <c:v>28820</c:v>
                      </c:pt>
                      <c:pt idx="62">
                        <c:v>28901</c:v>
                      </c:pt>
                      <c:pt idx="63">
                        <c:v>29066</c:v>
                      </c:pt>
                      <c:pt idx="64">
                        <c:v>29179</c:v>
                      </c:pt>
                      <c:pt idx="65">
                        <c:v>29285</c:v>
                      </c:pt>
                      <c:pt idx="66">
                        <c:v>29410</c:v>
                      </c:pt>
                    </c:numCache>
                  </c:numRef>
                </c:val>
                <c:smooth val="0"/>
                <c:extLst xmlns:c15="http://schemas.microsoft.com/office/drawing/2012/chart">
                  <c:ext xmlns:c16="http://schemas.microsoft.com/office/drawing/2014/chart" uri="{C3380CC4-5D6E-409C-BE32-E72D297353CC}">
                    <c16:uniqueId val="{00000008-1B1B-4E8A-9467-6BF6B6803E2C}"/>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ch_latest!$N$2:$N$68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xmlns:c15="http://schemas.microsoft.com/office/drawing/2012/chart">
                  <c:ext xmlns:c16="http://schemas.microsoft.com/office/drawing/2014/chart" uri="{C3380CC4-5D6E-409C-BE32-E72D297353CC}">
                    <c16:uniqueId val="{00000009-1B1B-4E8A-9467-6BF6B6803E2C}"/>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ch_latest!$O$2:$O$68</c15:sqref>
                        </c15:formulaRef>
                      </c:ext>
                    </c:extLst>
                    <c:numCache>
                      <c:formatCode>General</c:formatCode>
                      <c:ptCount val="67"/>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45</c:v>
                      </c:pt>
                      <c:pt idx="31">
                        <c:v>37</c:v>
                      </c:pt>
                      <c:pt idx="32">
                        <c:v>52</c:v>
                      </c:pt>
                      <c:pt idx="33">
                        <c:v>44</c:v>
                      </c:pt>
                      <c:pt idx="34">
                        <c:v>61</c:v>
                      </c:pt>
                      <c:pt idx="35">
                        <c:v>65</c:v>
                      </c:pt>
                      <c:pt idx="36">
                        <c:v>63</c:v>
                      </c:pt>
                      <c:pt idx="37">
                        <c:v>61</c:v>
                      </c:pt>
                      <c:pt idx="38">
                        <c:v>61</c:v>
                      </c:pt>
                      <c:pt idx="39">
                        <c:v>67</c:v>
                      </c:pt>
                      <c:pt idx="40">
                        <c:v>52</c:v>
                      </c:pt>
                      <c:pt idx="41">
                        <c:v>59</c:v>
                      </c:pt>
                      <c:pt idx="42">
                        <c:v>60</c:v>
                      </c:pt>
                      <c:pt idx="43">
                        <c:v>68</c:v>
                      </c:pt>
                      <c:pt idx="44">
                        <c:v>51</c:v>
                      </c:pt>
                      <c:pt idx="45">
                        <c:v>50</c:v>
                      </c:pt>
                      <c:pt idx="46">
                        <c:v>38</c:v>
                      </c:pt>
                      <c:pt idx="47">
                        <c:v>56</c:v>
                      </c:pt>
                      <c:pt idx="48">
                        <c:v>30</c:v>
                      </c:pt>
                      <c:pt idx="49">
                        <c:v>38</c:v>
                      </c:pt>
                      <c:pt idx="50">
                        <c:v>53</c:v>
                      </c:pt>
                      <c:pt idx="51">
                        <c:v>45</c:v>
                      </c:pt>
                      <c:pt idx="52">
                        <c:v>46</c:v>
                      </c:pt>
                      <c:pt idx="53">
                        <c:v>42</c:v>
                      </c:pt>
                      <c:pt idx="54">
                        <c:v>24</c:v>
                      </c:pt>
                      <c:pt idx="55">
                        <c:v>42</c:v>
                      </c:pt>
                      <c:pt idx="56">
                        <c:v>41</c:v>
                      </c:pt>
                      <c:pt idx="57">
                        <c:v>27</c:v>
                      </c:pt>
                      <c:pt idx="58">
                        <c:v>30</c:v>
                      </c:pt>
                      <c:pt idx="59">
                        <c:v>29</c:v>
                      </c:pt>
                      <c:pt idx="60">
                        <c:v>24</c:v>
                      </c:pt>
                      <c:pt idx="61">
                        <c:v>16</c:v>
                      </c:pt>
                      <c:pt idx="62">
                        <c:v>22</c:v>
                      </c:pt>
                      <c:pt idx="63">
                        <c:v>25</c:v>
                      </c:pt>
                      <c:pt idx="64">
                        <c:v>7</c:v>
                      </c:pt>
                      <c:pt idx="65">
                        <c:v>11</c:v>
                      </c:pt>
                      <c:pt idx="66">
                        <c:v>9</c:v>
                      </c:pt>
                    </c:numCache>
                  </c:numRef>
                </c:val>
                <c:smooth val="0"/>
                <c:extLst xmlns:c15="http://schemas.microsoft.com/office/drawing/2012/chart">
                  <c:ext xmlns:c16="http://schemas.microsoft.com/office/drawing/2014/chart" uri="{C3380CC4-5D6E-409C-BE32-E72D297353CC}">
                    <c16:uniqueId val="{0000000A-1B1B-4E8A-9467-6BF6B6803E2C}"/>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ch_latest!$P$2:$P$68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245</c:v>
                      </c:pt>
                      <c:pt idx="32">
                        <c:v>282</c:v>
                      </c:pt>
                      <c:pt idx="33">
                        <c:v>334</c:v>
                      </c:pt>
                      <c:pt idx="34">
                        <c:v>378</c:v>
                      </c:pt>
                      <c:pt idx="35">
                        <c:v>439</c:v>
                      </c:pt>
                      <c:pt idx="36">
                        <c:v>504</c:v>
                      </c:pt>
                      <c:pt idx="37">
                        <c:v>567</c:v>
                      </c:pt>
                      <c:pt idx="38">
                        <c:v>628</c:v>
                      </c:pt>
                      <c:pt idx="39">
                        <c:v>689</c:v>
                      </c:pt>
                      <c:pt idx="40">
                        <c:v>756</c:v>
                      </c:pt>
                      <c:pt idx="41">
                        <c:v>808</c:v>
                      </c:pt>
                      <c:pt idx="42">
                        <c:v>867</c:v>
                      </c:pt>
                      <c:pt idx="43">
                        <c:v>927</c:v>
                      </c:pt>
                      <c:pt idx="44">
                        <c:v>995</c:v>
                      </c:pt>
                      <c:pt idx="45">
                        <c:v>1046</c:v>
                      </c:pt>
                      <c:pt idx="46">
                        <c:v>1096</c:v>
                      </c:pt>
                      <c:pt idx="47">
                        <c:v>1134</c:v>
                      </c:pt>
                      <c:pt idx="48">
                        <c:v>1190</c:v>
                      </c:pt>
                      <c:pt idx="49">
                        <c:v>1220</c:v>
                      </c:pt>
                      <c:pt idx="50">
                        <c:v>1258</c:v>
                      </c:pt>
                      <c:pt idx="51">
                        <c:v>1311</c:v>
                      </c:pt>
                      <c:pt idx="52">
                        <c:v>1356</c:v>
                      </c:pt>
                      <c:pt idx="53">
                        <c:v>1402</c:v>
                      </c:pt>
                      <c:pt idx="54">
                        <c:v>1444</c:v>
                      </c:pt>
                      <c:pt idx="55">
                        <c:v>1468</c:v>
                      </c:pt>
                      <c:pt idx="56">
                        <c:v>1510</c:v>
                      </c:pt>
                      <c:pt idx="57">
                        <c:v>1551</c:v>
                      </c:pt>
                      <c:pt idx="58">
                        <c:v>1578</c:v>
                      </c:pt>
                      <c:pt idx="59">
                        <c:v>1608</c:v>
                      </c:pt>
                      <c:pt idx="60">
                        <c:v>1637</c:v>
                      </c:pt>
                      <c:pt idx="61">
                        <c:v>1661</c:v>
                      </c:pt>
                      <c:pt idx="62">
                        <c:v>1677</c:v>
                      </c:pt>
                      <c:pt idx="63">
                        <c:v>1699</c:v>
                      </c:pt>
                      <c:pt idx="64">
                        <c:v>1724</c:v>
                      </c:pt>
                      <c:pt idx="65">
                        <c:v>1731</c:v>
                      </c:pt>
                      <c:pt idx="66">
                        <c:v>1742</c:v>
                      </c:pt>
                    </c:numCache>
                  </c:numRef>
                </c:val>
                <c:smooth val="0"/>
                <c:extLst xmlns:c15="http://schemas.microsoft.com/office/drawing/2012/chart">
                  <c:ext xmlns:c16="http://schemas.microsoft.com/office/drawing/2014/chart" uri="{C3380CC4-5D6E-409C-BE32-E72D297353CC}">
                    <c16:uniqueId val="{0000000B-1B1B-4E8A-9467-6BF6B6803E2C}"/>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ch_latest!$Q$2:$Q$68</c15:sqref>
                        </c15:formulaRef>
                      </c:ext>
                    </c:extLst>
                    <c:numCache>
                      <c:formatCode>General</c:formatCode>
                      <c:ptCount val="67"/>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2.2956279999999998</c:v>
                      </c:pt>
                      <c:pt idx="15">
                        <c:v>2.5696639999999999</c:v>
                      </c:pt>
                      <c:pt idx="16">
                        <c:v>2.4373520000000002</c:v>
                      </c:pt>
                      <c:pt idx="17">
                        <c:v>2.298794</c:v>
                      </c:pt>
                      <c:pt idx="18">
                        <c:v>2.33954</c:v>
                      </c:pt>
                      <c:pt idx="19">
                        <c:v>2.5972059999999999</c:v>
                      </c:pt>
                      <c:pt idx="20">
                        <c:v>2.5468470000000001</c:v>
                      </c:pt>
                      <c:pt idx="21">
                        <c:v>2.815293</c:v>
                      </c:pt>
                      <c:pt idx="22">
                        <c:v>2.8313269999999999</c:v>
                      </c:pt>
                      <c:pt idx="23">
                        <c:v>2.8735189999999999</c:v>
                      </c:pt>
                      <c:pt idx="24">
                        <c:v>2.8124880000000001</c:v>
                      </c:pt>
                      <c:pt idx="25">
                        <c:v>3.3858329999999999</c:v>
                      </c:pt>
                      <c:pt idx="26">
                        <c:v>4.2260119999999999</c:v>
                      </c:pt>
                      <c:pt idx="27">
                        <c:v>4.8883049999999999</c:v>
                      </c:pt>
                      <c:pt idx="28">
                        <c:v>5.5849869999999999</c:v>
                      </c:pt>
                      <c:pt idx="29">
                        <c:v>6.4062169999999998</c:v>
                      </c:pt>
                      <c:pt idx="30">
                        <c:v>6.4832869999999998</c:v>
                      </c:pt>
                      <c:pt idx="31">
                        <c:v>6.187684</c:v>
                      </c:pt>
                      <c:pt idx="32">
                        <c:v>7.7532240000000003</c:v>
                      </c:pt>
                      <c:pt idx="33">
                        <c:v>9.125375</c:v>
                      </c:pt>
                      <c:pt idx="34">
                        <c:v>9.9234570000000009</c:v>
                      </c:pt>
                      <c:pt idx="35">
                        <c:v>11.074811</c:v>
                      </c:pt>
                      <c:pt idx="36">
                        <c:v>12.708921</c:v>
                      </c:pt>
                      <c:pt idx="37">
                        <c:v>12.884437</c:v>
                      </c:pt>
                      <c:pt idx="38">
                        <c:v>12.501239</c:v>
                      </c:pt>
                      <c:pt idx="39">
                        <c:v>14.68956</c:v>
                      </c:pt>
                      <c:pt idx="40">
                        <c:v>17.258941</c:v>
                      </c:pt>
                      <c:pt idx="41">
                        <c:v>19.557915999999999</c:v>
                      </c:pt>
                      <c:pt idx="42">
                        <c:v>22.632342000000001</c:v>
                      </c:pt>
                      <c:pt idx="43">
                        <c:v>25.717077</c:v>
                      </c:pt>
                      <c:pt idx="44">
                        <c:v>25.568678999999999</c:v>
                      </c:pt>
                      <c:pt idx="45">
                        <c:v>25.481843999999999</c:v>
                      </c:pt>
                      <c:pt idx="46">
                        <c:v>28.660446</c:v>
                      </c:pt>
                      <c:pt idx="47">
                        <c:v>33.613425999999997</c:v>
                      </c:pt>
                      <c:pt idx="48">
                        <c:v>41.079132999999999</c:v>
                      </c:pt>
                      <c:pt idx="49">
                        <c:v>50.154313999999999</c:v>
                      </c:pt>
                      <c:pt idx="50">
                        <c:v>55.015818000000003</c:v>
                      </c:pt>
                      <c:pt idx="51">
                        <c:v>62.094515000000001</c:v>
                      </c:pt>
                      <c:pt idx="52">
                        <c:v>60.723289000000001</c:v>
                      </c:pt>
                      <c:pt idx="53">
                        <c:v>60.023553999999997</c:v>
                      </c:pt>
                      <c:pt idx="54">
                        <c:v>66.861356000000001</c:v>
                      </c:pt>
                      <c:pt idx="55">
                        <c:v>73.606297999999995</c:v>
                      </c:pt>
                      <c:pt idx="56">
                        <c:v>83.311063000000004</c:v>
                      </c:pt>
                      <c:pt idx="57">
                        <c:v>94.510717999999997</c:v>
                      </c:pt>
                      <c:pt idx="58">
                        <c:v>101.97456</c:v>
                      </c:pt>
                      <c:pt idx="59">
                        <c:v>101.156587</c:v>
                      </c:pt>
                      <c:pt idx="60">
                        <c:v>108.86979700000001</c:v>
                      </c:pt>
                      <c:pt idx="61">
                        <c:v>119.66874799999999</c:v>
                      </c:pt>
                      <c:pt idx="62">
                        <c:v>125.289508</c:v>
                      </c:pt>
                      <c:pt idx="63">
                        <c:v>145.03339199999999</c:v>
                      </c:pt>
                      <c:pt idx="64">
                        <c:v>166.297663</c:v>
                      </c:pt>
                      <c:pt idx="65">
                        <c:v>171.01940300000001</c:v>
                      </c:pt>
                      <c:pt idx="66">
                        <c:v>173.82888500000001</c:v>
                      </c:pt>
                    </c:numCache>
                  </c:numRef>
                </c:val>
                <c:smooth val="0"/>
                <c:extLst xmlns:c15="http://schemas.microsoft.com/office/drawing/2012/chart">
                  <c:ext xmlns:c16="http://schemas.microsoft.com/office/drawing/2014/chart" uri="{C3380CC4-5D6E-409C-BE32-E72D297353CC}">
                    <c16:uniqueId val="{0000000C-1B1B-4E8A-9467-6BF6B6803E2C}"/>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ch_latest!$R$2:$R$68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3.7823540000000002</c:v>
                      </c:pt>
                      <c:pt idx="31">
                        <c:v>3.7896809999999999</c:v>
                      </c:pt>
                      <c:pt idx="32">
                        <c:v>4.0855249999999996</c:v>
                      </c:pt>
                      <c:pt idx="33">
                        <c:v>4.1808810000000003</c:v>
                      </c:pt>
                      <c:pt idx="34">
                        <c:v>4.4083119999999996</c:v>
                      </c:pt>
                      <c:pt idx="35">
                        <c:v>4.8047259999999996</c:v>
                      </c:pt>
                      <c:pt idx="36">
                        <c:v>4.9620230000000003</c:v>
                      </c:pt>
                      <c:pt idx="37">
                        <c:v>5.4889780000000004</c:v>
                      </c:pt>
                      <c:pt idx="38">
                        <c:v>5.7728869999999999</c:v>
                      </c:pt>
                      <c:pt idx="39">
                        <c:v>6.376207</c:v>
                      </c:pt>
                      <c:pt idx="40">
                        <c:v>7.3428820000000004</c:v>
                      </c:pt>
                      <c:pt idx="41">
                        <c:v>8.1608239999999999</c:v>
                      </c:pt>
                      <c:pt idx="42">
                        <c:v>8.8998889999999999</c:v>
                      </c:pt>
                      <c:pt idx="43">
                        <c:v>9.430536</c:v>
                      </c:pt>
                      <c:pt idx="44">
                        <c:v>10.674073999999999</c:v>
                      </c:pt>
                      <c:pt idx="45">
                        <c:v>11.368271999999999</c:v>
                      </c:pt>
                      <c:pt idx="46">
                        <c:v>12.909331</c:v>
                      </c:pt>
                      <c:pt idx="47">
                        <c:v>13.876541</c:v>
                      </c:pt>
                      <c:pt idx="48">
                        <c:v>17.000285000000002</c:v>
                      </c:pt>
                      <c:pt idx="49">
                        <c:v>18.779408</c:v>
                      </c:pt>
                      <c:pt idx="50">
                        <c:v>19.348355999999999</c:v>
                      </c:pt>
                      <c:pt idx="51">
                        <c:v>19.384613000000002</c:v>
                      </c:pt>
                      <c:pt idx="52">
                        <c:v>21.139434000000001</c:v>
                      </c:pt>
                      <c:pt idx="53">
                        <c:v>20.560089999999999</c:v>
                      </c:pt>
                      <c:pt idx="54">
                        <c:v>22.449708000000001</c:v>
                      </c:pt>
                      <c:pt idx="55">
                        <c:v>24.524125999999999</c:v>
                      </c:pt>
                      <c:pt idx="56">
                        <c:v>25.794269</c:v>
                      </c:pt>
                      <c:pt idx="57">
                        <c:v>29.306459</c:v>
                      </c:pt>
                      <c:pt idx="58">
                        <c:v>32.217187000000003</c:v>
                      </c:pt>
                      <c:pt idx="59">
                        <c:v>31.806139999999999</c:v>
                      </c:pt>
                      <c:pt idx="60">
                        <c:v>36.362704000000001</c:v>
                      </c:pt>
                      <c:pt idx="61">
                        <c:v>44.371870999999999</c:v>
                      </c:pt>
                      <c:pt idx="62">
                        <c:v>46.909311000000002</c:v>
                      </c:pt>
                      <c:pt idx="63">
                        <c:v>49.755021999999997</c:v>
                      </c:pt>
                      <c:pt idx="64">
                        <c:v>62.072164999999998</c:v>
                      </c:pt>
                      <c:pt idx="65">
                        <c:v>72.788095999999996</c:v>
                      </c:pt>
                      <c:pt idx="66">
                        <c:v>80.261465999999999</c:v>
                      </c:pt>
                    </c:numCache>
                  </c:numRef>
                </c:val>
                <c:smooth val="0"/>
                <c:extLst xmlns:c15="http://schemas.microsoft.com/office/drawing/2012/chart">
                  <c:ext xmlns:c16="http://schemas.microsoft.com/office/drawing/2014/chart" uri="{C3380CC4-5D6E-409C-BE32-E72D297353CC}">
                    <c16:uniqueId val="{0000000D-1B1B-4E8A-9467-6BF6B6803E2C}"/>
                  </c:ext>
                </c:extLst>
              </c15:ser>
            </c15:filteredLineSeries>
          </c:ext>
        </c:extLst>
      </c:lineChart>
      <c:dateAx>
        <c:axId val="116528980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72936975"/>
        <c:crosses val="autoZero"/>
        <c:auto val="0"/>
        <c:lblOffset val="100"/>
        <c:baseTimeUnit val="days"/>
        <c:majorUnit val="2"/>
        <c:majorTimeUnit val="days"/>
      </c:dateAx>
      <c:valAx>
        <c:axId val="72936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165289807"/>
        <c:crosses val="autoZero"/>
        <c:crossBetween val="between"/>
      </c:valAx>
      <c:spPr>
        <a:noFill/>
        <a:ln>
          <a:solidFill>
            <a:sysClr val="windowText" lastClr="000000"/>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sz="1600" b="1" i="0" u="none" strike="noStrike" baseline="0">
                <a:effectLst/>
              </a:rPr>
              <a:t>Hospitalization / Intensive Care</a:t>
            </a:r>
            <a:endParaRPr lang="de-CH"/>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4.9759315957958752E-2"/>
          <c:y val="7.1945391154463897E-2"/>
          <c:w val="0.94396042725355234"/>
          <c:h val="0.75924279577823617"/>
        </c:manualLayout>
      </c:layout>
      <c:areaChart>
        <c:grouping val="standard"/>
        <c:varyColors val="0"/>
        <c:ser>
          <c:idx val="3"/>
          <c:order val="1"/>
          <c:tx>
            <c:strRef>
              <c:f>ch_latest!$E$1</c:f>
              <c:strCache>
                <c:ptCount val="1"/>
                <c:pt idx="0">
                  <c:v>total_hospitalized</c:v>
                </c:pt>
              </c:strCache>
            </c:strRef>
          </c:tx>
          <c:spPr>
            <a:solidFill>
              <a:srgbClr val="CC99FF"/>
            </a:solidFill>
            <a:ln>
              <a:solidFill>
                <a:srgbClr val="FFCCFF"/>
              </a:solidFill>
            </a:ln>
            <a:effectLst>
              <a:outerShdw blurRad="57150" dist="19050" dir="5400000" algn="ctr" rotWithShape="0">
                <a:srgbClr val="000000">
                  <a:alpha val="63000"/>
                </a:srgbClr>
              </a:outerShdw>
            </a:effectLst>
          </c:spPr>
          <c:dLbls>
            <c:delete val="1"/>
          </c:dLbls>
          <c:cat>
            <c:numRef>
              <c:f>ch_latest!$A$2:$A$68</c:f>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f>ch_latest!$E$2:$E$68</c:f>
              <c:numCache>
                <c:formatCode>General</c:formatCode>
                <c:ptCount val="67"/>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1462</c:v>
                </c:pt>
                <c:pt idx="30">
                  <c:v>1608</c:v>
                </c:pt>
                <c:pt idx="31">
                  <c:v>1789</c:v>
                </c:pt>
                <c:pt idx="32">
                  <c:v>1876</c:v>
                </c:pt>
                <c:pt idx="33">
                  <c:v>1990</c:v>
                </c:pt>
                <c:pt idx="34">
                  <c:v>2174</c:v>
                </c:pt>
                <c:pt idx="35">
                  <c:v>2202</c:v>
                </c:pt>
                <c:pt idx="36">
                  <c:v>2280</c:v>
                </c:pt>
                <c:pt idx="37">
                  <c:v>2343</c:v>
                </c:pt>
                <c:pt idx="38">
                  <c:v>2324</c:v>
                </c:pt>
                <c:pt idx="39">
                  <c:v>2311</c:v>
                </c:pt>
                <c:pt idx="40">
                  <c:v>2296</c:v>
                </c:pt>
                <c:pt idx="41">
                  <c:v>2301</c:v>
                </c:pt>
                <c:pt idx="42">
                  <c:v>2219</c:v>
                </c:pt>
                <c:pt idx="43">
                  <c:v>2129</c:v>
                </c:pt>
                <c:pt idx="44">
                  <c:v>2061</c:v>
                </c:pt>
                <c:pt idx="45">
                  <c:v>2001</c:v>
                </c:pt>
                <c:pt idx="46">
                  <c:v>1926</c:v>
                </c:pt>
                <c:pt idx="47">
                  <c:v>1903</c:v>
                </c:pt>
                <c:pt idx="48">
                  <c:v>1886</c:v>
                </c:pt>
                <c:pt idx="49">
                  <c:v>1846</c:v>
                </c:pt>
                <c:pt idx="50">
                  <c:v>1723</c:v>
                </c:pt>
                <c:pt idx="51">
                  <c:v>1665</c:v>
                </c:pt>
                <c:pt idx="52">
                  <c:v>1566</c:v>
                </c:pt>
                <c:pt idx="53">
                  <c:v>1515</c:v>
                </c:pt>
                <c:pt idx="54">
                  <c:v>1507</c:v>
                </c:pt>
                <c:pt idx="55">
                  <c:v>1483</c:v>
                </c:pt>
                <c:pt idx="56">
                  <c:v>1405</c:v>
                </c:pt>
                <c:pt idx="57">
                  <c:v>1339</c:v>
                </c:pt>
                <c:pt idx="58">
                  <c:v>1286</c:v>
                </c:pt>
                <c:pt idx="59">
                  <c:v>1241</c:v>
                </c:pt>
                <c:pt idx="60">
                  <c:v>1212</c:v>
                </c:pt>
                <c:pt idx="61">
                  <c:v>1191</c:v>
                </c:pt>
                <c:pt idx="62">
                  <c:v>1169</c:v>
                </c:pt>
                <c:pt idx="63">
                  <c:v>1141</c:v>
                </c:pt>
                <c:pt idx="64">
                  <c:v>1072</c:v>
                </c:pt>
                <c:pt idx="65">
                  <c:v>998</c:v>
                </c:pt>
                <c:pt idx="66">
                  <c:v>966</c:v>
                </c:pt>
              </c:numCache>
            </c:numRef>
          </c:val>
          <c:extLst xmlns:c15="http://schemas.microsoft.com/office/drawing/2012/chart">
            <c:ext xmlns:c16="http://schemas.microsoft.com/office/drawing/2014/chart" uri="{C3380CC4-5D6E-409C-BE32-E72D297353CC}">
              <c16:uniqueId val="{00000003-503A-464F-BA74-C113BE961252}"/>
            </c:ext>
          </c:extLst>
        </c:ser>
        <c:ser>
          <c:idx val="6"/>
          <c:order val="2"/>
          <c:tx>
            <c:strRef>
              <c:f>ch_latest!$D$1</c:f>
              <c:strCache>
                <c:ptCount val="1"/>
                <c:pt idx="0">
                  <c:v>intensive_care</c:v>
                </c:pt>
              </c:strCache>
            </c:strRef>
          </c:tx>
          <c:spPr>
            <a:solidFill>
              <a:srgbClr val="FF0000"/>
            </a:solidFill>
            <a:ln>
              <a:solidFill>
                <a:srgbClr val="FF0000"/>
              </a:solidFill>
            </a:ln>
            <a:effectLst>
              <a:outerShdw blurRad="57150" dist="19050" dir="5400000" algn="ctr" rotWithShape="0">
                <a:srgbClr val="000000">
                  <a:alpha val="63000"/>
                </a:srgbClr>
              </a:outerShdw>
            </a:effectLst>
          </c:spPr>
          <c:dLbls>
            <c:delete val="1"/>
          </c:dLbls>
          <c:cat>
            <c:multiLvlStrRef>
              <c:f>ch_latest!$A$2:$C$68</c:f>
              <c:multiLvlStrCache>
                <c:ptCount val="67"/>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pt idx="65">
                    <c:v>CH</c:v>
                  </c:pt>
                  <c:pt idx="66">
                    <c:v>CH</c:v>
                  </c:pt>
                </c:lvl>
                <c:lvl>
                  <c:pt idx="0">
                    <c:v>01.05.2020 16:03</c:v>
                  </c:pt>
                  <c:pt idx="1">
                    <c:v>01.05.2020 16:03</c:v>
                  </c:pt>
                  <c:pt idx="2">
                    <c:v>01.05.2020 16:03</c:v>
                  </c:pt>
                  <c:pt idx="3">
                    <c:v>01.05.2020 16:03</c:v>
                  </c:pt>
                  <c:pt idx="4">
                    <c:v>01.05.2020 16:03</c:v>
                  </c:pt>
                  <c:pt idx="5">
                    <c:v>01.05.2020 16:03</c:v>
                  </c:pt>
                  <c:pt idx="6">
                    <c:v>01.05.2020 16:03</c:v>
                  </c:pt>
                  <c:pt idx="7">
                    <c:v>01.05.2020 16:03</c:v>
                  </c:pt>
                  <c:pt idx="8">
                    <c:v>01.05.2020 16:03</c:v>
                  </c:pt>
                  <c:pt idx="9">
                    <c:v>01.05.2020 16:03</c:v>
                  </c:pt>
                  <c:pt idx="10">
                    <c:v>01.05.2020 16:03</c:v>
                  </c:pt>
                  <c:pt idx="11">
                    <c:v>01.05.2020 16:03</c:v>
                  </c:pt>
                  <c:pt idx="12">
                    <c:v>01.05.2020 16:03</c:v>
                  </c:pt>
                  <c:pt idx="13">
                    <c:v>01.05.2020 16:03</c:v>
                  </c:pt>
                  <c:pt idx="14">
                    <c:v>01.05.2020 16:03</c:v>
                  </c:pt>
                  <c:pt idx="15">
                    <c:v>01.05.2020 16:03</c:v>
                  </c:pt>
                  <c:pt idx="16">
                    <c:v>01.05.2020 16:03</c:v>
                  </c:pt>
                  <c:pt idx="17">
                    <c:v>01.05.2020 16:03</c:v>
                  </c:pt>
                  <c:pt idx="18">
                    <c:v>01.05.2020 16:03</c:v>
                  </c:pt>
                  <c:pt idx="19">
                    <c:v>01.05.2020 16:03</c:v>
                  </c:pt>
                  <c:pt idx="20">
                    <c:v>01.05.2020 16:03</c:v>
                  </c:pt>
                  <c:pt idx="21">
                    <c:v>01.05.2020 16:03</c:v>
                  </c:pt>
                  <c:pt idx="22">
                    <c:v>01.05.2020 16:03</c:v>
                  </c:pt>
                  <c:pt idx="23">
                    <c:v>01.05.2020 16:03</c:v>
                  </c:pt>
                  <c:pt idx="24">
                    <c:v>01.05.2020 16:03</c:v>
                  </c:pt>
                  <c:pt idx="25">
                    <c:v>01.05.2020 16:03</c:v>
                  </c:pt>
                  <c:pt idx="26">
                    <c:v>01.05.2020 16:03</c:v>
                  </c:pt>
                  <c:pt idx="27">
                    <c:v>01.05.2020 16:03</c:v>
                  </c:pt>
                  <c:pt idx="28">
                    <c:v>01.05.2020 16:03</c:v>
                  </c:pt>
                  <c:pt idx="29">
                    <c:v>01.05.2020 16:03</c:v>
                  </c:pt>
                  <c:pt idx="30">
                    <c:v>01.05.2020 16:03</c:v>
                  </c:pt>
                  <c:pt idx="31">
                    <c:v>01.05.2020 16:03</c:v>
                  </c:pt>
                  <c:pt idx="32">
                    <c:v>01.05.2020 16:03</c:v>
                  </c:pt>
                  <c:pt idx="33">
                    <c:v>01.05.2020 16:03</c:v>
                  </c:pt>
                  <c:pt idx="34">
                    <c:v>01.05.2020 16:03</c:v>
                  </c:pt>
                  <c:pt idx="35">
                    <c:v>01.05.2020 16:03</c:v>
                  </c:pt>
                  <c:pt idx="36">
                    <c:v>01.05.2020 16:03</c:v>
                  </c:pt>
                  <c:pt idx="37">
                    <c:v>01.05.2020 16:03</c:v>
                  </c:pt>
                  <c:pt idx="38">
                    <c:v>01.05.2020 16:03</c:v>
                  </c:pt>
                  <c:pt idx="39">
                    <c:v>01.05.2020 16:03</c:v>
                  </c:pt>
                  <c:pt idx="40">
                    <c:v>01.05.2020 16:03</c:v>
                  </c:pt>
                  <c:pt idx="41">
                    <c:v>01.05.2020 16:03</c:v>
                  </c:pt>
                  <c:pt idx="42">
                    <c:v>01.05.2020 16:03</c:v>
                  </c:pt>
                  <c:pt idx="43">
                    <c:v>01.05.2020 16:03</c:v>
                  </c:pt>
                  <c:pt idx="44">
                    <c:v>01.05.2020 16:03</c:v>
                  </c:pt>
                  <c:pt idx="45">
                    <c:v>01.05.2020 16:03</c:v>
                  </c:pt>
                  <c:pt idx="46">
                    <c:v>01.05.2020 16:03</c:v>
                  </c:pt>
                  <c:pt idx="47">
                    <c:v>01.05.2020 16:03</c:v>
                  </c:pt>
                  <c:pt idx="48">
                    <c:v>01.05.2020 16:03</c:v>
                  </c:pt>
                  <c:pt idx="49">
                    <c:v>01.05.2020 16:03</c:v>
                  </c:pt>
                  <c:pt idx="50">
                    <c:v>01.05.2020 16:03</c:v>
                  </c:pt>
                  <c:pt idx="51">
                    <c:v>01.05.2020 16:03</c:v>
                  </c:pt>
                  <c:pt idx="52">
                    <c:v>01.05.2020 16:03</c:v>
                  </c:pt>
                  <c:pt idx="53">
                    <c:v>01.05.2020 16:03</c:v>
                  </c:pt>
                  <c:pt idx="54">
                    <c:v>01.05.2020 16:03</c:v>
                  </c:pt>
                  <c:pt idx="55">
                    <c:v>01.05.2020 16:03</c:v>
                  </c:pt>
                  <c:pt idx="56">
                    <c:v>01.05.2020 16:03</c:v>
                  </c:pt>
                  <c:pt idx="57">
                    <c:v>01.05.2020 16:03</c:v>
                  </c:pt>
                  <c:pt idx="58">
                    <c:v>01.05.2020 16:03</c:v>
                  </c:pt>
                  <c:pt idx="59">
                    <c:v>01.05.2020 16:03</c:v>
                  </c:pt>
                  <c:pt idx="60">
                    <c:v>01.05.2020 16:03</c:v>
                  </c:pt>
                  <c:pt idx="61">
                    <c:v>01.05.2020 16:03</c:v>
                  </c:pt>
                  <c:pt idx="62">
                    <c:v>01.05.2020 16:03</c:v>
                  </c:pt>
                  <c:pt idx="63">
                    <c:v>01.05.2020 16:03</c:v>
                  </c:pt>
                  <c:pt idx="64">
                    <c:v>01.05.2020 16:03</c:v>
                  </c:pt>
                  <c:pt idx="65">
                    <c:v>01.05.2020 16:03</c:v>
                  </c:pt>
                  <c:pt idx="66">
                    <c:v>01.05.2020 16:03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pt idx="66">
                    <c:v>01.05.2020</c:v>
                  </c:pt>
                </c:lvl>
              </c:multiLvlStrCache>
            </c:multiLvlStrRef>
          </c:cat>
          <c:val>
            <c:numRef>
              <c:f>ch_latest!$D$2:$D$68</c:f>
              <c:numCache>
                <c:formatCode>General</c:formatCode>
                <c:ptCount val="67"/>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322</c:v>
                </c:pt>
                <c:pt idx="33">
                  <c:v>336</c:v>
                </c:pt>
                <c:pt idx="34">
                  <c:v>382</c:v>
                </c:pt>
                <c:pt idx="35">
                  <c:v>408</c:v>
                </c:pt>
                <c:pt idx="36">
                  <c:v>437</c:v>
                </c:pt>
                <c:pt idx="37">
                  <c:v>442</c:v>
                </c:pt>
                <c:pt idx="38">
                  <c:v>452</c:v>
                </c:pt>
                <c:pt idx="39">
                  <c:v>454</c:v>
                </c:pt>
                <c:pt idx="40">
                  <c:v>444</c:v>
                </c:pt>
                <c:pt idx="41">
                  <c:v>443</c:v>
                </c:pt>
                <c:pt idx="42">
                  <c:v>437</c:v>
                </c:pt>
                <c:pt idx="43">
                  <c:v>434</c:v>
                </c:pt>
                <c:pt idx="44">
                  <c:v>426</c:v>
                </c:pt>
                <c:pt idx="45">
                  <c:v>414</c:v>
                </c:pt>
                <c:pt idx="46">
                  <c:v>414</c:v>
                </c:pt>
                <c:pt idx="47">
                  <c:v>403</c:v>
                </c:pt>
                <c:pt idx="48">
                  <c:v>399</c:v>
                </c:pt>
                <c:pt idx="49">
                  <c:v>386</c:v>
                </c:pt>
                <c:pt idx="50">
                  <c:v>363</c:v>
                </c:pt>
                <c:pt idx="51">
                  <c:v>343</c:v>
                </c:pt>
                <c:pt idx="52">
                  <c:v>331</c:v>
                </c:pt>
                <c:pt idx="53">
                  <c:v>317</c:v>
                </c:pt>
                <c:pt idx="54">
                  <c:v>308</c:v>
                </c:pt>
                <c:pt idx="55">
                  <c:v>294</c:v>
                </c:pt>
                <c:pt idx="56">
                  <c:v>280</c:v>
                </c:pt>
                <c:pt idx="57">
                  <c:v>249</c:v>
                </c:pt>
                <c:pt idx="58">
                  <c:v>241</c:v>
                </c:pt>
                <c:pt idx="59">
                  <c:v>237</c:v>
                </c:pt>
                <c:pt idx="60">
                  <c:v>228</c:v>
                </c:pt>
                <c:pt idx="61">
                  <c:v>206</c:v>
                </c:pt>
                <c:pt idx="62">
                  <c:v>201</c:v>
                </c:pt>
                <c:pt idx="63">
                  <c:v>182</c:v>
                </c:pt>
                <c:pt idx="64">
                  <c:v>187</c:v>
                </c:pt>
                <c:pt idx="65">
                  <c:v>172</c:v>
                </c:pt>
                <c:pt idx="66">
                  <c:v>169</c:v>
                </c:pt>
              </c:numCache>
            </c:numRef>
          </c:val>
          <c:extLst>
            <c:ext xmlns:c16="http://schemas.microsoft.com/office/drawing/2014/chart" uri="{C3380CC4-5D6E-409C-BE32-E72D297353CC}">
              <c16:uniqueId val="{00000006-503A-464F-BA74-C113BE961252}"/>
            </c:ext>
          </c:extLst>
        </c:ser>
        <c:dLbls>
          <c:showLegendKey val="0"/>
          <c:showVal val="1"/>
          <c:showCatName val="0"/>
          <c:showSerName val="0"/>
          <c:showPercent val="0"/>
          <c:showBubbleSize val="0"/>
        </c:dLbls>
        <c:axId val="1329134367"/>
        <c:axId val="4147887"/>
        <c:extLst>
          <c:ext xmlns:c15="http://schemas.microsoft.com/office/drawing/2012/chart" uri="{02D57815-91ED-43cb-92C2-25804820EDAC}">
            <c15:filteredAreaSeries>
              <c15:ser>
                <c:idx val="4"/>
                <c:order val="3"/>
                <c:tx>
                  <c:strRef>
                    <c:extLst>
                      <c:ext uri="{02D57815-91ED-43cb-92C2-25804820EDAC}">
                        <c15:formulaRef>
                          <c15:sqref>ch_latest!$F$1</c15:sqref>
                        </c15:formulaRef>
                      </c:ext>
                    </c:extLst>
                    <c:strCache>
                      <c:ptCount val="1"/>
                      <c:pt idx="0">
                        <c:v>total_currently_positive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c:ext uri="{CE6537A1-D6FC-4f65-9D91-7224C49458BB}">
                      <c15:showLeaderLines val="1"/>
                      <c15:leaderLines>
                        <c:spPr>
                          <a:ln w="9525">
                            <a:solidFill>
                              <a:schemeClr val="lt1">
                                <a:lumMod val="95000"/>
                                <a:alpha val="54000"/>
                              </a:schemeClr>
                            </a:solidFill>
                          </a:ln>
                          <a:effectLst/>
                        </c:spPr>
                      </c15:leaderLines>
                    </c:ext>
                  </c:extLst>
                </c:dLbls>
                <c:cat>
                  <c:numRef>
                    <c:extLst>
                      <c:ex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c:ext uri="{02D57815-91ED-43cb-92C2-25804820EDAC}">
                        <c15:formulaRef>
                          <c15:sqref>ch_latest!$F$2:$F$68</c15:sqref>
                        </c15:formulaRef>
                      </c:ext>
                    </c:extLst>
                    <c:numCache>
                      <c:formatCode>General</c:formatCode>
                      <c:ptCount val="67"/>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23890</c:v>
                      </c:pt>
                      <c:pt idx="44">
                        <c:v>24558</c:v>
                      </c:pt>
                      <c:pt idx="45">
                        <c:v>25007</c:v>
                      </c:pt>
                      <c:pt idx="46">
                        <c:v>25470</c:v>
                      </c:pt>
                      <c:pt idx="47">
                        <c:v>25743</c:v>
                      </c:pt>
                      <c:pt idx="48">
                        <c:v>25993</c:v>
                      </c:pt>
                      <c:pt idx="49">
                        <c:v>26315</c:v>
                      </c:pt>
                      <c:pt idx="50">
                        <c:v>26633</c:v>
                      </c:pt>
                      <c:pt idx="51">
                        <c:v>26932</c:v>
                      </c:pt>
                      <c:pt idx="52">
                        <c:v>27255</c:v>
                      </c:pt>
                      <c:pt idx="53">
                        <c:v>27538</c:v>
                      </c:pt>
                      <c:pt idx="54">
                        <c:v>27715</c:v>
                      </c:pt>
                      <c:pt idx="55">
                        <c:v>27917</c:v>
                      </c:pt>
                      <c:pt idx="56">
                        <c:v>28076</c:v>
                      </c:pt>
                      <c:pt idx="57">
                        <c:v>28273</c:v>
                      </c:pt>
                      <c:pt idx="58">
                        <c:v>28490</c:v>
                      </c:pt>
                      <c:pt idx="59">
                        <c:v>28681</c:v>
                      </c:pt>
                      <c:pt idx="60">
                        <c:v>28820</c:v>
                      </c:pt>
                      <c:pt idx="61">
                        <c:v>28901</c:v>
                      </c:pt>
                      <c:pt idx="62">
                        <c:v>29066</c:v>
                      </c:pt>
                      <c:pt idx="63">
                        <c:v>29179</c:v>
                      </c:pt>
                      <c:pt idx="64">
                        <c:v>29285</c:v>
                      </c:pt>
                      <c:pt idx="65">
                        <c:v>29410</c:v>
                      </c:pt>
                      <c:pt idx="66">
                        <c:v>29483</c:v>
                      </c:pt>
                    </c:numCache>
                  </c:numRef>
                </c:val>
                <c:extLst>
                  <c:ext xmlns:c16="http://schemas.microsoft.com/office/drawing/2014/chart" uri="{C3380CC4-5D6E-409C-BE32-E72D297353CC}">
                    <c16:uniqueId val="{00000004-503A-464F-BA74-C113BE961252}"/>
                  </c:ext>
                </c:extLst>
              </c15:ser>
            </c15:filteredAreaSeries>
            <c15:filteredAreaSeries>
              <c15:ser>
                <c:idx val="5"/>
                <c:order val="4"/>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ch_latest!$G$2:$G$68</c15:sqref>
                        </c15:formulaRef>
                      </c:ext>
                    </c:extLst>
                    <c:numCache>
                      <c:formatCode>General</c:formatCode>
                      <c:ptCount val="67"/>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23890</c:v>
                      </c:pt>
                      <c:pt idx="44">
                        <c:v>24558</c:v>
                      </c:pt>
                      <c:pt idx="45">
                        <c:v>25007</c:v>
                      </c:pt>
                      <c:pt idx="46">
                        <c:v>25470</c:v>
                      </c:pt>
                      <c:pt idx="47">
                        <c:v>25743</c:v>
                      </c:pt>
                      <c:pt idx="48">
                        <c:v>25993</c:v>
                      </c:pt>
                      <c:pt idx="49">
                        <c:v>26315</c:v>
                      </c:pt>
                      <c:pt idx="50">
                        <c:v>26633</c:v>
                      </c:pt>
                      <c:pt idx="51">
                        <c:v>26932</c:v>
                      </c:pt>
                      <c:pt idx="52">
                        <c:v>27255</c:v>
                      </c:pt>
                      <c:pt idx="53">
                        <c:v>27538</c:v>
                      </c:pt>
                      <c:pt idx="54">
                        <c:v>27715</c:v>
                      </c:pt>
                      <c:pt idx="55">
                        <c:v>27917</c:v>
                      </c:pt>
                      <c:pt idx="56">
                        <c:v>28076</c:v>
                      </c:pt>
                      <c:pt idx="57">
                        <c:v>28273</c:v>
                      </c:pt>
                      <c:pt idx="58">
                        <c:v>28490</c:v>
                      </c:pt>
                      <c:pt idx="59">
                        <c:v>28681</c:v>
                      </c:pt>
                      <c:pt idx="60">
                        <c:v>28820</c:v>
                      </c:pt>
                      <c:pt idx="61">
                        <c:v>28901</c:v>
                      </c:pt>
                      <c:pt idx="62">
                        <c:v>29066</c:v>
                      </c:pt>
                      <c:pt idx="63">
                        <c:v>29179</c:v>
                      </c:pt>
                      <c:pt idx="64">
                        <c:v>29285</c:v>
                      </c:pt>
                      <c:pt idx="65">
                        <c:v>29410</c:v>
                      </c:pt>
                      <c:pt idx="66">
                        <c:v>29483</c:v>
                      </c:pt>
                    </c:numCache>
                  </c:numRef>
                </c:val>
                <c:extLst xmlns:c15="http://schemas.microsoft.com/office/drawing/2012/chart">
                  <c:ext xmlns:c16="http://schemas.microsoft.com/office/drawing/2014/chart" uri="{C3380CC4-5D6E-409C-BE32-E72D297353CC}">
                    <c16:uniqueId val="{00000005-503A-464F-BA74-C113BE961252}"/>
                  </c:ext>
                </c:extLst>
              </c15:ser>
            </c15:filteredAreaSeries>
            <c15:filteredAreaSeries>
              <c15:ser>
                <c:idx val="1"/>
                <c:order val="5"/>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ch_latest!$H$2:$H$68</c15:sqref>
                        </c15:formulaRef>
                      </c:ext>
                    </c:extLst>
                    <c:numCache>
                      <c:formatCode>General</c:formatCode>
                      <c:ptCount val="67"/>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10908</c:v>
                      </c:pt>
                      <c:pt idx="32">
                        <c:v>11501</c:v>
                      </c:pt>
                      <c:pt idx="33">
                        <c:v>11810</c:v>
                      </c:pt>
                      <c:pt idx="34">
                        <c:v>12476</c:v>
                      </c:pt>
                      <c:pt idx="35">
                        <c:v>13236</c:v>
                      </c:pt>
                      <c:pt idx="36">
                        <c:v>13892</c:v>
                      </c:pt>
                      <c:pt idx="37">
                        <c:v>14839</c:v>
                      </c:pt>
                      <c:pt idx="38">
                        <c:v>15668</c:v>
                      </c:pt>
                      <c:pt idx="39">
                        <c:v>16259</c:v>
                      </c:pt>
                      <c:pt idx="40">
                        <c:v>16558</c:v>
                      </c:pt>
                      <c:pt idx="41">
                        <c:v>17197</c:v>
                      </c:pt>
                      <c:pt idx="42">
                        <c:v>18038</c:v>
                      </c:pt>
                      <c:pt idx="43">
                        <c:v>18843</c:v>
                      </c:pt>
                      <c:pt idx="44">
                        <c:v>19357</c:v>
                      </c:pt>
                      <c:pt idx="45">
                        <c:v>19769</c:v>
                      </c:pt>
                      <c:pt idx="46">
                        <c:v>20129</c:v>
                      </c:pt>
                      <c:pt idx="47">
                        <c:v>20304</c:v>
                      </c:pt>
                      <c:pt idx="48">
                        <c:v>20609</c:v>
                      </c:pt>
                      <c:pt idx="49">
                        <c:v>21153</c:v>
                      </c:pt>
                      <c:pt idx="50">
                        <c:v>21611</c:v>
                      </c:pt>
                      <c:pt idx="51">
                        <c:v>22288</c:v>
                      </c:pt>
                      <c:pt idx="52">
                        <c:v>22727</c:v>
                      </c:pt>
                      <c:pt idx="53">
                        <c:v>23168</c:v>
                      </c:pt>
                      <c:pt idx="54">
                        <c:v>23350</c:v>
                      </c:pt>
                      <c:pt idx="55">
                        <c:v>23724</c:v>
                      </c:pt>
                      <c:pt idx="56">
                        <c:v>24135</c:v>
                      </c:pt>
                      <c:pt idx="57">
                        <c:v>24483</c:v>
                      </c:pt>
                      <c:pt idx="58">
                        <c:v>24945</c:v>
                      </c:pt>
                      <c:pt idx="59">
                        <c:v>25337</c:v>
                      </c:pt>
                      <c:pt idx="60">
                        <c:v>25695</c:v>
                      </c:pt>
                      <c:pt idx="61">
                        <c:v>25889</c:v>
                      </c:pt>
                      <c:pt idx="62">
                        <c:v>26162</c:v>
                      </c:pt>
                      <c:pt idx="63">
                        <c:v>26542</c:v>
                      </c:pt>
                      <c:pt idx="64">
                        <c:v>26542</c:v>
                      </c:pt>
                      <c:pt idx="65">
                        <c:v>26542</c:v>
                      </c:pt>
                      <c:pt idx="66">
                        <c:v>26542</c:v>
                      </c:pt>
                    </c:numCache>
                  </c:numRef>
                </c:val>
                <c:extLst xmlns:c15="http://schemas.microsoft.com/office/drawing/2012/chart">
                  <c:ext xmlns:c16="http://schemas.microsoft.com/office/drawing/2014/chart" uri="{C3380CC4-5D6E-409C-BE32-E72D297353CC}">
                    <c16:uniqueId val="{00000001-503A-464F-BA74-C113BE961252}"/>
                  </c:ext>
                </c:extLst>
              </c15:ser>
            </c15:filteredAreaSeries>
            <c15:filteredAreaSeries>
              <c15:ser>
                <c:idx val="0"/>
                <c:order val="6"/>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ch_latest!$I$2:$I$68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4624</c:v>
                      </c:pt>
                      <c:pt idx="63">
                        <c:v>4676</c:v>
                      </c:pt>
                      <c:pt idx="64">
                        <c:v>4742</c:v>
                      </c:pt>
                      <c:pt idx="65">
                        <c:v>4819</c:v>
                      </c:pt>
                      <c:pt idx="66">
                        <c:v>4850</c:v>
                      </c:pt>
                    </c:numCache>
                  </c:numRef>
                </c:val>
                <c:extLst xmlns:c15="http://schemas.microsoft.com/office/drawing/2012/chart">
                  <c:ext xmlns:c16="http://schemas.microsoft.com/office/drawing/2014/chart" uri="{C3380CC4-5D6E-409C-BE32-E72D297353CC}">
                    <c16:uniqueId val="{00000000-503A-464F-BA74-C113BE961252}"/>
                  </c:ext>
                </c:extLst>
              </c15:ser>
            </c15:filteredAreaSeries>
            <c15:filteredArea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ch_latest!$K$2:$K$68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xmlns:c15="http://schemas.microsoft.com/office/drawing/2012/chart">
                  <c:ext xmlns:c16="http://schemas.microsoft.com/office/drawing/2014/chart" uri="{C3380CC4-5D6E-409C-BE32-E72D297353CC}">
                    <c16:uniqueId val="{00000007-503A-464F-BA74-C113BE961252}"/>
                  </c:ext>
                </c:extLst>
              </c15:ser>
            </c15:filteredAreaSeries>
            <c15:filteredArea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ch_latest!$L$2:$L$68</c15:sqref>
                        </c15:formulaRef>
                      </c:ext>
                    </c:extLst>
                    <c:numCache>
                      <c:formatCode>General</c:formatCode>
                      <c:ptCount val="67"/>
                      <c:pt idx="1">
                        <c:v>1</c:v>
                      </c:pt>
                      <c:pt idx="2">
                        <c:v>4</c:v>
                      </c:pt>
                      <c:pt idx="3">
                        <c:v>7</c:v>
                      </c:pt>
                      <c:pt idx="4">
                        <c:v>7</c:v>
                      </c:pt>
                      <c:pt idx="5">
                        <c:v>7</c:v>
                      </c:pt>
                      <c:pt idx="6">
                        <c:v>10</c:v>
                      </c:pt>
                      <c:pt idx="7">
                        <c:v>17</c:v>
                      </c:pt>
                      <c:pt idx="8">
                        <c:v>20</c:v>
                      </c:pt>
                      <c:pt idx="9">
                        <c:v>44</c:v>
                      </c:pt>
                      <c:pt idx="10">
                        <c:v>65</c:v>
                      </c:pt>
                      <c:pt idx="11">
                        <c:v>72</c:v>
                      </c:pt>
                      <c:pt idx="12">
                        <c:v>57</c:v>
                      </c:pt>
                      <c:pt idx="13">
                        <c:v>84</c:v>
                      </c:pt>
                      <c:pt idx="14">
                        <c:v>138</c:v>
                      </c:pt>
                      <c:pt idx="15">
                        <c:v>171</c:v>
                      </c:pt>
                      <c:pt idx="16">
                        <c:v>352</c:v>
                      </c:pt>
                      <c:pt idx="17">
                        <c:v>352</c:v>
                      </c:pt>
                      <c:pt idx="18">
                        <c:v>333</c:v>
                      </c:pt>
                      <c:pt idx="19">
                        <c:v>286</c:v>
                      </c:pt>
                      <c:pt idx="20">
                        <c:v>721</c:v>
                      </c:pt>
                      <c:pt idx="21">
                        <c:v>871</c:v>
                      </c:pt>
                      <c:pt idx="22">
                        <c:v>1172</c:v>
                      </c:pt>
                      <c:pt idx="23">
                        <c:v>1027</c:v>
                      </c:pt>
                      <c:pt idx="24">
                        <c:v>1135</c:v>
                      </c:pt>
                      <c:pt idx="25">
                        <c:v>697</c:v>
                      </c:pt>
                      <c:pt idx="26">
                        <c:v>569</c:v>
                      </c:pt>
                      <c:pt idx="27">
                        <c:v>1517</c:v>
                      </c:pt>
                      <c:pt idx="28">
                        <c:v>1086</c:v>
                      </c:pt>
                      <c:pt idx="29">
                        <c:v>1122</c:v>
                      </c:pt>
                      <c:pt idx="30">
                        <c:v>1113</c:v>
                      </c:pt>
                      <c:pt idx="31">
                        <c:v>1334</c:v>
                      </c:pt>
                      <c:pt idx="32">
                        <c:v>833</c:v>
                      </c:pt>
                      <c:pt idx="33">
                        <c:v>598</c:v>
                      </c:pt>
                      <c:pt idx="34">
                        <c:v>1115</c:v>
                      </c:pt>
                      <c:pt idx="35">
                        <c:v>918</c:v>
                      </c:pt>
                      <c:pt idx="36">
                        <c:v>1048</c:v>
                      </c:pt>
                      <c:pt idx="37">
                        <c:v>1020</c:v>
                      </c:pt>
                      <c:pt idx="38">
                        <c:v>954</c:v>
                      </c:pt>
                      <c:pt idx="39">
                        <c:v>567</c:v>
                      </c:pt>
                      <c:pt idx="40">
                        <c:v>382</c:v>
                      </c:pt>
                      <c:pt idx="41">
                        <c:v>742</c:v>
                      </c:pt>
                      <c:pt idx="42">
                        <c:v>652</c:v>
                      </c:pt>
                      <c:pt idx="43">
                        <c:v>669</c:v>
                      </c:pt>
                      <c:pt idx="44">
                        <c:v>668</c:v>
                      </c:pt>
                      <c:pt idx="45">
                        <c:v>449</c:v>
                      </c:pt>
                      <c:pt idx="46">
                        <c:v>463</c:v>
                      </c:pt>
                      <c:pt idx="47">
                        <c:v>273</c:v>
                      </c:pt>
                      <c:pt idx="48">
                        <c:v>250</c:v>
                      </c:pt>
                      <c:pt idx="49">
                        <c:v>322</c:v>
                      </c:pt>
                      <c:pt idx="50">
                        <c:v>318</c:v>
                      </c:pt>
                      <c:pt idx="51">
                        <c:v>299</c:v>
                      </c:pt>
                      <c:pt idx="52">
                        <c:v>323</c:v>
                      </c:pt>
                      <c:pt idx="53">
                        <c:v>283</c:v>
                      </c:pt>
                      <c:pt idx="54">
                        <c:v>177</c:v>
                      </c:pt>
                      <c:pt idx="55">
                        <c:v>202</c:v>
                      </c:pt>
                      <c:pt idx="56">
                        <c:v>159</c:v>
                      </c:pt>
                      <c:pt idx="57">
                        <c:v>197</c:v>
                      </c:pt>
                      <c:pt idx="58">
                        <c:v>217</c:v>
                      </c:pt>
                      <c:pt idx="59">
                        <c:v>191</c:v>
                      </c:pt>
                      <c:pt idx="60">
                        <c:v>139</c:v>
                      </c:pt>
                      <c:pt idx="61">
                        <c:v>81</c:v>
                      </c:pt>
                      <c:pt idx="62">
                        <c:v>165</c:v>
                      </c:pt>
                      <c:pt idx="63">
                        <c:v>113</c:v>
                      </c:pt>
                      <c:pt idx="64">
                        <c:v>106</c:v>
                      </c:pt>
                      <c:pt idx="65">
                        <c:v>125</c:v>
                      </c:pt>
                      <c:pt idx="66">
                        <c:v>73</c:v>
                      </c:pt>
                    </c:numCache>
                  </c:numRef>
                </c:val>
                <c:extLst xmlns:c15="http://schemas.microsoft.com/office/drawing/2012/chart">
                  <c:ext xmlns:c16="http://schemas.microsoft.com/office/drawing/2014/chart" uri="{C3380CC4-5D6E-409C-BE32-E72D297353CC}">
                    <c16:uniqueId val="{00000008-503A-464F-BA74-C113BE961252}"/>
                  </c:ext>
                </c:extLst>
              </c15:ser>
            </c15:filteredAreaSeries>
            <c15:filteredArea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ch_latest!$M$2:$M$68</c15:sqref>
                        </c15:formulaRef>
                      </c:ext>
                    </c:extLst>
                    <c:numCache>
                      <c:formatCode>General</c:formatCode>
                      <c:ptCount val="67"/>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534</c:v>
                      </c:pt>
                      <c:pt idx="16">
                        <c:v>705</c:v>
                      </c:pt>
                      <c:pt idx="17">
                        <c:v>1057</c:v>
                      </c:pt>
                      <c:pt idx="18">
                        <c:v>1409</c:v>
                      </c:pt>
                      <c:pt idx="19">
                        <c:v>1742</c:v>
                      </c:pt>
                      <c:pt idx="20">
                        <c:v>2028</c:v>
                      </c:pt>
                      <c:pt idx="21">
                        <c:v>2749</c:v>
                      </c:pt>
                      <c:pt idx="22">
                        <c:v>3620</c:v>
                      </c:pt>
                      <c:pt idx="23">
                        <c:v>4792</c:v>
                      </c:pt>
                      <c:pt idx="24">
                        <c:v>5819</c:v>
                      </c:pt>
                      <c:pt idx="25">
                        <c:v>6954</c:v>
                      </c:pt>
                      <c:pt idx="26">
                        <c:v>7651</c:v>
                      </c:pt>
                      <c:pt idx="27">
                        <c:v>8220</c:v>
                      </c:pt>
                      <c:pt idx="28">
                        <c:v>9737</c:v>
                      </c:pt>
                      <c:pt idx="29">
                        <c:v>10823</c:v>
                      </c:pt>
                      <c:pt idx="30">
                        <c:v>11945</c:v>
                      </c:pt>
                      <c:pt idx="31">
                        <c:v>13058</c:v>
                      </c:pt>
                      <c:pt idx="32">
                        <c:v>14392</c:v>
                      </c:pt>
                      <c:pt idx="33">
                        <c:v>15225</c:v>
                      </c:pt>
                      <c:pt idx="34">
                        <c:v>15823</c:v>
                      </c:pt>
                      <c:pt idx="35">
                        <c:v>16938</c:v>
                      </c:pt>
                      <c:pt idx="36">
                        <c:v>17856</c:v>
                      </c:pt>
                      <c:pt idx="37">
                        <c:v>18904</c:v>
                      </c:pt>
                      <c:pt idx="38">
                        <c:v>19924</c:v>
                      </c:pt>
                      <c:pt idx="39">
                        <c:v>20878</c:v>
                      </c:pt>
                      <c:pt idx="40">
                        <c:v>21445</c:v>
                      </c:pt>
                      <c:pt idx="41">
                        <c:v>21827</c:v>
                      </c:pt>
                      <c:pt idx="42">
                        <c:v>22569</c:v>
                      </c:pt>
                      <c:pt idx="43">
                        <c:v>23221</c:v>
                      </c:pt>
                      <c:pt idx="44">
                        <c:v>23890</c:v>
                      </c:pt>
                      <c:pt idx="45">
                        <c:v>24558</c:v>
                      </c:pt>
                      <c:pt idx="46">
                        <c:v>25007</c:v>
                      </c:pt>
                      <c:pt idx="47">
                        <c:v>25470</c:v>
                      </c:pt>
                      <c:pt idx="48">
                        <c:v>25743</c:v>
                      </c:pt>
                      <c:pt idx="49">
                        <c:v>25993</c:v>
                      </c:pt>
                      <c:pt idx="50">
                        <c:v>26315</c:v>
                      </c:pt>
                      <c:pt idx="51">
                        <c:v>26633</c:v>
                      </c:pt>
                      <c:pt idx="52">
                        <c:v>26932</c:v>
                      </c:pt>
                      <c:pt idx="53">
                        <c:v>27255</c:v>
                      </c:pt>
                      <c:pt idx="54">
                        <c:v>27538</c:v>
                      </c:pt>
                      <c:pt idx="55">
                        <c:v>27715</c:v>
                      </c:pt>
                      <c:pt idx="56">
                        <c:v>27917</c:v>
                      </c:pt>
                      <c:pt idx="57">
                        <c:v>28076</c:v>
                      </c:pt>
                      <c:pt idx="58">
                        <c:v>28273</c:v>
                      </c:pt>
                      <c:pt idx="59">
                        <c:v>28490</c:v>
                      </c:pt>
                      <c:pt idx="60">
                        <c:v>28681</c:v>
                      </c:pt>
                      <c:pt idx="61">
                        <c:v>28820</c:v>
                      </c:pt>
                      <c:pt idx="62">
                        <c:v>28901</c:v>
                      </c:pt>
                      <c:pt idx="63">
                        <c:v>29066</c:v>
                      </c:pt>
                      <c:pt idx="64">
                        <c:v>29179</c:v>
                      </c:pt>
                      <c:pt idx="65">
                        <c:v>29285</c:v>
                      </c:pt>
                      <c:pt idx="66">
                        <c:v>29410</c:v>
                      </c:pt>
                    </c:numCache>
                  </c:numRef>
                </c:val>
                <c:extLst xmlns:c15="http://schemas.microsoft.com/office/drawing/2012/chart">
                  <c:ext xmlns:c16="http://schemas.microsoft.com/office/drawing/2014/chart" uri="{C3380CC4-5D6E-409C-BE32-E72D297353CC}">
                    <c16:uniqueId val="{00000009-503A-464F-BA74-C113BE961252}"/>
                  </c:ext>
                </c:extLst>
              </c15:ser>
            </c15:filteredAreaSeries>
            <c15:filteredArea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ch_latest!$N$2:$N$68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xmlns:c15="http://schemas.microsoft.com/office/drawing/2012/chart">
                  <c:ext xmlns:c16="http://schemas.microsoft.com/office/drawing/2014/chart" uri="{C3380CC4-5D6E-409C-BE32-E72D297353CC}">
                    <c16:uniqueId val="{0000000A-503A-464F-BA74-C113BE961252}"/>
                  </c:ext>
                </c:extLst>
              </c15:ser>
            </c15:filteredAreaSeries>
            <c15:filteredArea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ch_latest!$O$2:$O$68</c15:sqref>
                        </c15:formulaRef>
                      </c:ext>
                    </c:extLst>
                    <c:numCache>
                      <c:formatCode>General</c:formatCode>
                      <c:ptCount val="67"/>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45</c:v>
                      </c:pt>
                      <c:pt idx="31">
                        <c:v>37</c:v>
                      </c:pt>
                      <c:pt idx="32">
                        <c:v>52</c:v>
                      </c:pt>
                      <c:pt idx="33">
                        <c:v>44</c:v>
                      </c:pt>
                      <c:pt idx="34">
                        <c:v>61</c:v>
                      </c:pt>
                      <c:pt idx="35">
                        <c:v>65</c:v>
                      </c:pt>
                      <c:pt idx="36">
                        <c:v>63</c:v>
                      </c:pt>
                      <c:pt idx="37">
                        <c:v>61</c:v>
                      </c:pt>
                      <c:pt idx="38">
                        <c:v>61</c:v>
                      </c:pt>
                      <c:pt idx="39">
                        <c:v>67</c:v>
                      </c:pt>
                      <c:pt idx="40">
                        <c:v>52</c:v>
                      </c:pt>
                      <c:pt idx="41">
                        <c:v>59</c:v>
                      </c:pt>
                      <c:pt idx="42">
                        <c:v>60</c:v>
                      </c:pt>
                      <c:pt idx="43">
                        <c:v>68</c:v>
                      </c:pt>
                      <c:pt idx="44">
                        <c:v>51</c:v>
                      </c:pt>
                      <c:pt idx="45">
                        <c:v>50</c:v>
                      </c:pt>
                      <c:pt idx="46">
                        <c:v>38</c:v>
                      </c:pt>
                      <c:pt idx="47">
                        <c:v>56</c:v>
                      </c:pt>
                      <c:pt idx="48">
                        <c:v>30</c:v>
                      </c:pt>
                      <c:pt idx="49">
                        <c:v>38</c:v>
                      </c:pt>
                      <c:pt idx="50">
                        <c:v>53</c:v>
                      </c:pt>
                      <c:pt idx="51">
                        <c:v>45</c:v>
                      </c:pt>
                      <c:pt idx="52">
                        <c:v>46</c:v>
                      </c:pt>
                      <c:pt idx="53">
                        <c:v>42</c:v>
                      </c:pt>
                      <c:pt idx="54">
                        <c:v>24</c:v>
                      </c:pt>
                      <c:pt idx="55">
                        <c:v>42</c:v>
                      </c:pt>
                      <c:pt idx="56">
                        <c:v>41</c:v>
                      </c:pt>
                      <c:pt idx="57">
                        <c:v>27</c:v>
                      </c:pt>
                      <c:pt idx="58">
                        <c:v>30</c:v>
                      </c:pt>
                      <c:pt idx="59">
                        <c:v>29</c:v>
                      </c:pt>
                      <c:pt idx="60">
                        <c:v>24</c:v>
                      </c:pt>
                      <c:pt idx="61">
                        <c:v>16</c:v>
                      </c:pt>
                      <c:pt idx="62">
                        <c:v>22</c:v>
                      </c:pt>
                      <c:pt idx="63">
                        <c:v>25</c:v>
                      </c:pt>
                      <c:pt idx="64">
                        <c:v>7</c:v>
                      </c:pt>
                      <c:pt idx="65">
                        <c:v>11</c:v>
                      </c:pt>
                      <c:pt idx="66">
                        <c:v>9</c:v>
                      </c:pt>
                    </c:numCache>
                  </c:numRef>
                </c:val>
                <c:extLst xmlns:c15="http://schemas.microsoft.com/office/drawing/2012/chart">
                  <c:ext xmlns:c16="http://schemas.microsoft.com/office/drawing/2014/chart" uri="{C3380CC4-5D6E-409C-BE32-E72D297353CC}">
                    <c16:uniqueId val="{0000000B-503A-464F-BA74-C113BE961252}"/>
                  </c:ext>
                </c:extLst>
              </c15:ser>
            </c15:filteredAreaSeries>
            <c15:filteredArea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ch_latest!$P$2:$P$68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245</c:v>
                      </c:pt>
                      <c:pt idx="32">
                        <c:v>282</c:v>
                      </c:pt>
                      <c:pt idx="33">
                        <c:v>334</c:v>
                      </c:pt>
                      <c:pt idx="34">
                        <c:v>378</c:v>
                      </c:pt>
                      <c:pt idx="35">
                        <c:v>439</c:v>
                      </c:pt>
                      <c:pt idx="36">
                        <c:v>504</c:v>
                      </c:pt>
                      <c:pt idx="37">
                        <c:v>567</c:v>
                      </c:pt>
                      <c:pt idx="38">
                        <c:v>628</c:v>
                      </c:pt>
                      <c:pt idx="39">
                        <c:v>689</c:v>
                      </c:pt>
                      <c:pt idx="40">
                        <c:v>756</c:v>
                      </c:pt>
                      <c:pt idx="41">
                        <c:v>808</c:v>
                      </c:pt>
                      <c:pt idx="42">
                        <c:v>867</c:v>
                      </c:pt>
                      <c:pt idx="43">
                        <c:v>927</c:v>
                      </c:pt>
                      <c:pt idx="44">
                        <c:v>995</c:v>
                      </c:pt>
                      <c:pt idx="45">
                        <c:v>1046</c:v>
                      </c:pt>
                      <c:pt idx="46">
                        <c:v>1096</c:v>
                      </c:pt>
                      <c:pt idx="47">
                        <c:v>1134</c:v>
                      </c:pt>
                      <c:pt idx="48">
                        <c:v>1190</c:v>
                      </c:pt>
                      <c:pt idx="49">
                        <c:v>1220</c:v>
                      </c:pt>
                      <c:pt idx="50">
                        <c:v>1258</c:v>
                      </c:pt>
                      <c:pt idx="51">
                        <c:v>1311</c:v>
                      </c:pt>
                      <c:pt idx="52">
                        <c:v>1356</c:v>
                      </c:pt>
                      <c:pt idx="53">
                        <c:v>1402</c:v>
                      </c:pt>
                      <c:pt idx="54">
                        <c:v>1444</c:v>
                      </c:pt>
                      <c:pt idx="55">
                        <c:v>1468</c:v>
                      </c:pt>
                      <c:pt idx="56">
                        <c:v>1510</c:v>
                      </c:pt>
                      <c:pt idx="57">
                        <c:v>1551</c:v>
                      </c:pt>
                      <c:pt idx="58">
                        <c:v>1578</c:v>
                      </c:pt>
                      <c:pt idx="59">
                        <c:v>1608</c:v>
                      </c:pt>
                      <c:pt idx="60">
                        <c:v>1637</c:v>
                      </c:pt>
                      <c:pt idx="61">
                        <c:v>1661</c:v>
                      </c:pt>
                      <c:pt idx="62">
                        <c:v>1677</c:v>
                      </c:pt>
                      <c:pt idx="63">
                        <c:v>1699</c:v>
                      </c:pt>
                      <c:pt idx="64">
                        <c:v>1724</c:v>
                      </c:pt>
                      <c:pt idx="65">
                        <c:v>1731</c:v>
                      </c:pt>
                      <c:pt idx="66">
                        <c:v>1742</c:v>
                      </c:pt>
                    </c:numCache>
                  </c:numRef>
                </c:val>
                <c:extLst xmlns:c15="http://schemas.microsoft.com/office/drawing/2012/chart">
                  <c:ext xmlns:c16="http://schemas.microsoft.com/office/drawing/2014/chart" uri="{C3380CC4-5D6E-409C-BE32-E72D297353CC}">
                    <c16:uniqueId val="{0000000C-503A-464F-BA74-C113BE961252}"/>
                  </c:ext>
                </c:extLst>
              </c15:ser>
            </c15:filteredAreaSeries>
            <c15:filteredArea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ch_latest!$Q$2:$Q$68</c15:sqref>
                        </c15:formulaRef>
                      </c:ext>
                    </c:extLst>
                    <c:numCache>
                      <c:formatCode>General</c:formatCode>
                      <c:ptCount val="67"/>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2.2956279999999998</c:v>
                      </c:pt>
                      <c:pt idx="15">
                        <c:v>2.5696639999999999</c:v>
                      </c:pt>
                      <c:pt idx="16">
                        <c:v>2.4373520000000002</c:v>
                      </c:pt>
                      <c:pt idx="17">
                        <c:v>2.298794</c:v>
                      </c:pt>
                      <c:pt idx="18">
                        <c:v>2.33954</c:v>
                      </c:pt>
                      <c:pt idx="19">
                        <c:v>2.5972059999999999</c:v>
                      </c:pt>
                      <c:pt idx="20">
                        <c:v>2.5468470000000001</c:v>
                      </c:pt>
                      <c:pt idx="21">
                        <c:v>2.815293</c:v>
                      </c:pt>
                      <c:pt idx="22">
                        <c:v>2.8313269999999999</c:v>
                      </c:pt>
                      <c:pt idx="23">
                        <c:v>2.8735189999999999</c:v>
                      </c:pt>
                      <c:pt idx="24">
                        <c:v>2.8124880000000001</c:v>
                      </c:pt>
                      <c:pt idx="25">
                        <c:v>3.3858329999999999</c:v>
                      </c:pt>
                      <c:pt idx="26">
                        <c:v>4.2260119999999999</c:v>
                      </c:pt>
                      <c:pt idx="27">
                        <c:v>4.8883049999999999</c:v>
                      </c:pt>
                      <c:pt idx="28">
                        <c:v>5.5849869999999999</c:v>
                      </c:pt>
                      <c:pt idx="29">
                        <c:v>6.4062169999999998</c:v>
                      </c:pt>
                      <c:pt idx="30">
                        <c:v>6.4832869999999998</c:v>
                      </c:pt>
                      <c:pt idx="31">
                        <c:v>6.187684</c:v>
                      </c:pt>
                      <c:pt idx="32">
                        <c:v>7.7532240000000003</c:v>
                      </c:pt>
                      <c:pt idx="33">
                        <c:v>9.125375</c:v>
                      </c:pt>
                      <c:pt idx="34">
                        <c:v>9.9234570000000009</c:v>
                      </c:pt>
                      <c:pt idx="35">
                        <c:v>11.074811</c:v>
                      </c:pt>
                      <c:pt idx="36">
                        <c:v>12.708921</c:v>
                      </c:pt>
                      <c:pt idx="37">
                        <c:v>12.884437</c:v>
                      </c:pt>
                      <c:pt idx="38">
                        <c:v>12.501239</c:v>
                      </c:pt>
                      <c:pt idx="39">
                        <c:v>14.68956</c:v>
                      </c:pt>
                      <c:pt idx="40">
                        <c:v>17.258941</c:v>
                      </c:pt>
                      <c:pt idx="41">
                        <c:v>19.557915999999999</c:v>
                      </c:pt>
                      <c:pt idx="42">
                        <c:v>22.632342000000001</c:v>
                      </c:pt>
                      <c:pt idx="43">
                        <c:v>25.717077</c:v>
                      </c:pt>
                      <c:pt idx="44">
                        <c:v>25.568678999999999</c:v>
                      </c:pt>
                      <c:pt idx="45">
                        <c:v>25.481843999999999</c:v>
                      </c:pt>
                      <c:pt idx="46">
                        <c:v>28.660446</c:v>
                      </c:pt>
                      <c:pt idx="47">
                        <c:v>33.613425999999997</c:v>
                      </c:pt>
                      <c:pt idx="48">
                        <c:v>41.079132999999999</c:v>
                      </c:pt>
                      <c:pt idx="49">
                        <c:v>50.154313999999999</c:v>
                      </c:pt>
                      <c:pt idx="50">
                        <c:v>55.015818000000003</c:v>
                      </c:pt>
                      <c:pt idx="51">
                        <c:v>62.094515000000001</c:v>
                      </c:pt>
                      <c:pt idx="52">
                        <c:v>60.723289000000001</c:v>
                      </c:pt>
                      <c:pt idx="53">
                        <c:v>60.023553999999997</c:v>
                      </c:pt>
                      <c:pt idx="54">
                        <c:v>66.861356000000001</c:v>
                      </c:pt>
                      <c:pt idx="55">
                        <c:v>73.606297999999995</c:v>
                      </c:pt>
                      <c:pt idx="56">
                        <c:v>83.311063000000004</c:v>
                      </c:pt>
                      <c:pt idx="57">
                        <c:v>94.510717999999997</c:v>
                      </c:pt>
                      <c:pt idx="58">
                        <c:v>101.97456</c:v>
                      </c:pt>
                      <c:pt idx="59">
                        <c:v>101.156587</c:v>
                      </c:pt>
                      <c:pt idx="60">
                        <c:v>108.86979700000001</c:v>
                      </c:pt>
                      <c:pt idx="61">
                        <c:v>119.66874799999999</c:v>
                      </c:pt>
                      <c:pt idx="62">
                        <c:v>125.289508</c:v>
                      </c:pt>
                      <c:pt idx="63">
                        <c:v>145.03339199999999</c:v>
                      </c:pt>
                      <c:pt idx="64">
                        <c:v>166.297663</c:v>
                      </c:pt>
                      <c:pt idx="65">
                        <c:v>171.01940300000001</c:v>
                      </c:pt>
                      <c:pt idx="66">
                        <c:v>173.82888500000001</c:v>
                      </c:pt>
                    </c:numCache>
                  </c:numRef>
                </c:val>
                <c:extLst xmlns:c15="http://schemas.microsoft.com/office/drawing/2012/chart">
                  <c:ext xmlns:c16="http://schemas.microsoft.com/office/drawing/2014/chart" uri="{C3380CC4-5D6E-409C-BE32-E72D297353CC}">
                    <c16:uniqueId val="{00000000-71F8-4929-9113-196FB8E54065}"/>
                  </c:ext>
                </c:extLst>
              </c15:ser>
            </c15:filteredAreaSeries>
            <c15:filteredArea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ch_latest!$R$2:$R$68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3.7823540000000002</c:v>
                      </c:pt>
                      <c:pt idx="31">
                        <c:v>3.7896809999999999</c:v>
                      </c:pt>
                      <c:pt idx="32">
                        <c:v>4.0855249999999996</c:v>
                      </c:pt>
                      <c:pt idx="33">
                        <c:v>4.1808810000000003</c:v>
                      </c:pt>
                      <c:pt idx="34">
                        <c:v>4.4083119999999996</c:v>
                      </c:pt>
                      <c:pt idx="35">
                        <c:v>4.8047259999999996</c:v>
                      </c:pt>
                      <c:pt idx="36">
                        <c:v>4.9620230000000003</c:v>
                      </c:pt>
                      <c:pt idx="37">
                        <c:v>5.4889780000000004</c:v>
                      </c:pt>
                      <c:pt idx="38">
                        <c:v>5.7728869999999999</c:v>
                      </c:pt>
                      <c:pt idx="39">
                        <c:v>6.376207</c:v>
                      </c:pt>
                      <c:pt idx="40">
                        <c:v>7.3428820000000004</c:v>
                      </c:pt>
                      <c:pt idx="41">
                        <c:v>8.1608239999999999</c:v>
                      </c:pt>
                      <c:pt idx="42">
                        <c:v>8.8998889999999999</c:v>
                      </c:pt>
                      <c:pt idx="43">
                        <c:v>9.430536</c:v>
                      </c:pt>
                      <c:pt idx="44">
                        <c:v>10.674073999999999</c:v>
                      </c:pt>
                      <c:pt idx="45">
                        <c:v>11.368271999999999</c:v>
                      </c:pt>
                      <c:pt idx="46">
                        <c:v>12.909331</c:v>
                      </c:pt>
                      <c:pt idx="47">
                        <c:v>13.876541</c:v>
                      </c:pt>
                      <c:pt idx="48">
                        <c:v>17.000285000000002</c:v>
                      </c:pt>
                      <c:pt idx="49">
                        <c:v>18.779408</c:v>
                      </c:pt>
                      <c:pt idx="50">
                        <c:v>19.348355999999999</c:v>
                      </c:pt>
                      <c:pt idx="51">
                        <c:v>19.384613000000002</c:v>
                      </c:pt>
                      <c:pt idx="52">
                        <c:v>21.139434000000001</c:v>
                      </c:pt>
                      <c:pt idx="53">
                        <c:v>20.560089999999999</c:v>
                      </c:pt>
                      <c:pt idx="54">
                        <c:v>22.449708000000001</c:v>
                      </c:pt>
                      <c:pt idx="55">
                        <c:v>24.524125999999999</c:v>
                      </c:pt>
                      <c:pt idx="56">
                        <c:v>25.794269</c:v>
                      </c:pt>
                      <c:pt idx="57">
                        <c:v>29.306459</c:v>
                      </c:pt>
                      <c:pt idx="58">
                        <c:v>32.217187000000003</c:v>
                      </c:pt>
                      <c:pt idx="59">
                        <c:v>31.806139999999999</c:v>
                      </c:pt>
                      <c:pt idx="60">
                        <c:v>36.362704000000001</c:v>
                      </c:pt>
                      <c:pt idx="61">
                        <c:v>44.371870999999999</c:v>
                      </c:pt>
                      <c:pt idx="62">
                        <c:v>46.909311000000002</c:v>
                      </c:pt>
                      <c:pt idx="63">
                        <c:v>49.755021999999997</c:v>
                      </c:pt>
                      <c:pt idx="64">
                        <c:v>62.072164999999998</c:v>
                      </c:pt>
                      <c:pt idx="65">
                        <c:v>72.788095999999996</c:v>
                      </c:pt>
                      <c:pt idx="66">
                        <c:v>80.261465999999999</c:v>
                      </c:pt>
                    </c:numCache>
                  </c:numRef>
                </c:val>
                <c:extLst xmlns:c15="http://schemas.microsoft.com/office/drawing/2012/chart">
                  <c:ext xmlns:c16="http://schemas.microsoft.com/office/drawing/2014/chart" uri="{C3380CC4-5D6E-409C-BE32-E72D297353CC}">
                    <c16:uniqueId val="{00000001-71F8-4929-9113-196FB8E54065}"/>
                  </c:ext>
                </c:extLst>
              </c15:ser>
            </c15:filteredAreaSeries>
          </c:ext>
        </c:extLst>
      </c:areaChart>
      <c:lineChart>
        <c:grouping val="standard"/>
        <c:varyColors val="0"/>
        <c:ser>
          <c:idx val="2"/>
          <c:order val="0"/>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dLbls>
            <c:delete val="1"/>
          </c:dLbls>
          <c:cat>
            <c:numRef>
              <c:f>ch_latest!$A$2:$A$68</c:f>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f>ch_latest!$J$2:$J$68</c:f>
              <c:numCache>
                <c:formatCode>General</c:formatCode>
                <c:ptCount val="67"/>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245</c:v>
                </c:pt>
                <c:pt idx="31">
                  <c:v>282</c:v>
                </c:pt>
                <c:pt idx="32">
                  <c:v>334</c:v>
                </c:pt>
                <c:pt idx="33">
                  <c:v>378</c:v>
                </c:pt>
                <c:pt idx="34">
                  <c:v>439</c:v>
                </c:pt>
                <c:pt idx="35">
                  <c:v>504</c:v>
                </c:pt>
                <c:pt idx="36">
                  <c:v>567</c:v>
                </c:pt>
                <c:pt idx="37">
                  <c:v>628</c:v>
                </c:pt>
                <c:pt idx="38">
                  <c:v>689</c:v>
                </c:pt>
                <c:pt idx="39">
                  <c:v>756</c:v>
                </c:pt>
                <c:pt idx="40">
                  <c:v>808</c:v>
                </c:pt>
                <c:pt idx="41">
                  <c:v>867</c:v>
                </c:pt>
                <c:pt idx="42">
                  <c:v>927</c:v>
                </c:pt>
                <c:pt idx="43">
                  <c:v>995</c:v>
                </c:pt>
                <c:pt idx="44">
                  <c:v>1046</c:v>
                </c:pt>
                <c:pt idx="45">
                  <c:v>1096</c:v>
                </c:pt>
                <c:pt idx="46">
                  <c:v>1134</c:v>
                </c:pt>
                <c:pt idx="47">
                  <c:v>1190</c:v>
                </c:pt>
                <c:pt idx="48">
                  <c:v>1220</c:v>
                </c:pt>
                <c:pt idx="49">
                  <c:v>1258</c:v>
                </c:pt>
                <c:pt idx="50">
                  <c:v>1311</c:v>
                </c:pt>
                <c:pt idx="51">
                  <c:v>1356</c:v>
                </c:pt>
                <c:pt idx="52">
                  <c:v>1402</c:v>
                </c:pt>
                <c:pt idx="53">
                  <c:v>1444</c:v>
                </c:pt>
                <c:pt idx="54">
                  <c:v>1468</c:v>
                </c:pt>
                <c:pt idx="55">
                  <c:v>1510</c:v>
                </c:pt>
                <c:pt idx="56">
                  <c:v>1551</c:v>
                </c:pt>
                <c:pt idx="57">
                  <c:v>1578</c:v>
                </c:pt>
                <c:pt idx="58">
                  <c:v>1608</c:v>
                </c:pt>
                <c:pt idx="59">
                  <c:v>1637</c:v>
                </c:pt>
                <c:pt idx="60">
                  <c:v>1661</c:v>
                </c:pt>
                <c:pt idx="61">
                  <c:v>1677</c:v>
                </c:pt>
                <c:pt idx="62">
                  <c:v>1699</c:v>
                </c:pt>
                <c:pt idx="63">
                  <c:v>1724</c:v>
                </c:pt>
                <c:pt idx="64">
                  <c:v>1731</c:v>
                </c:pt>
                <c:pt idx="65">
                  <c:v>1742</c:v>
                </c:pt>
                <c:pt idx="66">
                  <c:v>1751</c:v>
                </c:pt>
              </c:numCache>
            </c:numRef>
          </c:val>
          <c:smooth val="0"/>
          <c:extLst xmlns:c15="http://schemas.microsoft.com/office/drawing/2012/chart">
            <c:ext xmlns:c16="http://schemas.microsoft.com/office/drawing/2014/chart" uri="{C3380CC4-5D6E-409C-BE32-E72D297353CC}">
              <c16:uniqueId val="{00000002-503A-464F-BA74-C113BE961252}"/>
            </c:ext>
          </c:extLst>
        </c:ser>
        <c:dLbls>
          <c:showLegendKey val="0"/>
          <c:showVal val="1"/>
          <c:showCatName val="0"/>
          <c:showSerName val="0"/>
          <c:showPercent val="0"/>
          <c:showBubbleSize val="0"/>
        </c:dLbls>
        <c:marker val="1"/>
        <c:smooth val="0"/>
        <c:axId val="1329134367"/>
        <c:axId val="4147887"/>
      </c:lineChart>
      <c:dateAx>
        <c:axId val="132913436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147887"/>
        <c:crosses val="autoZero"/>
        <c:auto val="1"/>
        <c:lblOffset val="100"/>
        <c:baseTimeUnit val="days"/>
      </c:dateAx>
      <c:valAx>
        <c:axId val="4147887"/>
        <c:scaling>
          <c:orientation val="minMax"/>
        </c:scaling>
        <c:delete val="0"/>
        <c:axPos val="l"/>
        <c:majorGridlines>
          <c:spPr>
            <a:ln w="9525" cap="flat" cmpd="sng" algn="ctr">
              <a:solidFill>
                <a:schemeClr val="bg1">
                  <a:alpha val="58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329134367"/>
        <c:crosses val="autoZero"/>
        <c:crossBetween val="between"/>
      </c:valAx>
      <c:spPr>
        <a:noFill/>
        <a:ln>
          <a:noFill/>
        </a:ln>
        <a:effectLst/>
      </c:spPr>
    </c:plotArea>
    <c:legend>
      <c:legendPos val="b"/>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253909158600149"/>
          <c:y val="2.709745103420023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173449431132124E-2"/>
          <c:y val="0.12638970157987128"/>
          <c:w val="0.90141120048978762"/>
          <c:h val="0.67277725381820308"/>
        </c:manualLayout>
      </c:layout>
      <c:barChart>
        <c:barDir val="col"/>
        <c:grouping val="clustered"/>
        <c:varyColors val="0"/>
        <c:ser>
          <c:idx val="13"/>
          <c:order val="13"/>
          <c:tx>
            <c:v>doubling_time_total_positive</c:v>
          </c:tx>
          <c:spPr>
            <a:solidFill>
              <a:srgbClr val="33CCFF"/>
            </a:solidFill>
            <a:ln>
              <a:solidFill>
                <a:srgbClr val="33CCFF"/>
              </a:solidFill>
            </a:ln>
            <a:effectLst>
              <a:outerShdw blurRad="57150" dist="19050" dir="5400000" algn="ctr" rotWithShape="0">
                <a:srgbClr val="000000">
                  <a:alpha val="63000"/>
                </a:srgbClr>
              </a:outerShdw>
            </a:effectLst>
          </c:spPr>
          <c:invertIfNegative val="0"/>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2.2984819999999999</c:v>
              </c:pt>
              <c:pt idx="15">
                <c:v>2.572371</c:v>
              </c:pt>
              <c:pt idx="16">
                <c:v>2.4389759999999998</c:v>
              </c:pt>
              <c:pt idx="17">
                <c:v>2.2998769999999999</c:v>
              </c:pt>
              <c:pt idx="18">
                <c:v>2.3386339999999999</c:v>
              </c:pt>
              <c:pt idx="19">
                <c:v>2.599326</c:v>
              </c:pt>
              <c:pt idx="20">
                <c:v>2.5428359999999999</c:v>
              </c:pt>
              <c:pt idx="21">
                <c:v>2.8118690000000002</c:v>
              </c:pt>
              <c:pt idx="22">
                <c:v>2.824398</c:v>
              </c:pt>
              <c:pt idx="23">
                <c:v>2.8622719999999999</c:v>
              </c:pt>
              <c:pt idx="24">
                <c:v>2.7956750000000001</c:v>
              </c:pt>
              <c:pt idx="25">
                <c:v>3.3748990000000001</c:v>
              </c:pt>
              <c:pt idx="26">
                <c:v>4.2095250000000002</c:v>
              </c:pt>
              <c:pt idx="27">
                <c:v>4.8521809999999999</c:v>
              </c:pt>
              <c:pt idx="28">
                <c:v>5.5838770000000002</c:v>
              </c:pt>
              <c:pt idx="29">
                <c:v>6.427276</c:v>
              </c:pt>
              <c:pt idx="30">
                <c:v>6.4785810000000001</c:v>
              </c:pt>
              <c:pt idx="31">
                <c:v>6.2047790000000003</c:v>
              </c:pt>
              <c:pt idx="32">
                <c:v>7.8493029999999999</c:v>
              </c:pt>
              <c:pt idx="33">
                <c:v>9.208202</c:v>
              </c:pt>
              <c:pt idx="34">
                <c:v>9.9458950000000002</c:v>
              </c:pt>
              <c:pt idx="35">
                <c:v>11.129006</c:v>
              </c:pt>
              <c:pt idx="36">
                <c:v>12.736124</c:v>
              </c:pt>
              <c:pt idx="37">
                <c:v>12.850652999999999</c:v>
              </c:pt>
              <c:pt idx="38">
                <c:v>12.525482999999999</c:v>
              </c:pt>
              <c:pt idx="39">
                <c:v>14.720102000000001</c:v>
              </c:pt>
              <c:pt idx="40">
                <c:v>17.387846</c:v>
              </c:pt>
              <c:pt idx="41">
                <c:v>19.587306999999999</c:v>
              </c:pt>
              <c:pt idx="42">
                <c:v>22.858587</c:v>
              </c:pt>
              <c:pt idx="43">
                <c:v>25.752801000000002</c:v>
              </c:pt>
              <c:pt idx="44">
                <c:v>25.594439999999999</c:v>
              </c:pt>
              <c:pt idx="45">
                <c:v>25.508181</c:v>
              </c:pt>
              <c:pt idx="46">
                <c:v>28.688210000000002</c:v>
              </c:pt>
              <c:pt idx="47">
                <c:v>33.629348</c:v>
              </c:pt>
              <c:pt idx="48">
                <c:v>41.092773000000001</c:v>
              </c:pt>
              <c:pt idx="49">
                <c:v>50.160316999999999</c:v>
              </c:pt>
              <c:pt idx="50">
                <c:v>55.051234000000001</c:v>
              </c:pt>
              <c:pt idx="51">
                <c:v>62.129058999999998</c:v>
              </c:pt>
              <c:pt idx="52">
                <c:v>61.110999999999997</c:v>
              </c:pt>
              <c:pt idx="53">
                <c:v>60.059826999999999</c:v>
              </c:pt>
              <c:pt idx="54">
                <c:v>66.896500000000003</c:v>
              </c:pt>
              <c:pt idx="55">
                <c:v>73.639364</c:v>
              </c:pt>
              <c:pt idx="56">
                <c:v>83.411051</c:v>
              </c:pt>
              <c:pt idx="57">
                <c:v>93.958127000000005</c:v>
              </c:pt>
              <c:pt idx="58">
                <c:v>106.157614</c:v>
              </c:pt>
              <c:pt idx="59">
                <c:v>108.343037</c:v>
              </c:pt>
              <c:pt idx="60">
                <c:v>117.73728199999999</c:v>
              </c:pt>
              <c:pt idx="61">
                <c:v>133.01694800000001</c:v>
              </c:pt>
              <c:pt idx="62">
                <c:v>162.27365399999999</c:v>
              </c:pt>
            </c:numLit>
          </c:val>
          <c:extLst>
            <c:ext xmlns:c16="http://schemas.microsoft.com/office/drawing/2014/chart" uri="{C3380CC4-5D6E-409C-BE32-E72D297353CC}">
              <c16:uniqueId val="{00000000-84A1-4D71-B585-618A414EE633}"/>
            </c:ext>
          </c:extLst>
        </c:ser>
        <c:dLbls>
          <c:showLegendKey val="0"/>
          <c:showVal val="0"/>
          <c:showCatName val="0"/>
          <c:showSerName val="0"/>
          <c:showPercent val="0"/>
          <c:showBubbleSize val="0"/>
        </c:dLbls>
        <c:gapWidth val="150"/>
        <c:axId val="89998336"/>
        <c:axId val="10938272"/>
        <c:extLst>
          <c:ext xmlns:c15="http://schemas.microsoft.com/office/drawing/2012/chart" uri="{02D57815-91ED-43cb-92C2-25804820EDAC}">
            <c15:filteredBarSeries>
              <c15:ser>
                <c:idx val="0"/>
                <c:order val="0"/>
                <c:tx>
                  <c:strRef>
                    <c:extLst>
                      <c:ext uri="{02D57815-91ED-43cb-92C2-25804820EDAC}">
                        <c15:formulaRef>
                          <c15:sqref>ch_latest!$D$1</c15:sqref>
                        </c15:formulaRef>
                      </c:ext>
                    </c:extLst>
                    <c:strCache>
                      <c:ptCount val="1"/>
                      <c:pt idx="0">
                        <c:v>intensive_care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c:ex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c:ext uri="{02D57815-91ED-43cb-92C2-25804820EDAC}">
                        <c15:formulaRef>
                          <c15:sqref>ch_latest!$D$2:$D$68</c15:sqref>
                        </c15:formulaRef>
                      </c:ext>
                    </c:extLst>
                    <c:numCache>
                      <c:formatCode>General</c:formatCode>
                      <c:ptCount val="67"/>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322</c:v>
                      </c:pt>
                      <c:pt idx="33">
                        <c:v>336</c:v>
                      </c:pt>
                      <c:pt idx="34">
                        <c:v>382</c:v>
                      </c:pt>
                      <c:pt idx="35">
                        <c:v>408</c:v>
                      </c:pt>
                      <c:pt idx="36">
                        <c:v>437</c:v>
                      </c:pt>
                      <c:pt idx="37">
                        <c:v>442</c:v>
                      </c:pt>
                      <c:pt idx="38">
                        <c:v>452</c:v>
                      </c:pt>
                      <c:pt idx="39">
                        <c:v>454</c:v>
                      </c:pt>
                      <c:pt idx="40">
                        <c:v>444</c:v>
                      </c:pt>
                      <c:pt idx="41">
                        <c:v>443</c:v>
                      </c:pt>
                      <c:pt idx="42">
                        <c:v>437</c:v>
                      </c:pt>
                      <c:pt idx="43">
                        <c:v>434</c:v>
                      </c:pt>
                      <c:pt idx="44">
                        <c:v>426</c:v>
                      </c:pt>
                      <c:pt idx="45">
                        <c:v>414</c:v>
                      </c:pt>
                      <c:pt idx="46">
                        <c:v>414</c:v>
                      </c:pt>
                      <c:pt idx="47">
                        <c:v>403</c:v>
                      </c:pt>
                      <c:pt idx="48">
                        <c:v>399</c:v>
                      </c:pt>
                      <c:pt idx="49">
                        <c:v>386</c:v>
                      </c:pt>
                      <c:pt idx="50">
                        <c:v>363</c:v>
                      </c:pt>
                      <c:pt idx="51">
                        <c:v>343</c:v>
                      </c:pt>
                      <c:pt idx="52">
                        <c:v>331</c:v>
                      </c:pt>
                      <c:pt idx="53">
                        <c:v>317</c:v>
                      </c:pt>
                      <c:pt idx="54">
                        <c:v>308</c:v>
                      </c:pt>
                      <c:pt idx="55">
                        <c:v>294</c:v>
                      </c:pt>
                      <c:pt idx="56">
                        <c:v>280</c:v>
                      </c:pt>
                      <c:pt idx="57">
                        <c:v>249</c:v>
                      </c:pt>
                      <c:pt idx="58">
                        <c:v>241</c:v>
                      </c:pt>
                      <c:pt idx="59">
                        <c:v>237</c:v>
                      </c:pt>
                      <c:pt idx="60">
                        <c:v>228</c:v>
                      </c:pt>
                      <c:pt idx="61">
                        <c:v>206</c:v>
                      </c:pt>
                      <c:pt idx="62">
                        <c:v>201</c:v>
                      </c:pt>
                      <c:pt idx="63">
                        <c:v>182</c:v>
                      </c:pt>
                      <c:pt idx="64">
                        <c:v>187</c:v>
                      </c:pt>
                      <c:pt idx="65">
                        <c:v>172</c:v>
                      </c:pt>
                      <c:pt idx="66">
                        <c:v>169</c:v>
                      </c:pt>
                    </c:numCache>
                  </c:numRef>
                </c:val>
                <c:extLst>
                  <c:ext xmlns:c16="http://schemas.microsoft.com/office/drawing/2014/chart" uri="{C3380CC4-5D6E-409C-BE32-E72D297353CC}">
                    <c16:uniqueId val="{00000000-0070-4142-9DD7-3059914A0F04}"/>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ch_latest!$E$2:$E$68</c15:sqref>
                        </c15:formulaRef>
                      </c:ext>
                    </c:extLst>
                    <c:numCache>
                      <c:formatCode>General</c:formatCode>
                      <c:ptCount val="67"/>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1462</c:v>
                      </c:pt>
                      <c:pt idx="30">
                        <c:v>1608</c:v>
                      </c:pt>
                      <c:pt idx="31">
                        <c:v>1789</c:v>
                      </c:pt>
                      <c:pt idx="32">
                        <c:v>1876</c:v>
                      </c:pt>
                      <c:pt idx="33">
                        <c:v>1990</c:v>
                      </c:pt>
                      <c:pt idx="34">
                        <c:v>2174</c:v>
                      </c:pt>
                      <c:pt idx="35">
                        <c:v>2202</c:v>
                      </c:pt>
                      <c:pt idx="36">
                        <c:v>2280</c:v>
                      </c:pt>
                      <c:pt idx="37">
                        <c:v>2343</c:v>
                      </c:pt>
                      <c:pt idx="38">
                        <c:v>2324</c:v>
                      </c:pt>
                      <c:pt idx="39">
                        <c:v>2311</c:v>
                      </c:pt>
                      <c:pt idx="40">
                        <c:v>2296</c:v>
                      </c:pt>
                      <c:pt idx="41">
                        <c:v>2301</c:v>
                      </c:pt>
                      <c:pt idx="42">
                        <c:v>2219</c:v>
                      </c:pt>
                      <c:pt idx="43">
                        <c:v>2129</c:v>
                      </c:pt>
                      <c:pt idx="44">
                        <c:v>2061</c:v>
                      </c:pt>
                      <c:pt idx="45">
                        <c:v>2001</c:v>
                      </c:pt>
                      <c:pt idx="46">
                        <c:v>1926</c:v>
                      </c:pt>
                      <c:pt idx="47">
                        <c:v>1903</c:v>
                      </c:pt>
                      <c:pt idx="48">
                        <c:v>1886</c:v>
                      </c:pt>
                      <c:pt idx="49">
                        <c:v>1846</c:v>
                      </c:pt>
                      <c:pt idx="50">
                        <c:v>1723</c:v>
                      </c:pt>
                      <c:pt idx="51">
                        <c:v>1665</c:v>
                      </c:pt>
                      <c:pt idx="52">
                        <c:v>1566</c:v>
                      </c:pt>
                      <c:pt idx="53">
                        <c:v>1515</c:v>
                      </c:pt>
                      <c:pt idx="54">
                        <c:v>1507</c:v>
                      </c:pt>
                      <c:pt idx="55">
                        <c:v>1483</c:v>
                      </c:pt>
                      <c:pt idx="56">
                        <c:v>1405</c:v>
                      </c:pt>
                      <c:pt idx="57">
                        <c:v>1339</c:v>
                      </c:pt>
                      <c:pt idx="58">
                        <c:v>1286</c:v>
                      </c:pt>
                      <c:pt idx="59">
                        <c:v>1241</c:v>
                      </c:pt>
                      <c:pt idx="60">
                        <c:v>1212</c:v>
                      </c:pt>
                      <c:pt idx="61">
                        <c:v>1191</c:v>
                      </c:pt>
                      <c:pt idx="62">
                        <c:v>1169</c:v>
                      </c:pt>
                      <c:pt idx="63">
                        <c:v>1141</c:v>
                      </c:pt>
                      <c:pt idx="64">
                        <c:v>1072</c:v>
                      </c:pt>
                      <c:pt idx="65">
                        <c:v>998</c:v>
                      </c:pt>
                      <c:pt idx="66">
                        <c:v>966</c:v>
                      </c:pt>
                    </c:numCache>
                  </c:numRef>
                </c:val>
                <c:extLst xmlns:c15="http://schemas.microsoft.com/office/drawing/2012/chart">
                  <c:ext xmlns:c16="http://schemas.microsoft.com/office/drawing/2014/chart" uri="{C3380CC4-5D6E-409C-BE32-E72D297353CC}">
                    <c16:uniqueId val="{00000001-0070-4142-9DD7-3059914A0F04}"/>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ch_latest!$F$2:$F$68</c15:sqref>
                        </c15:formulaRef>
                      </c:ext>
                    </c:extLst>
                    <c:numCache>
                      <c:formatCode>General</c:formatCode>
                      <c:ptCount val="67"/>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23890</c:v>
                      </c:pt>
                      <c:pt idx="44">
                        <c:v>24558</c:v>
                      </c:pt>
                      <c:pt idx="45">
                        <c:v>25007</c:v>
                      </c:pt>
                      <c:pt idx="46">
                        <c:v>25470</c:v>
                      </c:pt>
                      <c:pt idx="47">
                        <c:v>25743</c:v>
                      </c:pt>
                      <c:pt idx="48">
                        <c:v>25993</c:v>
                      </c:pt>
                      <c:pt idx="49">
                        <c:v>26315</c:v>
                      </c:pt>
                      <c:pt idx="50">
                        <c:v>26633</c:v>
                      </c:pt>
                      <c:pt idx="51">
                        <c:v>26932</c:v>
                      </c:pt>
                      <c:pt idx="52">
                        <c:v>27255</c:v>
                      </c:pt>
                      <c:pt idx="53">
                        <c:v>27538</c:v>
                      </c:pt>
                      <c:pt idx="54">
                        <c:v>27715</c:v>
                      </c:pt>
                      <c:pt idx="55">
                        <c:v>27917</c:v>
                      </c:pt>
                      <c:pt idx="56">
                        <c:v>28076</c:v>
                      </c:pt>
                      <c:pt idx="57">
                        <c:v>28273</c:v>
                      </c:pt>
                      <c:pt idx="58">
                        <c:v>28490</c:v>
                      </c:pt>
                      <c:pt idx="59">
                        <c:v>28681</c:v>
                      </c:pt>
                      <c:pt idx="60">
                        <c:v>28820</c:v>
                      </c:pt>
                      <c:pt idx="61">
                        <c:v>28901</c:v>
                      </c:pt>
                      <c:pt idx="62">
                        <c:v>29066</c:v>
                      </c:pt>
                      <c:pt idx="63">
                        <c:v>29179</c:v>
                      </c:pt>
                      <c:pt idx="64">
                        <c:v>29285</c:v>
                      </c:pt>
                      <c:pt idx="65">
                        <c:v>29410</c:v>
                      </c:pt>
                      <c:pt idx="66">
                        <c:v>29483</c:v>
                      </c:pt>
                    </c:numCache>
                  </c:numRef>
                </c:val>
                <c:extLst xmlns:c15="http://schemas.microsoft.com/office/drawing/2012/chart">
                  <c:ext xmlns:c16="http://schemas.microsoft.com/office/drawing/2014/chart" uri="{C3380CC4-5D6E-409C-BE32-E72D297353CC}">
                    <c16:uniqueId val="{00000002-0070-4142-9DD7-3059914A0F04}"/>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ch_latest!$G$2:$G$68</c15:sqref>
                        </c15:formulaRef>
                      </c:ext>
                    </c:extLst>
                    <c:numCache>
                      <c:formatCode>General</c:formatCode>
                      <c:ptCount val="67"/>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23890</c:v>
                      </c:pt>
                      <c:pt idx="44">
                        <c:v>24558</c:v>
                      </c:pt>
                      <c:pt idx="45">
                        <c:v>25007</c:v>
                      </c:pt>
                      <c:pt idx="46">
                        <c:v>25470</c:v>
                      </c:pt>
                      <c:pt idx="47">
                        <c:v>25743</c:v>
                      </c:pt>
                      <c:pt idx="48">
                        <c:v>25993</c:v>
                      </c:pt>
                      <c:pt idx="49">
                        <c:v>26315</c:v>
                      </c:pt>
                      <c:pt idx="50">
                        <c:v>26633</c:v>
                      </c:pt>
                      <c:pt idx="51">
                        <c:v>26932</c:v>
                      </c:pt>
                      <c:pt idx="52">
                        <c:v>27255</c:v>
                      </c:pt>
                      <c:pt idx="53">
                        <c:v>27538</c:v>
                      </c:pt>
                      <c:pt idx="54">
                        <c:v>27715</c:v>
                      </c:pt>
                      <c:pt idx="55">
                        <c:v>27917</c:v>
                      </c:pt>
                      <c:pt idx="56">
                        <c:v>28076</c:v>
                      </c:pt>
                      <c:pt idx="57">
                        <c:v>28273</c:v>
                      </c:pt>
                      <c:pt idx="58">
                        <c:v>28490</c:v>
                      </c:pt>
                      <c:pt idx="59">
                        <c:v>28681</c:v>
                      </c:pt>
                      <c:pt idx="60">
                        <c:v>28820</c:v>
                      </c:pt>
                      <c:pt idx="61">
                        <c:v>28901</c:v>
                      </c:pt>
                      <c:pt idx="62">
                        <c:v>29066</c:v>
                      </c:pt>
                      <c:pt idx="63">
                        <c:v>29179</c:v>
                      </c:pt>
                      <c:pt idx="64">
                        <c:v>29285</c:v>
                      </c:pt>
                      <c:pt idx="65">
                        <c:v>29410</c:v>
                      </c:pt>
                      <c:pt idx="66">
                        <c:v>29483</c:v>
                      </c:pt>
                    </c:numCache>
                  </c:numRef>
                </c:val>
                <c:extLst xmlns:c15="http://schemas.microsoft.com/office/drawing/2012/chart">
                  <c:ext xmlns:c16="http://schemas.microsoft.com/office/drawing/2014/chart" uri="{C3380CC4-5D6E-409C-BE32-E72D297353CC}">
                    <c16:uniqueId val="{00000003-0070-4142-9DD7-3059914A0F04}"/>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ch_latest!$H$2:$H$68</c15:sqref>
                        </c15:formulaRef>
                      </c:ext>
                    </c:extLst>
                    <c:numCache>
                      <c:formatCode>General</c:formatCode>
                      <c:ptCount val="67"/>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10908</c:v>
                      </c:pt>
                      <c:pt idx="32">
                        <c:v>11501</c:v>
                      </c:pt>
                      <c:pt idx="33">
                        <c:v>11810</c:v>
                      </c:pt>
                      <c:pt idx="34">
                        <c:v>12476</c:v>
                      </c:pt>
                      <c:pt idx="35">
                        <c:v>13236</c:v>
                      </c:pt>
                      <c:pt idx="36">
                        <c:v>13892</c:v>
                      </c:pt>
                      <c:pt idx="37">
                        <c:v>14839</c:v>
                      </c:pt>
                      <c:pt idx="38">
                        <c:v>15668</c:v>
                      </c:pt>
                      <c:pt idx="39">
                        <c:v>16259</c:v>
                      </c:pt>
                      <c:pt idx="40">
                        <c:v>16558</c:v>
                      </c:pt>
                      <c:pt idx="41">
                        <c:v>17197</c:v>
                      </c:pt>
                      <c:pt idx="42">
                        <c:v>18038</c:v>
                      </c:pt>
                      <c:pt idx="43">
                        <c:v>18843</c:v>
                      </c:pt>
                      <c:pt idx="44">
                        <c:v>19357</c:v>
                      </c:pt>
                      <c:pt idx="45">
                        <c:v>19769</c:v>
                      </c:pt>
                      <c:pt idx="46">
                        <c:v>20129</c:v>
                      </c:pt>
                      <c:pt idx="47">
                        <c:v>20304</c:v>
                      </c:pt>
                      <c:pt idx="48">
                        <c:v>20609</c:v>
                      </c:pt>
                      <c:pt idx="49">
                        <c:v>21153</c:v>
                      </c:pt>
                      <c:pt idx="50">
                        <c:v>21611</c:v>
                      </c:pt>
                      <c:pt idx="51">
                        <c:v>22288</c:v>
                      </c:pt>
                      <c:pt idx="52">
                        <c:v>22727</c:v>
                      </c:pt>
                      <c:pt idx="53">
                        <c:v>23168</c:v>
                      </c:pt>
                      <c:pt idx="54">
                        <c:v>23350</c:v>
                      </c:pt>
                      <c:pt idx="55">
                        <c:v>23724</c:v>
                      </c:pt>
                      <c:pt idx="56">
                        <c:v>24135</c:v>
                      </c:pt>
                      <c:pt idx="57">
                        <c:v>24483</c:v>
                      </c:pt>
                      <c:pt idx="58">
                        <c:v>24945</c:v>
                      </c:pt>
                      <c:pt idx="59">
                        <c:v>25337</c:v>
                      </c:pt>
                      <c:pt idx="60">
                        <c:v>25695</c:v>
                      </c:pt>
                      <c:pt idx="61">
                        <c:v>25889</c:v>
                      </c:pt>
                      <c:pt idx="62">
                        <c:v>26162</c:v>
                      </c:pt>
                      <c:pt idx="63">
                        <c:v>26542</c:v>
                      </c:pt>
                      <c:pt idx="64">
                        <c:v>26542</c:v>
                      </c:pt>
                      <c:pt idx="65">
                        <c:v>26542</c:v>
                      </c:pt>
                      <c:pt idx="66">
                        <c:v>26542</c:v>
                      </c:pt>
                    </c:numCache>
                  </c:numRef>
                </c:val>
                <c:extLst xmlns:c15="http://schemas.microsoft.com/office/drawing/2012/chart">
                  <c:ext xmlns:c16="http://schemas.microsoft.com/office/drawing/2014/chart" uri="{C3380CC4-5D6E-409C-BE32-E72D297353CC}">
                    <c16:uniqueId val="{00000004-0070-4142-9DD7-3059914A0F04}"/>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ch_latest!$I$2:$I$68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4624</c:v>
                      </c:pt>
                      <c:pt idx="63">
                        <c:v>4676</c:v>
                      </c:pt>
                      <c:pt idx="64">
                        <c:v>4742</c:v>
                      </c:pt>
                      <c:pt idx="65">
                        <c:v>4819</c:v>
                      </c:pt>
                      <c:pt idx="66">
                        <c:v>4850</c:v>
                      </c:pt>
                    </c:numCache>
                  </c:numRef>
                </c:val>
                <c:extLst xmlns:c15="http://schemas.microsoft.com/office/drawing/2012/chart">
                  <c:ext xmlns:c16="http://schemas.microsoft.com/office/drawing/2014/chart" uri="{C3380CC4-5D6E-409C-BE32-E72D297353CC}">
                    <c16:uniqueId val="{00000005-0070-4142-9DD7-3059914A0F04}"/>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ch_latest!$J$2:$J$68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245</c:v>
                      </c:pt>
                      <c:pt idx="31">
                        <c:v>282</c:v>
                      </c:pt>
                      <c:pt idx="32">
                        <c:v>334</c:v>
                      </c:pt>
                      <c:pt idx="33">
                        <c:v>378</c:v>
                      </c:pt>
                      <c:pt idx="34">
                        <c:v>439</c:v>
                      </c:pt>
                      <c:pt idx="35">
                        <c:v>504</c:v>
                      </c:pt>
                      <c:pt idx="36">
                        <c:v>567</c:v>
                      </c:pt>
                      <c:pt idx="37">
                        <c:v>628</c:v>
                      </c:pt>
                      <c:pt idx="38">
                        <c:v>689</c:v>
                      </c:pt>
                      <c:pt idx="39">
                        <c:v>756</c:v>
                      </c:pt>
                      <c:pt idx="40">
                        <c:v>808</c:v>
                      </c:pt>
                      <c:pt idx="41">
                        <c:v>867</c:v>
                      </c:pt>
                      <c:pt idx="42">
                        <c:v>927</c:v>
                      </c:pt>
                      <c:pt idx="43">
                        <c:v>995</c:v>
                      </c:pt>
                      <c:pt idx="44">
                        <c:v>1046</c:v>
                      </c:pt>
                      <c:pt idx="45">
                        <c:v>1096</c:v>
                      </c:pt>
                      <c:pt idx="46">
                        <c:v>1134</c:v>
                      </c:pt>
                      <c:pt idx="47">
                        <c:v>1190</c:v>
                      </c:pt>
                      <c:pt idx="48">
                        <c:v>1220</c:v>
                      </c:pt>
                      <c:pt idx="49">
                        <c:v>1258</c:v>
                      </c:pt>
                      <c:pt idx="50">
                        <c:v>1311</c:v>
                      </c:pt>
                      <c:pt idx="51">
                        <c:v>1356</c:v>
                      </c:pt>
                      <c:pt idx="52">
                        <c:v>1402</c:v>
                      </c:pt>
                      <c:pt idx="53">
                        <c:v>1444</c:v>
                      </c:pt>
                      <c:pt idx="54">
                        <c:v>1468</c:v>
                      </c:pt>
                      <c:pt idx="55">
                        <c:v>1510</c:v>
                      </c:pt>
                      <c:pt idx="56">
                        <c:v>1551</c:v>
                      </c:pt>
                      <c:pt idx="57">
                        <c:v>1578</c:v>
                      </c:pt>
                      <c:pt idx="58">
                        <c:v>1608</c:v>
                      </c:pt>
                      <c:pt idx="59">
                        <c:v>1637</c:v>
                      </c:pt>
                      <c:pt idx="60">
                        <c:v>1661</c:v>
                      </c:pt>
                      <c:pt idx="61">
                        <c:v>1677</c:v>
                      </c:pt>
                      <c:pt idx="62">
                        <c:v>1699</c:v>
                      </c:pt>
                      <c:pt idx="63">
                        <c:v>1724</c:v>
                      </c:pt>
                      <c:pt idx="64">
                        <c:v>1731</c:v>
                      </c:pt>
                      <c:pt idx="65">
                        <c:v>1742</c:v>
                      </c:pt>
                      <c:pt idx="66">
                        <c:v>1751</c:v>
                      </c:pt>
                    </c:numCache>
                  </c:numRef>
                </c:val>
                <c:extLst xmlns:c15="http://schemas.microsoft.com/office/drawing/2012/chart">
                  <c:ext xmlns:c16="http://schemas.microsoft.com/office/drawing/2014/chart" uri="{C3380CC4-5D6E-409C-BE32-E72D297353CC}">
                    <c16:uniqueId val="{00000006-0070-4142-9DD7-3059914A0F04}"/>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ch_latest!$K$2:$K$68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xmlns:c15="http://schemas.microsoft.com/office/drawing/2012/chart">
                  <c:ext xmlns:c16="http://schemas.microsoft.com/office/drawing/2014/chart" uri="{C3380CC4-5D6E-409C-BE32-E72D297353CC}">
                    <c16:uniqueId val="{00000007-0070-4142-9DD7-3059914A0F04}"/>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ch_latest!$L$2:$L$68</c15:sqref>
                        </c15:formulaRef>
                      </c:ext>
                    </c:extLst>
                    <c:numCache>
                      <c:formatCode>General</c:formatCode>
                      <c:ptCount val="67"/>
                      <c:pt idx="1">
                        <c:v>1</c:v>
                      </c:pt>
                      <c:pt idx="2">
                        <c:v>4</c:v>
                      </c:pt>
                      <c:pt idx="3">
                        <c:v>7</c:v>
                      </c:pt>
                      <c:pt idx="4">
                        <c:v>7</c:v>
                      </c:pt>
                      <c:pt idx="5">
                        <c:v>7</c:v>
                      </c:pt>
                      <c:pt idx="6">
                        <c:v>10</c:v>
                      </c:pt>
                      <c:pt idx="7">
                        <c:v>17</c:v>
                      </c:pt>
                      <c:pt idx="8">
                        <c:v>20</c:v>
                      </c:pt>
                      <c:pt idx="9">
                        <c:v>44</c:v>
                      </c:pt>
                      <c:pt idx="10">
                        <c:v>65</c:v>
                      </c:pt>
                      <c:pt idx="11">
                        <c:v>72</c:v>
                      </c:pt>
                      <c:pt idx="12">
                        <c:v>57</c:v>
                      </c:pt>
                      <c:pt idx="13">
                        <c:v>84</c:v>
                      </c:pt>
                      <c:pt idx="14">
                        <c:v>138</c:v>
                      </c:pt>
                      <c:pt idx="15">
                        <c:v>171</c:v>
                      </c:pt>
                      <c:pt idx="16">
                        <c:v>352</c:v>
                      </c:pt>
                      <c:pt idx="17">
                        <c:v>352</c:v>
                      </c:pt>
                      <c:pt idx="18">
                        <c:v>333</c:v>
                      </c:pt>
                      <c:pt idx="19">
                        <c:v>286</c:v>
                      </c:pt>
                      <c:pt idx="20">
                        <c:v>721</c:v>
                      </c:pt>
                      <c:pt idx="21">
                        <c:v>871</c:v>
                      </c:pt>
                      <c:pt idx="22">
                        <c:v>1172</c:v>
                      </c:pt>
                      <c:pt idx="23">
                        <c:v>1027</c:v>
                      </c:pt>
                      <c:pt idx="24">
                        <c:v>1135</c:v>
                      </c:pt>
                      <c:pt idx="25">
                        <c:v>697</c:v>
                      </c:pt>
                      <c:pt idx="26">
                        <c:v>569</c:v>
                      </c:pt>
                      <c:pt idx="27">
                        <c:v>1517</c:v>
                      </c:pt>
                      <c:pt idx="28">
                        <c:v>1086</c:v>
                      </c:pt>
                      <c:pt idx="29">
                        <c:v>1122</c:v>
                      </c:pt>
                      <c:pt idx="30">
                        <c:v>1113</c:v>
                      </c:pt>
                      <c:pt idx="31">
                        <c:v>1334</c:v>
                      </c:pt>
                      <c:pt idx="32">
                        <c:v>833</c:v>
                      </c:pt>
                      <c:pt idx="33">
                        <c:v>598</c:v>
                      </c:pt>
                      <c:pt idx="34">
                        <c:v>1115</c:v>
                      </c:pt>
                      <c:pt idx="35">
                        <c:v>918</c:v>
                      </c:pt>
                      <c:pt idx="36">
                        <c:v>1048</c:v>
                      </c:pt>
                      <c:pt idx="37">
                        <c:v>1020</c:v>
                      </c:pt>
                      <c:pt idx="38">
                        <c:v>954</c:v>
                      </c:pt>
                      <c:pt idx="39">
                        <c:v>567</c:v>
                      </c:pt>
                      <c:pt idx="40">
                        <c:v>382</c:v>
                      </c:pt>
                      <c:pt idx="41">
                        <c:v>742</c:v>
                      </c:pt>
                      <c:pt idx="42">
                        <c:v>652</c:v>
                      </c:pt>
                      <c:pt idx="43">
                        <c:v>669</c:v>
                      </c:pt>
                      <c:pt idx="44">
                        <c:v>668</c:v>
                      </c:pt>
                      <c:pt idx="45">
                        <c:v>449</c:v>
                      </c:pt>
                      <c:pt idx="46">
                        <c:v>463</c:v>
                      </c:pt>
                      <c:pt idx="47">
                        <c:v>273</c:v>
                      </c:pt>
                      <c:pt idx="48">
                        <c:v>250</c:v>
                      </c:pt>
                      <c:pt idx="49">
                        <c:v>322</c:v>
                      </c:pt>
                      <c:pt idx="50">
                        <c:v>318</c:v>
                      </c:pt>
                      <c:pt idx="51">
                        <c:v>299</c:v>
                      </c:pt>
                      <c:pt idx="52">
                        <c:v>323</c:v>
                      </c:pt>
                      <c:pt idx="53">
                        <c:v>283</c:v>
                      </c:pt>
                      <c:pt idx="54">
                        <c:v>177</c:v>
                      </c:pt>
                      <c:pt idx="55">
                        <c:v>202</c:v>
                      </c:pt>
                      <c:pt idx="56">
                        <c:v>159</c:v>
                      </c:pt>
                      <c:pt idx="57">
                        <c:v>197</c:v>
                      </c:pt>
                      <c:pt idx="58">
                        <c:v>217</c:v>
                      </c:pt>
                      <c:pt idx="59">
                        <c:v>191</c:v>
                      </c:pt>
                      <c:pt idx="60">
                        <c:v>139</c:v>
                      </c:pt>
                      <c:pt idx="61">
                        <c:v>81</c:v>
                      </c:pt>
                      <c:pt idx="62">
                        <c:v>165</c:v>
                      </c:pt>
                      <c:pt idx="63">
                        <c:v>113</c:v>
                      </c:pt>
                      <c:pt idx="64">
                        <c:v>106</c:v>
                      </c:pt>
                      <c:pt idx="65">
                        <c:v>125</c:v>
                      </c:pt>
                      <c:pt idx="66">
                        <c:v>73</c:v>
                      </c:pt>
                    </c:numCache>
                  </c:numRef>
                </c:val>
                <c:extLst xmlns:c15="http://schemas.microsoft.com/office/drawing/2012/chart">
                  <c:ext xmlns:c16="http://schemas.microsoft.com/office/drawing/2014/chart" uri="{C3380CC4-5D6E-409C-BE32-E72D297353CC}">
                    <c16:uniqueId val="{00000008-0070-4142-9DD7-3059914A0F04}"/>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ch_latest!$M$2:$M$68</c15:sqref>
                        </c15:formulaRef>
                      </c:ext>
                    </c:extLst>
                    <c:numCache>
                      <c:formatCode>General</c:formatCode>
                      <c:ptCount val="67"/>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534</c:v>
                      </c:pt>
                      <c:pt idx="16">
                        <c:v>705</c:v>
                      </c:pt>
                      <c:pt idx="17">
                        <c:v>1057</c:v>
                      </c:pt>
                      <c:pt idx="18">
                        <c:v>1409</c:v>
                      </c:pt>
                      <c:pt idx="19">
                        <c:v>1742</c:v>
                      </c:pt>
                      <c:pt idx="20">
                        <c:v>2028</c:v>
                      </c:pt>
                      <c:pt idx="21">
                        <c:v>2749</c:v>
                      </c:pt>
                      <c:pt idx="22">
                        <c:v>3620</c:v>
                      </c:pt>
                      <c:pt idx="23">
                        <c:v>4792</c:v>
                      </c:pt>
                      <c:pt idx="24">
                        <c:v>5819</c:v>
                      </c:pt>
                      <c:pt idx="25">
                        <c:v>6954</c:v>
                      </c:pt>
                      <c:pt idx="26">
                        <c:v>7651</c:v>
                      </c:pt>
                      <c:pt idx="27">
                        <c:v>8220</c:v>
                      </c:pt>
                      <c:pt idx="28">
                        <c:v>9737</c:v>
                      </c:pt>
                      <c:pt idx="29">
                        <c:v>10823</c:v>
                      </c:pt>
                      <c:pt idx="30">
                        <c:v>11945</c:v>
                      </c:pt>
                      <c:pt idx="31">
                        <c:v>13058</c:v>
                      </c:pt>
                      <c:pt idx="32">
                        <c:v>14392</c:v>
                      </c:pt>
                      <c:pt idx="33">
                        <c:v>15225</c:v>
                      </c:pt>
                      <c:pt idx="34">
                        <c:v>15823</c:v>
                      </c:pt>
                      <c:pt idx="35">
                        <c:v>16938</c:v>
                      </c:pt>
                      <c:pt idx="36">
                        <c:v>17856</c:v>
                      </c:pt>
                      <c:pt idx="37">
                        <c:v>18904</c:v>
                      </c:pt>
                      <c:pt idx="38">
                        <c:v>19924</c:v>
                      </c:pt>
                      <c:pt idx="39">
                        <c:v>20878</c:v>
                      </c:pt>
                      <c:pt idx="40">
                        <c:v>21445</c:v>
                      </c:pt>
                      <c:pt idx="41">
                        <c:v>21827</c:v>
                      </c:pt>
                      <c:pt idx="42">
                        <c:v>22569</c:v>
                      </c:pt>
                      <c:pt idx="43">
                        <c:v>23221</c:v>
                      </c:pt>
                      <c:pt idx="44">
                        <c:v>23890</c:v>
                      </c:pt>
                      <c:pt idx="45">
                        <c:v>24558</c:v>
                      </c:pt>
                      <c:pt idx="46">
                        <c:v>25007</c:v>
                      </c:pt>
                      <c:pt idx="47">
                        <c:v>25470</c:v>
                      </c:pt>
                      <c:pt idx="48">
                        <c:v>25743</c:v>
                      </c:pt>
                      <c:pt idx="49">
                        <c:v>25993</c:v>
                      </c:pt>
                      <c:pt idx="50">
                        <c:v>26315</c:v>
                      </c:pt>
                      <c:pt idx="51">
                        <c:v>26633</c:v>
                      </c:pt>
                      <c:pt idx="52">
                        <c:v>26932</c:v>
                      </c:pt>
                      <c:pt idx="53">
                        <c:v>27255</c:v>
                      </c:pt>
                      <c:pt idx="54">
                        <c:v>27538</c:v>
                      </c:pt>
                      <c:pt idx="55">
                        <c:v>27715</c:v>
                      </c:pt>
                      <c:pt idx="56">
                        <c:v>27917</c:v>
                      </c:pt>
                      <c:pt idx="57">
                        <c:v>28076</c:v>
                      </c:pt>
                      <c:pt idx="58">
                        <c:v>28273</c:v>
                      </c:pt>
                      <c:pt idx="59">
                        <c:v>28490</c:v>
                      </c:pt>
                      <c:pt idx="60">
                        <c:v>28681</c:v>
                      </c:pt>
                      <c:pt idx="61">
                        <c:v>28820</c:v>
                      </c:pt>
                      <c:pt idx="62">
                        <c:v>28901</c:v>
                      </c:pt>
                      <c:pt idx="63">
                        <c:v>29066</c:v>
                      </c:pt>
                      <c:pt idx="64">
                        <c:v>29179</c:v>
                      </c:pt>
                      <c:pt idx="65">
                        <c:v>29285</c:v>
                      </c:pt>
                      <c:pt idx="66">
                        <c:v>29410</c:v>
                      </c:pt>
                    </c:numCache>
                  </c:numRef>
                </c:val>
                <c:extLst xmlns:c15="http://schemas.microsoft.com/office/drawing/2012/chart">
                  <c:ext xmlns:c16="http://schemas.microsoft.com/office/drawing/2014/chart" uri="{C3380CC4-5D6E-409C-BE32-E72D297353CC}">
                    <c16:uniqueId val="{00000009-0070-4142-9DD7-3059914A0F04}"/>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ch_latest!$N$2:$N$68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extLst xmlns:c15="http://schemas.microsoft.com/office/drawing/2012/chart">
                  <c:ext xmlns:c16="http://schemas.microsoft.com/office/drawing/2014/chart" uri="{C3380CC4-5D6E-409C-BE32-E72D297353CC}">
                    <c16:uniqueId val="{0000000A-0070-4142-9DD7-3059914A0F04}"/>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ch_latest!$O$2:$O$68</c15:sqref>
                        </c15:formulaRef>
                      </c:ext>
                    </c:extLst>
                    <c:numCache>
                      <c:formatCode>General</c:formatCode>
                      <c:ptCount val="67"/>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45</c:v>
                      </c:pt>
                      <c:pt idx="31">
                        <c:v>37</c:v>
                      </c:pt>
                      <c:pt idx="32">
                        <c:v>52</c:v>
                      </c:pt>
                      <c:pt idx="33">
                        <c:v>44</c:v>
                      </c:pt>
                      <c:pt idx="34">
                        <c:v>61</c:v>
                      </c:pt>
                      <c:pt idx="35">
                        <c:v>65</c:v>
                      </c:pt>
                      <c:pt idx="36">
                        <c:v>63</c:v>
                      </c:pt>
                      <c:pt idx="37">
                        <c:v>61</c:v>
                      </c:pt>
                      <c:pt idx="38">
                        <c:v>61</c:v>
                      </c:pt>
                      <c:pt idx="39">
                        <c:v>67</c:v>
                      </c:pt>
                      <c:pt idx="40">
                        <c:v>52</c:v>
                      </c:pt>
                      <c:pt idx="41">
                        <c:v>59</c:v>
                      </c:pt>
                      <c:pt idx="42">
                        <c:v>60</c:v>
                      </c:pt>
                      <c:pt idx="43">
                        <c:v>68</c:v>
                      </c:pt>
                      <c:pt idx="44">
                        <c:v>51</c:v>
                      </c:pt>
                      <c:pt idx="45">
                        <c:v>50</c:v>
                      </c:pt>
                      <c:pt idx="46">
                        <c:v>38</c:v>
                      </c:pt>
                      <c:pt idx="47">
                        <c:v>56</c:v>
                      </c:pt>
                      <c:pt idx="48">
                        <c:v>30</c:v>
                      </c:pt>
                      <c:pt idx="49">
                        <c:v>38</c:v>
                      </c:pt>
                      <c:pt idx="50">
                        <c:v>53</c:v>
                      </c:pt>
                      <c:pt idx="51">
                        <c:v>45</c:v>
                      </c:pt>
                      <c:pt idx="52">
                        <c:v>46</c:v>
                      </c:pt>
                      <c:pt idx="53">
                        <c:v>42</c:v>
                      </c:pt>
                      <c:pt idx="54">
                        <c:v>24</c:v>
                      </c:pt>
                      <c:pt idx="55">
                        <c:v>42</c:v>
                      </c:pt>
                      <c:pt idx="56">
                        <c:v>41</c:v>
                      </c:pt>
                      <c:pt idx="57">
                        <c:v>27</c:v>
                      </c:pt>
                      <c:pt idx="58">
                        <c:v>30</c:v>
                      </c:pt>
                      <c:pt idx="59">
                        <c:v>29</c:v>
                      </c:pt>
                      <c:pt idx="60">
                        <c:v>24</c:v>
                      </c:pt>
                      <c:pt idx="61">
                        <c:v>16</c:v>
                      </c:pt>
                      <c:pt idx="62">
                        <c:v>22</c:v>
                      </c:pt>
                      <c:pt idx="63">
                        <c:v>25</c:v>
                      </c:pt>
                      <c:pt idx="64">
                        <c:v>7</c:v>
                      </c:pt>
                      <c:pt idx="65">
                        <c:v>11</c:v>
                      </c:pt>
                      <c:pt idx="66">
                        <c:v>9</c:v>
                      </c:pt>
                    </c:numCache>
                  </c:numRef>
                </c:val>
                <c:extLst xmlns:c15="http://schemas.microsoft.com/office/drawing/2012/chart">
                  <c:ext xmlns:c16="http://schemas.microsoft.com/office/drawing/2014/chart" uri="{C3380CC4-5D6E-409C-BE32-E72D297353CC}">
                    <c16:uniqueId val="{0000000B-0070-4142-9DD7-3059914A0F04}"/>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ch_latest!$P$2:$P$68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245</c:v>
                      </c:pt>
                      <c:pt idx="32">
                        <c:v>282</c:v>
                      </c:pt>
                      <c:pt idx="33">
                        <c:v>334</c:v>
                      </c:pt>
                      <c:pt idx="34">
                        <c:v>378</c:v>
                      </c:pt>
                      <c:pt idx="35">
                        <c:v>439</c:v>
                      </c:pt>
                      <c:pt idx="36">
                        <c:v>504</c:v>
                      </c:pt>
                      <c:pt idx="37">
                        <c:v>567</c:v>
                      </c:pt>
                      <c:pt idx="38">
                        <c:v>628</c:v>
                      </c:pt>
                      <c:pt idx="39">
                        <c:v>689</c:v>
                      </c:pt>
                      <c:pt idx="40">
                        <c:v>756</c:v>
                      </c:pt>
                      <c:pt idx="41">
                        <c:v>808</c:v>
                      </c:pt>
                      <c:pt idx="42">
                        <c:v>867</c:v>
                      </c:pt>
                      <c:pt idx="43">
                        <c:v>927</c:v>
                      </c:pt>
                      <c:pt idx="44">
                        <c:v>995</c:v>
                      </c:pt>
                      <c:pt idx="45">
                        <c:v>1046</c:v>
                      </c:pt>
                      <c:pt idx="46">
                        <c:v>1096</c:v>
                      </c:pt>
                      <c:pt idx="47">
                        <c:v>1134</c:v>
                      </c:pt>
                      <c:pt idx="48">
                        <c:v>1190</c:v>
                      </c:pt>
                      <c:pt idx="49">
                        <c:v>1220</c:v>
                      </c:pt>
                      <c:pt idx="50">
                        <c:v>1258</c:v>
                      </c:pt>
                      <c:pt idx="51">
                        <c:v>1311</c:v>
                      </c:pt>
                      <c:pt idx="52">
                        <c:v>1356</c:v>
                      </c:pt>
                      <c:pt idx="53">
                        <c:v>1402</c:v>
                      </c:pt>
                      <c:pt idx="54">
                        <c:v>1444</c:v>
                      </c:pt>
                      <c:pt idx="55">
                        <c:v>1468</c:v>
                      </c:pt>
                      <c:pt idx="56">
                        <c:v>1510</c:v>
                      </c:pt>
                      <c:pt idx="57">
                        <c:v>1551</c:v>
                      </c:pt>
                      <c:pt idx="58">
                        <c:v>1578</c:v>
                      </c:pt>
                      <c:pt idx="59">
                        <c:v>1608</c:v>
                      </c:pt>
                      <c:pt idx="60">
                        <c:v>1637</c:v>
                      </c:pt>
                      <c:pt idx="61">
                        <c:v>1661</c:v>
                      </c:pt>
                      <c:pt idx="62">
                        <c:v>1677</c:v>
                      </c:pt>
                      <c:pt idx="63">
                        <c:v>1699</c:v>
                      </c:pt>
                      <c:pt idx="64">
                        <c:v>1724</c:v>
                      </c:pt>
                      <c:pt idx="65">
                        <c:v>1731</c:v>
                      </c:pt>
                      <c:pt idx="66">
                        <c:v>1742</c:v>
                      </c:pt>
                    </c:numCache>
                  </c:numRef>
                </c:val>
                <c:extLst xmlns:c15="http://schemas.microsoft.com/office/drawing/2012/chart">
                  <c:ext xmlns:c16="http://schemas.microsoft.com/office/drawing/2014/chart" uri="{C3380CC4-5D6E-409C-BE32-E72D297353CC}">
                    <c16:uniqueId val="{0000000C-0070-4142-9DD7-3059914A0F04}"/>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ch_latest!$R$2:$R$68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3.7823540000000002</c:v>
                      </c:pt>
                      <c:pt idx="31">
                        <c:v>3.7896809999999999</c:v>
                      </c:pt>
                      <c:pt idx="32">
                        <c:v>4.0855249999999996</c:v>
                      </c:pt>
                      <c:pt idx="33">
                        <c:v>4.1808810000000003</c:v>
                      </c:pt>
                      <c:pt idx="34">
                        <c:v>4.4083119999999996</c:v>
                      </c:pt>
                      <c:pt idx="35">
                        <c:v>4.8047259999999996</c:v>
                      </c:pt>
                      <c:pt idx="36">
                        <c:v>4.9620230000000003</c:v>
                      </c:pt>
                      <c:pt idx="37">
                        <c:v>5.4889780000000004</c:v>
                      </c:pt>
                      <c:pt idx="38">
                        <c:v>5.7728869999999999</c:v>
                      </c:pt>
                      <c:pt idx="39">
                        <c:v>6.376207</c:v>
                      </c:pt>
                      <c:pt idx="40">
                        <c:v>7.3428820000000004</c:v>
                      </c:pt>
                      <c:pt idx="41">
                        <c:v>8.1608239999999999</c:v>
                      </c:pt>
                      <c:pt idx="42">
                        <c:v>8.8998889999999999</c:v>
                      </c:pt>
                      <c:pt idx="43">
                        <c:v>9.430536</c:v>
                      </c:pt>
                      <c:pt idx="44">
                        <c:v>10.674073999999999</c:v>
                      </c:pt>
                      <c:pt idx="45">
                        <c:v>11.368271999999999</c:v>
                      </c:pt>
                      <c:pt idx="46">
                        <c:v>12.909331</c:v>
                      </c:pt>
                      <c:pt idx="47">
                        <c:v>13.876541</c:v>
                      </c:pt>
                      <c:pt idx="48">
                        <c:v>17.000285000000002</c:v>
                      </c:pt>
                      <c:pt idx="49">
                        <c:v>18.779408</c:v>
                      </c:pt>
                      <c:pt idx="50">
                        <c:v>19.348355999999999</c:v>
                      </c:pt>
                      <c:pt idx="51">
                        <c:v>19.384613000000002</c:v>
                      </c:pt>
                      <c:pt idx="52">
                        <c:v>21.139434000000001</c:v>
                      </c:pt>
                      <c:pt idx="53">
                        <c:v>20.560089999999999</c:v>
                      </c:pt>
                      <c:pt idx="54">
                        <c:v>22.449708000000001</c:v>
                      </c:pt>
                      <c:pt idx="55">
                        <c:v>24.524125999999999</c:v>
                      </c:pt>
                      <c:pt idx="56">
                        <c:v>25.794269</c:v>
                      </c:pt>
                      <c:pt idx="57">
                        <c:v>29.306459</c:v>
                      </c:pt>
                      <c:pt idx="58">
                        <c:v>32.217187000000003</c:v>
                      </c:pt>
                      <c:pt idx="59">
                        <c:v>31.806139999999999</c:v>
                      </c:pt>
                      <c:pt idx="60">
                        <c:v>36.362704000000001</c:v>
                      </c:pt>
                      <c:pt idx="61">
                        <c:v>44.371870999999999</c:v>
                      </c:pt>
                      <c:pt idx="62">
                        <c:v>46.909311000000002</c:v>
                      </c:pt>
                      <c:pt idx="63">
                        <c:v>49.755021999999997</c:v>
                      </c:pt>
                      <c:pt idx="64">
                        <c:v>62.072164999999998</c:v>
                      </c:pt>
                      <c:pt idx="65">
                        <c:v>72.788095999999996</c:v>
                      </c:pt>
                      <c:pt idx="66">
                        <c:v>80.261465999999999</c:v>
                      </c:pt>
                    </c:numCache>
                  </c:numRef>
                </c:val>
                <c:extLst xmlns:c15="http://schemas.microsoft.com/office/drawing/2012/chart">
                  <c:ext xmlns:c16="http://schemas.microsoft.com/office/drawing/2014/chart" uri="{C3380CC4-5D6E-409C-BE32-E72D297353CC}">
                    <c16:uniqueId val="{00000001-84A1-4D71-B585-618A414EE633}"/>
                  </c:ext>
                </c:extLst>
              </c15:ser>
            </c15:filteredBarSeries>
          </c:ext>
        </c:extLst>
      </c:barChart>
      <c:dateAx>
        <c:axId val="89998336"/>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0938272"/>
        <c:crosses val="autoZero"/>
        <c:auto val="0"/>
        <c:lblOffset val="100"/>
        <c:baseTimeUnit val="days"/>
        <c:majorUnit val="2"/>
        <c:majorTimeUnit val="days"/>
        <c:minorUnit val="2"/>
        <c:minorTimeUnit val="days"/>
      </c:dateAx>
      <c:valAx>
        <c:axId val="109382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89998336"/>
        <c:crosses val="autoZero"/>
        <c:crossBetween val="midCat"/>
      </c:valAx>
      <c:spPr>
        <a:noFill/>
        <a:ln>
          <a:noFill/>
        </a:ln>
        <a:effectLst/>
      </c:spPr>
    </c:plotArea>
    <c:legend>
      <c:legendPos val="b"/>
      <c:layout>
        <c:manualLayout>
          <c:xMode val="edge"/>
          <c:yMode val="edge"/>
          <c:x val="7.3463854808846568E-2"/>
          <c:y val="0.89577464376841476"/>
          <c:w val="0.21076776050797077"/>
          <c:h val="3.5174822052959354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New</a:t>
            </a:r>
            <a:r>
              <a:rPr lang="en-US" baseline="0"/>
              <a:t> positive &amp; new deaths</a:t>
            </a:r>
            <a:r>
              <a:rPr lang="en-US"/>
              <a:t>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8.9323272090988629E-2"/>
          <c:y val="0.10689814814814817"/>
          <c:w val="0.85474540682414701"/>
          <c:h val="0.72082754498200308"/>
        </c:manualLayout>
      </c:layout>
      <c:lineChart>
        <c:grouping val="standard"/>
        <c:varyColors val="0"/>
        <c:ser>
          <c:idx val="8"/>
          <c:order val="8"/>
          <c:tx>
            <c:v>new_positive</c:v>
          </c:tx>
          <c:spPr>
            <a:ln w="34925" cap="rnd">
              <a:solidFill>
                <a:srgbClr val="33CCFF"/>
              </a:solidFill>
              <a:round/>
            </a:ln>
            <a:effectLst>
              <a:outerShdw blurRad="57150" dist="19050" dir="5400000" algn="ctr" rotWithShape="0">
                <a:srgbClr val="000000">
                  <a:alpha val="63000"/>
                </a:srgbClr>
              </a:outerShdw>
            </a:effectLst>
          </c:spPr>
          <c:marker>
            <c:symbol val="none"/>
          </c:marker>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1</c:v>
              </c:pt>
              <c:pt idx="2">
                <c:v>4</c:v>
              </c:pt>
              <c:pt idx="3">
                <c:v>7</c:v>
              </c:pt>
              <c:pt idx="4">
                <c:v>7</c:v>
              </c:pt>
              <c:pt idx="5">
                <c:v>7</c:v>
              </c:pt>
              <c:pt idx="6">
                <c:v>10</c:v>
              </c:pt>
              <c:pt idx="7">
                <c:v>17</c:v>
              </c:pt>
              <c:pt idx="8">
                <c:v>20</c:v>
              </c:pt>
              <c:pt idx="9">
                <c:v>44</c:v>
              </c:pt>
              <c:pt idx="10">
                <c:v>65</c:v>
              </c:pt>
              <c:pt idx="11">
                <c:v>72</c:v>
              </c:pt>
              <c:pt idx="12">
                <c:v>57</c:v>
              </c:pt>
              <c:pt idx="13">
                <c:v>84</c:v>
              </c:pt>
              <c:pt idx="14">
                <c:v>137</c:v>
              </c:pt>
              <c:pt idx="15">
                <c:v>171</c:v>
              </c:pt>
              <c:pt idx="16">
                <c:v>352</c:v>
              </c:pt>
              <c:pt idx="17">
                <c:v>352</c:v>
              </c:pt>
              <c:pt idx="18">
                <c:v>335</c:v>
              </c:pt>
              <c:pt idx="19">
                <c:v>279</c:v>
              </c:pt>
              <c:pt idx="20">
                <c:v>729</c:v>
              </c:pt>
              <c:pt idx="21">
                <c:v>871</c:v>
              </c:pt>
              <c:pt idx="22">
                <c:v>1181</c:v>
              </c:pt>
              <c:pt idx="23">
                <c:v>1047</c:v>
              </c:pt>
              <c:pt idx="24">
                <c:v>1135</c:v>
              </c:pt>
              <c:pt idx="25">
                <c:v>697</c:v>
              </c:pt>
              <c:pt idx="26">
                <c:v>569</c:v>
              </c:pt>
              <c:pt idx="27">
                <c:v>1560</c:v>
              </c:pt>
              <c:pt idx="28">
                <c:v>1071</c:v>
              </c:pt>
              <c:pt idx="29">
                <c:v>1095</c:v>
              </c:pt>
              <c:pt idx="30">
                <c:v>1139</c:v>
              </c:pt>
              <c:pt idx="31">
                <c:v>1308</c:v>
              </c:pt>
              <c:pt idx="32">
                <c:v>833</c:v>
              </c:pt>
              <c:pt idx="33">
                <c:v>598</c:v>
              </c:pt>
              <c:pt idx="34">
                <c:v>1115</c:v>
              </c:pt>
              <c:pt idx="35">
                <c:v>938</c:v>
              </c:pt>
              <c:pt idx="36">
                <c:v>1027</c:v>
              </c:pt>
              <c:pt idx="37">
                <c:v>1045</c:v>
              </c:pt>
              <c:pt idx="38">
                <c:v>929</c:v>
              </c:pt>
              <c:pt idx="39">
                <c:v>566</c:v>
              </c:pt>
              <c:pt idx="40">
                <c:v>383</c:v>
              </c:pt>
              <c:pt idx="41">
                <c:v>742</c:v>
              </c:pt>
              <c:pt idx="42">
                <c:v>651</c:v>
              </c:pt>
              <c:pt idx="43">
                <c:v>670</c:v>
              </c:pt>
              <c:pt idx="44">
                <c:v>668</c:v>
              </c:pt>
              <c:pt idx="45">
                <c:v>450</c:v>
              </c:pt>
              <c:pt idx="46">
                <c:v>463</c:v>
              </c:pt>
              <c:pt idx="47">
                <c:v>273</c:v>
              </c:pt>
              <c:pt idx="48">
                <c:v>251</c:v>
              </c:pt>
              <c:pt idx="49">
                <c:v>322</c:v>
              </c:pt>
              <c:pt idx="50">
                <c:v>318</c:v>
              </c:pt>
              <c:pt idx="51">
                <c:v>299</c:v>
              </c:pt>
              <c:pt idx="52">
                <c:v>314</c:v>
              </c:pt>
              <c:pt idx="53">
                <c:v>293</c:v>
              </c:pt>
              <c:pt idx="54">
                <c:v>177</c:v>
              </c:pt>
              <c:pt idx="55">
                <c:v>202</c:v>
              </c:pt>
              <c:pt idx="56">
                <c:v>158</c:v>
              </c:pt>
              <c:pt idx="57">
                <c:v>195</c:v>
              </c:pt>
              <c:pt idx="58">
                <c:v>183</c:v>
              </c:pt>
              <c:pt idx="59">
                <c:v>164</c:v>
              </c:pt>
              <c:pt idx="60">
                <c:v>135</c:v>
              </c:pt>
              <c:pt idx="61">
                <c:v>65</c:v>
              </c:pt>
              <c:pt idx="62">
                <c:v>64</c:v>
              </c:pt>
            </c:numLit>
          </c:val>
          <c:smooth val="0"/>
          <c:extLst>
            <c:ext xmlns:c16="http://schemas.microsoft.com/office/drawing/2014/chart" uri="{C3380CC4-5D6E-409C-BE32-E72D297353CC}">
              <c16:uniqueId val="{00000000-3C9B-4CCC-99BC-84CFF113D9B4}"/>
            </c:ext>
          </c:extLst>
        </c:ser>
        <c:ser>
          <c:idx val="11"/>
          <c:order val="11"/>
          <c:tx>
            <c:v>new_deaths</c:v>
          </c:tx>
          <c:spPr>
            <a:ln w="34925" cap="rnd">
              <a:solidFill>
                <a:schemeClr val="bg1"/>
              </a:solidFill>
              <a:round/>
            </a:ln>
            <a:effectLst>
              <a:outerShdw blurRad="57150" dist="19050" dir="5400000" algn="ctr" rotWithShape="0">
                <a:srgbClr val="000000">
                  <a:alpha val="63000"/>
                </a:srgbClr>
              </a:outerShdw>
            </a:effectLst>
          </c:spPr>
          <c:marker>
            <c:symbol val="none"/>
          </c:marker>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46</c:v>
              </c:pt>
              <c:pt idx="31">
                <c:v>36</c:v>
              </c:pt>
              <c:pt idx="32">
                <c:v>52</c:v>
              </c:pt>
              <c:pt idx="33">
                <c:v>44</c:v>
              </c:pt>
              <c:pt idx="34">
                <c:v>58</c:v>
              </c:pt>
              <c:pt idx="35">
                <c:v>66</c:v>
              </c:pt>
              <c:pt idx="36">
                <c:v>63</c:v>
              </c:pt>
              <c:pt idx="37">
                <c:v>61</c:v>
              </c:pt>
              <c:pt idx="38">
                <c:v>61</c:v>
              </c:pt>
              <c:pt idx="39">
                <c:v>66</c:v>
              </c:pt>
              <c:pt idx="40">
                <c:v>52</c:v>
              </c:pt>
              <c:pt idx="41">
                <c:v>58</c:v>
              </c:pt>
              <c:pt idx="42">
                <c:v>60</c:v>
              </c:pt>
              <c:pt idx="43">
                <c:v>67</c:v>
              </c:pt>
              <c:pt idx="44">
                <c:v>51</c:v>
              </c:pt>
              <c:pt idx="45">
                <c:v>49</c:v>
              </c:pt>
              <c:pt idx="46">
                <c:v>37</c:v>
              </c:pt>
              <c:pt idx="47">
                <c:v>55</c:v>
              </c:pt>
              <c:pt idx="48">
                <c:v>30</c:v>
              </c:pt>
              <c:pt idx="49">
                <c:v>38</c:v>
              </c:pt>
              <c:pt idx="50">
                <c:v>52</c:v>
              </c:pt>
              <c:pt idx="51">
                <c:v>45</c:v>
              </c:pt>
              <c:pt idx="52">
                <c:v>45</c:v>
              </c:pt>
              <c:pt idx="53">
                <c:v>42</c:v>
              </c:pt>
              <c:pt idx="54">
                <c:v>22</c:v>
              </c:pt>
              <c:pt idx="55">
                <c:v>41</c:v>
              </c:pt>
              <c:pt idx="56">
                <c:v>39</c:v>
              </c:pt>
              <c:pt idx="57">
                <c:v>25</c:v>
              </c:pt>
              <c:pt idx="58">
                <c:v>26</c:v>
              </c:pt>
              <c:pt idx="59">
                <c:v>22</c:v>
              </c:pt>
              <c:pt idx="60">
                <c:v>17</c:v>
              </c:pt>
              <c:pt idx="61">
                <c:v>9</c:v>
              </c:pt>
              <c:pt idx="62">
                <c:v>7</c:v>
              </c:pt>
            </c:numLit>
          </c:val>
          <c:smooth val="0"/>
          <c:extLst>
            <c:ext xmlns:c16="http://schemas.microsoft.com/office/drawing/2014/chart" uri="{C3380CC4-5D6E-409C-BE32-E72D297353CC}">
              <c16:uniqueId val="{00000001-3C9B-4CCC-99BC-84CFF113D9B4}"/>
            </c:ext>
          </c:extLst>
        </c:ser>
        <c:dLbls>
          <c:showLegendKey val="0"/>
          <c:showVal val="0"/>
          <c:showCatName val="0"/>
          <c:showSerName val="0"/>
          <c:showPercent val="0"/>
          <c:showBubbleSize val="0"/>
        </c:dLbls>
        <c:smooth val="0"/>
        <c:axId val="267841359"/>
        <c:axId val="1298294639"/>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c:ext uri="{02D57815-91ED-43cb-92C2-25804820EDAC}">
                        <c15:formulaRef>
                          <c15:sqref>ch_latest!$D$2:$D$68</c15:sqref>
                        </c15:formulaRef>
                      </c:ext>
                    </c:extLst>
                    <c:numCache>
                      <c:formatCode>General</c:formatCode>
                      <c:ptCount val="67"/>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322</c:v>
                      </c:pt>
                      <c:pt idx="33">
                        <c:v>336</c:v>
                      </c:pt>
                      <c:pt idx="34">
                        <c:v>382</c:v>
                      </c:pt>
                      <c:pt idx="35">
                        <c:v>408</c:v>
                      </c:pt>
                      <c:pt idx="36">
                        <c:v>437</c:v>
                      </c:pt>
                      <c:pt idx="37">
                        <c:v>442</c:v>
                      </c:pt>
                      <c:pt idx="38">
                        <c:v>452</c:v>
                      </c:pt>
                      <c:pt idx="39">
                        <c:v>454</c:v>
                      </c:pt>
                      <c:pt idx="40">
                        <c:v>444</c:v>
                      </c:pt>
                      <c:pt idx="41">
                        <c:v>443</c:v>
                      </c:pt>
                      <c:pt idx="42">
                        <c:v>437</c:v>
                      </c:pt>
                      <c:pt idx="43">
                        <c:v>434</c:v>
                      </c:pt>
                      <c:pt idx="44">
                        <c:v>426</c:v>
                      </c:pt>
                      <c:pt idx="45">
                        <c:v>414</c:v>
                      </c:pt>
                      <c:pt idx="46">
                        <c:v>414</c:v>
                      </c:pt>
                      <c:pt idx="47">
                        <c:v>403</c:v>
                      </c:pt>
                      <c:pt idx="48">
                        <c:v>399</c:v>
                      </c:pt>
                      <c:pt idx="49">
                        <c:v>386</c:v>
                      </c:pt>
                      <c:pt idx="50">
                        <c:v>363</c:v>
                      </c:pt>
                      <c:pt idx="51">
                        <c:v>343</c:v>
                      </c:pt>
                      <c:pt idx="52">
                        <c:v>331</c:v>
                      </c:pt>
                      <c:pt idx="53">
                        <c:v>317</c:v>
                      </c:pt>
                      <c:pt idx="54">
                        <c:v>308</c:v>
                      </c:pt>
                      <c:pt idx="55">
                        <c:v>294</c:v>
                      </c:pt>
                      <c:pt idx="56">
                        <c:v>280</c:v>
                      </c:pt>
                      <c:pt idx="57">
                        <c:v>249</c:v>
                      </c:pt>
                      <c:pt idx="58">
                        <c:v>241</c:v>
                      </c:pt>
                      <c:pt idx="59">
                        <c:v>237</c:v>
                      </c:pt>
                      <c:pt idx="60">
                        <c:v>228</c:v>
                      </c:pt>
                      <c:pt idx="61">
                        <c:v>206</c:v>
                      </c:pt>
                      <c:pt idx="62">
                        <c:v>201</c:v>
                      </c:pt>
                      <c:pt idx="63">
                        <c:v>182</c:v>
                      </c:pt>
                      <c:pt idx="64">
                        <c:v>187</c:v>
                      </c:pt>
                      <c:pt idx="65">
                        <c:v>172</c:v>
                      </c:pt>
                      <c:pt idx="66">
                        <c:v>169</c:v>
                      </c:pt>
                    </c:numCache>
                  </c:numRef>
                </c:val>
                <c:smooth val="0"/>
                <c:extLst>
                  <c:ext xmlns:c16="http://schemas.microsoft.com/office/drawing/2014/chart" uri="{C3380CC4-5D6E-409C-BE32-E72D297353CC}">
                    <c16:uniqueId val="{00000002-3C9B-4CCC-99BC-84CFF113D9B4}"/>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ch_latest!$E$2:$E$68</c15:sqref>
                        </c15:formulaRef>
                      </c:ext>
                    </c:extLst>
                    <c:numCache>
                      <c:formatCode>General</c:formatCode>
                      <c:ptCount val="67"/>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1462</c:v>
                      </c:pt>
                      <c:pt idx="30">
                        <c:v>1608</c:v>
                      </c:pt>
                      <c:pt idx="31">
                        <c:v>1789</c:v>
                      </c:pt>
                      <c:pt idx="32">
                        <c:v>1876</c:v>
                      </c:pt>
                      <c:pt idx="33">
                        <c:v>1990</c:v>
                      </c:pt>
                      <c:pt idx="34">
                        <c:v>2174</c:v>
                      </c:pt>
                      <c:pt idx="35">
                        <c:v>2202</c:v>
                      </c:pt>
                      <c:pt idx="36">
                        <c:v>2280</c:v>
                      </c:pt>
                      <c:pt idx="37">
                        <c:v>2343</c:v>
                      </c:pt>
                      <c:pt idx="38">
                        <c:v>2324</c:v>
                      </c:pt>
                      <c:pt idx="39">
                        <c:v>2311</c:v>
                      </c:pt>
                      <c:pt idx="40">
                        <c:v>2296</c:v>
                      </c:pt>
                      <c:pt idx="41">
                        <c:v>2301</c:v>
                      </c:pt>
                      <c:pt idx="42">
                        <c:v>2219</c:v>
                      </c:pt>
                      <c:pt idx="43">
                        <c:v>2129</c:v>
                      </c:pt>
                      <c:pt idx="44">
                        <c:v>2061</c:v>
                      </c:pt>
                      <c:pt idx="45">
                        <c:v>2001</c:v>
                      </c:pt>
                      <c:pt idx="46">
                        <c:v>1926</c:v>
                      </c:pt>
                      <c:pt idx="47">
                        <c:v>1903</c:v>
                      </c:pt>
                      <c:pt idx="48">
                        <c:v>1886</c:v>
                      </c:pt>
                      <c:pt idx="49">
                        <c:v>1846</c:v>
                      </c:pt>
                      <c:pt idx="50">
                        <c:v>1723</c:v>
                      </c:pt>
                      <c:pt idx="51">
                        <c:v>1665</c:v>
                      </c:pt>
                      <c:pt idx="52">
                        <c:v>1566</c:v>
                      </c:pt>
                      <c:pt idx="53">
                        <c:v>1515</c:v>
                      </c:pt>
                      <c:pt idx="54">
                        <c:v>1507</c:v>
                      </c:pt>
                      <c:pt idx="55">
                        <c:v>1483</c:v>
                      </c:pt>
                      <c:pt idx="56">
                        <c:v>1405</c:v>
                      </c:pt>
                      <c:pt idx="57">
                        <c:v>1339</c:v>
                      </c:pt>
                      <c:pt idx="58">
                        <c:v>1286</c:v>
                      </c:pt>
                      <c:pt idx="59">
                        <c:v>1241</c:v>
                      </c:pt>
                      <c:pt idx="60">
                        <c:v>1212</c:v>
                      </c:pt>
                      <c:pt idx="61">
                        <c:v>1191</c:v>
                      </c:pt>
                      <c:pt idx="62">
                        <c:v>1169</c:v>
                      </c:pt>
                      <c:pt idx="63">
                        <c:v>1141</c:v>
                      </c:pt>
                      <c:pt idx="64">
                        <c:v>1072</c:v>
                      </c:pt>
                      <c:pt idx="65">
                        <c:v>998</c:v>
                      </c:pt>
                      <c:pt idx="66">
                        <c:v>966</c:v>
                      </c:pt>
                    </c:numCache>
                  </c:numRef>
                </c:val>
                <c:smooth val="0"/>
                <c:extLst xmlns:c15="http://schemas.microsoft.com/office/drawing/2012/chart">
                  <c:ext xmlns:c16="http://schemas.microsoft.com/office/drawing/2014/chart" uri="{C3380CC4-5D6E-409C-BE32-E72D297353CC}">
                    <c16:uniqueId val="{00000003-3C9B-4CCC-99BC-84CFF113D9B4}"/>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ch_latest!$F$2:$F$68</c15:sqref>
                        </c15:formulaRef>
                      </c:ext>
                    </c:extLst>
                    <c:numCache>
                      <c:formatCode>General</c:formatCode>
                      <c:ptCount val="67"/>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23890</c:v>
                      </c:pt>
                      <c:pt idx="44">
                        <c:v>24558</c:v>
                      </c:pt>
                      <c:pt idx="45">
                        <c:v>25007</c:v>
                      </c:pt>
                      <c:pt idx="46">
                        <c:v>25470</c:v>
                      </c:pt>
                      <c:pt idx="47">
                        <c:v>25743</c:v>
                      </c:pt>
                      <c:pt idx="48">
                        <c:v>25993</c:v>
                      </c:pt>
                      <c:pt idx="49">
                        <c:v>26315</c:v>
                      </c:pt>
                      <c:pt idx="50">
                        <c:v>26633</c:v>
                      </c:pt>
                      <c:pt idx="51">
                        <c:v>26932</c:v>
                      </c:pt>
                      <c:pt idx="52">
                        <c:v>27255</c:v>
                      </c:pt>
                      <c:pt idx="53">
                        <c:v>27538</c:v>
                      </c:pt>
                      <c:pt idx="54">
                        <c:v>27715</c:v>
                      </c:pt>
                      <c:pt idx="55">
                        <c:v>27917</c:v>
                      </c:pt>
                      <c:pt idx="56">
                        <c:v>28076</c:v>
                      </c:pt>
                      <c:pt idx="57">
                        <c:v>28273</c:v>
                      </c:pt>
                      <c:pt idx="58">
                        <c:v>28490</c:v>
                      </c:pt>
                      <c:pt idx="59">
                        <c:v>28681</c:v>
                      </c:pt>
                      <c:pt idx="60">
                        <c:v>28820</c:v>
                      </c:pt>
                      <c:pt idx="61">
                        <c:v>28901</c:v>
                      </c:pt>
                      <c:pt idx="62">
                        <c:v>29066</c:v>
                      </c:pt>
                      <c:pt idx="63">
                        <c:v>29179</c:v>
                      </c:pt>
                      <c:pt idx="64">
                        <c:v>29285</c:v>
                      </c:pt>
                      <c:pt idx="65">
                        <c:v>29410</c:v>
                      </c:pt>
                      <c:pt idx="66">
                        <c:v>29483</c:v>
                      </c:pt>
                    </c:numCache>
                  </c:numRef>
                </c:val>
                <c:smooth val="0"/>
                <c:extLst xmlns:c15="http://schemas.microsoft.com/office/drawing/2012/chart">
                  <c:ext xmlns:c16="http://schemas.microsoft.com/office/drawing/2014/chart" uri="{C3380CC4-5D6E-409C-BE32-E72D297353CC}">
                    <c16:uniqueId val="{00000004-3C9B-4CCC-99BC-84CFF113D9B4}"/>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ch_latest!$G$2:$G$68</c15:sqref>
                        </c15:formulaRef>
                      </c:ext>
                    </c:extLst>
                    <c:numCache>
                      <c:formatCode>General</c:formatCode>
                      <c:ptCount val="67"/>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23890</c:v>
                      </c:pt>
                      <c:pt idx="44">
                        <c:v>24558</c:v>
                      </c:pt>
                      <c:pt idx="45">
                        <c:v>25007</c:v>
                      </c:pt>
                      <c:pt idx="46">
                        <c:v>25470</c:v>
                      </c:pt>
                      <c:pt idx="47">
                        <c:v>25743</c:v>
                      </c:pt>
                      <c:pt idx="48">
                        <c:v>25993</c:v>
                      </c:pt>
                      <c:pt idx="49">
                        <c:v>26315</c:v>
                      </c:pt>
                      <c:pt idx="50">
                        <c:v>26633</c:v>
                      </c:pt>
                      <c:pt idx="51">
                        <c:v>26932</c:v>
                      </c:pt>
                      <c:pt idx="52">
                        <c:v>27255</c:v>
                      </c:pt>
                      <c:pt idx="53">
                        <c:v>27538</c:v>
                      </c:pt>
                      <c:pt idx="54">
                        <c:v>27715</c:v>
                      </c:pt>
                      <c:pt idx="55">
                        <c:v>27917</c:v>
                      </c:pt>
                      <c:pt idx="56">
                        <c:v>28076</c:v>
                      </c:pt>
                      <c:pt idx="57">
                        <c:v>28273</c:v>
                      </c:pt>
                      <c:pt idx="58">
                        <c:v>28490</c:v>
                      </c:pt>
                      <c:pt idx="59">
                        <c:v>28681</c:v>
                      </c:pt>
                      <c:pt idx="60">
                        <c:v>28820</c:v>
                      </c:pt>
                      <c:pt idx="61">
                        <c:v>28901</c:v>
                      </c:pt>
                      <c:pt idx="62">
                        <c:v>29066</c:v>
                      </c:pt>
                      <c:pt idx="63">
                        <c:v>29179</c:v>
                      </c:pt>
                      <c:pt idx="64">
                        <c:v>29285</c:v>
                      </c:pt>
                      <c:pt idx="65">
                        <c:v>29410</c:v>
                      </c:pt>
                      <c:pt idx="66">
                        <c:v>29483</c:v>
                      </c:pt>
                    </c:numCache>
                  </c:numRef>
                </c:val>
                <c:smooth val="0"/>
                <c:extLst xmlns:c15="http://schemas.microsoft.com/office/drawing/2012/chart">
                  <c:ext xmlns:c16="http://schemas.microsoft.com/office/drawing/2014/chart" uri="{C3380CC4-5D6E-409C-BE32-E72D297353CC}">
                    <c16:uniqueId val="{00000005-3C9B-4CCC-99BC-84CFF113D9B4}"/>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ch_latest!$H$2:$H$68</c15:sqref>
                        </c15:formulaRef>
                      </c:ext>
                    </c:extLst>
                    <c:numCache>
                      <c:formatCode>General</c:formatCode>
                      <c:ptCount val="67"/>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10908</c:v>
                      </c:pt>
                      <c:pt idx="32">
                        <c:v>11501</c:v>
                      </c:pt>
                      <c:pt idx="33">
                        <c:v>11810</c:v>
                      </c:pt>
                      <c:pt idx="34">
                        <c:v>12476</c:v>
                      </c:pt>
                      <c:pt idx="35">
                        <c:v>13236</c:v>
                      </c:pt>
                      <c:pt idx="36">
                        <c:v>13892</c:v>
                      </c:pt>
                      <c:pt idx="37">
                        <c:v>14839</c:v>
                      </c:pt>
                      <c:pt idx="38">
                        <c:v>15668</c:v>
                      </c:pt>
                      <c:pt idx="39">
                        <c:v>16259</c:v>
                      </c:pt>
                      <c:pt idx="40">
                        <c:v>16558</c:v>
                      </c:pt>
                      <c:pt idx="41">
                        <c:v>17197</c:v>
                      </c:pt>
                      <c:pt idx="42">
                        <c:v>18038</c:v>
                      </c:pt>
                      <c:pt idx="43">
                        <c:v>18843</c:v>
                      </c:pt>
                      <c:pt idx="44">
                        <c:v>19357</c:v>
                      </c:pt>
                      <c:pt idx="45">
                        <c:v>19769</c:v>
                      </c:pt>
                      <c:pt idx="46">
                        <c:v>20129</c:v>
                      </c:pt>
                      <c:pt idx="47">
                        <c:v>20304</c:v>
                      </c:pt>
                      <c:pt idx="48">
                        <c:v>20609</c:v>
                      </c:pt>
                      <c:pt idx="49">
                        <c:v>21153</c:v>
                      </c:pt>
                      <c:pt idx="50">
                        <c:v>21611</c:v>
                      </c:pt>
                      <c:pt idx="51">
                        <c:v>22288</c:v>
                      </c:pt>
                      <c:pt idx="52">
                        <c:v>22727</c:v>
                      </c:pt>
                      <c:pt idx="53">
                        <c:v>23168</c:v>
                      </c:pt>
                      <c:pt idx="54">
                        <c:v>23350</c:v>
                      </c:pt>
                      <c:pt idx="55">
                        <c:v>23724</c:v>
                      </c:pt>
                      <c:pt idx="56">
                        <c:v>24135</c:v>
                      </c:pt>
                      <c:pt idx="57">
                        <c:v>24483</c:v>
                      </c:pt>
                      <c:pt idx="58">
                        <c:v>24945</c:v>
                      </c:pt>
                      <c:pt idx="59">
                        <c:v>25337</c:v>
                      </c:pt>
                      <c:pt idx="60">
                        <c:v>25695</c:v>
                      </c:pt>
                      <c:pt idx="61">
                        <c:v>25889</c:v>
                      </c:pt>
                      <c:pt idx="62">
                        <c:v>26162</c:v>
                      </c:pt>
                      <c:pt idx="63">
                        <c:v>26542</c:v>
                      </c:pt>
                      <c:pt idx="64">
                        <c:v>26542</c:v>
                      </c:pt>
                      <c:pt idx="65">
                        <c:v>26542</c:v>
                      </c:pt>
                      <c:pt idx="66">
                        <c:v>26542</c:v>
                      </c:pt>
                    </c:numCache>
                  </c:numRef>
                </c:val>
                <c:smooth val="0"/>
                <c:extLst xmlns:c15="http://schemas.microsoft.com/office/drawing/2012/chart">
                  <c:ext xmlns:c16="http://schemas.microsoft.com/office/drawing/2014/chart" uri="{C3380CC4-5D6E-409C-BE32-E72D297353CC}">
                    <c16:uniqueId val="{00000006-3C9B-4CCC-99BC-84CFF113D9B4}"/>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ch_latest!$I$2:$I$68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4624</c:v>
                      </c:pt>
                      <c:pt idx="63">
                        <c:v>4676</c:v>
                      </c:pt>
                      <c:pt idx="64">
                        <c:v>4742</c:v>
                      </c:pt>
                      <c:pt idx="65">
                        <c:v>4819</c:v>
                      </c:pt>
                      <c:pt idx="66">
                        <c:v>4850</c:v>
                      </c:pt>
                    </c:numCache>
                  </c:numRef>
                </c:val>
                <c:smooth val="0"/>
                <c:extLst xmlns:c15="http://schemas.microsoft.com/office/drawing/2012/chart">
                  <c:ext xmlns:c16="http://schemas.microsoft.com/office/drawing/2014/chart" uri="{C3380CC4-5D6E-409C-BE32-E72D297353CC}">
                    <c16:uniqueId val="{00000007-3C9B-4CCC-99BC-84CFF113D9B4}"/>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ch_latest!$J$2:$J$68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245</c:v>
                      </c:pt>
                      <c:pt idx="31">
                        <c:v>282</c:v>
                      </c:pt>
                      <c:pt idx="32">
                        <c:v>334</c:v>
                      </c:pt>
                      <c:pt idx="33">
                        <c:v>378</c:v>
                      </c:pt>
                      <c:pt idx="34">
                        <c:v>439</c:v>
                      </c:pt>
                      <c:pt idx="35">
                        <c:v>504</c:v>
                      </c:pt>
                      <c:pt idx="36">
                        <c:v>567</c:v>
                      </c:pt>
                      <c:pt idx="37">
                        <c:v>628</c:v>
                      </c:pt>
                      <c:pt idx="38">
                        <c:v>689</c:v>
                      </c:pt>
                      <c:pt idx="39">
                        <c:v>756</c:v>
                      </c:pt>
                      <c:pt idx="40">
                        <c:v>808</c:v>
                      </c:pt>
                      <c:pt idx="41">
                        <c:v>867</c:v>
                      </c:pt>
                      <c:pt idx="42">
                        <c:v>927</c:v>
                      </c:pt>
                      <c:pt idx="43">
                        <c:v>995</c:v>
                      </c:pt>
                      <c:pt idx="44">
                        <c:v>1046</c:v>
                      </c:pt>
                      <c:pt idx="45">
                        <c:v>1096</c:v>
                      </c:pt>
                      <c:pt idx="46">
                        <c:v>1134</c:v>
                      </c:pt>
                      <c:pt idx="47">
                        <c:v>1190</c:v>
                      </c:pt>
                      <c:pt idx="48">
                        <c:v>1220</c:v>
                      </c:pt>
                      <c:pt idx="49">
                        <c:v>1258</c:v>
                      </c:pt>
                      <c:pt idx="50">
                        <c:v>1311</c:v>
                      </c:pt>
                      <c:pt idx="51">
                        <c:v>1356</c:v>
                      </c:pt>
                      <c:pt idx="52">
                        <c:v>1402</c:v>
                      </c:pt>
                      <c:pt idx="53">
                        <c:v>1444</c:v>
                      </c:pt>
                      <c:pt idx="54">
                        <c:v>1468</c:v>
                      </c:pt>
                      <c:pt idx="55">
                        <c:v>1510</c:v>
                      </c:pt>
                      <c:pt idx="56">
                        <c:v>1551</c:v>
                      </c:pt>
                      <c:pt idx="57">
                        <c:v>1578</c:v>
                      </c:pt>
                      <c:pt idx="58">
                        <c:v>1608</c:v>
                      </c:pt>
                      <c:pt idx="59">
                        <c:v>1637</c:v>
                      </c:pt>
                      <c:pt idx="60">
                        <c:v>1661</c:v>
                      </c:pt>
                      <c:pt idx="61">
                        <c:v>1677</c:v>
                      </c:pt>
                      <c:pt idx="62">
                        <c:v>1699</c:v>
                      </c:pt>
                      <c:pt idx="63">
                        <c:v>1724</c:v>
                      </c:pt>
                      <c:pt idx="64">
                        <c:v>1731</c:v>
                      </c:pt>
                      <c:pt idx="65">
                        <c:v>1742</c:v>
                      </c:pt>
                      <c:pt idx="66">
                        <c:v>1751</c:v>
                      </c:pt>
                    </c:numCache>
                  </c:numRef>
                </c:val>
                <c:smooth val="0"/>
                <c:extLst xmlns:c15="http://schemas.microsoft.com/office/drawing/2012/chart">
                  <c:ext xmlns:c16="http://schemas.microsoft.com/office/drawing/2014/chart" uri="{C3380CC4-5D6E-409C-BE32-E72D297353CC}">
                    <c16:uniqueId val="{00000008-3C9B-4CCC-99BC-84CFF113D9B4}"/>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ch_latest!$K$2:$K$68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xmlns:c15="http://schemas.microsoft.com/office/drawing/2012/chart">
                  <c:ext xmlns:c16="http://schemas.microsoft.com/office/drawing/2014/chart" uri="{C3380CC4-5D6E-409C-BE32-E72D297353CC}">
                    <c16:uniqueId val="{00000009-3C9B-4CCC-99BC-84CFF113D9B4}"/>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ch_latest!$M$2:$M$68</c15:sqref>
                        </c15:formulaRef>
                      </c:ext>
                    </c:extLst>
                    <c:numCache>
                      <c:formatCode>General</c:formatCode>
                      <c:ptCount val="67"/>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534</c:v>
                      </c:pt>
                      <c:pt idx="16">
                        <c:v>705</c:v>
                      </c:pt>
                      <c:pt idx="17">
                        <c:v>1057</c:v>
                      </c:pt>
                      <c:pt idx="18">
                        <c:v>1409</c:v>
                      </c:pt>
                      <c:pt idx="19">
                        <c:v>1742</c:v>
                      </c:pt>
                      <c:pt idx="20">
                        <c:v>2028</c:v>
                      </c:pt>
                      <c:pt idx="21">
                        <c:v>2749</c:v>
                      </c:pt>
                      <c:pt idx="22">
                        <c:v>3620</c:v>
                      </c:pt>
                      <c:pt idx="23">
                        <c:v>4792</c:v>
                      </c:pt>
                      <c:pt idx="24">
                        <c:v>5819</c:v>
                      </c:pt>
                      <c:pt idx="25">
                        <c:v>6954</c:v>
                      </c:pt>
                      <c:pt idx="26">
                        <c:v>7651</c:v>
                      </c:pt>
                      <c:pt idx="27">
                        <c:v>8220</c:v>
                      </c:pt>
                      <c:pt idx="28">
                        <c:v>9737</c:v>
                      </c:pt>
                      <c:pt idx="29">
                        <c:v>10823</c:v>
                      </c:pt>
                      <c:pt idx="30">
                        <c:v>11945</c:v>
                      </c:pt>
                      <c:pt idx="31">
                        <c:v>13058</c:v>
                      </c:pt>
                      <c:pt idx="32">
                        <c:v>14392</c:v>
                      </c:pt>
                      <c:pt idx="33">
                        <c:v>15225</c:v>
                      </c:pt>
                      <c:pt idx="34">
                        <c:v>15823</c:v>
                      </c:pt>
                      <c:pt idx="35">
                        <c:v>16938</c:v>
                      </c:pt>
                      <c:pt idx="36">
                        <c:v>17856</c:v>
                      </c:pt>
                      <c:pt idx="37">
                        <c:v>18904</c:v>
                      </c:pt>
                      <c:pt idx="38">
                        <c:v>19924</c:v>
                      </c:pt>
                      <c:pt idx="39">
                        <c:v>20878</c:v>
                      </c:pt>
                      <c:pt idx="40">
                        <c:v>21445</c:v>
                      </c:pt>
                      <c:pt idx="41">
                        <c:v>21827</c:v>
                      </c:pt>
                      <c:pt idx="42">
                        <c:v>22569</c:v>
                      </c:pt>
                      <c:pt idx="43">
                        <c:v>23221</c:v>
                      </c:pt>
                      <c:pt idx="44">
                        <c:v>23890</c:v>
                      </c:pt>
                      <c:pt idx="45">
                        <c:v>24558</c:v>
                      </c:pt>
                      <c:pt idx="46">
                        <c:v>25007</c:v>
                      </c:pt>
                      <c:pt idx="47">
                        <c:v>25470</c:v>
                      </c:pt>
                      <c:pt idx="48">
                        <c:v>25743</c:v>
                      </c:pt>
                      <c:pt idx="49">
                        <c:v>25993</c:v>
                      </c:pt>
                      <c:pt idx="50">
                        <c:v>26315</c:v>
                      </c:pt>
                      <c:pt idx="51">
                        <c:v>26633</c:v>
                      </c:pt>
                      <c:pt idx="52">
                        <c:v>26932</c:v>
                      </c:pt>
                      <c:pt idx="53">
                        <c:v>27255</c:v>
                      </c:pt>
                      <c:pt idx="54">
                        <c:v>27538</c:v>
                      </c:pt>
                      <c:pt idx="55">
                        <c:v>27715</c:v>
                      </c:pt>
                      <c:pt idx="56">
                        <c:v>27917</c:v>
                      </c:pt>
                      <c:pt idx="57">
                        <c:v>28076</c:v>
                      </c:pt>
                      <c:pt idx="58">
                        <c:v>28273</c:v>
                      </c:pt>
                      <c:pt idx="59">
                        <c:v>28490</c:v>
                      </c:pt>
                      <c:pt idx="60">
                        <c:v>28681</c:v>
                      </c:pt>
                      <c:pt idx="61">
                        <c:v>28820</c:v>
                      </c:pt>
                      <c:pt idx="62">
                        <c:v>28901</c:v>
                      </c:pt>
                      <c:pt idx="63">
                        <c:v>29066</c:v>
                      </c:pt>
                      <c:pt idx="64">
                        <c:v>29179</c:v>
                      </c:pt>
                      <c:pt idx="65">
                        <c:v>29285</c:v>
                      </c:pt>
                      <c:pt idx="66">
                        <c:v>29410</c:v>
                      </c:pt>
                    </c:numCache>
                  </c:numRef>
                </c:val>
                <c:smooth val="0"/>
                <c:extLst xmlns:c15="http://schemas.microsoft.com/office/drawing/2012/chart">
                  <c:ext xmlns:c16="http://schemas.microsoft.com/office/drawing/2014/chart" uri="{C3380CC4-5D6E-409C-BE32-E72D297353CC}">
                    <c16:uniqueId val="{0000000A-3C9B-4CCC-99BC-84CFF113D9B4}"/>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ch_latest!$N$2:$N$68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xmlns:c15="http://schemas.microsoft.com/office/drawing/2012/chart">
                  <c:ext xmlns:c16="http://schemas.microsoft.com/office/drawing/2014/chart" uri="{C3380CC4-5D6E-409C-BE32-E72D297353CC}">
                    <c16:uniqueId val="{0000000B-3C9B-4CCC-99BC-84CFF113D9B4}"/>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ch_latest!$P$2:$P$68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245</c:v>
                      </c:pt>
                      <c:pt idx="32">
                        <c:v>282</c:v>
                      </c:pt>
                      <c:pt idx="33">
                        <c:v>334</c:v>
                      </c:pt>
                      <c:pt idx="34">
                        <c:v>378</c:v>
                      </c:pt>
                      <c:pt idx="35">
                        <c:v>439</c:v>
                      </c:pt>
                      <c:pt idx="36">
                        <c:v>504</c:v>
                      </c:pt>
                      <c:pt idx="37">
                        <c:v>567</c:v>
                      </c:pt>
                      <c:pt idx="38">
                        <c:v>628</c:v>
                      </c:pt>
                      <c:pt idx="39">
                        <c:v>689</c:v>
                      </c:pt>
                      <c:pt idx="40">
                        <c:v>756</c:v>
                      </c:pt>
                      <c:pt idx="41">
                        <c:v>808</c:v>
                      </c:pt>
                      <c:pt idx="42">
                        <c:v>867</c:v>
                      </c:pt>
                      <c:pt idx="43">
                        <c:v>927</c:v>
                      </c:pt>
                      <c:pt idx="44">
                        <c:v>995</c:v>
                      </c:pt>
                      <c:pt idx="45">
                        <c:v>1046</c:v>
                      </c:pt>
                      <c:pt idx="46">
                        <c:v>1096</c:v>
                      </c:pt>
                      <c:pt idx="47">
                        <c:v>1134</c:v>
                      </c:pt>
                      <c:pt idx="48">
                        <c:v>1190</c:v>
                      </c:pt>
                      <c:pt idx="49">
                        <c:v>1220</c:v>
                      </c:pt>
                      <c:pt idx="50">
                        <c:v>1258</c:v>
                      </c:pt>
                      <c:pt idx="51">
                        <c:v>1311</c:v>
                      </c:pt>
                      <c:pt idx="52">
                        <c:v>1356</c:v>
                      </c:pt>
                      <c:pt idx="53">
                        <c:v>1402</c:v>
                      </c:pt>
                      <c:pt idx="54">
                        <c:v>1444</c:v>
                      </c:pt>
                      <c:pt idx="55">
                        <c:v>1468</c:v>
                      </c:pt>
                      <c:pt idx="56">
                        <c:v>1510</c:v>
                      </c:pt>
                      <c:pt idx="57">
                        <c:v>1551</c:v>
                      </c:pt>
                      <c:pt idx="58">
                        <c:v>1578</c:v>
                      </c:pt>
                      <c:pt idx="59">
                        <c:v>1608</c:v>
                      </c:pt>
                      <c:pt idx="60">
                        <c:v>1637</c:v>
                      </c:pt>
                      <c:pt idx="61">
                        <c:v>1661</c:v>
                      </c:pt>
                      <c:pt idx="62">
                        <c:v>1677</c:v>
                      </c:pt>
                      <c:pt idx="63">
                        <c:v>1699</c:v>
                      </c:pt>
                      <c:pt idx="64">
                        <c:v>1724</c:v>
                      </c:pt>
                      <c:pt idx="65">
                        <c:v>1731</c:v>
                      </c:pt>
                      <c:pt idx="66">
                        <c:v>1742</c:v>
                      </c:pt>
                    </c:numCache>
                  </c:numRef>
                </c:val>
                <c:smooth val="0"/>
                <c:extLst xmlns:c15="http://schemas.microsoft.com/office/drawing/2012/chart">
                  <c:ext xmlns:c16="http://schemas.microsoft.com/office/drawing/2014/chart" uri="{C3380CC4-5D6E-409C-BE32-E72D297353CC}">
                    <c16:uniqueId val="{0000000C-3C9B-4CCC-99BC-84CFF113D9B4}"/>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ch_latest!$Q$2:$Q$68</c15:sqref>
                        </c15:formulaRef>
                      </c:ext>
                    </c:extLst>
                    <c:numCache>
                      <c:formatCode>General</c:formatCode>
                      <c:ptCount val="67"/>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2.2956279999999998</c:v>
                      </c:pt>
                      <c:pt idx="15">
                        <c:v>2.5696639999999999</c:v>
                      </c:pt>
                      <c:pt idx="16">
                        <c:v>2.4373520000000002</c:v>
                      </c:pt>
                      <c:pt idx="17">
                        <c:v>2.298794</c:v>
                      </c:pt>
                      <c:pt idx="18">
                        <c:v>2.33954</c:v>
                      </c:pt>
                      <c:pt idx="19">
                        <c:v>2.5972059999999999</c:v>
                      </c:pt>
                      <c:pt idx="20">
                        <c:v>2.5468470000000001</c:v>
                      </c:pt>
                      <c:pt idx="21">
                        <c:v>2.815293</c:v>
                      </c:pt>
                      <c:pt idx="22">
                        <c:v>2.8313269999999999</c:v>
                      </c:pt>
                      <c:pt idx="23">
                        <c:v>2.8735189999999999</c:v>
                      </c:pt>
                      <c:pt idx="24">
                        <c:v>2.8124880000000001</c:v>
                      </c:pt>
                      <c:pt idx="25">
                        <c:v>3.3858329999999999</c:v>
                      </c:pt>
                      <c:pt idx="26">
                        <c:v>4.2260119999999999</c:v>
                      </c:pt>
                      <c:pt idx="27">
                        <c:v>4.8883049999999999</c:v>
                      </c:pt>
                      <c:pt idx="28">
                        <c:v>5.5849869999999999</c:v>
                      </c:pt>
                      <c:pt idx="29">
                        <c:v>6.4062169999999998</c:v>
                      </c:pt>
                      <c:pt idx="30">
                        <c:v>6.4832869999999998</c:v>
                      </c:pt>
                      <c:pt idx="31">
                        <c:v>6.187684</c:v>
                      </c:pt>
                      <c:pt idx="32">
                        <c:v>7.7532240000000003</c:v>
                      </c:pt>
                      <c:pt idx="33">
                        <c:v>9.125375</c:v>
                      </c:pt>
                      <c:pt idx="34">
                        <c:v>9.9234570000000009</c:v>
                      </c:pt>
                      <c:pt idx="35">
                        <c:v>11.074811</c:v>
                      </c:pt>
                      <c:pt idx="36">
                        <c:v>12.708921</c:v>
                      </c:pt>
                      <c:pt idx="37">
                        <c:v>12.884437</c:v>
                      </c:pt>
                      <c:pt idx="38">
                        <c:v>12.501239</c:v>
                      </c:pt>
                      <c:pt idx="39">
                        <c:v>14.68956</c:v>
                      </c:pt>
                      <c:pt idx="40">
                        <c:v>17.258941</c:v>
                      </c:pt>
                      <c:pt idx="41">
                        <c:v>19.557915999999999</c:v>
                      </c:pt>
                      <c:pt idx="42">
                        <c:v>22.632342000000001</c:v>
                      </c:pt>
                      <c:pt idx="43">
                        <c:v>25.717077</c:v>
                      </c:pt>
                      <c:pt idx="44">
                        <c:v>25.568678999999999</c:v>
                      </c:pt>
                      <c:pt idx="45">
                        <c:v>25.481843999999999</c:v>
                      </c:pt>
                      <c:pt idx="46">
                        <c:v>28.660446</c:v>
                      </c:pt>
                      <c:pt idx="47">
                        <c:v>33.613425999999997</c:v>
                      </c:pt>
                      <c:pt idx="48">
                        <c:v>41.079132999999999</c:v>
                      </c:pt>
                      <c:pt idx="49">
                        <c:v>50.154313999999999</c:v>
                      </c:pt>
                      <c:pt idx="50">
                        <c:v>55.015818000000003</c:v>
                      </c:pt>
                      <c:pt idx="51">
                        <c:v>62.094515000000001</c:v>
                      </c:pt>
                      <c:pt idx="52">
                        <c:v>60.723289000000001</c:v>
                      </c:pt>
                      <c:pt idx="53">
                        <c:v>60.023553999999997</c:v>
                      </c:pt>
                      <c:pt idx="54">
                        <c:v>66.861356000000001</c:v>
                      </c:pt>
                      <c:pt idx="55">
                        <c:v>73.606297999999995</c:v>
                      </c:pt>
                      <c:pt idx="56">
                        <c:v>83.311063000000004</c:v>
                      </c:pt>
                      <c:pt idx="57">
                        <c:v>94.510717999999997</c:v>
                      </c:pt>
                      <c:pt idx="58">
                        <c:v>101.97456</c:v>
                      </c:pt>
                      <c:pt idx="59">
                        <c:v>101.156587</c:v>
                      </c:pt>
                      <c:pt idx="60">
                        <c:v>108.86979700000001</c:v>
                      </c:pt>
                      <c:pt idx="61">
                        <c:v>119.66874799999999</c:v>
                      </c:pt>
                      <c:pt idx="62">
                        <c:v>125.289508</c:v>
                      </c:pt>
                      <c:pt idx="63">
                        <c:v>145.03339199999999</c:v>
                      </c:pt>
                      <c:pt idx="64">
                        <c:v>166.297663</c:v>
                      </c:pt>
                      <c:pt idx="65">
                        <c:v>171.01940300000001</c:v>
                      </c:pt>
                      <c:pt idx="66">
                        <c:v>173.82888500000001</c:v>
                      </c:pt>
                    </c:numCache>
                  </c:numRef>
                </c:val>
                <c:smooth val="0"/>
                <c:extLst xmlns:c15="http://schemas.microsoft.com/office/drawing/2012/chart">
                  <c:ext xmlns:c16="http://schemas.microsoft.com/office/drawing/2014/chart" uri="{C3380CC4-5D6E-409C-BE32-E72D297353CC}">
                    <c16:uniqueId val="{0000000D-3C9B-4CCC-99BC-84CFF113D9B4}"/>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ch_latest!$A$2:$A$68</c15:sqref>
                        </c15:formulaRef>
                      </c:ext>
                    </c:extLst>
                    <c:numCache>
                      <c:formatCode>m/d/yyyy</c:formatCode>
                      <c:ptCount val="67"/>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numCache>
                  </c:numRef>
                </c:cat>
                <c:val>
                  <c:numRef>
                    <c:extLst xmlns:c15="http://schemas.microsoft.com/office/drawing/2012/chart">
                      <c:ext xmlns:c15="http://schemas.microsoft.com/office/drawing/2012/chart" uri="{02D57815-91ED-43cb-92C2-25804820EDAC}">
                        <c15:formulaRef>
                          <c15:sqref>ch_latest!$R$2:$R$68</c15:sqref>
                        </c15:formulaRef>
                      </c:ext>
                    </c:extLst>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3.7823540000000002</c:v>
                      </c:pt>
                      <c:pt idx="31">
                        <c:v>3.7896809999999999</c:v>
                      </c:pt>
                      <c:pt idx="32">
                        <c:v>4.0855249999999996</c:v>
                      </c:pt>
                      <c:pt idx="33">
                        <c:v>4.1808810000000003</c:v>
                      </c:pt>
                      <c:pt idx="34">
                        <c:v>4.4083119999999996</c:v>
                      </c:pt>
                      <c:pt idx="35">
                        <c:v>4.8047259999999996</c:v>
                      </c:pt>
                      <c:pt idx="36">
                        <c:v>4.9620230000000003</c:v>
                      </c:pt>
                      <c:pt idx="37">
                        <c:v>5.4889780000000004</c:v>
                      </c:pt>
                      <c:pt idx="38">
                        <c:v>5.7728869999999999</c:v>
                      </c:pt>
                      <c:pt idx="39">
                        <c:v>6.376207</c:v>
                      </c:pt>
                      <c:pt idx="40">
                        <c:v>7.3428820000000004</c:v>
                      </c:pt>
                      <c:pt idx="41">
                        <c:v>8.1608239999999999</c:v>
                      </c:pt>
                      <c:pt idx="42">
                        <c:v>8.8998889999999999</c:v>
                      </c:pt>
                      <c:pt idx="43">
                        <c:v>9.430536</c:v>
                      </c:pt>
                      <c:pt idx="44">
                        <c:v>10.674073999999999</c:v>
                      </c:pt>
                      <c:pt idx="45">
                        <c:v>11.368271999999999</c:v>
                      </c:pt>
                      <c:pt idx="46">
                        <c:v>12.909331</c:v>
                      </c:pt>
                      <c:pt idx="47">
                        <c:v>13.876541</c:v>
                      </c:pt>
                      <c:pt idx="48">
                        <c:v>17.000285000000002</c:v>
                      </c:pt>
                      <c:pt idx="49">
                        <c:v>18.779408</c:v>
                      </c:pt>
                      <c:pt idx="50">
                        <c:v>19.348355999999999</c:v>
                      </c:pt>
                      <c:pt idx="51">
                        <c:v>19.384613000000002</c:v>
                      </c:pt>
                      <c:pt idx="52">
                        <c:v>21.139434000000001</c:v>
                      </c:pt>
                      <c:pt idx="53">
                        <c:v>20.560089999999999</c:v>
                      </c:pt>
                      <c:pt idx="54">
                        <c:v>22.449708000000001</c:v>
                      </c:pt>
                      <c:pt idx="55">
                        <c:v>24.524125999999999</c:v>
                      </c:pt>
                      <c:pt idx="56">
                        <c:v>25.794269</c:v>
                      </c:pt>
                      <c:pt idx="57">
                        <c:v>29.306459</c:v>
                      </c:pt>
                      <c:pt idx="58">
                        <c:v>32.217187000000003</c:v>
                      </c:pt>
                      <c:pt idx="59">
                        <c:v>31.806139999999999</c:v>
                      </c:pt>
                      <c:pt idx="60">
                        <c:v>36.362704000000001</c:v>
                      </c:pt>
                      <c:pt idx="61">
                        <c:v>44.371870999999999</c:v>
                      </c:pt>
                      <c:pt idx="62">
                        <c:v>46.909311000000002</c:v>
                      </c:pt>
                      <c:pt idx="63">
                        <c:v>49.755021999999997</c:v>
                      </c:pt>
                      <c:pt idx="64">
                        <c:v>62.072164999999998</c:v>
                      </c:pt>
                      <c:pt idx="65">
                        <c:v>72.788095999999996</c:v>
                      </c:pt>
                      <c:pt idx="66">
                        <c:v>80.261465999999999</c:v>
                      </c:pt>
                    </c:numCache>
                  </c:numRef>
                </c:val>
                <c:smooth val="0"/>
                <c:extLst xmlns:c15="http://schemas.microsoft.com/office/drawing/2012/chart">
                  <c:ext xmlns:c16="http://schemas.microsoft.com/office/drawing/2014/chart" uri="{C3380CC4-5D6E-409C-BE32-E72D297353CC}">
                    <c16:uniqueId val="{0000000E-3C9B-4CCC-99BC-84CFF113D9B4}"/>
                  </c:ext>
                </c:extLst>
              </c15:ser>
            </c15:filteredLineSeries>
          </c:ext>
        </c:extLst>
      </c:lineChart>
      <c:catAx>
        <c:axId val="267841359"/>
        <c:scaling>
          <c:orientation val="minMax"/>
          <c:min val="10"/>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98294639"/>
        <c:crosses val="autoZero"/>
        <c:auto val="1"/>
        <c:lblAlgn val="ctr"/>
        <c:lblOffset val="100"/>
        <c:noMultiLvlLbl val="1"/>
      </c:catAx>
      <c:valAx>
        <c:axId val="129829463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2678413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[covid-19-ch-dashboarcovid-19-excel_test.xlsm]pivot_sterblichkeit!PivotTable1</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Sterblichkeit 2020</a:t>
            </a:r>
          </a:p>
        </c:rich>
      </c:tx>
      <c:layout>
        <c:manualLayout>
          <c:xMode val="edge"/>
          <c:yMode val="edge"/>
          <c:x val="0.4004663297684804"/>
          <c:y val="4.405594890765364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ln w="1587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pivot_sterblichkeit!$C$3:$C$5</c:f>
              <c:strCache>
                <c:ptCount val="1"/>
                <c:pt idx="0">
                  <c:v>Untere Grenze - 65+</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pivot_sterblichkeit!$C$6:$C$58</c:f>
              <c:numCache>
                <c:formatCode>General</c:formatCode>
                <c:ptCount val="53"/>
                <c:pt idx="0">
                  <c:v>1161</c:v>
                </c:pt>
                <c:pt idx="1">
                  <c:v>1166</c:v>
                </c:pt>
                <c:pt idx="2">
                  <c:v>1171</c:v>
                </c:pt>
                <c:pt idx="3">
                  <c:v>1176</c:v>
                </c:pt>
                <c:pt idx="4">
                  <c:v>1180</c:v>
                </c:pt>
                <c:pt idx="5">
                  <c:v>1185</c:v>
                </c:pt>
                <c:pt idx="6">
                  <c:v>1187</c:v>
                </c:pt>
                <c:pt idx="7">
                  <c:v>1179</c:v>
                </c:pt>
                <c:pt idx="8">
                  <c:v>1172</c:v>
                </c:pt>
                <c:pt idx="9">
                  <c:v>1153</c:v>
                </c:pt>
                <c:pt idx="10">
                  <c:v>1134</c:v>
                </c:pt>
                <c:pt idx="11">
                  <c:v>1110</c:v>
                </c:pt>
                <c:pt idx="12">
                  <c:v>1086</c:v>
                </c:pt>
                <c:pt idx="13">
                  <c:v>1065</c:v>
                </c:pt>
                <c:pt idx="14">
                  <c:v>1046</c:v>
                </c:pt>
                <c:pt idx="15">
                  <c:v>1026</c:v>
                </c:pt>
                <c:pt idx="16">
                  <c:v>1010</c:v>
                </c:pt>
                <c:pt idx="17">
                  <c:v>994</c:v>
                </c:pt>
                <c:pt idx="18">
                  <c:v>981</c:v>
                </c:pt>
                <c:pt idx="19">
                  <c:v>969</c:v>
                </c:pt>
                <c:pt idx="20">
                  <c:v>959</c:v>
                </c:pt>
                <c:pt idx="21">
                  <c:v>956</c:v>
                </c:pt>
                <c:pt idx="22">
                  <c:v>952</c:v>
                </c:pt>
                <c:pt idx="23">
                  <c:v>950</c:v>
                </c:pt>
                <c:pt idx="24">
                  <c:v>952</c:v>
                </c:pt>
                <c:pt idx="25">
                  <c:v>953</c:v>
                </c:pt>
                <c:pt idx="26">
                  <c:v>956</c:v>
                </c:pt>
                <c:pt idx="27">
                  <c:v>956</c:v>
                </c:pt>
                <c:pt idx="28">
                  <c:v>956</c:v>
                </c:pt>
                <c:pt idx="29">
                  <c:v>955</c:v>
                </c:pt>
                <c:pt idx="30">
                  <c:v>954</c:v>
                </c:pt>
                <c:pt idx="31">
                  <c:v>953</c:v>
                </c:pt>
                <c:pt idx="32">
                  <c:v>952</c:v>
                </c:pt>
                <c:pt idx="33">
                  <c:v>953</c:v>
                </c:pt>
                <c:pt idx="34">
                  <c:v>959</c:v>
                </c:pt>
                <c:pt idx="35">
                  <c:v>965</c:v>
                </c:pt>
                <c:pt idx="36">
                  <c:v>973</c:v>
                </c:pt>
                <c:pt idx="37">
                  <c:v>982</c:v>
                </c:pt>
                <c:pt idx="38">
                  <c:v>992</c:v>
                </c:pt>
                <c:pt idx="39">
                  <c:v>1002</c:v>
                </c:pt>
                <c:pt idx="40">
                  <c:v>1011</c:v>
                </c:pt>
                <c:pt idx="41">
                  <c:v>1021</c:v>
                </c:pt>
                <c:pt idx="42">
                  <c:v>1029</c:v>
                </c:pt>
                <c:pt idx="43">
                  <c:v>1037</c:v>
                </c:pt>
                <c:pt idx="44">
                  <c:v>1049</c:v>
                </c:pt>
                <c:pt idx="45">
                  <c:v>1061</c:v>
                </c:pt>
                <c:pt idx="46">
                  <c:v>1073</c:v>
                </c:pt>
                <c:pt idx="47">
                  <c:v>1084</c:v>
                </c:pt>
                <c:pt idx="48">
                  <c:v>1096</c:v>
                </c:pt>
                <c:pt idx="49">
                  <c:v>1105</c:v>
                </c:pt>
                <c:pt idx="50">
                  <c:v>1114</c:v>
                </c:pt>
                <c:pt idx="51">
                  <c:v>1122</c:v>
                </c:pt>
                <c:pt idx="52">
                  <c:v>1131</c:v>
                </c:pt>
              </c:numCache>
            </c:numRef>
          </c:val>
          <c:smooth val="0"/>
          <c:extLst>
            <c:ext xmlns:c16="http://schemas.microsoft.com/office/drawing/2014/chart" uri="{C3380CC4-5D6E-409C-BE32-E72D297353CC}">
              <c16:uniqueId val="{00000000-3744-41CE-B391-7AAC636D6DBA}"/>
            </c:ext>
          </c:extLst>
        </c:ser>
        <c:ser>
          <c:idx val="2"/>
          <c:order val="2"/>
          <c:tx>
            <c:strRef>
              <c:f>pivot_sterblichkeit!$D$3:$D$5</c:f>
              <c:strCache>
                <c:ptCount val="1"/>
                <c:pt idx="0">
                  <c:v>Erwartungen - 0-64</c:v>
                </c:pt>
              </c:strCache>
            </c:strRef>
          </c:tx>
          <c:spPr>
            <a:ln w="34925" cap="rnd">
              <a:solidFill>
                <a:srgbClr val="FFC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pivot_sterblichkeit!$D$6:$D$58</c:f>
              <c:numCache>
                <c:formatCode>General</c:formatCode>
                <c:ptCount val="53"/>
                <c:pt idx="0">
                  <c:v>173</c:v>
                </c:pt>
                <c:pt idx="1">
                  <c:v>172</c:v>
                </c:pt>
                <c:pt idx="2">
                  <c:v>172</c:v>
                </c:pt>
                <c:pt idx="3">
                  <c:v>172</c:v>
                </c:pt>
                <c:pt idx="4">
                  <c:v>171</c:v>
                </c:pt>
                <c:pt idx="5">
                  <c:v>171</c:v>
                </c:pt>
                <c:pt idx="6">
                  <c:v>170</c:v>
                </c:pt>
                <c:pt idx="7">
                  <c:v>170</c:v>
                </c:pt>
                <c:pt idx="8">
                  <c:v>170</c:v>
                </c:pt>
                <c:pt idx="9">
                  <c:v>169</c:v>
                </c:pt>
                <c:pt idx="10">
                  <c:v>168</c:v>
                </c:pt>
                <c:pt idx="11">
                  <c:v>167</c:v>
                </c:pt>
                <c:pt idx="12">
                  <c:v>166</c:v>
                </c:pt>
                <c:pt idx="13">
                  <c:v>165</c:v>
                </c:pt>
                <c:pt idx="14">
                  <c:v>163</c:v>
                </c:pt>
                <c:pt idx="15">
                  <c:v>162</c:v>
                </c:pt>
                <c:pt idx="16">
                  <c:v>161</c:v>
                </c:pt>
                <c:pt idx="17">
                  <c:v>160</c:v>
                </c:pt>
                <c:pt idx="18">
                  <c:v>159</c:v>
                </c:pt>
                <c:pt idx="19">
                  <c:v>158</c:v>
                </c:pt>
                <c:pt idx="20">
                  <c:v>157</c:v>
                </c:pt>
                <c:pt idx="21">
                  <c:v>157</c:v>
                </c:pt>
                <c:pt idx="22">
                  <c:v>157</c:v>
                </c:pt>
                <c:pt idx="23">
                  <c:v>157</c:v>
                </c:pt>
                <c:pt idx="24">
                  <c:v>157</c:v>
                </c:pt>
                <c:pt idx="25">
                  <c:v>157</c:v>
                </c:pt>
                <c:pt idx="26">
                  <c:v>157</c:v>
                </c:pt>
                <c:pt idx="27">
                  <c:v>157</c:v>
                </c:pt>
                <c:pt idx="28">
                  <c:v>157</c:v>
                </c:pt>
                <c:pt idx="29">
                  <c:v>156</c:v>
                </c:pt>
                <c:pt idx="30">
                  <c:v>156</c:v>
                </c:pt>
                <c:pt idx="31">
                  <c:v>156</c:v>
                </c:pt>
                <c:pt idx="32">
                  <c:v>155</c:v>
                </c:pt>
                <c:pt idx="33">
                  <c:v>155</c:v>
                </c:pt>
                <c:pt idx="34">
                  <c:v>155</c:v>
                </c:pt>
                <c:pt idx="35">
                  <c:v>156</c:v>
                </c:pt>
                <c:pt idx="36">
                  <c:v>156</c:v>
                </c:pt>
                <c:pt idx="37">
                  <c:v>156</c:v>
                </c:pt>
                <c:pt idx="38">
                  <c:v>157</c:v>
                </c:pt>
                <c:pt idx="39">
                  <c:v>157</c:v>
                </c:pt>
                <c:pt idx="40">
                  <c:v>158</c:v>
                </c:pt>
                <c:pt idx="41">
                  <c:v>158</c:v>
                </c:pt>
                <c:pt idx="42">
                  <c:v>158</c:v>
                </c:pt>
                <c:pt idx="43">
                  <c:v>158</c:v>
                </c:pt>
                <c:pt idx="44">
                  <c:v>159</c:v>
                </c:pt>
                <c:pt idx="45">
                  <c:v>159</c:v>
                </c:pt>
                <c:pt idx="46">
                  <c:v>159</c:v>
                </c:pt>
                <c:pt idx="47">
                  <c:v>160</c:v>
                </c:pt>
                <c:pt idx="48">
                  <c:v>160</c:v>
                </c:pt>
                <c:pt idx="49">
                  <c:v>161</c:v>
                </c:pt>
                <c:pt idx="50">
                  <c:v>161</c:v>
                </c:pt>
                <c:pt idx="51">
                  <c:v>162</c:v>
                </c:pt>
                <c:pt idx="52">
                  <c:v>162</c:v>
                </c:pt>
              </c:numCache>
            </c:numRef>
          </c:val>
          <c:smooth val="0"/>
          <c:extLst>
            <c:ext xmlns:c16="http://schemas.microsoft.com/office/drawing/2014/chart" uri="{C3380CC4-5D6E-409C-BE32-E72D297353CC}">
              <c16:uniqueId val="{00000001-3744-41CE-B391-7AAC636D6DBA}"/>
            </c:ext>
          </c:extLst>
        </c:ser>
        <c:ser>
          <c:idx val="4"/>
          <c:order val="4"/>
          <c:tx>
            <c:strRef>
              <c:f>pivot_sterblichkeit!$F$3:$F$5</c:f>
              <c:strCache>
                <c:ptCount val="1"/>
                <c:pt idx="0">
                  <c:v>Obere Grenze - 0-64</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pivot_sterblichkeit!$F$6:$F$58</c:f>
              <c:numCache>
                <c:formatCode>General</c:formatCode>
                <c:ptCount val="53"/>
                <c:pt idx="0">
                  <c:v>207</c:v>
                </c:pt>
                <c:pt idx="1">
                  <c:v>206</c:v>
                </c:pt>
                <c:pt idx="2">
                  <c:v>206</c:v>
                </c:pt>
                <c:pt idx="3">
                  <c:v>205</c:v>
                </c:pt>
                <c:pt idx="4">
                  <c:v>205</c:v>
                </c:pt>
                <c:pt idx="5">
                  <c:v>204</c:v>
                </c:pt>
                <c:pt idx="6">
                  <c:v>204</c:v>
                </c:pt>
                <c:pt idx="7">
                  <c:v>204</c:v>
                </c:pt>
                <c:pt idx="8">
                  <c:v>203</c:v>
                </c:pt>
                <c:pt idx="9">
                  <c:v>202</c:v>
                </c:pt>
                <c:pt idx="10">
                  <c:v>201</c:v>
                </c:pt>
                <c:pt idx="11">
                  <c:v>200</c:v>
                </c:pt>
                <c:pt idx="12">
                  <c:v>199</c:v>
                </c:pt>
                <c:pt idx="13">
                  <c:v>198</c:v>
                </c:pt>
                <c:pt idx="14">
                  <c:v>196</c:v>
                </c:pt>
                <c:pt idx="15">
                  <c:v>195</c:v>
                </c:pt>
                <c:pt idx="16">
                  <c:v>194</c:v>
                </c:pt>
                <c:pt idx="17">
                  <c:v>193</c:v>
                </c:pt>
                <c:pt idx="18">
                  <c:v>192</c:v>
                </c:pt>
                <c:pt idx="19">
                  <c:v>191</c:v>
                </c:pt>
                <c:pt idx="20">
                  <c:v>190</c:v>
                </c:pt>
                <c:pt idx="21">
                  <c:v>189</c:v>
                </c:pt>
                <c:pt idx="22">
                  <c:v>189</c:v>
                </c:pt>
                <c:pt idx="23">
                  <c:v>189</c:v>
                </c:pt>
                <c:pt idx="24">
                  <c:v>189</c:v>
                </c:pt>
                <c:pt idx="25">
                  <c:v>189</c:v>
                </c:pt>
                <c:pt idx="26">
                  <c:v>189</c:v>
                </c:pt>
                <c:pt idx="27">
                  <c:v>189</c:v>
                </c:pt>
                <c:pt idx="28">
                  <c:v>189</c:v>
                </c:pt>
                <c:pt idx="29">
                  <c:v>188</c:v>
                </c:pt>
                <c:pt idx="30">
                  <c:v>188</c:v>
                </c:pt>
                <c:pt idx="31">
                  <c:v>188</c:v>
                </c:pt>
                <c:pt idx="32">
                  <c:v>187</c:v>
                </c:pt>
                <c:pt idx="33">
                  <c:v>187</c:v>
                </c:pt>
                <c:pt idx="34">
                  <c:v>188</c:v>
                </c:pt>
                <c:pt idx="35">
                  <c:v>188</c:v>
                </c:pt>
                <c:pt idx="36">
                  <c:v>188</c:v>
                </c:pt>
                <c:pt idx="37">
                  <c:v>189</c:v>
                </c:pt>
                <c:pt idx="38">
                  <c:v>189</c:v>
                </c:pt>
                <c:pt idx="39">
                  <c:v>190</c:v>
                </c:pt>
                <c:pt idx="40">
                  <c:v>190</c:v>
                </c:pt>
                <c:pt idx="41">
                  <c:v>190</c:v>
                </c:pt>
                <c:pt idx="42">
                  <c:v>191</c:v>
                </c:pt>
                <c:pt idx="43">
                  <c:v>191</c:v>
                </c:pt>
                <c:pt idx="44">
                  <c:v>191</c:v>
                </c:pt>
                <c:pt idx="45">
                  <c:v>191</c:v>
                </c:pt>
                <c:pt idx="46">
                  <c:v>192</c:v>
                </c:pt>
                <c:pt idx="47">
                  <c:v>192</c:v>
                </c:pt>
                <c:pt idx="48">
                  <c:v>193</c:v>
                </c:pt>
                <c:pt idx="49">
                  <c:v>193</c:v>
                </c:pt>
                <c:pt idx="50">
                  <c:v>194</c:v>
                </c:pt>
                <c:pt idx="51">
                  <c:v>194</c:v>
                </c:pt>
                <c:pt idx="52">
                  <c:v>195</c:v>
                </c:pt>
              </c:numCache>
            </c:numRef>
          </c:val>
          <c:smooth val="0"/>
          <c:extLst>
            <c:ext xmlns:c16="http://schemas.microsoft.com/office/drawing/2014/chart" uri="{C3380CC4-5D6E-409C-BE32-E72D297353CC}">
              <c16:uniqueId val="{00000002-3744-41CE-B391-7AAC636D6DBA}"/>
            </c:ext>
          </c:extLst>
        </c:ser>
        <c:ser>
          <c:idx val="5"/>
          <c:order val="5"/>
          <c:tx>
            <c:strRef>
              <c:f>pivot_sterblichkeit!$G$3:$G$5</c:f>
              <c:strCache>
                <c:ptCount val="1"/>
                <c:pt idx="0">
                  <c:v>Obere Grenze - 65+</c:v>
                </c:pt>
              </c:strCache>
            </c:strRef>
          </c:tx>
          <c:spPr>
            <a:ln w="1587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pivot_sterblichkeit!$G$6:$G$58</c:f>
              <c:numCache>
                <c:formatCode>General</c:formatCode>
                <c:ptCount val="53"/>
                <c:pt idx="0">
                  <c:v>1343</c:v>
                </c:pt>
                <c:pt idx="1">
                  <c:v>1348</c:v>
                </c:pt>
                <c:pt idx="2">
                  <c:v>1354</c:v>
                </c:pt>
                <c:pt idx="3">
                  <c:v>1359</c:v>
                </c:pt>
                <c:pt idx="4">
                  <c:v>1364</c:v>
                </c:pt>
                <c:pt idx="5">
                  <c:v>1369</c:v>
                </c:pt>
                <c:pt idx="6">
                  <c:v>1371</c:v>
                </c:pt>
                <c:pt idx="7">
                  <c:v>1363</c:v>
                </c:pt>
                <c:pt idx="8">
                  <c:v>1355</c:v>
                </c:pt>
                <c:pt idx="9">
                  <c:v>1334</c:v>
                </c:pt>
                <c:pt idx="10">
                  <c:v>1314</c:v>
                </c:pt>
                <c:pt idx="11">
                  <c:v>1289</c:v>
                </c:pt>
                <c:pt idx="12">
                  <c:v>1263</c:v>
                </c:pt>
                <c:pt idx="13">
                  <c:v>1240</c:v>
                </c:pt>
                <c:pt idx="14">
                  <c:v>1219</c:v>
                </c:pt>
                <c:pt idx="15">
                  <c:v>1198</c:v>
                </c:pt>
                <c:pt idx="16">
                  <c:v>1180</c:v>
                </c:pt>
                <c:pt idx="17">
                  <c:v>1163</c:v>
                </c:pt>
                <c:pt idx="18">
                  <c:v>1149</c:v>
                </c:pt>
                <c:pt idx="19">
                  <c:v>1136</c:v>
                </c:pt>
                <c:pt idx="20">
                  <c:v>1126</c:v>
                </c:pt>
                <c:pt idx="21">
                  <c:v>1122</c:v>
                </c:pt>
                <c:pt idx="22">
                  <c:v>1118</c:v>
                </c:pt>
                <c:pt idx="23">
                  <c:v>1115</c:v>
                </c:pt>
                <c:pt idx="24">
                  <c:v>1117</c:v>
                </c:pt>
                <c:pt idx="25">
                  <c:v>1119</c:v>
                </c:pt>
                <c:pt idx="26">
                  <c:v>1122</c:v>
                </c:pt>
                <c:pt idx="27">
                  <c:v>1122</c:v>
                </c:pt>
                <c:pt idx="28">
                  <c:v>1122</c:v>
                </c:pt>
                <c:pt idx="29">
                  <c:v>1121</c:v>
                </c:pt>
                <c:pt idx="30">
                  <c:v>1120</c:v>
                </c:pt>
                <c:pt idx="31">
                  <c:v>1119</c:v>
                </c:pt>
                <c:pt idx="32">
                  <c:v>1118</c:v>
                </c:pt>
                <c:pt idx="33">
                  <c:v>1119</c:v>
                </c:pt>
                <c:pt idx="34">
                  <c:v>1126</c:v>
                </c:pt>
                <c:pt idx="35">
                  <c:v>1132</c:v>
                </c:pt>
                <c:pt idx="36">
                  <c:v>1140</c:v>
                </c:pt>
                <c:pt idx="37">
                  <c:v>1151</c:v>
                </c:pt>
                <c:pt idx="38">
                  <c:v>1161</c:v>
                </c:pt>
                <c:pt idx="39">
                  <c:v>1172</c:v>
                </c:pt>
                <c:pt idx="40">
                  <c:v>1182</c:v>
                </c:pt>
                <c:pt idx="41">
                  <c:v>1192</c:v>
                </c:pt>
                <c:pt idx="42">
                  <c:v>1201</c:v>
                </c:pt>
                <c:pt idx="43">
                  <c:v>1210</c:v>
                </c:pt>
                <c:pt idx="44">
                  <c:v>1223</c:v>
                </c:pt>
                <c:pt idx="45">
                  <c:v>1235</c:v>
                </c:pt>
                <c:pt idx="46">
                  <c:v>1248</c:v>
                </c:pt>
                <c:pt idx="47">
                  <c:v>1261</c:v>
                </c:pt>
                <c:pt idx="48">
                  <c:v>1273</c:v>
                </c:pt>
                <c:pt idx="49">
                  <c:v>1283</c:v>
                </c:pt>
                <c:pt idx="50">
                  <c:v>1292</c:v>
                </c:pt>
                <c:pt idx="51">
                  <c:v>1302</c:v>
                </c:pt>
                <c:pt idx="52">
                  <c:v>1311</c:v>
                </c:pt>
              </c:numCache>
            </c:numRef>
          </c:val>
          <c:smooth val="0"/>
          <c:extLst>
            <c:ext xmlns:c16="http://schemas.microsoft.com/office/drawing/2014/chart" uri="{C3380CC4-5D6E-409C-BE32-E72D297353CC}">
              <c16:uniqueId val="{00000003-3744-41CE-B391-7AAC636D6DBA}"/>
            </c:ext>
          </c:extLst>
        </c:ser>
        <c:ser>
          <c:idx val="7"/>
          <c:order val="7"/>
          <c:tx>
            <c:strRef>
              <c:f>pivot_sterblichkeit!$I$3:$I$5</c:f>
              <c:strCache>
                <c:ptCount val="1"/>
                <c:pt idx="0">
                  <c:v>Hochrechnungen - 65+</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pivot_sterblichkeit!$I$6:$I$58</c:f>
              <c:numCache>
                <c:formatCode>General</c:formatCode>
                <c:ptCount val="53"/>
                <c:pt idx="0">
                  <c:v>1151</c:v>
                </c:pt>
                <c:pt idx="1">
                  <c:v>1180</c:v>
                </c:pt>
                <c:pt idx="2">
                  <c:v>1204</c:v>
                </c:pt>
                <c:pt idx="3">
                  <c:v>1215</c:v>
                </c:pt>
                <c:pt idx="4">
                  <c:v>1245</c:v>
                </c:pt>
                <c:pt idx="5">
                  <c:v>1177</c:v>
                </c:pt>
                <c:pt idx="6">
                  <c:v>1195</c:v>
                </c:pt>
                <c:pt idx="7">
                  <c:v>1154</c:v>
                </c:pt>
                <c:pt idx="8">
                  <c:v>1141</c:v>
                </c:pt>
                <c:pt idx="9">
                  <c:v>1159</c:v>
                </c:pt>
                <c:pt idx="10">
                  <c:v>1205</c:v>
                </c:pt>
                <c:pt idx="11">
                  <c:v>1323.6</c:v>
                </c:pt>
                <c:pt idx="12">
                  <c:v>1412.2</c:v>
                </c:pt>
                <c:pt idx="13">
                  <c:v>1679.7</c:v>
                </c:pt>
                <c:pt idx="14">
                  <c:v>1473.8</c:v>
                </c:pt>
                <c:pt idx="15">
                  <c:v>1438.2</c:v>
                </c:pt>
              </c:numCache>
            </c:numRef>
          </c:val>
          <c:smooth val="0"/>
          <c:extLst>
            <c:ext xmlns:c16="http://schemas.microsoft.com/office/drawing/2014/chart" uri="{C3380CC4-5D6E-409C-BE32-E72D297353CC}">
              <c16:uniqueId val="{00000004-3744-41CE-B391-7AAC636D6DBA}"/>
            </c:ext>
          </c:extLst>
        </c:ser>
        <c:ser>
          <c:idx val="0"/>
          <c:order val="0"/>
          <c:tx>
            <c:strRef>
              <c:f>pivot_sterblichkeit!$B$3:$B$5</c:f>
              <c:strCache>
                <c:ptCount val="1"/>
                <c:pt idx="0">
                  <c:v>Untere Grenze - 0-64</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pivot_sterblichkeit!$B$6:$B$58</c:f>
              <c:numCache>
                <c:formatCode>General</c:formatCode>
                <c:ptCount val="53"/>
                <c:pt idx="0">
                  <c:v>139</c:v>
                </c:pt>
                <c:pt idx="1">
                  <c:v>138</c:v>
                </c:pt>
                <c:pt idx="2">
                  <c:v>138</c:v>
                </c:pt>
                <c:pt idx="3">
                  <c:v>138</c:v>
                </c:pt>
                <c:pt idx="4">
                  <c:v>137</c:v>
                </c:pt>
                <c:pt idx="5">
                  <c:v>137</c:v>
                </c:pt>
                <c:pt idx="6">
                  <c:v>137</c:v>
                </c:pt>
                <c:pt idx="7">
                  <c:v>136</c:v>
                </c:pt>
                <c:pt idx="8">
                  <c:v>136</c:v>
                </c:pt>
                <c:pt idx="9">
                  <c:v>135</c:v>
                </c:pt>
                <c:pt idx="10">
                  <c:v>135</c:v>
                </c:pt>
                <c:pt idx="11">
                  <c:v>134</c:v>
                </c:pt>
                <c:pt idx="12">
                  <c:v>132</c:v>
                </c:pt>
                <c:pt idx="13">
                  <c:v>131</c:v>
                </c:pt>
                <c:pt idx="14">
                  <c:v>130</c:v>
                </c:pt>
                <c:pt idx="15">
                  <c:v>129</c:v>
                </c:pt>
                <c:pt idx="16">
                  <c:v>128</c:v>
                </c:pt>
                <c:pt idx="17">
                  <c:v>127</c:v>
                </c:pt>
                <c:pt idx="18">
                  <c:v>127</c:v>
                </c:pt>
                <c:pt idx="19">
                  <c:v>126</c:v>
                </c:pt>
                <c:pt idx="20">
                  <c:v>125</c:v>
                </c:pt>
                <c:pt idx="21">
                  <c:v>125</c:v>
                </c:pt>
                <c:pt idx="22">
                  <c:v>125</c:v>
                </c:pt>
                <c:pt idx="23">
                  <c:v>125</c:v>
                </c:pt>
                <c:pt idx="24">
                  <c:v>124</c:v>
                </c:pt>
                <c:pt idx="25">
                  <c:v>124</c:v>
                </c:pt>
                <c:pt idx="26">
                  <c:v>124</c:v>
                </c:pt>
                <c:pt idx="27">
                  <c:v>124</c:v>
                </c:pt>
                <c:pt idx="28">
                  <c:v>124</c:v>
                </c:pt>
                <c:pt idx="29">
                  <c:v>124</c:v>
                </c:pt>
                <c:pt idx="30">
                  <c:v>124</c:v>
                </c:pt>
                <c:pt idx="31">
                  <c:v>123</c:v>
                </c:pt>
                <c:pt idx="32">
                  <c:v>123</c:v>
                </c:pt>
                <c:pt idx="33">
                  <c:v>123</c:v>
                </c:pt>
                <c:pt idx="34">
                  <c:v>123</c:v>
                </c:pt>
                <c:pt idx="35">
                  <c:v>124</c:v>
                </c:pt>
                <c:pt idx="36">
                  <c:v>124</c:v>
                </c:pt>
                <c:pt idx="37">
                  <c:v>124</c:v>
                </c:pt>
                <c:pt idx="38">
                  <c:v>125</c:v>
                </c:pt>
                <c:pt idx="39">
                  <c:v>125</c:v>
                </c:pt>
                <c:pt idx="40">
                  <c:v>125</c:v>
                </c:pt>
                <c:pt idx="41">
                  <c:v>126</c:v>
                </c:pt>
                <c:pt idx="42">
                  <c:v>126</c:v>
                </c:pt>
                <c:pt idx="43">
                  <c:v>126</c:v>
                </c:pt>
                <c:pt idx="44">
                  <c:v>126</c:v>
                </c:pt>
                <c:pt idx="45">
                  <c:v>126</c:v>
                </c:pt>
                <c:pt idx="46">
                  <c:v>127</c:v>
                </c:pt>
                <c:pt idx="47">
                  <c:v>127</c:v>
                </c:pt>
                <c:pt idx="48">
                  <c:v>128</c:v>
                </c:pt>
                <c:pt idx="49">
                  <c:v>128</c:v>
                </c:pt>
                <c:pt idx="50">
                  <c:v>128</c:v>
                </c:pt>
                <c:pt idx="51">
                  <c:v>129</c:v>
                </c:pt>
                <c:pt idx="52">
                  <c:v>129</c:v>
                </c:pt>
              </c:numCache>
            </c:numRef>
          </c:val>
          <c:smooth val="0"/>
          <c:extLst>
            <c:ext xmlns:c16="http://schemas.microsoft.com/office/drawing/2014/chart" uri="{C3380CC4-5D6E-409C-BE32-E72D297353CC}">
              <c16:uniqueId val="{00000005-3744-41CE-B391-7AAC636D6DBA}"/>
            </c:ext>
          </c:extLst>
        </c:ser>
        <c:ser>
          <c:idx val="3"/>
          <c:order val="3"/>
          <c:tx>
            <c:strRef>
              <c:f>pivot_sterblichkeit!$E$3:$E$5</c:f>
              <c:strCache>
                <c:ptCount val="1"/>
                <c:pt idx="0">
                  <c:v>Erwartungen - 65+</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pivot_sterblichkeit!$E$6:$E$58</c:f>
              <c:numCache>
                <c:formatCode>General</c:formatCode>
                <c:ptCount val="53"/>
                <c:pt idx="0">
                  <c:v>1252</c:v>
                </c:pt>
                <c:pt idx="1">
                  <c:v>1257</c:v>
                </c:pt>
                <c:pt idx="2">
                  <c:v>1262</c:v>
                </c:pt>
                <c:pt idx="3">
                  <c:v>1267</c:v>
                </c:pt>
                <c:pt idx="4">
                  <c:v>1272</c:v>
                </c:pt>
                <c:pt idx="5">
                  <c:v>1277</c:v>
                </c:pt>
                <c:pt idx="6">
                  <c:v>1279</c:v>
                </c:pt>
                <c:pt idx="7">
                  <c:v>1271</c:v>
                </c:pt>
                <c:pt idx="8">
                  <c:v>1263</c:v>
                </c:pt>
                <c:pt idx="9">
                  <c:v>1243</c:v>
                </c:pt>
                <c:pt idx="10">
                  <c:v>1224</c:v>
                </c:pt>
                <c:pt idx="11">
                  <c:v>1199</c:v>
                </c:pt>
                <c:pt idx="12">
                  <c:v>1175</c:v>
                </c:pt>
                <c:pt idx="13">
                  <c:v>1153</c:v>
                </c:pt>
                <c:pt idx="14">
                  <c:v>1133</c:v>
                </c:pt>
                <c:pt idx="15">
                  <c:v>1112</c:v>
                </c:pt>
                <c:pt idx="16">
                  <c:v>1095</c:v>
                </c:pt>
                <c:pt idx="17">
                  <c:v>1078</c:v>
                </c:pt>
                <c:pt idx="18">
                  <c:v>1065</c:v>
                </c:pt>
                <c:pt idx="19">
                  <c:v>1052</c:v>
                </c:pt>
                <c:pt idx="20">
                  <c:v>1042</c:v>
                </c:pt>
                <c:pt idx="21">
                  <c:v>1039</c:v>
                </c:pt>
                <c:pt idx="22">
                  <c:v>1035</c:v>
                </c:pt>
                <c:pt idx="23">
                  <c:v>1033</c:v>
                </c:pt>
                <c:pt idx="24">
                  <c:v>1035</c:v>
                </c:pt>
                <c:pt idx="25">
                  <c:v>1036</c:v>
                </c:pt>
                <c:pt idx="26">
                  <c:v>1039</c:v>
                </c:pt>
                <c:pt idx="27">
                  <c:v>1039</c:v>
                </c:pt>
                <c:pt idx="28">
                  <c:v>1039</c:v>
                </c:pt>
                <c:pt idx="29">
                  <c:v>1038</c:v>
                </c:pt>
                <c:pt idx="30">
                  <c:v>1037</c:v>
                </c:pt>
                <c:pt idx="31">
                  <c:v>1036</c:v>
                </c:pt>
                <c:pt idx="32">
                  <c:v>1035</c:v>
                </c:pt>
                <c:pt idx="33">
                  <c:v>1036</c:v>
                </c:pt>
                <c:pt idx="34">
                  <c:v>1042</c:v>
                </c:pt>
                <c:pt idx="35">
                  <c:v>1048</c:v>
                </c:pt>
                <c:pt idx="36">
                  <c:v>1056</c:v>
                </c:pt>
                <c:pt idx="37">
                  <c:v>1067</c:v>
                </c:pt>
                <c:pt idx="38">
                  <c:v>1077</c:v>
                </c:pt>
                <c:pt idx="39">
                  <c:v>1087</c:v>
                </c:pt>
                <c:pt idx="40">
                  <c:v>1097</c:v>
                </c:pt>
                <c:pt idx="41">
                  <c:v>1107</c:v>
                </c:pt>
                <c:pt idx="42">
                  <c:v>1115</c:v>
                </c:pt>
                <c:pt idx="43">
                  <c:v>1124</c:v>
                </c:pt>
                <c:pt idx="44">
                  <c:v>1136</c:v>
                </c:pt>
                <c:pt idx="45">
                  <c:v>1148</c:v>
                </c:pt>
                <c:pt idx="46">
                  <c:v>1161</c:v>
                </c:pt>
                <c:pt idx="47">
                  <c:v>1172</c:v>
                </c:pt>
                <c:pt idx="48">
                  <c:v>1184</c:v>
                </c:pt>
                <c:pt idx="49">
                  <c:v>1194</c:v>
                </c:pt>
                <c:pt idx="50">
                  <c:v>1203</c:v>
                </c:pt>
                <c:pt idx="51">
                  <c:v>1212</c:v>
                </c:pt>
                <c:pt idx="52">
                  <c:v>1221</c:v>
                </c:pt>
              </c:numCache>
            </c:numRef>
          </c:val>
          <c:smooth val="0"/>
          <c:extLst>
            <c:ext xmlns:c16="http://schemas.microsoft.com/office/drawing/2014/chart" uri="{C3380CC4-5D6E-409C-BE32-E72D297353CC}">
              <c16:uniqueId val="{00000006-3744-41CE-B391-7AAC636D6DBA}"/>
            </c:ext>
          </c:extLst>
        </c:ser>
        <c:ser>
          <c:idx val="6"/>
          <c:order val="6"/>
          <c:tx>
            <c:strRef>
              <c:f>pivot_sterblichkeit!$H$3:$H$5</c:f>
              <c:strCache>
                <c:ptCount val="1"/>
                <c:pt idx="0">
                  <c:v>Hochrechnungen - 0-64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pivot_sterblichkeit!$H$6:$H$58</c:f>
              <c:numCache>
                <c:formatCode>General</c:formatCode>
                <c:ptCount val="53"/>
                <c:pt idx="0">
                  <c:v>146</c:v>
                </c:pt>
                <c:pt idx="1">
                  <c:v>163</c:v>
                </c:pt>
                <c:pt idx="2">
                  <c:v>181</c:v>
                </c:pt>
                <c:pt idx="3">
                  <c:v>176</c:v>
                </c:pt>
                <c:pt idx="4">
                  <c:v>159</c:v>
                </c:pt>
                <c:pt idx="5">
                  <c:v>182</c:v>
                </c:pt>
                <c:pt idx="6">
                  <c:v>161</c:v>
                </c:pt>
                <c:pt idx="7">
                  <c:v>177</c:v>
                </c:pt>
                <c:pt idx="8">
                  <c:v>166</c:v>
                </c:pt>
                <c:pt idx="9">
                  <c:v>159</c:v>
                </c:pt>
                <c:pt idx="10">
                  <c:v>146</c:v>
                </c:pt>
                <c:pt idx="11">
                  <c:v>173.9</c:v>
                </c:pt>
                <c:pt idx="12">
                  <c:v>204.9</c:v>
                </c:pt>
                <c:pt idx="13">
                  <c:v>180.2</c:v>
                </c:pt>
                <c:pt idx="14">
                  <c:v>179.3</c:v>
                </c:pt>
                <c:pt idx="15">
                  <c:v>187.7</c:v>
                </c:pt>
              </c:numCache>
            </c:numRef>
          </c:val>
          <c:smooth val="0"/>
          <c:extLst>
            <c:ext xmlns:c16="http://schemas.microsoft.com/office/drawing/2014/chart" uri="{C3380CC4-5D6E-409C-BE32-E72D297353CC}">
              <c16:uniqueId val="{00000007-3744-41CE-B391-7AAC636D6DBA}"/>
            </c:ext>
          </c:extLst>
        </c:ser>
        <c:dLbls>
          <c:showLegendKey val="0"/>
          <c:showVal val="0"/>
          <c:showCatName val="0"/>
          <c:showSerName val="0"/>
          <c:showPercent val="0"/>
          <c:showBubbleSize val="0"/>
        </c:dLbls>
        <c:smooth val="0"/>
        <c:axId val="1688170752"/>
        <c:axId val="1691358608"/>
      </c:lineChart>
      <c:catAx>
        <c:axId val="1688170752"/>
        <c:scaling>
          <c:orientation val="minMax"/>
        </c:scaling>
        <c:delete val="0"/>
        <c:axPos val="b"/>
        <c:numFmt formatCode="m/d/yyyy" sourceLinked="0"/>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91358608"/>
        <c:crosses val="autoZero"/>
        <c:auto val="1"/>
        <c:lblAlgn val="ctr"/>
        <c:lblOffset val="100"/>
        <c:tickLblSkip val="2"/>
        <c:tickMarkSkip val="1"/>
        <c:noMultiLvlLbl val="0"/>
      </c:catAx>
      <c:valAx>
        <c:axId val="1691358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88170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[covid-19-ch-dashboarcovid-19-excel_test.xlsm]pivot_Sterblichkeit_2010-2019!PivotTable1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Sterblichkeit 2010 - 2019</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'pivot_Sterblichkeit_2010-2019'!$B$3:$B$5</c:f>
              <c:strCache>
                <c:ptCount val="1"/>
                <c:pt idx="0">
                  <c:v>Todesfalle - 0-64</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'pivot_Sterblichkeit_2010-2019'!$B$6:$B$527</c:f>
              <c:numCache>
                <c:formatCode>General</c:formatCode>
                <c:ptCount val="521"/>
                <c:pt idx="0">
                  <c:v>193</c:v>
                </c:pt>
                <c:pt idx="1">
                  <c:v>198</c:v>
                </c:pt>
                <c:pt idx="2">
                  <c:v>191</c:v>
                </c:pt>
                <c:pt idx="3">
                  <c:v>207</c:v>
                </c:pt>
                <c:pt idx="4">
                  <c:v>175</c:v>
                </c:pt>
                <c:pt idx="5">
                  <c:v>179</c:v>
                </c:pt>
                <c:pt idx="6">
                  <c:v>218</c:v>
                </c:pt>
                <c:pt idx="7">
                  <c:v>184</c:v>
                </c:pt>
                <c:pt idx="8">
                  <c:v>179</c:v>
                </c:pt>
                <c:pt idx="9">
                  <c:v>221</c:v>
                </c:pt>
                <c:pt idx="10">
                  <c:v>196</c:v>
                </c:pt>
                <c:pt idx="11">
                  <c:v>200</c:v>
                </c:pt>
                <c:pt idx="12">
                  <c:v>162</c:v>
                </c:pt>
                <c:pt idx="13">
                  <c:v>180</c:v>
                </c:pt>
                <c:pt idx="14">
                  <c:v>158</c:v>
                </c:pt>
                <c:pt idx="15">
                  <c:v>226</c:v>
                </c:pt>
                <c:pt idx="16">
                  <c:v>176</c:v>
                </c:pt>
                <c:pt idx="17">
                  <c:v>161</c:v>
                </c:pt>
                <c:pt idx="18">
                  <c:v>190</c:v>
                </c:pt>
                <c:pt idx="19">
                  <c:v>193</c:v>
                </c:pt>
                <c:pt idx="20">
                  <c:v>191</c:v>
                </c:pt>
                <c:pt idx="21">
                  <c:v>202</c:v>
                </c:pt>
                <c:pt idx="22">
                  <c:v>189</c:v>
                </c:pt>
                <c:pt idx="23">
                  <c:v>192</c:v>
                </c:pt>
                <c:pt idx="24">
                  <c:v>168</c:v>
                </c:pt>
                <c:pt idx="25">
                  <c:v>189</c:v>
                </c:pt>
                <c:pt idx="26">
                  <c:v>187</c:v>
                </c:pt>
                <c:pt idx="27">
                  <c:v>184</c:v>
                </c:pt>
                <c:pt idx="28">
                  <c:v>170</c:v>
                </c:pt>
                <c:pt idx="29">
                  <c:v>177</c:v>
                </c:pt>
                <c:pt idx="30">
                  <c:v>187</c:v>
                </c:pt>
                <c:pt idx="31">
                  <c:v>172</c:v>
                </c:pt>
                <c:pt idx="32">
                  <c:v>171</c:v>
                </c:pt>
                <c:pt idx="33">
                  <c:v>169</c:v>
                </c:pt>
                <c:pt idx="34">
                  <c:v>176</c:v>
                </c:pt>
                <c:pt idx="35">
                  <c:v>197</c:v>
                </c:pt>
                <c:pt idx="36">
                  <c:v>176</c:v>
                </c:pt>
                <c:pt idx="37">
                  <c:v>186</c:v>
                </c:pt>
                <c:pt idx="38">
                  <c:v>185</c:v>
                </c:pt>
                <c:pt idx="39">
                  <c:v>192</c:v>
                </c:pt>
                <c:pt idx="40">
                  <c:v>189</c:v>
                </c:pt>
                <c:pt idx="41">
                  <c:v>183</c:v>
                </c:pt>
                <c:pt idx="42">
                  <c:v>181</c:v>
                </c:pt>
                <c:pt idx="43">
                  <c:v>178</c:v>
                </c:pt>
                <c:pt idx="44">
                  <c:v>169</c:v>
                </c:pt>
                <c:pt idx="45">
                  <c:v>182</c:v>
                </c:pt>
                <c:pt idx="46">
                  <c:v>180</c:v>
                </c:pt>
                <c:pt idx="47">
                  <c:v>185</c:v>
                </c:pt>
                <c:pt idx="48">
                  <c:v>188</c:v>
                </c:pt>
                <c:pt idx="49">
                  <c:v>191</c:v>
                </c:pt>
                <c:pt idx="50">
                  <c:v>209</c:v>
                </c:pt>
                <c:pt idx="51">
                  <c:v>197</c:v>
                </c:pt>
                <c:pt idx="52">
                  <c:v>199</c:v>
                </c:pt>
                <c:pt idx="53">
                  <c:v>172</c:v>
                </c:pt>
                <c:pt idx="54">
                  <c:v>213</c:v>
                </c:pt>
                <c:pt idx="55">
                  <c:v>188</c:v>
                </c:pt>
                <c:pt idx="56">
                  <c:v>219</c:v>
                </c:pt>
                <c:pt idx="57">
                  <c:v>188</c:v>
                </c:pt>
                <c:pt idx="58">
                  <c:v>167</c:v>
                </c:pt>
                <c:pt idx="59">
                  <c:v>199</c:v>
                </c:pt>
                <c:pt idx="60">
                  <c:v>196</c:v>
                </c:pt>
                <c:pt idx="61">
                  <c:v>174</c:v>
                </c:pt>
                <c:pt idx="62">
                  <c:v>180</c:v>
                </c:pt>
                <c:pt idx="63">
                  <c:v>165</c:v>
                </c:pt>
                <c:pt idx="64">
                  <c:v>192</c:v>
                </c:pt>
                <c:pt idx="65">
                  <c:v>170</c:v>
                </c:pt>
                <c:pt idx="66">
                  <c:v>173</c:v>
                </c:pt>
                <c:pt idx="67">
                  <c:v>164</c:v>
                </c:pt>
                <c:pt idx="68">
                  <c:v>166</c:v>
                </c:pt>
                <c:pt idx="69">
                  <c:v>180</c:v>
                </c:pt>
                <c:pt idx="70">
                  <c:v>182</c:v>
                </c:pt>
                <c:pt idx="71">
                  <c:v>187</c:v>
                </c:pt>
                <c:pt idx="72">
                  <c:v>175</c:v>
                </c:pt>
                <c:pt idx="73">
                  <c:v>178</c:v>
                </c:pt>
                <c:pt idx="74">
                  <c:v>160</c:v>
                </c:pt>
                <c:pt idx="75">
                  <c:v>170</c:v>
                </c:pt>
                <c:pt idx="76">
                  <c:v>170</c:v>
                </c:pt>
                <c:pt idx="77">
                  <c:v>186</c:v>
                </c:pt>
                <c:pt idx="78">
                  <c:v>172</c:v>
                </c:pt>
                <c:pt idx="79">
                  <c:v>172</c:v>
                </c:pt>
                <c:pt idx="80">
                  <c:v>179</c:v>
                </c:pt>
                <c:pt idx="81">
                  <c:v>157</c:v>
                </c:pt>
                <c:pt idx="82">
                  <c:v>154</c:v>
                </c:pt>
                <c:pt idx="83">
                  <c:v>191</c:v>
                </c:pt>
                <c:pt idx="84">
                  <c:v>182</c:v>
                </c:pt>
                <c:pt idx="85">
                  <c:v>181</c:v>
                </c:pt>
                <c:pt idx="86">
                  <c:v>192</c:v>
                </c:pt>
                <c:pt idx="87">
                  <c:v>181</c:v>
                </c:pt>
                <c:pt idx="88">
                  <c:v>161</c:v>
                </c:pt>
                <c:pt idx="89">
                  <c:v>182</c:v>
                </c:pt>
                <c:pt idx="90">
                  <c:v>179</c:v>
                </c:pt>
                <c:pt idx="91">
                  <c:v>171</c:v>
                </c:pt>
                <c:pt idx="92">
                  <c:v>191</c:v>
                </c:pt>
                <c:pt idx="93">
                  <c:v>177</c:v>
                </c:pt>
                <c:pt idx="94">
                  <c:v>194</c:v>
                </c:pt>
                <c:pt idx="95">
                  <c:v>156</c:v>
                </c:pt>
                <c:pt idx="96">
                  <c:v>177</c:v>
                </c:pt>
                <c:pt idx="97">
                  <c:v>195</c:v>
                </c:pt>
                <c:pt idx="98">
                  <c:v>175</c:v>
                </c:pt>
                <c:pt idx="99">
                  <c:v>168</c:v>
                </c:pt>
                <c:pt idx="100">
                  <c:v>184</c:v>
                </c:pt>
                <c:pt idx="101">
                  <c:v>191</c:v>
                </c:pt>
                <c:pt idx="102">
                  <c:v>197</c:v>
                </c:pt>
                <c:pt idx="103">
                  <c:v>171</c:v>
                </c:pt>
                <c:pt idx="104">
                  <c:v>175</c:v>
                </c:pt>
                <c:pt idx="105">
                  <c:v>198</c:v>
                </c:pt>
                <c:pt idx="106">
                  <c:v>163</c:v>
                </c:pt>
                <c:pt idx="107">
                  <c:v>189</c:v>
                </c:pt>
                <c:pt idx="108">
                  <c:v>199</c:v>
                </c:pt>
                <c:pt idx="109">
                  <c:v>218</c:v>
                </c:pt>
                <c:pt idx="110">
                  <c:v>206</c:v>
                </c:pt>
                <c:pt idx="111">
                  <c:v>181</c:v>
                </c:pt>
                <c:pt idx="112">
                  <c:v>198</c:v>
                </c:pt>
                <c:pt idx="113">
                  <c:v>181</c:v>
                </c:pt>
                <c:pt idx="114">
                  <c:v>210</c:v>
                </c:pt>
                <c:pt idx="115">
                  <c:v>180</c:v>
                </c:pt>
                <c:pt idx="116">
                  <c:v>187</c:v>
                </c:pt>
                <c:pt idx="117">
                  <c:v>202</c:v>
                </c:pt>
                <c:pt idx="118">
                  <c:v>182</c:v>
                </c:pt>
                <c:pt idx="119">
                  <c:v>189</c:v>
                </c:pt>
                <c:pt idx="120">
                  <c:v>207</c:v>
                </c:pt>
                <c:pt idx="121">
                  <c:v>167</c:v>
                </c:pt>
                <c:pt idx="122">
                  <c:v>195</c:v>
                </c:pt>
                <c:pt idx="123">
                  <c:v>161</c:v>
                </c:pt>
                <c:pt idx="124">
                  <c:v>175</c:v>
                </c:pt>
                <c:pt idx="125">
                  <c:v>177</c:v>
                </c:pt>
                <c:pt idx="126">
                  <c:v>162</c:v>
                </c:pt>
                <c:pt idx="127">
                  <c:v>183</c:v>
                </c:pt>
                <c:pt idx="128">
                  <c:v>185</c:v>
                </c:pt>
                <c:pt idx="129">
                  <c:v>190</c:v>
                </c:pt>
                <c:pt idx="130">
                  <c:v>194</c:v>
                </c:pt>
                <c:pt idx="131">
                  <c:v>178</c:v>
                </c:pt>
                <c:pt idx="132">
                  <c:v>140</c:v>
                </c:pt>
                <c:pt idx="133">
                  <c:v>185</c:v>
                </c:pt>
                <c:pt idx="134">
                  <c:v>177</c:v>
                </c:pt>
                <c:pt idx="135">
                  <c:v>166</c:v>
                </c:pt>
                <c:pt idx="136">
                  <c:v>169</c:v>
                </c:pt>
                <c:pt idx="137">
                  <c:v>201</c:v>
                </c:pt>
                <c:pt idx="138">
                  <c:v>167</c:v>
                </c:pt>
                <c:pt idx="139">
                  <c:v>172</c:v>
                </c:pt>
                <c:pt idx="140">
                  <c:v>189</c:v>
                </c:pt>
                <c:pt idx="141">
                  <c:v>180</c:v>
                </c:pt>
                <c:pt idx="142">
                  <c:v>176</c:v>
                </c:pt>
                <c:pt idx="143">
                  <c:v>180</c:v>
                </c:pt>
                <c:pt idx="144">
                  <c:v>162</c:v>
                </c:pt>
                <c:pt idx="145">
                  <c:v>149</c:v>
                </c:pt>
                <c:pt idx="146">
                  <c:v>181</c:v>
                </c:pt>
                <c:pt idx="147">
                  <c:v>187</c:v>
                </c:pt>
                <c:pt idx="148">
                  <c:v>190</c:v>
                </c:pt>
                <c:pt idx="149">
                  <c:v>183</c:v>
                </c:pt>
                <c:pt idx="150">
                  <c:v>192</c:v>
                </c:pt>
                <c:pt idx="151">
                  <c:v>143</c:v>
                </c:pt>
                <c:pt idx="152">
                  <c:v>168</c:v>
                </c:pt>
                <c:pt idx="153">
                  <c:v>163</c:v>
                </c:pt>
                <c:pt idx="154">
                  <c:v>178</c:v>
                </c:pt>
                <c:pt idx="155">
                  <c:v>202</c:v>
                </c:pt>
                <c:pt idx="156">
                  <c:v>194</c:v>
                </c:pt>
                <c:pt idx="157">
                  <c:v>174</c:v>
                </c:pt>
                <c:pt idx="158">
                  <c:v>204</c:v>
                </c:pt>
                <c:pt idx="159">
                  <c:v>192</c:v>
                </c:pt>
                <c:pt idx="160">
                  <c:v>207</c:v>
                </c:pt>
                <c:pt idx="161">
                  <c:v>195</c:v>
                </c:pt>
                <c:pt idx="162">
                  <c:v>232</c:v>
                </c:pt>
                <c:pt idx="163">
                  <c:v>193</c:v>
                </c:pt>
                <c:pt idx="164">
                  <c:v>206</c:v>
                </c:pt>
                <c:pt idx="165">
                  <c:v>151</c:v>
                </c:pt>
                <c:pt idx="166">
                  <c:v>192</c:v>
                </c:pt>
                <c:pt idx="167">
                  <c:v>203</c:v>
                </c:pt>
                <c:pt idx="168">
                  <c:v>182</c:v>
                </c:pt>
                <c:pt idx="169">
                  <c:v>185</c:v>
                </c:pt>
                <c:pt idx="170">
                  <c:v>161</c:v>
                </c:pt>
                <c:pt idx="171">
                  <c:v>170</c:v>
                </c:pt>
                <c:pt idx="172">
                  <c:v>191</c:v>
                </c:pt>
                <c:pt idx="173">
                  <c:v>184</c:v>
                </c:pt>
                <c:pt idx="174">
                  <c:v>170</c:v>
                </c:pt>
                <c:pt idx="175">
                  <c:v>173</c:v>
                </c:pt>
                <c:pt idx="176">
                  <c:v>164</c:v>
                </c:pt>
                <c:pt idx="177">
                  <c:v>184</c:v>
                </c:pt>
                <c:pt idx="178">
                  <c:v>153</c:v>
                </c:pt>
                <c:pt idx="179">
                  <c:v>182</c:v>
                </c:pt>
                <c:pt idx="180">
                  <c:v>169</c:v>
                </c:pt>
                <c:pt idx="181">
                  <c:v>191</c:v>
                </c:pt>
                <c:pt idx="182">
                  <c:v>174</c:v>
                </c:pt>
                <c:pt idx="183">
                  <c:v>175</c:v>
                </c:pt>
                <c:pt idx="184">
                  <c:v>161</c:v>
                </c:pt>
                <c:pt idx="185">
                  <c:v>176</c:v>
                </c:pt>
                <c:pt idx="186">
                  <c:v>174</c:v>
                </c:pt>
                <c:pt idx="187">
                  <c:v>174</c:v>
                </c:pt>
                <c:pt idx="188">
                  <c:v>185</c:v>
                </c:pt>
                <c:pt idx="189">
                  <c:v>176</c:v>
                </c:pt>
                <c:pt idx="190">
                  <c:v>188</c:v>
                </c:pt>
                <c:pt idx="191">
                  <c:v>162</c:v>
                </c:pt>
                <c:pt idx="192">
                  <c:v>164</c:v>
                </c:pt>
                <c:pt idx="193">
                  <c:v>168</c:v>
                </c:pt>
                <c:pt idx="194">
                  <c:v>179</c:v>
                </c:pt>
                <c:pt idx="195">
                  <c:v>195</c:v>
                </c:pt>
                <c:pt idx="196">
                  <c:v>165</c:v>
                </c:pt>
                <c:pt idx="197">
                  <c:v>158</c:v>
                </c:pt>
                <c:pt idx="198">
                  <c:v>181</c:v>
                </c:pt>
                <c:pt idx="199">
                  <c:v>166</c:v>
                </c:pt>
                <c:pt idx="200">
                  <c:v>168</c:v>
                </c:pt>
                <c:pt idx="201">
                  <c:v>161</c:v>
                </c:pt>
                <c:pt idx="202">
                  <c:v>179</c:v>
                </c:pt>
                <c:pt idx="203">
                  <c:v>165</c:v>
                </c:pt>
                <c:pt idx="204">
                  <c:v>201</c:v>
                </c:pt>
                <c:pt idx="205">
                  <c:v>180</c:v>
                </c:pt>
                <c:pt idx="206">
                  <c:v>190</c:v>
                </c:pt>
                <c:pt idx="207">
                  <c:v>169</c:v>
                </c:pt>
                <c:pt idx="208">
                  <c:v>166</c:v>
                </c:pt>
                <c:pt idx="209">
                  <c:v>160</c:v>
                </c:pt>
                <c:pt idx="210">
                  <c:v>215</c:v>
                </c:pt>
                <c:pt idx="211">
                  <c:v>184</c:v>
                </c:pt>
                <c:pt idx="212">
                  <c:v>149</c:v>
                </c:pt>
                <c:pt idx="213">
                  <c:v>167</c:v>
                </c:pt>
                <c:pt idx="214">
                  <c:v>205</c:v>
                </c:pt>
                <c:pt idx="215">
                  <c:v>191</c:v>
                </c:pt>
                <c:pt idx="216">
                  <c:v>198</c:v>
                </c:pt>
                <c:pt idx="217">
                  <c:v>184</c:v>
                </c:pt>
                <c:pt idx="218">
                  <c:v>178</c:v>
                </c:pt>
                <c:pt idx="219">
                  <c:v>172</c:v>
                </c:pt>
                <c:pt idx="220">
                  <c:v>183</c:v>
                </c:pt>
                <c:pt idx="221">
                  <c:v>188</c:v>
                </c:pt>
                <c:pt idx="222">
                  <c:v>177</c:v>
                </c:pt>
                <c:pt idx="223">
                  <c:v>170</c:v>
                </c:pt>
                <c:pt idx="224">
                  <c:v>156</c:v>
                </c:pt>
                <c:pt idx="225">
                  <c:v>141</c:v>
                </c:pt>
                <c:pt idx="226">
                  <c:v>208</c:v>
                </c:pt>
                <c:pt idx="227">
                  <c:v>165</c:v>
                </c:pt>
                <c:pt idx="228">
                  <c:v>170</c:v>
                </c:pt>
                <c:pt idx="229">
                  <c:v>176</c:v>
                </c:pt>
                <c:pt idx="230">
                  <c:v>163</c:v>
                </c:pt>
                <c:pt idx="231">
                  <c:v>158</c:v>
                </c:pt>
                <c:pt idx="232">
                  <c:v>159</c:v>
                </c:pt>
                <c:pt idx="233">
                  <c:v>163</c:v>
                </c:pt>
                <c:pt idx="234">
                  <c:v>163</c:v>
                </c:pt>
                <c:pt idx="235">
                  <c:v>150</c:v>
                </c:pt>
                <c:pt idx="236">
                  <c:v>167</c:v>
                </c:pt>
                <c:pt idx="237">
                  <c:v>165</c:v>
                </c:pt>
                <c:pt idx="238">
                  <c:v>159</c:v>
                </c:pt>
                <c:pt idx="239">
                  <c:v>154</c:v>
                </c:pt>
                <c:pt idx="240">
                  <c:v>142</c:v>
                </c:pt>
                <c:pt idx="241">
                  <c:v>160</c:v>
                </c:pt>
                <c:pt idx="242">
                  <c:v>163</c:v>
                </c:pt>
                <c:pt idx="243">
                  <c:v>188</c:v>
                </c:pt>
                <c:pt idx="244">
                  <c:v>141</c:v>
                </c:pt>
                <c:pt idx="245">
                  <c:v>157</c:v>
                </c:pt>
                <c:pt idx="246">
                  <c:v>169</c:v>
                </c:pt>
                <c:pt idx="247">
                  <c:v>167</c:v>
                </c:pt>
                <c:pt idx="248">
                  <c:v>188</c:v>
                </c:pt>
                <c:pt idx="249">
                  <c:v>149</c:v>
                </c:pt>
                <c:pt idx="250">
                  <c:v>158</c:v>
                </c:pt>
                <c:pt idx="251">
                  <c:v>182</c:v>
                </c:pt>
                <c:pt idx="252">
                  <c:v>181</c:v>
                </c:pt>
                <c:pt idx="253">
                  <c:v>207</c:v>
                </c:pt>
                <c:pt idx="254">
                  <c:v>181</c:v>
                </c:pt>
                <c:pt idx="255">
                  <c:v>158</c:v>
                </c:pt>
                <c:pt idx="256">
                  <c:v>194</c:v>
                </c:pt>
                <c:pt idx="257">
                  <c:v>171</c:v>
                </c:pt>
                <c:pt idx="258">
                  <c:v>173</c:v>
                </c:pt>
                <c:pt idx="259">
                  <c:v>177</c:v>
                </c:pt>
                <c:pt idx="260">
                  <c:v>192</c:v>
                </c:pt>
                <c:pt idx="261">
                  <c:v>190</c:v>
                </c:pt>
                <c:pt idx="262">
                  <c:v>197</c:v>
                </c:pt>
                <c:pt idx="263">
                  <c:v>174</c:v>
                </c:pt>
                <c:pt idx="264">
                  <c:v>203</c:v>
                </c:pt>
                <c:pt idx="265">
                  <c:v>178</c:v>
                </c:pt>
                <c:pt idx="266">
                  <c:v>223</c:v>
                </c:pt>
                <c:pt idx="267">
                  <c:v>208</c:v>
                </c:pt>
                <c:pt idx="268">
                  <c:v>188</c:v>
                </c:pt>
                <c:pt idx="269">
                  <c:v>184</c:v>
                </c:pt>
                <c:pt idx="270">
                  <c:v>171</c:v>
                </c:pt>
                <c:pt idx="271">
                  <c:v>187</c:v>
                </c:pt>
                <c:pt idx="272">
                  <c:v>170</c:v>
                </c:pt>
                <c:pt idx="273">
                  <c:v>186</c:v>
                </c:pt>
                <c:pt idx="274">
                  <c:v>161</c:v>
                </c:pt>
                <c:pt idx="275">
                  <c:v>171</c:v>
                </c:pt>
                <c:pt idx="276">
                  <c:v>163</c:v>
                </c:pt>
                <c:pt idx="277">
                  <c:v>159</c:v>
                </c:pt>
                <c:pt idx="278">
                  <c:v>180</c:v>
                </c:pt>
                <c:pt idx="279">
                  <c:v>184</c:v>
                </c:pt>
                <c:pt idx="280">
                  <c:v>166</c:v>
                </c:pt>
                <c:pt idx="281">
                  <c:v>164</c:v>
                </c:pt>
                <c:pt idx="282">
                  <c:v>164</c:v>
                </c:pt>
                <c:pt idx="283">
                  <c:v>175</c:v>
                </c:pt>
                <c:pt idx="284">
                  <c:v>166</c:v>
                </c:pt>
                <c:pt idx="285">
                  <c:v>202</c:v>
                </c:pt>
                <c:pt idx="286">
                  <c:v>179</c:v>
                </c:pt>
                <c:pt idx="287">
                  <c:v>181</c:v>
                </c:pt>
                <c:pt idx="288">
                  <c:v>203</c:v>
                </c:pt>
                <c:pt idx="289">
                  <c:v>157</c:v>
                </c:pt>
                <c:pt idx="290">
                  <c:v>164</c:v>
                </c:pt>
                <c:pt idx="291">
                  <c:v>180</c:v>
                </c:pt>
                <c:pt idx="292">
                  <c:v>165</c:v>
                </c:pt>
                <c:pt idx="293">
                  <c:v>163</c:v>
                </c:pt>
                <c:pt idx="294">
                  <c:v>176</c:v>
                </c:pt>
                <c:pt idx="295">
                  <c:v>162</c:v>
                </c:pt>
                <c:pt idx="296">
                  <c:v>186</c:v>
                </c:pt>
                <c:pt idx="297">
                  <c:v>169</c:v>
                </c:pt>
                <c:pt idx="298">
                  <c:v>146</c:v>
                </c:pt>
                <c:pt idx="299">
                  <c:v>185</c:v>
                </c:pt>
                <c:pt idx="300">
                  <c:v>159</c:v>
                </c:pt>
                <c:pt idx="301">
                  <c:v>171</c:v>
                </c:pt>
                <c:pt idx="302">
                  <c:v>170</c:v>
                </c:pt>
                <c:pt idx="303">
                  <c:v>177</c:v>
                </c:pt>
                <c:pt idx="304">
                  <c:v>167</c:v>
                </c:pt>
                <c:pt idx="305">
                  <c:v>181</c:v>
                </c:pt>
                <c:pt idx="306">
                  <c:v>178</c:v>
                </c:pt>
                <c:pt idx="307">
                  <c:v>159</c:v>
                </c:pt>
                <c:pt idx="308">
                  <c:v>179</c:v>
                </c:pt>
                <c:pt idx="309">
                  <c:v>180</c:v>
                </c:pt>
                <c:pt idx="310">
                  <c:v>162</c:v>
                </c:pt>
                <c:pt idx="311">
                  <c:v>169</c:v>
                </c:pt>
                <c:pt idx="312">
                  <c:v>165</c:v>
                </c:pt>
                <c:pt idx="313">
                  <c:v>183</c:v>
                </c:pt>
                <c:pt idx="314">
                  <c:v>149</c:v>
                </c:pt>
                <c:pt idx="315">
                  <c:v>183</c:v>
                </c:pt>
                <c:pt idx="316">
                  <c:v>194</c:v>
                </c:pt>
                <c:pt idx="317">
                  <c:v>190</c:v>
                </c:pt>
                <c:pt idx="318">
                  <c:v>187</c:v>
                </c:pt>
                <c:pt idx="319">
                  <c:v>179</c:v>
                </c:pt>
                <c:pt idx="320">
                  <c:v>194</c:v>
                </c:pt>
                <c:pt idx="321">
                  <c:v>181</c:v>
                </c:pt>
                <c:pt idx="322">
                  <c:v>191</c:v>
                </c:pt>
                <c:pt idx="323">
                  <c:v>168</c:v>
                </c:pt>
                <c:pt idx="324">
                  <c:v>183</c:v>
                </c:pt>
                <c:pt idx="325">
                  <c:v>167</c:v>
                </c:pt>
                <c:pt idx="326">
                  <c:v>143</c:v>
                </c:pt>
                <c:pt idx="327">
                  <c:v>159</c:v>
                </c:pt>
                <c:pt idx="328">
                  <c:v>168</c:v>
                </c:pt>
                <c:pt idx="329">
                  <c:v>152</c:v>
                </c:pt>
                <c:pt idx="330">
                  <c:v>169</c:v>
                </c:pt>
                <c:pt idx="331">
                  <c:v>177</c:v>
                </c:pt>
                <c:pt idx="332">
                  <c:v>165</c:v>
                </c:pt>
                <c:pt idx="333">
                  <c:v>146</c:v>
                </c:pt>
                <c:pt idx="334">
                  <c:v>151</c:v>
                </c:pt>
                <c:pt idx="335">
                  <c:v>165</c:v>
                </c:pt>
                <c:pt idx="336">
                  <c:v>173</c:v>
                </c:pt>
                <c:pt idx="337">
                  <c:v>163</c:v>
                </c:pt>
                <c:pt idx="338">
                  <c:v>169</c:v>
                </c:pt>
                <c:pt idx="339">
                  <c:v>154</c:v>
                </c:pt>
                <c:pt idx="340">
                  <c:v>155</c:v>
                </c:pt>
                <c:pt idx="341">
                  <c:v>166</c:v>
                </c:pt>
                <c:pt idx="342">
                  <c:v>160</c:v>
                </c:pt>
                <c:pt idx="343">
                  <c:v>195</c:v>
                </c:pt>
                <c:pt idx="344">
                  <c:v>187</c:v>
                </c:pt>
                <c:pt idx="345">
                  <c:v>151</c:v>
                </c:pt>
                <c:pt idx="346">
                  <c:v>139</c:v>
                </c:pt>
                <c:pt idx="347">
                  <c:v>169</c:v>
                </c:pt>
                <c:pt idx="348">
                  <c:v>182</c:v>
                </c:pt>
                <c:pt idx="349">
                  <c:v>150</c:v>
                </c:pt>
                <c:pt idx="350">
                  <c:v>171</c:v>
                </c:pt>
                <c:pt idx="351">
                  <c:v>172</c:v>
                </c:pt>
                <c:pt idx="352">
                  <c:v>185</c:v>
                </c:pt>
                <c:pt idx="353">
                  <c:v>172</c:v>
                </c:pt>
                <c:pt idx="354">
                  <c:v>163</c:v>
                </c:pt>
                <c:pt idx="355">
                  <c:v>168</c:v>
                </c:pt>
                <c:pt idx="356">
                  <c:v>176</c:v>
                </c:pt>
                <c:pt idx="357">
                  <c:v>172</c:v>
                </c:pt>
                <c:pt idx="358">
                  <c:v>170</c:v>
                </c:pt>
                <c:pt idx="359">
                  <c:v>134</c:v>
                </c:pt>
                <c:pt idx="360">
                  <c:v>179</c:v>
                </c:pt>
                <c:pt idx="361">
                  <c:v>159</c:v>
                </c:pt>
                <c:pt idx="362">
                  <c:v>163</c:v>
                </c:pt>
                <c:pt idx="363">
                  <c:v>187</c:v>
                </c:pt>
                <c:pt idx="364">
                  <c:v>168</c:v>
                </c:pt>
                <c:pt idx="365">
                  <c:v>170</c:v>
                </c:pt>
                <c:pt idx="366">
                  <c:v>181</c:v>
                </c:pt>
                <c:pt idx="367">
                  <c:v>189</c:v>
                </c:pt>
                <c:pt idx="368">
                  <c:v>170</c:v>
                </c:pt>
                <c:pt idx="369">
                  <c:v>181</c:v>
                </c:pt>
                <c:pt idx="370">
                  <c:v>180</c:v>
                </c:pt>
                <c:pt idx="371">
                  <c:v>174</c:v>
                </c:pt>
                <c:pt idx="372">
                  <c:v>176</c:v>
                </c:pt>
                <c:pt idx="373">
                  <c:v>171</c:v>
                </c:pt>
                <c:pt idx="374">
                  <c:v>194</c:v>
                </c:pt>
                <c:pt idx="375">
                  <c:v>169</c:v>
                </c:pt>
                <c:pt idx="376">
                  <c:v>174</c:v>
                </c:pt>
                <c:pt idx="377">
                  <c:v>169</c:v>
                </c:pt>
                <c:pt idx="378">
                  <c:v>169</c:v>
                </c:pt>
                <c:pt idx="379">
                  <c:v>163</c:v>
                </c:pt>
                <c:pt idx="380">
                  <c:v>159</c:v>
                </c:pt>
                <c:pt idx="381">
                  <c:v>159</c:v>
                </c:pt>
                <c:pt idx="382">
                  <c:v>162</c:v>
                </c:pt>
                <c:pt idx="383">
                  <c:v>164</c:v>
                </c:pt>
                <c:pt idx="384">
                  <c:v>169</c:v>
                </c:pt>
                <c:pt idx="385">
                  <c:v>159</c:v>
                </c:pt>
                <c:pt idx="386">
                  <c:v>159</c:v>
                </c:pt>
                <c:pt idx="387">
                  <c:v>175</c:v>
                </c:pt>
                <c:pt idx="388">
                  <c:v>149</c:v>
                </c:pt>
                <c:pt idx="389">
                  <c:v>154</c:v>
                </c:pt>
                <c:pt idx="390">
                  <c:v>166</c:v>
                </c:pt>
                <c:pt idx="391">
                  <c:v>146</c:v>
                </c:pt>
                <c:pt idx="392">
                  <c:v>150</c:v>
                </c:pt>
                <c:pt idx="393">
                  <c:v>167</c:v>
                </c:pt>
                <c:pt idx="394">
                  <c:v>153</c:v>
                </c:pt>
                <c:pt idx="395">
                  <c:v>170</c:v>
                </c:pt>
                <c:pt idx="396">
                  <c:v>141</c:v>
                </c:pt>
                <c:pt idx="397">
                  <c:v>139</c:v>
                </c:pt>
                <c:pt idx="398">
                  <c:v>201</c:v>
                </c:pt>
                <c:pt idx="399">
                  <c:v>166</c:v>
                </c:pt>
                <c:pt idx="400">
                  <c:v>177</c:v>
                </c:pt>
                <c:pt idx="401">
                  <c:v>184</c:v>
                </c:pt>
                <c:pt idx="402">
                  <c:v>186</c:v>
                </c:pt>
                <c:pt idx="403">
                  <c:v>166</c:v>
                </c:pt>
                <c:pt idx="404">
                  <c:v>171</c:v>
                </c:pt>
                <c:pt idx="405">
                  <c:v>170</c:v>
                </c:pt>
                <c:pt idx="406">
                  <c:v>165</c:v>
                </c:pt>
                <c:pt idx="407">
                  <c:v>151</c:v>
                </c:pt>
                <c:pt idx="408">
                  <c:v>176</c:v>
                </c:pt>
                <c:pt idx="409">
                  <c:v>198</c:v>
                </c:pt>
                <c:pt idx="410">
                  <c:v>180</c:v>
                </c:pt>
                <c:pt idx="411">
                  <c:v>161</c:v>
                </c:pt>
                <c:pt idx="412">
                  <c:v>188</c:v>
                </c:pt>
                <c:pt idx="413">
                  <c:v>166</c:v>
                </c:pt>
                <c:pt idx="414">
                  <c:v>164</c:v>
                </c:pt>
                <c:pt idx="415">
                  <c:v>156</c:v>
                </c:pt>
                <c:pt idx="416">
                  <c:v>171</c:v>
                </c:pt>
                <c:pt idx="417">
                  <c:v>179</c:v>
                </c:pt>
                <c:pt idx="418">
                  <c:v>174</c:v>
                </c:pt>
                <c:pt idx="419">
                  <c:v>187</c:v>
                </c:pt>
                <c:pt idx="420">
                  <c:v>189</c:v>
                </c:pt>
                <c:pt idx="421">
                  <c:v>152</c:v>
                </c:pt>
                <c:pt idx="422">
                  <c:v>191</c:v>
                </c:pt>
                <c:pt idx="423">
                  <c:v>195</c:v>
                </c:pt>
                <c:pt idx="424">
                  <c:v>190</c:v>
                </c:pt>
                <c:pt idx="425">
                  <c:v>213</c:v>
                </c:pt>
                <c:pt idx="426">
                  <c:v>202</c:v>
                </c:pt>
                <c:pt idx="427">
                  <c:v>175</c:v>
                </c:pt>
                <c:pt idx="428">
                  <c:v>160</c:v>
                </c:pt>
                <c:pt idx="429">
                  <c:v>171</c:v>
                </c:pt>
                <c:pt idx="430">
                  <c:v>171</c:v>
                </c:pt>
                <c:pt idx="431">
                  <c:v>170</c:v>
                </c:pt>
                <c:pt idx="432">
                  <c:v>182</c:v>
                </c:pt>
                <c:pt idx="433">
                  <c:v>163</c:v>
                </c:pt>
                <c:pt idx="434">
                  <c:v>151</c:v>
                </c:pt>
                <c:pt idx="435">
                  <c:v>162</c:v>
                </c:pt>
                <c:pt idx="436">
                  <c:v>167</c:v>
                </c:pt>
                <c:pt idx="437">
                  <c:v>172</c:v>
                </c:pt>
                <c:pt idx="438">
                  <c:v>156</c:v>
                </c:pt>
                <c:pt idx="439">
                  <c:v>171</c:v>
                </c:pt>
                <c:pt idx="440">
                  <c:v>149</c:v>
                </c:pt>
                <c:pt idx="441">
                  <c:v>174</c:v>
                </c:pt>
                <c:pt idx="442">
                  <c:v>150</c:v>
                </c:pt>
                <c:pt idx="443">
                  <c:v>155</c:v>
                </c:pt>
                <c:pt idx="444">
                  <c:v>146</c:v>
                </c:pt>
                <c:pt idx="445">
                  <c:v>159</c:v>
                </c:pt>
                <c:pt idx="446">
                  <c:v>170</c:v>
                </c:pt>
                <c:pt idx="447">
                  <c:v>188</c:v>
                </c:pt>
                <c:pt idx="448">
                  <c:v>153</c:v>
                </c:pt>
                <c:pt idx="449">
                  <c:v>162</c:v>
                </c:pt>
                <c:pt idx="450">
                  <c:v>152</c:v>
                </c:pt>
                <c:pt idx="451">
                  <c:v>168</c:v>
                </c:pt>
                <c:pt idx="452">
                  <c:v>177</c:v>
                </c:pt>
                <c:pt idx="453">
                  <c:v>159</c:v>
                </c:pt>
                <c:pt idx="454">
                  <c:v>172</c:v>
                </c:pt>
                <c:pt idx="455">
                  <c:v>166</c:v>
                </c:pt>
                <c:pt idx="456">
                  <c:v>171</c:v>
                </c:pt>
                <c:pt idx="457">
                  <c:v>162</c:v>
                </c:pt>
                <c:pt idx="458">
                  <c:v>149</c:v>
                </c:pt>
                <c:pt idx="459">
                  <c:v>134</c:v>
                </c:pt>
                <c:pt idx="460">
                  <c:v>149</c:v>
                </c:pt>
                <c:pt idx="461">
                  <c:v>169</c:v>
                </c:pt>
                <c:pt idx="462">
                  <c:v>186</c:v>
                </c:pt>
                <c:pt idx="463">
                  <c:v>164</c:v>
                </c:pt>
                <c:pt idx="464">
                  <c:v>181</c:v>
                </c:pt>
                <c:pt idx="465">
                  <c:v>198</c:v>
                </c:pt>
                <c:pt idx="466">
                  <c:v>161</c:v>
                </c:pt>
                <c:pt idx="467">
                  <c:v>177</c:v>
                </c:pt>
                <c:pt idx="468">
                  <c:v>154</c:v>
                </c:pt>
                <c:pt idx="469">
                  <c:v>156</c:v>
                </c:pt>
                <c:pt idx="470">
                  <c:v>171</c:v>
                </c:pt>
                <c:pt idx="471">
                  <c:v>177</c:v>
                </c:pt>
                <c:pt idx="472">
                  <c:v>172</c:v>
                </c:pt>
                <c:pt idx="473">
                  <c:v>170</c:v>
                </c:pt>
                <c:pt idx="474">
                  <c:v>162</c:v>
                </c:pt>
                <c:pt idx="475">
                  <c:v>175</c:v>
                </c:pt>
                <c:pt idx="476">
                  <c:v>159</c:v>
                </c:pt>
                <c:pt idx="477">
                  <c:v>184</c:v>
                </c:pt>
                <c:pt idx="478">
                  <c:v>178</c:v>
                </c:pt>
                <c:pt idx="479">
                  <c:v>147</c:v>
                </c:pt>
                <c:pt idx="480">
                  <c:v>180</c:v>
                </c:pt>
                <c:pt idx="481">
                  <c:v>182</c:v>
                </c:pt>
                <c:pt idx="482">
                  <c:v>175</c:v>
                </c:pt>
                <c:pt idx="483">
                  <c:v>143</c:v>
                </c:pt>
                <c:pt idx="484">
                  <c:v>172</c:v>
                </c:pt>
                <c:pt idx="485">
                  <c:v>151</c:v>
                </c:pt>
                <c:pt idx="486">
                  <c:v>146</c:v>
                </c:pt>
                <c:pt idx="487">
                  <c:v>197</c:v>
                </c:pt>
                <c:pt idx="488">
                  <c:v>164</c:v>
                </c:pt>
                <c:pt idx="489">
                  <c:v>180</c:v>
                </c:pt>
                <c:pt idx="490">
                  <c:v>158</c:v>
                </c:pt>
                <c:pt idx="491">
                  <c:v>154</c:v>
                </c:pt>
                <c:pt idx="492">
                  <c:v>177</c:v>
                </c:pt>
                <c:pt idx="493">
                  <c:v>179</c:v>
                </c:pt>
                <c:pt idx="494">
                  <c:v>161</c:v>
                </c:pt>
                <c:pt idx="495">
                  <c:v>177</c:v>
                </c:pt>
                <c:pt idx="496">
                  <c:v>166</c:v>
                </c:pt>
                <c:pt idx="497">
                  <c:v>163</c:v>
                </c:pt>
                <c:pt idx="498">
                  <c:v>138</c:v>
                </c:pt>
                <c:pt idx="499">
                  <c:v>147</c:v>
                </c:pt>
                <c:pt idx="500">
                  <c:v>154</c:v>
                </c:pt>
                <c:pt idx="501">
                  <c:v>148</c:v>
                </c:pt>
                <c:pt idx="502">
                  <c:v>167</c:v>
                </c:pt>
                <c:pt idx="503">
                  <c:v>137</c:v>
                </c:pt>
                <c:pt idx="504">
                  <c:v>141</c:v>
                </c:pt>
                <c:pt idx="505">
                  <c:v>164</c:v>
                </c:pt>
                <c:pt idx="506">
                  <c:v>174</c:v>
                </c:pt>
                <c:pt idx="507">
                  <c:v>163</c:v>
                </c:pt>
                <c:pt idx="508">
                  <c:v>166</c:v>
                </c:pt>
                <c:pt idx="509">
                  <c:v>176</c:v>
                </c:pt>
                <c:pt idx="510">
                  <c:v>174</c:v>
                </c:pt>
                <c:pt idx="511">
                  <c:v>160</c:v>
                </c:pt>
                <c:pt idx="512">
                  <c:v>152</c:v>
                </c:pt>
                <c:pt idx="513">
                  <c:v>130</c:v>
                </c:pt>
                <c:pt idx="514">
                  <c:v>155</c:v>
                </c:pt>
                <c:pt idx="515">
                  <c:v>156</c:v>
                </c:pt>
                <c:pt idx="516">
                  <c:v>171</c:v>
                </c:pt>
                <c:pt idx="517">
                  <c:v>138</c:v>
                </c:pt>
                <c:pt idx="518">
                  <c:v>163</c:v>
                </c:pt>
                <c:pt idx="519">
                  <c:v>175</c:v>
                </c:pt>
                <c:pt idx="520">
                  <c:v>147</c:v>
                </c:pt>
              </c:numCache>
            </c:numRef>
          </c:val>
          <c:smooth val="0"/>
          <c:extLst>
            <c:ext xmlns:c16="http://schemas.microsoft.com/office/drawing/2014/chart" uri="{C3380CC4-5D6E-409C-BE32-E72D297353CC}">
              <c16:uniqueId val="{00000000-2252-4A15-8A2C-1240D4F5B31F}"/>
            </c:ext>
          </c:extLst>
        </c:ser>
        <c:ser>
          <c:idx val="1"/>
          <c:order val="1"/>
          <c:tx>
            <c:strRef>
              <c:f>'pivot_Sterblichkeit_2010-2019'!$C$3:$C$5</c:f>
              <c:strCache>
                <c:ptCount val="1"/>
                <c:pt idx="0">
                  <c:v>Todesfalle - 65+</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'pivot_Sterblichkeit_2010-2019'!$C$6:$C$527</c:f>
              <c:numCache>
                <c:formatCode>General</c:formatCode>
                <c:ptCount val="521"/>
                <c:pt idx="0">
                  <c:v>1100</c:v>
                </c:pt>
                <c:pt idx="1">
                  <c:v>1071</c:v>
                </c:pt>
                <c:pt idx="2">
                  <c:v>1005</c:v>
                </c:pt>
                <c:pt idx="3">
                  <c:v>1039</c:v>
                </c:pt>
                <c:pt idx="4">
                  <c:v>1110</c:v>
                </c:pt>
                <c:pt idx="5">
                  <c:v>1057</c:v>
                </c:pt>
                <c:pt idx="6">
                  <c:v>1203</c:v>
                </c:pt>
                <c:pt idx="7">
                  <c:v>1131</c:v>
                </c:pt>
                <c:pt idx="8">
                  <c:v>1119</c:v>
                </c:pt>
                <c:pt idx="9">
                  <c:v>1131</c:v>
                </c:pt>
                <c:pt idx="10">
                  <c:v>1114</c:v>
                </c:pt>
                <c:pt idx="11">
                  <c:v>1048</c:v>
                </c:pt>
                <c:pt idx="12">
                  <c:v>1049</c:v>
                </c:pt>
                <c:pt idx="13">
                  <c:v>970</c:v>
                </c:pt>
                <c:pt idx="14">
                  <c:v>987</c:v>
                </c:pt>
                <c:pt idx="15">
                  <c:v>971</c:v>
                </c:pt>
                <c:pt idx="16">
                  <c:v>964</c:v>
                </c:pt>
                <c:pt idx="17">
                  <c:v>976</c:v>
                </c:pt>
                <c:pt idx="18">
                  <c:v>974</c:v>
                </c:pt>
                <c:pt idx="19">
                  <c:v>985</c:v>
                </c:pt>
                <c:pt idx="20">
                  <c:v>961</c:v>
                </c:pt>
                <c:pt idx="21">
                  <c:v>898</c:v>
                </c:pt>
                <c:pt idx="22">
                  <c:v>946</c:v>
                </c:pt>
                <c:pt idx="23">
                  <c:v>887</c:v>
                </c:pt>
                <c:pt idx="24">
                  <c:v>907</c:v>
                </c:pt>
                <c:pt idx="25">
                  <c:v>956</c:v>
                </c:pt>
                <c:pt idx="26">
                  <c:v>918</c:v>
                </c:pt>
                <c:pt idx="27">
                  <c:v>936</c:v>
                </c:pt>
                <c:pt idx="28">
                  <c:v>870</c:v>
                </c:pt>
                <c:pt idx="29">
                  <c:v>922</c:v>
                </c:pt>
                <c:pt idx="30">
                  <c:v>914</c:v>
                </c:pt>
                <c:pt idx="31">
                  <c:v>911</c:v>
                </c:pt>
                <c:pt idx="32">
                  <c:v>882</c:v>
                </c:pt>
                <c:pt idx="33">
                  <c:v>938</c:v>
                </c:pt>
                <c:pt idx="34">
                  <c:v>938</c:v>
                </c:pt>
                <c:pt idx="35">
                  <c:v>993</c:v>
                </c:pt>
                <c:pt idx="36">
                  <c:v>945</c:v>
                </c:pt>
                <c:pt idx="37">
                  <c:v>996</c:v>
                </c:pt>
                <c:pt idx="38">
                  <c:v>1035</c:v>
                </c:pt>
                <c:pt idx="39">
                  <c:v>1018</c:v>
                </c:pt>
                <c:pt idx="40">
                  <c:v>1060</c:v>
                </c:pt>
                <c:pt idx="41">
                  <c:v>976</c:v>
                </c:pt>
                <c:pt idx="42">
                  <c:v>1036</c:v>
                </c:pt>
                <c:pt idx="43">
                  <c:v>1059</c:v>
                </c:pt>
                <c:pt idx="44">
                  <c:v>1054</c:v>
                </c:pt>
                <c:pt idx="45">
                  <c:v>993</c:v>
                </c:pt>
                <c:pt idx="46">
                  <c:v>1017</c:v>
                </c:pt>
                <c:pt idx="47">
                  <c:v>1030</c:v>
                </c:pt>
                <c:pt idx="48">
                  <c:v>1085</c:v>
                </c:pt>
                <c:pt idx="49">
                  <c:v>1092</c:v>
                </c:pt>
                <c:pt idx="50">
                  <c:v>1060</c:v>
                </c:pt>
                <c:pt idx="51">
                  <c:v>1122</c:v>
                </c:pt>
                <c:pt idx="52">
                  <c:v>1155</c:v>
                </c:pt>
                <c:pt idx="53">
                  <c:v>1118</c:v>
                </c:pt>
                <c:pt idx="54">
                  <c:v>1033</c:v>
                </c:pt>
                <c:pt idx="55">
                  <c:v>1106</c:v>
                </c:pt>
                <c:pt idx="56">
                  <c:v>1049</c:v>
                </c:pt>
                <c:pt idx="57">
                  <c:v>1059</c:v>
                </c:pt>
                <c:pt idx="58">
                  <c:v>1094</c:v>
                </c:pt>
                <c:pt idx="59">
                  <c:v>1074</c:v>
                </c:pt>
                <c:pt idx="60">
                  <c:v>1050</c:v>
                </c:pt>
                <c:pt idx="61">
                  <c:v>1109</c:v>
                </c:pt>
                <c:pt idx="62">
                  <c:v>1065</c:v>
                </c:pt>
                <c:pt idx="63">
                  <c:v>1017</c:v>
                </c:pt>
                <c:pt idx="64">
                  <c:v>1084</c:v>
                </c:pt>
                <c:pt idx="65">
                  <c:v>1049</c:v>
                </c:pt>
                <c:pt idx="66">
                  <c:v>895</c:v>
                </c:pt>
                <c:pt idx="67">
                  <c:v>1027</c:v>
                </c:pt>
                <c:pt idx="68">
                  <c:v>992</c:v>
                </c:pt>
                <c:pt idx="69">
                  <c:v>1011</c:v>
                </c:pt>
                <c:pt idx="70">
                  <c:v>923</c:v>
                </c:pt>
                <c:pt idx="71">
                  <c:v>920</c:v>
                </c:pt>
                <c:pt idx="72">
                  <c:v>901</c:v>
                </c:pt>
                <c:pt idx="73">
                  <c:v>927</c:v>
                </c:pt>
                <c:pt idx="74">
                  <c:v>906</c:v>
                </c:pt>
                <c:pt idx="75">
                  <c:v>928</c:v>
                </c:pt>
                <c:pt idx="76">
                  <c:v>926</c:v>
                </c:pt>
                <c:pt idx="77">
                  <c:v>955</c:v>
                </c:pt>
                <c:pt idx="78">
                  <c:v>929</c:v>
                </c:pt>
                <c:pt idx="79">
                  <c:v>938</c:v>
                </c:pt>
                <c:pt idx="80">
                  <c:v>908</c:v>
                </c:pt>
                <c:pt idx="81">
                  <c:v>989</c:v>
                </c:pt>
                <c:pt idx="82">
                  <c:v>955</c:v>
                </c:pt>
                <c:pt idx="83">
                  <c:v>892</c:v>
                </c:pt>
                <c:pt idx="84">
                  <c:v>968</c:v>
                </c:pt>
                <c:pt idx="85">
                  <c:v>1024</c:v>
                </c:pt>
                <c:pt idx="86">
                  <c:v>933</c:v>
                </c:pt>
                <c:pt idx="87">
                  <c:v>930</c:v>
                </c:pt>
                <c:pt idx="88">
                  <c:v>924</c:v>
                </c:pt>
                <c:pt idx="89">
                  <c:v>931</c:v>
                </c:pt>
                <c:pt idx="90">
                  <c:v>953</c:v>
                </c:pt>
                <c:pt idx="91">
                  <c:v>970</c:v>
                </c:pt>
                <c:pt idx="92">
                  <c:v>1005</c:v>
                </c:pt>
                <c:pt idx="93">
                  <c:v>939</c:v>
                </c:pt>
                <c:pt idx="94">
                  <c:v>1060</c:v>
                </c:pt>
                <c:pt idx="95">
                  <c:v>1030</c:v>
                </c:pt>
                <c:pt idx="96">
                  <c:v>991</c:v>
                </c:pt>
                <c:pt idx="97">
                  <c:v>1004</c:v>
                </c:pt>
                <c:pt idx="98">
                  <c:v>1048</c:v>
                </c:pt>
                <c:pt idx="99">
                  <c:v>1087</c:v>
                </c:pt>
                <c:pt idx="100">
                  <c:v>1057</c:v>
                </c:pt>
                <c:pt idx="101">
                  <c:v>1090</c:v>
                </c:pt>
                <c:pt idx="102">
                  <c:v>1084</c:v>
                </c:pt>
                <c:pt idx="103">
                  <c:v>1065</c:v>
                </c:pt>
                <c:pt idx="104">
                  <c:v>1174</c:v>
                </c:pt>
                <c:pt idx="105">
                  <c:v>1153</c:v>
                </c:pt>
                <c:pt idx="106">
                  <c:v>1181</c:v>
                </c:pt>
                <c:pt idx="107">
                  <c:v>1148</c:v>
                </c:pt>
                <c:pt idx="108">
                  <c:v>1137</c:v>
                </c:pt>
                <c:pt idx="109">
                  <c:v>1197</c:v>
                </c:pt>
                <c:pt idx="110">
                  <c:v>1218</c:v>
                </c:pt>
                <c:pt idx="111">
                  <c:v>1216</c:v>
                </c:pt>
                <c:pt idx="112">
                  <c:v>1209</c:v>
                </c:pt>
                <c:pt idx="113">
                  <c:v>1146</c:v>
                </c:pt>
                <c:pt idx="114">
                  <c:v>1182</c:v>
                </c:pt>
                <c:pt idx="115">
                  <c:v>1048</c:v>
                </c:pt>
                <c:pt idx="116">
                  <c:v>1121</c:v>
                </c:pt>
                <c:pt idx="117">
                  <c:v>1082</c:v>
                </c:pt>
                <c:pt idx="118">
                  <c:v>1092</c:v>
                </c:pt>
                <c:pt idx="119">
                  <c:v>1018</c:v>
                </c:pt>
                <c:pt idx="120">
                  <c:v>1088</c:v>
                </c:pt>
                <c:pt idx="121">
                  <c:v>987</c:v>
                </c:pt>
                <c:pt idx="122">
                  <c:v>979</c:v>
                </c:pt>
                <c:pt idx="123">
                  <c:v>941</c:v>
                </c:pt>
                <c:pt idx="124">
                  <c:v>921</c:v>
                </c:pt>
                <c:pt idx="125">
                  <c:v>951</c:v>
                </c:pt>
                <c:pt idx="126">
                  <c:v>873</c:v>
                </c:pt>
                <c:pt idx="127">
                  <c:v>985</c:v>
                </c:pt>
                <c:pt idx="128">
                  <c:v>956</c:v>
                </c:pt>
                <c:pt idx="129">
                  <c:v>945</c:v>
                </c:pt>
                <c:pt idx="130">
                  <c:v>903</c:v>
                </c:pt>
                <c:pt idx="131">
                  <c:v>925</c:v>
                </c:pt>
                <c:pt idx="132">
                  <c:v>933</c:v>
                </c:pt>
                <c:pt idx="133">
                  <c:v>957</c:v>
                </c:pt>
                <c:pt idx="134">
                  <c:v>945</c:v>
                </c:pt>
                <c:pt idx="135">
                  <c:v>858</c:v>
                </c:pt>
                <c:pt idx="136">
                  <c:v>949</c:v>
                </c:pt>
                <c:pt idx="137">
                  <c:v>979</c:v>
                </c:pt>
                <c:pt idx="138">
                  <c:v>914</c:v>
                </c:pt>
                <c:pt idx="139">
                  <c:v>955</c:v>
                </c:pt>
                <c:pt idx="140">
                  <c:v>970</c:v>
                </c:pt>
                <c:pt idx="141">
                  <c:v>993</c:v>
                </c:pt>
                <c:pt idx="142">
                  <c:v>979</c:v>
                </c:pt>
                <c:pt idx="143">
                  <c:v>1057</c:v>
                </c:pt>
                <c:pt idx="144">
                  <c:v>1018</c:v>
                </c:pt>
                <c:pt idx="145">
                  <c:v>993</c:v>
                </c:pt>
                <c:pt idx="146">
                  <c:v>1064</c:v>
                </c:pt>
                <c:pt idx="147">
                  <c:v>986</c:v>
                </c:pt>
                <c:pt idx="148">
                  <c:v>994</c:v>
                </c:pt>
                <c:pt idx="149">
                  <c:v>1024</c:v>
                </c:pt>
                <c:pt idx="150">
                  <c:v>1073</c:v>
                </c:pt>
                <c:pt idx="151">
                  <c:v>1067</c:v>
                </c:pt>
                <c:pt idx="152">
                  <c:v>1095</c:v>
                </c:pt>
                <c:pt idx="153">
                  <c:v>1103</c:v>
                </c:pt>
                <c:pt idx="154">
                  <c:v>1094</c:v>
                </c:pt>
                <c:pt idx="155">
                  <c:v>1140</c:v>
                </c:pt>
                <c:pt idx="156">
                  <c:v>1093</c:v>
                </c:pt>
                <c:pt idx="157">
                  <c:v>1238</c:v>
                </c:pt>
                <c:pt idx="158">
                  <c:v>1191</c:v>
                </c:pt>
                <c:pt idx="159">
                  <c:v>1212</c:v>
                </c:pt>
                <c:pt idx="160">
                  <c:v>1223</c:v>
                </c:pt>
                <c:pt idx="161">
                  <c:v>1256</c:v>
                </c:pt>
                <c:pt idx="162">
                  <c:v>1264</c:v>
                </c:pt>
                <c:pt idx="163">
                  <c:v>1230</c:v>
                </c:pt>
                <c:pt idx="164">
                  <c:v>1255</c:v>
                </c:pt>
                <c:pt idx="165">
                  <c:v>1305</c:v>
                </c:pt>
                <c:pt idx="166">
                  <c:v>1227</c:v>
                </c:pt>
                <c:pt idx="167">
                  <c:v>1146</c:v>
                </c:pt>
                <c:pt idx="168">
                  <c:v>1170</c:v>
                </c:pt>
                <c:pt idx="169">
                  <c:v>1132</c:v>
                </c:pt>
                <c:pt idx="170">
                  <c:v>1107</c:v>
                </c:pt>
                <c:pt idx="171">
                  <c:v>1043</c:v>
                </c:pt>
                <c:pt idx="172">
                  <c:v>1054</c:v>
                </c:pt>
                <c:pt idx="173">
                  <c:v>968</c:v>
                </c:pt>
                <c:pt idx="174">
                  <c:v>935</c:v>
                </c:pt>
                <c:pt idx="175">
                  <c:v>981</c:v>
                </c:pt>
                <c:pt idx="176">
                  <c:v>937</c:v>
                </c:pt>
                <c:pt idx="177">
                  <c:v>935</c:v>
                </c:pt>
                <c:pt idx="178">
                  <c:v>986</c:v>
                </c:pt>
                <c:pt idx="179">
                  <c:v>992</c:v>
                </c:pt>
                <c:pt idx="180">
                  <c:v>1002</c:v>
                </c:pt>
                <c:pt idx="181">
                  <c:v>909</c:v>
                </c:pt>
                <c:pt idx="182">
                  <c:v>991</c:v>
                </c:pt>
                <c:pt idx="183">
                  <c:v>924</c:v>
                </c:pt>
                <c:pt idx="184">
                  <c:v>1012</c:v>
                </c:pt>
                <c:pt idx="185">
                  <c:v>1020</c:v>
                </c:pt>
                <c:pt idx="186">
                  <c:v>967</c:v>
                </c:pt>
                <c:pt idx="187">
                  <c:v>910</c:v>
                </c:pt>
                <c:pt idx="188">
                  <c:v>993</c:v>
                </c:pt>
                <c:pt idx="189">
                  <c:v>948</c:v>
                </c:pt>
                <c:pt idx="190">
                  <c:v>975</c:v>
                </c:pt>
                <c:pt idx="191">
                  <c:v>996</c:v>
                </c:pt>
                <c:pt idx="192">
                  <c:v>942</c:v>
                </c:pt>
                <c:pt idx="193">
                  <c:v>992</c:v>
                </c:pt>
                <c:pt idx="194">
                  <c:v>989</c:v>
                </c:pt>
                <c:pt idx="195">
                  <c:v>920</c:v>
                </c:pt>
                <c:pt idx="196">
                  <c:v>980</c:v>
                </c:pt>
                <c:pt idx="197">
                  <c:v>984</c:v>
                </c:pt>
                <c:pt idx="198">
                  <c:v>1024</c:v>
                </c:pt>
                <c:pt idx="199">
                  <c:v>1030</c:v>
                </c:pt>
                <c:pt idx="200">
                  <c:v>1035</c:v>
                </c:pt>
                <c:pt idx="201">
                  <c:v>1007</c:v>
                </c:pt>
                <c:pt idx="202">
                  <c:v>1061</c:v>
                </c:pt>
                <c:pt idx="203">
                  <c:v>1049</c:v>
                </c:pt>
                <c:pt idx="204">
                  <c:v>1128</c:v>
                </c:pt>
                <c:pt idx="205">
                  <c:v>1076</c:v>
                </c:pt>
                <c:pt idx="206">
                  <c:v>1031</c:v>
                </c:pt>
                <c:pt idx="207">
                  <c:v>1106</c:v>
                </c:pt>
                <c:pt idx="208">
                  <c:v>1143</c:v>
                </c:pt>
                <c:pt idx="209">
                  <c:v>1126</c:v>
                </c:pt>
                <c:pt idx="210">
                  <c:v>1097</c:v>
                </c:pt>
                <c:pt idx="211">
                  <c:v>1131</c:v>
                </c:pt>
                <c:pt idx="212">
                  <c:v>1164</c:v>
                </c:pt>
                <c:pt idx="213">
                  <c:v>1108</c:v>
                </c:pt>
                <c:pt idx="214">
                  <c:v>1095</c:v>
                </c:pt>
                <c:pt idx="215">
                  <c:v>1158</c:v>
                </c:pt>
                <c:pt idx="216">
                  <c:v>1160</c:v>
                </c:pt>
                <c:pt idx="217">
                  <c:v>1151</c:v>
                </c:pt>
                <c:pt idx="218">
                  <c:v>1114</c:v>
                </c:pt>
                <c:pt idx="219">
                  <c:v>1114</c:v>
                </c:pt>
                <c:pt idx="220">
                  <c:v>1026</c:v>
                </c:pt>
                <c:pt idx="221">
                  <c:v>1036</c:v>
                </c:pt>
                <c:pt idx="222">
                  <c:v>1035</c:v>
                </c:pt>
                <c:pt idx="223">
                  <c:v>1020</c:v>
                </c:pt>
                <c:pt idx="224">
                  <c:v>980</c:v>
                </c:pt>
                <c:pt idx="225">
                  <c:v>1047</c:v>
                </c:pt>
                <c:pt idx="226">
                  <c:v>1001</c:v>
                </c:pt>
                <c:pt idx="227">
                  <c:v>970</c:v>
                </c:pt>
                <c:pt idx="228">
                  <c:v>983</c:v>
                </c:pt>
                <c:pt idx="229">
                  <c:v>948</c:v>
                </c:pt>
                <c:pt idx="230">
                  <c:v>934</c:v>
                </c:pt>
                <c:pt idx="231">
                  <c:v>1057</c:v>
                </c:pt>
                <c:pt idx="232">
                  <c:v>921</c:v>
                </c:pt>
                <c:pt idx="233">
                  <c:v>916</c:v>
                </c:pt>
                <c:pt idx="234">
                  <c:v>993</c:v>
                </c:pt>
                <c:pt idx="235">
                  <c:v>927</c:v>
                </c:pt>
                <c:pt idx="236">
                  <c:v>1014</c:v>
                </c:pt>
                <c:pt idx="237">
                  <c:v>971</c:v>
                </c:pt>
                <c:pt idx="238">
                  <c:v>1002</c:v>
                </c:pt>
                <c:pt idx="239">
                  <c:v>900</c:v>
                </c:pt>
                <c:pt idx="240">
                  <c:v>965</c:v>
                </c:pt>
                <c:pt idx="241">
                  <c:v>943</c:v>
                </c:pt>
                <c:pt idx="242">
                  <c:v>1014</c:v>
                </c:pt>
                <c:pt idx="243">
                  <c:v>963</c:v>
                </c:pt>
                <c:pt idx="244">
                  <c:v>991</c:v>
                </c:pt>
                <c:pt idx="245">
                  <c:v>958</c:v>
                </c:pt>
                <c:pt idx="246">
                  <c:v>966</c:v>
                </c:pt>
                <c:pt idx="247">
                  <c:v>1022</c:v>
                </c:pt>
                <c:pt idx="248">
                  <c:v>1020</c:v>
                </c:pt>
                <c:pt idx="249">
                  <c:v>1020</c:v>
                </c:pt>
                <c:pt idx="250">
                  <c:v>1086</c:v>
                </c:pt>
                <c:pt idx="251">
                  <c:v>1036</c:v>
                </c:pt>
                <c:pt idx="252">
                  <c:v>1085</c:v>
                </c:pt>
                <c:pt idx="253">
                  <c:v>1092</c:v>
                </c:pt>
                <c:pt idx="254">
                  <c:v>1112</c:v>
                </c:pt>
                <c:pt idx="255">
                  <c:v>1125</c:v>
                </c:pt>
                <c:pt idx="256">
                  <c:v>1100</c:v>
                </c:pt>
                <c:pt idx="257">
                  <c:v>1080</c:v>
                </c:pt>
                <c:pt idx="258">
                  <c:v>1160</c:v>
                </c:pt>
                <c:pt idx="259">
                  <c:v>1155</c:v>
                </c:pt>
                <c:pt idx="260">
                  <c:v>1210</c:v>
                </c:pt>
                <c:pt idx="261">
                  <c:v>1293</c:v>
                </c:pt>
                <c:pt idx="262">
                  <c:v>1313</c:v>
                </c:pt>
                <c:pt idx="263">
                  <c:v>1299</c:v>
                </c:pt>
                <c:pt idx="264">
                  <c:v>1378</c:v>
                </c:pt>
                <c:pt idx="265">
                  <c:v>1468</c:v>
                </c:pt>
                <c:pt idx="266">
                  <c:v>1572</c:v>
                </c:pt>
                <c:pt idx="267">
                  <c:v>1548</c:v>
                </c:pt>
                <c:pt idx="268">
                  <c:v>1527</c:v>
                </c:pt>
                <c:pt idx="269">
                  <c:v>1359</c:v>
                </c:pt>
                <c:pt idx="270">
                  <c:v>1359</c:v>
                </c:pt>
                <c:pt idx="271">
                  <c:v>1237</c:v>
                </c:pt>
                <c:pt idx="272">
                  <c:v>1112</c:v>
                </c:pt>
                <c:pt idx="273">
                  <c:v>1104</c:v>
                </c:pt>
                <c:pt idx="274">
                  <c:v>1059</c:v>
                </c:pt>
                <c:pt idx="275">
                  <c:v>1106</c:v>
                </c:pt>
                <c:pt idx="276">
                  <c:v>1043</c:v>
                </c:pt>
                <c:pt idx="277">
                  <c:v>1105</c:v>
                </c:pt>
                <c:pt idx="278">
                  <c:v>970</c:v>
                </c:pt>
                <c:pt idx="279">
                  <c:v>957</c:v>
                </c:pt>
                <c:pt idx="280">
                  <c:v>950</c:v>
                </c:pt>
                <c:pt idx="281">
                  <c:v>921</c:v>
                </c:pt>
                <c:pt idx="282">
                  <c:v>994</c:v>
                </c:pt>
                <c:pt idx="283">
                  <c:v>982</c:v>
                </c:pt>
                <c:pt idx="284">
                  <c:v>923</c:v>
                </c:pt>
                <c:pt idx="285">
                  <c:v>983</c:v>
                </c:pt>
                <c:pt idx="286">
                  <c:v>1098</c:v>
                </c:pt>
                <c:pt idx="287">
                  <c:v>1157</c:v>
                </c:pt>
                <c:pt idx="288">
                  <c:v>1077</c:v>
                </c:pt>
                <c:pt idx="289">
                  <c:v>994</c:v>
                </c:pt>
                <c:pt idx="290">
                  <c:v>957</c:v>
                </c:pt>
                <c:pt idx="291">
                  <c:v>1018</c:v>
                </c:pt>
                <c:pt idx="292">
                  <c:v>1015</c:v>
                </c:pt>
                <c:pt idx="293">
                  <c:v>967</c:v>
                </c:pt>
                <c:pt idx="294">
                  <c:v>990</c:v>
                </c:pt>
                <c:pt idx="295">
                  <c:v>980</c:v>
                </c:pt>
                <c:pt idx="296">
                  <c:v>991</c:v>
                </c:pt>
                <c:pt idx="297">
                  <c:v>952</c:v>
                </c:pt>
                <c:pt idx="298">
                  <c:v>1027</c:v>
                </c:pt>
                <c:pt idx="299">
                  <c:v>1031</c:v>
                </c:pt>
                <c:pt idx="300">
                  <c:v>999</c:v>
                </c:pt>
                <c:pt idx="301">
                  <c:v>1039</c:v>
                </c:pt>
                <c:pt idx="302">
                  <c:v>1026</c:v>
                </c:pt>
                <c:pt idx="303">
                  <c:v>1093</c:v>
                </c:pt>
                <c:pt idx="304">
                  <c:v>994</c:v>
                </c:pt>
                <c:pt idx="305">
                  <c:v>1007</c:v>
                </c:pt>
                <c:pt idx="306">
                  <c:v>1066</c:v>
                </c:pt>
                <c:pt idx="307">
                  <c:v>1084</c:v>
                </c:pt>
                <c:pt idx="308">
                  <c:v>1111</c:v>
                </c:pt>
                <c:pt idx="309">
                  <c:v>1034</c:v>
                </c:pt>
                <c:pt idx="310">
                  <c:v>1022</c:v>
                </c:pt>
                <c:pt idx="311">
                  <c:v>1099</c:v>
                </c:pt>
                <c:pt idx="312">
                  <c:v>1126</c:v>
                </c:pt>
                <c:pt idx="313">
                  <c:v>1146</c:v>
                </c:pt>
                <c:pt idx="314">
                  <c:v>1090</c:v>
                </c:pt>
                <c:pt idx="315">
                  <c:v>1134</c:v>
                </c:pt>
                <c:pt idx="316">
                  <c:v>1151</c:v>
                </c:pt>
                <c:pt idx="317">
                  <c:v>1138</c:v>
                </c:pt>
                <c:pt idx="318">
                  <c:v>1145</c:v>
                </c:pt>
                <c:pt idx="319">
                  <c:v>1124</c:v>
                </c:pt>
                <c:pt idx="320">
                  <c:v>1181</c:v>
                </c:pt>
                <c:pt idx="321">
                  <c:v>1137</c:v>
                </c:pt>
                <c:pt idx="322">
                  <c:v>1151</c:v>
                </c:pt>
                <c:pt idx="323">
                  <c:v>1102</c:v>
                </c:pt>
                <c:pt idx="324">
                  <c:v>1100</c:v>
                </c:pt>
                <c:pt idx="325">
                  <c:v>1093</c:v>
                </c:pt>
                <c:pt idx="326">
                  <c:v>1091</c:v>
                </c:pt>
                <c:pt idx="327">
                  <c:v>1059</c:v>
                </c:pt>
                <c:pt idx="328">
                  <c:v>962</c:v>
                </c:pt>
                <c:pt idx="329">
                  <c:v>1013</c:v>
                </c:pt>
                <c:pt idx="330">
                  <c:v>987</c:v>
                </c:pt>
                <c:pt idx="331">
                  <c:v>964</c:v>
                </c:pt>
                <c:pt idx="332">
                  <c:v>1003</c:v>
                </c:pt>
                <c:pt idx="333">
                  <c:v>1071</c:v>
                </c:pt>
                <c:pt idx="334">
                  <c:v>989</c:v>
                </c:pt>
                <c:pt idx="335">
                  <c:v>928</c:v>
                </c:pt>
                <c:pt idx="336">
                  <c:v>929</c:v>
                </c:pt>
                <c:pt idx="337">
                  <c:v>1057</c:v>
                </c:pt>
                <c:pt idx="338">
                  <c:v>990</c:v>
                </c:pt>
                <c:pt idx="339">
                  <c:v>928</c:v>
                </c:pt>
                <c:pt idx="340">
                  <c:v>985</c:v>
                </c:pt>
                <c:pt idx="341">
                  <c:v>1053</c:v>
                </c:pt>
                <c:pt idx="342">
                  <c:v>999</c:v>
                </c:pt>
                <c:pt idx="343">
                  <c:v>902</c:v>
                </c:pt>
                <c:pt idx="344">
                  <c:v>959</c:v>
                </c:pt>
                <c:pt idx="345">
                  <c:v>1006</c:v>
                </c:pt>
                <c:pt idx="346">
                  <c:v>979</c:v>
                </c:pt>
                <c:pt idx="347">
                  <c:v>958</c:v>
                </c:pt>
                <c:pt idx="348">
                  <c:v>987</c:v>
                </c:pt>
                <c:pt idx="349">
                  <c:v>943</c:v>
                </c:pt>
                <c:pt idx="350">
                  <c:v>998</c:v>
                </c:pt>
                <c:pt idx="351">
                  <c:v>1024</c:v>
                </c:pt>
                <c:pt idx="352">
                  <c:v>1082</c:v>
                </c:pt>
                <c:pt idx="353">
                  <c:v>1085</c:v>
                </c:pt>
                <c:pt idx="354">
                  <c:v>1109</c:v>
                </c:pt>
                <c:pt idx="355">
                  <c:v>1054</c:v>
                </c:pt>
                <c:pt idx="356">
                  <c:v>1124</c:v>
                </c:pt>
                <c:pt idx="357">
                  <c:v>1108</c:v>
                </c:pt>
                <c:pt idx="358">
                  <c:v>1176</c:v>
                </c:pt>
                <c:pt idx="359">
                  <c:v>1050</c:v>
                </c:pt>
                <c:pt idx="360">
                  <c:v>1144</c:v>
                </c:pt>
                <c:pt idx="361">
                  <c:v>1125</c:v>
                </c:pt>
                <c:pt idx="362">
                  <c:v>1129</c:v>
                </c:pt>
                <c:pt idx="363">
                  <c:v>1247</c:v>
                </c:pt>
                <c:pt idx="364">
                  <c:v>1404</c:v>
                </c:pt>
                <c:pt idx="365">
                  <c:v>1499</c:v>
                </c:pt>
                <c:pt idx="366">
                  <c:v>1537</c:v>
                </c:pt>
                <c:pt idx="367">
                  <c:v>1549</c:v>
                </c:pt>
                <c:pt idx="368">
                  <c:v>1472</c:v>
                </c:pt>
                <c:pt idx="369">
                  <c:v>1377</c:v>
                </c:pt>
                <c:pt idx="370">
                  <c:v>1405</c:v>
                </c:pt>
                <c:pt idx="371">
                  <c:v>1222</c:v>
                </c:pt>
                <c:pt idx="372">
                  <c:v>1199</c:v>
                </c:pt>
                <c:pt idx="373">
                  <c:v>1204</c:v>
                </c:pt>
                <c:pt idx="374">
                  <c:v>1136</c:v>
                </c:pt>
                <c:pt idx="375">
                  <c:v>1070</c:v>
                </c:pt>
                <c:pt idx="376">
                  <c:v>1061</c:v>
                </c:pt>
                <c:pt idx="377">
                  <c:v>1002</c:v>
                </c:pt>
                <c:pt idx="378">
                  <c:v>1055</c:v>
                </c:pt>
                <c:pt idx="379">
                  <c:v>1022</c:v>
                </c:pt>
                <c:pt idx="380">
                  <c:v>1005</c:v>
                </c:pt>
                <c:pt idx="381">
                  <c:v>1052</c:v>
                </c:pt>
                <c:pt idx="382">
                  <c:v>1035</c:v>
                </c:pt>
                <c:pt idx="383">
                  <c:v>1023</c:v>
                </c:pt>
                <c:pt idx="384">
                  <c:v>1029</c:v>
                </c:pt>
                <c:pt idx="385">
                  <c:v>1012</c:v>
                </c:pt>
                <c:pt idx="386">
                  <c:v>951</c:v>
                </c:pt>
                <c:pt idx="387">
                  <c:v>920</c:v>
                </c:pt>
                <c:pt idx="388">
                  <c:v>960</c:v>
                </c:pt>
                <c:pt idx="389">
                  <c:v>1028</c:v>
                </c:pt>
                <c:pt idx="390">
                  <c:v>991</c:v>
                </c:pt>
                <c:pt idx="391">
                  <c:v>993</c:v>
                </c:pt>
                <c:pt idx="392">
                  <c:v>922</c:v>
                </c:pt>
                <c:pt idx="393">
                  <c:v>968</c:v>
                </c:pt>
                <c:pt idx="394">
                  <c:v>947</c:v>
                </c:pt>
                <c:pt idx="395">
                  <c:v>1011</c:v>
                </c:pt>
                <c:pt idx="396">
                  <c:v>944</c:v>
                </c:pt>
                <c:pt idx="397">
                  <c:v>972</c:v>
                </c:pt>
                <c:pt idx="398">
                  <c:v>990</c:v>
                </c:pt>
                <c:pt idx="399">
                  <c:v>984</c:v>
                </c:pt>
                <c:pt idx="400">
                  <c:v>960</c:v>
                </c:pt>
                <c:pt idx="401">
                  <c:v>989</c:v>
                </c:pt>
                <c:pt idx="402">
                  <c:v>1072</c:v>
                </c:pt>
                <c:pt idx="403">
                  <c:v>1059</c:v>
                </c:pt>
                <c:pt idx="404">
                  <c:v>1104</c:v>
                </c:pt>
                <c:pt idx="405">
                  <c:v>1087</c:v>
                </c:pt>
                <c:pt idx="406">
                  <c:v>1023</c:v>
                </c:pt>
                <c:pt idx="407">
                  <c:v>1050</c:v>
                </c:pt>
                <c:pt idx="408">
                  <c:v>967</c:v>
                </c:pt>
                <c:pt idx="409">
                  <c:v>1100</c:v>
                </c:pt>
                <c:pt idx="410">
                  <c:v>1055</c:v>
                </c:pt>
                <c:pt idx="411">
                  <c:v>1139</c:v>
                </c:pt>
                <c:pt idx="412">
                  <c:v>1177</c:v>
                </c:pt>
                <c:pt idx="413">
                  <c:v>1196</c:v>
                </c:pt>
                <c:pt idx="414">
                  <c:v>1165</c:v>
                </c:pt>
                <c:pt idx="415">
                  <c:v>1270</c:v>
                </c:pt>
                <c:pt idx="416">
                  <c:v>1159</c:v>
                </c:pt>
                <c:pt idx="417">
                  <c:v>1355</c:v>
                </c:pt>
                <c:pt idx="418">
                  <c:v>1352</c:v>
                </c:pt>
                <c:pt idx="419">
                  <c:v>1300</c:v>
                </c:pt>
                <c:pt idx="420">
                  <c:v>1189</c:v>
                </c:pt>
                <c:pt idx="421">
                  <c:v>1231</c:v>
                </c:pt>
                <c:pt idx="422">
                  <c:v>1241</c:v>
                </c:pt>
                <c:pt idx="423">
                  <c:v>1254</c:v>
                </c:pt>
                <c:pt idx="424">
                  <c:v>1275</c:v>
                </c:pt>
                <c:pt idx="425">
                  <c:v>1412</c:v>
                </c:pt>
                <c:pt idx="426">
                  <c:v>1322</c:v>
                </c:pt>
                <c:pt idx="427">
                  <c:v>1302</c:v>
                </c:pt>
                <c:pt idx="428">
                  <c:v>1211</c:v>
                </c:pt>
                <c:pt idx="429">
                  <c:v>1168</c:v>
                </c:pt>
                <c:pt idx="430">
                  <c:v>1163</c:v>
                </c:pt>
                <c:pt idx="431">
                  <c:v>1118</c:v>
                </c:pt>
                <c:pt idx="432">
                  <c:v>1033</c:v>
                </c:pt>
                <c:pt idx="433">
                  <c:v>967</c:v>
                </c:pt>
                <c:pt idx="434">
                  <c:v>1064</c:v>
                </c:pt>
                <c:pt idx="435">
                  <c:v>1022</c:v>
                </c:pt>
                <c:pt idx="436">
                  <c:v>932</c:v>
                </c:pt>
                <c:pt idx="437">
                  <c:v>1044</c:v>
                </c:pt>
                <c:pt idx="438">
                  <c:v>989</c:v>
                </c:pt>
                <c:pt idx="439">
                  <c:v>984</c:v>
                </c:pt>
                <c:pt idx="440">
                  <c:v>962</c:v>
                </c:pt>
                <c:pt idx="441">
                  <c:v>938</c:v>
                </c:pt>
                <c:pt idx="442">
                  <c:v>1018</c:v>
                </c:pt>
                <c:pt idx="443">
                  <c:v>973</c:v>
                </c:pt>
                <c:pt idx="444">
                  <c:v>918</c:v>
                </c:pt>
                <c:pt idx="445">
                  <c:v>1045</c:v>
                </c:pt>
                <c:pt idx="446">
                  <c:v>1029</c:v>
                </c:pt>
                <c:pt idx="447">
                  <c:v>1056</c:v>
                </c:pt>
                <c:pt idx="448">
                  <c:v>1053</c:v>
                </c:pt>
                <c:pt idx="449">
                  <c:v>1006</c:v>
                </c:pt>
                <c:pt idx="450">
                  <c:v>985</c:v>
                </c:pt>
                <c:pt idx="451">
                  <c:v>1024</c:v>
                </c:pt>
                <c:pt idx="452">
                  <c:v>986</c:v>
                </c:pt>
                <c:pt idx="453">
                  <c:v>1052</c:v>
                </c:pt>
                <c:pt idx="454">
                  <c:v>989</c:v>
                </c:pt>
                <c:pt idx="455">
                  <c:v>1021</c:v>
                </c:pt>
                <c:pt idx="456">
                  <c:v>1042</c:v>
                </c:pt>
                <c:pt idx="457">
                  <c:v>1046</c:v>
                </c:pt>
                <c:pt idx="458">
                  <c:v>1050</c:v>
                </c:pt>
                <c:pt idx="459">
                  <c:v>1083</c:v>
                </c:pt>
                <c:pt idx="460">
                  <c:v>1106</c:v>
                </c:pt>
                <c:pt idx="461">
                  <c:v>1084</c:v>
                </c:pt>
                <c:pt idx="462">
                  <c:v>1037</c:v>
                </c:pt>
                <c:pt idx="463">
                  <c:v>1103</c:v>
                </c:pt>
                <c:pt idx="464">
                  <c:v>1125</c:v>
                </c:pt>
                <c:pt idx="465">
                  <c:v>1172</c:v>
                </c:pt>
                <c:pt idx="466">
                  <c:v>1166</c:v>
                </c:pt>
                <c:pt idx="467">
                  <c:v>1122</c:v>
                </c:pt>
                <c:pt idx="468">
                  <c:v>1152</c:v>
                </c:pt>
                <c:pt idx="469">
                  <c:v>1174</c:v>
                </c:pt>
                <c:pt idx="470">
                  <c:v>1199</c:v>
                </c:pt>
                <c:pt idx="471">
                  <c:v>1170</c:v>
                </c:pt>
                <c:pt idx="472">
                  <c:v>1219</c:v>
                </c:pt>
                <c:pt idx="473">
                  <c:v>1255</c:v>
                </c:pt>
                <c:pt idx="474">
                  <c:v>1308</c:v>
                </c:pt>
                <c:pt idx="475">
                  <c:v>1373</c:v>
                </c:pt>
                <c:pt idx="476">
                  <c:v>1354</c:v>
                </c:pt>
                <c:pt idx="477">
                  <c:v>1334</c:v>
                </c:pt>
                <c:pt idx="478">
                  <c:v>1269</c:v>
                </c:pt>
                <c:pt idx="479">
                  <c:v>1223</c:v>
                </c:pt>
                <c:pt idx="480">
                  <c:v>1159</c:v>
                </c:pt>
                <c:pt idx="481">
                  <c:v>1124</c:v>
                </c:pt>
                <c:pt idx="482">
                  <c:v>1199</c:v>
                </c:pt>
                <c:pt idx="483">
                  <c:v>1070</c:v>
                </c:pt>
                <c:pt idx="484">
                  <c:v>1121</c:v>
                </c:pt>
                <c:pt idx="485">
                  <c:v>1076</c:v>
                </c:pt>
                <c:pt idx="486">
                  <c:v>1103</c:v>
                </c:pt>
                <c:pt idx="487">
                  <c:v>1060</c:v>
                </c:pt>
                <c:pt idx="488">
                  <c:v>1038</c:v>
                </c:pt>
                <c:pt idx="489">
                  <c:v>1080</c:v>
                </c:pt>
                <c:pt idx="490">
                  <c:v>1073</c:v>
                </c:pt>
                <c:pt idx="491">
                  <c:v>1077</c:v>
                </c:pt>
                <c:pt idx="492">
                  <c:v>984</c:v>
                </c:pt>
                <c:pt idx="493">
                  <c:v>1020</c:v>
                </c:pt>
                <c:pt idx="494">
                  <c:v>1069</c:v>
                </c:pt>
                <c:pt idx="495">
                  <c:v>1071</c:v>
                </c:pt>
                <c:pt idx="496">
                  <c:v>1052</c:v>
                </c:pt>
                <c:pt idx="497">
                  <c:v>1033</c:v>
                </c:pt>
                <c:pt idx="498">
                  <c:v>1101</c:v>
                </c:pt>
                <c:pt idx="499">
                  <c:v>972</c:v>
                </c:pt>
                <c:pt idx="500">
                  <c:v>971</c:v>
                </c:pt>
                <c:pt idx="501">
                  <c:v>988</c:v>
                </c:pt>
                <c:pt idx="502">
                  <c:v>1069</c:v>
                </c:pt>
                <c:pt idx="503">
                  <c:v>1001</c:v>
                </c:pt>
                <c:pt idx="504">
                  <c:v>1018</c:v>
                </c:pt>
                <c:pt idx="505">
                  <c:v>1066</c:v>
                </c:pt>
                <c:pt idx="506">
                  <c:v>1100</c:v>
                </c:pt>
                <c:pt idx="507">
                  <c:v>1062</c:v>
                </c:pt>
                <c:pt idx="508">
                  <c:v>1050</c:v>
                </c:pt>
                <c:pt idx="509">
                  <c:v>1088</c:v>
                </c:pt>
                <c:pt idx="510">
                  <c:v>1108</c:v>
                </c:pt>
                <c:pt idx="511">
                  <c:v>1133</c:v>
                </c:pt>
                <c:pt idx="512">
                  <c:v>1060</c:v>
                </c:pt>
                <c:pt idx="513">
                  <c:v>1118</c:v>
                </c:pt>
                <c:pt idx="514">
                  <c:v>1192</c:v>
                </c:pt>
                <c:pt idx="515">
                  <c:v>1168</c:v>
                </c:pt>
                <c:pt idx="516">
                  <c:v>1183</c:v>
                </c:pt>
                <c:pt idx="517">
                  <c:v>1057</c:v>
                </c:pt>
                <c:pt idx="518">
                  <c:v>1189</c:v>
                </c:pt>
                <c:pt idx="519">
                  <c:v>1200</c:v>
                </c:pt>
                <c:pt idx="520">
                  <c:v>1157</c:v>
                </c:pt>
              </c:numCache>
            </c:numRef>
          </c:val>
          <c:smooth val="0"/>
          <c:extLst>
            <c:ext xmlns:c16="http://schemas.microsoft.com/office/drawing/2014/chart" uri="{C3380CC4-5D6E-409C-BE32-E72D297353CC}">
              <c16:uniqueId val="{00000001-2252-4A15-8A2C-1240D4F5B31F}"/>
            </c:ext>
          </c:extLst>
        </c:ser>
        <c:ser>
          <c:idx val="2"/>
          <c:order val="2"/>
          <c:tx>
            <c:strRef>
              <c:f>'pivot_Sterblichkeit_2010-2019'!$D$3:$D$5</c:f>
              <c:strCache>
                <c:ptCount val="1"/>
                <c:pt idx="0">
                  <c:v>Erwartungen - 0-64</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'pivot_Sterblichkeit_2010-2019'!$D$6:$D$527</c:f>
              <c:numCache>
                <c:formatCode>General</c:formatCode>
                <c:ptCount val="521"/>
                <c:pt idx="0">
                  <c:v>195</c:v>
                </c:pt>
                <c:pt idx="1">
                  <c:v>195</c:v>
                </c:pt>
                <c:pt idx="2">
                  <c:v>194</c:v>
                </c:pt>
                <c:pt idx="3">
                  <c:v>194</c:v>
                </c:pt>
                <c:pt idx="4">
                  <c:v>193</c:v>
                </c:pt>
                <c:pt idx="5">
                  <c:v>192</c:v>
                </c:pt>
                <c:pt idx="6">
                  <c:v>192</c:v>
                </c:pt>
                <c:pt idx="7">
                  <c:v>191</c:v>
                </c:pt>
                <c:pt idx="8">
                  <c:v>190</c:v>
                </c:pt>
                <c:pt idx="9">
                  <c:v>190</c:v>
                </c:pt>
                <c:pt idx="10">
                  <c:v>189</c:v>
                </c:pt>
                <c:pt idx="11">
                  <c:v>189</c:v>
                </c:pt>
                <c:pt idx="12">
                  <c:v>188</c:v>
                </c:pt>
                <c:pt idx="13">
                  <c:v>187</c:v>
                </c:pt>
                <c:pt idx="14">
                  <c:v>187</c:v>
                </c:pt>
                <c:pt idx="15">
                  <c:v>186</c:v>
                </c:pt>
                <c:pt idx="16">
                  <c:v>185</c:v>
                </c:pt>
                <c:pt idx="17">
                  <c:v>185</c:v>
                </c:pt>
                <c:pt idx="18">
                  <c:v>184</c:v>
                </c:pt>
                <c:pt idx="19">
                  <c:v>183</c:v>
                </c:pt>
                <c:pt idx="20">
                  <c:v>183</c:v>
                </c:pt>
                <c:pt idx="21">
                  <c:v>182</c:v>
                </c:pt>
                <c:pt idx="22">
                  <c:v>182</c:v>
                </c:pt>
                <c:pt idx="23">
                  <c:v>182</c:v>
                </c:pt>
                <c:pt idx="24">
                  <c:v>182</c:v>
                </c:pt>
                <c:pt idx="25">
                  <c:v>181</c:v>
                </c:pt>
                <c:pt idx="26">
                  <c:v>181</c:v>
                </c:pt>
                <c:pt idx="27">
                  <c:v>181</c:v>
                </c:pt>
                <c:pt idx="28">
                  <c:v>181</c:v>
                </c:pt>
                <c:pt idx="29">
                  <c:v>181</c:v>
                </c:pt>
                <c:pt idx="30">
                  <c:v>181</c:v>
                </c:pt>
                <c:pt idx="31">
                  <c:v>181</c:v>
                </c:pt>
                <c:pt idx="32">
                  <c:v>181</c:v>
                </c:pt>
                <c:pt idx="33">
                  <c:v>182</c:v>
                </c:pt>
                <c:pt idx="34">
                  <c:v>182</c:v>
                </c:pt>
                <c:pt idx="35">
                  <c:v>182</c:v>
                </c:pt>
                <c:pt idx="36">
                  <c:v>182</c:v>
                </c:pt>
                <c:pt idx="37">
                  <c:v>182</c:v>
                </c:pt>
                <c:pt idx="38">
                  <c:v>182</c:v>
                </c:pt>
                <c:pt idx="39">
                  <c:v>183</c:v>
                </c:pt>
                <c:pt idx="40">
                  <c:v>183</c:v>
                </c:pt>
                <c:pt idx="41">
                  <c:v>183</c:v>
                </c:pt>
                <c:pt idx="42">
                  <c:v>183</c:v>
                </c:pt>
                <c:pt idx="43">
                  <c:v>183</c:v>
                </c:pt>
                <c:pt idx="44">
                  <c:v>183</c:v>
                </c:pt>
                <c:pt idx="45">
                  <c:v>183</c:v>
                </c:pt>
                <c:pt idx="46">
                  <c:v>183</c:v>
                </c:pt>
                <c:pt idx="47">
                  <c:v>183</c:v>
                </c:pt>
                <c:pt idx="48">
                  <c:v>184</c:v>
                </c:pt>
                <c:pt idx="49">
                  <c:v>184</c:v>
                </c:pt>
                <c:pt idx="50">
                  <c:v>184</c:v>
                </c:pt>
                <c:pt idx="51">
                  <c:v>184</c:v>
                </c:pt>
                <c:pt idx="52">
                  <c:v>193</c:v>
                </c:pt>
                <c:pt idx="53">
                  <c:v>193</c:v>
                </c:pt>
                <c:pt idx="54">
                  <c:v>192</c:v>
                </c:pt>
                <c:pt idx="55">
                  <c:v>191</c:v>
                </c:pt>
                <c:pt idx="56">
                  <c:v>191</c:v>
                </c:pt>
                <c:pt idx="57">
                  <c:v>190</c:v>
                </c:pt>
                <c:pt idx="58">
                  <c:v>190</c:v>
                </c:pt>
                <c:pt idx="59">
                  <c:v>189</c:v>
                </c:pt>
                <c:pt idx="60">
                  <c:v>189</c:v>
                </c:pt>
                <c:pt idx="61">
                  <c:v>188</c:v>
                </c:pt>
                <c:pt idx="62">
                  <c:v>187</c:v>
                </c:pt>
                <c:pt idx="63">
                  <c:v>187</c:v>
                </c:pt>
                <c:pt idx="64">
                  <c:v>186</c:v>
                </c:pt>
                <c:pt idx="65">
                  <c:v>186</c:v>
                </c:pt>
                <c:pt idx="66">
                  <c:v>185</c:v>
                </c:pt>
                <c:pt idx="67">
                  <c:v>184</c:v>
                </c:pt>
                <c:pt idx="68">
                  <c:v>184</c:v>
                </c:pt>
                <c:pt idx="69">
                  <c:v>183</c:v>
                </c:pt>
                <c:pt idx="70">
                  <c:v>182</c:v>
                </c:pt>
                <c:pt idx="71">
                  <c:v>181</c:v>
                </c:pt>
                <c:pt idx="72">
                  <c:v>181</c:v>
                </c:pt>
                <c:pt idx="73">
                  <c:v>180</c:v>
                </c:pt>
                <c:pt idx="74">
                  <c:v>180</c:v>
                </c:pt>
                <c:pt idx="75">
                  <c:v>179</c:v>
                </c:pt>
                <c:pt idx="76">
                  <c:v>179</c:v>
                </c:pt>
                <c:pt idx="77">
                  <c:v>179</c:v>
                </c:pt>
                <c:pt idx="78">
                  <c:v>178</c:v>
                </c:pt>
                <c:pt idx="79">
                  <c:v>178</c:v>
                </c:pt>
                <c:pt idx="80">
                  <c:v>178</c:v>
                </c:pt>
                <c:pt idx="81">
                  <c:v>178</c:v>
                </c:pt>
                <c:pt idx="82">
                  <c:v>178</c:v>
                </c:pt>
                <c:pt idx="83">
                  <c:v>178</c:v>
                </c:pt>
                <c:pt idx="84">
                  <c:v>178</c:v>
                </c:pt>
                <c:pt idx="85">
                  <c:v>178</c:v>
                </c:pt>
                <c:pt idx="86">
                  <c:v>178</c:v>
                </c:pt>
                <c:pt idx="87">
                  <c:v>179</c:v>
                </c:pt>
                <c:pt idx="88">
                  <c:v>179</c:v>
                </c:pt>
                <c:pt idx="89">
                  <c:v>179</c:v>
                </c:pt>
                <c:pt idx="90">
                  <c:v>179</c:v>
                </c:pt>
                <c:pt idx="91">
                  <c:v>180</c:v>
                </c:pt>
                <c:pt idx="92">
                  <c:v>180</c:v>
                </c:pt>
                <c:pt idx="93">
                  <c:v>180</c:v>
                </c:pt>
                <c:pt idx="94">
                  <c:v>180</c:v>
                </c:pt>
                <c:pt idx="95">
                  <c:v>181</c:v>
                </c:pt>
                <c:pt idx="96">
                  <c:v>181</c:v>
                </c:pt>
                <c:pt idx="97">
                  <c:v>181</c:v>
                </c:pt>
                <c:pt idx="98">
                  <c:v>181</c:v>
                </c:pt>
                <c:pt idx="99">
                  <c:v>182</c:v>
                </c:pt>
                <c:pt idx="100">
                  <c:v>182</c:v>
                </c:pt>
                <c:pt idx="101">
                  <c:v>182</c:v>
                </c:pt>
                <c:pt idx="102">
                  <c:v>182</c:v>
                </c:pt>
                <c:pt idx="103">
                  <c:v>182</c:v>
                </c:pt>
                <c:pt idx="104">
                  <c:v>188</c:v>
                </c:pt>
                <c:pt idx="105">
                  <c:v>187</c:v>
                </c:pt>
                <c:pt idx="106">
                  <c:v>186</c:v>
                </c:pt>
                <c:pt idx="107">
                  <c:v>186</c:v>
                </c:pt>
                <c:pt idx="108">
                  <c:v>185</c:v>
                </c:pt>
                <c:pt idx="109">
                  <c:v>185</c:v>
                </c:pt>
                <c:pt idx="110">
                  <c:v>184</c:v>
                </c:pt>
                <c:pt idx="111">
                  <c:v>184</c:v>
                </c:pt>
                <c:pt idx="112">
                  <c:v>183</c:v>
                </c:pt>
                <c:pt idx="113">
                  <c:v>182</c:v>
                </c:pt>
                <c:pt idx="114">
                  <c:v>182</c:v>
                </c:pt>
                <c:pt idx="115">
                  <c:v>181</c:v>
                </c:pt>
                <c:pt idx="116">
                  <c:v>181</c:v>
                </c:pt>
                <c:pt idx="117">
                  <c:v>180</c:v>
                </c:pt>
                <c:pt idx="118">
                  <c:v>179</c:v>
                </c:pt>
                <c:pt idx="119">
                  <c:v>179</c:v>
                </c:pt>
                <c:pt idx="120">
                  <c:v>178</c:v>
                </c:pt>
                <c:pt idx="121">
                  <c:v>178</c:v>
                </c:pt>
                <c:pt idx="122">
                  <c:v>177</c:v>
                </c:pt>
                <c:pt idx="123">
                  <c:v>176</c:v>
                </c:pt>
                <c:pt idx="124">
                  <c:v>176</c:v>
                </c:pt>
                <c:pt idx="125">
                  <c:v>175</c:v>
                </c:pt>
                <c:pt idx="126">
                  <c:v>175</c:v>
                </c:pt>
                <c:pt idx="127">
                  <c:v>175</c:v>
                </c:pt>
                <c:pt idx="128">
                  <c:v>174</c:v>
                </c:pt>
                <c:pt idx="129">
                  <c:v>174</c:v>
                </c:pt>
                <c:pt idx="130">
                  <c:v>174</c:v>
                </c:pt>
                <c:pt idx="131">
                  <c:v>174</c:v>
                </c:pt>
                <c:pt idx="132">
                  <c:v>173</c:v>
                </c:pt>
                <c:pt idx="133">
                  <c:v>173</c:v>
                </c:pt>
                <c:pt idx="134">
                  <c:v>173</c:v>
                </c:pt>
                <c:pt idx="135">
                  <c:v>173</c:v>
                </c:pt>
                <c:pt idx="136">
                  <c:v>173</c:v>
                </c:pt>
                <c:pt idx="137">
                  <c:v>173</c:v>
                </c:pt>
                <c:pt idx="138">
                  <c:v>174</c:v>
                </c:pt>
                <c:pt idx="139">
                  <c:v>174</c:v>
                </c:pt>
                <c:pt idx="140">
                  <c:v>174</c:v>
                </c:pt>
                <c:pt idx="141">
                  <c:v>174</c:v>
                </c:pt>
                <c:pt idx="142">
                  <c:v>175</c:v>
                </c:pt>
                <c:pt idx="143">
                  <c:v>175</c:v>
                </c:pt>
                <c:pt idx="144">
                  <c:v>175</c:v>
                </c:pt>
                <c:pt idx="145">
                  <c:v>175</c:v>
                </c:pt>
                <c:pt idx="146">
                  <c:v>176</c:v>
                </c:pt>
                <c:pt idx="147">
                  <c:v>176</c:v>
                </c:pt>
                <c:pt idx="148">
                  <c:v>176</c:v>
                </c:pt>
                <c:pt idx="149">
                  <c:v>177</c:v>
                </c:pt>
                <c:pt idx="150">
                  <c:v>177</c:v>
                </c:pt>
                <c:pt idx="151">
                  <c:v>177</c:v>
                </c:pt>
                <c:pt idx="152">
                  <c:v>177</c:v>
                </c:pt>
                <c:pt idx="153">
                  <c:v>178</c:v>
                </c:pt>
                <c:pt idx="154">
                  <c:v>178</c:v>
                </c:pt>
                <c:pt idx="155">
                  <c:v>178</c:v>
                </c:pt>
                <c:pt idx="156">
                  <c:v>185</c:v>
                </c:pt>
                <c:pt idx="157">
                  <c:v>185</c:v>
                </c:pt>
                <c:pt idx="158">
                  <c:v>184</c:v>
                </c:pt>
                <c:pt idx="159">
                  <c:v>184</c:v>
                </c:pt>
                <c:pt idx="160">
                  <c:v>183</c:v>
                </c:pt>
                <c:pt idx="161">
                  <c:v>182</c:v>
                </c:pt>
                <c:pt idx="162">
                  <c:v>182</c:v>
                </c:pt>
                <c:pt idx="163">
                  <c:v>181</c:v>
                </c:pt>
                <c:pt idx="164">
                  <c:v>181</c:v>
                </c:pt>
                <c:pt idx="165">
                  <c:v>180</c:v>
                </c:pt>
                <c:pt idx="166">
                  <c:v>180</c:v>
                </c:pt>
                <c:pt idx="167">
                  <c:v>179</c:v>
                </c:pt>
                <c:pt idx="168">
                  <c:v>178</c:v>
                </c:pt>
                <c:pt idx="169">
                  <c:v>178</c:v>
                </c:pt>
                <c:pt idx="170">
                  <c:v>177</c:v>
                </c:pt>
                <c:pt idx="171">
                  <c:v>177</c:v>
                </c:pt>
                <c:pt idx="172">
                  <c:v>176</c:v>
                </c:pt>
                <c:pt idx="173">
                  <c:v>175</c:v>
                </c:pt>
                <c:pt idx="174">
                  <c:v>175</c:v>
                </c:pt>
                <c:pt idx="175">
                  <c:v>174</c:v>
                </c:pt>
                <c:pt idx="176">
                  <c:v>173</c:v>
                </c:pt>
                <c:pt idx="177">
                  <c:v>173</c:v>
                </c:pt>
                <c:pt idx="178">
                  <c:v>173</c:v>
                </c:pt>
                <c:pt idx="179">
                  <c:v>172</c:v>
                </c:pt>
                <c:pt idx="180">
                  <c:v>172</c:v>
                </c:pt>
                <c:pt idx="181">
                  <c:v>172</c:v>
                </c:pt>
                <c:pt idx="182">
                  <c:v>171</c:v>
                </c:pt>
                <c:pt idx="183">
                  <c:v>171</c:v>
                </c:pt>
                <c:pt idx="184">
                  <c:v>171</c:v>
                </c:pt>
                <c:pt idx="185">
                  <c:v>171</c:v>
                </c:pt>
                <c:pt idx="186">
                  <c:v>171</c:v>
                </c:pt>
                <c:pt idx="187">
                  <c:v>171</c:v>
                </c:pt>
                <c:pt idx="188">
                  <c:v>171</c:v>
                </c:pt>
                <c:pt idx="189">
                  <c:v>171</c:v>
                </c:pt>
                <c:pt idx="190">
                  <c:v>172</c:v>
                </c:pt>
                <c:pt idx="191">
                  <c:v>172</c:v>
                </c:pt>
                <c:pt idx="192">
                  <c:v>172</c:v>
                </c:pt>
                <c:pt idx="193">
                  <c:v>173</c:v>
                </c:pt>
                <c:pt idx="194">
                  <c:v>173</c:v>
                </c:pt>
                <c:pt idx="195">
                  <c:v>173</c:v>
                </c:pt>
                <c:pt idx="196">
                  <c:v>174</c:v>
                </c:pt>
                <c:pt idx="197">
                  <c:v>174</c:v>
                </c:pt>
                <c:pt idx="198">
                  <c:v>174</c:v>
                </c:pt>
                <c:pt idx="199">
                  <c:v>175</c:v>
                </c:pt>
                <c:pt idx="200">
                  <c:v>175</c:v>
                </c:pt>
                <c:pt idx="201">
                  <c:v>176</c:v>
                </c:pt>
                <c:pt idx="202">
                  <c:v>176</c:v>
                </c:pt>
                <c:pt idx="203">
                  <c:v>176</c:v>
                </c:pt>
                <c:pt idx="204">
                  <c:v>177</c:v>
                </c:pt>
                <c:pt idx="205">
                  <c:v>177</c:v>
                </c:pt>
                <c:pt idx="206">
                  <c:v>178</c:v>
                </c:pt>
                <c:pt idx="207">
                  <c:v>178</c:v>
                </c:pt>
                <c:pt idx="208">
                  <c:v>185</c:v>
                </c:pt>
                <c:pt idx="209">
                  <c:v>185</c:v>
                </c:pt>
                <c:pt idx="210">
                  <c:v>184</c:v>
                </c:pt>
                <c:pt idx="211">
                  <c:v>183</c:v>
                </c:pt>
                <c:pt idx="212">
                  <c:v>182</c:v>
                </c:pt>
                <c:pt idx="213">
                  <c:v>182</c:v>
                </c:pt>
                <c:pt idx="214">
                  <c:v>181</c:v>
                </c:pt>
                <c:pt idx="215">
                  <c:v>180</c:v>
                </c:pt>
                <c:pt idx="216">
                  <c:v>180</c:v>
                </c:pt>
                <c:pt idx="217">
                  <c:v>179</c:v>
                </c:pt>
                <c:pt idx="218">
                  <c:v>178</c:v>
                </c:pt>
                <c:pt idx="219">
                  <c:v>178</c:v>
                </c:pt>
                <c:pt idx="220">
                  <c:v>177</c:v>
                </c:pt>
                <c:pt idx="221">
                  <c:v>176</c:v>
                </c:pt>
                <c:pt idx="222">
                  <c:v>176</c:v>
                </c:pt>
                <c:pt idx="223">
                  <c:v>175</c:v>
                </c:pt>
                <c:pt idx="224">
                  <c:v>174</c:v>
                </c:pt>
                <c:pt idx="225">
                  <c:v>173</c:v>
                </c:pt>
                <c:pt idx="226">
                  <c:v>173</c:v>
                </c:pt>
                <c:pt idx="227">
                  <c:v>172</c:v>
                </c:pt>
                <c:pt idx="228">
                  <c:v>171</c:v>
                </c:pt>
                <c:pt idx="229">
                  <c:v>171</c:v>
                </c:pt>
                <c:pt idx="230">
                  <c:v>170</c:v>
                </c:pt>
                <c:pt idx="231">
                  <c:v>170</c:v>
                </c:pt>
                <c:pt idx="232">
                  <c:v>169</c:v>
                </c:pt>
                <c:pt idx="233">
                  <c:v>169</c:v>
                </c:pt>
                <c:pt idx="234">
                  <c:v>169</c:v>
                </c:pt>
                <c:pt idx="235">
                  <c:v>169</c:v>
                </c:pt>
                <c:pt idx="236">
                  <c:v>168</c:v>
                </c:pt>
                <c:pt idx="237">
                  <c:v>168</c:v>
                </c:pt>
                <c:pt idx="238">
                  <c:v>168</c:v>
                </c:pt>
                <c:pt idx="239">
                  <c:v>168</c:v>
                </c:pt>
                <c:pt idx="240">
                  <c:v>168</c:v>
                </c:pt>
                <c:pt idx="241">
                  <c:v>168</c:v>
                </c:pt>
                <c:pt idx="242">
                  <c:v>169</c:v>
                </c:pt>
                <c:pt idx="243">
                  <c:v>169</c:v>
                </c:pt>
                <c:pt idx="244">
                  <c:v>169</c:v>
                </c:pt>
                <c:pt idx="245">
                  <c:v>170</c:v>
                </c:pt>
                <c:pt idx="246">
                  <c:v>170</c:v>
                </c:pt>
                <c:pt idx="247">
                  <c:v>170</c:v>
                </c:pt>
                <c:pt idx="248">
                  <c:v>171</c:v>
                </c:pt>
                <c:pt idx="249">
                  <c:v>172</c:v>
                </c:pt>
                <c:pt idx="250">
                  <c:v>172</c:v>
                </c:pt>
                <c:pt idx="251">
                  <c:v>173</c:v>
                </c:pt>
                <c:pt idx="252">
                  <c:v>173</c:v>
                </c:pt>
                <c:pt idx="253">
                  <c:v>174</c:v>
                </c:pt>
                <c:pt idx="254">
                  <c:v>174</c:v>
                </c:pt>
                <c:pt idx="255">
                  <c:v>175</c:v>
                </c:pt>
                <c:pt idx="256">
                  <c:v>176</c:v>
                </c:pt>
                <c:pt idx="257">
                  <c:v>176</c:v>
                </c:pt>
                <c:pt idx="258">
                  <c:v>177</c:v>
                </c:pt>
                <c:pt idx="259">
                  <c:v>178</c:v>
                </c:pt>
                <c:pt idx="260">
                  <c:v>177</c:v>
                </c:pt>
                <c:pt idx="261">
                  <c:v>177</c:v>
                </c:pt>
                <c:pt idx="262">
                  <c:v>178</c:v>
                </c:pt>
                <c:pt idx="263">
                  <c:v>178</c:v>
                </c:pt>
                <c:pt idx="264">
                  <c:v>179</c:v>
                </c:pt>
                <c:pt idx="265">
                  <c:v>179</c:v>
                </c:pt>
                <c:pt idx="266">
                  <c:v>179</c:v>
                </c:pt>
                <c:pt idx="267">
                  <c:v>178</c:v>
                </c:pt>
                <c:pt idx="268">
                  <c:v>177</c:v>
                </c:pt>
                <c:pt idx="269">
                  <c:v>175</c:v>
                </c:pt>
                <c:pt idx="270">
                  <c:v>174</c:v>
                </c:pt>
                <c:pt idx="271">
                  <c:v>172</c:v>
                </c:pt>
                <c:pt idx="272">
                  <c:v>171</c:v>
                </c:pt>
                <c:pt idx="273">
                  <c:v>170</c:v>
                </c:pt>
                <c:pt idx="274">
                  <c:v>169</c:v>
                </c:pt>
                <c:pt idx="275">
                  <c:v>169</c:v>
                </c:pt>
                <c:pt idx="276">
                  <c:v>169</c:v>
                </c:pt>
                <c:pt idx="277">
                  <c:v>168</c:v>
                </c:pt>
                <c:pt idx="278">
                  <c:v>168</c:v>
                </c:pt>
                <c:pt idx="279">
                  <c:v>167</c:v>
                </c:pt>
                <c:pt idx="280">
                  <c:v>167</c:v>
                </c:pt>
                <c:pt idx="281">
                  <c:v>166</c:v>
                </c:pt>
                <c:pt idx="282">
                  <c:v>166</c:v>
                </c:pt>
                <c:pt idx="283">
                  <c:v>166</c:v>
                </c:pt>
                <c:pt idx="284">
                  <c:v>165</c:v>
                </c:pt>
                <c:pt idx="285">
                  <c:v>165</c:v>
                </c:pt>
                <c:pt idx="286">
                  <c:v>164</c:v>
                </c:pt>
                <c:pt idx="287">
                  <c:v>163</c:v>
                </c:pt>
                <c:pt idx="288">
                  <c:v>162</c:v>
                </c:pt>
                <c:pt idx="289">
                  <c:v>161</c:v>
                </c:pt>
                <c:pt idx="290">
                  <c:v>161</c:v>
                </c:pt>
                <c:pt idx="291">
                  <c:v>161</c:v>
                </c:pt>
                <c:pt idx="292">
                  <c:v>162</c:v>
                </c:pt>
                <c:pt idx="293">
                  <c:v>162</c:v>
                </c:pt>
                <c:pt idx="294">
                  <c:v>163</c:v>
                </c:pt>
                <c:pt idx="295">
                  <c:v>164</c:v>
                </c:pt>
                <c:pt idx="296">
                  <c:v>165</c:v>
                </c:pt>
                <c:pt idx="297">
                  <c:v>166</c:v>
                </c:pt>
                <c:pt idx="298">
                  <c:v>166</c:v>
                </c:pt>
                <c:pt idx="299">
                  <c:v>166</c:v>
                </c:pt>
                <c:pt idx="300">
                  <c:v>167</c:v>
                </c:pt>
                <c:pt idx="301">
                  <c:v>167</c:v>
                </c:pt>
                <c:pt idx="302">
                  <c:v>167</c:v>
                </c:pt>
                <c:pt idx="303">
                  <c:v>166</c:v>
                </c:pt>
                <c:pt idx="304">
                  <c:v>167</c:v>
                </c:pt>
                <c:pt idx="305">
                  <c:v>167</c:v>
                </c:pt>
                <c:pt idx="306">
                  <c:v>169</c:v>
                </c:pt>
                <c:pt idx="307">
                  <c:v>171</c:v>
                </c:pt>
                <c:pt idx="308">
                  <c:v>173</c:v>
                </c:pt>
                <c:pt idx="309">
                  <c:v>175</c:v>
                </c:pt>
                <c:pt idx="310">
                  <c:v>177</c:v>
                </c:pt>
                <c:pt idx="311">
                  <c:v>179</c:v>
                </c:pt>
                <c:pt idx="312">
                  <c:v>181</c:v>
                </c:pt>
                <c:pt idx="313">
                  <c:v>181</c:v>
                </c:pt>
                <c:pt idx="314">
                  <c:v>181</c:v>
                </c:pt>
                <c:pt idx="315">
                  <c:v>180</c:v>
                </c:pt>
                <c:pt idx="316">
                  <c:v>179</c:v>
                </c:pt>
                <c:pt idx="317">
                  <c:v>178</c:v>
                </c:pt>
                <c:pt idx="318">
                  <c:v>177</c:v>
                </c:pt>
                <c:pt idx="319">
                  <c:v>177</c:v>
                </c:pt>
                <c:pt idx="320">
                  <c:v>176</c:v>
                </c:pt>
                <c:pt idx="321">
                  <c:v>175</c:v>
                </c:pt>
                <c:pt idx="322">
                  <c:v>174</c:v>
                </c:pt>
                <c:pt idx="323">
                  <c:v>174</c:v>
                </c:pt>
                <c:pt idx="324">
                  <c:v>173</c:v>
                </c:pt>
                <c:pt idx="325">
                  <c:v>172</c:v>
                </c:pt>
                <c:pt idx="326">
                  <c:v>171</c:v>
                </c:pt>
                <c:pt idx="327">
                  <c:v>170</c:v>
                </c:pt>
                <c:pt idx="328">
                  <c:v>170</c:v>
                </c:pt>
                <c:pt idx="329">
                  <c:v>169</c:v>
                </c:pt>
                <c:pt idx="330">
                  <c:v>168</c:v>
                </c:pt>
                <c:pt idx="331">
                  <c:v>167</c:v>
                </c:pt>
                <c:pt idx="332">
                  <c:v>166</c:v>
                </c:pt>
                <c:pt idx="333">
                  <c:v>166</c:v>
                </c:pt>
                <c:pt idx="334">
                  <c:v>165</c:v>
                </c:pt>
                <c:pt idx="335">
                  <c:v>165</c:v>
                </c:pt>
                <c:pt idx="336">
                  <c:v>164</c:v>
                </c:pt>
                <c:pt idx="337">
                  <c:v>164</c:v>
                </c:pt>
                <c:pt idx="338">
                  <c:v>164</c:v>
                </c:pt>
                <c:pt idx="339">
                  <c:v>163</c:v>
                </c:pt>
                <c:pt idx="340">
                  <c:v>163</c:v>
                </c:pt>
                <c:pt idx="341">
                  <c:v>163</c:v>
                </c:pt>
                <c:pt idx="342">
                  <c:v>163</c:v>
                </c:pt>
                <c:pt idx="343">
                  <c:v>163</c:v>
                </c:pt>
                <c:pt idx="344">
                  <c:v>163</c:v>
                </c:pt>
                <c:pt idx="345">
                  <c:v>163</c:v>
                </c:pt>
                <c:pt idx="346">
                  <c:v>163</c:v>
                </c:pt>
                <c:pt idx="347">
                  <c:v>164</c:v>
                </c:pt>
                <c:pt idx="348">
                  <c:v>164</c:v>
                </c:pt>
                <c:pt idx="349">
                  <c:v>164</c:v>
                </c:pt>
                <c:pt idx="350">
                  <c:v>165</c:v>
                </c:pt>
                <c:pt idx="351">
                  <c:v>165</c:v>
                </c:pt>
                <c:pt idx="352">
                  <c:v>165</c:v>
                </c:pt>
                <c:pt idx="353">
                  <c:v>166</c:v>
                </c:pt>
                <c:pt idx="354">
                  <c:v>167</c:v>
                </c:pt>
                <c:pt idx="355">
                  <c:v>167</c:v>
                </c:pt>
                <c:pt idx="356">
                  <c:v>168</c:v>
                </c:pt>
                <c:pt idx="357">
                  <c:v>168</c:v>
                </c:pt>
                <c:pt idx="358">
                  <c:v>169</c:v>
                </c:pt>
                <c:pt idx="359">
                  <c:v>169</c:v>
                </c:pt>
                <c:pt idx="360">
                  <c:v>170</c:v>
                </c:pt>
                <c:pt idx="361">
                  <c:v>170</c:v>
                </c:pt>
                <c:pt idx="362">
                  <c:v>171</c:v>
                </c:pt>
                <c:pt idx="363">
                  <c:v>171</c:v>
                </c:pt>
                <c:pt idx="364">
                  <c:v>172</c:v>
                </c:pt>
                <c:pt idx="365">
                  <c:v>176</c:v>
                </c:pt>
                <c:pt idx="366">
                  <c:v>176</c:v>
                </c:pt>
                <c:pt idx="367">
                  <c:v>176</c:v>
                </c:pt>
                <c:pt idx="368">
                  <c:v>177</c:v>
                </c:pt>
                <c:pt idx="369">
                  <c:v>177</c:v>
                </c:pt>
                <c:pt idx="370">
                  <c:v>177</c:v>
                </c:pt>
                <c:pt idx="371">
                  <c:v>176</c:v>
                </c:pt>
                <c:pt idx="372">
                  <c:v>176</c:v>
                </c:pt>
                <c:pt idx="373">
                  <c:v>175</c:v>
                </c:pt>
                <c:pt idx="374">
                  <c:v>174</c:v>
                </c:pt>
                <c:pt idx="375">
                  <c:v>172</c:v>
                </c:pt>
                <c:pt idx="376">
                  <c:v>171</c:v>
                </c:pt>
                <c:pt idx="377">
                  <c:v>169</c:v>
                </c:pt>
                <c:pt idx="378">
                  <c:v>167</c:v>
                </c:pt>
                <c:pt idx="379">
                  <c:v>166</c:v>
                </c:pt>
                <c:pt idx="380">
                  <c:v>165</c:v>
                </c:pt>
                <c:pt idx="381">
                  <c:v>164</c:v>
                </c:pt>
                <c:pt idx="382">
                  <c:v>163</c:v>
                </c:pt>
                <c:pt idx="383">
                  <c:v>162</c:v>
                </c:pt>
                <c:pt idx="384">
                  <c:v>162</c:v>
                </c:pt>
                <c:pt idx="385">
                  <c:v>162</c:v>
                </c:pt>
                <c:pt idx="386">
                  <c:v>162</c:v>
                </c:pt>
                <c:pt idx="387">
                  <c:v>162</c:v>
                </c:pt>
                <c:pt idx="388">
                  <c:v>162</c:v>
                </c:pt>
                <c:pt idx="389">
                  <c:v>161</c:v>
                </c:pt>
                <c:pt idx="390">
                  <c:v>161</c:v>
                </c:pt>
                <c:pt idx="391">
                  <c:v>161</c:v>
                </c:pt>
                <c:pt idx="392">
                  <c:v>161</c:v>
                </c:pt>
                <c:pt idx="393">
                  <c:v>161</c:v>
                </c:pt>
                <c:pt idx="394">
                  <c:v>161</c:v>
                </c:pt>
                <c:pt idx="395">
                  <c:v>161</c:v>
                </c:pt>
                <c:pt idx="396">
                  <c:v>161</c:v>
                </c:pt>
                <c:pt idx="397">
                  <c:v>161</c:v>
                </c:pt>
                <c:pt idx="398">
                  <c:v>161</c:v>
                </c:pt>
                <c:pt idx="399">
                  <c:v>161</c:v>
                </c:pt>
                <c:pt idx="400">
                  <c:v>162</c:v>
                </c:pt>
                <c:pt idx="401">
                  <c:v>162</c:v>
                </c:pt>
                <c:pt idx="402">
                  <c:v>163</c:v>
                </c:pt>
                <c:pt idx="403">
                  <c:v>163</c:v>
                </c:pt>
                <c:pt idx="404">
                  <c:v>163</c:v>
                </c:pt>
                <c:pt idx="405">
                  <c:v>163</c:v>
                </c:pt>
                <c:pt idx="406">
                  <c:v>164</c:v>
                </c:pt>
                <c:pt idx="407">
                  <c:v>164</c:v>
                </c:pt>
                <c:pt idx="408">
                  <c:v>164</c:v>
                </c:pt>
                <c:pt idx="409">
                  <c:v>164</c:v>
                </c:pt>
                <c:pt idx="410">
                  <c:v>165</c:v>
                </c:pt>
                <c:pt idx="411">
                  <c:v>166</c:v>
                </c:pt>
                <c:pt idx="412">
                  <c:v>167</c:v>
                </c:pt>
                <c:pt idx="413">
                  <c:v>168</c:v>
                </c:pt>
                <c:pt idx="414">
                  <c:v>169</c:v>
                </c:pt>
                <c:pt idx="415">
                  <c:v>170</c:v>
                </c:pt>
                <c:pt idx="416">
                  <c:v>171</c:v>
                </c:pt>
                <c:pt idx="417">
                  <c:v>174</c:v>
                </c:pt>
                <c:pt idx="418">
                  <c:v>175</c:v>
                </c:pt>
                <c:pt idx="419">
                  <c:v>176</c:v>
                </c:pt>
                <c:pt idx="420">
                  <c:v>176</c:v>
                </c:pt>
                <c:pt idx="421">
                  <c:v>177</c:v>
                </c:pt>
                <c:pt idx="422">
                  <c:v>177</c:v>
                </c:pt>
                <c:pt idx="423">
                  <c:v>177</c:v>
                </c:pt>
                <c:pt idx="424">
                  <c:v>176</c:v>
                </c:pt>
                <c:pt idx="425">
                  <c:v>175</c:v>
                </c:pt>
                <c:pt idx="426">
                  <c:v>173</c:v>
                </c:pt>
                <c:pt idx="427">
                  <c:v>171</c:v>
                </c:pt>
                <c:pt idx="428">
                  <c:v>168</c:v>
                </c:pt>
                <c:pt idx="429">
                  <c:v>166</c:v>
                </c:pt>
                <c:pt idx="430">
                  <c:v>163</c:v>
                </c:pt>
                <c:pt idx="431">
                  <c:v>162</c:v>
                </c:pt>
                <c:pt idx="432">
                  <c:v>160</c:v>
                </c:pt>
                <c:pt idx="433">
                  <c:v>160</c:v>
                </c:pt>
                <c:pt idx="434">
                  <c:v>159</c:v>
                </c:pt>
                <c:pt idx="435">
                  <c:v>159</c:v>
                </c:pt>
                <c:pt idx="436">
                  <c:v>159</c:v>
                </c:pt>
                <c:pt idx="437">
                  <c:v>159</c:v>
                </c:pt>
                <c:pt idx="438">
                  <c:v>159</c:v>
                </c:pt>
                <c:pt idx="439">
                  <c:v>160</c:v>
                </c:pt>
                <c:pt idx="440">
                  <c:v>160</c:v>
                </c:pt>
                <c:pt idx="441">
                  <c:v>160</c:v>
                </c:pt>
                <c:pt idx="442">
                  <c:v>160</c:v>
                </c:pt>
                <c:pt idx="443">
                  <c:v>160</c:v>
                </c:pt>
                <c:pt idx="444">
                  <c:v>160</c:v>
                </c:pt>
                <c:pt idx="445">
                  <c:v>160</c:v>
                </c:pt>
                <c:pt idx="446">
                  <c:v>159</c:v>
                </c:pt>
                <c:pt idx="447">
                  <c:v>159</c:v>
                </c:pt>
                <c:pt idx="448">
                  <c:v>159</c:v>
                </c:pt>
                <c:pt idx="449">
                  <c:v>159</c:v>
                </c:pt>
                <c:pt idx="450">
                  <c:v>160</c:v>
                </c:pt>
                <c:pt idx="451">
                  <c:v>161</c:v>
                </c:pt>
                <c:pt idx="452">
                  <c:v>161</c:v>
                </c:pt>
                <c:pt idx="453">
                  <c:v>162</c:v>
                </c:pt>
                <c:pt idx="454">
                  <c:v>162</c:v>
                </c:pt>
                <c:pt idx="455">
                  <c:v>162</c:v>
                </c:pt>
                <c:pt idx="456">
                  <c:v>163</c:v>
                </c:pt>
                <c:pt idx="457">
                  <c:v>163</c:v>
                </c:pt>
                <c:pt idx="458">
                  <c:v>163</c:v>
                </c:pt>
                <c:pt idx="459">
                  <c:v>163</c:v>
                </c:pt>
                <c:pt idx="460">
                  <c:v>163</c:v>
                </c:pt>
                <c:pt idx="461">
                  <c:v>163</c:v>
                </c:pt>
                <c:pt idx="462">
                  <c:v>163</c:v>
                </c:pt>
                <c:pt idx="463">
                  <c:v>164</c:v>
                </c:pt>
                <c:pt idx="464">
                  <c:v>165</c:v>
                </c:pt>
                <c:pt idx="465">
                  <c:v>166</c:v>
                </c:pt>
                <c:pt idx="466">
                  <c:v>166</c:v>
                </c:pt>
                <c:pt idx="467">
                  <c:v>167</c:v>
                </c:pt>
                <c:pt idx="468">
                  <c:v>168</c:v>
                </c:pt>
                <c:pt idx="469">
                  <c:v>174</c:v>
                </c:pt>
                <c:pt idx="470">
                  <c:v>174</c:v>
                </c:pt>
                <c:pt idx="471">
                  <c:v>175</c:v>
                </c:pt>
                <c:pt idx="472">
                  <c:v>176</c:v>
                </c:pt>
                <c:pt idx="473">
                  <c:v>176</c:v>
                </c:pt>
                <c:pt idx="474">
                  <c:v>177</c:v>
                </c:pt>
                <c:pt idx="475">
                  <c:v>177</c:v>
                </c:pt>
                <c:pt idx="476">
                  <c:v>176</c:v>
                </c:pt>
                <c:pt idx="477">
                  <c:v>174</c:v>
                </c:pt>
                <c:pt idx="478">
                  <c:v>172</c:v>
                </c:pt>
                <c:pt idx="479">
                  <c:v>170</c:v>
                </c:pt>
                <c:pt idx="480">
                  <c:v>167</c:v>
                </c:pt>
                <c:pt idx="481">
                  <c:v>165</c:v>
                </c:pt>
                <c:pt idx="482">
                  <c:v>162</c:v>
                </c:pt>
                <c:pt idx="483">
                  <c:v>161</c:v>
                </c:pt>
                <c:pt idx="484">
                  <c:v>159</c:v>
                </c:pt>
                <c:pt idx="485">
                  <c:v>159</c:v>
                </c:pt>
                <c:pt idx="486">
                  <c:v>158</c:v>
                </c:pt>
                <c:pt idx="487">
                  <c:v>158</c:v>
                </c:pt>
                <c:pt idx="488">
                  <c:v>158</c:v>
                </c:pt>
                <c:pt idx="489">
                  <c:v>159</c:v>
                </c:pt>
                <c:pt idx="490">
                  <c:v>159</c:v>
                </c:pt>
                <c:pt idx="491">
                  <c:v>160</c:v>
                </c:pt>
                <c:pt idx="492">
                  <c:v>160</c:v>
                </c:pt>
                <c:pt idx="493">
                  <c:v>159</c:v>
                </c:pt>
                <c:pt idx="494">
                  <c:v>159</c:v>
                </c:pt>
                <c:pt idx="495">
                  <c:v>159</c:v>
                </c:pt>
                <c:pt idx="496">
                  <c:v>159</c:v>
                </c:pt>
                <c:pt idx="497">
                  <c:v>159</c:v>
                </c:pt>
                <c:pt idx="498">
                  <c:v>158</c:v>
                </c:pt>
                <c:pt idx="499">
                  <c:v>158</c:v>
                </c:pt>
                <c:pt idx="500">
                  <c:v>158</c:v>
                </c:pt>
                <c:pt idx="501">
                  <c:v>158</c:v>
                </c:pt>
                <c:pt idx="502">
                  <c:v>159</c:v>
                </c:pt>
                <c:pt idx="503">
                  <c:v>160</c:v>
                </c:pt>
                <c:pt idx="504">
                  <c:v>160</c:v>
                </c:pt>
                <c:pt idx="505">
                  <c:v>161</c:v>
                </c:pt>
                <c:pt idx="506">
                  <c:v>161</c:v>
                </c:pt>
                <c:pt idx="507">
                  <c:v>161</c:v>
                </c:pt>
                <c:pt idx="508">
                  <c:v>161</c:v>
                </c:pt>
                <c:pt idx="509">
                  <c:v>162</c:v>
                </c:pt>
                <c:pt idx="510">
                  <c:v>162</c:v>
                </c:pt>
                <c:pt idx="511">
                  <c:v>162</c:v>
                </c:pt>
                <c:pt idx="512">
                  <c:v>163</c:v>
                </c:pt>
                <c:pt idx="513">
                  <c:v>163</c:v>
                </c:pt>
                <c:pt idx="514">
                  <c:v>164</c:v>
                </c:pt>
                <c:pt idx="515">
                  <c:v>165</c:v>
                </c:pt>
                <c:pt idx="516">
                  <c:v>165</c:v>
                </c:pt>
                <c:pt idx="517">
                  <c:v>166</c:v>
                </c:pt>
                <c:pt idx="518">
                  <c:v>167</c:v>
                </c:pt>
                <c:pt idx="519">
                  <c:v>167</c:v>
                </c:pt>
                <c:pt idx="520">
                  <c:v>168</c:v>
                </c:pt>
              </c:numCache>
            </c:numRef>
          </c:val>
          <c:smooth val="0"/>
          <c:extLst>
            <c:ext xmlns:c16="http://schemas.microsoft.com/office/drawing/2014/chart" uri="{C3380CC4-5D6E-409C-BE32-E72D297353CC}">
              <c16:uniqueId val="{00000002-2252-4A15-8A2C-1240D4F5B31F}"/>
            </c:ext>
          </c:extLst>
        </c:ser>
        <c:ser>
          <c:idx val="3"/>
          <c:order val="3"/>
          <c:tx>
            <c:strRef>
              <c:f>'pivot_Sterblichkeit_2010-2019'!$E$3:$E$5</c:f>
              <c:strCache>
                <c:ptCount val="1"/>
                <c:pt idx="0">
                  <c:v>Erwartungen - 65+</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'pivot_Sterblichkeit_2010-2019'!$E$6:$E$527</c:f>
              <c:numCache>
                <c:formatCode>General</c:formatCode>
                <c:ptCount val="521"/>
                <c:pt idx="0">
                  <c:v>1156</c:v>
                </c:pt>
                <c:pt idx="1">
                  <c:v>1149</c:v>
                </c:pt>
                <c:pt idx="2">
                  <c:v>1141</c:v>
                </c:pt>
                <c:pt idx="3">
                  <c:v>1133</c:v>
                </c:pt>
                <c:pt idx="4">
                  <c:v>1125</c:v>
                </c:pt>
                <c:pt idx="5">
                  <c:v>1117</c:v>
                </c:pt>
                <c:pt idx="6">
                  <c:v>1109</c:v>
                </c:pt>
                <c:pt idx="7">
                  <c:v>1095</c:v>
                </c:pt>
                <c:pt idx="8">
                  <c:v>1082</c:v>
                </c:pt>
                <c:pt idx="9">
                  <c:v>1065</c:v>
                </c:pt>
                <c:pt idx="10">
                  <c:v>1049</c:v>
                </c:pt>
                <c:pt idx="11">
                  <c:v>1033</c:v>
                </c:pt>
                <c:pt idx="12">
                  <c:v>1017</c:v>
                </c:pt>
                <c:pt idx="13">
                  <c:v>1002</c:v>
                </c:pt>
                <c:pt idx="14">
                  <c:v>988</c:v>
                </c:pt>
                <c:pt idx="15">
                  <c:v>975</c:v>
                </c:pt>
                <c:pt idx="16">
                  <c:v>965</c:v>
                </c:pt>
                <c:pt idx="17">
                  <c:v>954</c:v>
                </c:pt>
                <c:pt idx="18">
                  <c:v>947</c:v>
                </c:pt>
                <c:pt idx="19">
                  <c:v>939</c:v>
                </c:pt>
                <c:pt idx="20">
                  <c:v>934</c:v>
                </c:pt>
                <c:pt idx="21">
                  <c:v>930</c:v>
                </c:pt>
                <c:pt idx="22">
                  <c:v>926</c:v>
                </c:pt>
                <c:pt idx="23">
                  <c:v>922</c:v>
                </c:pt>
                <c:pt idx="24">
                  <c:v>919</c:v>
                </c:pt>
                <c:pt idx="25">
                  <c:v>915</c:v>
                </c:pt>
                <c:pt idx="26">
                  <c:v>912</c:v>
                </c:pt>
                <c:pt idx="27">
                  <c:v>910</c:v>
                </c:pt>
                <c:pt idx="28">
                  <c:v>907</c:v>
                </c:pt>
                <c:pt idx="29">
                  <c:v>905</c:v>
                </c:pt>
                <c:pt idx="30">
                  <c:v>902</c:v>
                </c:pt>
                <c:pt idx="31">
                  <c:v>903</c:v>
                </c:pt>
                <c:pt idx="32">
                  <c:v>904</c:v>
                </c:pt>
                <c:pt idx="33">
                  <c:v>909</c:v>
                </c:pt>
                <c:pt idx="34">
                  <c:v>915</c:v>
                </c:pt>
                <c:pt idx="35">
                  <c:v>920</c:v>
                </c:pt>
                <c:pt idx="36">
                  <c:v>927</c:v>
                </c:pt>
                <c:pt idx="37">
                  <c:v>934</c:v>
                </c:pt>
                <c:pt idx="38">
                  <c:v>942</c:v>
                </c:pt>
                <c:pt idx="39">
                  <c:v>950</c:v>
                </c:pt>
                <c:pt idx="40">
                  <c:v>959</c:v>
                </c:pt>
                <c:pt idx="41">
                  <c:v>967</c:v>
                </c:pt>
                <c:pt idx="42">
                  <c:v>978</c:v>
                </c:pt>
                <c:pt idx="43">
                  <c:v>988</c:v>
                </c:pt>
                <c:pt idx="44">
                  <c:v>999</c:v>
                </c:pt>
                <c:pt idx="45">
                  <c:v>1011</c:v>
                </c:pt>
                <c:pt idx="46">
                  <c:v>1025</c:v>
                </c:pt>
                <c:pt idx="47">
                  <c:v>1041</c:v>
                </c:pt>
                <c:pt idx="48">
                  <c:v>1057</c:v>
                </c:pt>
                <c:pt idx="49">
                  <c:v>1073</c:v>
                </c:pt>
                <c:pt idx="50">
                  <c:v>1089</c:v>
                </c:pt>
                <c:pt idx="51">
                  <c:v>1105</c:v>
                </c:pt>
                <c:pt idx="52">
                  <c:v>1153</c:v>
                </c:pt>
                <c:pt idx="53">
                  <c:v>1150</c:v>
                </c:pt>
                <c:pt idx="54">
                  <c:v>1146</c:v>
                </c:pt>
                <c:pt idx="55">
                  <c:v>1142</c:v>
                </c:pt>
                <c:pt idx="56">
                  <c:v>1138</c:v>
                </c:pt>
                <c:pt idx="57">
                  <c:v>1134</c:v>
                </c:pt>
                <c:pt idx="58">
                  <c:v>1130</c:v>
                </c:pt>
                <c:pt idx="59">
                  <c:v>1119</c:v>
                </c:pt>
                <c:pt idx="60">
                  <c:v>1108</c:v>
                </c:pt>
                <c:pt idx="61">
                  <c:v>1092</c:v>
                </c:pt>
                <c:pt idx="62">
                  <c:v>1076</c:v>
                </c:pt>
                <c:pt idx="63">
                  <c:v>1057</c:v>
                </c:pt>
                <c:pt idx="64">
                  <c:v>1038</c:v>
                </c:pt>
                <c:pt idx="65">
                  <c:v>1021</c:v>
                </c:pt>
                <c:pt idx="66">
                  <c:v>1008</c:v>
                </c:pt>
                <c:pt idx="67">
                  <c:v>995</c:v>
                </c:pt>
                <c:pt idx="68">
                  <c:v>985</c:v>
                </c:pt>
                <c:pt idx="69">
                  <c:v>974</c:v>
                </c:pt>
                <c:pt idx="70">
                  <c:v>965</c:v>
                </c:pt>
                <c:pt idx="71">
                  <c:v>956</c:v>
                </c:pt>
                <c:pt idx="72">
                  <c:v>949</c:v>
                </c:pt>
                <c:pt idx="73">
                  <c:v>946</c:v>
                </c:pt>
                <c:pt idx="74">
                  <c:v>943</c:v>
                </c:pt>
                <c:pt idx="75">
                  <c:v>941</c:v>
                </c:pt>
                <c:pt idx="76">
                  <c:v>938</c:v>
                </c:pt>
                <c:pt idx="77">
                  <c:v>934</c:v>
                </c:pt>
                <c:pt idx="78">
                  <c:v>931</c:v>
                </c:pt>
                <c:pt idx="79">
                  <c:v>928</c:v>
                </c:pt>
                <c:pt idx="80">
                  <c:v>924</c:v>
                </c:pt>
                <c:pt idx="81">
                  <c:v>921</c:v>
                </c:pt>
                <c:pt idx="82">
                  <c:v>917</c:v>
                </c:pt>
                <c:pt idx="83">
                  <c:v>919</c:v>
                </c:pt>
                <c:pt idx="84">
                  <c:v>921</c:v>
                </c:pt>
                <c:pt idx="85">
                  <c:v>925</c:v>
                </c:pt>
                <c:pt idx="86">
                  <c:v>931</c:v>
                </c:pt>
                <c:pt idx="87">
                  <c:v>936</c:v>
                </c:pt>
                <c:pt idx="88">
                  <c:v>943</c:v>
                </c:pt>
                <c:pt idx="89">
                  <c:v>951</c:v>
                </c:pt>
                <c:pt idx="90">
                  <c:v>958</c:v>
                </c:pt>
                <c:pt idx="91">
                  <c:v>966</c:v>
                </c:pt>
                <c:pt idx="92">
                  <c:v>974</c:v>
                </c:pt>
                <c:pt idx="93">
                  <c:v>981</c:v>
                </c:pt>
                <c:pt idx="94">
                  <c:v>991</c:v>
                </c:pt>
                <c:pt idx="95">
                  <c:v>1001</c:v>
                </c:pt>
                <c:pt idx="96">
                  <c:v>1013</c:v>
                </c:pt>
                <c:pt idx="97">
                  <c:v>1024</c:v>
                </c:pt>
                <c:pt idx="98">
                  <c:v>1039</c:v>
                </c:pt>
                <c:pt idx="99">
                  <c:v>1057</c:v>
                </c:pt>
                <c:pt idx="100">
                  <c:v>1075</c:v>
                </c:pt>
                <c:pt idx="101">
                  <c:v>1092</c:v>
                </c:pt>
                <c:pt idx="102">
                  <c:v>1109</c:v>
                </c:pt>
                <c:pt idx="103">
                  <c:v>1126</c:v>
                </c:pt>
                <c:pt idx="104">
                  <c:v>1156</c:v>
                </c:pt>
                <c:pt idx="105">
                  <c:v>1153</c:v>
                </c:pt>
                <c:pt idx="106">
                  <c:v>1149</c:v>
                </c:pt>
                <c:pt idx="107">
                  <c:v>1146</c:v>
                </c:pt>
                <c:pt idx="108">
                  <c:v>1142</c:v>
                </c:pt>
                <c:pt idx="109">
                  <c:v>1138</c:v>
                </c:pt>
                <c:pt idx="110">
                  <c:v>1135</c:v>
                </c:pt>
                <c:pt idx="111">
                  <c:v>1125</c:v>
                </c:pt>
                <c:pt idx="112">
                  <c:v>1115</c:v>
                </c:pt>
                <c:pt idx="113">
                  <c:v>1099</c:v>
                </c:pt>
                <c:pt idx="114">
                  <c:v>1082</c:v>
                </c:pt>
                <c:pt idx="115">
                  <c:v>1062</c:v>
                </c:pt>
                <c:pt idx="116">
                  <c:v>1042</c:v>
                </c:pt>
                <c:pt idx="117">
                  <c:v>1025</c:v>
                </c:pt>
                <c:pt idx="118">
                  <c:v>1010</c:v>
                </c:pt>
                <c:pt idx="119">
                  <c:v>996</c:v>
                </c:pt>
                <c:pt idx="120">
                  <c:v>985</c:v>
                </c:pt>
                <c:pt idx="121">
                  <c:v>974</c:v>
                </c:pt>
                <c:pt idx="122">
                  <c:v>966</c:v>
                </c:pt>
                <c:pt idx="123">
                  <c:v>957</c:v>
                </c:pt>
                <c:pt idx="124">
                  <c:v>950</c:v>
                </c:pt>
                <c:pt idx="125">
                  <c:v>947</c:v>
                </c:pt>
                <c:pt idx="126">
                  <c:v>944</c:v>
                </c:pt>
                <c:pt idx="127">
                  <c:v>941</c:v>
                </c:pt>
                <c:pt idx="128">
                  <c:v>937</c:v>
                </c:pt>
                <c:pt idx="129">
                  <c:v>933</c:v>
                </c:pt>
                <c:pt idx="130">
                  <c:v>929</c:v>
                </c:pt>
                <c:pt idx="131">
                  <c:v>925</c:v>
                </c:pt>
                <c:pt idx="132">
                  <c:v>921</c:v>
                </c:pt>
                <c:pt idx="133">
                  <c:v>920</c:v>
                </c:pt>
                <c:pt idx="134">
                  <c:v>918</c:v>
                </c:pt>
                <c:pt idx="135">
                  <c:v>921</c:v>
                </c:pt>
                <c:pt idx="136">
                  <c:v>924</c:v>
                </c:pt>
                <c:pt idx="137">
                  <c:v>928</c:v>
                </c:pt>
                <c:pt idx="138">
                  <c:v>934</c:v>
                </c:pt>
                <c:pt idx="139">
                  <c:v>939</c:v>
                </c:pt>
                <c:pt idx="140">
                  <c:v>944</c:v>
                </c:pt>
                <c:pt idx="141">
                  <c:v>950</c:v>
                </c:pt>
                <c:pt idx="142">
                  <c:v>957</c:v>
                </c:pt>
                <c:pt idx="143">
                  <c:v>965</c:v>
                </c:pt>
                <c:pt idx="144">
                  <c:v>972</c:v>
                </c:pt>
                <c:pt idx="145">
                  <c:v>980</c:v>
                </c:pt>
                <c:pt idx="146">
                  <c:v>991</c:v>
                </c:pt>
                <c:pt idx="147">
                  <c:v>1002</c:v>
                </c:pt>
                <c:pt idx="148">
                  <c:v>1015</c:v>
                </c:pt>
                <c:pt idx="149">
                  <c:v>1028</c:v>
                </c:pt>
                <c:pt idx="150">
                  <c:v>1043</c:v>
                </c:pt>
                <c:pt idx="151">
                  <c:v>1059</c:v>
                </c:pt>
                <c:pt idx="152">
                  <c:v>1075</c:v>
                </c:pt>
                <c:pt idx="153">
                  <c:v>1091</c:v>
                </c:pt>
                <c:pt idx="154">
                  <c:v>1107</c:v>
                </c:pt>
                <c:pt idx="155">
                  <c:v>1123</c:v>
                </c:pt>
                <c:pt idx="156">
                  <c:v>1184</c:v>
                </c:pt>
                <c:pt idx="157">
                  <c:v>1182</c:v>
                </c:pt>
                <c:pt idx="158">
                  <c:v>1180</c:v>
                </c:pt>
                <c:pt idx="159">
                  <c:v>1178</c:v>
                </c:pt>
                <c:pt idx="160">
                  <c:v>1176</c:v>
                </c:pt>
                <c:pt idx="161">
                  <c:v>1173</c:v>
                </c:pt>
                <c:pt idx="162">
                  <c:v>1171</c:v>
                </c:pt>
                <c:pt idx="163">
                  <c:v>1162</c:v>
                </c:pt>
                <c:pt idx="164">
                  <c:v>1152</c:v>
                </c:pt>
                <c:pt idx="165">
                  <c:v>1136</c:v>
                </c:pt>
                <c:pt idx="166">
                  <c:v>1119</c:v>
                </c:pt>
                <c:pt idx="167">
                  <c:v>1098</c:v>
                </c:pt>
                <c:pt idx="168">
                  <c:v>1077</c:v>
                </c:pt>
                <c:pt idx="169">
                  <c:v>1059</c:v>
                </c:pt>
                <c:pt idx="170">
                  <c:v>1043</c:v>
                </c:pt>
                <c:pt idx="171">
                  <c:v>1028</c:v>
                </c:pt>
                <c:pt idx="172">
                  <c:v>1016</c:v>
                </c:pt>
                <c:pt idx="173">
                  <c:v>1003</c:v>
                </c:pt>
                <c:pt idx="174">
                  <c:v>992</c:v>
                </c:pt>
                <c:pt idx="175">
                  <c:v>981</c:v>
                </c:pt>
                <c:pt idx="176">
                  <c:v>971</c:v>
                </c:pt>
                <c:pt idx="177">
                  <c:v>966</c:v>
                </c:pt>
                <c:pt idx="178">
                  <c:v>961</c:v>
                </c:pt>
                <c:pt idx="179">
                  <c:v>958</c:v>
                </c:pt>
                <c:pt idx="180">
                  <c:v>956</c:v>
                </c:pt>
                <c:pt idx="181">
                  <c:v>953</c:v>
                </c:pt>
                <c:pt idx="182">
                  <c:v>952</c:v>
                </c:pt>
                <c:pt idx="183">
                  <c:v>950</c:v>
                </c:pt>
                <c:pt idx="184">
                  <c:v>948</c:v>
                </c:pt>
                <c:pt idx="185">
                  <c:v>947</c:v>
                </c:pt>
                <c:pt idx="186">
                  <c:v>946</c:v>
                </c:pt>
                <c:pt idx="187">
                  <c:v>948</c:v>
                </c:pt>
                <c:pt idx="188">
                  <c:v>951</c:v>
                </c:pt>
                <c:pt idx="189">
                  <c:v>955</c:v>
                </c:pt>
                <c:pt idx="190">
                  <c:v>960</c:v>
                </c:pt>
                <c:pt idx="191">
                  <c:v>965</c:v>
                </c:pt>
                <c:pt idx="192">
                  <c:v>970</c:v>
                </c:pt>
                <c:pt idx="193">
                  <c:v>975</c:v>
                </c:pt>
                <c:pt idx="194">
                  <c:v>980</c:v>
                </c:pt>
                <c:pt idx="195">
                  <c:v>987</c:v>
                </c:pt>
                <c:pt idx="196">
                  <c:v>995</c:v>
                </c:pt>
                <c:pt idx="197">
                  <c:v>1003</c:v>
                </c:pt>
                <c:pt idx="198">
                  <c:v>1015</c:v>
                </c:pt>
                <c:pt idx="199">
                  <c:v>1027</c:v>
                </c:pt>
                <c:pt idx="200">
                  <c:v>1042</c:v>
                </c:pt>
                <c:pt idx="201">
                  <c:v>1057</c:v>
                </c:pt>
                <c:pt idx="202">
                  <c:v>1073</c:v>
                </c:pt>
                <c:pt idx="203">
                  <c:v>1088</c:v>
                </c:pt>
                <c:pt idx="204">
                  <c:v>1103</c:v>
                </c:pt>
                <c:pt idx="205">
                  <c:v>1118</c:v>
                </c:pt>
                <c:pt idx="206">
                  <c:v>1132</c:v>
                </c:pt>
                <c:pt idx="207">
                  <c:v>1147</c:v>
                </c:pt>
                <c:pt idx="208">
                  <c:v>1216</c:v>
                </c:pt>
                <c:pt idx="209">
                  <c:v>1215</c:v>
                </c:pt>
                <c:pt idx="210">
                  <c:v>1216</c:v>
                </c:pt>
                <c:pt idx="211">
                  <c:v>1216</c:v>
                </c:pt>
                <c:pt idx="212">
                  <c:v>1217</c:v>
                </c:pt>
                <c:pt idx="213">
                  <c:v>1218</c:v>
                </c:pt>
                <c:pt idx="214">
                  <c:v>1215</c:v>
                </c:pt>
                <c:pt idx="215">
                  <c:v>1204</c:v>
                </c:pt>
                <c:pt idx="216">
                  <c:v>1193</c:v>
                </c:pt>
                <c:pt idx="217">
                  <c:v>1170</c:v>
                </c:pt>
                <c:pt idx="218">
                  <c:v>1146</c:v>
                </c:pt>
                <c:pt idx="219">
                  <c:v>1121</c:v>
                </c:pt>
                <c:pt idx="220">
                  <c:v>1095</c:v>
                </c:pt>
                <c:pt idx="221">
                  <c:v>1077</c:v>
                </c:pt>
                <c:pt idx="222">
                  <c:v>1063</c:v>
                </c:pt>
                <c:pt idx="223">
                  <c:v>1049</c:v>
                </c:pt>
                <c:pt idx="224">
                  <c:v>1036</c:v>
                </c:pt>
                <c:pt idx="225">
                  <c:v>1024</c:v>
                </c:pt>
                <c:pt idx="226">
                  <c:v>1012</c:v>
                </c:pt>
                <c:pt idx="227">
                  <c:v>999</c:v>
                </c:pt>
                <c:pt idx="228">
                  <c:v>988</c:v>
                </c:pt>
                <c:pt idx="229">
                  <c:v>984</c:v>
                </c:pt>
                <c:pt idx="230">
                  <c:v>979</c:v>
                </c:pt>
                <c:pt idx="231">
                  <c:v>978</c:v>
                </c:pt>
                <c:pt idx="232">
                  <c:v>976</c:v>
                </c:pt>
                <c:pt idx="233">
                  <c:v>975</c:v>
                </c:pt>
                <c:pt idx="234">
                  <c:v>975</c:v>
                </c:pt>
                <c:pt idx="235">
                  <c:v>971</c:v>
                </c:pt>
                <c:pt idx="236">
                  <c:v>968</c:v>
                </c:pt>
                <c:pt idx="237">
                  <c:v>967</c:v>
                </c:pt>
                <c:pt idx="238">
                  <c:v>967</c:v>
                </c:pt>
                <c:pt idx="239">
                  <c:v>970</c:v>
                </c:pt>
                <c:pt idx="240">
                  <c:v>974</c:v>
                </c:pt>
                <c:pt idx="241">
                  <c:v>980</c:v>
                </c:pt>
                <c:pt idx="242">
                  <c:v>987</c:v>
                </c:pt>
                <c:pt idx="243">
                  <c:v>994</c:v>
                </c:pt>
                <c:pt idx="244">
                  <c:v>999</c:v>
                </c:pt>
                <c:pt idx="245">
                  <c:v>1003</c:v>
                </c:pt>
                <c:pt idx="246">
                  <c:v>1008</c:v>
                </c:pt>
                <c:pt idx="247">
                  <c:v>1015</c:v>
                </c:pt>
                <c:pt idx="248">
                  <c:v>1024</c:v>
                </c:pt>
                <c:pt idx="249">
                  <c:v>1033</c:v>
                </c:pt>
                <c:pt idx="250">
                  <c:v>1045</c:v>
                </c:pt>
                <c:pt idx="251">
                  <c:v>1057</c:v>
                </c:pt>
                <c:pt idx="252">
                  <c:v>1074</c:v>
                </c:pt>
                <c:pt idx="253">
                  <c:v>1090</c:v>
                </c:pt>
                <c:pt idx="254">
                  <c:v>1106</c:v>
                </c:pt>
                <c:pt idx="255">
                  <c:v>1123</c:v>
                </c:pt>
                <c:pt idx="256">
                  <c:v>1140</c:v>
                </c:pt>
                <c:pt idx="257">
                  <c:v>1149</c:v>
                </c:pt>
                <c:pt idx="258">
                  <c:v>1158</c:v>
                </c:pt>
                <c:pt idx="259">
                  <c:v>1167</c:v>
                </c:pt>
                <c:pt idx="260">
                  <c:v>1188</c:v>
                </c:pt>
                <c:pt idx="261">
                  <c:v>1190</c:v>
                </c:pt>
                <c:pt idx="262">
                  <c:v>1192</c:v>
                </c:pt>
                <c:pt idx="263">
                  <c:v>1195</c:v>
                </c:pt>
                <c:pt idx="264">
                  <c:v>1199</c:v>
                </c:pt>
                <c:pt idx="265">
                  <c:v>1209</c:v>
                </c:pt>
                <c:pt idx="266">
                  <c:v>1213</c:v>
                </c:pt>
                <c:pt idx="267">
                  <c:v>1212</c:v>
                </c:pt>
                <c:pt idx="268">
                  <c:v>1201</c:v>
                </c:pt>
                <c:pt idx="269">
                  <c:v>1176</c:v>
                </c:pt>
                <c:pt idx="270">
                  <c:v>1147</c:v>
                </c:pt>
                <c:pt idx="271">
                  <c:v>1119</c:v>
                </c:pt>
                <c:pt idx="272">
                  <c:v>1092</c:v>
                </c:pt>
                <c:pt idx="273">
                  <c:v>1071</c:v>
                </c:pt>
                <c:pt idx="274">
                  <c:v>1058</c:v>
                </c:pt>
                <c:pt idx="275">
                  <c:v>1045</c:v>
                </c:pt>
                <c:pt idx="276">
                  <c:v>1032</c:v>
                </c:pt>
                <c:pt idx="277">
                  <c:v>1019</c:v>
                </c:pt>
                <c:pt idx="278">
                  <c:v>1006</c:v>
                </c:pt>
                <c:pt idx="279">
                  <c:v>993</c:v>
                </c:pt>
                <c:pt idx="280">
                  <c:v>981</c:v>
                </c:pt>
                <c:pt idx="281">
                  <c:v>975</c:v>
                </c:pt>
                <c:pt idx="282">
                  <c:v>974</c:v>
                </c:pt>
                <c:pt idx="283">
                  <c:v>975</c:v>
                </c:pt>
                <c:pt idx="284">
                  <c:v>976</c:v>
                </c:pt>
                <c:pt idx="285">
                  <c:v>980</c:v>
                </c:pt>
                <c:pt idx="286">
                  <c:v>983</c:v>
                </c:pt>
                <c:pt idx="287">
                  <c:v>984</c:v>
                </c:pt>
                <c:pt idx="288">
                  <c:v>981</c:v>
                </c:pt>
                <c:pt idx="289">
                  <c:v>977</c:v>
                </c:pt>
                <c:pt idx="290">
                  <c:v>973</c:v>
                </c:pt>
                <c:pt idx="291">
                  <c:v>972</c:v>
                </c:pt>
                <c:pt idx="292">
                  <c:v>972</c:v>
                </c:pt>
                <c:pt idx="293">
                  <c:v>978</c:v>
                </c:pt>
                <c:pt idx="294">
                  <c:v>988</c:v>
                </c:pt>
                <c:pt idx="295">
                  <c:v>995</c:v>
                </c:pt>
                <c:pt idx="296">
                  <c:v>999</c:v>
                </c:pt>
                <c:pt idx="297">
                  <c:v>1005</c:v>
                </c:pt>
                <c:pt idx="298">
                  <c:v>1012</c:v>
                </c:pt>
                <c:pt idx="299">
                  <c:v>1021</c:v>
                </c:pt>
                <c:pt idx="300">
                  <c:v>1034</c:v>
                </c:pt>
                <c:pt idx="301">
                  <c:v>1045</c:v>
                </c:pt>
                <c:pt idx="302">
                  <c:v>1053</c:v>
                </c:pt>
                <c:pt idx="303">
                  <c:v>1061</c:v>
                </c:pt>
                <c:pt idx="304">
                  <c:v>1073</c:v>
                </c:pt>
                <c:pt idx="305">
                  <c:v>1084</c:v>
                </c:pt>
                <c:pt idx="306">
                  <c:v>1101</c:v>
                </c:pt>
                <c:pt idx="307">
                  <c:v>1121</c:v>
                </c:pt>
                <c:pt idx="308">
                  <c:v>1138</c:v>
                </c:pt>
                <c:pt idx="309">
                  <c:v>1149</c:v>
                </c:pt>
                <c:pt idx="310">
                  <c:v>1159</c:v>
                </c:pt>
                <c:pt idx="311">
                  <c:v>1168</c:v>
                </c:pt>
                <c:pt idx="312">
                  <c:v>1177</c:v>
                </c:pt>
                <c:pt idx="313">
                  <c:v>1237</c:v>
                </c:pt>
                <c:pt idx="314">
                  <c:v>1236</c:v>
                </c:pt>
                <c:pt idx="315">
                  <c:v>1236</c:v>
                </c:pt>
                <c:pt idx="316">
                  <c:v>1235</c:v>
                </c:pt>
                <c:pt idx="317">
                  <c:v>1234</c:v>
                </c:pt>
                <c:pt idx="318">
                  <c:v>1233</c:v>
                </c:pt>
                <c:pt idx="319">
                  <c:v>1231</c:v>
                </c:pt>
                <c:pt idx="320">
                  <c:v>1223</c:v>
                </c:pt>
                <c:pt idx="321">
                  <c:v>1215</c:v>
                </c:pt>
                <c:pt idx="322">
                  <c:v>1200</c:v>
                </c:pt>
                <c:pt idx="323">
                  <c:v>1184</c:v>
                </c:pt>
                <c:pt idx="324">
                  <c:v>1163</c:v>
                </c:pt>
                <c:pt idx="325">
                  <c:v>1143</c:v>
                </c:pt>
                <c:pt idx="326">
                  <c:v>1123</c:v>
                </c:pt>
                <c:pt idx="327">
                  <c:v>1106</c:v>
                </c:pt>
                <c:pt idx="328">
                  <c:v>1088</c:v>
                </c:pt>
                <c:pt idx="329">
                  <c:v>1073</c:v>
                </c:pt>
                <c:pt idx="330">
                  <c:v>1057</c:v>
                </c:pt>
                <c:pt idx="331">
                  <c:v>1045</c:v>
                </c:pt>
                <c:pt idx="332">
                  <c:v>1032</c:v>
                </c:pt>
                <c:pt idx="333">
                  <c:v>1024</c:v>
                </c:pt>
                <c:pt idx="334">
                  <c:v>1019</c:v>
                </c:pt>
                <c:pt idx="335">
                  <c:v>1013</c:v>
                </c:pt>
                <c:pt idx="336">
                  <c:v>1011</c:v>
                </c:pt>
                <c:pt idx="337">
                  <c:v>1012</c:v>
                </c:pt>
                <c:pt idx="338">
                  <c:v>1012</c:v>
                </c:pt>
                <c:pt idx="339">
                  <c:v>1015</c:v>
                </c:pt>
                <c:pt idx="340">
                  <c:v>1014</c:v>
                </c:pt>
                <c:pt idx="341">
                  <c:v>1013</c:v>
                </c:pt>
                <c:pt idx="342">
                  <c:v>1014</c:v>
                </c:pt>
                <c:pt idx="343">
                  <c:v>1014</c:v>
                </c:pt>
                <c:pt idx="344">
                  <c:v>1015</c:v>
                </c:pt>
                <c:pt idx="345">
                  <c:v>1016</c:v>
                </c:pt>
                <c:pt idx="346">
                  <c:v>1018</c:v>
                </c:pt>
                <c:pt idx="347">
                  <c:v>1022</c:v>
                </c:pt>
                <c:pt idx="348">
                  <c:v>1027</c:v>
                </c:pt>
                <c:pt idx="349">
                  <c:v>1034</c:v>
                </c:pt>
                <c:pt idx="350">
                  <c:v>1042</c:v>
                </c:pt>
                <c:pt idx="351">
                  <c:v>1051</c:v>
                </c:pt>
                <c:pt idx="352">
                  <c:v>1060</c:v>
                </c:pt>
                <c:pt idx="353">
                  <c:v>1069</c:v>
                </c:pt>
                <c:pt idx="354">
                  <c:v>1078</c:v>
                </c:pt>
                <c:pt idx="355">
                  <c:v>1088</c:v>
                </c:pt>
                <c:pt idx="356">
                  <c:v>1098</c:v>
                </c:pt>
                <c:pt idx="357">
                  <c:v>1109</c:v>
                </c:pt>
                <c:pt idx="358">
                  <c:v>1121</c:v>
                </c:pt>
                <c:pt idx="359">
                  <c:v>1133</c:v>
                </c:pt>
                <c:pt idx="360">
                  <c:v>1146</c:v>
                </c:pt>
                <c:pt idx="361">
                  <c:v>1159</c:v>
                </c:pt>
                <c:pt idx="362">
                  <c:v>1172</c:v>
                </c:pt>
                <c:pt idx="363">
                  <c:v>1186</c:v>
                </c:pt>
                <c:pt idx="364">
                  <c:v>1199</c:v>
                </c:pt>
                <c:pt idx="365">
                  <c:v>1228</c:v>
                </c:pt>
                <c:pt idx="366">
                  <c:v>1228</c:v>
                </c:pt>
                <c:pt idx="367">
                  <c:v>1229</c:v>
                </c:pt>
                <c:pt idx="368">
                  <c:v>1229</c:v>
                </c:pt>
                <c:pt idx="369">
                  <c:v>1229</c:v>
                </c:pt>
                <c:pt idx="370">
                  <c:v>1228</c:v>
                </c:pt>
                <c:pt idx="371">
                  <c:v>1228</c:v>
                </c:pt>
                <c:pt idx="372">
                  <c:v>1220</c:v>
                </c:pt>
                <c:pt idx="373">
                  <c:v>1213</c:v>
                </c:pt>
                <c:pt idx="374">
                  <c:v>1199</c:v>
                </c:pt>
                <c:pt idx="375">
                  <c:v>1185</c:v>
                </c:pt>
                <c:pt idx="376">
                  <c:v>1165</c:v>
                </c:pt>
                <c:pt idx="377">
                  <c:v>1146</c:v>
                </c:pt>
                <c:pt idx="378">
                  <c:v>1125</c:v>
                </c:pt>
                <c:pt idx="379">
                  <c:v>1107</c:v>
                </c:pt>
                <c:pt idx="380">
                  <c:v>1089</c:v>
                </c:pt>
                <c:pt idx="381">
                  <c:v>1072</c:v>
                </c:pt>
                <c:pt idx="382">
                  <c:v>1055</c:v>
                </c:pt>
                <c:pt idx="383">
                  <c:v>1041</c:v>
                </c:pt>
                <c:pt idx="384">
                  <c:v>1027</c:v>
                </c:pt>
                <c:pt idx="385">
                  <c:v>1017</c:v>
                </c:pt>
                <c:pt idx="386">
                  <c:v>1011</c:v>
                </c:pt>
                <c:pt idx="387">
                  <c:v>1005</c:v>
                </c:pt>
                <c:pt idx="388">
                  <c:v>1002</c:v>
                </c:pt>
                <c:pt idx="389">
                  <c:v>1002</c:v>
                </c:pt>
                <c:pt idx="390">
                  <c:v>1002</c:v>
                </c:pt>
                <c:pt idx="391">
                  <c:v>1004</c:v>
                </c:pt>
                <c:pt idx="392">
                  <c:v>1004</c:v>
                </c:pt>
                <c:pt idx="393">
                  <c:v>1005</c:v>
                </c:pt>
                <c:pt idx="394">
                  <c:v>1006</c:v>
                </c:pt>
                <c:pt idx="395">
                  <c:v>1007</c:v>
                </c:pt>
                <c:pt idx="396">
                  <c:v>1009</c:v>
                </c:pt>
                <c:pt idx="397">
                  <c:v>1011</c:v>
                </c:pt>
                <c:pt idx="398">
                  <c:v>1012</c:v>
                </c:pt>
                <c:pt idx="399">
                  <c:v>1018</c:v>
                </c:pt>
                <c:pt idx="400">
                  <c:v>1023</c:v>
                </c:pt>
                <c:pt idx="401">
                  <c:v>1031</c:v>
                </c:pt>
                <c:pt idx="402">
                  <c:v>1040</c:v>
                </c:pt>
                <c:pt idx="403">
                  <c:v>1049</c:v>
                </c:pt>
                <c:pt idx="404">
                  <c:v>1060</c:v>
                </c:pt>
                <c:pt idx="405">
                  <c:v>1069</c:v>
                </c:pt>
                <c:pt idx="406">
                  <c:v>1078</c:v>
                </c:pt>
                <c:pt idx="407">
                  <c:v>1086</c:v>
                </c:pt>
                <c:pt idx="408">
                  <c:v>1094</c:v>
                </c:pt>
                <c:pt idx="409">
                  <c:v>1104</c:v>
                </c:pt>
                <c:pt idx="410">
                  <c:v>1114</c:v>
                </c:pt>
                <c:pt idx="411">
                  <c:v>1126</c:v>
                </c:pt>
                <c:pt idx="412">
                  <c:v>1140</c:v>
                </c:pt>
                <c:pt idx="413">
                  <c:v>1154</c:v>
                </c:pt>
                <c:pt idx="414">
                  <c:v>1168</c:v>
                </c:pt>
                <c:pt idx="415">
                  <c:v>1182</c:v>
                </c:pt>
                <c:pt idx="416">
                  <c:v>1197</c:v>
                </c:pt>
                <c:pt idx="417">
                  <c:v>1251</c:v>
                </c:pt>
                <c:pt idx="418">
                  <c:v>1251</c:v>
                </c:pt>
                <c:pt idx="419">
                  <c:v>1250</c:v>
                </c:pt>
                <c:pt idx="420">
                  <c:v>1250</c:v>
                </c:pt>
                <c:pt idx="421">
                  <c:v>1248</c:v>
                </c:pt>
                <c:pt idx="422">
                  <c:v>1247</c:v>
                </c:pt>
                <c:pt idx="423">
                  <c:v>1245</c:v>
                </c:pt>
                <c:pt idx="424">
                  <c:v>1235</c:v>
                </c:pt>
                <c:pt idx="425">
                  <c:v>1225</c:v>
                </c:pt>
                <c:pt idx="426">
                  <c:v>1209</c:v>
                </c:pt>
                <c:pt idx="427">
                  <c:v>1192</c:v>
                </c:pt>
                <c:pt idx="428">
                  <c:v>1172</c:v>
                </c:pt>
                <c:pt idx="429">
                  <c:v>1151</c:v>
                </c:pt>
                <c:pt idx="430">
                  <c:v>1131</c:v>
                </c:pt>
                <c:pt idx="431">
                  <c:v>1114</c:v>
                </c:pt>
                <c:pt idx="432">
                  <c:v>1096</c:v>
                </c:pt>
                <c:pt idx="433">
                  <c:v>1079</c:v>
                </c:pt>
                <c:pt idx="434">
                  <c:v>1063</c:v>
                </c:pt>
                <c:pt idx="435">
                  <c:v>1048</c:v>
                </c:pt>
                <c:pt idx="436">
                  <c:v>1034</c:v>
                </c:pt>
                <c:pt idx="437">
                  <c:v>1024</c:v>
                </c:pt>
                <c:pt idx="438">
                  <c:v>1018</c:v>
                </c:pt>
                <c:pt idx="439">
                  <c:v>1012</c:v>
                </c:pt>
                <c:pt idx="440">
                  <c:v>1008</c:v>
                </c:pt>
                <c:pt idx="441">
                  <c:v>1008</c:v>
                </c:pt>
                <c:pt idx="442">
                  <c:v>1009</c:v>
                </c:pt>
                <c:pt idx="443">
                  <c:v>1011</c:v>
                </c:pt>
                <c:pt idx="444">
                  <c:v>1012</c:v>
                </c:pt>
                <c:pt idx="445">
                  <c:v>1013</c:v>
                </c:pt>
                <c:pt idx="446">
                  <c:v>1014</c:v>
                </c:pt>
                <c:pt idx="447">
                  <c:v>1016</c:v>
                </c:pt>
                <c:pt idx="448">
                  <c:v>1018</c:v>
                </c:pt>
                <c:pt idx="449">
                  <c:v>1020</c:v>
                </c:pt>
                <c:pt idx="450">
                  <c:v>1022</c:v>
                </c:pt>
                <c:pt idx="451">
                  <c:v>1028</c:v>
                </c:pt>
                <c:pt idx="452">
                  <c:v>1034</c:v>
                </c:pt>
                <c:pt idx="453">
                  <c:v>1043</c:v>
                </c:pt>
                <c:pt idx="454">
                  <c:v>1052</c:v>
                </c:pt>
                <c:pt idx="455">
                  <c:v>1061</c:v>
                </c:pt>
                <c:pt idx="456">
                  <c:v>1072</c:v>
                </c:pt>
                <c:pt idx="457">
                  <c:v>1081</c:v>
                </c:pt>
                <c:pt idx="458">
                  <c:v>1089</c:v>
                </c:pt>
                <c:pt idx="459">
                  <c:v>1096</c:v>
                </c:pt>
                <c:pt idx="460">
                  <c:v>1103</c:v>
                </c:pt>
                <c:pt idx="461">
                  <c:v>1113</c:v>
                </c:pt>
                <c:pt idx="462">
                  <c:v>1122</c:v>
                </c:pt>
                <c:pt idx="463">
                  <c:v>1133</c:v>
                </c:pt>
                <c:pt idx="464">
                  <c:v>1146</c:v>
                </c:pt>
                <c:pt idx="465">
                  <c:v>1159</c:v>
                </c:pt>
                <c:pt idx="466">
                  <c:v>1172</c:v>
                </c:pt>
                <c:pt idx="467">
                  <c:v>1185</c:v>
                </c:pt>
                <c:pt idx="468">
                  <c:v>1198</c:v>
                </c:pt>
                <c:pt idx="469">
                  <c:v>1247</c:v>
                </c:pt>
                <c:pt idx="470">
                  <c:v>1253</c:v>
                </c:pt>
                <c:pt idx="471">
                  <c:v>1258</c:v>
                </c:pt>
                <c:pt idx="472">
                  <c:v>1263</c:v>
                </c:pt>
                <c:pt idx="473">
                  <c:v>1267</c:v>
                </c:pt>
                <c:pt idx="474">
                  <c:v>1272</c:v>
                </c:pt>
                <c:pt idx="475">
                  <c:v>1268</c:v>
                </c:pt>
                <c:pt idx="476">
                  <c:v>1255</c:v>
                </c:pt>
                <c:pt idx="477">
                  <c:v>1241</c:v>
                </c:pt>
                <c:pt idx="478">
                  <c:v>1219</c:v>
                </c:pt>
                <c:pt idx="479">
                  <c:v>1196</c:v>
                </c:pt>
                <c:pt idx="480">
                  <c:v>1173</c:v>
                </c:pt>
                <c:pt idx="481">
                  <c:v>1150</c:v>
                </c:pt>
                <c:pt idx="482">
                  <c:v>1130</c:v>
                </c:pt>
                <c:pt idx="483">
                  <c:v>1111</c:v>
                </c:pt>
                <c:pt idx="484">
                  <c:v>1093</c:v>
                </c:pt>
                <c:pt idx="485">
                  <c:v>1076</c:v>
                </c:pt>
                <c:pt idx="486">
                  <c:v>1058</c:v>
                </c:pt>
                <c:pt idx="487">
                  <c:v>1044</c:v>
                </c:pt>
                <c:pt idx="488">
                  <c:v>1030</c:v>
                </c:pt>
                <c:pt idx="489">
                  <c:v>1021</c:v>
                </c:pt>
                <c:pt idx="490">
                  <c:v>1015</c:v>
                </c:pt>
                <c:pt idx="491">
                  <c:v>1009</c:v>
                </c:pt>
                <c:pt idx="492">
                  <c:v>1007</c:v>
                </c:pt>
                <c:pt idx="493">
                  <c:v>1009</c:v>
                </c:pt>
                <c:pt idx="494">
                  <c:v>1010</c:v>
                </c:pt>
                <c:pt idx="495">
                  <c:v>1016</c:v>
                </c:pt>
                <c:pt idx="496">
                  <c:v>1017</c:v>
                </c:pt>
                <c:pt idx="497">
                  <c:v>1019</c:v>
                </c:pt>
                <c:pt idx="498">
                  <c:v>1020</c:v>
                </c:pt>
                <c:pt idx="499">
                  <c:v>1021</c:v>
                </c:pt>
                <c:pt idx="500">
                  <c:v>1021</c:v>
                </c:pt>
                <c:pt idx="501">
                  <c:v>1022</c:v>
                </c:pt>
                <c:pt idx="502">
                  <c:v>1023</c:v>
                </c:pt>
                <c:pt idx="503">
                  <c:v>1030</c:v>
                </c:pt>
                <c:pt idx="504">
                  <c:v>1037</c:v>
                </c:pt>
                <c:pt idx="505">
                  <c:v>1046</c:v>
                </c:pt>
                <c:pt idx="506">
                  <c:v>1055</c:v>
                </c:pt>
                <c:pt idx="507">
                  <c:v>1065</c:v>
                </c:pt>
                <c:pt idx="508">
                  <c:v>1076</c:v>
                </c:pt>
                <c:pt idx="509">
                  <c:v>1085</c:v>
                </c:pt>
                <c:pt idx="510">
                  <c:v>1094</c:v>
                </c:pt>
                <c:pt idx="511">
                  <c:v>1099</c:v>
                </c:pt>
                <c:pt idx="512">
                  <c:v>1103</c:v>
                </c:pt>
                <c:pt idx="513">
                  <c:v>1113</c:v>
                </c:pt>
                <c:pt idx="514">
                  <c:v>1123</c:v>
                </c:pt>
                <c:pt idx="515">
                  <c:v>1133</c:v>
                </c:pt>
                <c:pt idx="516">
                  <c:v>1146</c:v>
                </c:pt>
                <c:pt idx="517">
                  <c:v>1158</c:v>
                </c:pt>
                <c:pt idx="518">
                  <c:v>1170</c:v>
                </c:pt>
                <c:pt idx="519">
                  <c:v>1181</c:v>
                </c:pt>
                <c:pt idx="520">
                  <c:v>1193</c:v>
                </c:pt>
              </c:numCache>
            </c:numRef>
          </c:val>
          <c:smooth val="0"/>
          <c:extLst>
            <c:ext xmlns:c16="http://schemas.microsoft.com/office/drawing/2014/chart" uri="{C3380CC4-5D6E-409C-BE32-E72D297353CC}">
              <c16:uniqueId val="{00000003-2252-4A15-8A2C-1240D4F5B31F}"/>
            </c:ext>
          </c:extLst>
        </c:ser>
        <c:dLbls>
          <c:showLegendKey val="0"/>
          <c:showVal val="0"/>
          <c:showCatName val="0"/>
          <c:showSerName val="0"/>
          <c:showPercent val="0"/>
          <c:showBubbleSize val="0"/>
        </c:dLbls>
        <c:smooth val="0"/>
        <c:axId val="602287856"/>
        <c:axId val="481413088"/>
      </c:lineChart>
      <c:catAx>
        <c:axId val="6022878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81413088"/>
        <c:crosses val="autoZero"/>
        <c:auto val="1"/>
        <c:lblAlgn val="ctr"/>
        <c:lblOffset val="100"/>
        <c:noMultiLvlLbl val="0"/>
      </c:catAx>
      <c:valAx>
        <c:axId val="4814130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60228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[covid-19-ch-dashboarcovid-19-excel_test.xlsm]pivot_icu!PivotTable1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Intensive care per canton</a:t>
            </a:r>
          </a:p>
        </c:rich>
      </c:tx>
      <c:layout>
        <c:manualLayout>
          <c:xMode val="edge"/>
          <c:yMode val="edge"/>
          <c:x val="0.3871715830297332"/>
          <c:y val="4.61538512365895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415742791227663"/>
        </c:manualLayout>
      </c:layout>
      <c:lineChart>
        <c:grouping val="standard"/>
        <c:varyColors val="0"/>
        <c:ser>
          <c:idx val="0"/>
          <c:order val="0"/>
          <c:tx>
            <c:strRef>
              <c:f>pivot_icu!$B$3:$B$4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pivot_icu!$B$5:$B$71</c:f>
              <c:numCache>
                <c:formatCode>General</c:formatCode>
                <c:ptCount val="66"/>
                <c:pt idx="22">
                  <c:v>5</c:v>
                </c:pt>
                <c:pt idx="23">
                  <c:v>5</c:v>
                </c:pt>
                <c:pt idx="24">
                  <c:v>6</c:v>
                </c:pt>
                <c:pt idx="25">
                  <c:v>6</c:v>
                </c:pt>
                <c:pt idx="26">
                  <c:v>8</c:v>
                </c:pt>
                <c:pt idx="27">
                  <c:v>7</c:v>
                </c:pt>
                <c:pt idx="28">
                  <c:v>7</c:v>
                </c:pt>
                <c:pt idx="29">
                  <c:v>7</c:v>
                </c:pt>
                <c:pt idx="30">
                  <c:v>5</c:v>
                </c:pt>
                <c:pt idx="31">
                  <c:v>8</c:v>
                </c:pt>
                <c:pt idx="32">
                  <c:v>12</c:v>
                </c:pt>
                <c:pt idx="33">
                  <c:v>13</c:v>
                </c:pt>
                <c:pt idx="34">
                  <c:v>16</c:v>
                </c:pt>
                <c:pt idx="35">
                  <c:v>20</c:v>
                </c:pt>
                <c:pt idx="36">
                  <c:v>23</c:v>
                </c:pt>
                <c:pt idx="37">
                  <c:v>23</c:v>
                </c:pt>
                <c:pt idx="38">
                  <c:v>21</c:v>
                </c:pt>
                <c:pt idx="39">
                  <c:v>21</c:v>
                </c:pt>
                <c:pt idx="40">
                  <c:v>20</c:v>
                </c:pt>
                <c:pt idx="41">
                  <c:v>19</c:v>
                </c:pt>
                <c:pt idx="42">
                  <c:v>22</c:v>
                </c:pt>
                <c:pt idx="43">
                  <c:v>22</c:v>
                </c:pt>
                <c:pt idx="44">
                  <c:v>20</c:v>
                </c:pt>
                <c:pt idx="45">
                  <c:v>19</c:v>
                </c:pt>
                <c:pt idx="46">
                  <c:v>20</c:v>
                </c:pt>
                <c:pt idx="47">
                  <c:v>19</c:v>
                </c:pt>
                <c:pt idx="48">
                  <c:v>17</c:v>
                </c:pt>
                <c:pt idx="49">
                  <c:v>14</c:v>
                </c:pt>
                <c:pt idx="50">
                  <c:v>16</c:v>
                </c:pt>
                <c:pt idx="51">
                  <c:v>15</c:v>
                </c:pt>
                <c:pt idx="52">
                  <c:v>13</c:v>
                </c:pt>
                <c:pt idx="53">
                  <c:v>11</c:v>
                </c:pt>
                <c:pt idx="54">
                  <c:v>12</c:v>
                </c:pt>
                <c:pt idx="55">
                  <c:v>11</c:v>
                </c:pt>
                <c:pt idx="56">
                  <c:v>8</c:v>
                </c:pt>
                <c:pt idx="57">
                  <c:v>5</c:v>
                </c:pt>
                <c:pt idx="58">
                  <c:v>5</c:v>
                </c:pt>
                <c:pt idx="59">
                  <c:v>8</c:v>
                </c:pt>
                <c:pt idx="60">
                  <c:v>7</c:v>
                </c:pt>
                <c:pt idx="61">
                  <c:v>5</c:v>
                </c:pt>
                <c:pt idx="62">
                  <c:v>5</c:v>
                </c:pt>
                <c:pt idx="63">
                  <c:v>5</c:v>
                </c:pt>
                <c:pt idx="64">
                  <c:v>7</c:v>
                </c:pt>
                <c:pt idx="65">
                  <c:v>6</c:v>
                </c:pt>
              </c:numCache>
            </c:numRef>
          </c:val>
          <c:smooth val="0"/>
          <c:extLst>
            <c:ext xmlns:c16="http://schemas.microsoft.com/office/drawing/2014/chart" uri="{C3380CC4-5D6E-409C-BE32-E72D297353CC}">
              <c16:uniqueId val="{00000000-F733-4FB2-8C66-37456E0613CD}"/>
            </c:ext>
          </c:extLst>
        </c:ser>
        <c:ser>
          <c:idx val="1"/>
          <c:order val="1"/>
          <c:tx>
            <c:strRef>
              <c:f>pivot_icu!$C$3:$C$4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pivot_icu!$C$5:$C$71</c:f>
              <c:numCache>
                <c:formatCode>General</c:formatCode>
                <c:ptCount val="66"/>
              </c:numCache>
            </c:numRef>
          </c:val>
          <c:smooth val="0"/>
          <c:extLst>
            <c:ext xmlns:c16="http://schemas.microsoft.com/office/drawing/2014/chart" uri="{C3380CC4-5D6E-409C-BE32-E72D297353CC}">
              <c16:uniqueId val="{00000001-F733-4FB2-8C66-37456E0613CD}"/>
            </c:ext>
          </c:extLst>
        </c:ser>
        <c:ser>
          <c:idx val="2"/>
          <c:order val="2"/>
          <c:tx>
            <c:strRef>
              <c:f>pivot_icu!$D$3:$D$4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pivot_icu!$D$5:$D$71</c:f>
              <c:numCache>
                <c:formatCode>General</c:formatCode>
                <c:ptCount val="66"/>
                <c:pt idx="23">
                  <c:v>6</c:v>
                </c:pt>
                <c:pt idx="24">
                  <c:v>4</c:v>
                </c:pt>
                <c:pt idx="27">
                  <c:v>3</c:v>
                </c:pt>
                <c:pt idx="28">
                  <c:v>2</c:v>
                </c:pt>
                <c:pt idx="29">
                  <c:v>5</c:v>
                </c:pt>
                <c:pt idx="30">
                  <c:v>10</c:v>
                </c:pt>
                <c:pt idx="31">
                  <c:v>12</c:v>
                </c:pt>
                <c:pt idx="34">
                  <c:v>25</c:v>
                </c:pt>
                <c:pt idx="35">
                  <c:v>25</c:v>
                </c:pt>
                <c:pt idx="36">
                  <c:v>27</c:v>
                </c:pt>
                <c:pt idx="37">
                  <c:v>27</c:v>
                </c:pt>
                <c:pt idx="38">
                  <c:v>27</c:v>
                </c:pt>
                <c:pt idx="41">
                  <c:v>25</c:v>
                </c:pt>
                <c:pt idx="42">
                  <c:v>25</c:v>
                </c:pt>
                <c:pt idx="43">
                  <c:v>23</c:v>
                </c:pt>
                <c:pt idx="44">
                  <c:v>22</c:v>
                </c:pt>
                <c:pt idx="46">
                  <c:v>23</c:v>
                </c:pt>
                <c:pt idx="49">
                  <c:v>22</c:v>
                </c:pt>
                <c:pt idx="50">
                  <c:v>20</c:v>
                </c:pt>
                <c:pt idx="51">
                  <c:v>20</c:v>
                </c:pt>
                <c:pt idx="52">
                  <c:v>20</c:v>
                </c:pt>
                <c:pt idx="55">
                  <c:v>16</c:v>
                </c:pt>
                <c:pt idx="56">
                  <c:v>18</c:v>
                </c:pt>
                <c:pt idx="57">
                  <c:v>15</c:v>
                </c:pt>
                <c:pt idx="58">
                  <c:v>14</c:v>
                </c:pt>
                <c:pt idx="59">
                  <c:v>14</c:v>
                </c:pt>
                <c:pt idx="62">
                  <c:v>15</c:v>
                </c:pt>
                <c:pt idx="63">
                  <c:v>12</c:v>
                </c:pt>
                <c:pt idx="64">
                  <c:v>10</c:v>
                </c:pt>
                <c:pt idx="65">
                  <c:v>9</c:v>
                </c:pt>
              </c:numCache>
            </c:numRef>
          </c:val>
          <c:smooth val="0"/>
          <c:extLst>
            <c:ext xmlns:c16="http://schemas.microsoft.com/office/drawing/2014/chart" uri="{C3380CC4-5D6E-409C-BE32-E72D297353CC}">
              <c16:uniqueId val="{00000002-F733-4FB2-8C66-37456E0613CD}"/>
            </c:ext>
          </c:extLst>
        </c:ser>
        <c:ser>
          <c:idx val="3"/>
          <c:order val="3"/>
          <c:tx>
            <c:strRef>
              <c:f>pivot_icu!$E$3:$E$4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pivot_icu!$E$5:$E$71</c:f>
              <c:numCache>
                <c:formatCode>General</c:formatCode>
                <c:ptCount val="66"/>
              </c:numCache>
            </c:numRef>
          </c:val>
          <c:smooth val="0"/>
          <c:extLst>
            <c:ext xmlns:c16="http://schemas.microsoft.com/office/drawing/2014/chart" uri="{C3380CC4-5D6E-409C-BE32-E72D297353CC}">
              <c16:uniqueId val="{00000003-F733-4FB2-8C66-37456E0613CD}"/>
            </c:ext>
          </c:extLst>
        </c:ser>
        <c:ser>
          <c:idx val="4"/>
          <c:order val="4"/>
          <c:tx>
            <c:strRef>
              <c:f>pivot_icu!$F$3:$F$4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pivot_icu!$F$5:$F$71</c:f>
              <c:numCache>
                <c:formatCode>General</c:formatCode>
                <c:ptCount val="66"/>
                <c:pt idx="58">
                  <c:v>2</c:v>
                </c:pt>
                <c:pt idx="59">
                  <c:v>2</c:v>
                </c:pt>
                <c:pt idx="62">
                  <c:v>2</c:v>
                </c:pt>
                <c:pt idx="63">
                  <c:v>2</c:v>
                </c:pt>
                <c:pt idx="64">
                  <c:v>2</c:v>
                </c:pt>
                <c:pt idx="65">
                  <c:v>2</c:v>
                </c:pt>
              </c:numCache>
            </c:numRef>
          </c:val>
          <c:smooth val="0"/>
          <c:extLst>
            <c:ext xmlns:c16="http://schemas.microsoft.com/office/drawing/2014/chart" uri="{C3380CC4-5D6E-409C-BE32-E72D297353CC}">
              <c16:uniqueId val="{00000004-F733-4FB2-8C66-37456E0613CD}"/>
            </c:ext>
          </c:extLst>
        </c:ser>
        <c:ser>
          <c:idx val="5"/>
          <c:order val="5"/>
          <c:tx>
            <c:strRef>
              <c:f>pivot_icu!$G$3:$G$4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pivot_icu!$G$5:$G$71</c:f>
              <c:numCache>
                <c:formatCode>General</c:formatCode>
                <c:ptCount val="66"/>
                <c:pt idx="34">
                  <c:v>21</c:v>
                </c:pt>
                <c:pt idx="35">
                  <c:v>23</c:v>
                </c:pt>
                <c:pt idx="36">
                  <c:v>26</c:v>
                </c:pt>
                <c:pt idx="37">
                  <c:v>24</c:v>
                </c:pt>
                <c:pt idx="38">
                  <c:v>30</c:v>
                </c:pt>
                <c:pt idx="39">
                  <c:v>35</c:v>
                </c:pt>
                <c:pt idx="40">
                  <c:v>30</c:v>
                </c:pt>
                <c:pt idx="41">
                  <c:v>35</c:v>
                </c:pt>
                <c:pt idx="42">
                  <c:v>34</c:v>
                </c:pt>
                <c:pt idx="43">
                  <c:v>35</c:v>
                </c:pt>
                <c:pt idx="44">
                  <c:v>36</c:v>
                </c:pt>
                <c:pt idx="45">
                  <c:v>33</c:v>
                </c:pt>
                <c:pt idx="46">
                  <c:v>33</c:v>
                </c:pt>
                <c:pt idx="47">
                  <c:v>33</c:v>
                </c:pt>
                <c:pt idx="48">
                  <c:v>32</c:v>
                </c:pt>
                <c:pt idx="49">
                  <c:v>31</c:v>
                </c:pt>
                <c:pt idx="50">
                  <c:v>30</c:v>
                </c:pt>
                <c:pt idx="51">
                  <c:v>26</c:v>
                </c:pt>
                <c:pt idx="52">
                  <c:v>25</c:v>
                </c:pt>
                <c:pt idx="53">
                  <c:v>22</c:v>
                </c:pt>
                <c:pt idx="54">
                  <c:v>20</c:v>
                </c:pt>
                <c:pt idx="55">
                  <c:v>19</c:v>
                </c:pt>
                <c:pt idx="56">
                  <c:v>17</c:v>
                </c:pt>
                <c:pt idx="57">
                  <c:v>14</c:v>
                </c:pt>
                <c:pt idx="58">
                  <c:v>11</c:v>
                </c:pt>
                <c:pt idx="59">
                  <c:v>11</c:v>
                </c:pt>
                <c:pt idx="60">
                  <c:v>11</c:v>
                </c:pt>
                <c:pt idx="61">
                  <c:v>9</c:v>
                </c:pt>
                <c:pt idx="62">
                  <c:v>10</c:v>
                </c:pt>
                <c:pt idx="63">
                  <c:v>7</c:v>
                </c:pt>
                <c:pt idx="64">
                  <c:v>10</c:v>
                </c:pt>
                <c:pt idx="65">
                  <c:v>9</c:v>
                </c:pt>
              </c:numCache>
            </c:numRef>
          </c:val>
          <c:smooth val="0"/>
          <c:extLst>
            <c:ext xmlns:c16="http://schemas.microsoft.com/office/drawing/2014/chart" uri="{C3380CC4-5D6E-409C-BE32-E72D297353CC}">
              <c16:uniqueId val="{00000005-F733-4FB2-8C66-37456E0613CD}"/>
            </c:ext>
          </c:extLst>
        </c:ser>
        <c:ser>
          <c:idx val="6"/>
          <c:order val="6"/>
          <c:tx>
            <c:strRef>
              <c:f>pivot_icu!$H$3:$H$4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pivot_icu!$H$5:$H$71</c:f>
              <c:numCache>
                <c:formatCode>General</c:formatCode>
                <c:ptCount val="66"/>
                <c:pt idx="10">
                  <c:v>2</c:v>
                </c:pt>
                <c:pt idx="11">
                  <c:v>2</c:v>
                </c:pt>
                <c:pt idx="12">
                  <c:v>2</c:v>
                </c:pt>
                <c:pt idx="13">
                  <c:v>4</c:v>
                </c:pt>
                <c:pt idx="14">
                  <c:v>1</c:v>
                </c:pt>
                <c:pt idx="15">
                  <c:v>1</c:v>
                </c:pt>
                <c:pt idx="16">
                  <c:v>3</c:v>
                </c:pt>
                <c:pt idx="17">
                  <c:v>3</c:v>
                </c:pt>
                <c:pt idx="18">
                  <c:v>2</c:v>
                </c:pt>
                <c:pt idx="19">
                  <c:v>2</c:v>
                </c:pt>
                <c:pt idx="20">
                  <c:v>4</c:v>
                </c:pt>
                <c:pt idx="21">
                  <c:v>5</c:v>
                </c:pt>
                <c:pt idx="22">
                  <c:v>2</c:v>
                </c:pt>
                <c:pt idx="23">
                  <c:v>2</c:v>
                </c:pt>
                <c:pt idx="24">
                  <c:v>2</c:v>
                </c:pt>
                <c:pt idx="25">
                  <c:v>4</c:v>
                </c:pt>
                <c:pt idx="26">
                  <c:v>7</c:v>
                </c:pt>
                <c:pt idx="27">
                  <c:v>10</c:v>
                </c:pt>
                <c:pt idx="28">
                  <c:v>11</c:v>
                </c:pt>
                <c:pt idx="29">
                  <c:v>8</c:v>
                </c:pt>
                <c:pt idx="30">
                  <c:v>9</c:v>
                </c:pt>
                <c:pt idx="31">
                  <c:v>11</c:v>
                </c:pt>
                <c:pt idx="32">
                  <c:v>14</c:v>
                </c:pt>
                <c:pt idx="33">
                  <c:v>15</c:v>
                </c:pt>
                <c:pt idx="34">
                  <c:v>17</c:v>
                </c:pt>
                <c:pt idx="35">
                  <c:v>18</c:v>
                </c:pt>
                <c:pt idx="36">
                  <c:v>17</c:v>
                </c:pt>
                <c:pt idx="37">
                  <c:v>18</c:v>
                </c:pt>
                <c:pt idx="38">
                  <c:v>18</c:v>
                </c:pt>
                <c:pt idx="39">
                  <c:v>19</c:v>
                </c:pt>
                <c:pt idx="40">
                  <c:v>19</c:v>
                </c:pt>
                <c:pt idx="41">
                  <c:v>17</c:v>
                </c:pt>
                <c:pt idx="42">
                  <c:v>18</c:v>
                </c:pt>
                <c:pt idx="43">
                  <c:v>18</c:v>
                </c:pt>
                <c:pt idx="44">
                  <c:v>18</c:v>
                </c:pt>
                <c:pt idx="45">
                  <c:v>17</c:v>
                </c:pt>
                <c:pt idx="46">
                  <c:v>16</c:v>
                </c:pt>
                <c:pt idx="47">
                  <c:v>17</c:v>
                </c:pt>
                <c:pt idx="48">
                  <c:v>16</c:v>
                </c:pt>
                <c:pt idx="49">
                  <c:v>14</c:v>
                </c:pt>
                <c:pt idx="50">
                  <c:v>9</c:v>
                </c:pt>
                <c:pt idx="51">
                  <c:v>8</c:v>
                </c:pt>
                <c:pt idx="52">
                  <c:v>8</c:v>
                </c:pt>
                <c:pt idx="53">
                  <c:v>7</c:v>
                </c:pt>
                <c:pt idx="54">
                  <c:v>7</c:v>
                </c:pt>
                <c:pt idx="55">
                  <c:v>6</c:v>
                </c:pt>
                <c:pt idx="56">
                  <c:v>3</c:v>
                </c:pt>
                <c:pt idx="57">
                  <c:v>3</c:v>
                </c:pt>
                <c:pt idx="58">
                  <c:v>3</c:v>
                </c:pt>
                <c:pt idx="59">
                  <c:v>2</c:v>
                </c:pt>
                <c:pt idx="60">
                  <c:v>1</c:v>
                </c:pt>
                <c:pt idx="61">
                  <c:v>0</c:v>
                </c:pt>
                <c:pt idx="62">
                  <c:v>1</c:v>
                </c:pt>
                <c:pt idx="63">
                  <c:v>1</c:v>
                </c:pt>
                <c:pt idx="64">
                  <c:v>1</c:v>
                </c:pt>
                <c:pt idx="65">
                  <c:v>1</c:v>
                </c:pt>
              </c:numCache>
            </c:numRef>
          </c:val>
          <c:smooth val="0"/>
          <c:extLst>
            <c:ext xmlns:c16="http://schemas.microsoft.com/office/drawing/2014/chart" uri="{C3380CC4-5D6E-409C-BE32-E72D297353CC}">
              <c16:uniqueId val="{00000006-F733-4FB2-8C66-37456E0613CD}"/>
            </c:ext>
          </c:extLst>
        </c:ser>
        <c:ser>
          <c:idx val="7"/>
          <c:order val="7"/>
          <c:tx>
            <c:strRef>
              <c:f>pivot_icu!$I$3:$I$4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pivot_icu!$I$5:$I$71</c:f>
              <c:numCache>
                <c:formatCode>General</c:formatCode>
                <c:ptCount val="66"/>
                <c:pt idx="15">
                  <c:v>2</c:v>
                </c:pt>
                <c:pt idx="30">
                  <c:v>8</c:v>
                </c:pt>
                <c:pt idx="31">
                  <c:v>8</c:v>
                </c:pt>
                <c:pt idx="32">
                  <c:v>11</c:v>
                </c:pt>
                <c:pt idx="33">
                  <c:v>12</c:v>
                </c:pt>
                <c:pt idx="34">
                  <c:v>12</c:v>
                </c:pt>
                <c:pt idx="35">
                  <c:v>15</c:v>
                </c:pt>
                <c:pt idx="36">
                  <c:v>16</c:v>
                </c:pt>
                <c:pt idx="37">
                  <c:v>17</c:v>
                </c:pt>
                <c:pt idx="38">
                  <c:v>17</c:v>
                </c:pt>
                <c:pt idx="39">
                  <c:v>16</c:v>
                </c:pt>
                <c:pt idx="40">
                  <c:v>15</c:v>
                </c:pt>
                <c:pt idx="41">
                  <c:v>13</c:v>
                </c:pt>
                <c:pt idx="42">
                  <c:v>13</c:v>
                </c:pt>
                <c:pt idx="43">
                  <c:v>14</c:v>
                </c:pt>
                <c:pt idx="44">
                  <c:v>13</c:v>
                </c:pt>
                <c:pt idx="45">
                  <c:v>13</c:v>
                </c:pt>
                <c:pt idx="47">
                  <c:v>12</c:v>
                </c:pt>
                <c:pt idx="49">
                  <c:v>9</c:v>
                </c:pt>
                <c:pt idx="50">
                  <c:v>7</c:v>
                </c:pt>
                <c:pt idx="51">
                  <c:v>6</c:v>
                </c:pt>
                <c:pt idx="52">
                  <c:v>7</c:v>
                </c:pt>
                <c:pt idx="56">
                  <c:v>9</c:v>
                </c:pt>
                <c:pt idx="57">
                  <c:v>7</c:v>
                </c:pt>
                <c:pt idx="58">
                  <c:v>7</c:v>
                </c:pt>
                <c:pt idx="59">
                  <c:v>7</c:v>
                </c:pt>
                <c:pt idx="63">
                  <c:v>7</c:v>
                </c:pt>
                <c:pt idx="64">
                  <c:v>7</c:v>
                </c:pt>
                <c:pt idx="65">
                  <c:v>8</c:v>
                </c:pt>
              </c:numCache>
            </c:numRef>
          </c:val>
          <c:smooth val="0"/>
          <c:extLst>
            <c:ext xmlns:c16="http://schemas.microsoft.com/office/drawing/2014/chart" uri="{C3380CC4-5D6E-409C-BE32-E72D297353CC}">
              <c16:uniqueId val="{00000007-F733-4FB2-8C66-37456E0613CD}"/>
            </c:ext>
          </c:extLst>
        </c:ser>
        <c:ser>
          <c:idx val="8"/>
          <c:order val="8"/>
          <c:tx>
            <c:strRef>
              <c:f>pivot_icu!$J$3:$J$4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pivot_icu!$J$5:$J$71</c:f>
              <c:numCache>
                <c:formatCode>General</c:formatCode>
                <c:ptCount val="66"/>
              </c:numCache>
            </c:numRef>
          </c:val>
          <c:smooth val="0"/>
          <c:extLst>
            <c:ext xmlns:c16="http://schemas.microsoft.com/office/drawing/2014/chart" uri="{C3380CC4-5D6E-409C-BE32-E72D297353CC}">
              <c16:uniqueId val="{00000008-F733-4FB2-8C66-37456E0613CD}"/>
            </c:ext>
          </c:extLst>
        </c:ser>
        <c:ser>
          <c:idx val="9"/>
          <c:order val="9"/>
          <c:tx>
            <c:strRef>
              <c:f>pivot_icu!$K$3:$K$4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pivot_icu!$K$5:$K$71</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3</c:v>
                </c:pt>
                <c:pt idx="14">
                  <c:v>4</c:v>
                </c:pt>
                <c:pt idx="15">
                  <c:v>6</c:v>
                </c:pt>
                <c:pt idx="16">
                  <c:v>6</c:v>
                </c:pt>
                <c:pt idx="17">
                  <c:v>7</c:v>
                </c:pt>
                <c:pt idx="18">
                  <c:v>8</c:v>
                </c:pt>
                <c:pt idx="19">
                  <c:v>12</c:v>
                </c:pt>
                <c:pt idx="20">
                  <c:v>10</c:v>
                </c:pt>
                <c:pt idx="21">
                  <c:v>19</c:v>
                </c:pt>
                <c:pt idx="22">
                  <c:v>20</c:v>
                </c:pt>
                <c:pt idx="23">
                  <c:v>19</c:v>
                </c:pt>
                <c:pt idx="24">
                  <c:v>22</c:v>
                </c:pt>
                <c:pt idx="25">
                  <c:v>25</c:v>
                </c:pt>
                <c:pt idx="26">
                  <c:v>36</c:v>
                </c:pt>
                <c:pt idx="27">
                  <c:v>43</c:v>
                </c:pt>
                <c:pt idx="28">
                  <c:v>41</c:v>
                </c:pt>
                <c:pt idx="29">
                  <c:v>50</c:v>
                </c:pt>
                <c:pt idx="30">
                  <c:v>52</c:v>
                </c:pt>
                <c:pt idx="31">
                  <c:v>54</c:v>
                </c:pt>
                <c:pt idx="32">
                  <c:v>59</c:v>
                </c:pt>
                <c:pt idx="33">
                  <c:v>59</c:v>
                </c:pt>
                <c:pt idx="34">
                  <c:v>57</c:v>
                </c:pt>
                <c:pt idx="35">
                  <c:v>64</c:v>
                </c:pt>
                <c:pt idx="36">
                  <c:v>64</c:v>
                </c:pt>
                <c:pt idx="37">
                  <c:v>62</c:v>
                </c:pt>
                <c:pt idx="38">
                  <c:v>65</c:v>
                </c:pt>
                <c:pt idx="39">
                  <c:v>61</c:v>
                </c:pt>
                <c:pt idx="40">
                  <c:v>56</c:v>
                </c:pt>
                <c:pt idx="41">
                  <c:v>56</c:v>
                </c:pt>
                <c:pt idx="42">
                  <c:v>51</c:v>
                </c:pt>
                <c:pt idx="43">
                  <c:v>49</c:v>
                </c:pt>
                <c:pt idx="44">
                  <c:v>47</c:v>
                </c:pt>
                <c:pt idx="45">
                  <c:v>47</c:v>
                </c:pt>
                <c:pt idx="46">
                  <c:v>48</c:v>
                </c:pt>
                <c:pt idx="47">
                  <c:v>47</c:v>
                </c:pt>
                <c:pt idx="48">
                  <c:v>47</c:v>
                </c:pt>
                <c:pt idx="49">
                  <c:v>46</c:v>
                </c:pt>
                <c:pt idx="50">
                  <c:v>41</c:v>
                </c:pt>
                <c:pt idx="51">
                  <c:v>38</c:v>
                </c:pt>
                <c:pt idx="52">
                  <c:v>39</c:v>
                </c:pt>
                <c:pt idx="53">
                  <c:v>34</c:v>
                </c:pt>
                <c:pt idx="54">
                  <c:v>35</c:v>
                </c:pt>
                <c:pt idx="55">
                  <c:v>34</c:v>
                </c:pt>
                <c:pt idx="56">
                  <c:v>32</c:v>
                </c:pt>
                <c:pt idx="57">
                  <c:v>30</c:v>
                </c:pt>
                <c:pt idx="58">
                  <c:v>29</c:v>
                </c:pt>
                <c:pt idx="59">
                  <c:v>26</c:v>
                </c:pt>
                <c:pt idx="60">
                  <c:v>27</c:v>
                </c:pt>
                <c:pt idx="61">
                  <c:v>25</c:v>
                </c:pt>
                <c:pt idx="62">
                  <c:v>26</c:v>
                </c:pt>
                <c:pt idx="63">
                  <c:v>23</c:v>
                </c:pt>
                <c:pt idx="64">
                  <c:v>21</c:v>
                </c:pt>
              </c:numCache>
            </c:numRef>
          </c:val>
          <c:smooth val="0"/>
          <c:extLst>
            <c:ext xmlns:c16="http://schemas.microsoft.com/office/drawing/2014/chart" uri="{C3380CC4-5D6E-409C-BE32-E72D297353CC}">
              <c16:uniqueId val="{00000009-F733-4FB2-8C66-37456E0613CD}"/>
            </c:ext>
          </c:extLst>
        </c:ser>
        <c:ser>
          <c:idx val="10"/>
          <c:order val="10"/>
          <c:tx>
            <c:strRef>
              <c:f>pivot_icu!$L$3:$L$4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pivot_icu!$L$5:$L$71</c:f>
              <c:numCache>
                <c:formatCode>General</c:formatCode>
                <c:ptCount val="66"/>
              </c:numCache>
            </c:numRef>
          </c:val>
          <c:smooth val="0"/>
          <c:extLst>
            <c:ext xmlns:c16="http://schemas.microsoft.com/office/drawing/2014/chart" uri="{C3380CC4-5D6E-409C-BE32-E72D297353CC}">
              <c16:uniqueId val="{0000000A-F733-4FB2-8C66-37456E0613CD}"/>
            </c:ext>
          </c:extLst>
        </c:ser>
        <c:ser>
          <c:idx val="11"/>
          <c:order val="11"/>
          <c:tx>
            <c:strRef>
              <c:f>pivot_icu!$M$3:$M$4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pivot_icu!$M$5:$M$71</c:f>
              <c:numCache>
                <c:formatCode>General</c:formatCode>
                <c:ptCount val="66"/>
              </c:numCache>
            </c:numRef>
          </c:val>
          <c:smooth val="0"/>
          <c:extLst>
            <c:ext xmlns:c16="http://schemas.microsoft.com/office/drawing/2014/chart" uri="{C3380CC4-5D6E-409C-BE32-E72D297353CC}">
              <c16:uniqueId val="{0000000B-F733-4FB2-8C66-37456E0613CD}"/>
            </c:ext>
          </c:extLst>
        </c:ser>
        <c:ser>
          <c:idx val="12"/>
          <c:order val="12"/>
          <c:tx>
            <c:strRef>
              <c:f>pivot_icu!$N$3:$N$4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pivot_icu!$N$5:$N$71</c:f>
              <c:numCache>
                <c:formatCode>General</c:formatCode>
                <c:ptCount val="66"/>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2</c:v>
                </c:pt>
                <c:pt idx="27">
                  <c:v>3</c:v>
                </c:pt>
                <c:pt idx="28">
                  <c:v>4</c:v>
                </c:pt>
                <c:pt idx="29">
                  <c:v>4</c:v>
                </c:pt>
                <c:pt idx="30">
                  <c:v>4</c:v>
                </c:pt>
                <c:pt idx="31">
                  <c:v>6</c:v>
                </c:pt>
                <c:pt idx="32">
                  <c:v>5</c:v>
                </c:pt>
                <c:pt idx="33">
                  <c:v>5</c:v>
                </c:pt>
                <c:pt idx="34">
                  <c:v>5</c:v>
                </c:pt>
                <c:pt idx="35">
                  <c:v>5</c:v>
                </c:pt>
                <c:pt idx="36">
                  <c:v>5</c:v>
                </c:pt>
                <c:pt idx="37">
                  <c:v>3</c:v>
                </c:pt>
                <c:pt idx="38">
                  <c:v>3</c:v>
                </c:pt>
                <c:pt idx="39">
                  <c:v>3</c:v>
                </c:pt>
                <c:pt idx="40">
                  <c:v>4</c:v>
                </c:pt>
                <c:pt idx="41">
                  <c:v>4</c:v>
                </c:pt>
                <c:pt idx="42">
                  <c:v>4</c:v>
                </c:pt>
                <c:pt idx="43">
                  <c:v>4</c:v>
                </c:pt>
                <c:pt idx="44">
                  <c:v>5</c:v>
                </c:pt>
                <c:pt idx="45">
                  <c:v>5</c:v>
                </c:pt>
                <c:pt idx="46">
                  <c:v>5</c:v>
                </c:pt>
                <c:pt idx="47">
                  <c:v>5</c:v>
                </c:pt>
                <c:pt idx="48">
                  <c:v>5</c:v>
                </c:pt>
                <c:pt idx="49">
                  <c:v>5</c:v>
                </c:pt>
                <c:pt idx="50">
                  <c:v>5</c:v>
                </c:pt>
                <c:pt idx="51">
                  <c:v>5</c:v>
                </c:pt>
                <c:pt idx="52">
                  <c:v>5</c:v>
                </c:pt>
                <c:pt idx="53">
                  <c:v>5</c:v>
                </c:pt>
                <c:pt idx="54">
                  <c:v>5</c:v>
                </c:pt>
                <c:pt idx="55">
                  <c:v>4</c:v>
                </c:pt>
                <c:pt idx="56">
                  <c:v>4</c:v>
                </c:pt>
                <c:pt idx="57">
                  <c:v>4</c:v>
                </c:pt>
                <c:pt idx="58">
                  <c:v>4</c:v>
                </c:pt>
                <c:pt idx="59">
                  <c:v>4</c:v>
                </c:pt>
                <c:pt idx="60">
                  <c:v>4</c:v>
                </c:pt>
                <c:pt idx="61">
                  <c:v>4</c:v>
                </c:pt>
                <c:pt idx="62">
                  <c:v>4</c:v>
                </c:pt>
                <c:pt idx="63">
                  <c:v>5</c:v>
                </c:pt>
                <c:pt idx="64">
                  <c:v>5</c:v>
                </c:pt>
                <c:pt idx="65">
                  <c:v>5</c:v>
                </c:pt>
              </c:numCache>
            </c:numRef>
          </c:val>
          <c:smooth val="0"/>
          <c:extLst>
            <c:ext xmlns:c16="http://schemas.microsoft.com/office/drawing/2014/chart" uri="{C3380CC4-5D6E-409C-BE32-E72D297353CC}">
              <c16:uniqueId val="{0000000C-F733-4FB2-8C66-37456E0613CD}"/>
            </c:ext>
          </c:extLst>
        </c:ser>
        <c:ser>
          <c:idx val="13"/>
          <c:order val="13"/>
          <c:tx>
            <c:strRef>
              <c:f>pivot_icu!$O$3:$O$4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pivot_icu!$O$5:$O$71</c:f>
              <c:numCache>
                <c:formatCode>General</c:formatCode>
                <c:ptCount val="66"/>
                <c:pt idx="36">
                  <c:v>12</c:v>
                </c:pt>
                <c:pt idx="37">
                  <c:v>11</c:v>
                </c:pt>
                <c:pt idx="38">
                  <c:v>12</c:v>
                </c:pt>
                <c:pt idx="39">
                  <c:v>12</c:v>
                </c:pt>
                <c:pt idx="40">
                  <c:v>12</c:v>
                </c:pt>
                <c:pt idx="41">
                  <c:v>6</c:v>
                </c:pt>
                <c:pt idx="42">
                  <c:v>6</c:v>
                </c:pt>
                <c:pt idx="44">
                  <c:v>6</c:v>
                </c:pt>
                <c:pt idx="45">
                  <c:v>6</c:v>
                </c:pt>
                <c:pt idx="47">
                  <c:v>5</c:v>
                </c:pt>
                <c:pt idx="48">
                  <c:v>5</c:v>
                </c:pt>
                <c:pt idx="49">
                  <c:v>4</c:v>
                </c:pt>
                <c:pt idx="50">
                  <c:v>4</c:v>
                </c:pt>
                <c:pt idx="51">
                  <c:v>3</c:v>
                </c:pt>
                <c:pt idx="52">
                  <c:v>3</c:v>
                </c:pt>
                <c:pt idx="53">
                  <c:v>4</c:v>
                </c:pt>
                <c:pt idx="54">
                  <c:v>4</c:v>
                </c:pt>
                <c:pt idx="55">
                  <c:v>5</c:v>
                </c:pt>
                <c:pt idx="56">
                  <c:v>5</c:v>
                </c:pt>
                <c:pt idx="58">
                  <c:v>7</c:v>
                </c:pt>
                <c:pt idx="60">
                  <c:v>8</c:v>
                </c:pt>
                <c:pt idx="61">
                  <c:v>7</c:v>
                </c:pt>
                <c:pt idx="62">
                  <c:v>7</c:v>
                </c:pt>
                <c:pt idx="63">
                  <c:v>7</c:v>
                </c:pt>
                <c:pt idx="64">
                  <c:v>8</c:v>
                </c:pt>
                <c:pt idx="65">
                  <c:v>8</c:v>
                </c:pt>
              </c:numCache>
            </c:numRef>
          </c:val>
          <c:smooth val="0"/>
          <c:extLst>
            <c:ext xmlns:c16="http://schemas.microsoft.com/office/drawing/2014/chart" uri="{C3380CC4-5D6E-409C-BE32-E72D297353CC}">
              <c16:uniqueId val="{0000000D-F733-4FB2-8C66-37456E0613CD}"/>
            </c:ext>
          </c:extLst>
        </c:ser>
        <c:ser>
          <c:idx val="14"/>
          <c:order val="14"/>
          <c:tx>
            <c:strRef>
              <c:f>pivot_icu!$P$3:$P$4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pivot_icu!$P$5:$P$71</c:f>
              <c:numCache>
                <c:formatCode>General</c:formatCode>
                <c:ptCount val="66"/>
                <c:pt idx="27">
                  <c:v>11</c:v>
                </c:pt>
                <c:pt idx="28">
                  <c:v>8</c:v>
                </c:pt>
                <c:pt idx="29">
                  <c:v>10</c:v>
                </c:pt>
                <c:pt idx="30">
                  <c:v>9</c:v>
                </c:pt>
                <c:pt idx="31">
                  <c:v>9</c:v>
                </c:pt>
                <c:pt idx="32">
                  <c:v>11</c:v>
                </c:pt>
                <c:pt idx="33">
                  <c:v>16</c:v>
                </c:pt>
                <c:pt idx="34">
                  <c:v>12</c:v>
                </c:pt>
                <c:pt idx="35">
                  <c:v>14</c:v>
                </c:pt>
                <c:pt idx="36">
                  <c:v>14</c:v>
                </c:pt>
                <c:pt idx="37">
                  <c:v>12</c:v>
                </c:pt>
                <c:pt idx="38">
                  <c:v>11</c:v>
                </c:pt>
                <c:pt idx="39">
                  <c:v>10</c:v>
                </c:pt>
                <c:pt idx="40">
                  <c:v>12</c:v>
                </c:pt>
                <c:pt idx="41">
                  <c:v>10</c:v>
                </c:pt>
                <c:pt idx="42">
                  <c:v>10</c:v>
                </c:pt>
                <c:pt idx="43">
                  <c:v>10</c:v>
                </c:pt>
                <c:pt idx="44">
                  <c:v>10</c:v>
                </c:pt>
                <c:pt idx="45">
                  <c:v>11</c:v>
                </c:pt>
                <c:pt idx="46">
                  <c:v>11</c:v>
                </c:pt>
                <c:pt idx="47">
                  <c:v>10</c:v>
                </c:pt>
                <c:pt idx="48">
                  <c:v>10</c:v>
                </c:pt>
                <c:pt idx="49">
                  <c:v>11</c:v>
                </c:pt>
                <c:pt idx="50">
                  <c:v>12</c:v>
                </c:pt>
                <c:pt idx="51">
                  <c:v>11</c:v>
                </c:pt>
                <c:pt idx="52">
                  <c:v>10</c:v>
                </c:pt>
                <c:pt idx="53">
                  <c:v>10</c:v>
                </c:pt>
                <c:pt idx="54">
                  <c:v>9</c:v>
                </c:pt>
                <c:pt idx="55">
                  <c:v>10</c:v>
                </c:pt>
                <c:pt idx="56">
                  <c:v>7</c:v>
                </c:pt>
                <c:pt idx="57">
                  <c:v>6</c:v>
                </c:pt>
                <c:pt idx="58">
                  <c:v>6</c:v>
                </c:pt>
                <c:pt idx="59">
                  <c:v>6</c:v>
                </c:pt>
                <c:pt idx="60">
                  <c:v>4</c:v>
                </c:pt>
                <c:pt idx="61">
                  <c:v>3</c:v>
                </c:pt>
                <c:pt idx="62">
                  <c:v>3</c:v>
                </c:pt>
                <c:pt idx="63">
                  <c:v>3</c:v>
                </c:pt>
                <c:pt idx="64">
                  <c:v>4</c:v>
                </c:pt>
                <c:pt idx="65">
                  <c:v>5</c:v>
                </c:pt>
              </c:numCache>
            </c:numRef>
          </c:val>
          <c:smooth val="0"/>
          <c:extLst>
            <c:ext xmlns:c16="http://schemas.microsoft.com/office/drawing/2014/chart" uri="{C3380CC4-5D6E-409C-BE32-E72D297353CC}">
              <c16:uniqueId val="{0000000E-F733-4FB2-8C66-37456E0613CD}"/>
            </c:ext>
          </c:extLst>
        </c:ser>
        <c:ser>
          <c:idx val="15"/>
          <c:order val="15"/>
          <c:tx>
            <c:strRef>
              <c:f>pivot_icu!$Q$3:$Q$4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pivot_icu!$Q$5:$Q$71</c:f>
              <c:numCache>
                <c:formatCode>General</c:formatCode>
                <c:ptCount val="66"/>
                <c:pt idx="35">
                  <c:v>1</c:v>
                </c:pt>
                <c:pt idx="36">
                  <c:v>2</c:v>
                </c:pt>
                <c:pt idx="37">
                  <c:v>2</c:v>
                </c:pt>
                <c:pt idx="38">
                  <c:v>2</c:v>
                </c:pt>
                <c:pt idx="39">
                  <c:v>2</c:v>
                </c:pt>
                <c:pt idx="40">
                  <c:v>2</c:v>
                </c:pt>
                <c:pt idx="41">
                  <c:v>2</c:v>
                </c:pt>
                <c:pt idx="42">
                  <c:v>2</c:v>
                </c:pt>
                <c:pt idx="43">
                  <c:v>1</c:v>
                </c:pt>
                <c:pt idx="44">
                  <c:v>1</c:v>
                </c:pt>
                <c:pt idx="45">
                  <c:v>1</c:v>
                </c:pt>
                <c:pt idx="46">
                  <c:v>2</c:v>
                </c:pt>
                <c:pt idx="47">
                  <c:v>2</c:v>
                </c:pt>
                <c:pt idx="48">
                  <c:v>2</c:v>
                </c:pt>
                <c:pt idx="49">
                  <c:v>2</c:v>
                </c:pt>
                <c:pt idx="50">
                  <c:v>2</c:v>
                </c:pt>
                <c:pt idx="51">
                  <c:v>2</c:v>
                </c:pt>
                <c:pt idx="52">
                  <c:v>2</c:v>
                </c:pt>
                <c:pt idx="53">
                  <c:v>2</c:v>
                </c:pt>
                <c:pt idx="54">
                  <c:v>2</c:v>
                </c:pt>
                <c:pt idx="55">
                  <c:v>2</c:v>
                </c:pt>
                <c:pt idx="56">
                  <c:v>1</c:v>
                </c:pt>
                <c:pt idx="57">
                  <c:v>1</c:v>
                </c:pt>
                <c:pt idx="58">
                  <c:v>1</c:v>
                </c:pt>
                <c:pt idx="59">
                  <c:v>0</c:v>
                </c:pt>
                <c:pt idx="60">
                  <c:v>0</c:v>
                </c:pt>
                <c:pt idx="61">
                  <c:v>0</c:v>
                </c:pt>
                <c:pt idx="62">
                  <c:v>0</c:v>
                </c:pt>
                <c:pt idx="63">
                  <c:v>0</c:v>
                </c:pt>
                <c:pt idx="64">
                  <c:v>0</c:v>
                </c:pt>
                <c:pt idx="65">
                  <c:v>0</c:v>
                </c:pt>
              </c:numCache>
            </c:numRef>
          </c:val>
          <c:smooth val="0"/>
          <c:extLst>
            <c:ext xmlns:c16="http://schemas.microsoft.com/office/drawing/2014/chart" uri="{C3380CC4-5D6E-409C-BE32-E72D297353CC}">
              <c16:uniqueId val="{0000000F-F733-4FB2-8C66-37456E0613CD}"/>
            </c:ext>
          </c:extLst>
        </c:ser>
        <c:ser>
          <c:idx val="16"/>
          <c:order val="16"/>
          <c:tx>
            <c:strRef>
              <c:f>pivot_icu!$R$3:$R$4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pivot_icu!$R$5:$R$71</c:f>
              <c:numCache>
                <c:formatCode>General</c:formatCode>
                <c:ptCount val="66"/>
              </c:numCache>
            </c:numRef>
          </c:val>
          <c:smooth val="0"/>
          <c:extLst>
            <c:ext xmlns:c16="http://schemas.microsoft.com/office/drawing/2014/chart" uri="{C3380CC4-5D6E-409C-BE32-E72D297353CC}">
              <c16:uniqueId val="{00000010-F733-4FB2-8C66-37456E0613CD}"/>
            </c:ext>
          </c:extLst>
        </c:ser>
        <c:ser>
          <c:idx val="17"/>
          <c:order val="17"/>
          <c:tx>
            <c:strRef>
              <c:f>pivot_icu!$S$3:$S$4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pivot_icu!$S$5:$S$71</c:f>
              <c:numCache>
                <c:formatCode>General</c:formatCode>
                <c:ptCount val="66"/>
                <c:pt idx="37">
                  <c:v>11</c:v>
                </c:pt>
                <c:pt idx="38">
                  <c:v>12</c:v>
                </c:pt>
                <c:pt idx="39">
                  <c:v>13</c:v>
                </c:pt>
                <c:pt idx="40">
                  <c:v>13</c:v>
                </c:pt>
                <c:pt idx="41">
                  <c:v>12</c:v>
                </c:pt>
                <c:pt idx="42">
                  <c:v>9</c:v>
                </c:pt>
                <c:pt idx="43">
                  <c:v>12</c:v>
                </c:pt>
                <c:pt idx="44">
                  <c:v>13</c:v>
                </c:pt>
                <c:pt idx="45">
                  <c:v>11</c:v>
                </c:pt>
                <c:pt idx="46">
                  <c:v>11</c:v>
                </c:pt>
                <c:pt idx="47">
                  <c:v>9</c:v>
                </c:pt>
                <c:pt idx="48">
                  <c:v>10</c:v>
                </c:pt>
                <c:pt idx="49">
                  <c:v>9</c:v>
                </c:pt>
                <c:pt idx="50">
                  <c:v>9</c:v>
                </c:pt>
                <c:pt idx="51">
                  <c:v>7</c:v>
                </c:pt>
                <c:pt idx="52">
                  <c:v>9</c:v>
                </c:pt>
                <c:pt idx="53">
                  <c:v>7</c:v>
                </c:pt>
                <c:pt idx="54">
                  <c:v>7</c:v>
                </c:pt>
                <c:pt idx="55">
                  <c:v>7</c:v>
                </c:pt>
                <c:pt idx="56">
                  <c:v>8</c:v>
                </c:pt>
                <c:pt idx="57">
                  <c:v>6</c:v>
                </c:pt>
                <c:pt idx="58">
                  <c:v>2</c:v>
                </c:pt>
                <c:pt idx="59">
                  <c:v>4</c:v>
                </c:pt>
                <c:pt idx="61">
                  <c:v>4</c:v>
                </c:pt>
                <c:pt idx="62">
                  <c:v>2</c:v>
                </c:pt>
                <c:pt idx="63">
                  <c:v>3</c:v>
                </c:pt>
                <c:pt idx="64">
                  <c:v>10</c:v>
                </c:pt>
                <c:pt idx="65">
                  <c:v>3</c:v>
                </c:pt>
              </c:numCache>
            </c:numRef>
          </c:val>
          <c:smooth val="0"/>
          <c:extLst>
            <c:ext xmlns:c16="http://schemas.microsoft.com/office/drawing/2014/chart" uri="{C3380CC4-5D6E-409C-BE32-E72D297353CC}">
              <c16:uniqueId val="{00000011-F733-4FB2-8C66-37456E0613CD}"/>
            </c:ext>
          </c:extLst>
        </c:ser>
        <c:ser>
          <c:idx val="18"/>
          <c:order val="18"/>
          <c:tx>
            <c:strRef>
              <c:f>pivot_icu!$T$3:$T$4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pivot_icu!$T$5:$T$71</c:f>
              <c:numCache>
                <c:formatCode>General</c:formatCode>
                <c:ptCount val="66"/>
                <c:pt idx="29">
                  <c:v>1</c:v>
                </c:pt>
                <c:pt idx="30">
                  <c:v>1</c:v>
                </c:pt>
                <c:pt idx="31">
                  <c:v>1</c:v>
                </c:pt>
                <c:pt idx="32">
                  <c:v>1</c:v>
                </c:pt>
                <c:pt idx="33">
                  <c:v>1</c:v>
                </c:pt>
                <c:pt idx="34">
                  <c:v>3</c:v>
                </c:pt>
                <c:pt idx="35">
                  <c:v>3</c:v>
                </c:pt>
                <c:pt idx="36">
                  <c:v>3</c:v>
                </c:pt>
                <c:pt idx="37">
                  <c:v>3</c:v>
                </c:pt>
                <c:pt idx="38">
                  <c:v>3</c:v>
                </c:pt>
                <c:pt idx="39">
                  <c:v>3</c:v>
                </c:pt>
                <c:pt idx="40">
                  <c:v>3</c:v>
                </c:pt>
                <c:pt idx="41">
                  <c:v>3</c:v>
                </c:pt>
                <c:pt idx="42">
                  <c:v>3</c:v>
                </c:pt>
                <c:pt idx="43">
                  <c:v>2</c:v>
                </c:pt>
                <c:pt idx="44">
                  <c:v>2</c:v>
                </c:pt>
                <c:pt idx="45">
                  <c:v>2</c:v>
                </c:pt>
                <c:pt idx="46">
                  <c:v>2</c:v>
                </c:pt>
                <c:pt idx="47">
                  <c:v>2</c:v>
                </c:pt>
                <c:pt idx="48">
                  <c:v>2</c:v>
                </c:pt>
                <c:pt idx="49">
                  <c:v>2</c:v>
                </c:pt>
                <c:pt idx="50">
                  <c:v>2</c:v>
                </c:pt>
                <c:pt idx="51">
                  <c:v>2</c:v>
                </c:pt>
                <c:pt idx="52">
                  <c:v>2</c:v>
                </c:pt>
                <c:pt idx="53">
                  <c:v>4</c:v>
                </c:pt>
                <c:pt idx="54">
                  <c:v>2</c:v>
                </c:pt>
                <c:pt idx="55">
                  <c:v>2</c:v>
                </c:pt>
                <c:pt idx="56">
                  <c:v>2</c:v>
                </c:pt>
                <c:pt idx="57">
                  <c:v>2</c:v>
                </c:pt>
                <c:pt idx="58">
                  <c:v>2</c:v>
                </c:pt>
                <c:pt idx="59">
                  <c:v>1</c:v>
                </c:pt>
                <c:pt idx="60">
                  <c:v>1</c:v>
                </c:pt>
                <c:pt idx="61">
                  <c:v>2</c:v>
                </c:pt>
                <c:pt idx="62">
                  <c:v>3</c:v>
                </c:pt>
                <c:pt idx="63">
                  <c:v>2</c:v>
                </c:pt>
                <c:pt idx="64">
                  <c:v>2</c:v>
                </c:pt>
                <c:pt idx="65">
                  <c:v>2</c:v>
                </c:pt>
              </c:numCache>
            </c:numRef>
          </c:val>
          <c:smooth val="0"/>
          <c:extLst>
            <c:ext xmlns:c16="http://schemas.microsoft.com/office/drawing/2014/chart" uri="{C3380CC4-5D6E-409C-BE32-E72D297353CC}">
              <c16:uniqueId val="{00000012-F733-4FB2-8C66-37456E0613CD}"/>
            </c:ext>
          </c:extLst>
        </c:ser>
        <c:ser>
          <c:idx val="19"/>
          <c:order val="19"/>
          <c:tx>
            <c:strRef>
              <c:f>pivot_icu!$U$3:$U$4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pivot_icu!$U$5:$U$71</c:f>
              <c:numCache>
                <c:formatCode>General</c:formatCode>
                <c:ptCount val="66"/>
              </c:numCache>
            </c:numRef>
          </c:val>
          <c:smooth val="0"/>
          <c:extLst>
            <c:ext xmlns:c16="http://schemas.microsoft.com/office/drawing/2014/chart" uri="{C3380CC4-5D6E-409C-BE32-E72D297353CC}">
              <c16:uniqueId val="{00000013-F733-4FB2-8C66-37456E0613CD}"/>
            </c:ext>
          </c:extLst>
        </c:ser>
        <c:ser>
          <c:idx val="20"/>
          <c:order val="20"/>
          <c:tx>
            <c:strRef>
              <c:f>pivot_icu!$V$3:$V$4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pivot_icu!$V$5:$V$71</c:f>
              <c:numCache>
                <c:formatCode>General</c:formatCode>
                <c:ptCount val="66"/>
                <c:pt idx="41">
                  <c:v>14</c:v>
                </c:pt>
                <c:pt idx="42">
                  <c:v>13</c:v>
                </c:pt>
                <c:pt idx="43">
                  <c:v>15</c:v>
                </c:pt>
                <c:pt idx="44">
                  <c:v>12</c:v>
                </c:pt>
                <c:pt idx="45">
                  <c:v>13</c:v>
                </c:pt>
                <c:pt idx="46">
                  <c:v>14</c:v>
                </c:pt>
                <c:pt idx="47">
                  <c:v>14</c:v>
                </c:pt>
                <c:pt idx="48">
                  <c:v>17</c:v>
                </c:pt>
                <c:pt idx="49">
                  <c:v>16</c:v>
                </c:pt>
                <c:pt idx="50">
                  <c:v>14</c:v>
                </c:pt>
                <c:pt idx="51">
                  <c:v>14</c:v>
                </c:pt>
                <c:pt idx="52">
                  <c:v>13</c:v>
                </c:pt>
                <c:pt idx="53">
                  <c:v>12</c:v>
                </c:pt>
                <c:pt idx="54">
                  <c:v>12</c:v>
                </c:pt>
                <c:pt idx="55">
                  <c:v>12</c:v>
                </c:pt>
                <c:pt idx="56">
                  <c:v>12</c:v>
                </c:pt>
                <c:pt idx="57">
                  <c:v>9</c:v>
                </c:pt>
                <c:pt idx="58">
                  <c:v>9</c:v>
                </c:pt>
                <c:pt idx="59">
                  <c:v>9</c:v>
                </c:pt>
                <c:pt idx="60">
                  <c:v>8</c:v>
                </c:pt>
                <c:pt idx="61">
                  <c:v>8</c:v>
                </c:pt>
                <c:pt idx="62">
                  <c:v>8</c:v>
                </c:pt>
                <c:pt idx="63">
                  <c:v>8</c:v>
                </c:pt>
                <c:pt idx="64">
                  <c:v>7</c:v>
                </c:pt>
                <c:pt idx="65">
                  <c:v>7</c:v>
                </c:pt>
              </c:numCache>
            </c:numRef>
          </c:val>
          <c:smooth val="0"/>
          <c:extLst>
            <c:ext xmlns:c16="http://schemas.microsoft.com/office/drawing/2014/chart" uri="{C3380CC4-5D6E-409C-BE32-E72D297353CC}">
              <c16:uniqueId val="{00000014-F733-4FB2-8C66-37456E0613CD}"/>
            </c:ext>
          </c:extLst>
        </c:ser>
        <c:ser>
          <c:idx val="21"/>
          <c:order val="21"/>
          <c:tx>
            <c:strRef>
              <c:f>pivot_icu!$W$3:$W$4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pivot_icu!$W$5:$W$71</c:f>
              <c:numCache>
                <c:formatCode>General</c:formatCode>
                <c:ptCount val="66"/>
                <c:pt idx="17">
                  <c:v>13</c:v>
                </c:pt>
                <c:pt idx="23">
                  <c:v>33</c:v>
                </c:pt>
                <c:pt idx="24">
                  <c:v>35</c:v>
                </c:pt>
                <c:pt idx="25">
                  <c:v>40</c:v>
                </c:pt>
                <c:pt idx="26">
                  <c:v>46</c:v>
                </c:pt>
                <c:pt idx="27">
                  <c:v>45</c:v>
                </c:pt>
                <c:pt idx="28">
                  <c:v>50</c:v>
                </c:pt>
                <c:pt idx="29">
                  <c:v>57</c:v>
                </c:pt>
                <c:pt idx="30">
                  <c:v>60</c:v>
                </c:pt>
                <c:pt idx="31">
                  <c:v>61</c:v>
                </c:pt>
                <c:pt idx="32">
                  <c:v>69</c:v>
                </c:pt>
                <c:pt idx="33">
                  <c:v>69</c:v>
                </c:pt>
                <c:pt idx="34">
                  <c:v>75</c:v>
                </c:pt>
                <c:pt idx="35">
                  <c:v>74</c:v>
                </c:pt>
                <c:pt idx="36">
                  <c:v>76</c:v>
                </c:pt>
                <c:pt idx="37">
                  <c:v>75</c:v>
                </c:pt>
                <c:pt idx="38">
                  <c:v>75</c:v>
                </c:pt>
                <c:pt idx="39">
                  <c:v>72</c:v>
                </c:pt>
                <c:pt idx="40">
                  <c:v>74</c:v>
                </c:pt>
                <c:pt idx="41">
                  <c:v>72</c:v>
                </c:pt>
                <c:pt idx="42">
                  <c:v>72</c:v>
                </c:pt>
                <c:pt idx="43">
                  <c:v>71</c:v>
                </c:pt>
                <c:pt idx="44">
                  <c:v>72</c:v>
                </c:pt>
                <c:pt idx="45">
                  <c:v>68</c:v>
                </c:pt>
                <c:pt idx="46">
                  <c:v>68</c:v>
                </c:pt>
                <c:pt idx="47">
                  <c:v>63</c:v>
                </c:pt>
                <c:pt idx="48">
                  <c:v>63</c:v>
                </c:pt>
                <c:pt idx="49">
                  <c:v>63</c:v>
                </c:pt>
                <c:pt idx="50">
                  <c:v>60</c:v>
                </c:pt>
                <c:pt idx="51">
                  <c:v>59</c:v>
                </c:pt>
                <c:pt idx="52">
                  <c:v>57</c:v>
                </c:pt>
                <c:pt idx="53">
                  <c:v>56</c:v>
                </c:pt>
                <c:pt idx="54">
                  <c:v>54</c:v>
                </c:pt>
                <c:pt idx="55">
                  <c:v>55</c:v>
                </c:pt>
                <c:pt idx="56">
                  <c:v>54</c:v>
                </c:pt>
                <c:pt idx="57">
                  <c:v>42</c:v>
                </c:pt>
                <c:pt idx="58">
                  <c:v>41</c:v>
                </c:pt>
                <c:pt idx="59">
                  <c:v>42</c:v>
                </c:pt>
                <c:pt idx="60">
                  <c:v>40</c:v>
                </c:pt>
                <c:pt idx="61">
                  <c:v>37</c:v>
                </c:pt>
                <c:pt idx="62">
                  <c:v>34</c:v>
                </c:pt>
                <c:pt idx="63">
                  <c:v>30</c:v>
                </c:pt>
                <c:pt idx="64">
                  <c:v>29</c:v>
                </c:pt>
                <c:pt idx="65">
                  <c:v>30</c:v>
                </c:pt>
              </c:numCache>
            </c:numRef>
          </c:val>
          <c:smooth val="0"/>
          <c:extLst>
            <c:ext xmlns:c16="http://schemas.microsoft.com/office/drawing/2014/chart" uri="{C3380CC4-5D6E-409C-BE32-E72D297353CC}">
              <c16:uniqueId val="{00000015-F733-4FB2-8C66-37456E0613CD}"/>
            </c:ext>
          </c:extLst>
        </c:ser>
        <c:ser>
          <c:idx val="22"/>
          <c:order val="22"/>
          <c:tx>
            <c:strRef>
              <c:f>pivot_icu!$X$3:$X$4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pivot_icu!$X$5:$X$71</c:f>
              <c:numCache>
                <c:formatCode>General</c:formatCode>
                <c:ptCount val="66"/>
              </c:numCache>
            </c:numRef>
          </c:val>
          <c:smooth val="0"/>
          <c:extLst>
            <c:ext xmlns:c16="http://schemas.microsoft.com/office/drawing/2014/chart" uri="{C3380CC4-5D6E-409C-BE32-E72D297353CC}">
              <c16:uniqueId val="{00000016-F733-4FB2-8C66-37456E0613CD}"/>
            </c:ext>
          </c:extLst>
        </c:ser>
        <c:ser>
          <c:idx val="23"/>
          <c:order val="23"/>
          <c:tx>
            <c:strRef>
              <c:f>pivot_icu!$Y$3:$Y$4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pivot_icu!$Y$5:$Y$71</c:f>
              <c:numCache>
                <c:formatCode>General</c:formatCode>
                <c:ptCount val="66"/>
                <c:pt idx="8">
                  <c:v>1</c:v>
                </c:pt>
                <c:pt idx="9">
                  <c:v>1</c:v>
                </c:pt>
                <c:pt idx="10">
                  <c:v>2</c:v>
                </c:pt>
                <c:pt idx="11">
                  <c:v>4</c:v>
                </c:pt>
                <c:pt idx="12">
                  <c:v>3</c:v>
                </c:pt>
                <c:pt idx="13">
                  <c:v>5</c:v>
                </c:pt>
                <c:pt idx="14">
                  <c:v>8</c:v>
                </c:pt>
                <c:pt idx="15">
                  <c:v>7</c:v>
                </c:pt>
                <c:pt idx="16">
                  <c:v>6</c:v>
                </c:pt>
                <c:pt idx="17">
                  <c:v>7</c:v>
                </c:pt>
                <c:pt idx="18">
                  <c:v>10</c:v>
                </c:pt>
                <c:pt idx="19">
                  <c:v>10</c:v>
                </c:pt>
                <c:pt idx="20">
                  <c:v>20</c:v>
                </c:pt>
                <c:pt idx="21">
                  <c:v>24</c:v>
                </c:pt>
                <c:pt idx="22">
                  <c:v>24</c:v>
                </c:pt>
                <c:pt idx="23">
                  <c:v>23</c:v>
                </c:pt>
                <c:pt idx="24">
                  <c:v>23</c:v>
                </c:pt>
                <c:pt idx="25">
                  <c:v>24</c:v>
                </c:pt>
                <c:pt idx="26">
                  <c:v>30</c:v>
                </c:pt>
                <c:pt idx="27">
                  <c:v>39</c:v>
                </c:pt>
                <c:pt idx="28">
                  <c:v>40</c:v>
                </c:pt>
                <c:pt idx="29">
                  <c:v>51</c:v>
                </c:pt>
                <c:pt idx="30">
                  <c:v>55</c:v>
                </c:pt>
                <c:pt idx="31">
                  <c:v>59</c:v>
                </c:pt>
                <c:pt idx="32">
                  <c:v>60</c:v>
                </c:pt>
                <c:pt idx="33">
                  <c:v>61</c:v>
                </c:pt>
                <c:pt idx="34">
                  <c:v>63</c:v>
                </c:pt>
                <c:pt idx="35">
                  <c:v>66</c:v>
                </c:pt>
                <c:pt idx="36">
                  <c:v>67</c:v>
                </c:pt>
                <c:pt idx="37">
                  <c:v>68</c:v>
                </c:pt>
                <c:pt idx="38">
                  <c:v>66</c:v>
                </c:pt>
                <c:pt idx="39">
                  <c:v>66</c:v>
                </c:pt>
                <c:pt idx="40">
                  <c:v>65</c:v>
                </c:pt>
                <c:pt idx="41">
                  <c:v>63</c:v>
                </c:pt>
                <c:pt idx="42">
                  <c:v>62</c:v>
                </c:pt>
                <c:pt idx="43">
                  <c:v>61</c:v>
                </c:pt>
                <c:pt idx="44">
                  <c:v>61</c:v>
                </c:pt>
                <c:pt idx="45">
                  <c:v>63</c:v>
                </c:pt>
                <c:pt idx="46">
                  <c:v>63</c:v>
                </c:pt>
                <c:pt idx="47">
                  <c:v>62</c:v>
                </c:pt>
                <c:pt idx="48">
                  <c:v>58</c:v>
                </c:pt>
                <c:pt idx="49">
                  <c:v>57</c:v>
                </c:pt>
                <c:pt idx="50">
                  <c:v>53</c:v>
                </c:pt>
                <c:pt idx="51">
                  <c:v>52</c:v>
                </c:pt>
                <c:pt idx="52">
                  <c:v>51</c:v>
                </c:pt>
                <c:pt idx="53">
                  <c:v>48</c:v>
                </c:pt>
                <c:pt idx="54">
                  <c:v>47</c:v>
                </c:pt>
                <c:pt idx="55">
                  <c:v>41</c:v>
                </c:pt>
                <c:pt idx="56">
                  <c:v>41</c:v>
                </c:pt>
                <c:pt idx="57">
                  <c:v>40</c:v>
                </c:pt>
                <c:pt idx="58">
                  <c:v>38</c:v>
                </c:pt>
                <c:pt idx="59">
                  <c:v>35</c:v>
                </c:pt>
                <c:pt idx="60">
                  <c:v>35</c:v>
                </c:pt>
                <c:pt idx="61">
                  <c:v>35</c:v>
                </c:pt>
                <c:pt idx="62">
                  <c:v>33</c:v>
                </c:pt>
                <c:pt idx="63">
                  <c:v>32</c:v>
                </c:pt>
                <c:pt idx="64">
                  <c:v>31</c:v>
                </c:pt>
                <c:pt idx="65">
                  <c:v>27</c:v>
                </c:pt>
              </c:numCache>
            </c:numRef>
          </c:val>
          <c:smooth val="0"/>
          <c:extLst>
            <c:ext xmlns:c16="http://schemas.microsoft.com/office/drawing/2014/chart" uri="{C3380CC4-5D6E-409C-BE32-E72D297353CC}">
              <c16:uniqueId val="{00000017-F733-4FB2-8C66-37456E0613CD}"/>
            </c:ext>
          </c:extLst>
        </c:ser>
        <c:ser>
          <c:idx val="24"/>
          <c:order val="24"/>
          <c:tx>
            <c:strRef>
              <c:f>pivot_icu!$Z$3:$Z$4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pivot_icu!$Z$5:$Z$71</c:f>
              <c:numCache>
                <c:formatCode>General</c:formatCode>
                <c:ptCount val="66"/>
                <c:pt idx="3">
                  <c:v>0</c:v>
                </c:pt>
                <c:pt idx="4">
                  <c:v>0</c:v>
                </c:pt>
                <c:pt idx="5">
                  <c:v>0</c:v>
                </c:pt>
                <c:pt idx="6">
                  <c:v>0</c:v>
                </c:pt>
                <c:pt idx="7">
                  <c:v>0</c:v>
                </c:pt>
                <c:pt idx="8">
                  <c:v>0</c:v>
                </c:pt>
                <c:pt idx="9">
                  <c:v>0</c:v>
                </c:pt>
                <c:pt idx="10">
                  <c:v>0</c:v>
                </c:pt>
                <c:pt idx="11">
                  <c:v>0</c:v>
                </c:pt>
                <c:pt idx="12">
                  <c:v>1</c:v>
                </c:pt>
                <c:pt idx="13">
                  <c:v>1</c:v>
                </c:pt>
                <c:pt idx="14">
                  <c:v>1</c:v>
                </c:pt>
                <c:pt idx="15">
                  <c:v>1</c:v>
                </c:pt>
                <c:pt idx="16">
                  <c:v>1</c:v>
                </c:pt>
                <c:pt idx="17">
                  <c:v>1</c:v>
                </c:pt>
                <c:pt idx="18">
                  <c:v>1</c:v>
                </c:pt>
                <c:pt idx="19">
                  <c:v>1</c:v>
                </c:pt>
                <c:pt idx="20">
                  <c:v>2</c:v>
                </c:pt>
                <c:pt idx="21">
                  <c:v>2</c:v>
                </c:pt>
                <c:pt idx="22">
                  <c:v>2</c:v>
                </c:pt>
                <c:pt idx="23">
                  <c:v>5</c:v>
                </c:pt>
                <c:pt idx="24">
                  <c:v>6</c:v>
                </c:pt>
                <c:pt idx="25">
                  <c:v>8</c:v>
                </c:pt>
                <c:pt idx="26">
                  <c:v>11</c:v>
                </c:pt>
                <c:pt idx="27">
                  <c:v>12</c:v>
                </c:pt>
                <c:pt idx="28">
                  <c:v>13</c:v>
                </c:pt>
                <c:pt idx="29">
                  <c:v>15</c:v>
                </c:pt>
                <c:pt idx="30">
                  <c:v>19</c:v>
                </c:pt>
                <c:pt idx="31">
                  <c:v>20</c:v>
                </c:pt>
                <c:pt idx="32">
                  <c:v>21</c:v>
                </c:pt>
                <c:pt idx="33">
                  <c:v>22</c:v>
                </c:pt>
                <c:pt idx="34">
                  <c:v>25</c:v>
                </c:pt>
                <c:pt idx="35">
                  <c:v>24</c:v>
                </c:pt>
                <c:pt idx="36">
                  <c:v>26</c:v>
                </c:pt>
                <c:pt idx="37">
                  <c:v>28</c:v>
                </c:pt>
                <c:pt idx="38">
                  <c:v>26</c:v>
                </c:pt>
                <c:pt idx="39">
                  <c:v>28</c:v>
                </c:pt>
                <c:pt idx="40">
                  <c:v>26</c:v>
                </c:pt>
                <c:pt idx="41">
                  <c:v>26</c:v>
                </c:pt>
                <c:pt idx="42">
                  <c:v>25</c:v>
                </c:pt>
                <c:pt idx="43">
                  <c:v>26</c:v>
                </c:pt>
                <c:pt idx="44">
                  <c:v>24</c:v>
                </c:pt>
                <c:pt idx="45">
                  <c:v>24</c:v>
                </c:pt>
                <c:pt idx="46">
                  <c:v>20</c:v>
                </c:pt>
                <c:pt idx="47">
                  <c:v>22</c:v>
                </c:pt>
                <c:pt idx="48">
                  <c:v>21</c:v>
                </c:pt>
                <c:pt idx="49">
                  <c:v>20</c:v>
                </c:pt>
                <c:pt idx="50">
                  <c:v>20</c:v>
                </c:pt>
                <c:pt idx="51">
                  <c:v>17</c:v>
                </c:pt>
                <c:pt idx="52">
                  <c:v>16</c:v>
                </c:pt>
                <c:pt idx="53">
                  <c:v>18</c:v>
                </c:pt>
                <c:pt idx="54">
                  <c:v>16</c:v>
                </c:pt>
                <c:pt idx="55">
                  <c:v>15</c:v>
                </c:pt>
                <c:pt idx="56">
                  <c:v>14</c:v>
                </c:pt>
                <c:pt idx="57">
                  <c:v>13</c:v>
                </c:pt>
                <c:pt idx="58">
                  <c:v>13</c:v>
                </c:pt>
                <c:pt idx="59">
                  <c:v>14</c:v>
                </c:pt>
                <c:pt idx="60">
                  <c:v>14</c:v>
                </c:pt>
                <c:pt idx="61">
                  <c:v>15</c:v>
                </c:pt>
                <c:pt idx="62">
                  <c:v>14</c:v>
                </c:pt>
                <c:pt idx="63">
                  <c:v>13</c:v>
                </c:pt>
                <c:pt idx="64">
                  <c:v>11</c:v>
                </c:pt>
                <c:pt idx="65">
                  <c:v>11</c:v>
                </c:pt>
              </c:numCache>
            </c:numRef>
          </c:val>
          <c:smooth val="0"/>
          <c:extLst>
            <c:ext xmlns:c16="http://schemas.microsoft.com/office/drawing/2014/chart" uri="{C3380CC4-5D6E-409C-BE32-E72D297353CC}">
              <c16:uniqueId val="{00000018-F733-4FB2-8C66-37456E0613CD}"/>
            </c:ext>
          </c:extLst>
        </c:ser>
        <c:ser>
          <c:idx val="25"/>
          <c:order val="25"/>
          <c:tx>
            <c:strRef>
              <c:f>pivot_icu!$AA$3:$AA$4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pivot_icu!$AA$5:$AA$71</c:f>
              <c:numCache>
                <c:formatCode>General</c:formatCode>
                <c:ptCount val="66"/>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5</c:v>
                </c:pt>
                <c:pt idx="32">
                  <c:v>5</c:v>
                </c:pt>
                <c:pt idx="33">
                  <c:v>5</c:v>
                </c:pt>
                <c:pt idx="34">
                  <c:v>5</c:v>
                </c:pt>
                <c:pt idx="35">
                  <c:v>6</c:v>
                </c:pt>
                <c:pt idx="36">
                  <c:v>5</c:v>
                </c:pt>
                <c:pt idx="37">
                  <c:v>5</c:v>
                </c:pt>
                <c:pt idx="38">
                  <c:v>7</c:v>
                </c:pt>
                <c:pt idx="39">
                  <c:v>7</c:v>
                </c:pt>
                <c:pt idx="40">
                  <c:v>7</c:v>
                </c:pt>
                <c:pt idx="41">
                  <c:v>8</c:v>
                </c:pt>
                <c:pt idx="42">
                  <c:v>8</c:v>
                </c:pt>
                <c:pt idx="43">
                  <c:v>9</c:v>
                </c:pt>
                <c:pt idx="44">
                  <c:v>9</c:v>
                </c:pt>
                <c:pt idx="45">
                  <c:v>9</c:v>
                </c:pt>
                <c:pt idx="46">
                  <c:v>9</c:v>
                </c:pt>
                <c:pt idx="47">
                  <c:v>9</c:v>
                </c:pt>
                <c:pt idx="48">
                  <c:v>9</c:v>
                </c:pt>
                <c:pt idx="49">
                  <c:v>9</c:v>
                </c:pt>
                <c:pt idx="50">
                  <c:v>9</c:v>
                </c:pt>
                <c:pt idx="51">
                  <c:v>7</c:v>
                </c:pt>
                <c:pt idx="52">
                  <c:v>6</c:v>
                </c:pt>
                <c:pt idx="53">
                  <c:v>6</c:v>
                </c:pt>
                <c:pt idx="54">
                  <c:v>6</c:v>
                </c:pt>
                <c:pt idx="55">
                  <c:v>5</c:v>
                </c:pt>
                <c:pt idx="56">
                  <c:v>4</c:v>
                </c:pt>
                <c:pt idx="57">
                  <c:v>3</c:v>
                </c:pt>
                <c:pt idx="58">
                  <c:v>3</c:v>
                </c:pt>
                <c:pt idx="59">
                  <c:v>3</c:v>
                </c:pt>
                <c:pt idx="60">
                  <c:v>3</c:v>
                </c:pt>
                <c:pt idx="61">
                  <c:v>3</c:v>
                </c:pt>
                <c:pt idx="62">
                  <c:v>3</c:v>
                </c:pt>
                <c:pt idx="63">
                  <c:v>3</c:v>
                </c:pt>
                <c:pt idx="64">
                  <c:v>3</c:v>
                </c:pt>
                <c:pt idx="65">
                  <c:v>3</c:v>
                </c:pt>
              </c:numCache>
            </c:numRef>
          </c:val>
          <c:smooth val="0"/>
          <c:extLst>
            <c:ext xmlns:c16="http://schemas.microsoft.com/office/drawing/2014/chart" uri="{C3380CC4-5D6E-409C-BE32-E72D297353CC}">
              <c16:uniqueId val="{00000019-F733-4FB2-8C66-37456E0613CD}"/>
            </c:ext>
          </c:extLst>
        </c:ser>
        <c:ser>
          <c:idx val="26"/>
          <c:order val="26"/>
          <c:tx>
            <c:strRef>
              <c:f>pivot_icu!$AB$3:$AB$4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pivot_icu!$AB$5:$AB$71</c:f>
              <c:numCache>
                <c:formatCode>General</c:formatCode>
                <c:ptCount val="66"/>
              </c:numCache>
            </c:numRef>
          </c:val>
          <c:smooth val="0"/>
          <c:extLst>
            <c:ext xmlns:c16="http://schemas.microsoft.com/office/drawing/2014/chart" uri="{C3380CC4-5D6E-409C-BE32-E72D297353CC}">
              <c16:uniqueId val="{0000001A-F733-4FB2-8C66-37456E0613CD}"/>
            </c:ext>
          </c:extLst>
        </c:ser>
        <c:dLbls>
          <c:showLegendKey val="0"/>
          <c:showVal val="0"/>
          <c:showCatName val="0"/>
          <c:showSerName val="0"/>
          <c:showPercent val="0"/>
          <c:showBubbleSize val="0"/>
        </c:dLbls>
        <c:smooth val="0"/>
        <c:axId val="178449776"/>
        <c:axId val="1228720975"/>
      </c:lineChart>
      <c:dateAx>
        <c:axId val="178449776"/>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0"/>
        <c:lblOffset val="100"/>
        <c:baseTimeUnit val="days"/>
      </c:date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[covid-19-ch-dashboarcovid-19-excel_test.xlsm]pivot_icu!PivotTable1</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Intensive care per canton</a:t>
            </a:r>
          </a:p>
        </c:rich>
      </c:tx>
      <c:layout>
        <c:manualLayout>
          <c:xMode val="edge"/>
          <c:yMode val="edge"/>
          <c:x val="0.3871715830297332"/>
          <c:y val="4.61538512365895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415742791227663"/>
        </c:manualLayout>
      </c:layout>
      <c:lineChart>
        <c:grouping val="standard"/>
        <c:varyColors val="0"/>
        <c:ser>
          <c:idx val="0"/>
          <c:order val="0"/>
          <c:tx>
            <c:strRef>
              <c:f>pivot_icu!$B$3:$B$4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pivot_icu!$B$5:$B$71</c:f>
              <c:numCache>
                <c:formatCode>General</c:formatCode>
                <c:ptCount val="66"/>
                <c:pt idx="22">
                  <c:v>5</c:v>
                </c:pt>
                <c:pt idx="23">
                  <c:v>5</c:v>
                </c:pt>
                <c:pt idx="24">
                  <c:v>6</c:v>
                </c:pt>
                <c:pt idx="25">
                  <c:v>6</c:v>
                </c:pt>
                <c:pt idx="26">
                  <c:v>8</c:v>
                </c:pt>
                <c:pt idx="27">
                  <c:v>7</c:v>
                </c:pt>
                <c:pt idx="28">
                  <c:v>7</c:v>
                </c:pt>
                <c:pt idx="29">
                  <c:v>7</c:v>
                </c:pt>
                <c:pt idx="30">
                  <c:v>5</c:v>
                </c:pt>
                <c:pt idx="31">
                  <c:v>8</c:v>
                </c:pt>
                <c:pt idx="32">
                  <c:v>12</c:v>
                </c:pt>
                <c:pt idx="33">
                  <c:v>13</c:v>
                </c:pt>
                <c:pt idx="34">
                  <c:v>16</c:v>
                </c:pt>
                <c:pt idx="35">
                  <c:v>20</c:v>
                </c:pt>
                <c:pt idx="36">
                  <c:v>23</c:v>
                </c:pt>
                <c:pt idx="37">
                  <c:v>23</c:v>
                </c:pt>
                <c:pt idx="38">
                  <c:v>21</c:v>
                </c:pt>
                <c:pt idx="39">
                  <c:v>21</c:v>
                </c:pt>
                <c:pt idx="40">
                  <c:v>20</c:v>
                </c:pt>
                <c:pt idx="41">
                  <c:v>19</c:v>
                </c:pt>
                <c:pt idx="42">
                  <c:v>22</c:v>
                </c:pt>
                <c:pt idx="43">
                  <c:v>22</c:v>
                </c:pt>
                <c:pt idx="44">
                  <c:v>20</c:v>
                </c:pt>
                <c:pt idx="45">
                  <c:v>19</c:v>
                </c:pt>
                <c:pt idx="46">
                  <c:v>20</c:v>
                </c:pt>
                <c:pt idx="47">
                  <c:v>19</c:v>
                </c:pt>
                <c:pt idx="48">
                  <c:v>17</c:v>
                </c:pt>
                <c:pt idx="49">
                  <c:v>14</c:v>
                </c:pt>
                <c:pt idx="50">
                  <c:v>16</c:v>
                </c:pt>
                <c:pt idx="51">
                  <c:v>15</c:v>
                </c:pt>
                <c:pt idx="52">
                  <c:v>13</c:v>
                </c:pt>
                <c:pt idx="53">
                  <c:v>11</c:v>
                </c:pt>
                <c:pt idx="54">
                  <c:v>12</c:v>
                </c:pt>
                <c:pt idx="55">
                  <c:v>11</c:v>
                </c:pt>
                <c:pt idx="56">
                  <c:v>8</c:v>
                </c:pt>
                <c:pt idx="57">
                  <c:v>5</c:v>
                </c:pt>
                <c:pt idx="58">
                  <c:v>5</c:v>
                </c:pt>
                <c:pt idx="59">
                  <c:v>8</c:v>
                </c:pt>
                <c:pt idx="60">
                  <c:v>7</c:v>
                </c:pt>
                <c:pt idx="61">
                  <c:v>5</c:v>
                </c:pt>
                <c:pt idx="62">
                  <c:v>5</c:v>
                </c:pt>
                <c:pt idx="63">
                  <c:v>5</c:v>
                </c:pt>
                <c:pt idx="64">
                  <c:v>7</c:v>
                </c:pt>
                <c:pt idx="65">
                  <c:v>6</c:v>
                </c:pt>
              </c:numCache>
            </c:numRef>
          </c:val>
          <c:smooth val="0"/>
          <c:extLst>
            <c:ext xmlns:c16="http://schemas.microsoft.com/office/drawing/2014/chart" uri="{C3380CC4-5D6E-409C-BE32-E72D297353CC}">
              <c16:uniqueId val="{00000000-A8B7-49B6-A6FE-D5020490AF61}"/>
            </c:ext>
          </c:extLst>
        </c:ser>
        <c:ser>
          <c:idx val="1"/>
          <c:order val="1"/>
          <c:tx>
            <c:strRef>
              <c:f>pivot_icu!$C$3:$C$4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pivot_icu!$C$5:$C$71</c:f>
              <c:numCache>
                <c:formatCode>General</c:formatCode>
                <c:ptCount val="66"/>
              </c:numCache>
            </c:numRef>
          </c:val>
          <c:smooth val="0"/>
          <c:extLst>
            <c:ext xmlns:c16="http://schemas.microsoft.com/office/drawing/2014/chart" uri="{C3380CC4-5D6E-409C-BE32-E72D297353CC}">
              <c16:uniqueId val="{00000001-A8B7-49B6-A6FE-D5020490AF61}"/>
            </c:ext>
          </c:extLst>
        </c:ser>
        <c:ser>
          <c:idx val="2"/>
          <c:order val="2"/>
          <c:tx>
            <c:strRef>
              <c:f>pivot_icu!$D$3:$D$4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pivot_icu!$D$5:$D$71</c:f>
              <c:numCache>
                <c:formatCode>General</c:formatCode>
                <c:ptCount val="66"/>
                <c:pt idx="23">
                  <c:v>6</c:v>
                </c:pt>
                <c:pt idx="24">
                  <c:v>4</c:v>
                </c:pt>
                <c:pt idx="27">
                  <c:v>3</c:v>
                </c:pt>
                <c:pt idx="28">
                  <c:v>2</c:v>
                </c:pt>
                <c:pt idx="29">
                  <c:v>5</c:v>
                </c:pt>
                <c:pt idx="30">
                  <c:v>10</c:v>
                </c:pt>
                <c:pt idx="31">
                  <c:v>12</c:v>
                </c:pt>
                <c:pt idx="34">
                  <c:v>25</c:v>
                </c:pt>
                <c:pt idx="35">
                  <c:v>25</c:v>
                </c:pt>
                <c:pt idx="36">
                  <c:v>27</c:v>
                </c:pt>
                <c:pt idx="37">
                  <c:v>27</c:v>
                </c:pt>
                <c:pt idx="38">
                  <c:v>27</c:v>
                </c:pt>
                <c:pt idx="41">
                  <c:v>25</c:v>
                </c:pt>
                <c:pt idx="42">
                  <c:v>25</c:v>
                </c:pt>
                <c:pt idx="43">
                  <c:v>23</c:v>
                </c:pt>
                <c:pt idx="44">
                  <c:v>22</c:v>
                </c:pt>
                <c:pt idx="46">
                  <c:v>23</c:v>
                </c:pt>
                <c:pt idx="49">
                  <c:v>22</c:v>
                </c:pt>
                <c:pt idx="50">
                  <c:v>20</c:v>
                </c:pt>
                <c:pt idx="51">
                  <c:v>20</c:v>
                </c:pt>
                <c:pt idx="52">
                  <c:v>20</c:v>
                </c:pt>
                <c:pt idx="55">
                  <c:v>16</c:v>
                </c:pt>
                <c:pt idx="56">
                  <c:v>18</c:v>
                </c:pt>
                <c:pt idx="57">
                  <c:v>15</c:v>
                </c:pt>
                <c:pt idx="58">
                  <c:v>14</c:v>
                </c:pt>
                <c:pt idx="59">
                  <c:v>14</c:v>
                </c:pt>
                <c:pt idx="62">
                  <c:v>15</c:v>
                </c:pt>
                <c:pt idx="63">
                  <c:v>12</c:v>
                </c:pt>
                <c:pt idx="64">
                  <c:v>10</c:v>
                </c:pt>
                <c:pt idx="65">
                  <c:v>9</c:v>
                </c:pt>
              </c:numCache>
            </c:numRef>
          </c:val>
          <c:smooth val="0"/>
          <c:extLst>
            <c:ext xmlns:c16="http://schemas.microsoft.com/office/drawing/2014/chart" uri="{C3380CC4-5D6E-409C-BE32-E72D297353CC}">
              <c16:uniqueId val="{00000002-A8B7-49B6-A6FE-D5020490AF61}"/>
            </c:ext>
          </c:extLst>
        </c:ser>
        <c:ser>
          <c:idx val="3"/>
          <c:order val="3"/>
          <c:tx>
            <c:strRef>
              <c:f>pivot_icu!$E$3:$E$4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pivot_icu!$E$5:$E$71</c:f>
              <c:numCache>
                <c:formatCode>General</c:formatCode>
                <c:ptCount val="66"/>
              </c:numCache>
            </c:numRef>
          </c:val>
          <c:smooth val="0"/>
          <c:extLst>
            <c:ext xmlns:c16="http://schemas.microsoft.com/office/drawing/2014/chart" uri="{C3380CC4-5D6E-409C-BE32-E72D297353CC}">
              <c16:uniqueId val="{00000003-A8B7-49B6-A6FE-D5020490AF61}"/>
            </c:ext>
          </c:extLst>
        </c:ser>
        <c:ser>
          <c:idx val="4"/>
          <c:order val="4"/>
          <c:tx>
            <c:strRef>
              <c:f>pivot_icu!$F$3:$F$4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pivot_icu!$F$5:$F$71</c:f>
              <c:numCache>
                <c:formatCode>General</c:formatCode>
                <c:ptCount val="66"/>
                <c:pt idx="58">
                  <c:v>2</c:v>
                </c:pt>
                <c:pt idx="59">
                  <c:v>2</c:v>
                </c:pt>
                <c:pt idx="62">
                  <c:v>2</c:v>
                </c:pt>
                <c:pt idx="63">
                  <c:v>2</c:v>
                </c:pt>
                <c:pt idx="64">
                  <c:v>2</c:v>
                </c:pt>
                <c:pt idx="65">
                  <c:v>2</c:v>
                </c:pt>
              </c:numCache>
            </c:numRef>
          </c:val>
          <c:smooth val="0"/>
          <c:extLst>
            <c:ext xmlns:c16="http://schemas.microsoft.com/office/drawing/2014/chart" uri="{C3380CC4-5D6E-409C-BE32-E72D297353CC}">
              <c16:uniqueId val="{00000004-A8B7-49B6-A6FE-D5020490AF61}"/>
            </c:ext>
          </c:extLst>
        </c:ser>
        <c:ser>
          <c:idx val="5"/>
          <c:order val="5"/>
          <c:tx>
            <c:strRef>
              <c:f>pivot_icu!$G$3:$G$4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pivot_icu!$G$5:$G$71</c:f>
              <c:numCache>
                <c:formatCode>General</c:formatCode>
                <c:ptCount val="66"/>
                <c:pt idx="34">
                  <c:v>21</c:v>
                </c:pt>
                <c:pt idx="35">
                  <c:v>23</c:v>
                </c:pt>
                <c:pt idx="36">
                  <c:v>26</c:v>
                </c:pt>
                <c:pt idx="37">
                  <c:v>24</c:v>
                </c:pt>
                <c:pt idx="38">
                  <c:v>30</c:v>
                </c:pt>
                <c:pt idx="39">
                  <c:v>35</c:v>
                </c:pt>
                <c:pt idx="40">
                  <c:v>30</c:v>
                </c:pt>
                <c:pt idx="41">
                  <c:v>35</c:v>
                </c:pt>
                <c:pt idx="42">
                  <c:v>34</c:v>
                </c:pt>
                <c:pt idx="43">
                  <c:v>35</c:v>
                </c:pt>
                <c:pt idx="44">
                  <c:v>36</c:v>
                </c:pt>
                <c:pt idx="45">
                  <c:v>33</c:v>
                </c:pt>
                <c:pt idx="46">
                  <c:v>33</c:v>
                </c:pt>
                <c:pt idx="47">
                  <c:v>33</c:v>
                </c:pt>
                <c:pt idx="48">
                  <c:v>32</c:v>
                </c:pt>
                <c:pt idx="49">
                  <c:v>31</c:v>
                </c:pt>
                <c:pt idx="50">
                  <c:v>30</c:v>
                </c:pt>
                <c:pt idx="51">
                  <c:v>26</c:v>
                </c:pt>
                <c:pt idx="52">
                  <c:v>25</c:v>
                </c:pt>
                <c:pt idx="53">
                  <c:v>22</c:v>
                </c:pt>
                <c:pt idx="54">
                  <c:v>20</c:v>
                </c:pt>
                <c:pt idx="55">
                  <c:v>19</c:v>
                </c:pt>
                <c:pt idx="56">
                  <c:v>17</c:v>
                </c:pt>
                <c:pt idx="57">
                  <c:v>14</c:v>
                </c:pt>
                <c:pt idx="58">
                  <c:v>11</c:v>
                </c:pt>
                <c:pt idx="59">
                  <c:v>11</c:v>
                </c:pt>
                <c:pt idx="60">
                  <c:v>11</c:v>
                </c:pt>
                <c:pt idx="61">
                  <c:v>9</c:v>
                </c:pt>
                <c:pt idx="62">
                  <c:v>10</c:v>
                </c:pt>
                <c:pt idx="63">
                  <c:v>7</c:v>
                </c:pt>
                <c:pt idx="64">
                  <c:v>10</c:v>
                </c:pt>
                <c:pt idx="65">
                  <c:v>9</c:v>
                </c:pt>
              </c:numCache>
            </c:numRef>
          </c:val>
          <c:smooth val="0"/>
          <c:extLst>
            <c:ext xmlns:c16="http://schemas.microsoft.com/office/drawing/2014/chart" uri="{C3380CC4-5D6E-409C-BE32-E72D297353CC}">
              <c16:uniqueId val="{00000005-A8B7-49B6-A6FE-D5020490AF61}"/>
            </c:ext>
          </c:extLst>
        </c:ser>
        <c:ser>
          <c:idx val="6"/>
          <c:order val="6"/>
          <c:tx>
            <c:strRef>
              <c:f>pivot_icu!$H$3:$H$4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pivot_icu!$H$5:$H$71</c:f>
              <c:numCache>
                <c:formatCode>General</c:formatCode>
                <c:ptCount val="66"/>
                <c:pt idx="10">
                  <c:v>2</c:v>
                </c:pt>
                <c:pt idx="11">
                  <c:v>2</c:v>
                </c:pt>
                <c:pt idx="12">
                  <c:v>2</c:v>
                </c:pt>
                <c:pt idx="13">
                  <c:v>4</c:v>
                </c:pt>
                <c:pt idx="14">
                  <c:v>1</c:v>
                </c:pt>
                <c:pt idx="15">
                  <c:v>1</c:v>
                </c:pt>
                <c:pt idx="16">
                  <c:v>3</c:v>
                </c:pt>
                <c:pt idx="17">
                  <c:v>3</c:v>
                </c:pt>
                <c:pt idx="18">
                  <c:v>2</c:v>
                </c:pt>
                <c:pt idx="19">
                  <c:v>2</c:v>
                </c:pt>
                <c:pt idx="20">
                  <c:v>4</c:v>
                </c:pt>
                <c:pt idx="21">
                  <c:v>5</c:v>
                </c:pt>
                <c:pt idx="22">
                  <c:v>2</c:v>
                </c:pt>
                <c:pt idx="23">
                  <c:v>2</c:v>
                </c:pt>
                <c:pt idx="24">
                  <c:v>2</c:v>
                </c:pt>
                <c:pt idx="25">
                  <c:v>4</c:v>
                </c:pt>
                <c:pt idx="26">
                  <c:v>7</c:v>
                </c:pt>
                <c:pt idx="27">
                  <c:v>10</c:v>
                </c:pt>
                <c:pt idx="28">
                  <c:v>11</c:v>
                </c:pt>
                <c:pt idx="29">
                  <c:v>8</c:v>
                </c:pt>
                <c:pt idx="30">
                  <c:v>9</c:v>
                </c:pt>
                <c:pt idx="31">
                  <c:v>11</c:v>
                </c:pt>
                <c:pt idx="32">
                  <c:v>14</c:v>
                </c:pt>
                <c:pt idx="33">
                  <c:v>15</c:v>
                </c:pt>
                <c:pt idx="34">
                  <c:v>17</c:v>
                </c:pt>
                <c:pt idx="35">
                  <c:v>18</c:v>
                </c:pt>
                <c:pt idx="36">
                  <c:v>17</c:v>
                </c:pt>
                <c:pt idx="37">
                  <c:v>18</c:v>
                </c:pt>
                <c:pt idx="38">
                  <c:v>18</c:v>
                </c:pt>
                <c:pt idx="39">
                  <c:v>19</c:v>
                </c:pt>
                <c:pt idx="40">
                  <c:v>19</c:v>
                </c:pt>
                <c:pt idx="41">
                  <c:v>17</c:v>
                </c:pt>
                <c:pt idx="42">
                  <c:v>18</c:v>
                </c:pt>
                <c:pt idx="43">
                  <c:v>18</c:v>
                </c:pt>
                <c:pt idx="44">
                  <c:v>18</c:v>
                </c:pt>
                <c:pt idx="45">
                  <c:v>17</c:v>
                </c:pt>
                <c:pt idx="46">
                  <c:v>16</c:v>
                </c:pt>
                <c:pt idx="47">
                  <c:v>17</c:v>
                </c:pt>
                <c:pt idx="48">
                  <c:v>16</c:v>
                </c:pt>
                <c:pt idx="49">
                  <c:v>14</c:v>
                </c:pt>
                <c:pt idx="50">
                  <c:v>9</c:v>
                </c:pt>
                <c:pt idx="51">
                  <c:v>8</c:v>
                </c:pt>
                <c:pt idx="52">
                  <c:v>8</c:v>
                </c:pt>
                <c:pt idx="53">
                  <c:v>7</c:v>
                </c:pt>
                <c:pt idx="54">
                  <c:v>7</c:v>
                </c:pt>
                <c:pt idx="55">
                  <c:v>6</c:v>
                </c:pt>
                <c:pt idx="56">
                  <c:v>3</c:v>
                </c:pt>
                <c:pt idx="57">
                  <c:v>3</c:v>
                </c:pt>
                <c:pt idx="58">
                  <c:v>3</c:v>
                </c:pt>
                <c:pt idx="59">
                  <c:v>2</c:v>
                </c:pt>
                <c:pt idx="60">
                  <c:v>1</c:v>
                </c:pt>
                <c:pt idx="61">
                  <c:v>0</c:v>
                </c:pt>
                <c:pt idx="62">
                  <c:v>1</c:v>
                </c:pt>
                <c:pt idx="63">
                  <c:v>1</c:v>
                </c:pt>
                <c:pt idx="64">
                  <c:v>1</c:v>
                </c:pt>
                <c:pt idx="65">
                  <c:v>1</c:v>
                </c:pt>
              </c:numCache>
            </c:numRef>
          </c:val>
          <c:smooth val="0"/>
          <c:extLst>
            <c:ext xmlns:c16="http://schemas.microsoft.com/office/drawing/2014/chart" uri="{C3380CC4-5D6E-409C-BE32-E72D297353CC}">
              <c16:uniqueId val="{00000006-A8B7-49B6-A6FE-D5020490AF61}"/>
            </c:ext>
          </c:extLst>
        </c:ser>
        <c:ser>
          <c:idx val="7"/>
          <c:order val="7"/>
          <c:tx>
            <c:strRef>
              <c:f>pivot_icu!$I$3:$I$4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pivot_icu!$I$5:$I$71</c:f>
              <c:numCache>
                <c:formatCode>General</c:formatCode>
                <c:ptCount val="66"/>
                <c:pt idx="15">
                  <c:v>2</c:v>
                </c:pt>
                <c:pt idx="30">
                  <c:v>8</c:v>
                </c:pt>
                <c:pt idx="31">
                  <c:v>8</c:v>
                </c:pt>
                <c:pt idx="32">
                  <c:v>11</c:v>
                </c:pt>
                <c:pt idx="33">
                  <c:v>12</c:v>
                </c:pt>
                <c:pt idx="34">
                  <c:v>12</c:v>
                </c:pt>
                <c:pt idx="35">
                  <c:v>15</c:v>
                </c:pt>
                <c:pt idx="36">
                  <c:v>16</c:v>
                </c:pt>
                <c:pt idx="37">
                  <c:v>17</c:v>
                </c:pt>
                <c:pt idx="38">
                  <c:v>17</c:v>
                </c:pt>
                <c:pt idx="39">
                  <c:v>16</c:v>
                </c:pt>
                <c:pt idx="40">
                  <c:v>15</c:v>
                </c:pt>
                <c:pt idx="41">
                  <c:v>13</c:v>
                </c:pt>
                <c:pt idx="42">
                  <c:v>13</c:v>
                </c:pt>
                <c:pt idx="43">
                  <c:v>14</c:v>
                </c:pt>
                <c:pt idx="44">
                  <c:v>13</c:v>
                </c:pt>
                <c:pt idx="45">
                  <c:v>13</c:v>
                </c:pt>
                <c:pt idx="47">
                  <c:v>12</c:v>
                </c:pt>
                <c:pt idx="49">
                  <c:v>9</c:v>
                </c:pt>
                <c:pt idx="50">
                  <c:v>7</c:v>
                </c:pt>
                <c:pt idx="51">
                  <c:v>6</c:v>
                </c:pt>
                <c:pt idx="52">
                  <c:v>7</c:v>
                </c:pt>
                <c:pt idx="56">
                  <c:v>9</c:v>
                </c:pt>
                <c:pt idx="57">
                  <c:v>7</c:v>
                </c:pt>
                <c:pt idx="58">
                  <c:v>7</c:v>
                </c:pt>
                <c:pt idx="59">
                  <c:v>7</c:v>
                </c:pt>
                <c:pt idx="63">
                  <c:v>7</c:v>
                </c:pt>
                <c:pt idx="64">
                  <c:v>7</c:v>
                </c:pt>
                <c:pt idx="65">
                  <c:v>8</c:v>
                </c:pt>
              </c:numCache>
            </c:numRef>
          </c:val>
          <c:smooth val="0"/>
          <c:extLst>
            <c:ext xmlns:c16="http://schemas.microsoft.com/office/drawing/2014/chart" uri="{C3380CC4-5D6E-409C-BE32-E72D297353CC}">
              <c16:uniqueId val="{00000007-A8B7-49B6-A6FE-D5020490AF61}"/>
            </c:ext>
          </c:extLst>
        </c:ser>
        <c:ser>
          <c:idx val="8"/>
          <c:order val="8"/>
          <c:tx>
            <c:strRef>
              <c:f>pivot_icu!$J$3:$J$4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pivot_icu!$J$5:$J$71</c:f>
              <c:numCache>
                <c:formatCode>General</c:formatCode>
                <c:ptCount val="66"/>
              </c:numCache>
            </c:numRef>
          </c:val>
          <c:smooth val="0"/>
          <c:extLst>
            <c:ext xmlns:c16="http://schemas.microsoft.com/office/drawing/2014/chart" uri="{C3380CC4-5D6E-409C-BE32-E72D297353CC}">
              <c16:uniqueId val="{00000008-A8B7-49B6-A6FE-D5020490AF61}"/>
            </c:ext>
          </c:extLst>
        </c:ser>
        <c:ser>
          <c:idx val="9"/>
          <c:order val="9"/>
          <c:tx>
            <c:strRef>
              <c:f>pivot_icu!$K$3:$K$4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pivot_icu!$K$5:$K$71</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3</c:v>
                </c:pt>
                <c:pt idx="14">
                  <c:v>4</c:v>
                </c:pt>
                <c:pt idx="15">
                  <c:v>6</c:v>
                </c:pt>
                <c:pt idx="16">
                  <c:v>6</c:v>
                </c:pt>
                <c:pt idx="17">
                  <c:v>7</c:v>
                </c:pt>
                <c:pt idx="18">
                  <c:v>8</c:v>
                </c:pt>
                <c:pt idx="19">
                  <c:v>12</c:v>
                </c:pt>
                <c:pt idx="20">
                  <c:v>10</c:v>
                </c:pt>
                <c:pt idx="21">
                  <c:v>19</c:v>
                </c:pt>
                <c:pt idx="22">
                  <c:v>20</c:v>
                </c:pt>
                <c:pt idx="23">
                  <c:v>19</c:v>
                </c:pt>
                <c:pt idx="24">
                  <c:v>22</c:v>
                </c:pt>
                <c:pt idx="25">
                  <c:v>25</c:v>
                </c:pt>
                <c:pt idx="26">
                  <c:v>36</c:v>
                </c:pt>
                <c:pt idx="27">
                  <c:v>43</c:v>
                </c:pt>
                <c:pt idx="28">
                  <c:v>41</c:v>
                </c:pt>
                <c:pt idx="29">
                  <c:v>50</c:v>
                </c:pt>
                <c:pt idx="30">
                  <c:v>52</c:v>
                </c:pt>
                <c:pt idx="31">
                  <c:v>54</c:v>
                </c:pt>
                <c:pt idx="32">
                  <c:v>59</c:v>
                </c:pt>
                <c:pt idx="33">
                  <c:v>59</c:v>
                </c:pt>
                <c:pt idx="34">
                  <c:v>57</c:v>
                </c:pt>
                <c:pt idx="35">
                  <c:v>64</c:v>
                </c:pt>
                <c:pt idx="36">
                  <c:v>64</c:v>
                </c:pt>
                <c:pt idx="37">
                  <c:v>62</c:v>
                </c:pt>
                <c:pt idx="38">
                  <c:v>65</c:v>
                </c:pt>
                <c:pt idx="39">
                  <c:v>61</c:v>
                </c:pt>
                <c:pt idx="40">
                  <c:v>56</c:v>
                </c:pt>
                <c:pt idx="41">
                  <c:v>56</c:v>
                </c:pt>
                <c:pt idx="42">
                  <c:v>51</c:v>
                </c:pt>
                <c:pt idx="43">
                  <c:v>49</c:v>
                </c:pt>
                <c:pt idx="44">
                  <c:v>47</c:v>
                </c:pt>
                <c:pt idx="45">
                  <c:v>47</c:v>
                </c:pt>
                <c:pt idx="46">
                  <c:v>48</c:v>
                </c:pt>
                <c:pt idx="47">
                  <c:v>47</c:v>
                </c:pt>
                <c:pt idx="48">
                  <c:v>47</c:v>
                </c:pt>
                <c:pt idx="49">
                  <c:v>46</c:v>
                </c:pt>
                <c:pt idx="50">
                  <c:v>41</c:v>
                </c:pt>
                <c:pt idx="51">
                  <c:v>38</c:v>
                </c:pt>
                <c:pt idx="52">
                  <c:v>39</c:v>
                </c:pt>
                <c:pt idx="53">
                  <c:v>34</c:v>
                </c:pt>
                <c:pt idx="54">
                  <c:v>35</c:v>
                </c:pt>
                <c:pt idx="55">
                  <c:v>34</c:v>
                </c:pt>
                <c:pt idx="56">
                  <c:v>32</c:v>
                </c:pt>
                <c:pt idx="57">
                  <c:v>30</c:v>
                </c:pt>
                <c:pt idx="58">
                  <c:v>29</c:v>
                </c:pt>
                <c:pt idx="59">
                  <c:v>26</c:v>
                </c:pt>
                <c:pt idx="60">
                  <c:v>27</c:v>
                </c:pt>
                <c:pt idx="61">
                  <c:v>25</c:v>
                </c:pt>
                <c:pt idx="62">
                  <c:v>26</c:v>
                </c:pt>
                <c:pt idx="63">
                  <c:v>23</c:v>
                </c:pt>
                <c:pt idx="64">
                  <c:v>21</c:v>
                </c:pt>
              </c:numCache>
            </c:numRef>
          </c:val>
          <c:smooth val="0"/>
          <c:extLst>
            <c:ext xmlns:c16="http://schemas.microsoft.com/office/drawing/2014/chart" uri="{C3380CC4-5D6E-409C-BE32-E72D297353CC}">
              <c16:uniqueId val="{00000009-A8B7-49B6-A6FE-D5020490AF61}"/>
            </c:ext>
          </c:extLst>
        </c:ser>
        <c:ser>
          <c:idx val="10"/>
          <c:order val="10"/>
          <c:tx>
            <c:strRef>
              <c:f>pivot_icu!$L$3:$L$4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pivot_icu!$L$5:$L$71</c:f>
              <c:numCache>
                <c:formatCode>General</c:formatCode>
                <c:ptCount val="66"/>
              </c:numCache>
            </c:numRef>
          </c:val>
          <c:smooth val="0"/>
          <c:extLst>
            <c:ext xmlns:c16="http://schemas.microsoft.com/office/drawing/2014/chart" uri="{C3380CC4-5D6E-409C-BE32-E72D297353CC}">
              <c16:uniqueId val="{0000000A-A8B7-49B6-A6FE-D5020490AF61}"/>
            </c:ext>
          </c:extLst>
        </c:ser>
        <c:ser>
          <c:idx val="11"/>
          <c:order val="11"/>
          <c:tx>
            <c:strRef>
              <c:f>pivot_icu!$M$3:$M$4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pivot_icu!$M$5:$M$71</c:f>
              <c:numCache>
                <c:formatCode>General</c:formatCode>
                <c:ptCount val="66"/>
              </c:numCache>
            </c:numRef>
          </c:val>
          <c:smooth val="0"/>
          <c:extLst>
            <c:ext xmlns:c16="http://schemas.microsoft.com/office/drawing/2014/chart" uri="{C3380CC4-5D6E-409C-BE32-E72D297353CC}">
              <c16:uniqueId val="{0000000B-A8B7-49B6-A6FE-D5020490AF61}"/>
            </c:ext>
          </c:extLst>
        </c:ser>
        <c:ser>
          <c:idx val="12"/>
          <c:order val="12"/>
          <c:tx>
            <c:strRef>
              <c:f>pivot_icu!$N$3:$N$4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pivot_icu!$N$5:$N$71</c:f>
              <c:numCache>
                <c:formatCode>General</c:formatCode>
                <c:ptCount val="66"/>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2</c:v>
                </c:pt>
                <c:pt idx="27">
                  <c:v>3</c:v>
                </c:pt>
                <c:pt idx="28">
                  <c:v>4</c:v>
                </c:pt>
                <c:pt idx="29">
                  <c:v>4</c:v>
                </c:pt>
                <c:pt idx="30">
                  <c:v>4</c:v>
                </c:pt>
                <c:pt idx="31">
                  <c:v>6</c:v>
                </c:pt>
                <c:pt idx="32">
                  <c:v>5</c:v>
                </c:pt>
                <c:pt idx="33">
                  <c:v>5</c:v>
                </c:pt>
                <c:pt idx="34">
                  <c:v>5</c:v>
                </c:pt>
                <c:pt idx="35">
                  <c:v>5</c:v>
                </c:pt>
                <c:pt idx="36">
                  <c:v>5</c:v>
                </c:pt>
                <c:pt idx="37">
                  <c:v>3</c:v>
                </c:pt>
                <c:pt idx="38">
                  <c:v>3</c:v>
                </c:pt>
                <c:pt idx="39">
                  <c:v>3</c:v>
                </c:pt>
                <c:pt idx="40">
                  <c:v>4</c:v>
                </c:pt>
                <c:pt idx="41">
                  <c:v>4</c:v>
                </c:pt>
                <c:pt idx="42">
                  <c:v>4</c:v>
                </c:pt>
                <c:pt idx="43">
                  <c:v>4</c:v>
                </c:pt>
                <c:pt idx="44">
                  <c:v>5</c:v>
                </c:pt>
                <c:pt idx="45">
                  <c:v>5</c:v>
                </c:pt>
                <c:pt idx="46">
                  <c:v>5</c:v>
                </c:pt>
                <c:pt idx="47">
                  <c:v>5</c:v>
                </c:pt>
                <c:pt idx="48">
                  <c:v>5</c:v>
                </c:pt>
                <c:pt idx="49">
                  <c:v>5</c:v>
                </c:pt>
                <c:pt idx="50">
                  <c:v>5</c:v>
                </c:pt>
                <c:pt idx="51">
                  <c:v>5</c:v>
                </c:pt>
                <c:pt idx="52">
                  <c:v>5</c:v>
                </c:pt>
                <c:pt idx="53">
                  <c:v>5</c:v>
                </c:pt>
                <c:pt idx="54">
                  <c:v>5</c:v>
                </c:pt>
                <c:pt idx="55">
                  <c:v>4</c:v>
                </c:pt>
                <c:pt idx="56">
                  <c:v>4</c:v>
                </c:pt>
                <c:pt idx="57">
                  <c:v>4</c:v>
                </c:pt>
                <c:pt idx="58">
                  <c:v>4</c:v>
                </c:pt>
                <c:pt idx="59">
                  <c:v>4</c:v>
                </c:pt>
                <c:pt idx="60">
                  <c:v>4</c:v>
                </c:pt>
                <c:pt idx="61">
                  <c:v>4</c:v>
                </c:pt>
                <c:pt idx="62">
                  <c:v>4</c:v>
                </c:pt>
                <c:pt idx="63">
                  <c:v>5</c:v>
                </c:pt>
                <c:pt idx="64">
                  <c:v>5</c:v>
                </c:pt>
                <c:pt idx="65">
                  <c:v>5</c:v>
                </c:pt>
              </c:numCache>
            </c:numRef>
          </c:val>
          <c:smooth val="0"/>
          <c:extLst>
            <c:ext xmlns:c16="http://schemas.microsoft.com/office/drawing/2014/chart" uri="{C3380CC4-5D6E-409C-BE32-E72D297353CC}">
              <c16:uniqueId val="{0000000C-A8B7-49B6-A6FE-D5020490AF61}"/>
            </c:ext>
          </c:extLst>
        </c:ser>
        <c:ser>
          <c:idx val="13"/>
          <c:order val="13"/>
          <c:tx>
            <c:strRef>
              <c:f>pivot_icu!$O$3:$O$4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pivot_icu!$O$5:$O$71</c:f>
              <c:numCache>
                <c:formatCode>General</c:formatCode>
                <c:ptCount val="66"/>
                <c:pt idx="36">
                  <c:v>12</c:v>
                </c:pt>
                <c:pt idx="37">
                  <c:v>11</c:v>
                </c:pt>
                <c:pt idx="38">
                  <c:v>12</c:v>
                </c:pt>
                <c:pt idx="39">
                  <c:v>12</c:v>
                </c:pt>
                <c:pt idx="40">
                  <c:v>12</c:v>
                </c:pt>
                <c:pt idx="41">
                  <c:v>6</c:v>
                </c:pt>
                <c:pt idx="42">
                  <c:v>6</c:v>
                </c:pt>
                <c:pt idx="44">
                  <c:v>6</c:v>
                </c:pt>
                <c:pt idx="45">
                  <c:v>6</c:v>
                </c:pt>
                <c:pt idx="47">
                  <c:v>5</c:v>
                </c:pt>
                <c:pt idx="48">
                  <c:v>5</c:v>
                </c:pt>
                <c:pt idx="49">
                  <c:v>4</c:v>
                </c:pt>
                <c:pt idx="50">
                  <c:v>4</c:v>
                </c:pt>
                <c:pt idx="51">
                  <c:v>3</c:v>
                </c:pt>
                <c:pt idx="52">
                  <c:v>3</c:v>
                </c:pt>
                <c:pt idx="53">
                  <c:v>4</c:v>
                </c:pt>
                <c:pt idx="54">
                  <c:v>4</c:v>
                </c:pt>
                <c:pt idx="55">
                  <c:v>5</c:v>
                </c:pt>
                <c:pt idx="56">
                  <c:v>5</c:v>
                </c:pt>
                <c:pt idx="58">
                  <c:v>7</c:v>
                </c:pt>
                <c:pt idx="60">
                  <c:v>8</c:v>
                </c:pt>
                <c:pt idx="61">
                  <c:v>7</c:v>
                </c:pt>
                <c:pt idx="62">
                  <c:v>7</c:v>
                </c:pt>
                <c:pt idx="63">
                  <c:v>7</c:v>
                </c:pt>
                <c:pt idx="64">
                  <c:v>8</c:v>
                </c:pt>
                <c:pt idx="65">
                  <c:v>8</c:v>
                </c:pt>
              </c:numCache>
            </c:numRef>
          </c:val>
          <c:smooth val="0"/>
          <c:extLst>
            <c:ext xmlns:c16="http://schemas.microsoft.com/office/drawing/2014/chart" uri="{C3380CC4-5D6E-409C-BE32-E72D297353CC}">
              <c16:uniqueId val="{0000000D-A8B7-49B6-A6FE-D5020490AF61}"/>
            </c:ext>
          </c:extLst>
        </c:ser>
        <c:ser>
          <c:idx val="14"/>
          <c:order val="14"/>
          <c:tx>
            <c:strRef>
              <c:f>pivot_icu!$P$3:$P$4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pivot_icu!$P$5:$P$71</c:f>
              <c:numCache>
                <c:formatCode>General</c:formatCode>
                <c:ptCount val="66"/>
                <c:pt idx="27">
                  <c:v>11</c:v>
                </c:pt>
                <c:pt idx="28">
                  <c:v>8</c:v>
                </c:pt>
                <c:pt idx="29">
                  <c:v>10</c:v>
                </c:pt>
                <c:pt idx="30">
                  <c:v>9</c:v>
                </c:pt>
                <c:pt idx="31">
                  <c:v>9</c:v>
                </c:pt>
                <c:pt idx="32">
                  <c:v>11</c:v>
                </c:pt>
                <c:pt idx="33">
                  <c:v>16</c:v>
                </c:pt>
                <c:pt idx="34">
                  <c:v>12</c:v>
                </c:pt>
                <c:pt idx="35">
                  <c:v>14</c:v>
                </c:pt>
                <c:pt idx="36">
                  <c:v>14</c:v>
                </c:pt>
                <c:pt idx="37">
                  <c:v>12</c:v>
                </c:pt>
                <c:pt idx="38">
                  <c:v>11</c:v>
                </c:pt>
                <c:pt idx="39">
                  <c:v>10</c:v>
                </c:pt>
                <c:pt idx="40">
                  <c:v>12</c:v>
                </c:pt>
                <c:pt idx="41">
                  <c:v>10</c:v>
                </c:pt>
                <c:pt idx="42">
                  <c:v>10</c:v>
                </c:pt>
                <c:pt idx="43">
                  <c:v>10</c:v>
                </c:pt>
                <c:pt idx="44">
                  <c:v>10</c:v>
                </c:pt>
                <c:pt idx="45">
                  <c:v>11</c:v>
                </c:pt>
                <c:pt idx="46">
                  <c:v>11</c:v>
                </c:pt>
                <c:pt idx="47">
                  <c:v>10</c:v>
                </c:pt>
                <c:pt idx="48">
                  <c:v>10</c:v>
                </c:pt>
                <c:pt idx="49">
                  <c:v>11</c:v>
                </c:pt>
                <c:pt idx="50">
                  <c:v>12</c:v>
                </c:pt>
                <c:pt idx="51">
                  <c:v>11</c:v>
                </c:pt>
                <c:pt idx="52">
                  <c:v>10</c:v>
                </c:pt>
                <c:pt idx="53">
                  <c:v>10</c:v>
                </c:pt>
                <c:pt idx="54">
                  <c:v>9</c:v>
                </c:pt>
                <c:pt idx="55">
                  <c:v>10</c:v>
                </c:pt>
                <c:pt idx="56">
                  <c:v>7</c:v>
                </c:pt>
                <c:pt idx="57">
                  <c:v>6</c:v>
                </c:pt>
                <c:pt idx="58">
                  <c:v>6</c:v>
                </c:pt>
                <c:pt idx="59">
                  <c:v>6</c:v>
                </c:pt>
                <c:pt idx="60">
                  <c:v>4</c:v>
                </c:pt>
                <c:pt idx="61">
                  <c:v>3</c:v>
                </c:pt>
                <c:pt idx="62">
                  <c:v>3</c:v>
                </c:pt>
                <c:pt idx="63">
                  <c:v>3</c:v>
                </c:pt>
                <c:pt idx="64">
                  <c:v>4</c:v>
                </c:pt>
                <c:pt idx="65">
                  <c:v>5</c:v>
                </c:pt>
              </c:numCache>
            </c:numRef>
          </c:val>
          <c:smooth val="0"/>
          <c:extLst>
            <c:ext xmlns:c16="http://schemas.microsoft.com/office/drawing/2014/chart" uri="{C3380CC4-5D6E-409C-BE32-E72D297353CC}">
              <c16:uniqueId val="{0000000E-A8B7-49B6-A6FE-D5020490AF61}"/>
            </c:ext>
          </c:extLst>
        </c:ser>
        <c:ser>
          <c:idx val="15"/>
          <c:order val="15"/>
          <c:tx>
            <c:strRef>
              <c:f>pivot_icu!$Q$3:$Q$4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pivot_icu!$Q$5:$Q$71</c:f>
              <c:numCache>
                <c:formatCode>General</c:formatCode>
                <c:ptCount val="66"/>
                <c:pt idx="35">
                  <c:v>1</c:v>
                </c:pt>
                <c:pt idx="36">
                  <c:v>2</c:v>
                </c:pt>
                <c:pt idx="37">
                  <c:v>2</c:v>
                </c:pt>
                <c:pt idx="38">
                  <c:v>2</c:v>
                </c:pt>
                <c:pt idx="39">
                  <c:v>2</c:v>
                </c:pt>
                <c:pt idx="40">
                  <c:v>2</c:v>
                </c:pt>
                <c:pt idx="41">
                  <c:v>2</c:v>
                </c:pt>
                <c:pt idx="42">
                  <c:v>2</c:v>
                </c:pt>
                <c:pt idx="43">
                  <c:v>1</c:v>
                </c:pt>
                <c:pt idx="44">
                  <c:v>1</c:v>
                </c:pt>
                <c:pt idx="45">
                  <c:v>1</c:v>
                </c:pt>
                <c:pt idx="46">
                  <c:v>2</c:v>
                </c:pt>
                <c:pt idx="47">
                  <c:v>2</c:v>
                </c:pt>
                <c:pt idx="48">
                  <c:v>2</c:v>
                </c:pt>
                <c:pt idx="49">
                  <c:v>2</c:v>
                </c:pt>
                <c:pt idx="50">
                  <c:v>2</c:v>
                </c:pt>
                <c:pt idx="51">
                  <c:v>2</c:v>
                </c:pt>
                <c:pt idx="52">
                  <c:v>2</c:v>
                </c:pt>
                <c:pt idx="53">
                  <c:v>2</c:v>
                </c:pt>
                <c:pt idx="54">
                  <c:v>2</c:v>
                </c:pt>
                <c:pt idx="55">
                  <c:v>2</c:v>
                </c:pt>
                <c:pt idx="56">
                  <c:v>1</c:v>
                </c:pt>
                <c:pt idx="57">
                  <c:v>1</c:v>
                </c:pt>
                <c:pt idx="58">
                  <c:v>1</c:v>
                </c:pt>
                <c:pt idx="59">
                  <c:v>0</c:v>
                </c:pt>
                <c:pt idx="60">
                  <c:v>0</c:v>
                </c:pt>
                <c:pt idx="61">
                  <c:v>0</c:v>
                </c:pt>
                <c:pt idx="62">
                  <c:v>0</c:v>
                </c:pt>
                <c:pt idx="63">
                  <c:v>0</c:v>
                </c:pt>
                <c:pt idx="64">
                  <c:v>0</c:v>
                </c:pt>
                <c:pt idx="65">
                  <c:v>0</c:v>
                </c:pt>
              </c:numCache>
            </c:numRef>
          </c:val>
          <c:smooth val="0"/>
          <c:extLst>
            <c:ext xmlns:c16="http://schemas.microsoft.com/office/drawing/2014/chart" uri="{C3380CC4-5D6E-409C-BE32-E72D297353CC}">
              <c16:uniqueId val="{0000000F-A8B7-49B6-A6FE-D5020490AF61}"/>
            </c:ext>
          </c:extLst>
        </c:ser>
        <c:ser>
          <c:idx val="16"/>
          <c:order val="16"/>
          <c:tx>
            <c:strRef>
              <c:f>pivot_icu!$R$3:$R$4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pivot_icu!$R$5:$R$71</c:f>
              <c:numCache>
                <c:formatCode>General</c:formatCode>
                <c:ptCount val="66"/>
              </c:numCache>
            </c:numRef>
          </c:val>
          <c:smooth val="0"/>
          <c:extLst>
            <c:ext xmlns:c16="http://schemas.microsoft.com/office/drawing/2014/chart" uri="{C3380CC4-5D6E-409C-BE32-E72D297353CC}">
              <c16:uniqueId val="{00000010-A8B7-49B6-A6FE-D5020490AF61}"/>
            </c:ext>
          </c:extLst>
        </c:ser>
        <c:ser>
          <c:idx val="17"/>
          <c:order val="17"/>
          <c:tx>
            <c:strRef>
              <c:f>pivot_icu!$S$3:$S$4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pivot_icu!$S$5:$S$71</c:f>
              <c:numCache>
                <c:formatCode>General</c:formatCode>
                <c:ptCount val="66"/>
                <c:pt idx="37">
                  <c:v>11</c:v>
                </c:pt>
                <c:pt idx="38">
                  <c:v>12</c:v>
                </c:pt>
                <c:pt idx="39">
                  <c:v>13</c:v>
                </c:pt>
                <c:pt idx="40">
                  <c:v>13</c:v>
                </c:pt>
                <c:pt idx="41">
                  <c:v>12</c:v>
                </c:pt>
                <c:pt idx="42">
                  <c:v>9</c:v>
                </c:pt>
                <c:pt idx="43">
                  <c:v>12</c:v>
                </c:pt>
                <c:pt idx="44">
                  <c:v>13</c:v>
                </c:pt>
                <c:pt idx="45">
                  <c:v>11</c:v>
                </c:pt>
                <c:pt idx="46">
                  <c:v>11</c:v>
                </c:pt>
                <c:pt idx="47">
                  <c:v>9</c:v>
                </c:pt>
                <c:pt idx="48">
                  <c:v>10</c:v>
                </c:pt>
                <c:pt idx="49">
                  <c:v>9</c:v>
                </c:pt>
                <c:pt idx="50">
                  <c:v>9</c:v>
                </c:pt>
                <c:pt idx="51">
                  <c:v>7</c:v>
                </c:pt>
                <c:pt idx="52">
                  <c:v>9</c:v>
                </c:pt>
                <c:pt idx="53">
                  <c:v>7</c:v>
                </c:pt>
                <c:pt idx="54">
                  <c:v>7</c:v>
                </c:pt>
                <c:pt idx="55">
                  <c:v>7</c:v>
                </c:pt>
                <c:pt idx="56">
                  <c:v>8</c:v>
                </c:pt>
                <c:pt idx="57">
                  <c:v>6</c:v>
                </c:pt>
                <c:pt idx="58">
                  <c:v>2</c:v>
                </c:pt>
                <c:pt idx="59">
                  <c:v>4</c:v>
                </c:pt>
                <c:pt idx="61">
                  <c:v>4</c:v>
                </c:pt>
                <c:pt idx="62">
                  <c:v>2</c:v>
                </c:pt>
                <c:pt idx="63">
                  <c:v>3</c:v>
                </c:pt>
                <c:pt idx="64">
                  <c:v>10</c:v>
                </c:pt>
                <c:pt idx="65">
                  <c:v>3</c:v>
                </c:pt>
              </c:numCache>
            </c:numRef>
          </c:val>
          <c:smooth val="0"/>
          <c:extLst>
            <c:ext xmlns:c16="http://schemas.microsoft.com/office/drawing/2014/chart" uri="{C3380CC4-5D6E-409C-BE32-E72D297353CC}">
              <c16:uniqueId val="{00000011-A8B7-49B6-A6FE-D5020490AF61}"/>
            </c:ext>
          </c:extLst>
        </c:ser>
        <c:ser>
          <c:idx val="18"/>
          <c:order val="18"/>
          <c:tx>
            <c:strRef>
              <c:f>pivot_icu!$T$3:$T$4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pivot_icu!$T$5:$T$71</c:f>
              <c:numCache>
                <c:formatCode>General</c:formatCode>
                <c:ptCount val="66"/>
                <c:pt idx="29">
                  <c:v>1</c:v>
                </c:pt>
                <c:pt idx="30">
                  <c:v>1</c:v>
                </c:pt>
                <c:pt idx="31">
                  <c:v>1</c:v>
                </c:pt>
                <c:pt idx="32">
                  <c:v>1</c:v>
                </c:pt>
                <c:pt idx="33">
                  <c:v>1</c:v>
                </c:pt>
                <c:pt idx="34">
                  <c:v>3</c:v>
                </c:pt>
                <c:pt idx="35">
                  <c:v>3</c:v>
                </c:pt>
                <c:pt idx="36">
                  <c:v>3</c:v>
                </c:pt>
                <c:pt idx="37">
                  <c:v>3</c:v>
                </c:pt>
                <c:pt idx="38">
                  <c:v>3</c:v>
                </c:pt>
                <c:pt idx="39">
                  <c:v>3</c:v>
                </c:pt>
                <c:pt idx="40">
                  <c:v>3</c:v>
                </c:pt>
                <c:pt idx="41">
                  <c:v>3</c:v>
                </c:pt>
                <c:pt idx="42">
                  <c:v>3</c:v>
                </c:pt>
                <c:pt idx="43">
                  <c:v>2</c:v>
                </c:pt>
                <c:pt idx="44">
                  <c:v>2</c:v>
                </c:pt>
                <c:pt idx="45">
                  <c:v>2</c:v>
                </c:pt>
                <c:pt idx="46">
                  <c:v>2</c:v>
                </c:pt>
                <c:pt idx="47">
                  <c:v>2</c:v>
                </c:pt>
                <c:pt idx="48">
                  <c:v>2</c:v>
                </c:pt>
                <c:pt idx="49">
                  <c:v>2</c:v>
                </c:pt>
                <c:pt idx="50">
                  <c:v>2</c:v>
                </c:pt>
                <c:pt idx="51">
                  <c:v>2</c:v>
                </c:pt>
                <c:pt idx="52">
                  <c:v>2</c:v>
                </c:pt>
                <c:pt idx="53">
                  <c:v>4</c:v>
                </c:pt>
                <c:pt idx="54">
                  <c:v>2</c:v>
                </c:pt>
                <c:pt idx="55">
                  <c:v>2</c:v>
                </c:pt>
                <c:pt idx="56">
                  <c:v>2</c:v>
                </c:pt>
                <c:pt idx="57">
                  <c:v>2</c:v>
                </c:pt>
                <c:pt idx="58">
                  <c:v>2</c:v>
                </c:pt>
                <c:pt idx="59">
                  <c:v>1</c:v>
                </c:pt>
                <c:pt idx="60">
                  <c:v>1</c:v>
                </c:pt>
                <c:pt idx="61">
                  <c:v>2</c:v>
                </c:pt>
                <c:pt idx="62">
                  <c:v>3</c:v>
                </c:pt>
                <c:pt idx="63">
                  <c:v>2</c:v>
                </c:pt>
                <c:pt idx="64">
                  <c:v>2</c:v>
                </c:pt>
                <c:pt idx="65">
                  <c:v>2</c:v>
                </c:pt>
              </c:numCache>
            </c:numRef>
          </c:val>
          <c:smooth val="0"/>
          <c:extLst>
            <c:ext xmlns:c16="http://schemas.microsoft.com/office/drawing/2014/chart" uri="{C3380CC4-5D6E-409C-BE32-E72D297353CC}">
              <c16:uniqueId val="{00000012-A8B7-49B6-A6FE-D5020490AF61}"/>
            </c:ext>
          </c:extLst>
        </c:ser>
        <c:ser>
          <c:idx val="19"/>
          <c:order val="19"/>
          <c:tx>
            <c:strRef>
              <c:f>pivot_icu!$U$3:$U$4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pivot_icu!$U$5:$U$71</c:f>
              <c:numCache>
                <c:formatCode>General</c:formatCode>
                <c:ptCount val="66"/>
              </c:numCache>
            </c:numRef>
          </c:val>
          <c:smooth val="0"/>
          <c:extLst>
            <c:ext xmlns:c16="http://schemas.microsoft.com/office/drawing/2014/chart" uri="{C3380CC4-5D6E-409C-BE32-E72D297353CC}">
              <c16:uniqueId val="{00000013-A8B7-49B6-A6FE-D5020490AF61}"/>
            </c:ext>
          </c:extLst>
        </c:ser>
        <c:ser>
          <c:idx val="20"/>
          <c:order val="20"/>
          <c:tx>
            <c:strRef>
              <c:f>pivot_icu!$V$3:$V$4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pivot_icu!$V$5:$V$71</c:f>
              <c:numCache>
                <c:formatCode>General</c:formatCode>
                <c:ptCount val="66"/>
                <c:pt idx="41">
                  <c:v>14</c:v>
                </c:pt>
                <c:pt idx="42">
                  <c:v>13</c:v>
                </c:pt>
                <c:pt idx="43">
                  <c:v>15</c:v>
                </c:pt>
                <c:pt idx="44">
                  <c:v>12</c:v>
                </c:pt>
                <c:pt idx="45">
                  <c:v>13</c:v>
                </c:pt>
                <c:pt idx="46">
                  <c:v>14</c:v>
                </c:pt>
                <c:pt idx="47">
                  <c:v>14</c:v>
                </c:pt>
                <c:pt idx="48">
                  <c:v>17</c:v>
                </c:pt>
                <c:pt idx="49">
                  <c:v>16</c:v>
                </c:pt>
                <c:pt idx="50">
                  <c:v>14</c:v>
                </c:pt>
                <c:pt idx="51">
                  <c:v>14</c:v>
                </c:pt>
                <c:pt idx="52">
                  <c:v>13</c:v>
                </c:pt>
                <c:pt idx="53">
                  <c:v>12</c:v>
                </c:pt>
                <c:pt idx="54">
                  <c:v>12</c:v>
                </c:pt>
                <c:pt idx="55">
                  <c:v>12</c:v>
                </c:pt>
                <c:pt idx="56">
                  <c:v>12</c:v>
                </c:pt>
                <c:pt idx="57">
                  <c:v>9</c:v>
                </c:pt>
                <c:pt idx="58">
                  <c:v>9</c:v>
                </c:pt>
                <c:pt idx="59">
                  <c:v>9</c:v>
                </c:pt>
                <c:pt idx="60">
                  <c:v>8</c:v>
                </c:pt>
                <c:pt idx="61">
                  <c:v>8</c:v>
                </c:pt>
                <c:pt idx="62">
                  <c:v>8</c:v>
                </c:pt>
                <c:pt idx="63">
                  <c:v>8</c:v>
                </c:pt>
                <c:pt idx="64">
                  <c:v>7</c:v>
                </c:pt>
                <c:pt idx="65">
                  <c:v>7</c:v>
                </c:pt>
              </c:numCache>
            </c:numRef>
          </c:val>
          <c:smooth val="0"/>
          <c:extLst>
            <c:ext xmlns:c16="http://schemas.microsoft.com/office/drawing/2014/chart" uri="{C3380CC4-5D6E-409C-BE32-E72D297353CC}">
              <c16:uniqueId val="{00000014-A8B7-49B6-A6FE-D5020490AF61}"/>
            </c:ext>
          </c:extLst>
        </c:ser>
        <c:ser>
          <c:idx val="21"/>
          <c:order val="21"/>
          <c:tx>
            <c:strRef>
              <c:f>pivot_icu!$W$3:$W$4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pivot_icu!$W$5:$W$71</c:f>
              <c:numCache>
                <c:formatCode>General</c:formatCode>
                <c:ptCount val="66"/>
                <c:pt idx="17">
                  <c:v>13</c:v>
                </c:pt>
                <c:pt idx="23">
                  <c:v>33</c:v>
                </c:pt>
                <c:pt idx="24">
                  <c:v>35</c:v>
                </c:pt>
                <c:pt idx="25">
                  <c:v>40</c:v>
                </c:pt>
                <c:pt idx="26">
                  <c:v>46</c:v>
                </c:pt>
                <c:pt idx="27">
                  <c:v>45</c:v>
                </c:pt>
                <c:pt idx="28">
                  <c:v>50</c:v>
                </c:pt>
                <c:pt idx="29">
                  <c:v>57</c:v>
                </c:pt>
                <c:pt idx="30">
                  <c:v>60</c:v>
                </c:pt>
                <c:pt idx="31">
                  <c:v>61</c:v>
                </c:pt>
                <c:pt idx="32">
                  <c:v>69</c:v>
                </c:pt>
                <c:pt idx="33">
                  <c:v>69</c:v>
                </c:pt>
                <c:pt idx="34">
                  <c:v>75</c:v>
                </c:pt>
                <c:pt idx="35">
                  <c:v>74</c:v>
                </c:pt>
                <c:pt idx="36">
                  <c:v>76</c:v>
                </c:pt>
                <c:pt idx="37">
                  <c:v>75</c:v>
                </c:pt>
                <c:pt idx="38">
                  <c:v>75</c:v>
                </c:pt>
                <c:pt idx="39">
                  <c:v>72</c:v>
                </c:pt>
                <c:pt idx="40">
                  <c:v>74</c:v>
                </c:pt>
                <c:pt idx="41">
                  <c:v>72</c:v>
                </c:pt>
                <c:pt idx="42">
                  <c:v>72</c:v>
                </c:pt>
                <c:pt idx="43">
                  <c:v>71</c:v>
                </c:pt>
                <c:pt idx="44">
                  <c:v>72</c:v>
                </c:pt>
                <c:pt idx="45">
                  <c:v>68</c:v>
                </c:pt>
                <c:pt idx="46">
                  <c:v>68</c:v>
                </c:pt>
                <c:pt idx="47">
                  <c:v>63</c:v>
                </c:pt>
                <c:pt idx="48">
                  <c:v>63</c:v>
                </c:pt>
                <c:pt idx="49">
                  <c:v>63</c:v>
                </c:pt>
                <c:pt idx="50">
                  <c:v>60</c:v>
                </c:pt>
                <c:pt idx="51">
                  <c:v>59</c:v>
                </c:pt>
                <c:pt idx="52">
                  <c:v>57</c:v>
                </c:pt>
                <c:pt idx="53">
                  <c:v>56</c:v>
                </c:pt>
                <c:pt idx="54">
                  <c:v>54</c:v>
                </c:pt>
                <c:pt idx="55">
                  <c:v>55</c:v>
                </c:pt>
                <c:pt idx="56">
                  <c:v>54</c:v>
                </c:pt>
                <c:pt idx="57">
                  <c:v>42</c:v>
                </c:pt>
                <c:pt idx="58">
                  <c:v>41</c:v>
                </c:pt>
                <c:pt idx="59">
                  <c:v>42</c:v>
                </c:pt>
                <c:pt idx="60">
                  <c:v>40</c:v>
                </c:pt>
                <c:pt idx="61">
                  <c:v>37</c:v>
                </c:pt>
                <c:pt idx="62">
                  <c:v>34</c:v>
                </c:pt>
                <c:pt idx="63">
                  <c:v>30</c:v>
                </c:pt>
                <c:pt idx="64">
                  <c:v>29</c:v>
                </c:pt>
                <c:pt idx="65">
                  <c:v>30</c:v>
                </c:pt>
              </c:numCache>
            </c:numRef>
          </c:val>
          <c:smooth val="0"/>
          <c:extLst>
            <c:ext xmlns:c16="http://schemas.microsoft.com/office/drawing/2014/chart" uri="{C3380CC4-5D6E-409C-BE32-E72D297353CC}">
              <c16:uniqueId val="{00000015-A8B7-49B6-A6FE-D5020490AF61}"/>
            </c:ext>
          </c:extLst>
        </c:ser>
        <c:ser>
          <c:idx val="22"/>
          <c:order val="22"/>
          <c:tx>
            <c:strRef>
              <c:f>pivot_icu!$X$3:$X$4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pivot_icu!$X$5:$X$71</c:f>
              <c:numCache>
                <c:formatCode>General</c:formatCode>
                <c:ptCount val="66"/>
              </c:numCache>
            </c:numRef>
          </c:val>
          <c:smooth val="0"/>
          <c:extLst>
            <c:ext xmlns:c16="http://schemas.microsoft.com/office/drawing/2014/chart" uri="{C3380CC4-5D6E-409C-BE32-E72D297353CC}">
              <c16:uniqueId val="{00000016-A8B7-49B6-A6FE-D5020490AF61}"/>
            </c:ext>
          </c:extLst>
        </c:ser>
        <c:ser>
          <c:idx val="23"/>
          <c:order val="23"/>
          <c:tx>
            <c:strRef>
              <c:f>pivot_icu!$Y$3:$Y$4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pivot_icu!$Y$5:$Y$71</c:f>
              <c:numCache>
                <c:formatCode>General</c:formatCode>
                <c:ptCount val="66"/>
                <c:pt idx="8">
                  <c:v>1</c:v>
                </c:pt>
                <c:pt idx="9">
                  <c:v>1</c:v>
                </c:pt>
                <c:pt idx="10">
                  <c:v>2</c:v>
                </c:pt>
                <c:pt idx="11">
                  <c:v>4</c:v>
                </c:pt>
                <c:pt idx="12">
                  <c:v>3</c:v>
                </c:pt>
                <c:pt idx="13">
                  <c:v>5</c:v>
                </c:pt>
                <c:pt idx="14">
                  <c:v>8</c:v>
                </c:pt>
                <c:pt idx="15">
                  <c:v>7</c:v>
                </c:pt>
                <c:pt idx="16">
                  <c:v>6</c:v>
                </c:pt>
                <c:pt idx="17">
                  <c:v>7</c:v>
                </c:pt>
                <c:pt idx="18">
                  <c:v>10</c:v>
                </c:pt>
                <c:pt idx="19">
                  <c:v>10</c:v>
                </c:pt>
                <c:pt idx="20">
                  <c:v>20</c:v>
                </c:pt>
                <c:pt idx="21">
                  <c:v>24</c:v>
                </c:pt>
                <c:pt idx="22">
                  <c:v>24</c:v>
                </c:pt>
                <c:pt idx="23">
                  <c:v>23</c:v>
                </c:pt>
                <c:pt idx="24">
                  <c:v>23</c:v>
                </c:pt>
                <c:pt idx="25">
                  <c:v>24</c:v>
                </c:pt>
                <c:pt idx="26">
                  <c:v>30</c:v>
                </c:pt>
                <c:pt idx="27">
                  <c:v>39</c:v>
                </c:pt>
                <c:pt idx="28">
                  <c:v>40</c:v>
                </c:pt>
                <c:pt idx="29">
                  <c:v>51</c:v>
                </c:pt>
                <c:pt idx="30">
                  <c:v>55</c:v>
                </c:pt>
                <c:pt idx="31">
                  <c:v>59</c:v>
                </c:pt>
                <c:pt idx="32">
                  <c:v>60</c:v>
                </c:pt>
                <c:pt idx="33">
                  <c:v>61</c:v>
                </c:pt>
                <c:pt idx="34">
                  <c:v>63</c:v>
                </c:pt>
                <c:pt idx="35">
                  <c:v>66</c:v>
                </c:pt>
                <c:pt idx="36">
                  <c:v>67</c:v>
                </c:pt>
                <c:pt idx="37">
                  <c:v>68</c:v>
                </c:pt>
                <c:pt idx="38">
                  <c:v>66</c:v>
                </c:pt>
                <c:pt idx="39">
                  <c:v>66</c:v>
                </c:pt>
                <c:pt idx="40">
                  <c:v>65</c:v>
                </c:pt>
                <c:pt idx="41">
                  <c:v>63</c:v>
                </c:pt>
                <c:pt idx="42">
                  <c:v>62</c:v>
                </c:pt>
                <c:pt idx="43">
                  <c:v>61</c:v>
                </c:pt>
                <c:pt idx="44">
                  <c:v>61</c:v>
                </c:pt>
                <c:pt idx="45">
                  <c:v>63</c:v>
                </c:pt>
                <c:pt idx="46">
                  <c:v>63</c:v>
                </c:pt>
                <c:pt idx="47">
                  <c:v>62</c:v>
                </c:pt>
                <c:pt idx="48">
                  <c:v>58</c:v>
                </c:pt>
                <c:pt idx="49">
                  <c:v>57</c:v>
                </c:pt>
                <c:pt idx="50">
                  <c:v>53</c:v>
                </c:pt>
                <c:pt idx="51">
                  <c:v>52</c:v>
                </c:pt>
                <c:pt idx="52">
                  <c:v>51</c:v>
                </c:pt>
                <c:pt idx="53">
                  <c:v>48</c:v>
                </c:pt>
                <c:pt idx="54">
                  <c:v>47</c:v>
                </c:pt>
                <c:pt idx="55">
                  <c:v>41</c:v>
                </c:pt>
                <c:pt idx="56">
                  <c:v>41</c:v>
                </c:pt>
                <c:pt idx="57">
                  <c:v>40</c:v>
                </c:pt>
                <c:pt idx="58">
                  <c:v>38</c:v>
                </c:pt>
                <c:pt idx="59">
                  <c:v>35</c:v>
                </c:pt>
                <c:pt idx="60">
                  <c:v>35</c:v>
                </c:pt>
                <c:pt idx="61">
                  <c:v>35</c:v>
                </c:pt>
                <c:pt idx="62">
                  <c:v>33</c:v>
                </c:pt>
                <c:pt idx="63">
                  <c:v>32</c:v>
                </c:pt>
                <c:pt idx="64">
                  <c:v>31</c:v>
                </c:pt>
                <c:pt idx="65">
                  <c:v>27</c:v>
                </c:pt>
              </c:numCache>
            </c:numRef>
          </c:val>
          <c:smooth val="0"/>
          <c:extLst>
            <c:ext xmlns:c16="http://schemas.microsoft.com/office/drawing/2014/chart" uri="{C3380CC4-5D6E-409C-BE32-E72D297353CC}">
              <c16:uniqueId val="{00000017-A8B7-49B6-A6FE-D5020490AF61}"/>
            </c:ext>
          </c:extLst>
        </c:ser>
        <c:ser>
          <c:idx val="24"/>
          <c:order val="24"/>
          <c:tx>
            <c:strRef>
              <c:f>pivot_icu!$Z$3:$Z$4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pivot_icu!$Z$5:$Z$71</c:f>
              <c:numCache>
                <c:formatCode>General</c:formatCode>
                <c:ptCount val="66"/>
                <c:pt idx="3">
                  <c:v>0</c:v>
                </c:pt>
                <c:pt idx="4">
                  <c:v>0</c:v>
                </c:pt>
                <c:pt idx="5">
                  <c:v>0</c:v>
                </c:pt>
                <c:pt idx="6">
                  <c:v>0</c:v>
                </c:pt>
                <c:pt idx="7">
                  <c:v>0</c:v>
                </c:pt>
                <c:pt idx="8">
                  <c:v>0</c:v>
                </c:pt>
                <c:pt idx="9">
                  <c:v>0</c:v>
                </c:pt>
                <c:pt idx="10">
                  <c:v>0</c:v>
                </c:pt>
                <c:pt idx="11">
                  <c:v>0</c:v>
                </c:pt>
                <c:pt idx="12">
                  <c:v>1</c:v>
                </c:pt>
                <c:pt idx="13">
                  <c:v>1</c:v>
                </c:pt>
                <c:pt idx="14">
                  <c:v>1</c:v>
                </c:pt>
                <c:pt idx="15">
                  <c:v>1</c:v>
                </c:pt>
                <c:pt idx="16">
                  <c:v>1</c:v>
                </c:pt>
                <c:pt idx="17">
                  <c:v>1</c:v>
                </c:pt>
                <c:pt idx="18">
                  <c:v>1</c:v>
                </c:pt>
                <c:pt idx="19">
                  <c:v>1</c:v>
                </c:pt>
                <c:pt idx="20">
                  <c:v>2</c:v>
                </c:pt>
                <c:pt idx="21">
                  <c:v>2</c:v>
                </c:pt>
                <c:pt idx="22">
                  <c:v>2</c:v>
                </c:pt>
                <c:pt idx="23">
                  <c:v>5</c:v>
                </c:pt>
                <c:pt idx="24">
                  <c:v>6</c:v>
                </c:pt>
                <c:pt idx="25">
                  <c:v>8</c:v>
                </c:pt>
                <c:pt idx="26">
                  <c:v>11</c:v>
                </c:pt>
                <c:pt idx="27">
                  <c:v>12</c:v>
                </c:pt>
                <c:pt idx="28">
                  <c:v>13</c:v>
                </c:pt>
                <c:pt idx="29">
                  <c:v>15</c:v>
                </c:pt>
                <c:pt idx="30">
                  <c:v>19</c:v>
                </c:pt>
                <c:pt idx="31">
                  <c:v>20</c:v>
                </c:pt>
                <c:pt idx="32">
                  <c:v>21</c:v>
                </c:pt>
                <c:pt idx="33">
                  <c:v>22</c:v>
                </c:pt>
                <c:pt idx="34">
                  <c:v>25</c:v>
                </c:pt>
                <c:pt idx="35">
                  <c:v>24</c:v>
                </c:pt>
                <c:pt idx="36">
                  <c:v>26</c:v>
                </c:pt>
                <c:pt idx="37">
                  <c:v>28</c:v>
                </c:pt>
                <c:pt idx="38">
                  <c:v>26</c:v>
                </c:pt>
                <c:pt idx="39">
                  <c:v>28</c:v>
                </c:pt>
                <c:pt idx="40">
                  <c:v>26</c:v>
                </c:pt>
                <c:pt idx="41">
                  <c:v>26</c:v>
                </c:pt>
                <c:pt idx="42">
                  <c:v>25</c:v>
                </c:pt>
                <c:pt idx="43">
                  <c:v>26</c:v>
                </c:pt>
                <c:pt idx="44">
                  <c:v>24</c:v>
                </c:pt>
                <c:pt idx="45">
                  <c:v>24</c:v>
                </c:pt>
                <c:pt idx="46">
                  <c:v>20</c:v>
                </c:pt>
                <c:pt idx="47">
                  <c:v>22</c:v>
                </c:pt>
                <c:pt idx="48">
                  <c:v>21</c:v>
                </c:pt>
                <c:pt idx="49">
                  <c:v>20</c:v>
                </c:pt>
                <c:pt idx="50">
                  <c:v>20</c:v>
                </c:pt>
                <c:pt idx="51">
                  <c:v>17</c:v>
                </c:pt>
                <c:pt idx="52">
                  <c:v>16</c:v>
                </c:pt>
                <c:pt idx="53">
                  <c:v>18</c:v>
                </c:pt>
                <c:pt idx="54">
                  <c:v>16</c:v>
                </c:pt>
                <c:pt idx="55">
                  <c:v>15</c:v>
                </c:pt>
                <c:pt idx="56">
                  <c:v>14</c:v>
                </c:pt>
                <c:pt idx="57">
                  <c:v>13</c:v>
                </c:pt>
                <c:pt idx="58">
                  <c:v>13</c:v>
                </c:pt>
                <c:pt idx="59">
                  <c:v>14</c:v>
                </c:pt>
                <c:pt idx="60">
                  <c:v>14</c:v>
                </c:pt>
                <c:pt idx="61">
                  <c:v>15</c:v>
                </c:pt>
                <c:pt idx="62">
                  <c:v>14</c:v>
                </c:pt>
                <c:pt idx="63">
                  <c:v>13</c:v>
                </c:pt>
                <c:pt idx="64">
                  <c:v>11</c:v>
                </c:pt>
                <c:pt idx="65">
                  <c:v>11</c:v>
                </c:pt>
              </c:numCache>
            </c:numRef>
          </c:val>
          <c:smooth val="0"/>
          <c:extLst>
            <c:ext xmlns:c16="http://schemas.microsoft.com/office/drawing/2014/chart" uri="{C3380CC4-5D6E-409C-BE32-E72D297353CC}">
              <c16:uniqueId val="{00000018-A8B7-49B6-A6FE-D5020490AF61}"/>
            </c:ext>
          </c:extLst>
        </c:ser>
        <c:ser>
          <c:idx val="25"/>
          <c:order val="25"/>
          <c:tx>
            <c:strRef>
              <c:f>pivot_icu!$AA$3:$AA$4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pivot_icu!$AA$5:$AA$71</c:f>
              <c:numCache>
                <c:formatCode>General</c:formatCode>
                <c:ptCount val="66"/>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5</c:v>
                </c:pt>
                <c:pt idx="32">
                  <c:v>5</c:v>
                </c:pt>
                <c:pt idx="33">
                  <c:v>5</c:v>
                </c:pt>
                <c:pt idx="34">
                  <c:v>5</c:v>
                </c:pt>
                <c:pt idx="35">
                  <c:v>6</c:v>
                </c:pt>
                <c:pt idx="36">
                  <c:v>5</c:v>
                </c:pt>
                <c:pt idx="37">
                  <c:v>5</c:v>
                </c:pt>
                <c:pt idx="38">
                  <c:v>7</c:v>
                </c:pt>
                <c:pt idx="39">
                  <c:v>7</c:v>
                </c:pt>
                <c:pt idx="40">
                  <c:v>7</c:v>
                </c:pt>
                <c:pt idx="41">
                  <c:v>8</c:v>
                </c:pt>
                <c:pt idx="42">
                  <c:v>8</c:v>
                </c:pt>
                <c:pt idx="43">
                  <c:v>9</c:v>
                </c:pt>
                <c:pt idx="44">
                  <c:v>9</c:v>
                </c:pt>
                <c:pt idx="45">
                  <c:v>9</c:v>
                </c:pt>
                <c:pt idx="46">
                  <c:v>9</c:v>
                </c:pt>
                <c:pt idx="47">
                  <c:v>9</c:v>
                </c:pt>
                <c:pt idx="48">
                  <c:v>9</c:v>
                </c:pt>
                <c:pt idx="49">
                  <c:v>9</c:v>
                </c:pt>
                <c:pt idx="50">
                  <c:v>9</c:v>
                </c:pt>
                <c:pt idx="51">
                  <c:v>7</c:v>
                </c:pt>
                <c:pt idx="52">
                  <c:v>6</c:v>
                </c:pt>
                <c:pt idx="53">
                  <c:v>6</c:v>
                </c:pt>
                <c:pt idx="54">
                  <c:v>6</c:v>
                </c:pt>
                <c:pt idx="55">
                  <c:v>5</c:v>
                </c:pt>
                <c:pt idx="56">
                  <c:v>4</c:v>
                </c:pt>
                <c:pt idx="57">
                  <c:v>3</c:v>
                </c:pt>
                <c:pt idx="58">
                  <c:v>3</c:v>
                </c:pt>
                <c:pt idx="59">
                  <c:v>3</c:v>
                </c:pt>
                <c:pt idx="60">
                  <c:v>3</c:v>
                </c:pt>
                <c:pt idx="61">
                  <c:v>3</c:v>
                </c:pt>
                <c:pt idx="62">
                  <c:v>3</c:v>
                </c:pt>
                <c:pt idx="63">
                  <c:v>3</c:v>
                </c:pt>
                <c:pt idx="64">
                  <c:v>3</c:v>
                </c:pt>
                <c:pt idx="65">
                  <c:v>3</c:v>
                </c:pt>
              </c:numCache>
            </c:numRef>
          </c:val>
          <c:smooth val="0"/>
          <c:extLst>
            <c:ext xmlns:c16="http://schemas.microsoft.com/office/drawing/2014/chart" uri="{C3380CC4-5D6E-409C-BE32-E72D297353CC}">
              <c16:uniqueId val="{00000019-A8B7-49B6-A6FE-D5020490AF61}"/>
            </c:ext>
          </c:extLst>
        </c:ser>
        <c:ser>
          <c:idx val="26"/>
          <c:order val="26"/>
          <c:tx>
            <c:strRef>
              <c:f>pivot_icu!$AB$3:$AB$4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pivot_icu!$AB$5:$AB$71</c:f>
              <c:numCache>
                <c:formatCode>General</c:formatCode>
                <c:ptCount val="66"/>
              </c:numCache>
            </c:numRef>
          </c:val>
          <c:smooth val="0"/>
          <c:extLst>
            <c:ext xmlns:c16="http://schemas.microsoft.com/office/drawing/2014/chart" uri="{C3380CC4-5D6E-409C-BE32-E72D297353CC}">
              <c16:uniqueId val="{0000001A-A8B7-49B6-A6FE-D5020490AF61}"/>
            </c:ext>
          </c:extLst>
        </c:ser>
        <c:dLbls>
          <c:showLegendKey val="0"/>
          <c:showVal val="0"/>
          <c:showCatName val="0"/>
          <c:showSerName val="0"/>
          <c:showPercent val="0"/>
          <c:showBubbleSize val="0"/>
        </c:dLbls>
        <c:smooth val="0"/>
        <c:axId val="178449776"/>
        <c:axId val="1228720975"/>
      </c:lineChart>
      <c:dateAx>
        <c:axId val="178449776"/>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0"/>
        <c:lblOffset val="100"/>
        <c:baseTimeUnit val="days"/>
      </c:date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[covid-19-ch-dashboarcovid-19-excel_test.xlsm]pivot_sterblichkeit!PivotTable1</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pivot_sterblichkeit!$C$3:$C$5</c:f>
              <c:strCache>
                <c:ptCount val="1"/>
                <c:pt idx="0">
                  <c:v>Untere Grenze - 65+</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pivot_sterblichkeit!$C$6:$C$58</c:f>
              <c:numCache>
                <c:formatCode>General</c:formatCode>
                <c:ptCount val="53"/>
                <c:pt idx="0">
                  <c:v>1161</c:v>
                </c:pt>
                <c:pt idx="1">
                  <c:v>1166</c:v>
                </c:pt>
                <c:pt idx="2">
                  <c:v>1171</c:v>
                </c:pt>
                <c:pt idx="3">
                  <c:v>1176</c:v>
                </c:pt>
                <c:pt idx="4">
                  <c:v>1180</c:v>
                </c:pt>
                <c:pt idx="5">
                  <c:v>1185</c:v>
                </c:pt>
                <c:pt idx="6">
                  <c:v>1187</c:v>
                </c:pt>
                <c:pt idx="7">
                  <c:v>1179</c:v>
                </c:pt>
                <c:pt idx="8">
                  <c:v>1172</c:v>
                </c:pt>
                <c:pt idx="9">
                  <c:v>1153</c:v>
                </c:pt>
                <c:pt idx="10">
                  <c:v>1134</c:v>
                </c:pt>
                <c:pt idx="11">
                  <c:v>1110</c:v>
                </c:pt>
                <c:pt idx="12">
                  <c:v>1086</c:v>
                </c:pt>
                <c:pt idx="13">
                  <c:v>1065</c:v>
                </c:pt>
                <c:pt idx="14">
                  <c:v>1046</c:v>
                </c:pt>
                <c:pt idx="15">
                  <c:v>1026</c:v>
                </c:pt>
                <c:pt idx="16">
                  <c:v>1010</c:v>
                </c:pt>
                <c:pt idx="17">
                  <c:v>994</c:v>
                </c:pt>
                <c:pt idx="18">
                  <c:v>981</c:v>
                </c:pt>
                <c:pt idx="19">
                  <c:v>969</c:v>
                </c:pt>
                <c:pt idx="20">
                  <c:v>959</c:v>
                </c:pt>
                <c:pt idx="21">
                  <c:v>956</c:v>
                </c:pt>
                <c:pt idx="22">
                  <c:v>952</c:v>
                </c:pt>
                <c:pt idx="23">
                  <c:v>950</c:v>
                </c:pt>
                <c:pt idx="24">
                  <c:v>952</c:v>
                </c:pt>
                <c:pt idx="25">
                  <c:v>953</c:v>
                </c:pt>
                <c:pt idx="26">
                  <c:v>956</c:v>
                </c:pt>
                <c:pt idx="27">
                  <c:v>956</c:v>
                </c:pt>
                <c:pt idx="28">
                  <c:v>956</c:v>
                </c:pt>
                <c:pt idx="29">
                  <c:v>955</c:v>
                </c:pt>
                <c:pt idx="30">
                  <c:v>954</c:v>
                </c:pt>
                <c:pt idx="31">
                  <c:v>953</c:v>
                </c:pt>
                <c:pt idx="32">
                  <c:v>952</c:v>
                </c:pt>
                <c:pt idx="33">
                  <c:v>953</c:v>
                </c:pt>
                <c:pt idx="34">
                  <c:v>959</c:v>
                </c:pt>
                <c:pt idx="35">
                  <c:v>965</c:v>
                </c:pt>
                <c:pt idx="36">
                  <c:v>973</c:v>
                </c:pt>
                <c:pt idx="37">
                  <c:v>982</c:v>
                </c:pt>
                <c:pt idx="38">
                  <c:v>992</c:v>
                </c:pt>
                <c:pt idx="39">
                  <c:v>1002</c:v>
                </c:pt>
                <c:pt idx="40">
                  <c:v>1011</c:v>
                </c:pt>
                <c:pt idx="41">
                  <c:v>1021</c:v>
                </c:pt>
                <c:pt idx="42">
                  <c:v>1029</c:v>
                </c:pt>
                <c:pt idx="43">
                  <c:v>1037</c:v>
                </c:pt>
                <c:pt idx="44">
                  <c:v>1049</c:v>
                </c:pt>
                <c:pt idx="45">
                  <c:v>1061</c:v>
                </c:pt>
                <c:pt idx="46">
                  <c:v>1073</c:v>
                </c:pt>
                <c:pt idx="47">
                  <c:v>1084</c:v>
                </c:pt>
                <c:pt idx="48">
                  <c:v>1096</c:v>
                </c:pt>
                <c:pt idx="49">
                  <c:v>1105</c:v>
                </c:pt>
                <c:pt idx="50">
                  <c:v>1114</c:v>
                </c:pt>
                <c:pt idx="51">
                  <c:v>1122</c:v>
                </c:pt>
                <c:pt idx="52">
                  <c:v>1131</c:v>
                </c:pt>
              </c:numCache>
            </c:numRef>
          </c:val>
          <c:smooth val="0"/>
          <c:extLst>
            <c:ext xmlns:c16="http://schemas.microsoft.com/office/drawing/2014/chart" uri="{C3380CC4-5D6E-409C-BE32-E72D297353CC}">
              <c16:uniqueId val="{000000E4-AC1C-4C90-9510-FACF338F9836}"/>
            </c:ext>
          </c:extLst>
        </c:ser>
        <c:ser>
          <c:idx val="2"/>
          <c:order val="2"/>
          <c:tx>
            <c:strRef>
              <c:f>pivot_sterblichkeit!$D$3:$D$5</c:f>
              <c:strCache>
                <c:ptCount val="1"/>
                <c:pt idx="0">
                  <c:v>Erwartungen - 0-64</c:v>
                </c:pt>
              </c:strCache>
            </c:strRef>
          </c:tx>
          <c:spPr>
            <a:ln w="34925" cap="rnd">
              <a:solidFill>
                <a:srgbClr val="0070C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pivot_sterblichkeit!$D$6:$D$58</c:f>
              <c:numCache>
                <c:formatCode>General</c:formatCode>
                <c:ptCount val="53"/>
                <c:pt idx="0">
                  <c:v>173</c:v>
                </c:pt>
                <c:pt idx="1">
                  <c:v>172</c:v>
                </c:pt>
                <c:pt idx="2">
                  <c:v>172</c:v>
                </c:pt>
                <c:pt idx="3">
                  <c:v>172</c:v>
                </c:pt>
                <c:pt idx="4">
                  <c:v>171</c:v>
                </c:pt>
                <c:pt idx="5">
                  <c:v>171</c:v>
                </c:pt>
                <c:pt idx="6">
                  <c:v>170</c:v>
                </c:pt>
                <c:pt idx="7">
                  <c:v>170</c:v>
                </c:pt>
                <c:pt idx="8">
                  <c:v>170</c:v>
                </c:pt>
                <c:pt idx="9">
                  <c:v>169</c:v>
                </c:pt>
                <c:pt idx="10">
                  <c:v>168</c:v>
                </c:pt>
                <c:pt idx="11">
                  <c:v>167</c:v>
                </c:pt>
                <c:pt idx="12">
                  <c:v>166</c:v>
                </c:pt>
                <c:pt idx="13">
                  <c:v>165</c:v>
                </c:pt>
                <c:pt idx="14">
                  <c:v>163</c:v>
                </c:pt>
                <c:pt idx="15">
                  <c:v>162</c:v>
                </c:pt>
                <c:pt idx="16">
                  <c:v>161</c:v>
                </c:pt>
                <c:pt idx="17">
                  <c:v>160</c:v>
                </c:pt>
                <c:pt idx="18">
                  <c:v>159</c:v>
                </c:pt>
                <c:pt idx="19">
                  <c:v>158</c:v>
                </c:pt>
                <c:pt idx="20">
                  <c:v>157</c:v>
                </c:pt>
                <c:pt idx="21">
                  <c:v>157</c:v>
                </c:pt>
                <c:pt idx="22">
                  <c:v>157</c:v>
                </c:pt>
                <c:pt idx="23">
                  <c:v>157</c:v>
                </c:pt>
                <c:pt idx="24">
                  <c:v>157</c:v>
                </c:pt>
                <c:pt idx="25">
                  <c:v>157</c:v>
                </c:pt>
                <c:pt idx="26">
                  <c:v>157</c:v>
                </c:pt>
                <c:pt idx="27">
                  <c:v>157</c:v>
                </c:pt>
                <c:pt idx="28">
                  <c:v>157</c:v>
                </c:pt>
                <c:pt idx="29">
                  <c:v>156</c:v>
                </c:pt>
                <c:pt idx="30">
                  <c:v>156</c:v>
                </c:pt>
                <c:pt idx="31">
                  <c:v>156</c:v>
                </c:pt>
                <c:pt idx="32">
                  <c:v>155</c:v>
                </c:pt>
                <c:pt idx="33">
                  <c:v>155</c:v>
                </c:pt>
                <c:pt idx="34">
                  <c:v>155</c:v>
                </c:pt>
                <c:pt idx="35">
                  <c:v>156</c:v>
                </c:pt>
                <c:pt idx="36">
                  <c:v>156</c:v>
                </c:pt>
                <c:pt idx="37">
                  <c:v>156</c:v>
                </c:pt>
                <c:pt idx="38">
                  <c:v>157</c:v>
                </c:pt>
                <c:pt idx="39">
                  <c:v>157</c:v>
                </c:pt>
                <c:pt idx="40">
                  <c:v>158</c:v>
                </c:pt>
                <c:pt idx="41">
                  <c:v>158</c:v>
                </c:pt>
                <c:pt idx="42">
                  <c:v>158</c:v>
                </c:pt>
                <c:pt idx="43">
                  <c:v>158</c:v>
                </c:pt>
                <c:pt idx="44">
                  <c:v>159</c:v>
                </c:pt>
                <c:pt idx="45">
                  <c:v>159</c:v>
                </c:pt>
                <c:pt idx="46">
                  <c:v>159</c:v>
                </c:pt>
                <c:pt idx="47">
                  <c:v>160</c:v>
                </c:pt>
                <c:pt idx="48">
                  <c:v>160</c:v>
                </c:pt>
                <c:pt idx="49">
                  <c:v>161</c:v>
                </c:pt>
                <c:pt idx="50">
                  <c:v>161</c:v>
                </c:pt>
                <c:pt idx="51">
                  <c:v>162</c:v>
                </c:pt>
                <c:pt idx="52">
                  <c:v>162</c:v>
                </c:pt>
              </c:numCache>
            </c:numRef>
          </c:val>
          <c:smooth val="0"/>
          <c:extLst>
            <c:ext xmlns:c16="http://schemas.microsoft.com/office/drawing/2014/chart" uri="{C3380CC4-5D6E-409C-BE32-E72D297353CC}">
              <c16:uniqueId val="{000000E5-AC1C-4C90-9510-FACF338F9836}"/>
            </c:ext>
          </c:extLst>
        </c:ser>
        <c:ser>
          <c:idx val="4"/>
          <c:order val="4"/>
          <c:tx>
            <c:strRef>
              <c:f>pivot_sterblichkeit!$F$3:$F$5</c:f>
              <c:strCache>
                <c:ptCount val="1"/>
                <c:pt idx="0">
                  <c:v>Obere Grenze - 0-64</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pivot_sterblichkeit!$F$6:$F$58</c:f>
              <c:numCache>
                <c:formatCode>General</c:formatCode>
                <c:ptCount val="53"/>
                <c:pt idx="0">
                  <c:v>207</c:v>
                </c:pt>
                <c:pt idx="1">
                  <c:v>206</c:v>
                </c:pt>
                <c:pt idx="2">
                  <c:v>206</c:v>
                </c:pt>
                <c:pt idx="3">
                  <c:v>205</c:v>
                </c:pt>
                <c:pt idx="4">
                  <c:v>205</c:v>
                </c:pt>
                <c:pt idx="5">
                  <c:v>204</c:v>
                </c:pt>
                <c:pt idx="6">
                  <c:v>204</c:v>
                </c:pt>
                <c:pt idx="7">
                  <c:v>204</c:v>
                </c:pt>
                <c:pt idx="8">
                  <c:v>203</c:v>
                </c:pt>
                <c:pt idx="9">
                  <c:v>202</c:v>
                </c:pt>
                <c:pt idx="10">
                  <c:v>201</c:v>
                </c:pt>
                <c:pt idx="11">
                  <c:v>200</c:v>
                </c:pt>
                <c:pt idx="12">
                  <c:v>199</c:v>
                </c:pt>
                <c:pt idx="13">
                  <c:v>198</c:v>
                </c:pt>
                <c:pt idx="14">
                  <c:v>196</c:v>
                </c:pt>
                <c:pt idx="15">
                  <c:v>195</c:v>
                </c:pt>
                <c:pt idx="16">
                  <c:v>194</c:v>
                </c:pt>
                <c:pt idx="17">
                  <c:v>193</c:v>
                </c:pt>
                <c:pt idx="18">
                  <c:v>192</c:v>
                </c:pt>
                <c:pt idx="19">
                  <c:v>191</c:v>
                </c:pt>
                <c:pt idx="20">
                  <c:v>190</c:v>
                </c:pt>
                <c:pt idx="21">
                  <c:v>189</c:v>
                </c:pt>
                <c:pt idx="22">
                  <c:v>189</c:v>
                </c:pt>
                <c:pt idx="23">
                  <c:v>189</c:v>
                </c:pt>
                <c:pt idx="24">
                  <c:v>189</c:v>
                </c:pt>
                <c:pt idx="25">
                  <c:v>189</c:v>
                </c:pt>
                <c:pt idx="26">
                  <c:v>189</c:v>
                </c:pt>
                <c:pt idx="27">
                  <c:v>189</c:v>
                </c:pt>
                <c:pt idx="28">
                  <c:v>189</c:v>
                </c:pt>
                <c:pt idx="29">
                  <c:v>188</c:v>
                </c:pt>
                <c:pt idx="30">
                  <c:v>188</c:v>
                </c:pt>
                <c:pt idx="31">
                  <c:v>188</c:v>
                </c:pt>
                <c:pt idx="32">
                  <c:v>187</c:v>
                </c:pt>
                <c:pt idx="33">
                  <c:v>187</c:v>
                </c:pt>
                <c:pt idx="34">
                  <c:v>188</c:v>
                </c:pt>
                <c:pt idx="35">
                  <c:v>188</c:v>
                </c:pt>
                <c:pt idx="36">
                  <c:v>188</c:v>
                </c:pt>
                <c:pt idx="37">
                  <c:v>189</c:v>
                </c:pt>
                <c:pt idx="38">
                  <c:v>189</c:v>
                </c:pt>
                <c:pt idx="39">
                  <c:v>190</c:v>
                </c:pt>
                <c:pt idx="40">
                  <c:v>190</c:v>
                </c:pt>
                <c:pt idx="41">
                  <c:v>190</c:v>
                </c:pt>
                <c:pt idx="42">
                  <c:v>191</c:v>
                </c:pt>
                <c:pt idx="43">
                  <c:v>191</c:v>
                </c:pt>
                <c:pt idx="44">
                  <c:v>191</c:v>
                </c:pt>
                <c:pt idx="45">
                  <c:v>191</c:v>
                </c:pt>
                <c:pt idx="46">
                  <c:v>192</c:v>
                </c:pt>
                <c:pt idx="47">
                  <c:v>192</c:v>
                </c:pt>
                <c:pt idx="48">
                  <c:v>193</c:v>
                </c:pt>
                <c:pt idx="49">
                  <c:v>193</c:v>
                </c:pt>
                <c:pt idx="50">
                  <c:v>194</c:v>
                </c:pt>
                <c:pt idx="51">
                  <c:v>194</c:v>
                </c:pt>
                <c:pt idx="52">
                  <c:v>195</c:v>
                </c:pt>
              </c:numCache>
            </c:numRef>
          </c:val>
          <c:smooth val="0"/>
          <c:extLst>
            <c:ext xmlns:c16="http://schemas.microsoft.com/office/drawing/2014/chart" uri="{C3380CC4-5D6E-409C-BE32-E72D297353CC}">
              <c16:uniqueId val="{00000000-A96F-4CFB-8B7E-676AE06D3DCA}"/>
            </c:ext>
          </c:extLst>
        </c:ser>
        <c:ser>
          <c:idx val="5"/>
          <c:order val="5"/>
          <c:tx>
            <c:strRef>
              <c:f>pivot_sterblichkeit!$G$3:$G$5</c:f>
              <c:strCache>
                <c:ptCount val="1"/>
                <c:pt idx="0">
                  <c:v>Obere Grenze - 65+</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pivot_sterblichkeit!$G$6:$G$58</c:f>
              <c:numCache>
                <c:formatCode>General</c:formatCode>
                <c:ptCount val="53"/>
                <c:pt idx="0">
                  <c:v>1343</c:v>
                </c:pt>
                <c:pt idx="1">
                  <c:v>1348</c:v>
                </c:pt>
                <c:pt idx="2">
                  <c:v>1354</c:v>
                </c:pt>
                <c:pt idx="3">
                  <c:v>1359</c:v>
                </c:pt>
                <c:pt idx="4">
                  <c:v>1364</c:v>
                </c:pt>
                <c:pt idx="5">
                  <c:v>1369</c:v>
                </c:pt>
                <c:pt idx="6">
                  <c:v>1371</c:v>
                </c:pt>
                <c:pt idx="7">
                  <c:v>1363</c:v>
                </c:pt>
                <c:pt idx="8">
                  <c:v>1355</c:v>
                </c:pt>
                <c:pt idx="9">
                  <c:v>1334</c:v>
                </c:pt>
                <c:pt idx="10">
                  <c:v>1314</c:v>
                </c:pt>
                <c:pt idx="11">
                  <c:v>1289</c:v>
                </c:pt>
                <c:pt idx="12">
                  <c:v>1263</c:v>
                </c:pt>
                <c:pt idx="13">
                  <c:v>1240</c:v>
                </c:pt>
                <c:pt idx="14">
                  <c:v>1219</c:v>
                </c:pt>
                <c:pt idx="15">
                  <c:v>1198</c:v>
                </c:pt>
                <c:pt idx="16">
                  <c:v>1180</c:v>
                </c:pt>
                <c:pt idx="17">
                  <c:v>1163</c:v>
                </c:pt>
                <c:pt idx="18">
                  <c:v>1149</c:v>
                </c:pt>
                <c:pt idx="19">
                  <c:v>1136</c:v>
                </c:pt>
                <c:pt idx="20">
                  <c:v>1126</c:v>
                </c:pt>
                <c:pt idx="21">
                  <c:v>1122</c:v>
                </c:pt>
                <c:pt idx="22">
                  <c:v>1118</c:v>
                </c:pt>
                <c:pt idx="23">
                  <c:v>1115</c:v>
                </c:pt>
                <c:pt idx="24">
                  <c:v>1117</c:v>
                </c:pt>
                <c:pt idx="25">
                  <c:v>1119</c:v>
                </c:pt>
                <c:pt idx="26">
                  <c:v>1122</c:v>
                </c:pt>
                <c:pt idx="27">
                  <c:v>1122</c:v>
                </c:pt>
                <c:pt idx="28">
                  <c:v>1122</c:v>
                </c:pt>
                <c:pt idx="29">
                  <c:v>1121</c:v>
                </c:pt>
                <c:pt idx="30">
                  <c:v>1120</c:v>
                </c:pt>
                <c:pt idx="31">
                  <c:v>1119</c:v>
                </c:pt>
                <c:pt idx="32">
                  <c:v>1118</c:v>
                </c:pt>
                <c:pt idx="33">
                  <c:v>1119</c:v>
                </c:pt>
                <c:pt idx="34">
                  <c:v>1126</c:v>
                </c:pt>
                <c:pt idx="35">
                  <c:v>1132</c:v>
                </c:pt>
                <c:pt idx="36">
                  <c:v>1140</c:v>
                </c:pt>
                <c:pt idx="37">
                  <c:v>1151</c:v>
                </c:pt>
                <c:pt idx="38">
                  <c:v>1161</c:v>
                </c:pt>
                <c:pt idx="39">
                  <c:v>1172</c:v>
                </c:pt>
                <c:pt idx="40">
                  <c:v>1182</c:v>
                </c:pt>
                <c:pt idx="41">
                  <c:v>1192</c:v>
                </c:pt>
                <c:pt idx="42">
                  <c:v>1201</c:v>
                </c:pt>
                <c:pt idx="43">
                  <c:v>1210</c:v>
                </c:pt>
                <c:pt idx="44">
                  <c:v>1223</c:v>
                </c:pt>
                <c:pt idx="45">
                  <c:v>1235</c:v>
                </c:pt>
                <c:pt idx="46">
                  <c:v>1248</c:v>
                </c:pt>
                <c:pt idx="47">
                  <c:v>1261</c:v>
                </c:pt>
                <c:pt idx="48">
                  <c:v>1273</c:v>
                </c:pt>
                <c:pt idx="49">
                  <c:v>1283</c:v>
                </c:pt>
                <c:pt idx="50">
                  <c:v>1292</c:v>
                </c:pt>
                <c:pt idx="51">
                  <c:v>1302</c:v>
                </c:pt>
                <c:pt idx="52">
                  <c:v>1311</c:v>
                </c:pt>
              </c:numCache>
            </c:numRef>
          </c:val>
          <c:smooth val="0"/>
          <c:extLst>
            <c:ext xmlns:c16="http://schemas.microsoft.com/office/drawing/2014/chart" uri="{C3380CC4-5D6E-409C-BE32-E72D297353CC}">
              <c16:uniqueId val="{00000001-A96F-4CFB-8B7E-676AE06D3DCA}"/>
            </c:ext>
          </c:extLst>
        </c:ser>
        <c:ser>
          <c:idx val="7"/>
          <c:order val="7"/>
          <c:tx>
            <c:strRef>
              <c:f>pivot_sterblichkeit!$I$3:$I$5</c:f>
              <c:strCache>
                <c:ptCount val="1"/>
                <c:pt idx="0">
                  <c:v>Hochrechnungen - 65+</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pivot_sterblichkeit!$I$6:$I$58</c:f>
              <c:numCache>
                <c:formatCode>General</c:formatCode>
                <c:ptCount val="53"/>
                <c:pt idx="0">
                  <c:v>1151</c:v>
                </c:pt>
                <c:pt idx="1">
                  <c:v>1180</c:v>
                </c:pt>
                <c:pt idx="2">
                  <c:v>1204</c:v>
                </c:pt>
                <c:pt idx="3">
                  <c:v>1215</c:v>
                </c:pt>
                <c:pt idx="4">
                  <c:v>1245</c:v>
                </c:pt>
                <c:pt idx="5">
                  <c:v>1177</c:v>
                </c:pt>
                <c:pt idx="6">
                  <c:v>1195</c:v>
                </c:pt>
                <c:pt idx="7">
                  <c:v>1154</c:v>
                </c:pt>
                <c:pt idx="8">
                  <c:v>1141</c:v>
                </c:pt>
                <c:pt idx="9">
                  <c:v>1159</c:v>
                </c:pt>
                <c:pt idx="10">
                  <c:v>1205</c:v>
                </c:pt>
                <c:pt idx="11">
                  <c:v>1323.6</c:v>
                </c:pt>
                <c:pt idx="12">
                  <c:v>1412.2</c:v>
                </c:pt>
                <c:pt idx="13">
                  <c:v>1679.7</c:v>
                </c:pt>
                <c:pt idx="14">
                  <c:v>1473.8</c:v>
                </c:pt>
                <c:pt idx="15">
                  <c:v>1438.2</c:v>
                </c:pt>
              </c:numCache>
            </c:numRef>
          </c:val>
          <c:smooth val="0"/>
          <c:extLst>
            <c:ext xmlns:c16="http://schemas.microsoft.com/office/drawing/2014/chart" uri="{C3380CC4-5D6E-409C-BE32-E72D297353CC}">
              <c16:uniqueId val="{00000003-A96F-4CFB-8B7E-676AE06D3DCA}"/>
            </c:ext>
          </c:extLst>
        </c:ser>
        <c:ser>
          <c:idx val="0"/>
          <c:order val="0"/>
          <c:tx>
            <c:strRef>
              <c:f>pivot_sterblichkeit!$B$3:$B$5</c:f>
              <c:strCache>
                <c:ptCount val="1"/>
                <c:pt idx="0">
                  <c:v>Untere Grenze - 0-64</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pivot_sterblichkeit!$B$6:$B$58</c:f>
              <c:numCache>
                <c:formatCode>General</c:formatCode>
                <c:ptCount val="53"/>
                <c:pt idx="0">
                  <c:v>139</c:v>
                </c:pt>
                <c:pt idx="1">
                  <c:v>138</c:v>
                </c:pt>
                <c:pt idx="2">
                  <c:v>138</c:v>
                </c:pt>
                <c:pt idx="3">
                  <c:v>138</c:v>
                </c:pt>
                <c:pt idx="4">
                  <c:v>137</c:v>
                </c:pt>
                <c:pt idx="5">
                  <c:v>137</c:v>
                </c:pt>
                <c:pt idx="6">
                  <c:v>137</c:v>
                </c:pt>
                <c:pt idx="7">
                  <c:v>136</c:v>
                </c:pt>
                <c:pt idx="8">
                  <c:v>136</c:v>
                </c:pt>
                <c:pt idx="9">
                  <c:v>135</c:v>
                </c:pt>
                <c:pt idx="10">
                  <c:v>135</c:v>
                </c:pt>
                <c:pt idx="11">
                  <c:v>134</c:v>
                </c:pt>
                <c:pt idx="12">
                  <c:v>132</c:v>
                </c:pt>
                <c:pt idx="13">
                  <c:v>131</c:v>
                </c:pt>
                <c:pt idx="14">
                  <c:v>130</c:v>
                </c:pt>
                <c:pt idx="15">
                  <c:v>129</c:v>
                </c:pt>
                <c:pt idx="16">
                  <c:v>128</c:v>
                </c:pt>
                <c:pt idx="17">
                  <c:v>127</c:v>
                </c:pt>
                <c:pt idx="18">
                  <c:v>127</c:v>
                </c:pt>
                <c:pt idx="19">
                  <c:v>126</c:v>
                </c:pt>
                <c:pt idx="20">
                  <c:v>125</c:v>
                </c:pt>
                <c:pt idx="21">
                  <c:v>125</c:v>
                </c:pt>
                <c:pt idx="22">
                  <c:v>125</c:v>
                </c:pt>
                <c:pt idx="23">
                  <c:v>125</c:v>
                </c:pt>
                <c:pt idx="24">
                  <c:v>124</c:v>
                </c:pt>
                <c:pt idx="25">
                  <c:v>124</c:v>
                </c:pt>
                <c:pt idx="26">
                  <c:v>124</c:v>
                </c:pt>
                <c:pt idx="27">
                  <c:v>124</c:v>
                </c:pt>
                <c:pt idx="28">
                  <c:v>124</c:v>
                </c:pt>
                <c:pt idx="29">
                  <c:v>124</c:v>
                </c:pt>
                <c:pt idx="30">
                  <c:v>124</c:v>
                </c:pt>
                <c:pt idx="31">
                  <c:v>123</c:v>
                </c:pt>
                <c:pt idx="32">
                  <c:v>123</c:v>
                </c:pt>
                <c:pt idx="33">
                  <c:v>123</c:v>
                </c:pt>
                <c:pt idx="34">
                  <c:v>123</c:v>
                </c:pt>
                <c:pt idx="35">
                  <c:v>124</c:v>
                </c:pt>
                <c:pt idx="36">
                  <c:v>124</c:v>
                </c:pt>
                <c:pt idx="37">
                  <c:v>124</c:v>
                </c:pt>
                <c:pt idx="38">
                  <c:v>125</c:v>
                </c:pt>
                <c:pt idx="39">
                  <c:v>125</c:v>
                </c:pt>
                <c:pt idx="40">
                  <c:v>125</c:v>
                </c:pt>
                <c:pt idx="41">
                  <c:v>126</c:v>
                </c:pt>
                <c:pt idx="42">
                  <c:v>126</c:v>
                </c:pt>
                <c:pt idx="43">
                  <c:v>126</c:v>
                </c:pt>
                <c:pt idx="44">
                  <c:v>126</c:v>
                </c:pt>
                <c:pt idx="45">
                  <c:v>126</c:v>
                </c:pt>
                <c:pt idx="46">
                  <c:v>127</c:v>
                </c:pt>
                <c:pt idx="47">
                  <c:v>127</c:v>
                </c:pt>
                <c:pt idx="48">
                  <c:v>128</c:v>
                </c:pt>
                <c:pt idx="49">
                  <c:v>128</c:v>
                </c:pt>
                <c:pt idx="50">
                  <c:v>128</c:v>
                </c:pt>
                <c:pt idx="51">
                  <c:v>129</c:v>
                </c:pt>
                <c:pt idx="52">
                  <c:v>129</c:v>
                </c:pt>
              </c:numCache>
            </c:numRef>
          </c:val>
          <c:smooth val="0"/>
          <c:extLst>
            <c:ext xmlns:c16="http://schemas.microsoft.com/office/drawing/2014/chart" uri="{C3380CC4-5D6E-409C-BE32-E72D297353CC}">
              <c16:uniqueId val="{000000E3-AC1C-4C90-9510-FACF338F9836}"/>
            </c:ext>
          </c:extLst>
        </c:ser>
        <c:ser>
          <c:idx val="3"/>
          <c:order val="3"/>
          <c:tx>
            <c:strRef>
              <c:f>pivot_sterblichkeit!$E$3:$E$5</c:f>
              <c:strCache>
                <c:ptCount val="1"/>
                <c:pt idx="0">
                  <c:v>Erwartungen - 65+</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pivot_sterblichkeit!$E$6:$E$58</c:f>
              <c:numCache>
                <c:formatCode>General</c:formatCode>
                <c:ptCount val="53"/>
                <c:pt idx="0">
                  <c:v>1252</c:v>
                </c:pt>
                <c:pt idx="1">
                  <c:v>1257</c:v>
                </c:pt>
                <c:pt idx="2">
                  <c:v>1262</c:v>
                </c:pt>
                <c:pt idx="3">
                  <c:v>1267</c:v>
                </c:pt>
                <c:pt idx="4">
                  <c:v>1272</c:v>
                </c:pt>
                <c:pt idx="5">
                  <c:v>1277</c:v>
                </c:pt>
                <c:pt idx="6">
                  <c:v>1279</c:v>
                </c:pt>
                <c:pt idx="7">
                  <c:v>1271</c:v>
                </c:pt>
                <c:pt idx="8">
                  <c:v>1263</c:v>
                </c:pt>
                <c:pt idx="9">
                  <c:v>1243</c:v>
                </c:pt>
                <c:pt idx="10">
                  <c:v>1224</c:v>
                </c:pt>
                <c:pt idx="11">
                  <c:v>1199</c:v>
                </c:pt>
                <c:pt idx="12">
                  <c:v>1175</c:v>
                </c:pt>
                <c:pt idx="13">
                  <c:v>1153</c:v>
                </c:pt>
                <c:pt idx="14">
                  <c:v>1133</c:v>
                </c:pt>
                <c:pt idx="15">
                  <c:v>1112</c:v>
                </c:pt>
                <c:pt idx="16">
                  <c:v>1095</c:v>
                </c:pt>
                <c:pt idx="17">
                  <c:v>1078</c:v>
                </c:pt>
                <c:pt idx="18">
                  <c:v>1065</c:v>
                </c:pt>
                <c:pt idx="19">
                  <c:v>1052</c:v>
                </c:pt>
                <c:pt idx="20">
                  <c:v>1042</c:v>
                </c:pt>
                <c:pt idx="21">
                  <c:v>1039</c:v>
                </c:pt>
                <c:pt idx="22">
                  <c:v>1035</c:v>
                </c:pt>
                <c:pt idx="23">
                  <c:v>1033</c:v>
                </c:pt>
                <c:pt idx="24">
                  <c:v>1035</c:v>
                </c:pt>
                <c:pt idx="25">
                  <c:v>1036</c:v>
                </c:pt>
                <c:pt idx="26">
                  <c:v>1039</c:v>
                </c:pt>
                <c:pt idx="27">
                  <c:v>1039</c:v>
                </c:pt>
                <c:pt idx="28">
                  <c:v>1039</c:v>
                </c:pt>
                <c:pt idx="29">
                  <c:v>1038</c:v>
                </c:pt>
                <c:pt idx="30">
                  <c:v>1037</c:v>
                </c:pt>
                <c:pt idx="31">
                  <c:v>1036</c:v>
                </c:pt>
                <c:pt idx="32">
                  <c:v>1035</c:v>
                </c:pt>
                <c:pt idx="33">
                  <c:v>1036</c:v>
                </c:pt>
                <c:pt idx="34">
                  <c:v>1042</c:v>
                </c:pt>
                <c:pt idx="35">
                  <c:v>1048</c:v>
                </c:pt>
                <c:pt idx="36">
                  <c:v>1056</c:v>
                </c:pt>
                <c:pt idx="37">
                  <c:v>1067</c:v>
                </c:pt>
                <c:pt idx="38">
                  <c:v>1077</c:v>
                </c:pt>
                <c:pt idx="39">
                  <c:v>1087</c:v>
                </c:pt>
                <c:pt idx="40">
                  <c:v>1097</c:v>
                </c:pt>
                <c:pt idx="41">
                  <c:v>1107</c:v>
                </c:pt>
                <c:pt idx="42">
                  <c:v>1115</c:v>
                </c:pt>
                <c:pt idx="43">
                  <c:v>1124</c:v>
                </c:pt>
                <c:pt idx="44">
                  <c:v>1136</c:v>
                </c:pt>
                <c:pt idx="45">
                  <c:v>1148</c:v>
                </c:pt>
                <c:pt idx="46">
                  <c:v>1161</c:v>
                </c:pt>
                <c:pt idx="47">
                  <c:v>1172</c:v>
                </c:pt>
                <c:pt idx="48">
                  <c:v>1184</c:v>
                </c:pt>
                <c:pt idx="49">
                  <c:v>1194</c:v>
                </c:pt>
                <c:pt idx="50">
                  <c:v>1203</c:v>
                </c:pt>
                <c:pt idx="51">
                  <c:v>1212</c:v>
                </c:pt>
                <c:pt idx="52">
                  <c:v>1221</c:v>
                </c:pt>
              </c:numCache>
            </c:numRef>
          </c:val>
          <c:smooth val="0"/>
          <c:extLst>
            <c:ext xmlns:c16="http://schemas.microsoft.com/office/drawing/2014/chart" uri="{C3380CC4-5D6E-409C-BE32-E72D297353CC}">
              <c16:uniqueId val="{000000E6-AC1C-4C90-9510-FACF338F9836}"/>
            </c:ext>
          </c:extLst>
        </c:ser>
        <c:ser>
          <c:idx val="6"/>
          <c:order val="6"/>
          <c:tx>
            <c:strRef>
              <c:f>pivot_sterblichkeit!$H$3:$H$5</c:f>
              <c:strCache>
                <c:ptCount val="1"/>
                <c:pt idx="0">
                  <c:v>Hochrechnungen - 0-64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pivot_sterblichkeit!$H$6:$H$58</c:f>
              <c:numCache>
                <c:formatCode>General</c:formatCode>
                <c:ptCount val="53"/>
                <c:pt idx="0">
                  <c:v>146</c:v>
                </c:pt>
                <c:pt idx="1">
                  <c:v>163</c:v>
                </c:pt>
                <c:pt idx="2">
                  <c:v>181</c:v>
                </c:pt>
                <c:pt idx="3">
                  <c:v>176</c:v>
                </c:pt>
                <c:pt idx="4">
                  <c:v>159</c:v>
                </c:pt>
                <c:pt idx="5">
                  <c:v>182</c:v>
                </c:pt>
                <c:pt idx="6">
                  <c:v>161</c:v>
                </c:pt>
                <c:pt idx="7">
                  <c:v>177</c:v>
                </c:pt>
                <c:pt idx="8">
                  <c:v>166</c:v>
                </c:pt>
                <c:pt idx="9">
                  <c:v>159</c:v>
                </c:pt>
                <c:pt idx="10">
                  <c:v>146</c:v>
                </c:pt>
                <c:pt idx="11">
                  <c:v>173.9</c:v>
                </c:pt>
                <c:pt idx="12">
                  <c:v>204.9</c:v>
                </c:pt>
                <c:pt idx="13">
                  <c:v>180.2</c:v>
                </c:pt>
                <c:pt idx="14">
                  <c:v>179.3</c:v>
                </c:pt>
                <c:pt idx="15">
                  <c:v>187.7</c:v>
                </c:pt>
              </c:numCache>
            </c:numRef>
          </c:val>
          <c:smooth val="0"/>
          <c:extLst>
            <c:ext xmlns:c16="http://schemas.microsoft.com/office/drawing/2014/chart" uri="{C3380CC4-5D6E-409C-BE32-E72D297353CC}">
              <c16:uniqueId val="{00000002-A96F-4CFB-8B7E-676AE06D3DCA}"/>
            </c:ext>
          </c:extLst>
        </c:ser>
        <c:dLbls>
          <c:showLegendKey val="0"/>
          <c:showVal val="0"/>
          <c:showCatName val="0"/>
          <c:showSerName val="0"/>
          <c:showPercent val="0"/>
          <c:showBubbleSize val="0"/>
        </c:dLbls>
        <c:smooth val="0"/>
        <c:axId val="1688170752"/>
        <c:axId val="1691358608"/>
      </c:lineChart>
      <c:catAx>
        <c:axId val="1688170752"/>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91358608"/>
        <c:crosses val="autoZero"/>
        <c:auto val="1"/>
        <c:lblAlgn val="ctr"/>
        <c:lblOffset val="100"/>
        <c:noMultiLvlLbl val="0"/>
      </c:catAx>
      <c:valAx>
        <c:axId val="1691358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88170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Todesfälle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Todesfälle</a:t>
          </a:r>
        </a:p>
      </cx:txPr>
    </cx:title>
    <cx:plotArea>
      <cx:plotAreaRegion>
        <cx:series layoutId="regionMap" uniqueId="{538DAE7F-B7AB-41C6-827B-EE90E3A1AE0E}" formatIdx="0">
          <cx:tx>
            <cx:txData>
              <cx:f>_xlchart.v5.2</cx:f>
              <cx:v>death</cx:v>
            </cx:txData>
          </cx:tx>
          <cx:dataLabels/>
          <cx:dataId val="0"/>
          <cx:layoutPr>
            <cx:regionLabelLayout val="none"/>
            <cx:geography cultureLanguage="de-DE" cultureRegion="CH" attribution="Unterstützt von Bing">
              <cx:geoCache provider="{E9337A44-BEBE-4D9F-B70C-5C5E7DAFC167}">
                <cx:binary>3HzZctxIku2vyPQ8oBB7RFtXm3UAyJU7KVKlF1iKpIDAvgTWz5mn+xHz1j92PSVRJWazpNKY+mFo
JiPFBAJwxAl3P348kH+/G/92lz3smldjnhXt3+7G317H1lZ/e/OmvYsf8l17lJu7pmzLj/borszf
lB8/mruHN/fNbjBF9Aa7iL65i3eNfRhf/+PvcLXooTwu73bWlMVF99BMlw9tl9n2O8eePfTqruwK
ux8ewZV+e311Fw8PZn79anefm8I3rW3MnUW/vb7ZdfevXz0U1tjpeqoefnv95IzXr94cXv/fbHmV
gbm2u4exlB8xphgirsIuRS7ir19lZRF9OcyPOOVcMoQJpYS7hD3e+nSXw/Db3e7ePn70nDWfbNnd
3zcPbQuP8un312FPDIcn81//6SyYtvQ+T5BX7u32Vp8e9M1TAP7x94MP4NEPPvkGo8N5+tGhPzXu
yXMARMfd/NAU35uWnwRJHLlcKMLUZwwOQJJHCLkESSSJVFJhJh9v/RmkH5vzPEqP4548Hjzd2xcC
0z93TbTrHufqudX70zBRV0kqMHgURlTSJ74EMDEu9z4Ev/GBI/3Ylucxehx3gNE/ly8Fo6p6KOaH
LHu1LoqHponB+3+tZxFXuogoxN0vsHwT/tQRdQlhnAGcmLoQBB9Xy2fP+uejdc5ftO5PQHz+MoeY
rl8IppDadh8/xruu/cVQCoyUKxlXgJkiEAW/gVIeMU6JkILIPabYJU+h/KtGPY/g09EHwF1Brvqz
7P5/Kq9pyGpv9j8eHufuFwRNfiQx5nsnczmhgj8lIOKIY8oodxlyMSPKhcOfuc9nD9xb8/jJc8Y8
D9fnUQcw6eCFwPQ1Kr36Z9e2/5mgSTnCWFDElQKne+Jp6ojQvR8CbFIxF6nDVPc12v1V854H8etj
Ok+vcwDrPy9fCKx61z5kzvGuuG/3AfS7tPvniQtDwsUICYUAUfwEUHEEhyD9AfsEWLlCB1nwZwx7
Hsp/v8IBiPr4RYF4ZX9QNv00fpDcpFKUUiZdVzxNfRBDEcNcYuJSAj/xs/j90KbvQfdl8CFqVy8E
tUVjPpRdE30v0/wkZBycSjJXMOAkFNxOHLicqziHsg5jRSHCyoOSbtE8mA8/MOh5vP4YeQDW4qXE
yWW2a7r2l0KlJEJUADdBiGCJnkCloDZngmEXkEJSUXZALH9szvNAPY47gGn5UiLh8qH41//rfy2T
xAhKNc6ocgVwyqdMkh+ByCUI+BSESAiUh7Uc2PPxe4vmT1D6NOoQo5fCJJfNrvvwr/8poOZ+s2zM
Xpk035ujn46BnAGzZ5RBYvrsOd9UbAqov4TCgLqcgmvBr8dbf6b+3xj3eOCvVwBPBh/C91Ii4aZr
dt+bmp+ESxwRSFjAHzj/JJZAoPsGLrGXt1xFEHaZoCApA4n8tlL7kTHP+9fnUQcAbd6+EF5x+tDd
xf/6b/uQPc7Vcyv4J2HiR0qBT0kM/9Qzir6QUElDfGQu4Rwo/+OtP3sVmPRQ/O+oxTdDDwA7fSkB
8f2//gfaMPHjlP0CtMQRRcAcKMj7woX662npJY8goblUAWcH3ZgDvX+89We0/oI9z/vV14EHSL1/
KVoVKHLDBO2zX9Yo2/dgoMOCKQayDh2xp+xCHgnGIZtBu0xgOMoOktWPzXkep8dxBzBdvX8pEdDc
D7vs12r6EACh2gV/kVJy8al2+iZPSdD0GUGgJYLm/0W9+jZPnf4Vi54H65uhB3id3r4QvM4+/Afg
kgx6l1QiCG9AHyDEPYELu1IKcDpQgKmS7kEE/CsGPY/WHyMPwDp7KWBd2aNXy12W/eI2y15HYoQq
hBHwvadakzrCAik4gzMkgYVw0Ia/9a6rXZHav2DU85A9HX0A29XyhfjYVZmVNu6+39j4SVIojrBi
CqKhC/QcBMKnGgYohFQJUKIAVQAXJOAD1P6KRX8C2R9DD/E6eyF4XQNWv3ojwX6nAAe5gruSwJaC
JyERFCfY58EocEJQDum/hcS/YM/zWH0deIDU9UvxrGtzZ4rycW3/AvbOwa2g6MVKCheUDCqeACWP
5F7j5QqIIRHYhaPfxsJr2BNl/hfdy8dxhyitX4g/vW1+rcgkICOBxu660Jc8FNqhwAKRSUHUw1wQ
Ar72FKMf2PK8H30adIDO25ciKt3ssp1p39wCrzC/VmXH0GEE4i6UlCCyH6pL4F6gAgqBYTMA1MoH
NPCzVY/YPefZz0P1OO4ArZurF+JL77voe5Py0ywCgXIE+0Hx587/oVgBzSwMZRWDQlkq6Eg+3vqL
WPF9W54H6NMDHKDz/v9qPvpWjHiyI+jnd+1Cmxf8BYj4ftPunq89rZlA+YOYx6CwAn3dPWj47kWF
T3uL/9ye58H4OvCJ8d9sVv7PbGf68y28X7c2+zu7Cz7tif5mF+/3j356RNi9fTD0e4rR5/la3//2
WlAqBYd5/brben+ZJ+n9261JT4Y87Fr722vQIYAvKOAGgOOeRMDFhof9EdgRxV34TCiQcF3K983f
omxsDNu1QS7cJzGQLsh+vy8D4Nuy+3SIHxGs9qoG1Mt73UN93Z9+XmZTVBZfp+PL36+KLj8vTWHb
315j9/Wr6vNpn2zdb4aEzQKwKcuFZtl+3wccv9tdwh54OBv9VzpImbZqxtod/VSFC6gI0209huch
6sJA9DjRNSs/kipDy+RDneF5UzXpIu3qt8U0pZ5tEhYkBmcaunVsw+fuhhm/GgZ38c2kPmMpgsh/
aOleb0N7EYFABbN/km8snUTTMrekWBO3m5cNn5c2s8avebYuyw/SjdDJ0PVa1SXWwsmMH+cjWrQ8
WQjh+h3vvJZHVv/AKiioDq0CB+QYtq9B0QWd46dWhWXdGiIM0rbFKqBZ1OkmPrYjGNH0bueP0+i5
xzZkg4ed6nwSqvqBCRAM/s0GaISCugxql4RtWHtl5duZiSjpCopzV6MmSnSf9sgrS2q0q3rnuMuT
QicEaybi8UTm88KI5qOc553pUb8Jbd57prjoq60RqvDmGKVelpeZ3zdzrAsnmrYwAVjbhIggabtq
O/RCp6GM/cEqunDaFPnURslZUY1L6jraRPQWRbL3w2qONHYN9yIbp35Z3+Vul3tRWL4lYn6vwiyI
By70xNFtV49Bbi3xQiuF7lka6TlN423hLKENMvkjIdsI+J3HI5l5Y43JogopWdVznfm5LJRfcerV
eCw3xWAuuGi7RRP1p9UU3hTzZP1ccFe3bXLWdp0nG8Q1qd3LrAm3RsW1Nr3KvHjCqe4jYjVKenM8
57mOVGnPBxTd0AmH/oDq64K3t2y2aFnnzg5wWdk8d09QOdW+u7/r1O1qqPfekoku5qjYTTZlp5VJ
mhtO3HWBG7KWwl4bVchNRyPkuZHb+3FM4nNVlGY1sW1X19zD00i9OYmnVRUzvkAyWc1dTrXb9fVq
bPvjmIbLhBXZoqhYuFFhKLVpRKITZ6R+F4VMUzJtSJba49hRi7FQxUYO0SZ1m8qLZmQXWdiFZ6Gh
ow5Nma6jpFn10UZFZj5FBpzcRWZj1G0SSeWZdhYrnpOFm2bVtsFxVul5bFaZQXg7Ih4w8VZFBTkv
61RPrI3Ooni+yZOx0G0F/pHlHVs2Fk9rZsRm5H0EZ5HBawsTeUUto4U1zOOZ2TpWuXocFtWQnCcp
KrxqjOfzkqaLBreNx808e6DR18eD5MlK4IL6vQ2qxPXjhoRe2bfxCa6WE0zrcjDJcU3RFFjlIA/J
WZe1ypadUpft4HTHpj/rs0U65sZHY17ozrZGT4PFXr2PabyM8Ya3BJYyLzdlj3zRtrl2eONhM9dr
2tVbZzLtaaJSuR0HOCRbL4aUcjsnxt26Dsv10LbwXE4El6w+jjmzHsny07KTzqbLimWaNvEyDGms
B54OHnUKJ0jjefLEqJSvsoGe9SgoaNJc5/nAVyq3RDsoWsTUnbSobbi0CvtDa8sNUc3sDW3ea5On
p66F6SgKhH2CUhEQVHSalt1GtbgPpsG0WlH3vrTpirVOflLmU+gb3m1pWVdeORXTpnSdADmOXDej
6XTXMXFB2u0cOvFpOG64GPnGKfJznpzaGvOF7GMDj1rdGFhKWjlCz9KJdBmTWVNateuoeZhIwzzc
1NIb4Pm8IYLwVCrV6JQtJjR1QeX2RWBs6Ic5vatTlPmdGsDbynyL8axNGq5SZKe1O2OuR59Qq/yw
CK1H2VR6eTT6ne2mReg6SuNyCNzCcb1RWe7HiE06cqJK52ScdK7id+XYeKLEY9CMN0XEwxNVS+Hl
ifDk1J44tIAo0iflZV2MuZYR6pZpUl3i2llCsq7hOnDLycStL5L8Lk4K46UtmvVQSbSksfseF/V8
EprKr9qMBqM0qW5YKVdY4nGDaB1DXC1cTbhKvAk3URCz8bghY6UjM4yaOl3th0xUusFVod1SLeKe
3IaJ4JoN4YciQRcIQui6y0wO4atZSKSjTnSBRMnoDyQd9ZSS0kfYuRaoPJ2c9pKVRXbDuv6+B/RS
GXuNrZvA9iHWLZZ05eJu9sHBi0UivZZW87abm9+LJhTLrJvLLU46cQbObJquCFyInp5HHPU+q7Nu
WUUp9kZblHrIw/usHUpPlnj2wpl6Va2bkQRZ5HhuVusStQpSVFTobOrFqmzidR0lwVgmNzbpcUDK
Rmkikg9SRauoK3pPOoqulE3fumniwT6TRVVnN5m8rufZWWB8WztpA8unSBcEO26QqzLz6hZd4kHq
oU/YUhLRBG3YPphqNMuhKM8GlLYLt2kSHVHlObA9ZeVEwnidSRvP7ZNxkUkvUXV/OkZs01bVsJyc
+rJJy7ctUfYsbrp1epWl86YgcgvJiEPAVAs3sztblTiA9LPKcZN43Tx2Pp8sTEzRmLVEhi1iYvsg
S93YiwYXinHygRbT7OdDUuq+7SO/F2NgZQdCcj+Ck+De52mt3Yya85Jk28hkmZ7a4RTcONXVLI1H
I+qLrLho6rLy3K4CPuSGjafSYwc3D8K0ZzaB4FZkI9fCZvepGqvTaey7wI37Xru2fo/rufMrOaxi
NQdENo0vqmzQjroauDsEik+zh1p7PNjmXpRlvsiUva9HsUNOKTdi5pfSQQtRWu3W0XvgaStUKKvL
qWohnXVEI2R6PzVZuuHmNLW08kTlfJhDxddt0b9jWDl6bMdlPA6TJobfxnmaatkkNpjQGHsQnZ1T
HIpOyzz1c5fHup2AGVAByTTMxXVNSO1Hzm3cZaVWWcj9soV8H3HIfVk8nKbdcZph4te0TC+k5TSY
ciAHnc00GuJ8leXp4Nc2AjrX0yBhcCfFhFzi2LwltOnOesdacOHmzplSc1wUTqahFwlYDa3ZClx5
s6z5GrbRuFrQvFnMbhN7XVqGuqKw1HrwbNkNb+WcennZe5WL55uM4XkZqrrTPMxPa2iRnYHDqrOK
kcRHYU28BFXGw3U++/PcQZCZVR9rNwVMiqFdMzBYJ2goFiMbe92kKQ5sGAx1sqB5ekYHpHPGr/K+
eVuq8MMQx29TiOx6pBx4RdOeNDkQKJY51m/jNtHK1BDoi0F3NbBsd7h1U5b5tLGjZrXzIOZ1kpJF
q4gOk/iYyqVsyniJ6BSvLHDcCnM/bUr3uAqnZWEQWYF2mq9iDJkWOhirNBt3Y1eyVQMM56LuV2nK
6VXLykwPlPllXPhkYuwimxO+xFVuFi68Nwq5VC7Tqim32RjWqynt28XQOMMqyqMlrEXkGxEy34pZ
6sScDFHqwmVgFaoZcsW0sXTw8oa9UwMj2zxnW9Yk2XXjTBeFgLRAkkYEtZxuq9AYnfZN74np3OZW
nCYjbYmuwtTP9rmjdHmkqakyr6jUfZyis9iwdWYUXL/sxlU3OffMGTK/7qZGR23OfRb3wZg69XFk
0zveMeLTQUEeYel4lQ5FMOTNBgPT9NwQYt08qdmDj3dNjMutHXurw370MjQOPjZ4NeaEalNKyCx2
CiQbhgARW+uiIXPAY5bqvO/J8acftYnjRRyHShuWFBd8jE9hOfTHjZHrqYGVPw9lD0uzPXZmu4ir
odUkKgbfum7ol7iQWtkw3xZiPnXmJPVmzC5Tty51XTRnzr0zqZO05BBrWZ7orAXD1LQEin4dKXqZ
qnQJPobWneN0Oov6q3BugSoXLPIiAldz3AjodnGfJdLoYSS3JWt636HsmPMh90wW1hqp4RKh8rqP
2KUivfVrNQVDht9iBqlLcDxoM7ZWMzXJRTaYtROLygvrIIx5shQU6lvqkM2IzrIwrYNZ8sJPCTBv
ejYVFjh1lFndsqr3eIoiDVSKLmBBXljKf8eZVHqwFOY2KleVk+Q6dxMwZ35HIU0V1Zb1zcIO4UIU
0bUcu2RZYOFqNa/dQaZ6LIZKZ7iSmoyk17RhN0NxVtDq2InecQcdw1LovQSqWqDHbMEzdFynvTod
oKCwdT6Bh/QNZHsgiFUHnK2eIS63qbkkCHwRf3A5sIg2FpEPExNrYttCozqGRCgyL4vUrlLo99BF
t2BZsnD4AHyLj8TvelhrhKWLpBkW5RQSPdniZnTYB0i/lyIil5mxMuike+eqKddpI12P5Ju5SIw3
juVaVjlU3EBVANBpIbr5yg5oG095D6s+yTaGNnxRcNv6cTZYrxlIvY7a5q1wuu53l+Jzg4+7LMl9
kLwgRSkm/TJPgqyMSq+bxtorLN5Yl11gXlvPJbC45mQQnrLqDPiT1YOSwRBGja543+zPbjRqIWtW
p5Ypo0VXT3o20p/dHCpX3fG0g+I0LCDW9KfdAGh3aZbqDKhKEMsgiqRHm6bWg5xkkLu15rMZILzx
eZsSqGpkWlAvZFGqyyLJdCKj1DcsTIK4gMvnalG2/KLJ8zUhebjnuCZoI+uAMlJ2MH3psPivEGW0
s2mNNOT0jwb2GHks6UO/2i89kPg0Ds1p1otrVSi0+C+eciFxg0HRIPONnMbLokSl7zRkw8DFK8ds
XIvPRTgUHommNSmBJX5SOL5obV+El8+S0V1ZTY2J4i/favD1z3+sgsvg0wv2f3y0/0qEP/66Namp
Hu7N7rtnnVwtrg9P2Nvx9Tpgxhe79irbkz/+TfT7E1nv89cy/MnBJ5rfE23zUcHei2IYQ0/iz/W+
L+LoqzevrsDd2of9f3qoOR/+2IT79SqfJUDkHsEuCtgjAbIVJkpQ2DT2WQJkR0AcKIPtSdAFZvDy
FRz5QwKEju++UwXvIuy3o4EI/ygBMniXEl5/lSDQf3pXkvyUBAhK8qGAxEGQgL4LmAavNkCH86mA
REwb1cjAKpv71GNAK7W0ZeyzGf6Xdd3p7HywtgENSIZok8me6JzG3JtDPOnePTX0OorK+bQO8ahN
0UChPTKsFR9OBL5MbJZrVuR+A++mBTWNE5268l4m480s0hiy6NXU83A1lnfxXLtB0ZMOohh+1/Zz
uW6qbgl8ONHOCIm0rUS5zNw58d0M4lgnQW7DDVdLKhkQy7xbMdrNJ100L0ArS32WUbFETbF0mnz0
+nJiXl44LDAjHhfYwbXX88GrCue8MiFbzaiLtKynVc2N3bZ1voS66qSOULrondTx2RR2Xlnb2h+c
MtYI528LIOqbuk2kLqZs9irRaqfuR9BzIC5BwZpazyS2AyUo/4C5OhuicFxGfCz8caaXY4gfqnqv
g0FtHUz0uuM59kjaa165ro9HbjXPkoee9ndASi3E1N+d9BhxiyDmQ5LBVm56zs3VgKQTVP1AfRrN
nrAD0cC1ok3lpB+6ukIr2Q/vRu5Uyyac1jIqHa3a5szmCdiWYeWxJlvUXXszJvXvcUQm0D4S3dZT
tBlS608Djz1bQbiJXQScIDwd06QJXAqBp7fzemRQR8U98IZOHDOxM7gn22k2V1ENstmYqhPYBGF9
aYzr8TbxB5QVC+6MNoibigdKDm+7Zl+/VJDt3cFp9UxGzYe0vQTH8uC7MPRQsvksxf2q4+U2yvNJ
T4rLYIo/0CafghTRy5plo1fH4TZP8ELlJDADWuTIjf0MlClgNgRkahK/DVFtgOUPALhBp9ba66Y1
kMo9umBRNAXRu5pBLO5Iu+5NLhdQBPVAdsor2Y7vZd7Ovop7EVCcbpysLHU0uRFUHm577vSlthna
utiBcrI0bNmPdFzWIoLiOlfbCthAkIXTKXHjVU1Do6uBxCBAgc5eNjJekqGgQT/cVp1A2g1ZHFgE
agSTU73Xba4QqYrTunJP2xg0wYSyoOQVWDBQoBZpqKGsyqEoGIyPCydc1E1/ayaSeSDuCh3T6LRl
7wQdr2YQ+re2VG/TPBsvWCTu8tnRtou75USxFxPg0rXFkJAIJOdo3hfVHZ23oyAXrhO/r50LPDPQ
1Vr3Bvd5eGzc4cqZ+kVbFcM2nu3gZQ0/HYrJrpjtQTxpx8rj71z4th6vH1TqFULOPuucyZO9lath
Pc6D8eIcbU3eGq/tx3hhu7I4gfeTVyhPQcYnNJCClcDqomVYVNNFXoCGEFOkQ6ieQP67dGDloDYZ
dD4q5HEWAsmrOcjYki9LMwMPIsnSqerf+5lvadr2K2qrC5G0D2NuiyCqR3JcsblaIJtGvqVACxoH
oGymYwRq0DmsNAvPHG3ntihPMuB06cSg9AbRCXPQMYHVh7zDyxAtCQFNsykU9RG5rypQlt0wLrdt
ywc9O4brOoMYYiPgrqMrIShGIIzVg5MGsu3Wowg/EJ75qqd2rSR/m9DyNGfOtLJoPgXSEXvUluvW
jUH3yQPmMCD3/li7467qnADLOvIEHsKAQciKZmtWdmp1Q4ugAblHy8qCOGdItaCou82T6kMMQ9Zx
2OoyOoudvga3V3LJWX42g8YD2pl9X0a89CH0EG9qQSxXPQRYCeVWB7BNzSVrQUYvgFbXBkRfp09W
bodv6nSTj9mwcSTU4aAkh4GaxnbBx0nqDoPQy6GBhPIJqq99bBgANmQx6LoduRfIJBD/ahD45wBI
TryBFRbrrAhwWTJ/opnri7G8pV14EaUCWiyiPUH1uDF5tEgFPEwDyuLSSHRuTF4s4nIadJv1ja9m
prNRnDcNipexeqgSOG9ErNZYzDtot4Awo5qNzKFocyIKql0/3hbhKp5s7tdVOPuTkZtCCHPWc+dc
wDdNeWEFcsxsuw0fjIHJN2YhsjQMKDI6dmy/ZJAeQxDPGXwAskwcTC2Fmr0JrRYctBb4uGTj7JVO
DVWmURDGk3CTOVtbuOlyKkZQYbLEgeKzx34oaBPEYQiL24AU7wjrK6jBCGuagGWR8BwodJduO3Ve
DnpgHFVQ0YrR0UnN1e+8vpucaTNF/UmuCucSCv33jSOYV5HOQBuB2Ku0bCNdKHnMZrXXcpkvk3ZD
QRNYQkkvYX+oB+Tb+mOFGi9p7TvJxjWExdZ3Q8i/beZc9mi43/s7huSy6m3vhSSMQfA2vmOg6hsR
vc5lmy2myJwIB0QXOkFHKQEBH2Tacm2o6UHfQkKHJbkpwwJcaGqrRYSGJOBzkfktkeuk9O1ETvq8
zfystrCqcjppW05Itwi8uZxcD6fSxwkIUJSb/h1p5qVogPyLW9zMIA4nFgCuGq9uiDydoABk4/7B
Wld5dOqKtTMD2c4KtpuhVCpoMS/jwX1Is9wTKfdtKAe/TLOgCFGlYbc6Xrom8sMZgQyPh5u4lHgz
4REKCNDgWC2G1QC1TGjYx6SxF0xMqx7+VlVR+PsDJbOzD++pzp4dSe5BTxTUTkhSXhx1lQ+nfkgS
umrK2VlBMyk8LWW0dTMCfITUkR+NxcWIksaHvTVKI2uXlVN01xO1s3Znp16IKQOpDNZrN25slYcn
GBiZRDQP0iHi0BrJV9gZ+gXEmlZDO3adl86+kTJfTdH4ew/TVbdpAN2tBiqq8hjunHjZgAG8sGbe
OLgIhDLgRKllOhG7AWKPT4AdDI4WmbPJ5dBAAe6+bXvReXYwm7jFXeAkZQZ5j0ODLxniZZ6h85md
uE6yT+z1cc0Q6L8VhgamPFdTzEAS2JJWyuXQqgnuU4YQoigJ+kmsujmWmu8TZG5VYCAyJfmwrZUB
iXIuPXje2Bd4xXL3QybD0WtmyMNZUwJDEDtWQNNyqNJ8n/9PzeiOGyynY47HcSWnauXGU70mQw7e
bLxeEBCeq3YLumHjQ+8BeXPueEkxjifcKY9rZzX3ILBA+6jR4zzClXuI97DZM17K3O7V2QGk5wh0
2vEY7gwdQAdCbNUnGqgVPZvtuGxzC2ppW0F/QHFoo5U5qAlizYU1l03mXve986EL6bC2szN7U56F
HjQFa0379ryaiYKAx2Hy648g28tLkFrlYpoj7BeTgnPi7AI4ntENmdpFE4MrxekJyMUxkvHalFC4
EjLcx2Y+zwS6n8TcetMob7sQOlcudEfSarhqDbR2MKibYZTdQr+guDVOf0WLJQFBcO+lWexs3H5a
8pBDbwvZO8RAxxD5plLs91rKTPcJ8f8/e2fWXDeOZes/1OzgABDkK6czapYlWy8MybJJAiABkAQ4
/Pq7VFl1O6u6uzrq7caNzghnOGwf6YiHAPZe61ubfRTe8o7Cc0g8HOBx5EoxRHBg9+AaM1NuWA0Z
D4exiGulDyw+K9g7A2m+UUj5xRLjVRF8xbIboqOGL5mNOCpJ/RYDsIUDMq0FWp9y83eZi9V0mWlD
XnizjfKF4M8cPAoRb+KSkN6ibqMnv2mmPNL4RDdeauRboW/G/UENkMuaOnmfVKtzJJGHSxoMYakC
QipNU5VpdNlX0qk9b74su3iHoMfGraBp0pY7dtZHo+njpKW99BZXKHaJX64jbW6iZb/MvkwePIgY
/UkbKi5kC1AyKXtY6fLQBlvRSMYuq55xyPZ+WUf7dhQ8+umjUHRs+J7E3q+UyQPtR42tSL0Hzpjz
OA13ky+3C6m3q2mHD2Zie+B+ej9Cnzzuq3lPbOyqgND5sNrteaYeTHubt8vul7O1+9l03nHok/Pe
N829MSYsUZU8YEjM2y6+HAq94VxaDE5Cfgtg5MlJVRDW0rxuAnReC93OO0rwhAfTKV3jFYJW0xxx
onWMfH61ixbKriFFsg3LA2G9jybJoqMJau/oB9uNp2fIOFH0aSC538YBaqA6vA/mnV247FixdPNc
dAtUwzYMfvS4zTPWKr9MnAdTLwkzE6TYhS1+WHlsPc2ujQ/rrokaNDh47wtM70QaWAGLuId4fVTp
OGWtGoe8Dta90HL/NuI2apwfo/H1X9pASpiPTdYtOJwsmuYsSvq03FkepsydXbPkYjPmaGT9NtIx
LCcIuQN1HxBi4srTI3qcwaH9a3cIkiEqAghS1kGM+/KjOrtEh8DtbdHQkk4TBKuB/25nfBN+iZy4
OgYVVq7JnM1ucBkSayWPI5W1Ddq6jpmi3bbpMI7L2aKSO2/fG9632QqtNJNsfbX+AsPmIZTY9kZS
+DBkMyxRjb656IKGZZGCzzz16q6PWX+qo/lCmY93gatOra0rG3Zz1g/xeG039gJfEVd/WrCSPJNr
sZiMU9wX4V7/MKQx19nGEAywUVgzWsgH2MVnfRetfntaawrXDt6R3752/YImirBKjxaa4Dqf/WRA
efjUyDY40GT1cin5OU4WkCJe8nP1fA8niYQlMuBO0PLTa2BmJdRw8Enzl8YNbVUmR9DDF5zc3xqG
CsHhRHXjpOE1RXW2LFubC1wcnXQkT2ZqCo4lWyqFbdJ4DQ7PUfycxpZXip82+ivweM7D+W5ocuEN
GaSQ9UDp0haR5wnshPuK445f7EjulKEkSzr/+9jb57GbRB60DDWVjX97CbaSVMamlHH73atpPg7K
r2K6nhfZ3G8DTmk/vomHtC2AyOTEBRSlCrCAjR/14ke4pS8yktMlVexN9I9T+muIs3acllM8Wex4
HToNPe+8HNT+ySepThJwVUHBoWWW0ARNvztZ/1vqos8piX5jnOoh3Mc2G33xm4gtOvAIx3MLcGdC
aYTdYM31uFwT7VfD4vYqHePM99aq3mLY+XP6jMu9ZyClvCxIzAQTU96QsFtLVfM5a9aIFcHO7xK2
HpVuHpf1wFM634SGnAfnfW4k+BF5ybOl+wagKUDjD70HDl99hnZZ6X7+ufn9ewqXbcRS4nOAla3f
JCX3KuDdIWkKQ8N7pb1Ct7CFp/GyWXAfsedDnEp/o5Pusnlu4nyouzTbt74kVj9hXf6eJ1iJfufg
PiRzNfRqzxoW93nd9b8mP/6JybE8H8SrHPEJuy26ZWgzhiY0lTd+1aY4rCOQQdWy17+Devs59fzN
LLZIVPw80KlGBxqeRNyeUCfqyi3jlo0c1ZIXibxp6qDcbyeNn1Ug9VhaK+/aTYKvwRbcxRMqYa+V
x3Bpr4LkTq5oeofuW5p0Q8Y6b82iXr64Nm3LdXGfcbPLYic13MTpLZqipZChua69FcXW0GqcrMig
E3ol967GxvEVepiC5Ii/Db45z7yNJLlv5uEm9biGOcF4Hs4sLHg9gdjBopEYfVkJ8lMOia76yF4x
1+HeKV/dbAP2hCYNx4rAQpPkzoSfctPPqxcCKWpVGc8buW56K3Y1QWhp0jLGljD0IH261j5Ppd/v
51GiK4oar1wactg26C9EtjhOR35aFl/mcF8Bl5jnXfZTBj1/qHot72XM3nDs/pLj2kBnIlO+0OZO
z+BGVBuwPB5tDftSZv2p7RZUsgItt+ddUXb5RadobptIVsxNp7VRxernXlwHOffliyUjmiy7v9N6
yVwfBVfoUQfAb1mkWXpQ1IVnmbrz5tf6LKgnS93wC4Mre54X4mXD3peKzW8tGbcD6/YoGyJ8/iwS
aIHD+mNv63u7Hciu7dPYOzRyK+mhJ6g1m4WMj6KLotzBdXB1sOR7xzIvJAotQfN7xfHf9fLM4Am1
k00OKyGZTNAekHE/tTjzi1Z02IEcJKXQHx//Od4J2U/NUeELWxci2IYsNCq9NtimBi+963d3TaX9
wTbwWJ3HsOey4BAPz9zM+znFZs+G4UbwSzwPomxFveQYUPB9X4cR5p6UOQ5Tlm/L8nv22Ns+xI8t
ZpHloX0aoLcW0HWCbn/t6zYTWnQZMX3lgz/AW0oe09ocwLAu91/a0BdLQoswWQ9B77sbMeDwWfyJ
FZ4jebu2I+rlHYsGy00Dm8xXuaXFsJoSGx0co9STRSSbZ+lNfQ4JvgE26D+1SQLVEhV6nXQAkDrF
0WyONPN4CM7PIw/d8tpGulCzlhUkcJf/QNcPxoWp5S/3VTAJuHYCVjGmMuSN7CEEbO1tIGN+HQyD
SswXnC4WU5AjjpsyURebtutdI9Bsk5nQbGlh4fS7r0qYoho9HXMFrbWfS+b12R7a4ThjnFTpvgTC
kCzluDRd1QvAC1aXk65lpX1aV+nqAboAykLr6XHX7XOQdpfQzAM0Go/kQaP6guuuaMRwH0Ruwsa5
oM/k42FaBEqdRr8kNYjNFihbsFTrtlC4jOjRN9UfYSXcMAPxPuwIFrsjgMeqbky+Q/6BZWAebQ0T
cmBpbozeoP21P2IIalno9scuGNE5fhU7yR1qlQ4FHanaJXiLA0hV+xDqDJVDwfZ9RfXs9rxvo+/C
PKDDvRn2SDwz6iAGo9xZXITjkv1e11TnYZN8t0H9tE0sKqS3dhlsv0zVSTXC1Nd69QvPJqg4/WpP
p/MQ3DRTHN7ta39tFGw+6vrm0k/0toYoqudAHWfOfostKHyDDS1O5ho9mfe6N1NV06DO0KZ2x378
3u/JG5mGd725zDkzFr7nfhibVmHa82oFpJi1gQGA2gB7HOJfaqY206OjqCDbpeq6b0zvqM/sLdp2
BamjPUPx7HNNF5nBkOfAPabzHpip3HEeZ4S2fRX5ULaXBfyBVECSCHYeFyRrjjpJSzLkTZuGuSfl
47RKd2lc8igUG4vFolRZSI29ZsV7I7uPj1M/BU14DnT7PZjZNTLAQVOghMPFKIcbdkmAOEbbdz+e
Syf5pxkT9uTDxM3ssCzZCPVINGlc4LOF/MXDnHbz8gEBzRJZIudT1JKbqyNtk9XeCC1g4OLAFvbS
OYMv0eDsS7ClDfsbX8cO2tJy1xgd5iKwL4hN+jhp1w4HB5Z81AC8VByKku9ZGLAdHAGnX4wElrWE
7cvEgXB2bBKP4Ie/TcP4sf72W1aNWjZHv/um06i/DmzEvRHoBr1yoqoNG2IQ8OlhTOO2or4DepfO
l9Ta13GOurOHZrAMd1718eK9bt16adaZlqQBIjB4bZtHE1lu9IidLaJgnunSH9m601K4EPqLBwmd
NHb9DvgGVlf3rgbvuBD5a59CKGBLMt252iv2zrz1KiggffVXPQVV5/RR+z09mKCeb+RtgO6zEGZy
D3W/KEB0tXcjG6CkCpeEA8fORbTE2QgZK9Pw0Y5ORi+jW6qNmptpr09tr36B9qrRmOG+WtI6Kfox
8NG5TBHoWNedGL+tGSAizyzxeRhnKD2dKGVrasj0kgDO6vd8eGf+Su700kECel9VvVRxEnxQHmHr
cl4R8LSHbRTZXIDdzMdx9dGSTMd4mSqBDotArdGIuhQq2H5Du/GyhapzjVY8Dzl0Yd83IF8lNOYu
sHEVh94R4om5sW5+ki1kPobCIdraNYde/kLU+FNoAMBWqSijHAKLSbo9MwJ1igDapmvsuWssXmq5
PUVuoCfKITHGC/agrtYMrs2DJu6O6eF5xHLM0lqhxVSDPoNk7u6IP2yVDgOUYHP4Tcjj6ODWb/0e
5FQzfFw4gweg20Wq6x/OgxLvuXoAg9ybksJPGrCYVlRpXTBlk08+u68VHPEIWFU0FGnC98L2JsDm
fmpt3R8Mj57Dfovzft1fI6ZNbn6LSD+21NwOfa+wNYKbAc37sehPAAggjB225U4UzB8emQOGXQ+3
Pv8i5K+hko967X+5eKqGWcH/sfWPQJEAbhCsz6hLMj9egmyL9LMFaJx1u51zuNjXZIZ6kjbuZYpp
adhwE/9AAxL6x7FOftkAqgIa5W14dIb+NLFCsV5XfrqeAAeeWCyOc1uvQJHIz6gvuyim2VxGO4qD
ifTvnSXfcUtvm8KFHSEv0dvZD2zZOfVeJ+lcjCq5DXRJUq/Aer+18/4RbG2hfX6rhsBmoKB/y32l
ONvv1324nxA6wYGO7TcaxAnAcXC7MLTLcGcm4dpKOt0dBR29+/rrhwRQeYg8iqMDY22xG+n9hdXn
1WlgSL2jkLDheq/a386NmH84bYqdO36ea4hrkCpvLN7owe/5CQbiaetZe0OS6YefjvLcosWYli0F
ZdOmxQxvCJ19p6qldUVDlhH0dTMdXVqjjJ8opBFcJR962WUck+EyiYZA8q9V7kU6PkdO6S/cPEDr
wqZzzGMFxJmMxWSAH7P4qW3UO7Iye2Ui88xZW/rxTm7p5k8VIR3aT8hymQjFdPBJjBu/thclyA3K
1TjjPPIOe5l2KIha6tusScR53Na7TUYPxEdt7KMWP5nU3i+x+7EneTvHPKPtFEPmWVEBRVgYEz26
HZaKpMi/zKrL1cJqFDVEFCFdYNQ3t2Tdy015e9lGAZw+oE7V6KP1HHt1OyD3flXcNFBAmT2DTR5Q
KqDagn5w1EDscr/FMT/FjyoYRDEHcwBIB6Z3yuczj+ZvflufUUz5le8NIp/WxCvqcT32jnnAGCQi
OGsrcrfZC8CHDZsR1tOGo+GCYlBlqx3CQvoAKxfc4ULD/6zbmmWMh9/squAcCFDp9dIUaYgG0qxr
0SWhuDahg78gVrwWpqtZZjg2iSh79NXoYpQP/3rnuWtUc5ta7Ppr6FUq6Z86X47ZGKPH12PQlEGc
ALen/sdKB1VGAzxS2PbsiJviGEkPR55X39Re2ACxzwmq7CPZ+qD6ggvY3uoyUKbOJmte5Mae2m5+
3j1mC0rbj+7V9DNc1ihxEGvXqWh89NxSfJAQ5hDTXZ+lbfiDTuNpxz5V+4AwwnzSZ2AR8Wfg/RbK
T5D/6TYs8k88BeEVfoGAB7S/2SlpSowzsNmmD61tYOm0e9WCSaLC0QeyzofIrmMRztzD3bCWXdeY
t5ijHLQyCmBnLp9b/xsZkV+xXL8B58124kQ21+8a9cUuYDXGBiCqs7xCuTkepJse/RoXego4P8ED
eulj/U6RzTlHU/8rjt1ZWXD9oQ23ovVAP9Zgy4CLqW916CBfc6iwnXmFLIMuN2peRn94EZQ9e4Jh
CxEAg+t1PbExalFD8jbjUJ4yoCrNyeceDvQxKWbZ9HdDOOMzw/FVB9GHTdgZgOCvlOykBMNceO0E
qj+FUwjXMbHEK8iX3L/hug2rLH2qSYaupUgF5WiEiH/cqQ+zdQd/pzy0lhA750RAonQhbsE9fqaC
2DzaGS8DD5mUpumOkKBK0q7wRUwfwtSekMnjB7XBLjeUZWRo4P2bWUC1qk8om5MjLvqbi7BEPR7A
nU1hixKY8MvEc9ODVYjCzwWW/pn3OpvX7beXmg8FxTYbLSpf1/gI1S1UZp391avwzdSoLYcvzTUl
A8zBzESAAaG/fNihfoBQdOPVoj8A9YZWB+Nf1xDVQmuz3QJflt2R+Q0MOuQMAcFOGe6q/lDH/HPp
9YqEVvezYdKHDzs0UJZ51vqDvP7lf6i75HVyo8hX6hNIST2kXVDLFz63v8IW/s0+ao5GiYDC7uxb
SJtTEPLo2iEaE3bBLwzflRXIWppRi39IHCw/D/T/VcxwZf0FOjp8srlc9i8eVoSn+q1DsXw1/QDL
vH5HNZNtiasvjaLvPih2ZuqnVhGFY25FZdLc6gjrtUPogooXMPbYPzb7w8Ss2h30Jbe9WNbbXCbL
0xAS/jDhA0f3cz/zYH9ctLqt8XygikjjVTJKHolTOHNCEyIdgd04Ys0HUpwWnfPYQH81bbGbRRRm
2V2xWpiYdmC31Lnmki54kYAEoETc3YcN1GlHO+BYRO1llwB5GI24hJ54BVXEz6uZkLmJd5jzDM1Y
itRdxgmDTgRouvDHCLw2UGtH5cO87xA74+hzsTEU076xwF55BY8aAvt6ozZw8tuKjc7IfOwYIPQe
V81ZtEPx9hrgKAIqKppjvCE9Fa2VCSw25ZS+CtbjMCH+k4xAXYaosU5mgvBBXYWA21ZI+El5H8aI
VwVjCPmkOb7LgfO7sX/11gcFvdjV/ojE5/YJ0nXIJVJcCkNkS2v6n3zzbo1nbgDh29IFrSxhzNw7
QOl5wwb01PBcQWmj17Y0b9vuDotcvo0iyqZE1ZWW/oOJhjnTETIlo+dOykGLwT2KFe0v5Fjb5p13
o5eT8NH0EZI5BJiu8xBj2jWp81qOx9g37hVw/WUWCPOkCKuiCl7FZTO6bDZzj/b0t1Ftd0g7UmfQ
uSFR9V6I/aF9TaY5rJZhv/SrTUCT1XMZAtZi/DAP2NPw+b04syHiCsgub+360UdoGhcm38DARcd6
V9/m9bYPtvFBGNsdLEEuYU6GdztvPhrL7X1PZnnl9RYhiqCzr7SS8ey5C/kEExyCce59tfXBZo7M
LW+wVERl5wGaXbojaWdyP1z3jGlYpm1t26ye+yPXJKy62X+xW/JrHWdyxsNZwnJBUCrFz+aByeoD
Cye6JydA+O3NpPYfpKeQA2q2nN3i6SOm1HqFc8/kS0HuhqsHcCSvxw321IwdRJgBVqnJmwmBKjvC
LashMzDo0zK9qKDt3tCkQeClb7zpapAZsa28LTO+BM/TIgiaovecHf2Np8LceHIGZTTK684G9GjU
v7julnCJFA1EoSJFytQE88OUOny+cjvaega79WWj/5uivdnnFPbSbIDleCT9HGB2RnZ5gr0LzgkJ
FpEcpHJQ7xZP5ZFfGRY983S47g2CCb7Dzb5+Gahi/OGB787+zTK+8z2GHtTEoDhWiTYY/Sxuc2ST
UP7xBVo6yPkfFhIOXWAqxV73Mfn8qU/kfZiwLcOMtS+mpj8zCU6ZokO0cNVBLTN0PW0DQXh9CBFU
Oovhhy9Wmf/r3PDN3x6x9o/U75+h3/+ZLv5/ixv+uyEVf+aGMSuAwkH6n9jh/5hW+ddpAX+86A9U
GDOf8B8WICURnkWUpPhyf6DCyb9HCHgDB8YzjDCcN44AKf8HKhyGQQotBUzZHyMB/i8qjCEDKYYM
JJRhpgoAOfKvoMKYOvD3YffYZ3hnMcZrR5iD/jUb889Bcz17k4FJDXSK7ofeI2cqHWACnk9TchU2
ufq1Vw2W/3Er/fFMt78S6H8eUoD5Sf/p22JAdEQRm0gYRrT//bet6e7Hie4ojNO+ACaUzQyG27CC
AeQ5ZMvLnz6S/+LbYSLhf/qGSNP7QLNDzNfFgI1/GIoQinGOt2RBLiRBzQlC0Mts0LHbrW8fwz2E
Cj14v4TWCcLQyPv2KG3yTn+l/LbuU/RINYdyA2zUbcOZUAYg4aAC4yCzhEgURdrc/mppY6p19vLG
QLxs4nbEBIZxvYaSHoQMbuph++zacL4fevFzmBH7i8L7FG7K4PsodjSc5LUO0H3sW+GI1+bpCLsA
LziG05dngD4Me2Odhd6GLCwQzy6agtLwAbtJEOt8jfRp7vQBZwXIwTV+CzyJeFoMKrJWP+1MPtCt
1UQCU4Ge0nB+2Xp/+J5utEBJYO9C5tbSeB3s2L4MwWAjzSIOPVysQ++r9ahH0VY9ZDPN5o92Rc6H
CO9BsPgDyao1rX2cMey567wH37mq2+uXFcE2Mb/NIUwuGM2zrK8yMdD1AKdI9rLS4Gzb7jyhmG1r
ctwbcpym+bSHKu8QHzZWXpOuP6KbOQdjjZThUSBM6a8RCDpxtEIcg3U6mZneaI2GrH7cmwhxZ+iU
SFMEwsPOL471BAfC3W1IHQMrKNowPC/8Y5xQZKX1dXW2Un18VBYSR433OTcgbJcKAavDji6Pcf+g
QpTWjJ91/c1HZMfzh2xkaM/nauIbyN2lhDZcbimsWSwWL6G4g8VxMKA0ZXde7DGI91cPFUjWSvyE
gpzF6pX4+wppubwJXOWS/s3oGEXncB3AZ8+pOC6c56PrCwpRkYQ0n3D1IoT3vNFWqe6vrK1LuZg7
XJkrWaIzqdszU/dbANrSeo8aSJtY9N2mU5Aze5rXS9rkXgqfE/4DbpAAunE7OQQB6WHaxafbJMDv
DUyXYYLA1UWmdwzVS+DfTFBRMm/y2EG0EE8063MXwD/ckFk6dGD0Kz3AUxvNevEimIsjxkkoSpai
2ZdPf1dvIz+2a8dvPuJw+AzklwNV++txCj+naf2K9iePXNGy9khmINxPAHA3d5YTssHbBqxp+epo
z/30SnlcDMxV/dIXK8KJtKvLOSEQwDlCucXG+JEs9KidPEZxU1qxHYAOwYHCBxrjumCWwzDfaWCu
qn/ffHkloavkCH3eNgdKppOOm4pYRBvx+69fYuV5q/eCtMi/oVEGJ1QOAvDIgBkNexFC/KABvqry
i2nGVYPnM3ltqaCAcGh7i78dkPE8kHSuRhqfaQICakT5DvCzHy5+hHsltuDxbodNQQ+Lcwe1xD+j
3CtH+T55WxGihOVAWgk0pnV81DzOOa7TQGxJ27uv993J9Ga3SHeAz0Ch3AHRQVzwlEqDiNeghjPz
2W28474cQAXHfdfcgZg69RTVrHrsihpmqIoFR+us73veHr7eNbyPSmK1bTaEOKnO3t006HsbQstu
6pdwdRekN++EoudEtgeNRRAnXkZDk6GdyrawzdGg6Bm1TQMPFjGDTUjMC3FVpKYT0dhYOeaqbO9x
P5wgp+Q2YnDq99YelzUy0HxhLS+ihfjvI1rn4Te9CMJH+HAwk8Llaa95n6edwiKY/a6iocKQh+E5
hfh4cLI+iX29qde9im134+q5UKgXV7hk8YjtQSYwDrxXhE1Kz34tnaUURBbrEPxUxHsGQAZLQB5x
b57nMX1eXXOYG1C3ri4jsX+nMzKtjadqOGz7T4w4KFZY2zXmwlhJzyy9kdOGfywKrtpyHPrj168O
5HbfAib5oQJ2AnwPcScLtX/TLOzKYeLBK0PQ0St9CVbURcclfoP8XukGzPmGEQ1E3aPxo62s2jm6
SX13W6MJmLipYoOJGriPUIuetn0+CbVdR6QpoznH4sxxvh8woSUHAENchC77i9qYGayzSEHb2hj2
wGZDAH9scRZIE05gz0aVJYh3OLrfmG09IuYtIDaAiFy/sjwxRDy37HvFAkBAekC6uJ2wcOPIYBPi
b7pNgBwCyBsSFPjLIL+FY4cQjwV35+CEKYIsiJcgURyk6xEOaFyKrtuLNbxMnfncB/j8zECUGxqM
1NgYOfmLefnXy9n/L2Nw/6ycRQ30T8vZvz2V9O/mZf3xoj/K2a/hV3gMC8pZtCqMBilGE/1RzrJ/
x8QijKFFhRsDFUHx+udyFvOUMOMpToif4AmOeA9/S77h6ROYhYH62A/JH88K+VvU76+F3T8bfgV1
/B8Lvb88RDIgAZ5f51PMG/z7yhIJVhOylaORTxFewFNKtrIO4Hk5/aUyg/0LmP2hSHrtBTDL1ORw
ARAhEho50BABtJ4l0zHcgsdd9abwMJ0ro6o7D52/5WiQX+o9qrwUNMcQyXIzJJ/nGF9UiKn0Nvmt
aRCSx1mRclXNYuY33DafJu3NaYmauhpMA8cFMnTO6+AWEtiWyRT5fMwaAaO/chQgsVMwiofvQ4LY
KEZ54Gl+TzUxd2r7vuDQLZFEAKHWYRhWJ3og8E1w7heC9t/D0KcUCLRiBXBXzGrwJz9PSPvU8/l9
c+LNDJjMBBrFr9LBoVpLKUbtdBRKZvxo5/7J97r0PukAzePY8YATRxNGzND4O+sdKQzMgHRJmpt1
f6lZbcsx9a4SKSKchdgB4/1umvWvfgl7mG30O48Dch+R+AnD3ruqYebO2fDjf8my/yXL/juyDBnN
ZHFHxoGPrWAmrpgAUqXdbYBJUk1OInIEX85xZrUHt9sQgaf4bmqnaloA/bEhkAAX2ksDMQRq/Exz
uSVhoWt663+ZqYhyHkIzqkoZTOfRXYoiBZlWWMYocJ1Lr9by8ODNvCuNkS/CLceZIKbWDvPJJulr
A2MXwTPnA6pj/RH1WxdGN8iB/4LT6ecI95XI/UEA78RrhPxGMS0YnJbs5Nki/Y5ZKY1fJQw1Eaba
wlWjY0Fd7J6ioNrjdL/IUR7wFiWMdvfa68Y/oPIsBgy6ytJ0Dm84RhO1ZgqB1Ec+giviG93Eb7AN
TxPmXGBBGw/bKT/4y4xyBX4B4OYLbDmRK4w3ulnF1/Q6/2syEjkuTfuZUuwQYSefQLk+JFxsp16g
8Z+9O+DjYRkked+L8HFp5InTEcAWkmnornWGmYTIyq6Qt8xfZhphuBEHPljN6BGKxGtJ6S9wn2DZ
Ssig+tG083HqFL4z0qc5BhfczB53FQKsChpDc1qhwYKJSX6FTP1wasVGtv0f9s5kSY7rzNLvUut2
mfv1eVGLigiPOecBCWzcgMzk9XmeH6dX/RC904v1dwFBSAAk1WwzWpeqpAUlUoxEZAx3+M8536k7
RoaTs4/c7nLRQYGk83yuao7XotBRHxymiZkIpo5RoWXxR1qz3CxFlN9lHqtUtLSYboW86KfePufc
nWXWR7sidz/Z5ZXkF+/daFj7ogN8RCRDy9oN/k+5XRgM75Oh3yyaFe2QMfNVNTgo+5q97E2RMuUc
8wfO9S8T1yRvTFBOdPz7teZxOw7xVZuJjR2uRqAwSX3lXQKwqg4v5g4NBL/21jCLrd92Kll6LYvl
zi15AZr7zA6v1N+2jfmshdOH1iDLEzk7J09vJld/NxnGXbHo7wiIraL4k1aE99WS73Uhyf3yJBp9
647izD5wSaLvKOPpDrfuNnOZMdi8g4QlTJgzrtxPhbgwMYbPDbHGUJwaTbyzIn8bVmI/Z9NdaFhn
ssNPvelcjCkmyyIKUnvOzkYmyPYU4WVmindN2R/wlyQ7LGnXUzwOcDhAqvl1derCeVhnkwRyFYt8
kzP32tljo6McDDiZbEbs0WjFmzHsxCOyMHYdf4vBe9khFZewwwJ7yZp1ivn5zMdGru3p6U849/3z
DCixNHAG+m24wbey3V9pOv/bvPLLz/g6r3QMbklUkoKf/Dyw/HrAox7YYFwJhouRpZpKwi/4Nq+E
OcpQkhylxXVS59j17YAnTINjIX0uwjH+IN3U/okZ6qhjncszdgT8b+OH891oJ1HZzhWsK/PW5Ehx
jKb60A19vnX72Qk83YgeWMVHfHwYS+KoupHOGD54MElMzASZZXRB0w3bDr/1BtAKkfyEBJmn43SS
bVvuGwPvF2okHDTb2/nLeCxkZbEHWPG6wpe/KbDyb+O0rjd99Ih7OiNUrK/jMQP/U0QQ+Iz8GDVR
vWmT/ozZ72D4rHVWjMsYE5zGF134Fz3xwkG7lPn0EleauYfp9+SYqL5MRuujdEPjNJou5LLcv0gk
2YYlyiQewyzfvvkw/MpoVKgJ73e4WF5QCPfwKjiCu5b4YTJam4035TWWxn7GQEffd0a6A3OjXUco
oZOxIXzsEpuNr0ga4DpCkF03kxO4eUMOtzGu8ThexbY77phAEcEYvTOhv4vawSM0wqUC0hTdm4jh
66TPrzQjrpEUiSprY3L3+7+KoZ7qT7+KxcDepAyZyvgfPhtYNuZmTFLwoyVBRPJDO4JURDMsAD7A
Dy+IMiQbz0WSxwnMa3kgNnpiX9FPywzSSoYv0IGqFcHh7tZBvtZNqzj8t158AB3/7nVy+0P97t/W
my8P+7Le0E1IKRccZd4wPoiuWs2+XCgp2gWgAsLEgxFs6byrb9cb9WHlUT5deRZSybf1xvkLjnGT
C6oJvvczb/4PXChBMP/4oQLqZrkOH1cLyUV8xi2/gRSnDTmwKW71VSFwNPqhTSouN3ZuD6opTyEE
5IX9GiZLQd7nNor0ipgw078QZwOzfIwnOVOwDUtWvZsyGznXGnek5INBa+zV5MEvydzyLPoJC61P
Zr5pGRGD0ZRDi/EF7TIQ43yxjMofCessGTCN6VzfHLITUW4PawxVxkarpb+a52EvWR63o+0/TjoC
N8ghxp7meG6Ev59M5+ADRlr479g2ztqU7GTHIHIxT46oAnVExUq1BQ1xe45t86p2jHOoyfduEW+c
8iJq/SsjHT9wV3yNdH5GpO1bp8IfqW+5Fm/k7J0Lcd/4lzbRlJVrpzf94F4tUQMHBUeFuHHsdIG5
yYtSk4NYwVmtSMud9Focyta7KCuAZvYckY0cev9ckoBIcyiYTJ0ZeBr9yccbGYSD/TpahIXQKkhG
JKfWOaX5+GGyeMXL9jRCq4hrBuMxGFvAfyc8R3hptYr3S44YVzS3+QfA5s+7zncrj/qEwtZntmHz
uVNK3lsZzQp9v05CjGzayKjcnzG06OXwlJaYxOsGggne3ZWD/r819Io40GxX9ygcro2XtjB84x88
H9WI+/1KqKjafEFsFw6Q6/z4ocXhZhV1xUVHG/AYJ5PHZb65jXsdTF+PzGww3iM+h9d4Y9ZldvCo
O0HnwHdYeFA+8pScVo/bR/cwcETX06DfpbC2NyZ0s02DvbgkYYT7Lmx3gzmfCG03Zcb/rPqz6Uer
eCZbxjrNBtJ31QrzX4OtX8d1x0n09xd9fqWff1dWCU4raiJlej6nku9e+wpexAxbb9UYdXnRpSO7
vOY/Dr3+MC9VviVMEhhu7q9SbzpIo+wOFmTnfehg1SSJZW2aMMOuq8l9ZXGHSZocokI6Phb1fC5w
K98VlTgAcY1WjrWU93kRDusCxgb7CscQSTAktTggd6nIsFb7L9Coo9W8gNcbZYU+BkA3L4hmOBox
L+uaeCMDKL17MA0NepriqOWKqDbPs7OtZQtlTfHWesBrHgA2US3zdlJMNkSfixlIG7iYGInlCJMB
qUdx3IgaP6eK7OZI87YF9TZq9ieQrY+yJiRkjhOGngzNBJ9xWZkm15ulgOVU4YCPrHc1MLkcqFyt
6HJTLYOmIq+CnSpaeXz7N4YDjQ6QqWLTdQSSGkWrw3UCSkAR7PjzCH/UUO0sKBwxg8FLzN7ntiNM
ZkLAGzCIEtwxz0v/lPTNuZyvRuE+NhI3UY7yg0dnqVYkQIGfeYel1nBbcqTYeaD3JlPb+phfm/k0
zmYgAPT1IoNih8enaar9pBh+pqL59ZbzPgPvpzOq4lUEwtHYANgWRQEkRU5uLbQJKIK11Qq44nUd
dPLamlAvFElQi2AKanUgYxiDObBB/ELEKDPy2EWzkEFXTELLWx5i8K3TyOlolPatAF8owBgmimfo
KrKhtG1YM7AOy8x4lyv6oQCD6BKTkQvhUi8nbRn2BfQTOdxxOwTPahEg9PDMjdK9nQEsAuLIFW+x
RiOB2RVmoF78C/naAGbMFKFRF/ZtYjF2a4RxWQ1FwUvT4IgvnRBQFIzHuBrbldS7bQ3+UVccyNqE
ymLOzkGGzXCOLe1ixrZ9kyWOsvuheOV2Zp4//8WRWLpKRZxEsa1ZoTVsU6IMKk6kmxw6dZ1hJxzG
FuCs9qgpS5+TeD1Wzvs6rEEAVIuzdke8uEOz//w3i6ttvdrY+1q4NwZB1ExlSuJ1HELkdupbe7KO
TcJVWKY3siToEwuUPuNdR2iscqEnovNgFcR2Ot9hyboy/eVsjv5V1/tXjS0u7N68MEZxMkh7D551
nFJxVP8/CK0b86YFiCl61772DXaHMBrHleyMYgsr+0U49adUBV6cjLP5POeMAZwCACGiJInN8YFa
NguiJJMlLdImFWLM9qRUX0xteG0TWNVsKlgYYUUredCqxxirKBnX2oX7qfn6TucXWrXTu1ZXu3OG
6lV3A7wE3O2lm6bouIkR6AKslVlHkBRhG4UpmHrfIYg1zAbyI4cE5qvtamyUxmJUt8QvIgzb7JRl
WeykO90lYdqplAPoxWkO+N4yAJ6mD5zbi/UcopQvGhpoOoWMuUnwT/b7gvek9nhD2BmnjdVjPS1N
x2Nf6quLXqV0Z3cdZfUIk6Z2T8PCWtD7Zrppp1s+mDj/3XVHIqXJxQUKQbJGESvWIOmf8xnSvNPc
QLhON44M74e0mQ9tNN/10wiCnDTMyrP8x7GdPyZ8JUIeHWimgHuUlh4Z0B22TMCdbspqpuRLyFyi
7R+wueNZUJy2qUKR7FrbCAi9M/soI54g3DRdwl+WzNJlI164u3Q3DOg2LdmidZto5coCbQ5YysN8
S/4e29W4iexmXAnJEN6LxJ3ly5NVsACUPcy8jgMOvvqGMx5TKqfDYQ3anUF9aUHDPo81QjjeaHAy
RSZ2UY40N5UZa6Ax7tGHHRXLGqDp7KP+6EkQR0XDJ83UmVT5HcAw34GyEB2H8IpAGF4Heyq2rQAD
vwz+hlnccBC8D04qxL4newrF9II4MJz6ijVM3dF6gc+7LLOtn0YkKLz6Ux3VmPKrcJURLyExfZba
ozt4l0Nop8equA4JU4Hn9tqg8prtIMLzvPDqY7fZpFxepVOBS4nSIOnjOHCTeOPODDT9zBwOWoqY
Uoyg74HXR9eaN8sgX4VWD8xMJo8xCO+1pUwZS1E1l2wEWzoIPnXYHANAv4BSMnFPpP39MnT6BVaX
TeQ3Fzgpi90UNgoIRHa5Tu+srtdW/+NbA8eiujVMSjaqntRpe6l0VQTens8h88w6OpP37FdTMvrB
758qfrJFAT3AtMXByTdtbPs/9G98Y3ra5ES3k/DvTSieOKkwSo392h8qjP7R7LEKDr/8CTfEf0Y6
5+/JkpxVOdb99hDrTRnWV4vd50d81SR5tyw+uRz+hMFx+e9XSGWxs7gkoi/+vdT028gKOKfu0/4M
x9MVDoORbyMr3dM9Bk0WpWb2H/HX0UX34/HUMQzHVLMv6wvd8/vjqRH1qeaXDK8jy3iJCmmfLToh
MEqzQwIJhu4TjLaJuXnWTvlIrNlZsHP2GF4ZoBYrh7YOmVjWDqtxMKjdSu/ycV3m8Wmq4Sgy+to3
PnSRDhSQXUK7pJ0FDXKYccikVtBoCpJDMospbRo46dbKFZBKZtaa6wyni2Q5eASDdroffWq9zMQC
Jo8yl4+EXbUriyudygxGMZgoaA3opX6KVW+ahi1neYmJee0l1XByh8rf8ERuKz9f20b1SDcOyPb4
0rsb4TayhWvtmcYLwBf9EwcSeY6b9JJo9MZpsxwy/HDBSFvnRDoPOz83Vp7ePpDzxdMf8urI8FDU
9rXLkwkIxKTwUPjm9y76Km4yT8QlB5biqawaAm21sTH6kqXZTV9jA68ERMeAZWSvsa0VQ4WDRLtn
WmhgZNAgY9c25v+U45FHvBirCvjec544wbCw6nPIJbnqMrZatIFQ8QhNzU6S8lDa9VNssEMgiq8m
1vCC82Ud6ns/5co6j0yawFzT+hGVPocO5IWtnPwrTuEbgkTbtjf2djxuoACts1BucpVMaactA841
nuQbNkU8MvAzsRV1JK/w9xB/JodnrxzzZmIlHHyGnJQwwOOfMq437cxZY1UTUA8j1J5oxNCiPztJ
EMKuGUpsL+kqBc1X0MJAGsNIN1VjbEx6LeQ07KaoO3j2eKYuY704yxZ9aT0bMNsFVwdMNPb41GFW
910IQx6gm0buIGGs53Je2YzuZ4gX5GM2tpPyWrYQMbmgex9048ZJ7wajxp7Y3+QjXAWfZ9OLDdlI
XF3vPNzn5W6ATgLtjelnu8396oR6Tn5zNenuqclptSlTCM8FYwTg2/mdkT+rH19N821a6Hvw7esa
1XtQ/AdmLXFZrS3OTW15k7DZ1XhzFEG7ppKo4guxtBe9bhzs+cEZPKBr3Wbx0Lm9dYmy1Y4hTqtP
i6g2aQomo3wu+Mw4pdhLP98BZObeke6nBDN23wc+aFfXnenCiFZ2ei2QHkPcWf627RDuAXyRpUEU
o+okA4zjkTuEmBkN+bbs+p1fWccWYo0Oy9PmttRa3pYzChIdOYAhsX7x8Gdul6Z7GaH5/GuTmavX
f/+339tk0AyYDfz2JvNNKfmPHgp000Tlm3r7b1IJP+TvUgnzcJ//MHZgebf+vu/4f2EX4p9bpk3Z
r8cA8e3oUtmtfR+HjOGQzHwzuqTrmREGD3NxrriO7fyRrQcP+c9bD38yNmtBwwaqCaPat5ORObHr
Op9yZyUyqrCsHnBT2DsUb7lIqygMjtIaXKU6JIb5FGeFxad8ecFtql32XINkyGodcU8mnE1EAsRF
4aaHDlkjVvrGlJdHfGPMAeiy2EwgzeLPakj0GCl1JFc6SakUk05pJ7lSUTzklEXpKsTZ8qBGaiH9
We71yiDnmQEh9NL+ARiQtm0aLC523pIHM7K7qp+I0OFoXA11ebXMjb7urOR+LCJIYzB1iap4F73S
HsBRriKlRozIEk6zXJv0vuwKWMzguVAulIbhImYsSbEZ6uxKFKF/5GJ96RfRsisy474A/2uoyb+L
BJAqLYDhQoXeJF/pONuxlesnIJMn0S7Zwd+4Sk8YOywGBRIDQLBL5yHnJlzWSbWa9XI7xXl01eke
IpOZ1jvQjS7MigmABfi4zIn3XuGZMBDIL9s720WpisubfAYNIgzb2ISdAa+s7O5BIhTr8amPoD4o
RmzZle0u7uJ51cfJL06LQyDUYaiSvELeoFGPrc5Cui4GkFEQHZ1ItFdcrLKNzCPuDp0Y95UHXKCm
RuwaP/djOGYMKEdOJm3OhV3Mt4PPXhHzh8B5neLTMPnXUl84+ecjdRTQo4FghScrgUi1VAy6vCi7
y1M+S2A8N0M07oow+5CHtL44mvmhkxnYbSzdjMeggEwTN6/KX3a+DiYAKC/ytGFeGm0eXeaJDfet
zfl1xlRdu1xcUZBWdhpYztUUwh+oYBs10SAvFl+/dc3smHO3MhdvDprxnSOdGubZCBjcgmlc0L+w
XRac23/COvrPoyW7nmp+/e0Vcvda/PV/Da8/RGS+POrLkuigEeushixvYPB922BN+qLm/B4Yn0c5
Ns3oxhcu/vdqjsEJ5HNKxXbAOv6xJfFX7nVKU+KuIAwHGtYPWHw6q7zOMPOZHOo877VRf4GEFIhK
QCfPvA8GB2ICVOkKtC6CaHTrEboYZ/sc14ArKogOLuBdF9s/egIzBVH4p9wz/8Hl09R/7Wkia7m8
gghfbCzfL9wDn2IXMC00RcGc+V+civ/UnApLY/GzCwzh82piQGBUMI/Kee/lGg5T9sRwFWHsnGvO
tKY8aJIS1lCHKmruMh/uzdwdXM/cxQ74P2Y6Sd4eIgvWSH8bNpth9jYJAFQVdFD/lD60XeXhpF8U
TqNbL2m19QVISZ8EosKAlMNWtpQ1jTKQmnXBHnGwzWNEcHaoxCmt2Dd6m1aqhTWx2RYeP9LBJle0
B3Bnc6jSDfoZvPY5Ac0im+ISfQeqnx5YBBPm5hDyVen5nxpsBZCjePHxJpjvJXuRv/DsdWtlRD5O
0ZpatpWYZgCCNKIgK6IL+lAoDX0960DoDX40vj4uXyu3jQKrNJBEjyPZG5+zcaLvJ4BPBsWdpORb
7m8eicixuBvcW4urXY5/LzL99YKxiNmVtoRBi7Er6+W682iEu1kqg690d5g6FNpYuy1CyI+XwA62
FWN5nURso39KEXDS3oeN/yjmD1Ob7z0iVVMjoG8Z24lKndEvL8ritdEfa34jAlXcXfg3ai3oRbdr
dUHMIQ7w3Lt5FTiJD2C3Dsbxtkh7pWQG3RJx36q3fhkqdQC1BLomz91A9uk0ma1SmJEg0Bb9IXeZ
/Hle/vzfisTzJ+zHu9dS1Zq3vxth/efZtD22x9/btFcf29dMO38sXtrn6OMv3Q+795eHf/Vi+I6p
HBfs257hUm7zdffGpQEw3KR+w/Y4dpom+/q3QZpNDJXNlL9wn1HZym+DNMaxTNcM18LboWZsf8iL
8eN9xqY7m0ucRVSVIKehRm1vrBhm4sz0FSjBFQsm3kxgNVY5nEatf/EVHa6oRsjf3XPnwGF885L9
mk3qpzEeY0LdsG2dASO/v69sVG/+7KFqxegIKBFRJ+9KMQAA1x78xn1xhbxTKVZbmy51f8b9QUcU
9yWhMeVfrN2y/1VkJmT/m8Fsz1lvHV1SW2N2gC9zXeriqDfe4z969r/iYnG5bup490yT1PAPBgXq
cMH12qhRuYFAYCVICb4n8zW0eQg91MqskH3ita537bYurIM14P3sSJIGiaIQp4wwbNld9ULe5GY9
cEXxri22gFRQKKdlkJbc6VJzMQIbQ+SuE8cWV5DQroc21EjAiW0fUvzglax+OWbgrJYF6+qnyp4o
TtTjCRYEEN0ESzVh0Eo5rPVI6NtIua4H7NeG1Rwi3NT7DGN2g0FbMhuDmIhne8S8TZoCXUH5ueuY
1bVSHm9Tub0XjKV6hO0LCsOlnZhiUzqELkvlQTF1jS5lYpnA1LxVh5Xcx1K+gLyGBBjvagTylY3t
XHw2oDP/XzCkz8qZ7imPeiKsfGX45YPEYKCDCUYxPYXEyaQdE8P3H7vMeyemjkvzeFk13r2koyxB
zBg6axdrIXlD7clo/F/4+uwmYBBtKW/zhJSXtXdHmAuTdWpaBO6kL55aNztWZA8d7AsNPZa5BQi3
vK8zhlFSf13m6bn0HBRiAIY6yOcxAVHWy4CWuo8WZUsEtaYEIgEDStzoFs2Ba+g5r1MPAV31b6+8
wiUECXG35xJVJ7wERrOCvAX3OOfjST3vvoisx/H/CZEaN8VTyuublrHYJaIBqJkzrTQrrQ9oJ0IZ
T8XE/O2kAVg+uwndDLqdq+wmGCu47xdVViwU7LyfY5PSO8JyzQxZu9Npa/tVTGrTm8uWVofHSs47
mTLvdMjCMCfB+sKhRbmIqom2Q4q9UEe555eFcn3U5n2WtMDE6bAL6rag3jYU/hnRFjjSsjHH2H1Q
riK3hWHc5e6KOB1+c5AMeCZxZDDj3ihFeQvpMGC+tOnd2N0Xgru8Ht7ns8rVGi283CS/BLDBYdCZ
njK9vxlF+cIdfWBOa2ERELCH/Y7DiWmoJk5X/+CULv2FAsJMKakWEJ1NyJNcNbOnsy0rGNkIygFU
9SuoTdG6bgZVWUFjPPVSRnHorLQ/UoOZwtgjMsCnaReW3JB737jWO8vc1z5q5qTx7ezJROQYzaaK
6K3UP4mhsTBvhw8sUQ3HNcjaS2iaR8eClwV0GOglaSDIq5uaSce2y5xdNurX+qxXFyPwjwhyL5ai
59rMy3MLskhqQxOkmQbOPJbDwXSJCcLxBDDDzHwS7njq+qyhUxMgoQX7D+wgpVJkRIfdMKfo0nLe
R5aWHIauJgrR+MXOd2tt/SecJP55DgkOyMY3e4Yq4/tbdZ46Cv37v12+9s/RX/9n95r9cDz48sCv
xwMd27fPPZ3ZpKt83l+PB3guhRpl4hi3lfVMsL98Ox4YyHMeEtvncefb4wEoCyXBwbJAZcXQ/Yek
Ng4qP50P1O6GZ52zii7Yqb/fo5lSitrxFBm6acm/UesGfkALOVTX8lZO3rIWIZz8dnT6dU9aN2sN
DWpQ1F/Zg7+io+HZkTBN3WlEIp/66qRxA7CNjiyuBa4FrgO9t7Tc8wgAvL1obh2GYpTzEmU3ofVS
Zv+cLuU+77MjKZcKtPnwasbCQBqyqTc3KyyhWkFZ+gTmwlpoxayxVlYgKYGaPeJG2ET6i2/c6qN3
rCTAcl8D05tcqL9vUj9AgN5bzPPKOrvwGcxxXSwbA79oCijJDQaYipIoYCuz/eLSyCTHO1F2Z+n3
B6fI9vZybdk6d4/kwsm7c5V4T4h5lyyEmd2cQ/4tO9NPnL7WGmIewJKr3kyOGW3sGlpG6vYHE+4k
N8Cg6e19YrSk6Y8mZWcJCahcuJc9KADTsPc14BsZzw/02V0LSgVgZh9CG+O3zTgFs3xopXtNmFdu
Pe2cJLvA37ZzJn48MGLcmaq5+pD1wZLRUsMt1W8MQvgDt1Wsrygo6iUwuVYnBsWqHF0qR7sojGiD
Q23nD805G+o1ZlXa5FJg63LTdDzbdEC6vxubZ93DP8CT0L10b0/N2Wu9YzLZ0GQZf6dYO6gMiKLb
fgqxzZXrLmmpEvUxAQAxYElPkw5boHahxR8yNzqoV6VD/KNseJ0BMOntjqaxaSecNkjsvYmnjna8
ZNUZWOaZdaqXQurRpSfnWxJFBLv6AxVIh1LcFJDoZipTzaw/aGUbwLJd9/RqTFEbxHDjVYDUtijs
U4kpVM+e3g4B4YLGNLQv/p3W2QxYXU5pXH8sMrq30k4VTEz4/oimQZ0og1wbpzvUX0kbF81mEcXF
gJGbs5GMQdTSaQwljgYL1XM8UHhcqObjamY7MGbzEFOKXFKOLMsO4RiexCpXzcl+lMJ0SjiXTwqp
YhbXuqTv2IdvhwN6fNd4qQspXRIeC8cbA2j8vZjMU1WONDb74olusvU8H1vV6EyS64PsKsjOzUVE
5GTlNPQxjQZCZdlFu6mhGZpmElRC1RatjSm3/H+xn6///7GfOWhQVIs+vv8T9t//ejd5jEa/PX7/
cpO/6z6+/Molnkd+3aUdgvhKlOT7QbLn75u0+xfs0UQiXBdTEwkZ/bs7vGOgPar8hUldLDvxmzs8
KX8X2JnrYYqx/T/Em3J/3qO5w+PwM02iRjo/+Ps92mMUurAf41eh4obZ38wFr6L2R3ArjGI9SBO2
CBiDtGZR+fMao6t1JAxxqo/Ps7rge9z0R+uDL6Cv4m7GuvKfoF9iAjHdhhj740/EjpC3XvOaywOJ
R98k4pC+d+QlRUdGdFPLR318muI7qk3o/sNoT+B+gkxo1yCPcWxqSb9uHSRZWJ7cJNeUHK3LeeGf
YeKHH/jmA/Qrcw3cTD8lBRhmoEfTQAIx4fOZ6s1cY14IiUKCMclewmetyvZjNERBjwn6oQc2RS0l
IqFzpXPB5NOFiTXZRLLblxCxhpbDeA2/9F4HPmrO5RosN3EGhXGHhs3qH9Wgy6E5SXzP6UgJk/pn
DBxmKHgTtSgzv/cAwHkeuJITOmhKDDbLqwVipPHxdeAm4QKavnR0qXbp+7L/IIvHdvhANTqQ8Xsa
l1a2/WiI/4tuj5zLa6pusb66z7pcbAd8iYmhcTjjymtw9XW5AtvqLjyqW3HI9Rh6ob+u1I15FGtH
3aD/hEXuv5rXj+Xnd+eVu+xj07c/XEO+POjLAufjkiBpSkWqZfDRZZr19Rri/QW7HoNIA6iEbgoh
WF3eXkOIjQIgoWabyBiL39cpJUEz4qkYLkjMCOOPOv6EUue+CwORStV9dQkyWOUsXX3l3nylYsB2
S7ugvXtAtOhkDt8zBnjJ0q7EBG9yWu0MkFpDeOxKCqgtvjNxg9c3b6sbsNXlHuSvV/rO+vNfRiJH
28GZNsYMdGh2qLru+ZPXOrSSk4t7bSz1cMWEimRmPeyXuYz3xlKn970cf4mrbC/DNmgtQGQwrJmz
VB7NdtoBM6VDmM1FNaJMma9AmNy4TU82fLjJcw6MjjlvxUTJZ9gnuONc6ExZo4YpknQLnT9Ajqsq
aFqPQVUVt2pR+EB09pTy5kBsd0/psNDBhs4KYqH/pcy7nnliBjF1eKdK9laOjYrUh/LUU7h8kxrG
pVW32DbK8rZ24Zy0GuSgMsIBZ4Z02Jmk9XN1cu/teJOHMG/1FjxfPYv7PmKuMyck2XwPrnKfWNmJ
LkvJmHg8dGQ4Ukhg+UwEngT70h6w0x8Ums6rQD7lxfkzEi7/GOZcSrz25KXyVm8yoHj2UY3/5sY6
5dpe07ObccRFMIkjlutj01MdUIKjA3bnwZhTHDczHGiQAuJl8LpbyYbOwJWgH5CShkBr70WGYBd2
sMWxtmXzhmC94h8FcRW/zv0gr7nQBGYU3sSR2+4Zdd8LB64EptfklPYTHCwWsb5OqLgJNKyTQdWZ
yZU24Nmc8+JJi5PTFMMJdRXlz1nltvHJqvJnI7GPE+jqtfJgZMx0V9Q77kSVgtHrcNBX/rSrnMwN
yB7chFU7b2fmPYB90Z9VY9ZSEwWrpbtKS9jrcdbPm0aRCrUWF2EJdRkz9tXSXPdIl6vQHz5GQAvp
vZxfDDO9qmjrWBQHUbMhIpKbqVAEgSQqWmL6yVHoRH9uKClI0CLb+qKjaMMaKoVZhHjOKGJkC9Se
HejA69iERCkbSmWYTkwIax88doy0j2/QOdsdJihcrQuN6awD+nqZQVt7AivesCCbyqRxOT0wC17K
hVTQ0nunMq/u7Elsams8ptKzdm4BYiHLWmi/MNKA80B4JdCdnq15CDwnfYaIwWQwff7XRvAP/XjQ
TVkaf/u4u2s+9p/++r+Ln014Xx75ZTcw9L8ol4SDBw/3iM/E9ttugIOOfYJgJuN2i7Pt291Ad5hf
fY5Hfl7x32wGGOk48SpcFclkcFl/QLLiYPvTZmCSHWZXwdhnqwzx95uBMTGbrDC+MFKQzeokRNoB
fO767SLzT8LBDyzDaSedqaAZ07qdQvEK5DOjZQLL2gw9xsFjajK8cCodVsHk8MnNkldA3895OnZH
5rtaejbYU4jiEYMRnXccyD7djYanBdXAl8GSy5oeAp4COs+x0tJP0FeMvTdwDqUacteEMxiRUm1V
zVWX0zO5gABZ0/C8rfv2kQH9+0iaWLjoEWuplqVHvKNd04nWGMCOeqSqX0R4OQGNC3QLk9rQLYfJ
piA4osBD9u7Zdj/GYjAp4qLxsRYhznT/Qnfhy3mxqghvgVsbWbF1NCa9UVM5ge+ND33D8NeqCNfp
IxvdAjLOGdP2lg/DWthM4EvKglIx7CktPskcV8/MuxrM0SeLUnfVMkwKJsMbHIWnnBgHNvQgpmQp
Z8fbZLIg7VKRpLHM6CE06nhP+8d+ITV8STPzfdPGIqClYWtLOQfyqbZR73sTm0Sce1uvaYjVFeWd
104fvJyQkk9PdmCJ9MhuxsF91hnj53p7rXGM7zLjpBMIW2tlDJ1wsqZd7UqxanP/VE0FOmE4o25E
+9oCe1+NTNRSxk2MMSkVNsfCCobxHYQhAxXBxlNg0ApL6WF99FtxZ5AHBUKqX7a0IxuJZQelU/EM
RgoWrDRcxVmK+pCO8UYUWgjcdHgXz1iOYw5EZBLkZWs/ucSzFz7Ap46mrDSHLWtL9zlH3+t6ogEz
DvjIzI1N3bHT4rNvCCVCMDR7aznRNXCja9GHWrsRC1a7rtUfxZCH51gf7yh337YVgexo6UZUAOdy
LGZyxR3VGLx01ZrmAlUnPox+ik7mLfQSaWBqh87bj4dpGVFXcuMU53hUVUXclp614oIyrT1r8lbR
kQOOc2UA/Rp0cDXf5AzDVNJiFdoC2Gtzq/HJMdqElPtED71j48jRaxrWNc+hvHF5H+om0c+qfj8s
gHJTzhXAgW/cpH2d8q4IZD1ROG4vFUO9VEL6iDwiFbyVzXw2NKu45pPW8TvL09IW5QUFNVTEIEDi
hO8FcICCIVvo9AIE6Q7UMy6Ywqe52HypKoKWNMaXp7Z1RrIFGM5qTP6rTlJWN4Ep5tjS0GU4arhi
2/4wueEn08no27C6A6e3B4p6L3Nbm/cdncjc06jOBdLUKmsopUW2ho5jb6Zanz6SBAwEM/C1K4BQ
0hrD29fF+25uV41FF0JD0tOrOuBwsVltLaMnu1p9injIIaL7opRXjOhqvva+t3Ps/GrR6fSIjO4D
sCFkKBx1oGCzdeSDvLS90N70vG1zc2sTGovpj1vXJPUQ3ZK93ovHOj3mUzYeNS+koUB6YUDFAMPq
aaZHgqDq5JBRMHJQCKZaG0beNoMLIANL88U1UJGdDHOxt+Ci+j/snddy3Ui6pV9lHmBQA5/AzVxs
YG9sQ09KlHiDoAyR8N4+/XzJalWpqt3pjnMi5kxMR3R1qFoUKRLI/M1a35rlmSeMyhRIQo30dWVM
H2IHf7bH+D7JKR1M0V8b7XJOyfXMBX+ZzvfBlnjGXZqW1UHWrJv7AuOyv2HtWsRd18Falf73BgoI
sRUMrU2xvYK9mfDsdWevlNNeS/AhdNPyXMVHuQ5l2DYxpNTUO1dCpLeTq92JDo48QYJ4XYfx7M4p
qYFmmh5Ekcd726AN1oYpcgiqiIvm4vAvfB4GwoJxLmcdjgXhbnuLf107gKRqrQVfk/oc40QzqMyB
Ss+jtYJCphWZtqv1iVA2YXd7Gcc83GnR7DQxhIgMAsshIcYpEhFoZQcqul8BmaJilGgcd7mgQ8la
1//stl9XbT2vyXRdEgv5EFfzS6cJkm0sDC9pZw2PeQ3dtvK9K2fziY4RTuhl/dnecPHhWmZ+ZAQY
HgccmgYBZv3wyXMWspdEDxc52Q59oT3gjvym3neTy+U4DWTNoNeO8jwNtVTHQWnYT6XXFwfyy68F
XPDQXsn2ypRrFN7qiYUmm9jewGZRWx9romN2zM4bEh3nbO9uKpjc8k5ZTea5dT1hKIFmOvBUlQB0
hno1sCnzNterHpi5B/ingejtptMnODCR6IIxF88ou0lJy6hqyV1jj2p5N2Tk7pxF/cV6HVPROlYn
bWNFXVTOKyrNQ8WiOZKz/j0vygAfUTjE3gzfp9hXxMLuHM9Tu9gEZYgxsbOZP8raQ2tnLgRXm913
pxXzccaUFafOW9YN945YjxO/9puqCtX/UTuAqw1bbMGwWGXAJo1YRy4pVqFjE/Jbv2SZrZoR7Wgi
6LgBP3fR4TYgn2sxGy3VPYb6LrSEQ3zdMESMmcan1R5IQCbW+SBWzAGC53VczkNTxtemRKph2OU+
nxM3Gv3yiJgF0LHGgcHyD1wxu9g53R7XZPmML2yhIN5btFw7buIrPnOGnsXkhxe3TrDMOoG4cjrj
63V2mXidOXtCi+oAhpootHPpzd1+8/QP/QS1h63vWfYm+cRZXXDvuVbgkssYEXRwtxGTo2XqYm+v
WseYAq8xr73Su/NXXFGGf7F6SBRE0K18njrmiLItlmLiOG6STYK6IMvBp9t+cLJyvrR++mpowJ/4
+8pQmLAz9S+FFy+IiLiHi66mQiBHuyJ0fG5ysjBG6yZd9OVseuuVa7L289YGocranqy55G1Og0lY
B9Ns+osxS2C5yWIEG2HzWbUs165WX7XacZvIoyEBD1esyhOaJ857YXPTeyU6A/Il0GkIce4NYiNF
7h/NTJGE0xRDgt8QlzXUsDhEGXVbld4COWRLPxKqUXDpE98kDivl32HJ5UOvJDmzRTYxC6OhIflQ
GJACyp41VTmz4WFP2O1qC/JvrBXjFUOShtEqCKtuwSNF9nlQF0uuHumBCwoGo6+lp1kjd5M39vOY
jkHDpPkovNq4XsejkzXD5f0fprOIc2bfWhkLM6srXJxm1DMy9bNjtd6KAvuTQZw8m7BPo4Y4Nl2X
w1gwJRTtcD9t/TV5utn9agPdcCpDP+QFNV/M3MJXAwxDTTLIzz7PSD1bJpRmObw5VZw9kd6YHjHm
kYjDXbuo0YinCgA1LJnU2CTFwruXpNbuOt7RGaUC/Ej+7Pd/JJkKXKp5iar71lGRYAnoWBIRQ88q
OXftzLh2GF03c8GSt0i+SV98zuWkAe3Jvy50hhj3vzp0irFqGUvVPLYxIOncT1uUEZQlujC+WGNP
SONiZ5Tn8adNWBGnyBigF+tKzrcsT4Y9K8I1IKjxg7Mmr0QZM46wGSiMXLEHDxj7qH/aaglALKno
tJ081AbXOjIuuE9EmdBHE8baN/ll1DvgBV3QgEGnnVhbFt8dCfbwinZtzze81Ik/p5EAG6H1+zqd
bvRaY847NP6+xHgJueBqdSQArZ40dn2NPd6fhiQwTeBcN7yjsLSd6dzqo3tfFOKzlpAZblkaNYxV
H8qJnuAD4Mib0bTh+BDH2NoW5Eeu3TJdE9QfVw3vNDdu45FJo9AFW+PDC2FTTFyWfSBz5+Pi99nF
ajU7TDPHDRNnTm5MPTm2oM53ayqMm7S+WaRQyXakFqVtpgJobvJ+7O/WGcJBKswbCDdEE7ExDLeC
Sb1cE+73yosSzfSoC6FEMmXrA8e52xhxRZWd3Dn2umfZSgbnYL4ORT5SOhbBnBYpcHbIJUt1pcJB
g41UpEu5tlk01nj/yaNbo9XCIWM6qAUWBgu3BQqzTB+dM2XkgN1vy/d9T3UuMyd7ImY8jEvLPGRW
9mxBO8KXWowReExsOpx+gaeOwXyWz+3Am6PAG242BEK3v0JHvxjAkO66DZKKA7VRoH2sMuZX5uRo
J1J5510Nk9+U8lvL071fRzbT3D185xBQ7uj01gvFch3AyEGXp4fcdO11j8H3hkTuEL3Q53junVNn
ZORfkUdkLrVx7octAsTAUsORfHud6mQb5RONLYFwQ19HSJLmwNbLfyeD5t8fiP/TkJr/9fPvADyt
fp18r5Vc5g+/2FdDOqz34/duffjej8XwY0agfud/9P/8iwDn6Z8PSt5nyH9/UHIeO/yff0B2o7dl
tvJjIchej30goEjTRLWhEH8/CGtkz7hgTHwWe0xQLGYnv8/LMeWzERQWig3oSgxPfszLQXY7aIF/
Qzqa/8qIxFILyT/Oy2mdVQAOiY0uMiKHL+LneXlSNjXcjcyAz9+6kSgK9z6Jq9C2sLGLDnlmXzqP
zXQkimm9n4FLH3Vre5Wk7ho66cP+oBFOFZOLRVUceVxPV4YhQmeCmNu48ti3EzBXZrtI6QYf8XBu
oSQ5+Vn6ZnUwjfIyLsI8fh5a6pKVuhdPW3vRkymjWMrHsPIhHlaD0V8j6DzmXubvFikJEIi/jCRW
mjEOd4IpnTK/XdoMgtphqltz71dUezQ/JMC1RPCWM2EShTuTE0LDsm6jse2Mlin0ZBGS0OiTFRSO
l4XTtsGuMWofpiIJci1JezKNt6hwMpK3JBQMcokJN/gwYg+q7U4txlDbrEShBa5ddgcEVzD9vdY9
VchgnMlIL2i6ln1ZaQUZBXl6ZXjd18w0BlSm5ng7NvkHp8r8yCoJgF4TiEM87ynB6msE2XeLBjcZ
OBvHYHJJzo7zA/hQ4+Aw3t/5XXLs0glSEjOGpQYvJdBDFoZJD2RWUd7JFzjE2PceUueLrZss/Epx
mBbmVxrl66gaXPLrbstJq49zvh46jpVqyLyIHr2njSSyTIkrYaenWLsRXCLWYWlnXmwlxdyUJjMT
j4hM9IMLr2QbPzoYYc95apKd3tFHQgbLg2JsP7RdfmB+VQ9WqOdjHOaGSiHB/XWVUHRVmn9bbhNw
ovGzwGV+SDXB4Bthrls9Ze2wnYm6NUVFqGh2cYcKIAIxooGjW5+2hRCvmYoC8G8lSPOb3wZNvGwV
NECdJYs5PlZ9W4YMKAyQRiX+1LzJU3gn5UEXTcGX5D2Qx4cJxJ/v1JCD8styQtNbItBl03Ve0dfM
ei9CbbIDQrM7rseNPsiVp8YBGMEqwefH1e79yWLf6msFEqKEJUEPhM2wknM1649EnjF+o9SMcWzC
5kUSnBiY5OGbGMdBs+/T+VlapMAOTXGwpTsFn2lf8awKtZNtyYrrc2S7OSof3XJJtgEzIFZ5YxRu
dlW1ZDLjzgyIbqVotDIkeF59GX253CY5XSMQA2igEkt/uen13sgqsvnIoSHErNEBICKQ3UiBOA66
aaLqZtJl2pRDc5LixEFZNzZUMzDMGp1YYqDDA/wkWKkxMrxGPhl+ejFbVMFpRcKHkQBbywhRS/Lq
zrCmnpSOmYYp66J+zrewSZqPXtx+LaX7vBkzAruZjYik2Vzr8gip8lq04JfM1MZ7NNnXdXlIO+8T
r3KxK9qHkf21UQk/aNsGcFBPQB2ToZ05bQ+pQQY1N665925dkiDpF+yDnI0Xl2yPYKtMwBNzy2O6
LUFS4oAl0PNT3t7Tql1Xm5U/CWdiqongfuY44Gl6WxaipMzE+zQa8ePaC/BYmnI66IAqYg+TNNRx
ggZD9LN4isEwKkFU3un1Zeq9aKtHvlYAPIf/gm3F/2PaHCSs/3BZcTVuMNj+fAu/f9Cvt7D3CyAh
iKWsFiwiyGybP+5HcIZn6ahgcdbAVFb8mp9vYZZWJltrV2FtdJdV949bmK21wgjwQTrrcIUY+FGE
/EX38Q+DM97NM3/YWmPiIZ5DWKhAPIDNfxLPuus2z8mycJH1hBQl7oRRvxuB4bZivxl4BLfBipks
Am1xUaDPte+RzkjQ6to9EghOZPRmccD7+nY0vMy9mmN56VdU/snF+dStmR3w5Frnl1SHRQDS/rDJ
1sW4xwJZk8NLHzfr44CDUfY1Ea/D12wiugbEwAAYoBoPZbN1albGwdCfZx2RrytzLcC9553EboGd
xlolLT7p6RSSyIuDMB2jJd3SS2sCER+sB7/qPixNbN1V+ng1LSaMqnlkGryF5OBm1/VAW67VDvwr
qKQlIEeYZs/F5o7nsYJDXg4djURjefsGbD7Kk2kIW0eTFx1fMJTA7ZA3Y0u3j8k+9o5V8lWjI/eR
nnZo7/3ZOQ6Wzzqk3GduFhbEchU94VKkjzCMYu5dIqyBZwbe7CxtkphNlLZduTdI3i6g1TPugDgV
w3o0dwkAoYzv28ycF95AnW/7hCPTk26oNs3rhNTVXBDp8q1h5KcZTpgt7mEmFIF8NdS67mFo+gNR
R/ut5SKRQEd6czcx5rfkk8a8z0vR2g9nkud38zYCji/2gsQ0FzZ+t8b7hYjaNHEOMq6jlWgrX3OB
PTrBqkKWpipo/SlotSxchhET/xRqZMD71ZNRWMFAhztsxPVmxb7maZtmYqmWMWTiHM12czILEh1A
1RkGe1o6Xu2zF88HmZxwchxnw+Yw5+Eb3GCkIkmS8oYIX9o3m2jRba++E2iHwwbqqZeut/r8Ye7B
/hXFjfoB6O233KNtc/wn3e3PhZQXdjifiRvbq5Cupiq/pMn4UFtM5kTePTG+1vynIbWOU6/tV6dP
bmmlyL4bGReN9RWMwOoczyn6aZTAS9EyDBfWctTL/ImgUtB/k0zD0UXQ4Xa4HHC0dsTVmlE+44JF
6WaF+D8yRbkvFO/eVeR7nLvZnrssV0z8zT8kM4x88qXMj6ni5mPDslkcoSxzFVW/ouCPtHfSvmLu
j4q+z8aMUNrVYiINmT8G0R8rVj/nyokm85lc5xvHWlQz26hwVNIc1m1XxvZ1EptnG4JSVoHf5MeU
bOGGh8hoYBdNBilxaQTAau/Lqz5ltUEQdi9I+G6Tg2bNB63JI/79Ht3GjpzEC2b7w5pTupaLd13O
DBUMFYpQ+7nJ5ImLulWRCWlLeIKtL/eeVeEzqnAEe+230q4/sEwrdgLF1mCRv8gWAuinroIZcp5C
XUU19O+hDXUXxhUxik3WXwYV7EDw666Ib8Rif5nLilZe9fYqCqInEwJpjoOggJgIXQVGJJYWzIxg
KEmKNhCpgWOKeAlpEjTRtuAzMqInVpVBQRbFoEIpRhVPMaugirgvP2fC+c7+RYcoFR9H5hEB8ywK
YnIuPBV4wXapQznWHeepekgkoRjeRoXHctrajyoyI1fhGRxGyZ5lMLGbGc413Ya4ClFsObcOQbiz
lyqwcWHvfWzLY5ls15bUXybWylTo9BF+gkpGG7OvrQcbJB6pwYYBHIjREiubNQ8iMcYozUdIsZZV
PYhCjgfQ99cFe0SPj4HN4sbX7fIRztGyt22GRLP2DFZpBb6FbLtQynQwrS4hG5oeGPW8h8SMY2IY
10OpGFYLn9KvkLZsRe2HRoCyBWd1X6ynVEWWkzfZGiRUb40RpRmTx3Ixvrb4ClqdSOXVJK8a1Um9
MROdPWrBGQFYYHSQqBaLFmEW30DQoJEft40TFN25bMUutTTWS175UfCWBX1rurCzbuKqvHPAKFGw
Y2fX5I3JUzE64h530sjzo3mnSid9ca3Ws1W34Jjc8VIpZIrda+U1uZxHJGQEfKT9P5FaorT9c6Or
UHDvzTYkC9QKf8I65J3mOLQyoOAK/cNkfp8LmQFKJMOOhL0y0IbyYR2x3ZWl0T/QgYOiJ/xuZqa0
cwYfmwWH427I6uaI9i0DBFd89bbxzLIjEq0VjQIhgB0/WHSQXRbvZ8nJbXxOZZi5l8R9KPF7Dg28
gLg7WeAvYiigZK4eXU3pPPXAMm5dfQigKbODc0+ep5z+BmSaKjA8wFdGqc4XWkQ1xpcnXWsjXYsR
ppZBM9Q7gU+Mn/DFh4DTmuRNyiiDD1k0fRQXMGZNOK65QdY8e3CPVVa8HChfWYYf7ZU0VmmFg++c
thG1latf2aM4xUQ4erCZkSxgdqt3tIlgi5cj/Rhf8AvQzkieR6QK7oSjErnoiO4Kah0vI9QMARqI
/7ZI67jgrGbbqZOa/Cuyt0hOJjOvykh9hkFAQHxA+MkRrl1WXzlvAHJnKU/T3JjRf0Hl/N/JVaZo
3H9/MHWTfptfi7/W77jYx35Mp6iLhYJoIdg0XOpIg8Lz17rY+8VkQYOaE0sZY6p3DMrv0ymIjwKJ
iMXICCgSH/RzXWwj8HpnXplIAP6VuthVZe+fymLbMNRn8VnyYmL743AKd6LEL7bibTHNnZE4KDeG
Q2NzZquZSudGfWGwfP6YpBsyjng3rHDCgVUNT9vQAHvqDw1UVzwSHZQOoOC4bMh1m6ibxvisNpab
8Swc50hPe60TVqdqPA7CGzjKh5xdIoD1ToD3QOfXtLcAh7ml9H47GFSdnSo/Gd1Pb0WcPro43BhN
UqVOql51vIVK0s+fFZM8paSNVW27kbAZbZWnBSCekAjW5ZM02e25OhuvTc7TlbD9F9B19z57k59+
9n/pOX4OfTZtupW/+ma+dyuCAxwr+p8mfV7u2DiJO2tn8LZZuQGrL0UbkbT2o2t21zX9PBuIl8Vs
mlOT69dxTxGZ+ywK02bgSOnSR4gi57Tq71EIzhei5QL6YAG4ELXLWOP6603C6I1+RroBQZIu/oXV
DQQtRZ3CMECaH2L0XWkrTHW23ZPO/Sodh8PUGT96qz0dsmLmJFpleUlGqnyvg2xMbflaC3Tj7cKC
rRLMCDvT7AO07UsoGv8LjzCGp5HTEFJuQlomw/+aZn9E2EQwzM5Nio+VU2kk1ZQDZBi7p8Qubgxv
+swtfgU8fz0P9nLQHBuorYCpUsoeU7ZszqmT3HbwxzyCa9JS/4BS5mpabSrH5wE9LOkTT04GfMzU
LhgRA56WJ6sVT7WmfU0T6742PsJUw/srX1niXkxrevC2jBs0fV4SO/D6/CVdxGHsjJ2tz7c6BOmB
5wRATVbl536uT3nqXq15fddsxSsRYzeTCiu2HFYswxks7y2hspFpLpc5r0+MfyKfg770unM1YQJE
2D+2d5L4WqoHIhTQRLSRtSzwhdEftzgI2wk9prYvC++wyIq9Dka1KftuN8MHrfzMG4PIhSnSQtdn
LA9kYVzi7ktFp+SkzbGHLV87CIbIm1igxtmG9mjPy/NqNpFrpa85atHla+oWexPGGbUyvEobn4VH
SlbmGQ+lFZ8zwYjZ16+H1T42W3PCyXZw+xE9hQM4NbvRJ6ZCAJfpouwWO510MBjW0ew1Uc/ew9OL
fSbWi1O+9c7XOQM21gxhDxm/BNvco8ZRqR/Eq4aDQOnF1LGlO+mpf3WE1w5pxDXucaQ6Ge0b6R24
r+mIDO0sHO9O9+K7nLDb2WQcbh5Nzh8qq5Phz/s0nwImmeGWGIc8lR/zQZ7qNEn35uyE9WIx9pUs
xOqhPWxZtPHJQ15raARr7tOFkT699YkZdVlzn43jsit0J6HRv9XtghC+uN7I62lK7lxlVbWLPnAT
2D6rkHy1JQqqsvZOPfb8vH7ZZgKT8a1ct6X1YGfTt9525aPuazdMPFuucUpghvi/Hid/Wbn8YYbx
tW7wciRy+HWk8dsv//c/zW/9b3SXOopG9vfv0tsvf/sqff+w30ZM7+w1BxsDVxU34O9Xqc4Vy39c
MMgW9BRO5h9XqfsL7i4feovL5IeP5IN+ukpRrHI1Yygj2ovp078wYsL1/dfHP5soRLnE89iep7ZN
Py96YqvSGtljJ+gzv1R8Dv3CIymehTEQW40HukKSTaJWf1OnKCh4fshjko8OT1THk+WqR0znWZM8
cyj6iG89xcmIbi5m/SDU48n9goxlxRiQq4fXU48xy+3piLjeabRkn6tHXcu6e8uszGhUrwELbA8l
Ddp8Xb0kehYt6qXxeXtsevFLPLkhL0BK0LQ8FbxpY70cFclKQ4NquxmEePIdUeiiqLlk0L1KROoL
42nlAvDCwqH5ieM9+wojAq9O9N6tlb8t5aWKbRSA7HHTg55/tSbEXG6pkIaHKnktUGX0xhrp9XxY
Ea8ZyisH+MvghCBhWU3aWZ3Me6OTe+oWGjIoZLIJNOy7dTsGeWyHzdDdo1h+0d/vdXXDoz7iT+fS
9zpo+FpL94twYIgSB+FdOfTZtbGFmhqLCSgN+J/7K3IYrDtHox9nhtYwS0P4k16amI9qkC5wuYTr
pOefiqKKA8YWieGd3IKbcJZ0a2bVoYjF+avGd6WD7nlVI71cDffcqvs6qEBxeo/e9gkfZA4Yq4Eg
u3M3RPiB/tgpghthOea58pBuDh9npMrM3Semi2gk3atFDRxzNXpsK6YE/Ngfy3Heza5O8IPfQY/p
hxpvsRm67RBHiY0hJTaSA2Iba4fi1z2WUKmfgHo5Uti3U5HFnPrWivAY1eTkMmpj/ydRZXQyQhKD
vKhILmZR3sz8ddBVNG+QuRM+TR/89Hr/jXLpr18X1+BSMSzeZd6W91Hyz68LzEEPKw7IocFay8By
u+9Th9xsQkPsS6Edaes/G878lOf5cGp8yTDNArFq8xDDTEsXjODZJDDL1Cca/DmAQFfzTe/Ppl35
b6Z2V1l2IMb+bVR6wEwIOn22Wft6ZnWxLLhoKhOwq6+qIoPyKFV1EqPoVytd7mNtBD5erMnuPeog
VfWVrSqteMakR31jqhrM21xuToX96TvWofasi5NN0Ta+a4Ip4wzKOZ+yTqr6LlOVnq9qvprib1ZV
ILyFl4qy0KE8tHPz0bVKkxUxamYqrmMCR9pkKHJ2ibR0ammeG7X5W2b+sPcfxn/uZfPvCxPU1/Hb
rfZ/je6AXRcjjL9/JT0Ov/yP6LUovv957/HrB/56Kfm/sNRgwwx4wzJMndX775cSDza/FZqYji/Z
YYPx26WkvMqWcvL9yiFTkoXfLyWPTQXxDLoLapSlyr9yKQnjb7j1HPYvBIbDFsNJ8qdLiee2t1Cn
gbExJZNof9jZjZEHVLR1YDXjtZ0ydJmKpN2V6zReNUouB8iWRd9iILLZQFdU68T6zdXSc9liwegS
59Sb241RZg9ti/3JrytxyLoeVT7j1FJJ9vp38Z6S8Un0fJ4S9uVK4mcpsZ+H6g8qgzyv6AATxftZ
rlAhIvTSmDA3CBOwWdi3G5gJoIdhnkLnWE3f5TyjlixMcXLFkD50hf40TdqXMbbxwRH6FBA2EAdO
BUbZnnoKehYSfcFiQGvfspH8ANFo3mHdErK/V5/fI4t7/B7prrNWAL1StUX5Nf2HNDwJ6bAed5Y1
f5PpdlcI49sqtj5YF+95ZGMT6Sxt8mZ+xGvWn0wkCnFSPNvNVj2n2vRoV5ElI0MpdgupnfVpjdzY
JRrHGL4aDjlCojwTUP659fDjTpkVMrm+ySBHB72Htqx0rWmf41qGV21cuaLdryhjdxnXTejGdRMJ
91wzpkTF9cGZqzpEGEb6igtJEyHcEaSUwTxru7HjF7BvCPJNlZLg6ntMX8grFob1rTQzUiKTTwil
74ZY3JKHfKpMM1xlgRwTZ1mhHZGUs7NWKu8UNdmYfanSGEVccppseU0rRRwMcWl2mDfOja9NLwjf
0XzNL0vOAb3x9VeTC/2TJywej2Q2If3crGv0gYeli+YVSugmTxtZvdZkfZgmEejE4fXMSAOjcZsT
0fF3m9wAemkEMi0kaq36Ke+NyJPLg9YOx073T2k2hqPXPWNIHBByI+/cFp+QAug4o8n1Cm6jDYHb
A72Rib6gHegoNyr9y5p7X+rafPM0ih9isqyo7PwEemccB7bX3nrT1ZyBru7lvFylMexoUOgXOPln
z11fNXs6kyGAZKMi6chs0whM9JsL/upYkjnRt90V1gb/LGbju+gY9ukJP87a0cLUu0/BTCHB226r
ISZCrG+JVrO5/iuqraGQWPvSWwchIyBPNoEjbdKORAnIb8assn0qcSycp3Tlb9fEAAWA7N2Yk/Fx
MocvLDtQ5k+JdbbL/oOQmnvt194+IUO5mzbFn8mI+vGuCA5MPXK8V5v1zViPaINseWAZ6+7HhqZ1
nU/pkHwy15oNwtKyJ3teV48NmzQQ+aSWRP0b8y0RHiE3ki7YKPdWVM1bSpDOyFa/HLCE5I/GSAAy
+QSCtIa1DmXdLkfHda9a2YwH3Ohf45bh67rVLjuAeMYjpN80g7fsLVYQXkLtNMyQuowilmFjMTTQ
MHTieTJPQz2XuyQhndHlgg+9xH9w9JS4a75FiRIqmnZ9tdl6H2xYqXZlSxiStRKbNNKz8Za0mgz0
rCMlj5rTGPv9IDsNWULnRawunwxMrwuhbluJ2iBD4K0ROEkOZYq7pK8vw2qWOz8dELK4PJe9m92V
05KHXR5NFB4QbNxzJ5t5N/TliKM4X8+u+YaA9wmhxxT1rv+21aZ9NU1LezSQa4KcBRXgDsyWa0P7
nC+JcxvLV3tII9EzQrdmNnqNhmKUJCvg9em+Gl8cwyPYbYoaQztODC2mGStMJU7IyYN0jI+sa/cT
WqkZHQ1WAORlZsRWBSyPdqmK4Q5aBU+eR57EEpJHVb6uuXYTd8lJnzqUUX2EhuoqXr6a2JsWm3TA
6ZAOLv29JZ5iimDjoIEBHkbrophHqHGu8RdENkuVJBujZO0ipOhHkOeBWSFv0ez9NnYP48iRklTu
dV5/hyRLIW8fjMdWEyyUHf/NaKyL1rHcddg6pld0Kw+OJb+o/50Yhtng1jcbPh67YMv2j5Ytgg67
07rJw4Y0kxNGp9eOCp1GpkhwJq2tHRlm517lGixgLY0MMbE/7qtmvxSHcS6eFD4hUxZkT5mRDRdb
subUT1IZlU3lWMa5HPt6cieVl3kqrpteIyzUPrv7soe+23cPZSlPcRmzCStYaRFDABVIfYnlSPoi
9jx9cU9OYiIvk599K75ol3FsHxDNoNXuq+9WM0XmIMBOrY/okT+4c/JxbqtzYTqRNVbfRbu+dJ19
LTt7jx8njCe+10t2nxXarclfq2OsVyl6hbLaZFAs6+8t/ojdsnbHtWFRtz1Kg92Tv62PGHxC4aKt
07Ih2hr9amzQ7fsgBGlE3D5RuC6qX2nsMjc/Zol+ZcYxMTxmSONyUxfN7YzbcvaesAbgNYhvm1y8
lZJV/DpDDuU4Qym33jvpc5wmd5vRPqRedu8C30p061zO2f3syc8NP89F794INk1Y+1CPe8rf3urq
pVGed0iVT7jrMs4SZjb9pLNsjocwYxG6sVk71FoskTyjam6Uo37CWm+1eOz72YKEvJAyAL7MUT78
TjnyGfw891j0K+XVl5j2DdRzu0z5+AWGfh3t3KnF4p9g9TexR4Wtcv+nYAByXeYHTSMlLleMAJgN
knwUGn1t+8Sm1qAhRLec+bfGlufHWnkBTOUKMJU/ILVvDeUXsJV94P0fy3h0laegVu6CAZtBht1g
Ur4DSzkQ/ufvIeBtRyC2rqKxcxWSnUjistE9h3XMseWmwLd0Bf2vFf4fa+S6d1UkgEhAH2rps1jM
dT+aGmTI4qyTItCrOAHcUMhACRhIGhbQaAdnLiBoNJ4KIsh6IgkqFU6AOVEqVcFNr4ILnLTrD4WO
7luFGvCT3ALWtlwcKvIgXdwXIgZ5K8f6pWthncWeF5ar8ykvq0ddBSfYfuHuPEu7EKJIamS15bvZ
4gAdSVxIVfSCVCEMo4pj8MhlyCrSgyQzB3/m2i2GktVtXd8ZBSQytDXzUcM7sO8V4QDBwHDblwLj
vKvQcXApymrDQKF2nmUxOqGjoiMGMiSkCpNIVhRzPSNLs0r6MHnFv1MFBLcOT2ZqAlcgALZS4RRZ
fc+VU4UFQUg+8wIVYpGTZkEE0xqCDdvHKuhCqMiLXodkNqsYjIU8DDvj9BtRKppPLuoVifg0Gjci
9yw/iVYYu6xKAHzG69OiOWvkIIPl8vTPM2kdOqkdPozI87aSgKwSyse+oI6x9YLyvEBHoR5+rfdl
uOjMg3Wv+xAPZb4f0WswE8Ie2BTJEmKAOtBADmh5LC30ZGiLLP6wJtV97C+InkwBX0KriZKvencv
JRpA2syTMArzrHUP/7+3/Keadp4Jerp/0FsqVvWbfB37v9Fdqg/9MfLEoY9LHzG4ZevvWOofy0Ob
kBYydgTwfJPd4k8TT/GLp9NewrH8NW/ip4knfSfrSEMY/yIFBtrLn4edLLo46BDSwSQwTfX5f57e
zERAwcZonN0wY5zZKhCtTfFNSxBneQ7I26EbTmvnjhE5zEgOjAsOwg+J4BSbkEZPXd/slh7Y6jyv
MshhEsKtZ18zOG2YbTAS65oWjaw2TDld/rXvkBLU2cmcexq0IhwRYoRxvRLkONtvg5VG2TThdKtZ
dReuE/XS6iJ9gWo59eiXp5iZjFKLzPQImp58HtHPOvOkwnPTL72ePZZecWd6wEWYFitnbnkWRYLd
l1V63o2BneBK9rCP7MY5v+tq/Vj7XU9wTVfh21pQ3Rbbh44mi3LU3U26/hEtTIFwJ9mlBKzvmKwx
9vNKf0+0KGaE6Twl2JTWtj22RfzSOR1+Jr6cypm+sCogf4zgGuRX/4e9M2tuG0mz9h9qVCR24JYE
d1LULks3CMuysAOJLbH8+u+B+6tpu6qmJ2quJmLmojuiq9qWRJGJfM97znMUoIR4DhbPLRFk/h4V
MkXgHkn6gVYENUPEtDd2u3AQy+WE44uQJVLs0FzKdPMRClmnFsS1B+oa0y7FcgAQErcO4mlqdwhu
x57M83H6EqX8EsZkbHF7jS+9GI7ufGdQzWUjPokRHicDrKR0Jkh0YClmhcrYFtW1cNziEMKGtl3B
dxEat3YPE5PeOmDYpdOc48l9rpiEk6EFqjVr9VpiE16lNn1Nxhy+Qu6uz13v8M5gjO5rXu6ZyiO9
k1dmAK6AoQ0ex7n3RPySFNwNcsvdStx/rIG6owA2Y4JdyGN9x05YW+d5enS8AXix5n0bNfH/ybn/
TML8hW65QDx+3fI6dE3hV3V1gWfd+iNSzIzGuuP5ba9mIGgU/zmXNDUzSvPya4jHEqJjs/VKHeto
Ez0p3gVZlxWHqAimct2Pwrlg9C6jjkIfG7hQQyhynkssXF51EVX86eTqjgQghXTVyU8aO/jpmPmL
b/8HkeOXjT/fPuowvltWFNBD/tAR4xllgiOJx7HiI2S5MTvLSMczNtjTccYD7qXwg/zRgY6DeWRP
/DpxrQ/fGS59U51q4DNTOdxZLqxmxiPwG1CZ90KfLpoEAdeb5kdNFOPGAXpn8WbQu5mjIU/w4SUd
MbyBQFlsUMmNDrNy40rQfKFh0fJQuOeGyU761y+4JuiUZj0OHI+a4WTBhZMW2/aFJnnr52qNAbQP
jIxh2+kgIOXdhrPw9v8eXP/1g4to1U/vqD+RlB+qHBJp/ycvOEs5/tzvTy2xdI8KwVYNxdFfOut/
94Kb4BGXPZ1h4QbH2fKLJioWQ4ytk/Xmj6PN/q6Jur/BsuFYNHToZlQu+H9HE/3xDv/lE0DXge+w
SvQMsQTAlkfbTwCzKW4qm5PJWLkwbudxvhlSlVxiYOzzQmXXMi/DR6XIA7Yn3JzjeloY7jzeOI0t
YrOZAeE9X1jvOdD3FPh7bDXTjkwvgpdJPpFbIZwHI3yf4/C2nzAHyP6hKRS0gtEqgGbg2OxIS+2z
xDTXKkUCDPVhPScusoEFGDKKPsd5ov8dArypMG3WNUitxHz56Tf3F2fBIjP/epQtr4RLJI0VKG1W
y9r051ci83LQXpVOQ3xYFRuaNvt9OdqPQ1FrK02qMWj4Re0ByC/AlU1kxCUYSPgftNqt44znM9MQ
yu1z+4NH38yHuCXKG2eAKz21pFxEcz/YfXbKDEoj6R8PrQfJgVcv2Hm5AOj//Q+0mKn++AMtbikb
jqdtuH8qNnYyx/WMBitTulRi0sJ2KAsdf19n3Nbo1zqe3tTRj3M2VIE7jfeOOT//+2+Ba9afvgeX
t7+HdM/hykn7Bxvk1Nkg8sFirxKYK8e0DeFfiGNOuzsoZdNnWsmqJx6D9+0wDDt9co5K6uomjklu
1SMRflChbqol64YvAAp+sYoyqw8lI1iU1de6shKgRu131+SeBJnY3ukDAn2r3/cJ5OLUwbLFRzhD
b8majW68yHnWtpn3CFf7ecTL7jEt2XrxRB+ujVZBT28LVo9EwntaQArvU8V1o0qfG6zasokPbAZc
OAD4NKUOf0ZHYLddbV0KpAg85LO19iuDuA92mnWk3I+pKykfiDJjXdQEfS3Nf9vqiQ+3PxflRiFo
IMdf5UCGarZyb9fNzWuDdn7SIjSMqtyKhNgCOH+bqT/kwdDVDfQ2D5nROdLz+GFxn+Anae/Lob6R
YfwEYZSH2eKEziLqDrSOjR8tTLnZYv0pMHCGiXeYM/POGsJ3P3WdVefaL0KFW9PhjUKHaXVgD7et
eu4yyWDcjwT7rZRMeRPfGnIAgddOh8ISdyEjLVZ41ihG+qEWGLho1niDDMKQqbzUgqpwMc4nLpfY
0YbuEVFmZ4+Q2Nspjlk0jg95W37SkgoAim1KbsFnUzNCTWQZl1njU9N2GdMzYc+uVi80fDD7NfmO
k3E+WfrWUY56kHYD0YFNoxgpt49kKbYGzlnUHeuxG4S2soBkkBHIXmrQ2KsaPUsktaDEvPgejlUG
KZF8H/CVcVWW79lSV9K7WLk9nc2mhgozpvo29Q1tZ/n1rRb2xjU2SftFHo4/Vd6kDVzyLFFhUPko
/rSloOkpBPfw1iHace1pkjRnnEhjCe7Ow4Df0LqiC+pXSKXQeUDFyAoRnJd+qWmpEs7A0GB5EC5V
B+jw5W7ouG0nSxFCskQjlmqEyQDMkS91CfZSnFChum8WANnZH6aBNA6LYUXRgrVULqRL+UK+1DBo
IYUMDc0MSTlUZ+lABFe0cdQQiIZQYt0Xtz2tDpPGFMy9OM0yFQA7gi+U1mxNljIIa6mFKJaCiJam
CHOpjIhZICwVEjVAvnW+1EpUUwcpAXt4R+GEonlCWyoo2kbkuzTiV7bUU7RLUYUoD0n92uIPXKRn
Y9chE63tKLxy1FNyYWgOzj9xdg3olFJUQbmsyNKlHKNWwtpaKIGpdCI4NdziIK4B2VXUajgVtmAi
Ix9ybu+4Vn7pR4Rc5P6beCnlwBhFd1n42EweBZe+4+yViljUdRsx8QYvllgqzuOdIqeaL4HVmORq
t0RYm3bq1o0svk9a624taa6S6ptzz7u8JMEM/vNHGJZUbLnEY4kvAi3ARqV5HSCxaG8tUVoV1lQF
13xMVK9Wroj0S1m9g2U8YKZFLqQ9dVN38EK9UAVxaOf7gqcw+EuiBxXnjNP66V1mIHKK7CwsQ91E
tXag08NZjQyqgV7hfcQZl0xTHRia9VhVIBKbCemmMEHFiDrFlY83LnIb7SYRUBO9zm83fh6DwjHM
l2REwAITj7/P5tdYqi8TL9LBkdo71xyJHY/9XJ4dhU4Ca0qxLZQABlAebaa2ftoTE3mDSUTc2twq
07uX3ujBhAm/xmL4KM2eUuSs/7ATdZadOa8jl6x0Uz9qFvnTORmbgFXfpvKGvV6TSJq7+m2OmaXh
FPSbjOoniuqSD5fJg+OZ9X9Z1FdcbN9H9zTCWlkLApcrFWdyzcRxhwmfCj0+Inj9sxXVAzdETYni
ZjyJiy65dbOaIK2hAksgJPYetxObb0eB0wlrcMBmOUEXa833wR+/Zsif68js1EYoaW+tak4O9oQj
vpu5g4cTAm01hftWVgaVBt3X2Pe3P56pf8ud8N83H/zsPfhLR93/UHcC1rSfrh5/uog/cgmPvvZ/
iGTaP/7U79YEi2cAjhULBpNjcLP+/Rru/ebwjxb7ga0Dj3TFL+oRZgb+IaxJ/ALGz2WlS0saJjph
2FxwrCVD+Xf8cn81Ry8ISovuFnrZ/shFCEPC+EZlgB9xD5XItr0As5JUX3VV10cLfRekQtCMxplR
4jg21tEKhxtvwc1ItUkBBf706v3FZdjy/kLSAqJpEQ9lMrb0xXT/820YFl5vxiaLh9o1WBEuD3uf
rfqCETEzu13r7BMjhV8aFYtU0pBdRabd1ypSQYTZY2s3M9W/EInmhNLFallWimVt2S8LzFYkrODY
aULsYve0bDmXdee8LD61ZQUajdU3uSxF/dE769E07mEJVkG7rE7jxva37kAzPEvVYlmvFsuiNT0U
mUuGcungiCpaL7NoabuKUXzx4uLN4IEdf4kykqU9TFqq3b6Mw8GIeFLTpeYQToE4uKx+62UpTIQ+
CvLs1HlnNywKtCiLdXEtth77Y2dZJJtslItamkc9NNt1Uw/vOlvnjO1ztayhSTlQ9Z4/NcKjQh53
nL0EQs9qWV/jgCDSuqy0zT679r2M19Ji283We1jW3ylH5C51x2vtqnCXenfxsio3GgjqDu8Phy36
wIF9bKPuXOACABcKSdrPPosphWrLCt7vKnfF9uHosp3HxXYMU/cUL2t7ryvGs/qxyi/OPGmu05By
yWjjeG0ua/9WskwlfPU54ggQOAOMHxaB2h6DYUKAY4/ZL0g+fjqJSLd0s+zJe7UrzVzqLqv+panv
bCB9rTk+ZGW2lyLfV662yV3z2GTGdtCjw5yPD6WVvXtGu7MwM0NtK4Oyt7BrLliwluGw9LzPIW5v
ozDZRZ119Lz5zZ20L4nf3o+JfuaCsZKxHcxsFUXYrBKflHFEW41nHlNMez3mEPXW4WlrDAyZzUGg
Z0aS/wPfQ9Su64JnveiY2MpDf7H78ZxFDv45681LCAwmkv8qo1dfZu3ywkwBq+8HcCufbdyv+bCS
VENbWi/f7ywTljTgp1CMuNV4zatfV6BIsps5kktUmbytAwFQT70n+tmStTPaJAbTOx+8dlHb98qE
SlAr/141aJL+cON338ux2OGBw4D4xcu669yLb42MjzMdMOwVQXOD7rDC52nsTwNdgikwa1cOJ16K
OzfEibpA4LLU/CbI/Sm3/OI52nefKjDgb3t6c4IWQNuAMd0F/TFpHb2pPdiEOaiT5KgSignrmoSC
hIsRbaw8uneT5sp5cxawExXItgWJPTfZazFqXDvrfWRpQYv1tXW6SwwWO8sj6vfckxI61pX8ZTaj
p8LOroPVXTRezcX0p3HFGTg0Cq8Lyk57UjVp0sbYzYY4R95MKXu0iYU8Kv821rw7yQ100t2THqa7
MMaBrme7SndOIT/SaFQ3pYoOeRbfDiE/4qQuuWpX021qDFtpioNdEpzQGT/ahEHL36eOOCyx1h+1
z9h9VHacyjZAKAaqRciVec01Dh4bfXfwTl2i79xePxQkek2EatOp944ciekNW8qu1qULlaqr98v3
BaDh1EKVdB/TiBeD/+Ua8mgX3Stu3CuDGdEJPqHavevID6ON7ocsPzmGywYwzna60G6b1Nw59rCd
7ebo2MY6B7s7Ktan4RC0xFBaCbUdHz0gyKEmZpHesHh9sBD9csS/clEBzUUOXHTBdFEI1aIVwvCu
GT3RD1Fed9A+taCxodKdp8a9Nj/0Rt3nBaETjwdLrEn3HImWQLiJM2bgiw1Jto0c1R0y7sA9topV
6rnuGiBrgARJD2LeHbPyVWQjTiMWDyXr/Z1irtUrBaiViWEgZ3vAZrKuFfAKf4G7xRbJlqbXn6Yq
cncCF+7eT4yDPyjnsuBD41E/VNH8GE5gV2oUp9Brp003MsPELCob3pt2VPmHif0Lu2AguIr13xhL
CiF1ThdsRF06H93RrHeJ4KdgducYJTlkkUvqo+IIO6XZFsR21rRdJeFXz4LerJPeWYEMKQJI6Y9t
Wr3mnpmu7urWlsfRGJ70aGTbG4sat673YerTTaOycDcr75qNPASUS45+9D9sZeDOBjy0dmvyu7mJ
HNCmOdRFtjQEyX09wKi+dgxZb5mKGbcQIW7j/rUl/1S8EKnEeT7NACDnZLpAON96g4WrqSFB2hGa
n3T5aoOIPvT0O4WRG9TaiGFRFaxnXBjwunXLPwBhkNhWMNoyqEMBWcjmlY8WCB7HGugWZHYapxJn
V8YAJzMDCOe/v1H82IH9IjSi/vjQB61ld2ezdPv1QhEODYtdnf5szntqJ7Fc1ZDchBmzENP2lp3e
5ZF4yTrpsZ8xCd/DPfHwvInF/Pb3r9D/ZZrkv3/H/h96hTZtLp3/+RL2+Wv/8cf7848/8s/7s7sU
cUAncVi+YqHFlfb7/dn5jbAIJRiOwxXZcpC5/yVjkzfxHM6A5YL8a9OQ8xtrVzqBzH/yUcy/dX12
/iwzUvSho60vpUY6UJNf31xoLxr8RxuNRIn80Kgp5ao6E5W2nI3Ux++Rz36tdUqAhnbTBuxj2Egh
VqyaFPm68txy22PyWGnTxOQ469+12cjWlUK1q2EHryermE6mpVGTqgTxQHx0TV6/lwQMAJ+iAcSU
xqD0xls7uYapftTLKTxki95gh6pftVQtHTouFShldnjCoSweo8lWoMklG1ZiEoThOm2bDFO6H0QH
yUcytcqECwqeForDaaopfItDX8NN4klz77Hr83CiWQRqKmvutw6VJxsvfBEmoUundJuDEuX3cAbe
ZHBt0/Lt3JML44aArRXanxoI0iEiffcMyTvjP945fzE++PqfxgfYW/7CSyR+xGJ8iQD/PD50tiwX
MYhrb+votyw1gYOERh04TXg/RblLQwQmOg/lAfZYdM5t/RzmeIFpm/sURcgDJWofpaJr2IqJ9GBR
PFezulDaKvCrHTyCfDunz54wz61Nnmsk1kjd5Q1xRn1E3q5KjvfKeyjKlrBgb527CEHKhMyxSeeG
8Aq6k2wdevi2SZkiCsZ2upngXx0cyjMKjfo8K52wb3KHufiOhuY/WUC7UVcWxozXhtGujyoHBEQH
KmuQCuOSuoHqwWO3xCyNXKH0EqHRC7y+JpZucdi6M4gC7kWd0axqR/E8LJlHojjc0NDarexGuzJ0
umsLt+Eh1tkyA+095eam9ZvmBB6oWGe+825BE9nncgpXTZKdK6f/bNIJzmuc61xTp+fBo5Kviki3
ZOw79gXq0RZSgko/XFVrD+48nPsMWKjsWh36Pk/stpkx+bDA1JxwXFkzN5yhj7pD20FmDxN/JaGt
tL4LzsvO3VVn1fs5Ac9JANC8KVgxNB5iZukAF6izh7nV0ZE8npqQK1P8Gmshee6qTlzQsAhFUnTc
VEZ/NKCr4XcoqQnxAOULr7UvRuV9A3P/FiYy3rzMJQXI8djFt3OLRQr8bA3ixeQdMCHlemnCwzNJ
SFJDaXOkuc0hAwCRCeoGeLDbRZcu7kCvJd0GrmhBYvu2gel5dJR3o4XP0jbOtt1wgRj4e0L/AEPw
a52Z071mAjjJYTUgT1kUaM8YrpzU24czjbucGcfZMWJc3MoPuiXz7XchdbvDM3dHPE06YZY4lwwZ
+VtoGhDDWoCiKV5V3Z8AE+vgW34ElOEP+0NX7u3BeZkEViizsiPWNCh9NmjRnbBHxLaERHpeBn3r
XPH0BaAh5K63YJjYUEsShlEIranceHgW6tg3ljMOHQ0W6lgxeLbhAvEl4bT2s6V1seX908kNGVDy
Z1V3R0/BB1zdFLQEsHY28kWZnvs0OstB0ze1MYK3RwuAsTd2q8YKwWigdq6SO0KsfE6H+JvPMr8K
8Zg3hPAOaQdvtnOSnTf4L1bvJZu6YpWeW5EXDLgXzM+O+bvI3WqXGzkz5ZQ+DtZO63W5qawsXaVj
d0gH7Zq17BDrYXJXji+/ZJK61qiMnnwJuqep3gbJu5yUYRmYY+JfUBPpU3CAZwNpx2vq3Hr4Addt
h8LO84nhfhafZu7vlaHdpP2HNlgHOkqxyYZatq976tj8cXwbOri0eVJ5mCmpVYUNqNZNVKZX+Imn
uWmie430C7E8TG0YicEaz0IcXP6lUWJ5SWawbmXEkITICnC2hTaNeXBcZxYcJ+VUa6IpNnJCfxaT
k26NvCw2o8bXbCXLLTPbm4bCMtfXGU7n1A7cSlLYCcGcb5NOEMVLXTgy3FRy3ll1WXOchV+kHeM9
cIsnoQ+C9hHqOry+Y5o27G0O7mDdNwMEbcyBZTT0q5wl5irJGli4k3nKDYMwCxaatTCeu7x804sC
PsDMSyMIYqBa6+RM0CiSOk83pWCc4BmqoF9ZCciqZo3HQ23j7tzE4iEXxMFgxeAJNckgOumJqh/E
6N5/Ak187Q2kUglraDC1LQzdBupi7Jv70u/eo8l/jlvtOI1yM1s93QX0HrT8dY0z0oY1gaoqmn0/
OKDIgZWVZX0VmI9WLhB2Ed2lRotRW21xcD9nknxMrW0VWKU4H286LdrGQInjaTzBbmDEcJvmaHX0
dTSm/wyriqZcamGHsOAU+xBQqqOwuq3K+AvEFhLxYA2Bju4yGPnkdhg0Vy1DrO0VgRvijxQZu4e4
eCtqBRt4NdaUGlq1fXRkDPmTnat0PqzFxURtxTnv9ZUL0JrMNBby8Lx8FQ0BYNYsSQmT4uOlfzMT
7aEzy7WTj5txwPxZ456NWg+HlSDx2izNwrSBQB5Y2oatpXfYD7svo+M6O9nHn3NG0AAliyaNDsRU
k4Af0xBGV0Naoc358yUFeL0p3S91JgFV0FkVpRRd6fkdwMYvxD6L0yya5MpbYI+l5zWrS+cKMKLp
r+0AeaiN8WIOGmk/aykEzUDvs8hGOLE7eVw8QLjAUkCPWH+cSpyAyWBwMiNj7Ts3tog/ckhU9xNV
PtTDy2fecf6pslwc9YCsdS2KAhmb1k7wxlnwc0slgI5cZjOzw8gMOpsvUJVkFwffiK4+bjmb9shW
Wc5N4YQveK9x4eMEu3psSSZSlBm61SGT/mM/0TDZOvkrlcjjnapMxJWRj1xrfXS6HdFdr7vwrnCV
51b/0nKhGkPXeHBZoNpb+jTsZ18PAWYNA6Ks1y3wjdl8Dut0ZOVi5Ld+TG0FiDriPWF1N/bNxbdv
jXpmxGn2hp/BnHPdcNWWXMEEZLS9YVIBNNMzh/4SleuIkPZ+lrLYha52wQhVbTWrG7YpLCu77DlN
myLI2Ui6fCJOyC930dDEe3MuSJvBP9OT8kY6U0unc4+/AEYWrOu9FnrawdCAM01pIbdDMllb5MqU
TlGkSuJnlMYMJJxD6+Ao4ysGlHI/Oeq5jjj0ZYzHlsq5Aqdue2xjhz6wGN94zah3ygBDEbmQX/LR
3w5DigTzNvnzTRHln2ka7bgpOeuEKCfjenWlb3KSEokmLdmUUh+pzPZqZdFTje+9LMd3pvxPS4OW
kBkQRBvzs67FuUgu1cxJIEJVgAwdT+1CdZcIjVH46IL+zMOd4wM/tfmAioy/O2uIdPQbN69ueaTu
I8M4ktB5Ko3uQAvFMS7ih7A3vzXpE8U7R1Gk59pUEFK74q4jC+zXxR4SGfpAdbZQocIyPMdhcUkP
w9REQQ0QYtUWRYDN/gxqhUgE33HeHEZHEcvASK9nV5PbB6mnu6KJyQWMp0bznnwjZIldvVUDt0zT
oF25eSgLZ6/rRVBI2YMgEd+miKHFnQ+DXd3+OHrkQGzEwfYcQlbkeORuW/D1Om0hHDvhOkrT157f
aqJrT6Toqfrgmks1w5l1/ybzFJprfR2A7yVF+FG73kOGkQUWL9Ui7gcl5UGo723vI+msfernr6Oh
Nm2eo5Bp57lsvxaYDVeLByOs2ksKpWLU9XWP6zsqO/z11bnTg7bf8uFmDW6ZhHnbQ4MAx8OZ5Xkp
5luvcq4hPJV1C4oOQNSLR6YLQWjrFAVtS9skH4iCwM0deCtl083s0FJX9PyqgJd0E6GtMhBFT+OV
Ntx0jf8YVaDm6LdpTR2rhYExtpApcbRaX3UifICU/uNb2QlGIaVw09uGQx9HHe2BPR5rQYHWPOdn
09Ze7C67z1uL+jcwA/w6OCU/OoJGfDjJ2Q3OtyyLXqoxu6vd6jajxgbKOtOljVpsDviTknY8g0SL
gn7kgBfOXavrADTEhl3Fm5zchxSmH5ct4mD+s2GaF0JgXLGb7pL18cESatMIrESARCDkYMAgUnrk
7sY9oA0S6gWcyPpm5SGfPT/7olNrMMU4QVyfpyCGGDd8hsJ274BKcembbBsNqkAekXPCvO7S7WHD
QpwQqOVw8Wod91Z5cArrYrXim6pTWDH+A7cgnt1j0LFBz0T6ZtX52XPVfc77t9QviZn3NEt1XxPp
3xvmh/LG6yJDd5P/YpbeoxdZ91xLgqJJ34jL3MZ4LZmU2pgdEfvaok/w/U6ATtpOTzYhmMPeDBu8
ogNInlQcBnbGWk27T6GOcVmW57TguphY43RSbXbpM5TNKg8vg5OIYEASxUtar+tZG14IjnDrdgPD
ijiqeoaNzvUP2HI+wM3c5ZmHNEZ1yD/C2fI63eTRTHJhY5Y+lSkpmJ02ndgWFfWWK0vKlA6brOju
o7RwaHXCN+HN5bXBvkETzodew5fwnXra/wO6a6L5MFJWpV52V7/kumdQKLOPTPvKlVpf9b6lWDow
RRq9XE3mkp8X/rwurembV43f/6FaFAU1AADsM/jIdB3G64I4IDaX8U2Zk3vqdOpArIQWTtkfIsaH
dqldSlvcI0vdi2aESVBN1SUroPAJeBeBVUNrczruzK5kMdRQspubrLSFDEEhxUi5XS7nbS2zDzrh
ldPWa2VyjlKMqG0qo4QpLex/LhL/1rb6f5/UZlv/Vmp7TL4lZfVHse3HH/p9Wc1xDvJM8FGB+YIr
8XexzWPrbBAzsD3oLjCGBTLcv+AuDgtZiCsEFLwlB/Evz6j9G+WZUF108vkIeHgf/8ayGsEP9eZX
LRdlEOahrhNWEDhXf1V38OD4g98z9hdQuFhUUg4lT2l7SHRI9JBVwzz9KFLw4UVfbMKaditBdoos
srkuG/NuNmNQjLiUNRKBMcDRrnqLmI1IukUPPuECYm+3Tr1OY+Osj9ylB/KnwCbmG7AsD07dbYsG
9IOTaI945s9ZZu2FkZB5A8ZZ9txLONSm1j76fOKAvnKhji5yMokT9qeaBiS6tuebMjwWnLyrquK5
JLzsk2XQqberC5rhMS0LCuBitBVq+w7y1Yrde8f176xm9IIaAxMLVrhdvdeyrYw3GrF8zkr3UKu2
XbkS85wokv3INYeAf3qO/Oqm0vijjiEI3Xv5GZy6uRNy+uiL4mCH+XvoJt8gjbobAzx81VEJzMAH
QwrvXz5yIy0S9+z1JXtVSaMMD3H4yywCWJ/EZ66t8QprAafWMLc0nQD4ajRsLcMMLKZMwxM9vdwf
6HsR7mnQ2Vn0fczF1E8oKqqfRLLYCl6U5T+OsEM8I+s2WkxEWBTcygqN30w6YWy0iQBOuXWofI19
WWxtIt0IqtQEqW7mxdkJEVlVmJHyeB2znD70cHIDJRm8EOaQm6bmifoUsM6JTf2eSLY+88bOnf1g
iLJPz0pT+oOnaDuY5XuTa+XeRxwBl3sX2jBwW+zE0IDjeOM1INndOH/3Mva7rRlXa3lrpIg4DbW1
hwoJS4YYepyke7QZ0rd1oo4RvYMrsx3uGyxcQVROO9MGHmN6PQBgfpvrMsa8SDt5RgsTai6tUuuk
640FsavvupyettHGhpUNrkutDL9+X1uPgqO1h1YDh9q6pl0CxWiqdmX2mKCXr0MvPiVdidNfswzc
mOZdmEOecML+bE+MfGACVgM+LMPJiNYk+Czz6YNWMibsvH80pglcV8QC25KBzlutT5ZlWkc3/FI4
3OADWJUNplNzDp9KOiN4qcKlC6HND2Nj4gyjRpmH+Y3orY07wXEW0kU00sAeqTDFrxXjWs41/MlF
rk6y0CtyN8UUhIYJJ3X2bzOSn7up4BMYz/FN4+HyTrlCpsKCZqTQazqeIqslfl3l+XyYpwvde1yO
TJqrle6hgoJkqiv9kFjqLrW1G6drIdumGrNSjM1TJdbeMGaa48JN5lR4omO8Fj4UpSlznnO/xsER
fcvN6slnbwj6OFvLmeEpq+xm46LhS33aW0n7fbAiMB6NjzOhzU4Eh+K9yPJXZ0zultlQ16kYAvSw
kbEhsQpqq7HXvuMQI0QFgjwzACxVGCvmbFzFGXd/RzO/h235HDXg6hICy13Li5Gk5HWPYApWBUK2
yYLACLnf7jNVc8yVxUvXsTR02cit6tqkF9FD+M2QXkiB4RdYQFi2lRxdqMcBtN/bgqhJSx33IR+J
SmK/xojrs4r37X1aIZ2Wfbt/Ck1x6kbtM5XzNy0t3iLSUVUcvedi2BDyXA0cBPn8WQvxXrii2epV
76xav9uMgO42xO/LvRaNT5qmvRZFudQfUUWkO2vLzsCbq9DeOF3xtTActHqXu0opnqiqiFbmlIOJ
NfAvMgxvRoONQ+tvwUwxT9fxU+OlL6PnYbxgcZ7bGil52WzaRLUbu6ABUeNmG4AR3CH0Apt2kx0D
7620Ohr8qMzjGCuv4+x/L1N4sZMFjLkoaGqO+vahSUdvxf3aWzXxpwWuGBHSjfgbuaBjA3utGZMK
jqO6hDHeD9HKI6O6EfqTgmrPWBZ+mXz5zi33CoP7ENKSGWjM3AfhdPspttxT1VgqaES3aUfPP2HL
qJEQGV565gaMke1KNjRO98XiL1zcRQI/BczK9TxO51jzH6vwZpDRi5+BVPDCjfT9R9PMXyEs1RYb
1IQmz7m/eiETq9+2X7v6EUQ3HwbgEk0GkTJPokvp8mMMo38wQjYZ8xT4cnjvUj5qeh/tqrS/9vVu
xiQi6AOsXPNi5kOOOYRLvpr0dTjqVyrd7vSwPC/TU2Fi4+gjPPH4UfAcO2nyJVCRvfZFv9XzOXA5
N3sPFAM2fEpEAkM4Z1tVUAh5tEItf8txOcoGZWuQ4dmWj7LzWdLEmJ34j+AcTrA6pCDBdcGzN84J
8dvqiHPs3vpiUd5ZYGzNiu+OV33nMfbhDiOpCA6Hob2Sijk3Y8RIx7xKTrvNwUbBZuj1bz2FKIM7
AogZKHWl9bu+o8vxYhgtXYrFQyYBaHs+L5Ur4ovdFVfDTN/M3n1sw+ROW9RBPYt3BuTBqfbOXk0N
MqMfVfOvNj9TVJZfcXHsJ1RTJZjb4dmIBkHYaHH0uMVXydjri+XIm3LGZqpc17Ntv86x/uiQZWET
8s5241q3TNe5wTFPr0GNn+Uj1Yf7qOlI/UF2wewCYWMEexHoerPFgtuQh+Nl0XgXjOU9A/WDlwHg
oX6y9ltr3bEFXCeqe8usNj56Q38zDjVPL2BlgVVkRy4xAVHHU9dOYq9DG4vr8l265cX1omk9Od42
i1N9QyXd0W2Taq9p9icCyf/j7rySG8myNL2VtHr3aNfCbKrNBhogAYKawRc3CtC11r6cWUe/1cbm
u2REVpAhuqKZ1sPpekirTJIOwHH93nP+84uZ5KhU+xGGctlxY1nHTYJ3reQQH/NoSmxFuMMEMm6d
ADh1Wq6LghRh474IvQXz0zW94x7F0jFfMkVCu+yJyQwxxxz8fE+u/NKniYXwOueAIuVeOw2CYmU0
2XkTO0v4sVMdYKcWbT9JkF1loUXIVlmnXXq6DtnPhEJ/k8OAKA1tVzdkEZhSj0ffNeyjrS2DW1t9
M+8tJhdUMxZkhbDP1gafLjGF95CFZ7ixa/PgnuA1ticbM508HshiInUptGaNAjZS6cuyL5a+l5xj
F3odjTWg6VGs9Ee/HnBScH9fAuOhKMyvMLWSMVp8XQJjkpB3yA0QtpSjDZ5rEfEoJrFhvtcKG/v4
KMNugEiW0LqJQ50QAWcA1w68HXyaqWrzDAWZZmNvoj8oUCJmZWJcVUIzGcr2WWT6t4adIvPV8xMX
zJBJDwpbHQ8+47zsJCZKnncVjepxRMiD28M7hym2KIvhvGF9MzDhRgTmxm4AhvsKhh+52Bj6QNEH
AJmaDalGMtZUmCzh11fYxoxp040ahtIyGTaVpHZT2aL2k/EPn0BpNydybdxoJosQMnvPWT1JFAm4
wf5s+eW91rpU3Y13j2kpkBGlR1JuYmenxWSrMtc97q36rDXiWxD3JeqYGat2mlbWhSchfTAczJei
+Jj0GvIGkuMmyJden59LwQ3TZW6ctosDeycCKPgk+yArT1v9oiXhs2qxqgp3o0Q+xohhgV8siQtM
z7I0WFsRAUfZGrXHWvg4UNyt25axqdUfmU4ybxxmKNjIO1m0C/uLsfP2ONAsE0ldlUO9SFNcZuzk
OEr7I6vydzU+UxF+TD5RFqVurHBy5hQ57XOLN0CsLq7OHE2zLN57Un5jhtlewvNVPzGz4rww2c1U
m3deYBXcoDwYCnVRKvY+4OkaC+WUqvhYA5buFB01bLcVR3RW4iccBZeBfZmb/bom5JKHFqPLptD2
sj7cjEEts3x8nNqDZNVSUOIbjIeDZN2M8sCKyWjJtDlKJpz/W86F2st9YXEEjNgR9ZUXZ1qWb/OS
F86wl0E57E5NSYV9X5bM62QTwpxZyVOHHOxaUi4AW6xAu28s77bTSTUyQuIZ4jv4ug8FhIu0ri5h
/u0g+XB7WiRyhTROBDdgQs689cIn+muBhf9huUQGEuVv9qnvWPCXZfAWVHj+i69CVFADVXNI4NMg
vNvmt6ACAm6ABpzXIckLm71vQAWi/xzNEtQaoUNFwPdViGp+QlZomVC5FP5QWLb/DqigC9DgNahA
CphjQRpRAS9MAaF8SxnpsmIIyO3DMDwNnmoSzAvLJfJVQT4KcDvv2YsmPRSYYIhOFYr7TFT5+C4z
AwnKWWdHGEBbzaH25ZXG1IkIaowTRLfgir7BpoHI6XUHJXjoY5pkGgxb2LWKjiMUvUcN616y+nXY
Mi8o4MbYok9BzcE0gXjVSUD/guT1VJY7ZQ0Qz3CjZSASm8wT6Vx7HxvtYKZ0RG33+fCU+cMqyOTT
uPDvA8ycVJNRqethy6nXMlmrlufPXYsBqgICaixoyDiUw+qssrMrI0tPI4/AcXucrPUmW2dDezQk
OTMGFRa+DkK6gKlxEvvoJSV3hpk2yXdZeOo1wulIndVUSSEehFmD5CWQ5WHWuVYzcUViKbKrGfJX
qlwjPerc+nooIp5v2Wd+4Kx6Q92PrnwRqx3BGPDxIyzNIzgpJMQNk0reWr2r4DaDvUGLAqCwMRJT
8UjvE6eZ+SLVmOSUXUwwympIcSHE/atVzblrU1+HhjPt2WiUsX6qFPnc6ZTrJCBiyMASThG8GwwX
8TTLFpGcLX04TbWfrlG3EuGw1Wtjg8EiuuRePR8KE+SGCeTInGFeNoDVwjfVATwn+MSHCRD6BZVS
7t/wXx4Hd6ekN3IqLVsHHa8b3niev9GL6JAbNfPalvnXiAHQkDXYFnSzuA5vG8Uni4iSc6IV0VFl
QCohj/jJq60LDZtIupzyEg82QpMQc7mOiqF7xVfvJOTueUo49YkZmhfGcN4FtNlBcad12pOFUmHW
5DGmRyd2hi9DiNhjqjfOFU5m29A0DlS/NVt8J+Rx48mIARsWVgDquQ03P9C3dJNHUWA9mKm6wLCv
ZdYjyEZdvnbtbGGH4TLsw7XndFM/Z9jiKfpNi32Tl+nEc6gyTjx5jYPYSZRzohWDexkPJF529rXv
czq0qTNNdHzMXWROCrGFGB8vs7LCAtxxr+xEXfd2cN7CEtx0FnWw+DpGd5glEcRbLaJYYICdzdrA
F0139LnWyhMCt+5LvIo6ootXEpbqM1zwMSUfeRrcCF2AC38n98JpKlIrk6Rjzl+oSzO4M9W9S15z
6z/l8X5E9U2uI5nPVn4Ay+bhj9qjDMCjV4/GYDu42IFNpeKBpEFPf+yl6wYyc1afD+pe6We+/hm/
J5sbMHI3mwTXlasmOpP1YydlIgDyN0+yU8Kbaaj3dXwe1vgYbmzlMsgpeJepyQxnq8o7QsC7fK5Z
y0KZZxZf2R4ulpGg54BtrqNdlAkAbUPm//6Jkm214CqCMRSZW3JNrB6ik0OaU3Uue8tImak8FFa5
U/J9gaug7J4qEoHu23HrKiFyUWbdMRGmJ954ppr0RJejfz4oZ720U5PTUNtW5YVnQ0o4s5MTKgWr
slirdwV/C4oz4XVpwOeGSr2hnRXSwTb3PmnG4/2QXaA97NXP1HS9RgC09pB5O6mHsL/ln6VzXYRn
rfMUsEyLGyUZp011bY89zBw6YfXGNz5LDhr+WVsvhuDeM86GIcewpJ0TWJEQSohr3Oji0p3jxuXN
pEiDvRJMiUmfBdXeBQFRmP941+TATVQjnDnVtUcX2isDRlj5DJvnDWaomgSNyDpYzEhGAq48Pntn
zsyaL5msaj24kqgsGjec94SuYz3dtFuzq6axjtKv7Ga5AwDjx/MGa074yAhY78P2UKMDTOmSSvXO
w4cErgGzQ++sgTGf4+iv3djB0RBuI/XC8o5C/84sdgETlQpUmfCmiZJ9LkEhLWhGNf2uNOzsYKMK
+YkVbnxKY69yCH9sF3bhTUpcrl1GydcdapGgQBrc7Fxa4hKcoD3TB3QklPsjSpqU2acZPw7JuUm3
BsV1okNH4kalw6EpHwfvHHhn4sGwUoqLDAGmDcV9GFB6Esg0YgPjxIRPFv401i5TD3pRdq1A95IJ
3wbxIWKO+IVy2rb6DD+6hYsPDlPPOfbXQLHxzOL0KiQJOShNOR6aUybfJcRNTMWEnhYPCg/3AIQC
VYrgQU4f7RYOokcKhtUmmyDvDrl61CS3ZfmojiShmZo4E2vvXgZ+K6z0TMFpd6WM2z6H+JeWIfEI
KZw6jvapL7UY6QJmZsgOyIkgoCdMFxJ8DKVruK0pOne9Vk9zFg/6LXL+ZFIwpmo9z9rGm4ac+BPf
woUhCqNloSbJPO+Kz0YGt9K0L3oCA1WeSUvGdgiUR01xWK8ljl00r7hrOjtUSuwcxWfVsBEDe0vZ
sHc4PGCzXpzGBoxDQrvB2CJA59GtpuEAVzFBhJbYdJ3uSdmZt22in2ZleeIndk9mgsYahuU+YpoB
KDxJNKT+nYxOGAUCBLZO20Q4UEy9Lsngt0cn0AWuDVEgSH1+QEGMU4N3UCEozwo/PLVisV+OV3Jj
X0m5s04sd6M3qYkNGoiSb0obRwU80kgcHku267Z3UlaEgjWpeTGO6onRxJe8xCxExDFm2XZoqpOh
aI47tURhx8sy5c5tArBSv4EXEhrn1HoQhjUCtGSePyidVsZYPRzim7TItkkQbTWXPL4+yneBW99m
an0T8r9FY+WflcK5q2QNe7s+3YzyiGEsLsOZR+ZNMFyYRcA0QybtL1fQYFXncBPizZBfYaiHAj60
gs1z+fvXNgn/84j+wkjmT7r2d13C1V18F1R//Nsf19h5B9V3HYP4668dgy78UKivmAvZ6GO/TiFN
4kgh/Ts2B70DVqF+I5k1kdOKOl7BVoZ+480U0sBmydY1y/idXsESb+l1r2A4Ij8VdjndCpXzm16h
dcKhCly27mwg0EHOqZg75SjOaf51KtvEQcnjWlijtUwYYw/cmP/D1U5itV7a2Tjr3TZcF+gnXRl6
4qgPB6VEWa+bSAPNrIOP4WdcpyoJ5DyL6kEEIEOvrXImdL20MFBqYXQxELcWjcddzBRE9qRkB+Wc
Njvd8/TEbecd9WrUzjt70bDTT6Ma3CE3zsGML307UWCMUPOy80DD7waITbg5TuP8WMaQGafm8Ciu
4Qm7+tI3B2OmDZAeWttadCWEE914cgOtX2RWfc/WB+LcMCazKn0G9/AuTIW9hYt5dW/dBwNFjW9W
nD+hAWMEJmgYsg9il9bDjpsq7NkzSTbxGE36FWOvHkY9FqIJQjM9MvJ54blnegSDO4DWPy9DjhOS
YlZWkjvc3NgBsXKOcRS+LNifp0mOJa5pftbJaSCkbwSnsIYFpJFm0ptKgyFFqc3T7Kw0JEjQgO2A
9+OcOEUbwjx2CJifZUtVsfGzxnO9ggk/8WIc6sK+wOO7J+BGfQAKIg5WJr68DCi9MGFN52Vu6Iun
IrAU5srWHh83gxmhTv8SW3MGLDceYxfkF6ueBEAYzfFlHxKZTJF8VPpQhhMEUhOjkC/LqOFW1TJW
ZHC2lZiCU/YoGR134dUc3x4MQfZGD985FYCygALZJfisJExwPSuWl73yjJIfOLIGLK97g7S9FMxZ
CotJbJvtwnJHXHgGbW61Hq4KBnT8lmOzYClHaquQBwWJ3DEyGUeFZBaV5EKHlT1N8wDgFy+zWQr3
g9QVd50RzjfBvHxBkc23UjEMHJMKVz3CMOChZFDq4D/aJLCjVwHn8QwGpppFDjeMEfrGERl2AzMc
jwYyJTm1tGaY5Snjn2pg5KorwVZv4FD1GfisRz+RKdYVc2ch5ramuLRso6HHhj5dWEwDCXGkEYcv
N/Wi+M6vip4RMKdmofshZ3BwMQJIQzcxbn18k/GIQryIG+xxzyjZsfiXTBn3bpgkC6itC62QbiRb
PXHjO29AxSpZ9kJNyGExGuQYhRHvcn/n1lWP8HudhKbE7NlFoVyekThWrRUDy/WRR0Av6UyYQZeu
Jc/kgqGXhN2VI06hGKC+qoxD3DpXTYvtjeRl81zNV2VW62vZUzEDSlW2B2Xnum0H314V5mvDGa5g
/hK+81Ry0yMm1TB7OwK/V6hY90qnOSg2Pfq2ZuGXDcZYJL+N3aNU4HdIsOpC1YYVwwMe2lyvZgwB
ybFdl2HhnliVMhkjmiWOTrxGZGoiHxptbgAchhKqg4SBVFbU52VD2ZrzGaJGW0EL3lqpn8LhDSAI
YDVCSbSHEUI8XclXn9fSSUn4I341+dLwu3pGdPNeD9z7XDMIH9fbK19GT2uQ+g5TE7OXmkib1ISP
3IiJpsRok2wa0oztVc7Ikyc4mqZ0C9Ikn2Hgo2+I8cxQ6BB6OU+U8Dwym0c64mQVRLgQ6eHGDql2
SeA5DsMq5KNy0geM0KAwXMaiBvApBgplkYjaIDGHZDFq7aPDHJFYH4ckyyw6l4aIiZLvX0VaUi41
K7sxY6eaGgbIpsPtnpbWRtbSCZZLOFAn2Cv1hFFKj3xdGLDb2l4ax4grYVkQtcZFY62Goo0hAhjc
UdCLSUK+rSZ5p0pO+F+Xn5oe5GizyVZdf+TFWFbZjpgSM+9y6QjyK8kO9SP8PzYmyTqVrNozQ8J7
2lKplI08OfZKJT2uchTvQzMSA2yhCMp3Dt2DxoOuDSb+3wpcaRc6uiQ38xZXG2wL1NMeY6u5VLho
NfDMrRWd9MqOeSeWmcpkaK8reAYbFS2uSxAhZiYbPyxXUpBFTMiR0Cdu4574o1IvopJq1fak9ZA6
6QbK2kKPo/o4S/qNmrDft7DQUMpgPeAHlk3IapjMZIgX8N5isCMXfIKS7Wps2mIVVf5h0GEupol+
Dm09nDipdSnJPdajDDJod91N3anZoiTxgWxOc556NkrX2qqnijNeQ3hcM8gbaOBBhcmpGTfDYiw4
wmC/aIvugRznYmcBGSnBIAv5OSb5uJVXfXJuVMdQT/k8nStPhlKGjI4XgVS6iBDMcq3H8lWjjyJc
SFlFKnSkwMCTqle8K9/JUJCC8HVm426VzpuXJrSBIsdmx9IT/PGHh1DdJJRB01YKHvTQeQL1wkJm
NLG58ZM7NXWXMhI0aDCePA0779RExrdRJLx08oBUWwjLyI5xOeoKVVsYuPhPWVOasDk/6geQN4gF
GSnRM1nqlGlhj0+hgdmkY9SoD83m3ge8gufaTSUh2/ZKb9fpGJRVDg8X1JtJXIUexTbREArOA8WQ
XIH5sm0524B44J2P6QFTxwQfMc09K9v6MtBT7QiuBsPUUgRhBJIizG7UEwzgFZDGECiIx0q+idoK
3yHH4o6r0ZFGSrFe2CdhYe08w0shInUY+9NfV54FCFTQvKPyXKQqHCUiT7AI8y59ChGY2ol8LEUb
rMu7i1xI7+R+b7s+cIBluDMUbwXpQfE0SINLO8AByq7Hdm0WFzpeAaQDH2PF1q5qGRctg8EzOm5v
5snBk2tiwNUHmD9FORJBCwnKyH0Kcss8RqBzZup9MdN1PPPrpFX2dmksGgAeKCCNunbH+qSUsNMy
U2ethwCpWeg80PpN3L4qtqY8sJRQqTHw1rRAuysJBbZxougFy9QQfFMU6uckim+LscX2AADA9BkP
O6gylk4V7N3CydeQ43UorKHgsroBlBrXdBd1Dc81FIxX6PpM6gQLtnzmw9rOTcc4Ou8EM0aEklc3
mQHHAXX+pMqchSae3972cL9rcPNOiA/uM3ecRJJy8JPitnGQjEZYNjLGGZd5TdaEJRGl7enY4nqs
2Ahh4jwetfM+LLTpqMAzyHUiVBLVnoxudylF7ueodk+Sakr5AERBzcmeiLGv1AxXjVa2iBCjC0kz
HGphgAZ849rU89c+tHKEjFPF5U56QmGPK9ikMA1s1og5tBAyLsQzRpwX7Ht2kls2eXHogy61AxSl
tvWXZiPNLC0j17lB9doTN32c9soGcsSqkfuJMuR3pcPEMMEreVlK4w7NnzlJRyufwobEagxY34tg
PXUlmTxaa9+rTTouET0xcwcFKR31uipJcLDMpJ2rLfHzhWnejCMLCmsUYSb3hI8t4qNwgdGWOa0Y
jNe6hO2A5Fx1kjMsAx0ejJPkx+4QbWoOvkXhQvoiCntglSkLuWTSqdjSTGEAvdAGmL+6Hjy6bdHj
FweBRR8weYthhKjkHjAIoMQsUfBNqdz3csEXn0LKJl75LnM1nGf02pmDpKzHvqQ1cAWSS4RJnlVz
NdH6KeAs3KvBWhgZyG4vAzerkXSPKuZIq3BRHuBlaB3m5145ss+VUMPkcesHUOn7x0YSYpFuXOSe
0PBB1zbRI0z7Rll6skWKSHRfY3031aOWsJj+Ue9YrYqFU10xHI8utbieGcEkMyrcG+SLSKuHuayX
+E2HzpQMvQIGiI3GxzZuitoKZwHqNjvF1/b3m/ht8FBmVfZU/y/R+/+ZnvU8b/rnv63mZ/Nf/sL/
PwmRmCozaft5E3/7j/8ogwf/bfP+/Fdfm3cabVskGdMf2w5t5NfuHQ6xgVb41U++coitT1ADMOxE
S68LKf83WcvWJ+gODAm/mGRh8PAb4z5DgAevW3jk6IQVMjrUdF2z37bwjTsqZasATlfkPwY5+0dR
O8Y88IwTfFh7IHrDmDVlGOCczp7IQdLm/qKsxkviA2VYSsE9Rjf4dgg2hbRPDNJp2X9VrmgMxL+n
vTuRsu6IUeNO9fozEVNrV8GBAdqZKXtn0jgLouFoUSj5DUz9k75KMcmoovsK/laiu/tylXvVjdwB
3TFeyydmEm3NIgE/BMKvsXUnREN4K0YnRDicu6l0FTD2x5z2MxwzqNBSPRnqZo6dNZGwCr855FB+
Y55vI1dPI1temokHfFdv4ObdVeI3JEUcWMWlhnVenUPpCZ+SjINKRWodENmSyd0iMKoth+guqtot
rje3hH9svRxPVJvWjr4Jepi5i4wa1xxoMi5xWkxoLhENrRoKAYnkCFdPj4e8PVPHB0gDoBz9Pg+f
8BiJaa1492YEwy0C7EiBaweg8zrXHs45UDeR0l5jzXUe6IibvUR6GJgCtaF70EIHjX5HoKc7TI1R
uTLRxElSxcQg2rHT7rBD2CN8vIyN7kwYLfQwHkmPWlekBFmVwy8qJs141szrpro39OhWl3QGPN0W
Avd54PanOSOGxuN8zBPvtCQSUen7C1bMLGuKY5X37vXapVXXi9juzmTP2rWVsXL6cIZCLgD5nGCV
fWc2cU374tMU1htN6078Mn6wfe8orpqVgaLcc9tt6bjrob/gyFlmza2UWBXSa7iANe4xxz0CVmc0
+j2xvZ+HoAWxKU18Zpk2klbmH9et6h/ng3eA1NNixhVe8C3jFm+RsDiQaWRFxqYTmUhRAMwBF2iG
c0G1ayhmcT1lhKoayNQD395IRkcolEAXROCSTPLSMDY3VFPLhESmisngsmuQ9xWchlO111aQ5qJJ
68jlijjsEW5sjFhMpuwu04JvqV/AIMPSETMx9I9yM5Gqjveja9BuFeB4Z3DnTTY0M6k1zImhhOrS
L5Q7G9foZZdTC6ANcxmVmw8x5era8OOTBhLOlFMSAMEfr9Jx4IB8bL2mOEpoh/1Rhysqo6stUx4m
DF99HnGYSOWJIln6zCF8YBLXVUz4VroVsdPEfQhrH2BuwPpQc5aIeZ+iMUNkWcfK0m0Ga0cyUjmR
iHRyk3A3DOW1HR0ZaV9Mkas2U9uPyAqo7rlOIkV4lFG1LzFoWrsdtCMpx25udFeep+IF7CQ4HbkW
WWU8yxJBV32bLQptYEKPaWyNmHAS5kWxLnKmgFgNNT2eQ5KN+1ApbIhqP552RnehqhCcTWtdm319
GteHxmZbgQhVrwjEPKUMRNs2FAaUJqZVMrMo1mTa29lslIydHo1HTceaapPOR0pb4PPBtIRBQxlN
JXnjFSTdSnJ3ixyJEs5/ajBZmjnQ/IEIdmh/DLjz1NfE+Hwm++68I2972aFI3fRuE2I3IJYEpeRU
09VbJVIsJkBn+ogrmVEfEJ3eVEkPHiimU1ZgHGrwAHj6OTuJqjAzxHc5zcgUM/qN2ZVXUj+sjNph
VId96FTxFVav0l4ZCjNrCZmnmze3PMML1be9NUZpAo2CsBiFRJx5GUa8RjUPY/um8Mn9DD0xPHeM
m7Akvc+KhptEhdRqeM6xJenHYRc/9gVKBiubNRY7PtbGw1xRWViKGl9nhCou/d4/HXtj36p9MO/M
Sltgr7dnNzRXdU7IBfiR3G4yBft9mUh1g3OA5K+TnnrXckA9s9GxMIaw7qDLsmA8iGg5vYtkxttM
g32ntPWjog/3CI1XaQOuFfrNtaaqWzWRJLA1VPC+JxaPqFrbPNvp1XUsg4oKu4QIGr6Jz9XEdeGZ
YAz94ARMgsE24i0sHHT6RfeUuhpWDtytuMHCyq4RUPvhtaaEj4qFCLIeZHSzJsmCSYXIWgFs9Q31
qjHh+BkKWLXTu9PCQ1gJP++ok/27Elcy3FxJJ3brfBn0OE4nBu5hXR3OCLAwpnlqWtTexT06WWyu
BhnZjYdCD2b81LBg0fejP6f/60GeXb5ANa8WgKTXlhABt0Fw0iqAw+lwE5rMPQf5XMkEJ345ZPj1
asLUkZNvm7m5CZatn8H9fYoU87yAXbRvdAMGolLMWsm/qZG/rAyQXQlj3RMXtw0cT+YoO09kOT3u
ySzCvgRkIcEXx03UFXKHCxxcH8WOghzeQrYhV5cCE4n9QVgh1/JCyfutUcXJsvVzjCKjXY77Bnma
zY0Wlls69/rYG0sIu1eSv1MkwhB1Jb+KUeinvn9utrnDNDRvj6QWIAJCLY4Q7aJyMPsuAp6yWBkh
OvcBHxRbSieRTqi8LotWWpc2Li2j49/LJGXikSivFR0kQKnCdP775fB/d6H7ZeAmRknztA7q4bQ5
lMPZoeK4fIlp9w6Z+Ok+C9L6Av/k/8ovfS0nf3yhPw7PF734T0MbbCzv35TOz2/r+T3/6irxHe+6
eTz8/W860UCiaHZ0HbtYMfz62x9YrXtffkyRjMQOmw/hZsY/1ZdS/Zu79LP78OuP+HJDf/07rz7A
Q9aktfgivCB7lcv7PJF71T385Ba8ucI3t8AkOElWMXHSDTR+9AOvboH9SVUdhQ7DMEScryH/v7oF
d49JkEIbwcLioX7TDtmO8baJ+slteHOVb24DNr+yLdOloMhUKBRYWt+sBOeTThCVYRqGSqsCcfEj
3gaLPvC9D4T5SVX4lKaBCZylqiYM0W9uA2ZummxpCivBRvulf8jbYFvftdS/vRp4KPjw4gtn/K1b
b24D+4LK02LKBhoYQ3OEOJeH8L9/X3iznF92zvXj3/+G0RG+bDT1/8re8OYqrx4KXebZt1QAAZWD
jFX/zWqwAQpM28Tl8csD8+HuARsDhnXvvQeaboKFWDolzIs1+Df3wPmkodIm7wQLckCTZ/3Ih7sN
CMz/gpNSRvgMoEQqn/jGX28MLAUFfzdbwUYctsgzCPXhbgMFw8uD+hJ79mf58XsFg24olqwqCpAW
y4Hl9c1qsD7xI84HbhJrAoH+hzwmWMTvfSggBqGFwhFAWNlzK+D4v7oNwiWUFUHtINz07Zdj6WPt
j5blvHs1CNtTheAuDgiF3Elhnv/NbXAwTMWISJW5CwpxlgbsqQ/3ULxEmL13i1SJqEYgQh3Jonhz
GzgtydtioWi6QyH9XGF+uNuA0dW7t0jBiKMmMHSqZDISxdf9ajWAs1NSYOWBfa6wyf2IqwGV43v3
BhyE+ZoNvm2wI/k5EvbVbVAtxeE3TGLauVfmy+t9sL1B/ysOTI1ngabRxJCXAun1ahBDFpObo/DE
iBQ6Yaz74R4Kqt+3sYj/lUqazpHORKHF5uO+7qtoLxG1WKrFHZAJbfly2z/WajBNsaO9b4vkpECQ
x5xOjOpos1+XTxynNp0EDZcBadqkuviAq0G8/ffeBoG32MKgmiLymSH8ZovEOt42mEtyTFj6R10N
wgbp3asBWIky+lme+VwffbNF2oANPCo0li85oiKN6MPtDT/I+v7tvYFyWRXNE9RzkW8q7Kde3Qaw
OcoGi6Ex4Mszw/zj3QbK3/euBoJemTGCLrINCp77673B/gQ1n8LCJHlcaHaND1k3fK9Y/u3VIMQG
AmlU0Cd/31OQ3kX55FBBIgjQtOcE0o+3Gqj93rsaQOAcKgMVOTZBqoaQT796KGzReJFWRkVhqfLL
VvSxzktk53/BXTDAnEAbHVWEJLx5Jqi0cTkTkhDBKRF4xEfcIdm7/oLFAJjAWWE5tk1/+baIZIHQ
S9C8CMm+UNt8wIOCFOv33gZRLaMCstGwPoNwr1EX+xMwBDQntkaOUuFQ8CFvw/tRaeuTroAl6MKn
QQaBensbAO4pojlIeCBMyu1//Tb8CxvIn/O/qR/Ej8+Tv+BQ/WhA+LNf+Drw+v7nX4ZdArkWE61X
vygGgS+v/c/B4L+/gqyfgfdvfvgViH9+nS9//uUDfv/Sr17r66f6+h9XwaG8Kx/gGzzPJL+8zd1d
wuzwtvk5Me/nE8w/68ZfX9p7M+Gik+Qh+udn/PvfXt2Bb56vX13359E/73zDL1LDr2/wywBCYINf
/9MPp7n/0r34qdfJO9/yr7xZ33tptEc/DSl957XPsxjNUVO+mgIz7XmB8d67QM4f/G4Yv35pX7/H
5xL3L7j03dOTf9dUh+/e+3Pl/+4XqP9YInT9wdUFpPXeq5/cd3fx43cXf0FI3nvxXfD446sDH7//
re8OzYP/j/9TH+Kv1/ryxb7gGu9988fNw6FMD2+u/TJyeu+1N0159/bCz9Dcey+8LO+a+3/8R/r9
N/oCBL/7+vFd2VRv3/rzxOHdlz6kh/a7u/I8+n/vpRdlcJ+xd719388Do/defPKDVfIyqn/3le+q
QyxdoNZ+88ZfGEJ/zeWnLxSc71+Bdvy9r/C/8/yQjoc4/uOkqQ+ldOZn3y/Ml1n2X/dSGHT/4qUY
XL77pe5+cAq+sBJ+fekf1Wp/siu+r+C+sql+9Gevy1PxGw/x4a789/8LAAD//w==</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538DAE7F-B7AB-41C6-827B-EE90E3A1AE0E}">
          <cx:tx>
            <cx:txData>
              <cx:f>_xlchart.v5.6</cx:f>
              <cx:v>death</cx:v>
            </cx:txData>
          </cx:tx>
          <cx:dataLabels/>
          <cx:dataId val="0"/>
          <cx:layoutPr>
            <cx:regionLabelLayout val="none"/>
            <cx:geography cultureLanguage="de-DE" cultureRegion="CH" attribution="Unterstützt von Bing">
              <cx:geoCache provider="{E9337A44-BEBE-4D9F-B70C-5C5E7DAFC167}">
                <cx:binary>3HzZctxIku2vyPQ8oBB7RFtXm3UAyJU7KVKlF1iKpIDAvgTWz5mn+xHz1j92PSVRJWazpNKY+mFo
JiPFBAJwxAl3P348kH+/G/92lz3smldjnhXt3+7G317H1lZ/e/OmvYsf8l17lJu7pmzLj/borszf
lB8/mruHN/fNbjBF9Aa7iL65i3eNfRhf/+PvcLXooTwu73bWlMVF99BMlw9tl9n2O8eePfTqruwK
ux8ewZV+e311Fw8PZn79anefm8I3rW3MnUW/vb7ZdfevXz0U1tjpeqoefnv95IzXr94cXv/fbHmV
gbm2u4exlB8xphgirsIuRS7ir19lZRF9OcyPOOVcMoQJpYS7hD3e+nSXw/Db3e7ePn70nDWfbNnd
3zcPbQuP8un312FPDIcn81//6SyYtvQ+T5BX7u32Vp8e9M1TAP7x94MP4NEPPvkGo8N5+tGhPzXu
yXMARMfd/NAU35uWnwRJHLlcKMLUZwwOQJJHCLkESSSJVFJhJh9v/RmkH5vzPEqP4548Hjzd2xcC
0z93TbTrHufqudX70zBRV0kqMHgURlTSJ74EMDEu9z4Ev/GBI/3Ylucxehx3gNE/ly8Fo6p6KOaH
LHu1LoqHponB+3+tZxFXuogoxN0vsHwT/tQRdQlhnAGcmLoQBB9Xy2fP+uejdc5ftO5PQHz+MoeY
rl8IppDadh8/xruu/cVQCoyUKxlXgJkiEAW/gVIeMU6JkILIPabYJU+h/KtGPY/g09EHwF1Brvqz
7P5/Kq9pyGpv9j8eHufuFwRNfiQx5nsnczmhgj8lIOKIY8oodxlyMSPKhcOfuc9nD9xb8/jJc8Y8
D9fnUQcw6eCFwPQ1Kr36Z9e2/5mgSTnCWFDElQKne+Jp6ojQvR8CbFIxF6nDVPc12v1V854H8etj
Ok+vcwDrPy9fCKx61z5kzvGuuG/3AfS7tPvniQtDwsUICYUAUfwEUHEEhyD9AfsEWLlCB1nwZwx7
Hsp/v8IBiPr4RYF4ZX9QNv00fpDcpFKUUiZdVzxNfRBDEcNcYuJSAj/xs/j90KbvQfdl8CFqVy8E
tUVjPpRdE30v0/wkZBycSjJXMOAkFNxOHLicqziHsg5jRSHCyoOSbtE8mA8/MOh5vP4YeQDW4qXE
yWW2a7r2l0KlJEJUADdBiGCJnkCloDZngmEXkEJSUXZALH9szvNAPY47gGn5UiLh8qH41//rfy2T
xAhKNc6ocgVwyqdMkh+ByCUI+BSESAiUh7Uc2PPxe4vmT1D6NOoQo5fCJJfNrvvwr/8poOZ+s2zM
Xpk035ujn46BnAGzZ5RBYvrsOd9UbAqov4TCgLqcgmvBr8dbf6b+3xj3eOCvVwBPBh/C91Ii4aZr
dt+bmp+ESxwRSFjAHzj/JJZAoPsGLrGXt1xFEHaZoCApA4n8tlL7kTHP+9fnUQcAbd6+EF5x+tDd
xf/6b/uQPc7Vcyv4J2HiR0qBT0kM/9Qzir6QUElDfGQu4Rwo/+OtP3sVmPRQ/O+oxTdDDwA7fSkB
8f2//gfaMPHjlP0CtMQRRcAcKMj7woX662npJY8goblUAWcH3ZgDvX+89We0/oI9z/vV14EHSL1/
KVoVKHLDBO2zX9Yo2/dgoMOCKQayDh2xp+xCHgnGIZtBu0xgOMoOktWPzXkep8dxBzBdvX8pEdDc
D7vs12r6EACh2gV/kVJy8al2+iZPSdD0GUGgJYLm/0W9+jZPnf4Vi54H65uhB3id3r4QvM4+/Afg
kgx6l1QiCG9AHyDEPYELu1IKcDpQgKmS7kEE/CsGPY/WHyMPwDp7KWBd2aNXy12W/eI2y15HYoQq
hBHwvadakzrCAik4gzMkgYVw0Ia/9a6rXZHav2DU85A9HX0A29XyhfjYVZmVNu6+39j4SVIojrBi
CqKhC/QcBMKnGgYohFQJUKIAVQAXJOAD1P6KRX8C2R9DD/E6eyF4XQNWv3ojwX6nAAe5gruSwJaC
JyERFCfY58EocEJQDum/hcS/YM/zWH0deIDU9UvxrGtzZ4rycW3/AvbOwa2g6MVKCheUDCqeACWP
5F7j5QqIIRHYhaPfxsJr2BNl/hfdy8dxhyitX4g/vW1+rcgkICOBxu660Jc8FNqhwAKRSUHUw1wQ
Ar72FKMf2PK8H30adIDO25ciKt3ssp1p39wCrzC/VmXH0GEE4i6UlCCyH6pL4F6gAgqBYTMA1MoH
NPCzVY/YPefZz0P1OO4ArZurF+JL77voe5Py0ywCgXIE+0Hx587/oVgBzSwMZRWDQlkq6Eg+3vqL
WPF9W54H6NMDHKDz/v9qPvpWjHiyI+jnd+1Cmxf8BYj4ftPunq89rZlA+YOYx6CwAn3dPWj47kWF
T3uL/9ye58H4OvCJ8d9sVv7PbGf68y28X7c2+zu7Cz7tif5mF+/3j356RNi9fTD0e4rR5/la3//2
WlAqBYd5/brben+ZJ+n9261JT4Y87Fr722vQIYAvKOAGgOOeRMDFhof9EdgRxV34TCiQcF3K983f
omxsDNu1QS7cJzGQLsh+vy8D4Nuy+3SIHxGs9qoG1Mt73UN93Z9+XmZTVBZfp+PL36+KLj8vTWHb
315j9/Wr6vNpn2zdb4aEzQKwKcuFZtl+3wccv9tdwh54OBv9VzpImbZqxtod/VSFC6gI0209huch
6sJA9DjRNSs/kipDy+RDneF5UzXpIu3qt8U0pZ5tEhYkBmcaunVsw+fuhhm/GgZ38c2kPmMpgsh/
aOleb0N7EYFABbN/km8snUTTMrekWBO3m5cNn5c2s8avebYuyw/SjdDJ0PVa1SXWwsmMH+cjWrQ8
WQjh+h3vvJZHVv/AKiioDq0CB+QYtq9B0QWd46dWhWXdGiIM0rbFKqBZ1OkmPrYjGNH0bueP0+i5
xzZkg4ed6nwSqvqBCRAM/s0GaISCugxql4RtWHtl5duZiSjpCopzV6MmSnSf9sgrS2q0q3rnuMuT
QicEaybi8UTm88KI5qOc553pUb8Jbd57prjoq60RqvDmGKVelpeZ3zdzrAsnmrYwAVjbhIggabtq
O/RCp6GM/cEqunDaFPnURslZUY1L6jraRPQWRbL3w2qONHYN9yIbp35Z3+Vul3tRWL4lYn6vwiyI
By70xNFtV49Bbi3xQiuF7lka6TlN423hLKENMvkjIdsI+J3HI5l5Y43JogopWdVznfm5LJRfcerV
eCw3xWAuuGi7RRP1p9UU3hTzZP1ccFe3bXLWdp0nG8Q1qd3LrAm3RsW1Nr3KvHjCqe4jYjVKenM8
57mOVGnPBxTd0AmH/oDq64K3t2y2aFnnzg5wWdk8d09QOdW+u7/r1O1qqPfekoku5qjYTTZlp5VJ
mhtO3HWBG7KWwl4bVchNRyPkuZHb+3FM4nNVlGY1sW1X19zD00i9OYmnVRUzvkAyWc1dTrXb9fVq
bPvjmIbLhBXZoqhYuFFhKLVpRKITZ6R+F4VMUzJtSJba49hRi7FQxUYO0SZ1m8qLZmQXWdiFZ6Gh
ow5Nma6jpFn10UZFZj5FBpzcRWZj1G0SSeWZdhYrnpOFm2bVtsFxVul5bFaZQXg7Ih4w8VZFBTkv
61RPrI3Ooni+yZOx0G0F/pHlHVs2Fk9rZsRm5H0EZ5HBawsTeUUto4U1zOOZ2TpWuXocFtWQnCcp
KrxqjOfzkqaLBreNx808e6DR18eD5MlK4IL6vQ2qxPXjhoRe2bfxCa6WE0zrcjDJcU3RFFjlIA/J
WZe1ypadUpft4HTHpj/rs0U65sZHY17ozrZGT4PFXr2PabyM8Ya3BJYyLzdlj3zRtrl2eONhM9dr
2tVbZzLtaaJSuR0HOCRbL4aUcjsnxt26Dsv10LbwXE4El6w+jjmzHsny07KTzqbLimWaNvEyDGms
B54OHnUKJ0jjefLEqJSvsoGe9SgoaNJc5/nAVyq3RDsoWsTUnbSobbi0CvtDa8sNUc3sDW3ea5On
p66F6SgKhH2CUhEQVHSalt1GtbgPpsG0WlH3vrTpirVOflLmU+gb3m1pWVdeORXTpnSdADmOXDej
6XTXMXFB2u0cOvFpOG64GPnGKfJznpzaGvOF7GMDj1rdGFhKWjlCz9KJdBmTWVNateuoeZhIwzzc
1NIb4Pm8IYLwVCrV6JQtJjR1QeX2RWBs6Ic5vatTlPmdGsDbynyL8axNGq5SZKe1O2OuR59Qq/yw
CK1H2VR6eTT6ne2mReg6SuNyCNzCcb1RWe7HiE06cqJK52ScdK7id+XYeKLEY9CMN0XEwxNVS+Hl
ifDk1J44tIAo0iflZV2MuZYR6pZpUl3i2llCsq7hOnDLycStL5L8Lk4K46UtmvVQSbSksfseF/V8
EprKr9qMBqM0qW5YKVdY4nGDaB1DXC1cTbhKvAk3URCz8bghY6UjM4yaOl3th0xUusFVod1SLeKe
3IaJ4JoN4YciQRcIQui6y0wO4atZSKSjTnSBRMnoDyQd9ZSS0kfYuRaoPJ2c9pKVRXbDuv6+B/RS
GXuNrZvA9iHWLZZ05eJu9sHBi0UivZZW87abm9+LJhTLrJvLLU46cQbObJquCFyInp5HHPU+q7Nu
WUUp9kZblHrIw/usHUpPlnj2wpl6Va2bkQRZ5HhuVusStQpSVFTobOrFqmzidR0lwVgmNzbpcUDK
Rmkikg9SRauoK3pPOoqulE3fumniwT6TRVVnN5m8rufZWWB8WztpA8unSBcEO26QqzLz6hZd4kHq
oU/YUhLRBG3YPphqNMuhKM8GlLYLt2kSHVHlObA9ZeVEwnidSRvP7ZNxkUkvUXV/OkZs01bVsJyc
+rJJy7ctUfYsbrp1epWl86YgcgvJiEPAVAs3sztblTiA9LPKcZN43Tx2Pp8sTEzRmLVEhi1iYvsg
S93YiwYXinHygRbT7OdDUuq+7SO/F2NgZQdCcj+Ck+De52mt3Yya85Jk28hkmZ7a4RTcONXVLI1H
I+qLrLho6rLy3K4CPuSGjafSYwc3D8K0ZzaB4FZkI9fCZvepGqvTaey7wI37Xru2fo/rufMrOaxi
NQdENo0vqmzQjroauDsEik+zh1p7PNjmXpRlvsiUva9HsUNOKTdi5pfSQQtRWu3W0XvgaStUKKvL
qWohnXVEI2R6PzVZuuHmNLW08kTlfJhDxddt0b9jWDl6bMdlPA6TJobfxnmaatkkNpjQGHsQnZ1T
HIpOyzz1c5fHup2AGVAByTTMxXVNSO1Hzm3cZaVWWcj9soV8H3HIfVk8nKbdcZph4te0TC+k5TSY
ciAHnc00GuJ8leXp4Nc2AjrX0yBhcCfFhFzi2LwltOnOesdacOHmzplSc1wUTqahFwlYDa3ZClx5
s6z5GrbRuFrQvFnMbhN7XVqGuqKw1HrwbNkNb+WcennZe5WL55uM4XkZqrrTPMxPa2iRnYHDqrOK
kcRHYU28BFXGw3U++/PcQZCZVR9rNwVMiqFdMzBYJ2goFiMbe92kKQ5sGAx1sqB5ekYHpHPGr/K+
eVuq8MMQx29TiOx6pBx4RdOeNDkQKJY51m/jNtHK1BDoi0F3NbBsd7h1U5b5tLGjZrXzIOZ1kpJF
q4gOk/iYyqVsyniJ6BSvLHDcCnM/bUr3uAqnZWEQWYF2mq9iDJkWOhirNBt3Y1eyVQMM56LuV2nK
6VXLykwPlPllXPhkYuwimxO+xFVuFi68Nwq5VC7Tqim32RjWqynt28XQOMMqyqMlrEXkGxEy34pZ
6sScDFHqwmVgFaoZcsW0sXTw8oa9UwMj2zxnW9Yk2XXjTBeFgLRAkkYEtZxuq9AYnfZN74np3OZW
nCYjbYmuwtTP9rmjdHmkqakyr6jUfZyis9iwdWYUXL/sxlU3OffMGTK/7qZGR23OfRb3wZg69XFk
0zveMeLTQUEeYel4lQ5FMOTNBgPT9NwQYt08qdmDj3dNjMutHXurw370MjQOPjZ4NeaEalNKyCx2
CiQbhgARW+uiIXPAY5bqvO/J8acftYnjRRyHShuWFBd8jE9hOfTHjZHrqYGVPw9lD0uzPXZmu4ir
odUkKgbfum7ol7iQWtkw3xZiPnXmJPVmzC5Tty51XTRnzr0zqZO05BBrWZ7orAXD1LQEin4dKXqZ
qnQJPobWneN0Oov6q3BugSoXLPIiAldz3AjodnGfJdLoYSS3JWt636HsmPMh90wW1hqp4RKh8rqP
2KUivfVrNQVDht9iBqlLcDxoM7ZWMzXJRTaYtROLygvrIIx5shQU6lvqkM2IzrIwrYNZ8sJPCTBv
ejYVFjh1lFndsqr3eIoiDVSKLmBBXljKf8eZVHqwFOY2KleVk+Q6dxMwZ35HIU0V1Zb1zcIO4UIU
0bUcu2RZYOFqNa/dQaZ6LIZKZ7iSmoyk17RhN0NxVtDq2InecQcdw1LovQSqWqDHbMEzdFynvTod
oKCwdT6Bh/QNZHsgiFUHnK2eIS63qbkkCHwRf3A5sIg2FpEPExNrYttCozqGRCgyL4vUrlLo99BF
t2BZsnD4AHyLj8TvelhrhKWLpBkW5RQSPdniZnTYB0i/lyIil5mxMuike+eqKddpI12P5Ju5SIw3
juVaVjlU3EBVANBpIbr5yg5oG095D6s+yTaGNnxRcNv6cTZYrxlIvY7a5q1wuu53l+Jzg4+7LMl9
kLwgRSkm/TJPgqyMSq+bxtorLN5Yl11gXlvPJbC45mQQnrLqDPiT1YOSwRBGja543+zPbjRqIWtW
p5Ypo0VXT3o20p/dHCpX3fG0g+I0LCDW9KfdAGh3aZbqDKhKEMsgiqRHm6bWg5xkkLu15rMZILzx
eZsSqGpkWlAvZFGqyyLJdCKj1DcsTIK4gMvnalG2/KLJ8zUhebjnuCZoI+uAMlJ2MH3psPivEGW0
s2mNNOT0jwb2GHks6UO/2i89kPg0Ds1p1otrVSi0+C+eciFxg0HRIPONnMbLokSl7zRkw8DFK8ds
XIvPRTgUHommNSmBJX5SOL5obV+El8+S0V1ZTY2J4i/favD1z3+sgsvg0wv2f3y0/0qEP/66Namp
Hu7N7rtnnVwtrg9P2Nvx9Tpgxhe79irbkz/+TfT7E1nv89cy/MnBJ5rfE23zUcHei2IYQ0/iz/W+
L+LoqzevrsDd2of9f3qoOR/+2IT79SqfJUDkHsEuCtgjAbIVJkpQ2DT2WQJkR0AcKIPtSdAFZvDy
FRz5QwKEju++UwXvIuy3o4EI/ygBMniXEl5/lSDQf3pXkvyUBAhK8qGAxEGQgL4LmAavNkCH86mA
REwb1cjAKpv71GNAK7W0ZeyzGf6Xdd3p7HywtgENSIZok8me6JzG3JtDPOnePTX0OorK+bQO8ahN
0UChPTKsFR9OBL5MbJZrVuR+A++mBTWNE5268l4m480s0hiy6NXU83A1lnfxXLtB0ZMOohh+1/Zz
uW6qbgl8ONHOCIm0rUS5zNw58d0M4lgnQW7DDVdLKhkQy7xbMdrNJ100L0ArS32WUbFETbF0mnz0
+nJiXl44LDAjHhfYwbXX88GrCue8MiFbzaiLtKynVc2N3bZ1voS66qSOULrondTx2RR2Xlnb2h+c
MtYI528LIOqbuk2kLqZs9irRaqfuR9BzIC5BwZpazyS2AyUo/4C5OhuicFxGfCz8caaXY4gfqnqv
g0FtHUz0uuM59kjaa165ro9HbjXPkoee9ndASi3E1N+d9BhxiyDmQ5LBVm56zs3VgKQTVP1AfRrN
nrAD0cC1ok3lpB+6ukIr2Q/vRu5Uyyac1jIqHa3a5szmCdiWYeWxJlvUXXszJvXvcUQm0D4S3dZT
tBlS608Djz1bQbiJXQScIDwd06QJXAqBp7fzemRQR8U98IZOHDOxM7gn22k2V1ENstmYqhPYBGF9
aYzr8TbxB5QVC+6MNoibigdKDm+7Zl+/VJDt3cFp9UxGzYe0vQTH8uC7MPRQsvksxf2q4+U2yvNJ
T4rLYIo/0CafghTRy5plo1fH4TZP8ELlJDADWuTIjf0MlClgNgRkahK/DVFtgOUPALhBp9ba66Y1
kMo9umBRNAXRu5pBLO5Iu+5NLhdQBPVAdsor2Y7vZd7Ovop7EVCcbpysLHU0uRFUHm577vSlthna
utiBcrI0bNmPdFzWIoLiOlfbCthAkIXTKXHjVU1Do6uBxCBAgc5eNjJekqGgQT/cVp1A2g1ZHFgE
agSTU73Xba4QqYrTunJP2xg0wYSyoOQVWDBQoBZpqKGsyqEoGIyPCydc1E1/ayaSeSDuCh3T6LRl
7wQdr2YQ+re2VG/TPBsvWCTu8tnRtou75USxFxPg0rXFkJAIJOdo3hfVHZ23oyAXrhO/r50LPDPQ
1Vr3Bvd5eGzc4cqZ+kVbFcM2nu3gZQ0/HYrJrpjtQTxpx8rj71z4th6vH1TqFULOPuucyZO9lath
Pc6D8eIcbU3eGq/tx3hhu7I4gfeTVyhPQcYnNJCClcDqomVYVNNFXoCGEFOkQ6ieQP67dGDloDYZ
dD4q5HEWAsmrOcjYki9LMwMPIsnSqerf+5lvadr2K2qrC5G0D2NuiyCqR3JcsblaIJtGvqVACxoH
oGymYwRq0DmsNAvPHG3ntihPMuB06cSg9AbRCXPQMYHVh7zDyxAtCQFNsykU9RG5rypQlt0wLrdt
ywc9O4brOoMYYiPgrqMrIShGIIzVg5MGsu3Wowg/EJ75qqd2rSR/m9DyNGfOtLJoPgXSEXvUluvW
jUH3yQPmMCD3/li7467qnADLOvIEHsKAQciKZmtWdmp1Q4ugAblHy8qCOGdItaCou82T6kMMQ9Zx
2OoyOoudvga3V3LJWX42g8YD2pl9X0a89CH0EG9qQSxXPQRYCeVWB7BNzSVrQUYvgFbXBkRfp09W
bodv6nSTj9mwcSTU4aAkh4GaxnbBx0nqDoPQy6GBhPIJqq99bBgANmQx6LoduRfIJBD/ahD45wBI
TryBFRbrrAhwWTJ/opnri7G8pV14EaUCWiyiPUH1uDF5tEgFPEwDyuLSSHRuTF4s4nIadJv1ja9m
prNRnDcNipexeqgSOG9ErNZYzDtot4Awo5qNzKFocyIKql0/3hbhKp5s7tdVOPuTkZtCCHPWc+dc
wDdNeWEFcsxsuw0fjIHJN2YhsjQMKDI6dmy/ZJAeQxDPGXwAskwcTC2Fmr0JrRYctBb4uGTj7JVO
DVWmURDGk3CTOVtbuOlyKkZQYbLEgeKzx34oaBPEYQiL24AU7wjrK6jBCGuagGWR8BwodJduO3Ve
DnpgHFVQ0YrR0UnN1e+8vpucaTNF/UmuCucSCv33jSOYV5HOQBuB2Ku0bCNdKHnMZrXXcpkvk3ZD
QRNYQkkvYX+oB+Tb+mOFGi9p7TvJxjWExdZ3Q8i/beZc9mi43/s7huSy6m3vhSSMQfA2vmOg6hsR
vc5lmy2myJwIB0QXOkFHKQEBH2Tacm2o6UHfQkKHJbkpwwJcaGqrRYSGJOBzkfktkeuk9O1ETvq8
zfystrCqcjppW05Itwi8uZxcD6fSxwkIUJSb/h1p5qVogPyLW9zMIA4nFgCuGq9uiDydoABk4/7B
Wld5dOqKtTMD2c4KtpuhVCpoMS/jwX1Is9wTKfdtKAe/TLOgCFGlYbc6Xrom8sMZgQyPh5u4lHgz
4REKCNDgWC2G1QC1TGjYx6SxF0xMqx7+VlVR+PsDJbOzD++pzp4dSe5BTxTUTkhSXhx1lQ+nfkgS
umrK2VlBMyk8LWW0dTMCfITUkR+NxcWIksaHvTVKI2uXlVN01xO1s3Znp16IKQOpDNZrN25slYcn
GBiZRDQP0iHi0BrJV9gZ+gXEmlZDO3adl86+kTJfTdH4ew/TVbdpAN2tBiqq8hjunHjZgAG8sGbe
OLgIhDLgRKllOhG7AWKPT4AdDI4WmbPJ5dBAAe6+bXvReXYwm7jFXeAkZQZ5j0ODLxniZZ6h85md
uE6yT+z1cc0Q6L8VhgamPFdTzEAS2JJWyuXQqgnuU4YQoigJ+kmsujmWmu8TZG5VYCAyJfmwrZUB
iXIuPXje2Bd4xXL3QybD0WtmyMNZUwJDEDtWQNNyqNJ8n/9PzeiOGyynY47HcSWnauXGU70mQw7e
bLxeEBCeq3YLumHjQ+8BeXPueEkxjifcKY9rZzX3ILBA+6jR4zzClXuI97DZM17K3O7V2QGk5wh0
2vEY7gwdQAdCbNUnGqgVPZvtuGxzC2ppW0F/QHFoo5U5qAlizYU1l03mXve986EL6bC2szN7U56F
HjQFa0379ryaiYKAx2Hy648g28tLkFrlYpoj7BeTgnPi7AI4ntENmdpFE4MrxekJyMUxkvHalFC4
EjLcx2Y+zwS6n8TcetMob7sQOlcudEfSarhqDbR2MKibYZTdQr+guDVOf0WLJQFBcO+lWexs3H5a
8pBDbwvZO8RAxxD5plLs91rKTPcJ8f8/e2fWXDeOZes/1OzgABDkK6czapYlWy8MybJJAiABkAQ4
/Pq7VFl1O6u6uzrq7caNzghnOGwf6YiHAPZe61ubfRTe8o7Cc0g8HOBx5EoxRHBg9+AaM1NuWA0Z
D4exiGulDyw+K9g7A2m+UUj5xRLjVRF8xbIboqOGL5mNOCpJ/RYDsIUDMq0FWp9y83eZi9V0mWlD
XnizjfKF4M8cPAoRb+KSkN6ibqMnv2mmPNL4RDdeauRboW/G/UENkMuaOnmfVKtzJJGHSxoMYakC
QipNU5VpdNlX0qk9b74su3iHoMfGraBp0pY7dtZHo+njpKW99BZXKHaJX64jbW6iZb/MvkwePIgY
/UkbKi5kC1AyKXtY6fLQBlvRSMYuq55xyPZ+WUf7dhQ8+umjUHRs+J7E3q+UyQPtR42tSL0Hzpjz
OA13ky+3C6m3q2mHD2Zie+B+ej9Cnzzuq3lPbOyqgND5sNrteaYeTHubt8vul7O1+9l03nHok/Pe
N829MSYsUZU8YEjM2y6+HAq94VxaDE5Cfgtg5MlJVRDW0rxuAnReC93OO0rwhAfTKV3jFYJW0xxx
onWMfH61ixbKriFFsg3LA2G9jybJoqMJau/oB9uNp2fIOFH0aSC538YBaqA6vA/mnV247FixdPNc
dAtUwzYMfvS4zTPWKr9MnAdTLwkzE6TYhS1+WHlsPc2ujQ/rrokaNDh47wtM70QaWAGLuId4fVTp
OGWtGoe8Dta90HL/NuI2apwfo/H1X9pASpiPTdYtOJwsmuYsSvq03FkepsydXbPkYjPmaGT9NtIx
LCcIuQN1HxBi4srTI3qcwaH9a3cIkiEqAghS1kGM+/KjOrtEh8DtbdHQkk4TBKuB/25nfBN+iZy4
OgYVVq7JnM1ucBkSayWPI5W1Ddq6jpmi3bbpMI7L2aKSO2/fG9632QqtNJNsfbX+AsPmIZTY9kZS
+DBkMyxRjb656IKGZZGCzzz16q6PWX+qo/lCmY93gatOra0rG3Zz1g/xeG039gJfEVd/WrCSPJNr
sZiMU9wX4V7/MKQx19nGEAywUVgzWsgH2MVnfRetfntaawrXDt6R3752/YImirBKjxaa4Dqf/WRA
efjUyDY40GT1cin5OU4WkCJe8nP1fA8niYQlMuBO0PLTa2BmJdRw8Enzl8YNbVUmR9DDF5zc3xqG
CsHhRHXjpOE1RXW2LFubC1wcnXQkT2ZqCo4lWyqFbdJ4DQ7PUfycxpZXip82+ivweM7D+W5ocuEN
GaSQ9UDp0haR5wnshPuK445f7EjulKEkSzr/+9jb57GbRB60DDWVjX97CbaSVMamlHH73atpPg7K
r2K6nhfZ3G8DTmk/vomHtC2AyOTEBRSlCrCAjR/14ke4pS8yktMlVexN9I9T+muIs3acllM8Wex4
HToNPe+8HNT+ySepThJwVUHBoWWW0ARNvztZ/1vqos8piX5jnOoh3Mc2G33xm4gtOvAIx3MLcGdC
aYTdYM31uFwT7VfD4vYqHePM99aq3mLY+XP6jMu9ZyClvCxIzAQTU96QsFtLVfM5a9aIFcHO7xK2
HpVuHpf1wFM634SGnAfnfW4k+BF5ybOl+wagKUDjD70HDl99hnZZ6X7+ufn9ewqXbcRS4nOAla3f
JCX3KuDdIWkKQ8N7pb1Ct7CFp/GyWXAfsedDnEp/o5Pusnlu4nyouzTbt74kVj9hXf6eJ1iJfufg
PiRzNfRqzxoW93nd9b8mP/6JybE8H8SrHPEJuy26ZWgzhiY0lTd+1aY4rCOQQdWy17+Devs59fzN
LLZIVPw80KlGBxqeRNyeUCfqyi3jlo0c1ZIXibxp6qDcbyeNn1Ug9VhaK+/aTYKvwRbcxRMqYa+V
x3Bpr4LkTq5oeofuW5p0Q8Y6b82iXr64Nm3LdXGfcbPLYic13MTpLZqipZChua69FcXW0GqcrMig
E3ol967GxvEVepiC5Ii/Db45z7yNJLlv5uEm9biGOcF4Hs4sLHg9gdjBopEYfVkJ8lMOia76yF4x
1+HeKV/dbAP2hCYNx4rAQpPkzoSfctPPqxcCKWpVGc8buW56K3Y1QWhp0jLGljD0IH261j5Ppd/v
51GiK4oar1wactg26C9EtjhOR35aFl/mcF8Bl5jnXfZTBj1/qHot72XM3nDs/pLj2kBnIlO+0OZO
z+BGVBuwPB5tDftSZv2p7RZUsgItt+ddUXb5RadobptIVsxNp7VRxernXlwHOffliyUjmiy7v9N6
yVwfBVfoUQfAb1mkWXpQ1IVnmbrz5tf6LKgnS93wC4Mre54X4mXD3peKzW8tGbcD6/YoGyJ8/iwS
aIHD+mNv63u7Hciu7dPYOzRyK+mhJ6g1m4WMj6KLotzBdXB1sOR7xzIvJAotQfN7xfHf9fLM4Am1
k00OKyGZTNAekHE/tTjzi1Z02IEcJKXQHx//Od4J2U/NUeELWxci2IYsNCq9NtimBi+963d3TaX9
wTbwWJ3HsOey4BAPz9zM+znFZs+G4UbwSzwPomxFveQYUPB9X4cR5p6UOQ5Tlm/L8nv22Ns+xI8t
ZpHloX0aoLcW0HWCbn/t6zYTWnQZMX3lgz/AW0oe09ocwLAu91/a0BdLQoswWQ9B77sbMeDwWfyJ
FZ4jebu2I+rlHYsGy00Dm8xXuaXFsJoSGx0co9STRSSbZ+lNfQ4JvgE26D+1SQLVEhV6nXQAkDrF
0WyONPN4CM7PIw/d8tpGulCzlhUkcJf/QNcPxoWp5S/3VTAJuHYCVjGmMuSN7CEEbO1tIGN+HQyD
SswXnC4WU5AjjpsyURebtutdI9Bsk5nQbGlh4fS7r0qYoho9HXMFrbWfS+b12R7a4ThjnFTpvgTC
kCzluDRd1QvAC1aXk65lpX1aV+nqAboAykLr6XHX7XOQdpfQzAM0Go/kQaP6guuuaMRwH0Ruwsa5
oM/k42FaBEqdRr8kNYjNFihbsFTrtlC4jOjRN9UfYSXcMAPxPuwIFrsjgMeqbky+Q/6BZWAebQ0T
cmBpbozeoP21P2IIalno9scuGNE5fhU7yR1qlQ4FHanaJXiLA0hV+xDqDJVDwfZ9RfXs9rxvo+/C
PKDDvRn2SDwz6iAGo9xZXITjkv1e11TnYZN8t0H9tE0sKqS3dhlsv0zVSTXC1Nd69QvPJqg4/WpP
p/MQ3DRTHN7ta39tFGw+6vrm0k/0toYoqudAHWfOfostKHyDDS1O5ho9mfe6N1NV06DO0KZ2x378
3u/JG5mGd725zDkzFr7nfhibVmHa82oFpJi1gQGA2gB7HOJfaqY206OjqCDbpeq6b0zvqM/sLdp2
BamjPUPx7HNNF5nBkOfAPabzHpip3HEeZ4S2fRX5ULaXBfyBVECSCHYeFyRrjjpJSzLkTZuGuSfl
47RKd2lc8igUG4vFolRZSI29ZsV7I7uPj1M/BU14DnT7PZjZNTLAQVOghMPFKIcbdkmAOEbbdz+e
Syf5pxkT9uTDxM3ssCzZCPVINGlc4LOF/MXDnHbz8gEBzRJZIudT1JKbqyNtk9XeCC1g4OLAFvbS
OYMv0eDsS7ClDfsbX8cO2tJy1xgd5iKwL4hN+jhp1w4HB5Z81AC8VByKku9ZGLAdHAGnX4wElrWE
7cvEgXB2bBKP4Ie/TcP4sf72W1aNWjZHv/um06i/DmzEvRHoBr1yoqoNG2IQ8OlhTOO2or4DepfO
l9Ta13GOurOHZrAMd1718eK9bt16adaZlqQBIjB4bZtHE1lu9IidLaJgnunSH9m601K4EPqLBwmd
NHb9DvgGVlf3rgbvuBD5a59CKGBLMt252iv2zrz1KiggffVXPQVV5/RR+z09mKCeb+RtgO6zEGZy
D3W/KEB0tXcjG6CkCpeEA8fORbTE2QgZK9Pw0Y5ORi+jW6qNmptpr09tr36B9qrRmOG+WtI6Kfox
8NG5TBHoWNedGL+tGSAizyzxeRhnKD2dKGVrasj0kgDO6vd8eGf+Su700kECel9VvVRxEnxQHmHr
cl4R8LSHbRTZXIDdzMdx9dGSTMd4mSqBDotArdGIuhQq2H5Du/GyhapzjVY8Dzl0Yd83IF8lNOYu
sHEVh94R4om5sW5+ki1kPobCIdraNYde/kLU+FNoAMBWqSijHAKLSbo9MwJ1igDapmvsuWssXmq5
PUVuoCfKITHGC/agrtYMrs2DJu6O6eF5xHLM0lqhxVSDPoNk7u6IP2yVDgOUYHP4Tcjj6ODWb/0e
5FQzfFw4gweg20Wq6x/OgxLvuXoAg9ybksJPGrCYVlRpXTBlk08+u68VHPEIWFU0FGnC98L2JsDm
fmpt3R8Mj57Dfovzft1fI6ZNbn6LSD+21NwOfa+wNYKbAc37sehPAAggjB225U4UzB8emQOGXQ+3
Pv8i5K+hko967X+5eKqGWcH/sfWPQJEAbhCsz6hLMj9egmyL9LMFaJx1u51zuNjXZIZ6kjbuZYpp
adhwE/9AAxL6x7FOftkAqgIa5W14dIb+NLFCsV5XfrqeAAeeWCyOc1uvQJHIz6gvuyim2VxGO4qD
ifTvnSXfcUtvm8KFHSEv0dvZD2zZOfVeJ+lcjCq5DXRJUq/Aer+18/4RbG2hfX6rhsBmoKB/y32l
ONvv1324nxA6wYGO7TcaxAnAcXC7MLTLcGcm4dpKOt0dBR29+/rrhwRQeYg8iqMDY22xG+n9hdXn
1WlgSL2jkLDheq/a386NmH84bYqdO36ea4hrkCpvLN7owe/5CQbiaetZe0OS6YefjvLcosWYli0F
ZdOmxQxvCJ19p6qldUVDlhH0dTMdXVqjjJ8opBFcJR962WUck+EyiYZA8q9V7kU6PkdO6S/cPEDr
wqZzzGMFxJmMxWSAH7P4qW3UO7Iye2Ui88xZW/rxTm7p5k8VIR3aT8hymQjFdPBJjBu/thclyA3K
1TjjPPIOe5l2KIha6tusScR53Na7TUYPxEdt7KMWP5nU3i+x+7EneTvHPKPtFEPmWVEBRVgYEz26
HZaKpMi/zKrL1cJqFDVEFCFdYNQ3t2Tdy015e9lGAZw+oE7V6KP1HHt1OyD3flXcNFBAmT2DTR5Q
KqDagn5w1EDscr/FMT/FjyoYRDEHcwBIB6Z3yuczj+ZvflufUUz5le8NIp/WxCvqcT32jnnAGCQi
OGsrcrfZC8CHDZsR1tOGo+GCYlBlqx3CQvoAKxfc4ULD/6zbmmWMh9/squAcCFDp9dIUaYgG0qxr
0SWhuDahg78gVrwWpqtZZjg2iSh79NXoYpQP/3rnuWtUc5ta7Ppr6FUq6Z86X47ZGKPH12PQlEGc
ALen/sdKB1VGAzxS2PbsiJviGEkPR55X39Re2ACxzwmq7CPZ+qD6ggvY3uoyUKbOJmte5Mae2m5+
3j1mC0rbj+7V9DNc1ihxEGvXqWh89NxSfJAQ5hDTXZ+lbfiDTuNpxz5V+4AwwnzSZ2AR8Wfg/RbK
T5D/6TYs8k88BeEVfoGAB7S/2SlpSowzsNmmD61tYOm0e9WCSaLC0QeyzofIrmMRztzD3bCWXdeY
t5ijHLQyCmBnLp9b/xsZkV+xXL8B58124kQ21+8a9cUuYDXGBiCqs7xCuTkepJse/RoXego4P8ED
eulj/U6RzTlHU/8rjt1ZWXD9oQ23ovVAP9Zgy4CLqW916CBfc6iwnXmFLIMuN2peRn94EZQ9e4Jh
CxEAg+t1PbExalFD8jbjUJ4yoCrNyeceDvQxKWbZ9HdDOOMzw/FVB9GHTdgZgOCvlOykBMNceO0E
qj+FUwjXMbHEK8iX3L/hug2rLH2qSYaupUgF5WiEiH/cqQ+zdQd/pzy0lhA750RAonQhbsE9fqaC
2DzaGS8DD5mUpumOkKBK0q7wRUwfwtSekMnjB7XBLjeUZWRo4P2bWUC1qk8om5MjLvqbi7BEPR7A
nU1hixKY8MvEc9ODVYjCzwWW/pn3OpvX7beXmg8FxTYbLSpf1/gI1S1UZp391avwzdSoLYcvzTUl
A8zBzESAAaG/fNihfoBQdOPVoj8A9YZWB+Nf1xDVQmuz3QJflt2R+Q0MOuQMAcFOGe6q/lDH/HPp
9YqEVvezYdKHDzs0UJZ51vqDvP7lf6i75HVyo8hX6hNIST2kXVDLFz63v8IW/s0+ao5GiYDC7uxb
SJtTEPLo2iEaE3bBLwzflRXIWppRi39IHCw/D/T/VcxwZf0FOjp8srlc9i8eVoSn+q1DsXw1/QDL
vH5HNZNtiasvjaLvPih2ZuqnVhGFY25FZdLc6gjrtUPogooXMPbYPzb7w8Ss2h30Jbe9WNbbXCbL
0xAS/jDhA0f3cz/zYH9ctLqt8XygikjjVTJKHolTOHNCEyIdgd04Ys0HUpwWnfPYQH81bbGbRRRm
2V2xWpiYdmC31Lnmki54kYAEoETc3YcN1GlHO+BYRO1llwB5GI24hJ54BVXEz6uZkLmJd5jzDM1Y
itRdxgmDTgRouvDHCLw2UGtH5cO87xA74+hzsTEU076xwF55BY8aAvt6ozZw8tuKjc7IfOwYIPQe
V81ZtEPx9hrgKAIqKppjvCE9Fa2VCSw25ZS+CtbjMCH+k4xAXYaosU5mgvBBXYWA21ZI+El5H8aI
VwVjCPmkOb7LgfO7sX/11gcFvdjV/ojE5/YJ0nXIJVJcCkNkS2v6n3zzbo1nbgDh29IFrSxhzNw7
QOl5wwb01PBcQWmj17Y0b9vuDotcvo0iyqZE1ZWW/oOJhjnTETIlo+dOykGLwT2KFe0v5Fjb5p13
o5eT8NH0EZI5BJiu8xBj2jWp81qOx9g37hVw/WUWCPOkCKuiCl7FZTO6bDZzj/b0t1Ftd0g7UmfQ
uSFR9V6I/aF9TaY5rJZhv/SrTUCT1XMZAtZi/DAP2NPw+b04syHiCsgub+360UdoGhcm38DARcd6
V9/m9bYPtvFBGNsdLEEuYU6GdztvPhrL7X1PZnnl9RYhiqCzr7SS8ey5C/kEExyCce59tfXBZo7M
LW+wVERl5wGaXbojaWdyP1z3jGlYpm1t26ye+yPXJKy62X+xW/JrHWdyxsNZwnJBUCrFz+aByeoD
Cye6JydA+O3NpPYfpKeQA2q2nN3i6SOm1HqFc8/kS0HuhqsHcCSvxw321IwdRJgBVqnJmwmBKjvC
LashMzDo0zK9qKDt3tCkQeClb7zpapAZsa28LTO+BM/TIgiaovecHf2Np8LceHIGZTTK684G9GjU
v7julnCJFA1EoSJFytQE88OUOny+cjvaega79WWj/5uivdnnFPbSbIDleCT9HGB2RnZ5gr0LzgkJ
FpEcpHJQ7xZP5ZFfGRY983S47g2CCb7Dzb5+Gahi/OGB787+zTK+8z2GHtTEoDhWiTYY/Sxuc2ST
UP7xBVo6yPkfFhIOXWAqxV73Mfn8qU/kfZiwLcOMtS+mpj8zCU6ZokO0cNVBLTN0PW0DQXh9CBFU
Oovhhy9Wmf/r3PDN3x6x9o/U75+h3/+ZLv5/ixv+uyEVf+aGMSuAwkH6n9jh/5hW+ddpAX+86A9U
GDOf8B8WICURnkWUpPhyf6DCyb9HCHgDB8YzjDCcN44AKf8HKhyGQQotBUzZHyMB/i8qjCEDKYYM
JJRhpgoAOfKvoMKYOvD3YffYZ3hnMcZrR5iD/jUb889Bcz17k4FJDXSK7ofeI2cqHWACnk9TchU2
ufq1Vw2W/3Er/fFMt78S6H8eUoD5Sf/p22JAdEQRm0gYRrT//bet6e7Hie4ojNO+ACaUzQyG27CC
AeQ5ZMvLnz6S/+LbYSLhf/qGSNP7QLNDzNfFgI1/GIoQinGOt2RBLiRBzQlC0Mts0LHbrW8fwz2E
Cj14v4TWCcLQyPv2KG3yTn+l/LbuU/RINYdyA2zUbcOZUAYg4aAC4yCzhEgURdrc/mppY6p19vLG
QLxs4nbEBIZxvYaSHoQMbuph++zacL4fevFzmBH7i8L7FG7K4PsodjSc5LUO0H3sW+GI1+bpCLsA
LziG05dngD4Me2Odhd6GLCwQzy6agtLwAbtJEOt8jfRp7vQBZwXIwTV+CzyJeFoMKrJWP+1MPtCt
1UQCU4Ge0nB+2Xp/+J5utEBJYO9C5tbSeB3s2L4MwWAjzSIOPVysQ++r9ahH0VY9ZDPN5o92Rc6H
CO9BsPgDyao1rX2cMey567wH37mq2+uXFcE2Mb/NIUwuGM2zrK8yMdD1AKdI9rLS4Gzb7jyhmG1r
ctwbcpym+bSHKu8QHzZWXpOuP6KbOQdjjZThUSBM6a8RCDpxtEIcg3U6mZneaI2GrH7cmwhxZ+iU
SFMEwsPOL471BAfC3W1IHQMrKNowPC/8Y5xQZKX1dXW2Un18VBYSR433OTcgbJcKAavDji6Pcf+g
QpTWjJ91/c1HZMfzh2xkaM/nauIbyN2lhDZcbimsWSwWL6G4g8VxMKA0ZXde7DGI91cPFUjWSvyE
gpzF6pX4+wppubwJXOWS/s3oGEXncB3AZ8+pOC6c56PrCwpRkYQ0n3D1IoT3vNFWqe6vrK1LuZg7
XJkrWaIzqdszU/dbANrSeo8aSJtY9N2mU5Aze5rXS9rkXgqfE/4DbpAAunE7OQQB6WHaxafbJMDv
DUyXYYLA1UWmdwzVS+DfTFBRMm/y2EG0EE8063MXwD/ckFk6dGD0Kz3AUxvNevEimIsjxkkoSpai
2ZdPf1dvIz+2a8dvPuJw+AzklwNV++txCj+naf2K9iePXNGy9khmINxPAHA3d5YTssHbBqxp+epo
z/30SnlcDMxV/dIXK8KJtKvLOSEQwDlCucXG+JEs9KidPEZxU1qxHYAOwYHCBxrjumCWwzDfaWCu
qn/ffHkloavkCH3eNgdKppOOm4pYRBvx+69fYuV5q/eCtMi/oVEGJ1QOAvDIgBkNexFC/KABvqry
i2nGVYPnM3ltqaCAcGh7i78dkPE8kHSuRhqfaQICakT5DvCzHy5+hHsltuDxbodNQQ+Lcwe1xD+j
3CtH+T55WxGihOVAWgk0pnV81DzOOa7TQGxJ27uv993J9Ga3SHeAz0Ch3AHRQVzwlEqDiNeghjPz
2W28474cQAXHfdfcgZg69RTVrHrsihpmqIoFR+us73veHr7eNbyPSmK1bTaEOKnO3t006HsbQstu
6pdwdRekN++EoudEtgeNRRAnXkZDk6GdyrawzdGg6Bm1TQMPFjGDTUjMC3FVpKYT0dhYOeaqbO9x
P5wgp+Q2YnDq99YelzUy0HxhLS+ihfjvI1rn4Te9CMJH+HAwk8Llaa95n6edwiKY/a6iocKQh+E5
hfh4cLI+iX29qde9im134+q5UKgXV7hk8YjtQSYwDrxXhE1Kz34tnaUURBbrEPxUxHsGQAZLQB5x
b57nMX1eXXOYG1C3ri4jsX+nMzKtjadqOGz7T4w4KFZY2zXmwlhJzyy9kdOGfywKrtpyHPrj168O
5HbfAib5oQJ2AnwPcScLtX/TLOzKYeLBK0PQ0St9CVbURcclfoP8XukGzPmGEQ1E3aPxo62s2jm6
SX13W6MJmLipYoOJGriPUIuetn0+CbVdR6QpoznH4sxxvh8woSUHAENchC77i9qYGayzSEHb2hj2
wGZDAH9scRZIE05gz0aVJYh3OLrfmG09IuYtIDaAiFy/sjwxRDy37HvFAkBAekC6uJ2wcOPIYBPi
b7pNgBwCyBsSFPjLIL+FY4cQjwV35+CEKYIsiJcgURyk6xEOaFyKrtuLNbxMnfncB/j8zECUGxqM
1NgYOfmLefnXy9n/L2Nw/6ycRQ30T8vZvz2V9O/mZf3xoj/K2a/hV3gMC8pZtCqMBilGE/1RzrJ/
x8QijKFFhRsDFUHx+udyFvOUMOMpToif4AmOeA9/S77h6ROYhYH62A/JH88K+VvU76+F3T8bfgV1
/B8Lvb88RDIgAZ5f51PMG/z7yhIJVhOylaORTxFewFNKtrIO4Hk5/aUyg/0LmP2hSHrtBTDL1ORw
ARAhEho50BABtJ4l0zHcgsdd9abwMJ0ro6o7D52/5WiQX+o9qrwUNMcQyXIzJJ/nGF9UiKn0Nvmt
aRCSx1mRclXNYuY33DafJu3NaYmauhpMA8cFMnTO6+AWEtiWyRT5fMwaAaO/chQgsVMwiofvQ4LY
KEZ54Gl+TzUxd2r7vuDQLZFEAKHWYRhWJ3og8E1w7heC9t/D0KcUCLRiBXBXzGrwJz9PSPvU8/l9
c+LNDJjMBBrFr9LBoVpLKUbtdBRKZvxo5/7J97r0PukAzePY8YATRxNGzND4O+sdKQzMgHRJmpt1
f6lZbcsx9a4SKSKchdgB4/1umvWvfgl7mG30O48Dch+R+AnD3ruqYebO2fDjf8my/yXL/juyDBnN
ZHFHxoGPrWAmrpgAUqXdbYBJUk1OInIEX85xZrUHt9sQgaf4bmqnaloA/bEhkAAX2ksDMQRq/Exz
uSVhoWt663+ZqYhyHkIzqkoZTOfRXYoiBZlWWMYocJ1Lr9by8ODNvCuNkS/CLceZIKbWDvPJJulr
A2MXwTPnA6pj/RH1WxdGN8iB/4LT6ecI95XI/UEA78RrhPxGMS0YnJbs5Nki/Y5ZKY1fJQw1Eaba
wlWjY0Fd7J6ioNrjdL/IUR7wFiWMdvfa68Y/oPIsBgy6ytJ0Dm84RhO1ZgqB1Ec+giviG93Eb7AN
TxPmXGBBGw/bKT/4y4xyBX4B4OYLbDmRK4w3ulnF1/Q6/2syEjkuTfuZUuwQYSefQLk+JFxsp16g
8Z+9O+DjYRkked+L8HFp5InTEcAWkmnornWGmYTIyq6Qt8xfZhphuBEHPljN6BGKxGtJ6S9wn2DZ
Ssig+tG083HqFL4z0qc5BhfczB53FQKsChpDc1qhwYKJSX6FTP1wasVGtv0f9s5kSY7rzNLvUut2
mfv1eVGLigiPOecBCWzcgMzk9XmeH6dX/RC904v1dwFBSAAk1WwzWpeqpAUlUoxEZAx3+M8536k7
RoaTs4/c7nLRQYGk83yuao7XotBRHxymiZkIpo5RoWXxR1qz3CxFlN9lHqtUtLSYboW86KfePufc
nWXWR7sidz/Z5ZXkF+/daFj7ogN8RCRDy9oN/k+5XRgM75Oh3yyaFe2QMfNVNTgo+5q97E2RMuUc
8wfO9S8T1yRvTFBOdPz7teZxOw7xVZuJjR2uRqAwSX3lXQKwqg4v5g4NBL/21jCLrd92Kll6LYvl
zi15AZr7zA6v1N+2jfmshdOH1iDLEzk7J09vJld/NxnGXbHo7wiIraL4k1aE99WS73Uhyf3yJBp9
647izD5wSaLvKOPpDrfuNnOZMdi8g4QlTJgzrtxPhbgwMYbPDbHGUJwaTbyzIn8bVmI/Z9NdaFhn
ssNPvelcjCkmyyIKUnvOzkYmyPYU4WVmindN2R/wlyQ7LGnXUzwOcDhAqvl1derCeVhnkwRyFYt8
kzP32tljo6McDDiZbEbs0WjFmzHsxCOyMHYdf4vBe9khFZewwwJ7yZp1ivn5zMdGru3p6U849/3z
DCixNHAG+m24wbey3V9pOv/bvPLLz/g6r3QMbklUkoKf/Dyw/HrAox7YYFwJhouRpZpKwi/4Nq+E
OcpQkhylxXVS59j17YAnTINjIX0uwjH+IN3U/okZ6qhjncszdgT8b+OH891oJ1HZzhWsK/PW5Ehx
jKb60A19vnX72Qk83YgeWMVHfHwYS+KoupHOGD54MElMzASZZXRB0w3bDr/1BtAKkfyEBJmn43SS
bVvuGwPvF2okHDTb2/nLeCxkZbEHWPG6wpe/KbDyb+O0rjd99Ih7OiNUrK/jMQP/U0QQ+Iz8GDVR
vWmT/ozZ72D4rHVWjMsYE5zGF134Fz3xwkG7lPn0EleauYfp9+SYqL5MRuujdEPjNJou5LLcv0gk
2YYlyiQewyzfvvkw/MpoVKgJ73e4WF5QCPfwKjiCu5b4YTJam4035TWWxn7GQEffd0a6A3OjXUco
oZOxIXzsEpuNr0ga4DpCkF03kxO4eUMOtzGu8ThexbY77phAEcEYvTOhv4vawSM0wqUC0hTdm4jh
66TPrzQjrpEUiSprY3L3+7+KoZ7qT7+KxcDepAyZyvgfPhtYNuZmTFLwoyVBRPJDO4JURDMsAD7A
Dy+IMiQbz0WSxwnMa3kgNnpiX9FPywzSSoYv0IGqFcHh7tZBvtZNqzj8t158AB3/7nVy+0P97t/W
my8P+7Le0E1IKRccZd4wPoiuWs2+XCgp2gWgAsLEgxFs6byrb9cb9WHlUT5deRZSybf1xvkLjnGT
C6oJvvczb/4PXChBMP/4oQLqZrkOH1cLyUV8xi2/gRSnDTmwKW71VSFwNPqhTSouN3ZuD6opTyEE
5IX9GiZLQd7nNor0ipgw078QZwOzfIwnOVOwDUtWvZsyGznXGnek5INBa+zV5MEvydzyLPoJC61P
Zr5pGRGD0ZRDi/EF7TIQ43yxjMofCessGTCN6VzfHLITUW4PawxVxkarpb+a52EvWR63o+0/TjoC
N8ghxp7meG6Ev59M5+ADRlr479g2ztqU7GTHIHIxT46oAnVExUq1BQ1xe45t86p2jHOoyfduEW+c
8iJq/SsjHT9wV3yNdH5GpO1bp8IfqW+5Fm/k7J0Lcd/4lzbRlJVrpzf94F4tUQMHBUeFuHHsdIG5
yYtSk4NYwVmtSMud9Focyta7KCuAZvYckY0cev9ckoBIcyiYTJ0ZeBr9yccbGYSD/TpahIXQKkhG
JKfWOaX5+GGyeMXL9jRCq4hrBuMxGFvAfyc8R3hptYr3S44YVzS3+QfA5s+7zncrj/qEwtZntmHz
uVNK3lsZzQp9v05CjGzayKjcnzG06OXwlJaYxOsGggne3ZWD/r819Io40GxX9ygcro2XtjB84x88
H9WI+/1KqKjafEFsFw6Q6/z4ocXhZhV1xUVHG/AYJ5PHZb65jXsdTF+PzGww3iM+h9d4Y9ZldvCo
O0HnwHdYeFA+8pScVo/bR/cwcETX06DfpbC2NyZ0s02DvbgkYYT7Lmx3gzmfCG03Zcb/rPqz6Uer
eCZbxjrNBtJ31QrzX4OtX8d1x0n09xd9fqWff1dWCU4raiJlej6nku9e+wpexAxbb9UYdXnRpSO7
vOY/Dr3+MC9VviVMEhhu7q9SbzpIo+wOFmTnfehg1SSJZW2aMMOuq8l9ZXGHSZocokI6Phb1fC5w
K98VlTgAcY1WjrWU93kRDusCxgb7CscQSTAktTggd6nIsFb7L9Coo9W8gNcbZYU+BkA3L4hmOBox
L+uaeCMDKL17MA0NepriqOWKqDbPs7OtZQtlTfHWesBrHgA2US3zdlJMNkSfixlIG7iYGInlCJMB
qUdx3IgaP6eK7OZI87YF9TZq9ieQrY+yJiRkjhOGngzNBJ9xWZkm15ulgOVU4YCPrHc1MLkcqFyt
6HJTLYOmIq+CnSpaeXz7N4YDjQ6QqWLTdQSSGkWrw3UCSkAR7PjzCH/UUO0sKBwxg8FLzN7ntiNM
ZkLAGzCIEtwxz0v/lPTNuZyvRuE+NhI3UY7yg0dnqVYkQIGfeYel1nBbcqTYeaD3JlPb+phfm/k0
zmYgAPT1IoNih8enaar9pBh+pqL59ZbzPgPvpzOq4lUEwtHYANgWRQEkRU5uLbQJKIK11Qq44nUd
dPLamlAvFElQi2AKanUgYxiDObBB/ELEKDPy2EWzkEFXTELLWx5i8K3TyOlolPatAF8owBgmimfo
KrKhtG1YM7AOy8x4lyv6oQCD6BKTkQvhUi8nbRn2BfQTOdxxOwTPahEg9PDMjdK9nQEsAuLIFW+x
RiOB2RVmoF78C/naAGbMFKFRF/ZtYjF2a4RxWQ1FwUvT4IgvnRBQFIzHuBrbldS7bQ3+UVccyNqE
ymLOzkGGzXCOLe1ixrZ9kyWOsvuheOV2Zp4//8WRWLpKRZxEsa1ZoTVsU6IMKk6kmxw6dZ1hJxzG
FuCs9qgpS5+TeD1Wzvs6rEEAVIuzdke8uEOz//w3i6ttvdrY+1q4NwZB1ExlSuJ1HELkdupbe7KO
TcJVWKY3siToEwuUPuNdR2iscqEnovNgFcR2Ot9hyboy/eVsjv5V1/tXjS0u7N68MEZxMkh7D551
nFJxVP8/CK0b86YFiCl61772DXaHMBrHleyMYgsr+0U49adUBV6cjLP5POeMAZwCACGiJInN8YFa
NguiJJMlLdImFWLM9qRUX0xteG0TWNVsKlgYYUUredCqxxirKBnX2oX7qfn6TucXWrXTu1ZXu3OG
6lV3A7wE3O2lm6bouIkR6AKslVlHkBRhG4UpmHrfIYg1zAbyI4cE5qvtamyUxmJUt8QvIgzb7JRl
WeykO90lYdqplAPoxWkO+N4yAJ6mD5zbi/UcopQvGhpoOoWMuUnwT/b7gvek9nhD2BmnjdVjPS1N
x2Nf6quLXqV0Z3cdZfUIk6Z2T8PCWtD7Zrppp1s+mDj/3XVHIqXJxQUKQbJGESvWIOmf8xnSvNPc
QLhON44M74e0mQ9tNN/10wiCnDTMyrP8x7GdPyZ8JUIeHWimgHuUlh4Z0B22TMCdbspqpuRLyFyi
7R+wueNZUJy2qUKR7FrbCAi9M/soI54g3DRdwl+WzNJlI164u3Q3DOg2LdmidZto5coCbQ5YysN8
S/4e29W4iexmXAnJEN6LxJ3ly5NVsACUPcy8jgMOvvqGMx5TKqfDYQ3anUF9aUHDPo81QjjeaHAy
RSZ2UY40N5UZa6Ax7tGHHRXLGqDp7KP+6EkQR0XDJ83UmVT5HcAw34GyEB2H8IpAGF4Heyq2rQAD
vwz+hlnccBC8D04qxL4newrF9II4MJz6ijVM3dF6gc+7LLOtn0YkKLz6Ux3VmPKrcJURLyExfZba
ozt4l0Nop8equA4JU4Hn9tqg8prtIMLzvPDqY7fZpFxepVOBS4nSIOnjOHCTeOPODDT9zBwOWoqY
Uoyg74HXR9eaN8sgX4VWD8xMJo8xCO+1pUwZS1E1l2wEWzoIPnXYHANAv4BSMnFPpP39MnT6BVaX
TeQ3Fzgpi90UNgoIRHa5Tu+srtdW/+NbA8eiujVMSjaqntRpe6l0VQTens8h88w6OpP37FdTMvrB
758qfrJFAT3AtMXByTdtbPs/9G98Y3ra5ES3k/DvTSieOKkwSo392h8qjP7R7LEKDr/8CTfEf0Y6
5+/JkpxVOdb99hDrTRnWV4vd50d81SR5tyw+uRz+hMFx+e9XSGWxs7gkoi/+vdT028gKOKfu0/4M
x9MVDoORbyMr3dM9Bk0WpWb2H/HX0UX34/HUMQzHVLMv6wvd8/vjqRH1qeaXDK8jy3iJCmmfLToh
MEqzQwIJhu4TjLaJuXnWTvlIrNlZsHP2GF4ZoBYrh7YOmVjWDqtxMKjdSu/ycV3m8Wmq4Sgy+to3
PnSRDhSQXUK7pJ0FDXKYccikVtBoCpJDMospbRo46dbKFZBKZtaa6wyni2Q5eASDdroffWq9zMQC
Jo8yl4+EXbUriyudygxGMZgoaA3opX6KVW+ahi1neYmJee0l1XByh8rf8ERuKz9f20b1SDcOyPb4
0rsb4TayhWvtmcYLwBf9EwcSeY6b9JJo9MZpsxwy/HDBSFvnRDoPOz83Vp7ePpDzxdMf8urI8FDU
9rXLkwkIxKTwUPjm9y76Km4yT8QlB5biqawaAm21sTH6kqXZTV9jA68ERMeAZWSvsa0VQ4WDRLtn
WmhgZNAgY9c25v+U45FHvBirCvjec544wbCw6nPIJbnqMrZatIFQ8QhNzU6S8lDa9VNssEMgiq8m
1vCC82Ud6ns/5co6j0yawFzT+hGVPocO5IWtnPwrTuEbgkTbtjf2djxuoACts1BucpVMaactA841
nuQbNkU8MvAzsRV1JK/w9xB/JodnrxzzZmIlHHyGnJQwwOOfMq437cxZY1UTUA8j1J5oxNCiPztJ
EMKuGUpsL+kqBc1X0MJAGsNIN1VjbEx6LeQ07KaoO3j2eKYuY704yxZ9aT0bMNsFVwdMNPb41GFW
910IQx6gm0buIGGs53Je2YzuZ4gX5GM2tpPyWrYQMbmgex9048ZJ7wajxp7Y3+QjXAWfZ9OLDdlI
XF3vPNzn5W6ATgLtjelnu8396oR6Tn5zNenuqclptSlTCM8FYwTg2/mdkT+rH19N821a6Hvw7esa
1XtQ/AdmLXFZrS3OTW15k7DZ1XhzFEG7ppKo4guxtBe9bhzs+cEZPKBr3Wbx0Lm9dYmy1Y4hTqtP
i6g2aQomo3wu+Mw4pdhLP98BZObeke6nBDN23wc+aFfXnenCiFZ2ei2QHkPcWf627RDuAXyRpUEU
o+okA4zjkTuEmBkN+bbs+p1fWccWYo0Oy9PmttRa3pYzChIdOYAhsX7x8Gdul6Z7GaH5/GuTmavX
f/+339tk0AyYDfz2JvNNKfmPHgp000Tlm3r7b1IJP+TvUgnzcJ//MHZgebf+vu/4f2EX4p9bpk3Z
r8cA8e3oUtmtfR+HjOGQzHwzuqTrmREGD3NxrriO7fyRrQcP+c9bD38yNmtBwwaqCaPat5ORObHr
Op9yZyUyqrCsHnBT2DsUb7lIqygMjtIaXKU6JIb5FGeFxad8ecFtql32XINkyGodcU8mnE1EAsRF
4aaHDlkjVvrGlJdHfGPMAeiy2EwgzeLPakj0GCl1JFc6SakUk05pJ7lSUTzklEXpKsTZ8qBGaiH9
We71yiDnmQEh9NL+ARiQtm0aLC523pIHM7K7qp+I0OFoXA11ebXMjb7urOR+LCJIYzB1iap4F73S
HsBRriKlRozIEk6zXJv0vuwKWMzguVAulIbhImYsSbEZ6uxKFKF/5GJ96RfRsisy474A/2uoyb+L
BJAqLYDhQoXeJF/pONuxlesnIJMn0S7Zwd+4Sk8YOywGBRIDQLBL5yHnJlzWSbWa9XI7xXl01eke
IpOZ1jvQjS7MigmABfi4zIn3XuGZMBDIL9s720WpisubfAYNIgzb2ISdAa+s7O5BIhTr8amPoD4o
RmzZle0u7uJ51cfJL06LQyDUYaiSvELeoFGPrc5Cui4GkFEQHZ1ItFdcrLKNzCPuDp0Y95UHXKCm
RuwaP/djOGYMKEdOJm3OhV3Mt4PPXhHzh8B5neLTMPnXUl84+ecjdRTQo4FghScrgUi1VAy6vCi7
y1M+S2A8N0M07oow+5CHtL44mvmhkxnYbSzdjMeggEwTN6/KX3a+DiYAKC/ytGFeGm0eXeaJDfet
zfl1xlRdu1xcUZBWdhpYztUUwh+oYBs10SAvFl+/dc3smHO3MhdvDprxnSOdGubZCBjcgmlc0L+w
XRac23/COvrPoyW7nmp+/e0Vcvda/PV/Da8/RGS+POrLkuigEeushixvYPB922BN+qLm/B4Yn0c5
Ns3oxhcu/vdqjsEJ5HNKxXbAOv6xJfFX7nVKU+KuIAwHGtYPWHw6q7zOMPOZHOo877VRf4GEFIhK
QCfPvA8GB2ICVOkKtC6CaHTrEboYZ/sc14ArKogOLuBdF9s/egIzBVH4p9wz/8Hl09R/7Wkia7m8
gghfbCzfL9wDn2IXMC00RcGc+V+civ/UnApLY/GzCwzh82piQGBUMI/Kee/lGg5T9sRwFWHsnGvO
tKY8aJIS1lCHKmruMh/uzdwdXM/cxQ74P2Y6Sd4eIgvWSH8bNpth9jYJAFQVdFD/lD60XeXhpF8U
TqNbL2m19QVISZ8EosKAlMNWtpQ1jTKQmnXBHnGwzWNEcHaoxCmt2Dd6m1aqhTWx2RYeP9LBJle0
B3Bnc6jSDfoZvPY5Ac0im+ISfQeqnx5YBBPm5hDyVen5nxpsBZCjePHxJpjvJXuRv/DsdWtlRD5O
0ZpatpWYZgCCNKIgK6IL+lAoDX0960DoDX40vj4uXyu3jQKrNJBEjyPZG5+zcaLvJ4BPBsWdpORb
7m8eicixuBvcW4urXY5/LzL99YKxiNmVtoRBi7Er6+W682iEu1kqg690d5g6FNpYuy1CyI+XwA62
FWN5nURso39KEXDS3oeN/yjmD1Ob7z0iVVMjoG8Z24lKndEvL8ritdEfa34jAlXcXfg3ai3oRbdr
dUHMIQ7w3Lt5FTiJD2C3Dsbxtkh7pWQG3RJx36q3fhkqdQC1BLomz91A9uk0ma1SmJEg0Bb9IXeZ
/Hle/vzfisTzJ+zHu9dS1Zq3vxth/efZtD22x9/btFcf29dMO38sXtrn6OMv3Q+795eHf/Vi+I6p
HBfs257hUm7zdffGpQEw3KR+w/Y4dpom+/q3QZpNDJXNlL9wn1HZym+DNMaxTNcM18LboWZsf8iL
8eN9xqY7m0ucRVSVIKehRm1vrBhm4sz0FSjBFQsm3kxgNVY5nEatf/EVHa6oRsjf3XPnwGF885L9
mk3qpzEeY0LdsG2dASO/v69sVG/+7KFqxegIKBFRJ+9KMQAA1x78xn1xhbxTKVZbmy51f8b9QUcU
9yWhMeVfrN2y/1VkJmT/m8Fsz1lvHV1SW2N2gC9zXeriqDfe4z969r/iYnG5bup490yT1PAPBgXq
cMH12qhRuYFAYCVICb4n8zW0eQg91MqskH3ita537bYurIM14P3sSJIGiaIQp4wwbNld9ULe5GY9
cEXxri22gFRQKKdlkJbc6VJzMQIbQ+SuE8cWV5DQroc21EjAiW0fUvzglax+OWbgrJYF6+qnyp4o
TtTjCRYEEN0ESzVh0Eo5rPVI6NtIua4H7NeG1Rwi3NT7DGN2g0FbMhuDmIhne8S8TZoCXUH5ueuY
1bVSHm9Tub0XjKV6hO0LCsOlnZhiUzqELkvlQTF1jS5lYpnA1LxVh5Xcx1K+gLyGBBjvagTylY3t
XHw2oDP/XzCkz8qZ7imPeiKsfGX45YPEYKCDCUYxPYXEyaQdE8P3H7vMeyemjkvzeFk13r2koyxB
zBg6axdrIXlD7clo/F/4+uwmYBBtKW/zhJSXtXdHmAuTdWpaBO6kL55aNztWZA8d7AsNPZa5BQi3
vK8zhlFSf13m6bn0HBRiAIY6yOcxAVHWy4CWuo8WZUsEtaYEIgEDStzoFs2Ba+g5r1MPAV31b6+8
wiUECXG35xJVJ7wERrOCvAX3OOfjST3vvoisx/H/CZEaN8VTyuublrHYJaIBqJkzrTQrrQ9oJ0IZ
T8XE/O2kAVg+uwndDLqdq+wmGCu47xdVViwU7LyfY5PSO8JyzQxZu9Npa/tVTGrTm8uWVofHSs47
mTLvdMjCMCfB+sKhRbmIqom2Q4q9UEe555eFcn3U5n2WtMDE6bAL6rag3jYU/hnRFjjSsjHH2H1Q
riK3hWHc5e6KOB1+c5AMeCZxZDDj3ihFeQvpMGC+tOnd2N0Xgru8Ht7ns8rVGi283CS/BLDBYdCZ
njK9vxlF+cIdfWBOa2ERELCH/Y7DiWmoJk5X/+CULv2FAsJMKakWEJ1NyJNcNbOnsy0rGNkIygFU
9SuoTdG6bgZVWUFjPPVSRnHorLQ/UoOZwtgjMsCnaReW3JB737jWO8vc1z5q5qTx7ezJROQYzaaK
6K3UP4mhsTBvhw8sUQ3HNcjaS2iaR8eClwV0GOglaSDIq5uaSce2y5xdNurX+qxXFyPwjwhyL5ai
59rMy3MLskhqQxOkmQbOPJbDwXSJCcLxBDDDzHwS7njq+qyhUxMgoQX7D+wgpVJkRIfdMKfo0nLe
R5aWHIauJgrR+MXOd2tt/SecJP55DgkOyMY3e4Yq4/tbdZ46Cv37v12+9s/RX/9n95r9cDz48sCv
xwMd27fPPZ3ZpKt83l+PB3guhRpl4hi3lfVMsL98Ox4YyHMeEtvncefb4wEoCyXBwbJAZcXQ/Yek
Ng4qP50P1O6GZ52zii7Yqb/fo5lSitrxFBm6acm/UesGfkALOVTX8lZO3rIWIZz8dnT6dU9aN2sN
DWpQ1F/Zg7+io+HZkTBN3WlEIp/66qRxA7CNjiyuBa4FrgO9t7Tc8wgAvL1obh2GYpTzEmU3ofVS
Zv+cLuU+77MjKZcKtPnwasbCQBqyqTc3KyyhWkFZ+gTmwlpoxayxVlYgKYGaPeJG2ET6i2/c6qN3
rCTAcl8D05tcqL9vUj9AgN5bzPPKOrvwGcxxXSwbA79oCijJDQaYipIoYCuz/eLSyCTHO1F2Z+n3
B6fI9vZybdk6d4/kwsm7c5V4T4h5lyyEmd2cQ/4tO9NPnL7WGmIewJKr3kyOGW3sGlpG6vYHE+4k
N8Cg6e19YrSk6Y8mZWcJCahcuJc9KADTsPc14BsZzw/02V0LSgVgZh9CG+O3zTgFs3xopXtNmFdu
Pe2cJLvA37ZzJn48MGLcmaq5+pD1wZLRUsMt1W8MQvgDt1Wsrygo6iUwuVYnBsWqHF0qR7sojGiD
Q23nD805G+o1ZlXa5FJg63LTdDzbdEC6vxubZ93DP8CT0L10b0/N2Wu9YzLZ0GQZf6dYO6gMiKLb
fgqxzZXrLmmpEvUxAQAxYElPkw5boHahxR8yNzqoV6VD/KNseJ0BMOntjqaxaSecNkjsvYmnjna8
ZNUZWOaZdaqXQurRpSfnWxJFBLv6AxVIh1LcFJDoZipTzaw/aGUbwLJd9/RqTFEbxHDjVYDUtijs
U4kpVM+e3g4B4YLGNLQv/p3W2QxYXU5pXH8sMrq30k4VTEz4/oimQZ0og1wbpzvUX0kbF81mEcXF
gJGbs5GMQdTSaQwljgYL1XM8UHhcqObjamY7MGbzEFOKXFKOLMsO4RiexCpXzcl+lMJ0SjiXTwqp
YhbXuqTv2IdvhwN6fNd4qQspXRIeC8cbA2j8vZjMU1WONDb74olusvU8H1vV6EyS64PsKsjOzUVE
5GTlNPQxjQZCZdlFu6mhGZpmElRC1RatjSm3/H+xn6///7GfOWhQVIs+vv8T9t//ejd5jEa/PX7/
cpO/6z6+/Molnkd+3aUdgvhKlOT7QbLn75u0+xfs0UQiXBdTEwkZ/bs7vGOgPar8hUldLDvxmzs8
KX8X2JnrYYqx/T/Em3J/3qO5w+PwM02iRjo/+Ps92mMUurAf41eh4obZ38wFr6L2R3ArjGI9SBO2
CBiDtGZR+fMao6t1JAxxqo/Ps7rge9z0R+uDL6Cv4m7GuvKfoF9iAjHdhhj740/EjpC3XvOaywOJ
R98k4pC+d+QlRUdGdFPLR318muI7qk3o/sNoT+B+gkxo1yCPcWxqSb9uHSRZWJ7cJNeUHK3LeeGf
YeKHH/jmA/Qrcw3cTD8lBRhmoEfTQAIx4fOZ6s1cY14IiUKCMclewmetyvZjNERBjwn6oQc2RS0l
IqFzpXPB5NOFiTXZRLLblxCxhpbDeA2/9F4HPmrO5RosN3EGhXGHhs3qH9Wgy6E5SXzP6UgJk/pn
DBxmKHgTtSgzv/cAwHkeuJITOmhKDDbLqwVipPHxdeAm4QKavnR0qXbp+7L/IIvHdvhANTqQ8Xsa
l1a2/WiI/4tuj5zLa6pusb66z7pcbAd8iYmhcTjjymtw9XW5AtvqLjyqW3HI9Rh6ob+u1I15FGtH
3aD/hEXuv5rXj+Xnd+eVu+xj07c/XEO+POjLAufjkiBpSkWqZfDRZZr19Rri/QW7HoNIA6iEbgoh
WF3eXkOIjQIgoWabyBiL39cpJUEz4qkYLkjMCOOPOv6EUue+CwORStV9dQkyWOUsXX3l3nylYsB2
S7ugvXtAtOhkDt8zBnjJ0q7EBG9yWu0MkFpDeOxKCqgtvjNxg9c3b6sbsNXlHuSvV/rO+vNfRiJH
28GZNsYMdGh2qLru+ZPXOrSSk4t7bSz1cMWEimRmPeyXuYz3xlKn970cf4mrbC/DNmgtQGQwrJmz
VB7NdtoBM6VDmM1FNaJMma9AmNy4TU82fLjJcw6MjjlvxUTJZ9gnuONc6ExZo4YpknQLnT9Ajqsq
aFqPQVUVt2pR+EB09pTy5kBsd0/psNDBhs4KYqH/pcy7nnliBjF1eKdK9laOjYrUh/LUU7h8kxrG
pVW32DbK8rZ24Zy0GuSgMsIBZ4Z02Jmk9XN1cu/teJOHMG/1FjxfPYv7PmKuMyck2XwPrnKfWNmJ
LkvJmHg8dGQ4Ukhg+UwEngT70h6w0x8Ums6rQD7lxfkzEi7/GOZcSrz25KXyVm8yoHj2UY3/5sY6
5dpe07ObccRFMIkjlutj01MdUIKjA3bnwZhTHDczHGiQAuJl8LpbyYbOwJWgH5CShkBr70WGYBd2
sMWxtmXzhmC94h8FcRW/zv0gr7nQBGYU3sSR2+4Zdd8LB64EptfklPYTHCwWsb5OqLgJNKyTQdWZ
yZU24Nmc8+JJi5PTFMMJdRXlz1nltvHJqvJnI7GPE+jqtfJgZMx0V9Q77kSVgtHrcNBX/rSrnMwN
yB7chFU7b2fmPYB90Z9VY9ZSEwWrpbtKS9jrcdbPm0aRCrUWF2EJdRkz9tXSXPdIl6vQHz5GQAvp
vZxfDDO9qmjrWBQHUbMhIpKbqVAEgSQqWmL6yVHoRH9uKClI0CLb+qKjaMMaKoVZhHjOKGJkC9Se
HejA69iERCkbSmWYTkwIax88doy0j2/QOdsdJihcrQuN6awD+nqZQVt7AivesCCbyqRxOT0wC17K
hVTQ0nunMq/u7Elsams8ptKzdm4BYiHLWmi/MNKA80B4JdCdnq15CDwnfYaIwWQwff7XRvAP/XjQ
TVkaf/u4u2s+9p/++r+Ln014Xx75ZTcw9L8ol4SDBw/3iM/E9ttugIOOfYJgJuN2i7Pt291Ad5hf
fY5Hfl7x32wGGOk48SpcFclkcFl/QLLiYPvTZmCSHWZXwdhnqwzx95uBMTGbrDC+MFKQzeokRNoB
fO767SLzT8LBDyzDaSedqaAZ07qdQvEK5DOjZQLL2gw9xsFjajK8cCodVsHk8MnNkldA3895OnZH
5rtaejbYU4jiEYMRnXccyD7djYanBdXAl8GSy5oeAp4COs+x0tJP0FeMvTdwDqUacteEMxiRUm1V
zVWX0zO5gABZ0/C8rfv2kQH9+0iaWLjoEWuplqVHvKNd04nWGMCOeqSqX0R4OQGNC3QLk9rQLYfJ
piA4osBD9u7Zdj/GYjAp4qLxsRYhznT/Qnfhy3mxqghvgVsbWbF1NCa9UVM5ge+ND33D8NeqCNfp
IxvdAjLOGdP2lg/DWthM4EvKglIx7CktPskcV8/MuxrM0SeLUnfVMkwKJsMbHIWnnBgHNvQgpmQp
Z8fbZLIg7VKRpLHM6CE06nhP+8d+ITV8STPzfdPGIqClYWtLOQfyqbZR73sTm0Sce1uvaYjVFeWd
104fvJyQkk9PdmCJ9MhuxsF91hnj53p7rXGM7zLjpBMIW2tlDJ1wsqZd7UqxanP/VE0FOmE4o25E
+9oCe1+NTNRSxk2MMSkVNsfCCobxHYQhAxXBxlNg0ApL6WF99FtxZ5AHBUKqX7a0IxuJZQelU/EM
RgoWrDRcxVmK+pCO8UYUWgjcdHgXz1iOYw5EZBLkZWs/ucSzFz7Ap46mrDSHLWtL9zlH3+t6ogEz
DvjIzI1N3bHT4rNvCCVCMDR7aznRNXCja9GHWrsRC1a7rtUfxZCH51gf7yh337YVgexo6UZUAOdy
LGZyxR3VGLx01ZrmAlUnPox+ik7mLfQSaWBqh87bj4dpGVFXcuMU53hUVUXclp614oIyrT1r8lbR
kQOOc2UA/Rp0cDXf5AzDVNJiFdoC2Gtzq/HJMdqElPtED71j48jRaxrWNc+hvHF5H+om0c+qfj8s
gHJTzhXAgW/cpH2d8q4IZD1ROG4vFUO9VEL6iDwiFbyVzXw2NKu45pPW8TvL09IW5QUFNVTEIEDi
hO8FcICCIVvo9AIE6Q7UMy6Ywqe52HypKoKWNMaXp7Z1RrIFGM5qTP6rTlJWN4Ep5tjS0GU4arhi
2/4wueEn08no27C6A6e3B4p6L3Nbm/cdncjc06jOBdLUKmsopUW2ho5jb6Zanz6SBAwEM/C1K4BQ
0hrD29fF+25uV41FF0JD0tOrOuBwsVltLaMnu1p9injIIaL7opRXjOhqvva+t3Ps/GrR6fSIjO4D
sCFkKBx1oGCzdeSDvLS90N70vG1zc2sTGovpj1vXJPUQ3ZK93ovHOj3mUzYeNS+koUB6YUDFAMPq
aaZHgqDq5JBRMHJQCKZaG0beNoMLIANL88U1UJGdDHOxt+Ci+j/snddy3Ui6pV9lHmBQA5/AzVxs
YG9sQ09KlHiDoAyR8N4+/XzJalWpqt3pjnMi5kxMR3R1qFoUKRLI/M1a35rlmSeMyhRIQo30dWVM
H2IHf7bH+D7JKR1M0V8b7XJOyfXMBX+ZzvfBlnjGXZqW1UHWrJv7AuOyv2HtWsRd18Falf73BgoI
sRUMrU2xvYK9mfDsdWevlNNeS/AhdNPyXMVHuQ5l2DYxpNTUO1dCpLeTq92JDo48QYJ4XYfx7M4p
qYFmmh5Ekcd726AN1oYpcgiqiIvm4vAvfB4GwoJxLmcdjgXhbnuLf107gKRqrQVfk/oc40QzqMyB
Ss+jtYJCphWZtqv1iVA2YXd7Gcc83GnR7DQxhIgMAsshIcYpEhFoZQcqul8BmaJilGgcd7mgQ8la
1//stl9XbT2vyXRdEgv5EFfzS6cJkm0sDC9pZw2PeQ3dtvK9K2fziY4RTuhl/dnecPHhWmZ+ZAQY
HgccmgYBZv3wyXMWspdEDxc52Q59oT3gjvym3neTy+U4DWTNoNeO8jwNtVTHQWnYT6XXFwfyy68F
XPDQXsn2ypRrFN7qiYUmm9jewGZRWx9romN2zM4bEh3nbO9uKpjc8k5ZTea5dT1hKIFmOvBUlQB0
hno1sCnzNterHpi5B/ingejtptMnODCR6IIxF88ou0lJy6hqyV1jj2p5N2Tk7pxF/cV6HVPROlYn
bWNFXVTOKyrNQ8WiOZKz/j0vygAfUTjE3gzfp9hXxMLuHM9Tu9gEZYgxsbOZP8raQ2tnLgRXm913
pxXzccaUFafOW9YN945YjxO/9puqCtX/UTuAqw1bbMGwWGXAJo1YRy4pVqFjE/Jbv2SZrZoR7Wgi
6LgBP3fR4TYgn2sxGy3VPYb6LrSEQ3zdMESMmcan1R5IQCbW+SBWzAGC53VczkNTxtemRKph2OU+
nxM3Gv3yiJgF0LHGgcHyD1wxu9g53R7XZPmML2yhIN5btFw7buIrPnOGnsXkhxe3TrDMOoG4cjrj
63V2mXidOXtCi+oAhpootHPpzd1+8/QP/QS1h63vWfYm+cRZXXDvuVbgkssYEXRwtxGTo2XqYm+v
WseYAq8xr73Su/NXXFGGf7F6SBRE0K18njrmiLItlmLiOG6STYK6IMvBp9t+cLJyvrR++mpowJ/4
+8pQmLAz9S+FFy+IiLiHi66mQiBHuyJ0fG5ysjBG6yZd9OVseuuVa7L289YGocranqy55G1Og0lY
B9Ns+osxS2C5yWIEG2HzWbUs165WX7XacZvIoyEBD1esyhOaJ857YXPTeyU6A/Il0GkIce4NYiNF
7h/NTJGE0xRDgt8QlzXUsDhEGXVbld4COWRLPxKqUXDpE98kDivl32HJ5UOvJDmzRTYxC6OhIflQ
GJACyp41VTmz4WFP2O1qC/JvrBXjFUOShtEqCKtuwSNF9nlQF0uuHumBCwoGo6+lp1kjd5M39vOY
jkHDpPkovNq4XsejkzXD5f0fprOIc2bfWhkLM6srXJxm1DMy9bNjtd6KAvuTQZw8m7BPo4Y4Nl2X
w1gwJRTtcD9t/TV5utn9agPdcCpDP+QFNV/M3MJXAwxDTTLIzz7PSD1bJpRmObw5VZw9kd6YHjHm
kYjDXbuo0YinCgA1LJnU2CTFwruXpNbuOt7RGaUC/Ej+7Pd/JJkKXKp5iar71lGRYAnoWBIRQ88q
OXftzLh2GF03c8GSt0i+SV98zuWkAe3Jvy50hhj3vzp0irFqGUvVPLYxIOncT1uUEZQlujC+WGNP
SONiZ5Tn8adNWBGnyBigF+tKzrcsT4Y9K8I1IKjxg7Mmr0QZM46wGSiMXLEHDxj7qH/aaglALKno
tJ081AbXOjIuuE9EmdBHE8baN/ll1DvgBV3QgEGnnVhbFt8dCfbwinZtzze81Ik/p5EAG6H1+zqd
bvRaY847NP6+xHgJueBqdSQArZ40dn2NPd6fhiQwTeBcN7yjsLSd6dzqo3tfFOKzlpAZblkaNYxV
H8qJnuAD4Mib0bTh+BDH2NoW5Eeu3TJdE9QfVw3vNDdu45FJo9AFW+PDC2FTTFyWfSBz5+Pi99nF
ajU7TDPHDRNnTm5MPTm2oM53ayqMm7S+WaRQyXakFqVtpgJobvJ+7O/WGcJBKswbCDdEE7ExDLeC
Sb1cE+73yosSzfSoC6FEMmXrA8e52xhxRZWd3Dn2umfZSgbnYL4ORT5SOhbBnBYpcHbIJUt1pcJB
g41UpEu5tlk01nj/yaNbo9XCIWM6qAUWBgu3BQqzTB+dM2XkgN1vy/d9T3UuMyd7ImY8jEvLPGRW
9mxBO8KXWowReExsOpx+gaeOwXyWz+3Am6PAG242BEK3v0JHvxjAkO66DZKKA7VRoH2sMuZX5uRo
J1J5510Nk9+U8lvL071fRzbT3D185xBQ7uj01gvFch3AyEGXp4fcdO11j8H3hkTuEL3Q53junVNn
ZORfkUdkLrVx7octAsTAUsORfHud6mQb5RONLYFwQ19HSJLmwNbLfyeD5t8fiP/TkJr/9fPvADyt
fp18r5Vc5g+/2FdDOqz34/duffjej8XwY0agfud/9P/8iwDn6Z8PSt5nyH9/UHIeO/yff0B2o7dl
tvJjIchej30goEjTRLWhEH8/CGtkz7hgTHwWe0xQLGYnv8/LMeWzERQWig3oSgxPfszLQXY7aIF/
Qzqa/8qIxFILyT/Oy2mdVQAOiY0uMiKHL+LneXlSNjXcjcyAz9+6kSgK9z6Jq9C2sLGLDnlmXzqP
zXQkimm9n4FLH3Vre5Wk7ho66cP+oBFOFZOLRVUceVxPV4YhQmeCmNu48ti3EzBXZrtI6QYf8XBu
oSQ5+Vn6ZnUwjfIyLsI8fh5a6pKVuhdPW3vRkymjWMrHsPIhHlaD0V8j6DzmXubvFikJEIi/jCRW
mjEOd4IpnTK/XdoMgtphqltz71dUezQ/JMC1RPCWM2EShTuTE0LDsm6jse2Mlin0ZBGS0OiTFRSO
l4XTtsGuMWofpiIJci1JezKNt6hwMpK3JBQMcokJN/gwYg+q7U4txlDbrEShBa5ddgcEVzD9vdY9
VchgnMlIL2i6ln1ZaQUZBXl6ZXjd18w0BlSm5ng7NvkHp8r8yCoJgF4TiEM87ynB6msE2XeLBjcZ
OBvHYHJJzo7zA/hQ4+Aw3t/5XXLs0glSEjOGpQYvJdBDFoZJD2RWUd7JFzjE2PceUueLrZss/Epx
mBbmVxrl66gaXPLrbstJq49zvh46jpVqyLyIHr2njSSyTIkrYaenWLsRXCLWYWlnXmwlxdyUJjMT
j4hM9IMLr2QbPzoYYc95apKd3tFHQgbLg2JsP7RdfmB+VQ9WqOdjHOaGSiHB/XWVUHRVmn9bbhNw
ovGzwGV+SDXB4Bthrls9Ze2wnYm6NUVFqGh2cYcKIAIxooGjW5+2hRCvmYoC8G8lSPOb3wZNvGwV
NECdJYs5PlZ9W4YMKAyQRiX+1LzJU3gn5UEXTcGX5D2Qx4cJxJ/v1JCD8styQtNbItBl03Ve0dfM
ei9CbbIDQrM7rseNPsiVp8YBGMEqwefH1e79yWLf6msFEqKEJUEPhM2wknM1649EnjF+o9SMcWzC
5kUSnBiY5OGbGMdBs+/T+VlapMAOTXGwpTsFn2lf8awKtZNtyYrrc2S7OSof3XJJtgEzIFZ5YxRu
dlW1ZDLjzgyIbqVotDIkeF59GX253CY5XSMQA2igEkt/uen13sgqsvnIoSHErNEBICKQ3UiBOA66
aaLqZtJl2pRDc5LixEFZNzZUMzDMGp1YYqDDA/wkWKkxMrxGPhl+ejFbVMFpRcKHkQBbywhRS/Lq
zrCmnpSOmYYp66J+zrewSZqPXtx+LaX7vBkzAruZjYik2Vzr8gip8lq04JfM1MZ7NNnXdXlIO+8T
r3KxK9qHkf21UQk/aNsGcFBPQB2ToZ05bQ+pQQY1N665925dkiDpF+yDnI0Xl2yPYKtMwBNzy2O6
LUFS4oAl0PNT3t7Tql1Xm5U/CWdiqongfuY44Gl6WxaipMzE+zQa8ePaC/BYmnI66IAqYg+TNNRx
ggZD9LN4isEwKkFU3un1Zeq9aKtHvlYAPIf/gm3F/2PaHCSs/3BZcTVuMNj+fAu/f9Cvt7D3CyAh
iKWsFiwiyGybP+5HcIZn6ahgcdbAVFb8mp9vYZZWJltrV2FtdJdV949bmK21wgjwQTrrcIUY+FGE
/EX38Q+DM97NM3/YWmPiIZ5DWKhAPIDNfxLPuus2z8mycJH1hBQl7oRRvxuB4bZivxl4BLfBipks
Am1xUaDPte+RzkjQ6to9EghOZPRmccD7+nY0vMy9mmN56VdU/snF+dStmR3w5Frnl1SHRQDS/rDJ
1sW4xwJZk8NLHzfr44CDUfY1Ea/D12wiugbEwAAYoBoPZbN1albGwdCfZx2RrytzLcC9553EboGd
xlolLT7p6RSSyIuDMB2jJd3SS2sCER+sB7/qPixNbN1V+ng1LSaMqnlkGryF5OBm1/VAW67VDvwr
qKQlIEeYZs/F5o7nsYJDXg4djURjefsGbD7Kk2kIW0eTFx1fMJTA7ZA3Y0u3j8k+9o5V8lWjI/eR
nnZo7/3ZOQ6Wzzqk3GduFhbEchU94VKkjzCMYu5dIqyBZwbe7CxtkphNlLZduTdI3i6g1TPugDgV
w3o0dwkAoYzv28ycF95AnW/7hCPTk26oNs3rhNTVXBDp8q1h5KcZTpgt7mEmFIF8NdS67mFo+gNR
R/ut5SKRQEd6czcx5rfkk8a8z0vR2g9nkud38zYCji/2gsQ0FzZ+t8b7hYjaNHEOMq6jlWgrX3OB
PTrBqkKWpipo/SlotSxchhET/xRqZMD71ZNRWMFAhztsxPVmxb7maZtmYqmWMWTiHM12czILEh1A
1RkGe1o6Xu2zF88HmZxwchxnw+Yw5+Eb3GCkIkmS8oYIX9o3m2jRba++E2iHwwbqqZeut/r8Ye7B
/hXFjfoB6O233KNtc/wn3e3PhZQXdjifiRvbq5Cupiq/pMn4UFtM5kTePTG+1vynIbWOU6/tV6dP
bmmlyL4bGReN9RWMwOoczyn6aZTAS9EyDBfWctTL/ImgUtB/k0zD0UXQ4Xa4HHC0dsTVmlE+44JF
6WaF+D8yRbkvFO/eVeR7nLvZnrssV0z8zT8kM4x88qXMj6ni5mPDslkcoSxzFVW/ouCPtHfSvmLu
j4q+z8aMUNrVYiINmT8G0R8rVj/nyokm85lc5xvHWlQz26hwVNIc1m1XxvZ1EptnG4JSVoHf5MeU
bOGGh8hoYBdNBilxaQTAau/Lqz5ltUEQdi9I+G6Tg2bNB63JI/79Ht3GjpzEC2b7w5pTupaLd13O
DBUMFYpQ+7nJ5ImLulWRCWlLeIKtL/eeVeEzqnAEe+230q4/sEwrdgLF1mCRv8gWAuinroIZcp5C
XUU19O+hDXUXxhUxik3WXwYV7EDw666Ib8Rif5nLilZe9fYqCqInEwJpjoOggJgIXQVGJJYWzIxg
KEmKNhCpgWOKeAlpEjTRtuAzMqInVpVBQRbFoEIpRhVPMaugirgvP2fC+c7+RYcoFR9H5hEB8ywK
YnIuPBV4wXapQznWHeepekgkoRjeRoXHctrajyoyI1fhGRxGyZ5lMLGbGc413Ya4ClFsObcOQbiz
lyqwcWHvfWzLY5ls15bUXybWylTo9BF+gkpGG7OvrQcbJB6pwYYBHIjREiubNQ8iMcYozUdIsZZV
PYhCjgfQ99cFe0SPj4HN4sbX7fIRztGyt22GRLP2DFZpBb6FbLtQynQwrS4hG5oeGPW8h8SMY2IY
10OpGFYLn9KvkLZsRe2HRoCyBWd1X6ynVEWWkzfZGiRUb40RpRmTx3Ixvrb4ClqdSOXVJK8a1Um9
MROdPWrBGQFYYHSQqBaLFmEW30DQoJEft40TFN25bMUutTTWS175UfCWBX1rurCzbuKqvHPAKFGw
Y2fX5I3JUzE64h530sjzo3mnSid9ca3Ws1W34Jjc8VIpZIrda+U1uZxHJGQEfKT9P5FaorT9c6Or
UHDvzTYkC9QKf8I65J3mOLQyoOAK/cNkfp8LmQFKJMOOhL0y0IbyYR2x3ZWl0T/QgYOiJ/xuZqa0
cwYfmwWH427I6uaI9i0DBFd89bbxzLIjEq0VjQIhgB0/WHSQXRbvZ8nJbXxOZZi5l8R9KPF7Dg28
gLg7WeAvYiigZK4eXU3pPPXAMm5dfQigKbODc0+ep5z+BmSaKjA8wFdGqc4XWkQ1xpcnXWsjXYsR
ppZBM9Q7gU+Mn/DFh4DTmuRNyiiDD1k0fRQXMGZNOK65QdY8e3CPVVa8HChfWYYf7ZU0VmmFg++c
thG1latf2aM4xUQ4erCZkSxgdqt3tIlgi5cj/Rhf8AvQzkieR6QK7oSjErnoiO4Kah0vI9QMARqI
/7ZI67jgrGbbqZOa/Cuyt0hOJjOvykh9hkFAQHxA+MkRrl1WXzlvAHJnKU/T3JjRf0Hl/N/JVaZo
3H9/MHWTfptfi7/W77jYx35Mp6iLhYJoIdg0XOpIg8Lz17rY+8VkQYOaE0sZY6p3DMrv0ymIjwKJ
iMXICCgSH/RzXWwj8HpnXplIAP6VuthVZe+fymLbMNRn8VnyYmL743AKd6LEL7bibTHNnZE4KDeG
Q2NzZquZSudGfWGwfP6YpBsyjng3rHDCgVUNT9vQAHvqDw1UVzwSHZQOoOC4bMh1m6ibxvisNpab
8Swc50hPe60TVqdqPA7CGzjKh5xdIoD1ToD3QOfXtLcAh7ml9H47GFSdnSo/Gd1Pb0WcPro43BhN
UqVOql51vIVK0s+fFZM8paSNVW27kbAZbZWnBSCekAjW5ZM02e25OhuvTc7TlbD9F9B19z57k59+
9n/pOX4OfTZtupW/+ma+dyuCAxwr+p8mfV7u2DiJO2tn8LZZuQGrL0UbkbT2o2t21zX9PBuIl8Vs
mlOT69dxTxGZ+ywK02bgSOnSR4gi57Tq71EIzhei5QL6YAG4ELXLWOP6603C6I1+RroBQZIu/oXV
DQQtRZ3CMECaH2L0XWkrTHW23ZPO/Sodh8PUGT96qz0dsmLmJFpleUlGqnyvg2xMbflaC3Tj7cKC
rRLMCDvT7AO07UsoGv8LjzCGp5HTEFJuQlomw/+aZn9E2EQwzM5Nio+VU2kk1ZQDZBi7p8Qubgxv
+swtfgU8fz0P9nLQHBuorYCpUsoeU7ZszqmT3HbwxzyCa9JS/4BS5mpabSrH5wE9LOkTT04GfMzU
LhgRA56WJ6sVT7WmfU0T6742PsJUw/srX1niXkxrevC2jBs0fV4SO/D6/CVdxGHsjJ2tz7c6BOmB
5wRATVbl536uT3nqXq15fddsxSsRYzeTCiu2HFYswxks7y2hspFpLpc5r0+MfyKfg770unM1YQJE
2D+2d5L4WqoHIhTQRLSRtSzwhdEftzgI2wk9prYvC++wyIq9Dka1KftuN8MHrfzMG4PIhSnSQtdn
LA9kYVzi7ktFp+SkzbGHLV87CIbIm1igxtmG9mjPy/NqNpFrpa85atHla+oWexPGGbUyvEobn4VH
SlbmGQ+lFZ8zwYjZ16+H1T42W3PCyXZw+xE9hQM4NbvRJ6ZCAJfpouwWO510MBjW0ew1Uc/ew9OL
fSbWi1O+9c7XOQM21gxhDxm/BNvco8ZRqR/Eq4aDQOnF1LGlO+mpf3WE1w5pxDXucaQ6Ge0b6R24
r+mIDO0sHO9O9+K7nLDb2WQcbh5Nzh8qq5Phz/s0nwImmeGWGIc8lR/zQZ7qNEn35uyE9WIx9pUs
xOqhPWxZtPHJQ15raARr7tOFkT699YkZdVlzn43jsit0J6HRv9XtghC+uN7I62lK7lxlVbWLPnAT
2D6rkHy1JQqqsvZOPfb8vH7ZZgKT8a1ct6X1YGfTt9525aPuazdMPFuucUpghvi/Hid/Wbn8YYbx
tW7wciRy+HWk8dsv//c/zW/9b3SXOopG9vfv0tsvf/sqff+w30ZM7+w1BxsDVxU34O9Xqc4Vy39c
MMgW9BRO5h9XqfsL7i4feovL5IeP5IN+ukpRrHI1Yygj2ovp078wYsL1/dfHP5soRLnE89iep7ZN
Py96YqvSGtljJ+gzv1R8Dv3CIymehTEQW40HukKSTaJWf1OnKCh4fshjko8OT1THk+WqR0znWZM8
cyj6iG89xcmIbi5m/SDU48n9goxlxRiQq4fXU48xy+3piLjeabRkn6tHXcu6e8uszGhUrwELbA8l
Ddp8Xb0kehYt6qXxeXtsevFLPLkhL0BK0LQ8FbxpY70cFclKQ4NquxmEePIdUeiiqLlk0L1KROoL
42nlAvDCwqH5ieM9+wojAq9O9N6tlb8t5aWKbRSA7HHTg55/tSbEXG6pkIaHKnktUGX0xhrp9XxY
Ea8ZyisH+MvghCBhWU3aWZ3Me6OTe+oWGjIoZLIJNOy7dTsGeWyHzdDdo1h+0d/vdXXDoz7iT+fS
9zpo+FpL94twYIgSB+FdOfTZtbGFmhqLCSgN+J/7K3IYrDtHox9nhtYwS0P4k16amI9qkC5wuYTr
pOefiqKKA8YWieGd3IKbcJZ0a2bVoYjF+avGd6WD7nlVI71cDffcqvs6qEBxeo/e9gkfZA4Yq4Eg
u3M3RPiB/tgpghthOea58pBuDh9npMrM3Semi2gk3atFDRxzNXpsK6YE/Ngfy3Heza5O8IPfQY/p
hxpvsRm67RBHiY0hJTaSA2Iba4fi1z2WUKmfgHo5Uti3U5HFnPrWivAY1eTkMmpj/ydRZXQyQhKD
vKhILmZR3sz8ddBVNG+QuRM+TR/89Hr/jXLpr18X1+BSMSzeZd6W91Hyz68LzEEPKw7IocFay8By
u+9Th9xsQkPsS6Edaes/G878lOf5cGp8yTDNArFq8xDDTEsXjODZJDDL1Cca/DmAQFfzTe/Ppl35
b6Z2V1l2IMb+bVR6wEwIOn22Wft6ZnWxLLhoKhOwq6+qIoPyKFV1EqPoVytd7mNtBD5erMnuPeog
VfWVrSqteMakR31jqhrM21xuToX96TvWofasi5NN0Ta+a4Ip4wzKOZ+yTqr6LlOVnq9qvprib1ZV
ILyFl4qy0KE8tHPz0bVKkxUxamYqrmMCR9pkKHJ2ibR0ammeG7X5W2b+sPcfxn/uZfPvCxPU1/Hb
rfZ/je6AXRcjjL9/JT0Ov/yP6LUovv957/HrB/56Kfm/sNRgwwx4wzJMndX775cSDza/FZqYji/Z
YYPx26WkvMqWcvL9yiFTkoXfLyWPTQXxDLoLapSlyr9yKQnjb7j1HPYvBIbDFsNJ8qdLiee2t1Cn
gbExJZNof9jZjZEHVLR1YDXjtZ0ydJmKpN2V6zReNUouB8iWRd9iILLZQFdU68T6zdXSc9liwegS
59Sb241RZg9ti/3JrytxyLoeVT7j1FJJ9vp38Z6S8Un0fJ4S9uVK4mcpsZ+H6g8qgzyv6AATxftZ
rlAhIvTSmDA3CBOwWdi3G5gJoIdhnkLnWE3f5TyjlixMcXLFkD50hf40TdqXMbbxwRH6FBA2EAdO
BUbZnnoKehYSfcFiQGvfspH8ANFo3mHdErK/V5/fI4t7/B7prrNWAL1StUX5Nf2HNDwJ6bAed5Y1
f5PpdlcI49sqtj5YF+95ZGMT6Sxt8mZ+xGvWn0wkCnFSPNvNVj2n2vRoV5ElI0MpdgupnfVpjdzY
JRrHGL4aDjlCojwTUP659fDjTpkVMrm+ySBHB72Htqx0rWmf41qGV21cuaLdryhjdxnXTejGdRMJ
91wzpkTF9cGZqzpEGEb6igtJEyHcEaSUwTxru7HjF7BvCPJNlZLg6ntMX8grFob1rTQzUiKTTwil
74ZY3JKHfKpMM1xlgRwTZ1mhHZGUs7NWKu8UNdmYfanSGEVccppseU0rRRwMcWl2mDfOja9NLwjf
0XzNL0vOAb3x9VeTC/2TJywej2Q2If3crGv0gYeli+YVSugmTxtZvdZkfZgmEejE4fXMSAOjcZsT
0fF3m9wAemkEMi0kaq36Ke+NyJPLg9YOx073T2k2hqPXPWNIHBByI+/cFp+QAug4o8n1Cm6jDYHb
A72Rib6gHegoNyr9y5p7X+rafPM0ih9isqyo7PwEemccB7bX3nrT1ZyBru7lvFylMexoUOgXOPln
z11fNXs6kyGAZKMi6chs0whM9JsL/upYkjnRt90V1gb/LGbju+gY9ukJP87a0cLUu0/BTCHB226r
ISZCrG+JVrO5/iuqraGQWPvSWwchIyBPNoEjbdKORAnIb8assn0qcSycp3Tlb9fEAAWA7N2Yk/Fx
MocvLDtQ5k+JdbbL/oOQmnvt194+IUO5mzbFn8mI+vGuCA5MPXK8V5v1zViPaINseWAZ6+7HhqZ1
nU/pkHwy15oNwtKyJ3teV48NmzQQ+aSWRP0b8y0RHiE3ki7YKPdWVM1bSpDOyFa/HLCE5I/GSAAy
+QSCtIa1DmXdLkfHda9a2YwH3Ohf45bh67rVLjuAeMYjpN80g7fsLVYQXkLtNMyQuowilmFjMTTQ
MHTieTJPQz2XuyQhndHlgg+9xH9w9JS4a75FiRIqmnZ9tdl6H2xYqXZlSxiStRKbNNKz8Za0mgz0
rCMlj5rTGPv9IDsNWULnRawunwxMrwuhbluJ2iBD4K0ROEkOZYq7pK8vw2qWOz8dELK4PJe9m92V
05KHXR5NFB4QbNxzJ5t5N/TliKM4X8+u+YaA9wmhxxT1rv+21aZ9NU1LezSQa4KcBRXgDsyWa0P7
nC+JcxvLV3tII9EzQrdmNnqNhmKUJCvg9em+Gl8cwyPYbYoaQztODC2mGStMJU7IyYN0jI+sa/cT
WqkZHQ1WAORlZsRWBSyPdqmK4Q5aBU+eR57EEpJHVb6uuXYTd8lJnzqUUX2EhuoqXr6a2JsWm3TA
6ZAOLv29JZ5iimDjoIEBHkbrophHqHGu8RdENkuVJBujZO0ipOhHkOeBWSFv0ez9NnYP48iRklTu
dV5/hyRLIW8fjMdWEyyUHf/NaKyL1rHcddg6pld0Kw+OJb+o/50Yhtng1jcbPh67YMv2j5Ytgg67
07rJw4Y0kxNGp9eOCp1GpkhwJq2tHRlm517lGixgLY0MMbE/7qtmvxSHcS6eFD4hUxZkT5mRDRdb
subUT1IZlU3lWMa5HPt6cieVl3kqrpteIyzUPrv7soe+23cPZSlPcRmzCStYaRFDABVIfYnlSPoi
9jx9cU9OYiIvk599K75ol3FsHxDNoNXuq+9WM0XmIMBOrY/okT+4c/JxbqtzYTqRNVbfRbu+dJ19
LTt7jx8njCe+10t2nxXarclfq2OsVyl6hbLaZFAs6+8t/ojdsnbHtWFRtz1Kg92Tv62PGHxC4aKt
07Ih2hr9amzQ7fsgBGlE3D5RuC6qX2nsMjc/Zol+ZcYxMTxmSONyUxfN7YzbcvaesAbgNYhvm1y8
lZJV/DpDDuU4Qym33jvpc5wmd5vRPqRedu8C30p061zO2f3syc8NP89F794INk1Y+1CPe8rf3urq
pVGed0iVT7jrMs4SZjb9pLNsjocwYxG6sVk71FoskTyjam6Uo37CWm+1eOz72YKEvJAyAL7MUT78
TjnyGfw891j0K+XVl5j2DdRzu0z5+AWGfh3t3KnF4p9g9TexR4Wtcv+nYAByXeYHTSMlLleMAJgN
knwUGn1t+8Sm1qAhRLec+bfGlufHWnkBTOUKMJU/ILVvDeUXsJV94P0fy3h0laegVu6CAZtBht1g
Ur4DSzkQ/ufvIeBtRyC2rqKxcxWSnUjistE9h3XMseWmwLd0Bf2vFf4fa+S6d1UkgEhAH2rps1jM
dT+aGmTI4qyTItCrOAHcUMhACRhIGhbQaAdnLiBoNJ4KIsh6IgkqFU6AOVEqVcFNr4ILnLTrD4WO
7luFGvCT3ALWtlwcKvIgXdwXIgZ5K8f6pWthncWeF5ar8ykvq0ddBSfYfuHuPEu7EKJIamS15bvZ
4gAdSVxIVfSCVCEMo4pj8MhlyCrSgyQzB3/m2i2GktVtXd8ZBSQytDXzUcM7sO8V4QDBwHDblwLj
vKvQcXApymrDQKF2nmUxOqGjoiMGMiSkCpNIVhRzPSNLs0r6MHnFv1MFBLcOT2ZqAlcgALZS4RRZ
fc+VU4UFQUg+8wIVYpGTZkEE0xqCDdvHKuhCqMiLXodkNqsYjIU8DDvj9BtRKppPLuoVifg0Gjci
9yw/iVYYu6xKAHzG69OiOWvkIIPl8vTPM2kdOqkdPozI87aSgKwSyse+oI6x9YLyvEBHoR5+rfdl
uOjMg3Wv+xAPZb4f0WswE8Ie2BTJEmKAOtBADmh5LC30ZGiLLP6wJtV97C+InkwBX0KriZKvencv
JRpA2syTMArzrHUP/7+3/Keadp4Jerp/0FsqVvWbfB37v9Fdqg/9MfLEoY9LHzG4ZevvWOofy0Ob
kBYydgTwfJPd4k8TT/GLp9NewrH8NW/ip4knfSfrSEMY/yIFBtrLn4edLLo46BDSwSQwTfX5f57e
zERAwcZonN0wY5zZKhCtTfFNSxBneQ7I26EbTmvnjhE5zEgOjAsOwg+J4BSbkEZPXd/slh7Y6jyv
MshhEsKtZ18zOG2YbTAS65oWjaw2TDld/rXvkBLU2cmcexq0IhwRYoRxvRLkONtvg5VG2TThdKtZ
dReuE/XS6iJ9gWo59eiXp5iZjFKLzPQImp58HtHPOvOkwnPTL72ePZZecWd6wEWYFitnbnkWRYLd
l1V63o2BneBK9rCP7MY5v+tq/Vj7XU9wTVfh21pQ3Rbbh44mi3LU3U26/hEtTIFwJ9mlBKzvmKwx
9vNKf0+0KGaE6Twl2JTWtj22RfzSOR1+Jr6cypm+sCogf4zgGuRX/4e9M2tuG0mz9h9qVCR24JYE
d1LULks3CMuysAOJLbH8+u+B+6tpu6qmJ2quJmLmojuiq9qWRJGJfM97znMUoIR4DhbPLRFk/h4V
MkXgHkn6gVYENUPEtDd2u3AQy+WE44uQJVLs0FzKdPMRClmnFsS1B+oa0y7FcgAQErcO4mlqdwhu
x57M83H6EqX8EsZkbHF7jS+9GI7ufGdQzWUjPokRHicDrKR0Jkh0YClmhcrYFtW1cNziEMKGtl3B
dxEat3YPE5PeOmDYpdOc48l9rpiEk6EFqjVr9VpiE16lNn1Nxhy+Qu6uz13v8M5gjO5rXu6ZyiO9
k1dmAK6AoQ0ex7n3RPySFNwNcsvdStx/rIG6owA2Y4JdyGN9x05YW+d5enS8AXix5n0bNfH/ybn/
TML8hW65QDx+3fI6dE3hV3V1gWfd+iNSzIzGuuP5ba9mIGgU/zmXNDUzSvPya4jHEqJjs/VKHeto
Ez0p3gVZlxWHqAimct2Pwrlg9C6jjkIfG7hQQyhynkssXF51EVX86eTqjgQghXTVyU8aO/jpmPmL
b/8HkeOXjT/fPuowvltWFNBD/tAR4xllgiOJx7HiI2S5MTvLSMczNtjTccYD7qXwg/zRgY6DeWRP
/DpxrQ/fGS59U51q4DNTOdxZLqxmxiPwG1CZ90KfLpoEAdeb5kdNFOPGAXpn8WbQu5mjIU/w4SUd
MbyBQFlsUMmNDrNy40rQfKFh0fJQuOeGyU761y+4JuiUZj0OHI+a4WTBhZMW2/aFJnnr52qNAbQP
jIxh2+kgIOXdhrPw9v8eXP/1g4to1U/vqD+RlB+qHBJp/ycvOEs5/tzvTy2xdI8KwVYNxdFfOut/
94Kb4BGXPZ1h4QbH2fKLJioWQ4ytk/Xmj6PN/q6Jur/BsuFYNHToZlQu+H9HE/3xDv/lE0DXge+w
SvQMsQTAlkfbTwCzKW4qm5PJWLkwbudxvhlSlVxiYOzzQmXXMi/DR6XIA7Yn3JzjeloY7jzeOI0t
YrOZAeE9X1jvOdD3FPh7bDXTjkwvgpdJPpFbIZwHI3yf4/C2nzAHyP6hKRS0gtEqgGbg2OxIS+2z
xDTXKkUCDPVhPScusoEFGDKKPsd5ov8dArypMG3WNUitxHz56Tf3F2fBIjP/epQtr4RLJI0VKG1W
y9r051ci83LQXpVOQ3xYFRuaNvt9OdqPQ1FrK02qMWj4Re0ByC/AlU1kxCUYSPgftNqt44znM9MQ
yu1z+4NH38yHuCXKG2eAKz21pFxEcz/YfXbKDEoj6R8PrQfJgVcv2Hm5AOj//Q+0mKn++AMtbikb
jqdtuH8qNnYyx/WMBitTulRi0sJ2KAsdf19n3Nbo1zqe3tTRj3M2VIE7jfeOOT//+2+Ba9afvgeX
t7+HdM/hykn7Bxvk1Nkg8sFirxKYK8e0DeFfiGNOuzsoZdNnWsmqJx6D9+0wDDt9co5K6uomjklu
1SMRflChbqol64YvAAp+sYoyqw8lI1iU1de6shKgRu131+SeBJnY3ukDAn2r3/cJ5OLUwbLFRzhD
b8majW68yHnWtpn3CFf7ecTL7jEt2XrxRB+ujVZBT28LVo9EwntaQArvU8V1o0qfG6zasokPbAZc
OAD4NKUOf0ZHYLddbV0KpAg85LO19iuDuA92mnWk3I+pKykfiDJjXdQEfS3Nf9vqiQ+3PxflRiFo
IMdf5UCGarZyb9fNzWuDdn7SIjSMqtyKhNgCOH+bqT/kwdDVDfQ2D5nROdLz+GFxn+Anae/Lob6R
YfwEYZSH2eKEziLqDrSOjR8tTLnZYv0pMHCGiXeYM/POGsJ3P3WdVefaL0KFW9PhjUKHaXVgD7et
eu4yyWDcjwT7rZRMeRPfGnIAgddOh8ISdyEjLVZ41ihG+qEWGLho1niDDMKQqbzUgqpwMc4nLpfY
0YbuEVFmZ4+Q2Nspjlk0jg95W37SkgoAim1KbsFnUzNCTWQZl1njU9N2GdMzYc+uVi80fDD7NfmO
k3E+WfrWUY56kHYD0YFNoxgpt49kKbYGzlnUHeuxG4S2soBkkBHIXmrQ2KsaPUsktaDEvPgejlUG
KZF8H/CVcVWW79lSV9K7WLk9nc2mhgozpvo29Q1tZ/n1rRb2xjU2SftFHo4/Vd6kDVzyLFFhUPko
/rSloOkpBPfw1iHace1pkjRnnEhjCe7Ow4Df0LqiC+pXSKXQeUDFyAoRnJd+qWmpEs7A0GB5EC5V
B+jw5W7ouG0nSxFCskQjlmqEyQDMkS91CfZSnFChum8WANnZH6aBNA6LYUXRgrVULqRL+UK+1DBo
IYUMDc0MSTlUZ+lABFe0cdQQiIZQYt0Xtz2tDpPGFMy9OM0yFQA7gi+U1mxNljIIa6mFKJaCiJam
CHOpjIhZICwVEjVAvnW+1EpUUwcpAXt4R+GEonlCWyoo2kbkuzTiV7bUU7RLUYUoD0n92uIPXKRn
Y9chE63tKLxy1FNyYWgOzj9xdg3olFJUQbmsyNKlHKNWwtpaKIGpdCI4NdziIK4B2VXUajgVtmAi
Ix9ybu+4Vn7pR4Rc5P6beCnlwBhFd1n42EweBZe+4+yViljUdRsx8QYvllgqzuOdIqeaL4HVmORq
t0RYm3bq1o0svk9a624taa6S6ptzz7u8JMEM/vNHGJZUbLnEY4kvAi3ARqV5HSCxaG8tUVoV1lQF
13xMVK9Wroj0S1m9g2U8YKZFLqQ9dVN38EK9UAVxaOf7gqcw+EuiBxXnjNP66V1mIHKK7CwsQ91E
tXag08NZjQyqgV7hfcQZl0xTHRia9VhVIBKbCemmMEHFiDrFlY83LnIb7SYRUBO9zm83fh6DwjHM
l2REwAITj7/P5tdYqi8TL9LBkdo71xyJHY/9XJ4dhU4Ca0qxLZQABlAebaa2ftoTE3mDSUTc2twq
07uX3ujBhAm/xmL4KM2eUuSs/7ATdZadOa8jl6x0Uz9qFvnTORmbgFXfpvKGvV6TSJq7+m2OmaXh
FPSbjOoniuqSD5fJg+OZ9X9Z1FdcbN9H9zTCWlkLApcrFWdyzcRxhwmfCj0+Inj9sxXVAzdETYni
ZjyJiy65dbOaIK2hAksgJPYetxObb0eB0wlrcMBmOUEXa833wR+/Zsif68js1EYoaW+tak4O9oQj
vpu5g4cTAm01hftWVgaVBt3X2Pe3P56pf8ud8N83H/zsPfhLR93/UHcC1rSfrh5/uog/cgmPvvZ/
iGTaP/7U79YEi2cAjhULBpNjcLP+/Rru/ebwjxb7ga0Dj3TFL+oRZgb+IaxJ/ALGz2WlS0saJjph
2FxwrCVD+Xf8cn81Ry8ISovuFnrZ/shFCEPC+EZlgB9xD5XItr0As5JUX3VV10cLfRekQtCMxplR
4jg21tEKhxtvwc1ItUkBBf706v3FZdjy/kLSAqJpEQ9lMrb0xXT/820YFl5vxiaLh9o1WBEuD3uf
rfqCETEzu13r7BMjhV8aFYtU0pBdRabd1ypSQYTZY2s3M9W/EInmhNLFallWimVt2S8LzFYkrODY
aULsYve0bDmXdee8LD61ZQUajdU3uSxF/dE769E07mEJVkG7rE7jxva37kAzPEvVYlmvFsuiNT0U
mUuGcungiCpaL7NoabuKUXzx4uLN4IEdf4kykqU9TFqq3b6Mw8GIeFLTpeYQToE4uKx+62UpTIQ+
CvLs1HlnNywKtCiLdXEtth77Y2dZJJtslItamkc9NNt1Uw/vOlvnjO1ztayhSTlQ9Z4/NcKjQh53
nL0EQs9qWV/jgCDSuqy0zT679r2M19Ji283We1jW3ylH5C51x2vtqnCXenfxsio3GgjqDu8Phy36
wIF9bKPuXOACABcKSdrPPosphWrLCt7vKnfF9uHosp3HxXYMU/cUL2t7ryvGs/qxyi/OPGmu05By
yWjjeG0ua/9WskwlfPU54ggQOAOMHxaB2h6DYUKAY4/ZL0g+fjqJSLd0s+zJe7UrzVzqLqv+panv
bCB9rTk+ZGW2lyLfV662yV3z2GTGdtCjw5yPD6WVvXtGu7MwM0NtK4Oyt7BrLliwluGw9LzPIW5v
ozDZRZ119Lz5zZ20L4nf3o+JfuaCsZKxHcxsFUXYrBKflHFEW41nHlNMez3mEPXW4WlrDAyZzUGg
Z0aS/wPfQ9Su64JnveiY2MpDf7H78ZxFDv45681LCAwmkv8qo1dfZu3ywkwBq+8HcCufbdyv+bCS
VENbWi/f7ywTljTgp1CMuNV4zatfV6BIsps5kktUmbytAwFQT70n+tmStTPaJAbTOx+8dlHb98qE
SlAr/141aJL+cON338ux2OGBw4D4xcu669yLb42MjzMdMOwVQXOD7rDC52nsTwNdgikwa1cOJ16K
OzfEibpA4LLU/CbI/Sm3/OI52nefKjDgb3t6c4IWQNuAMd0F/TFpHb2pPdiEOaiT5KgSignrmoSC
hIsRbaw8uneT5sp5cxawExXItgWJPTfZazFqXDvrfWRpQYv1tXW6SwwWO8sj6vfckxI61pX8ZTaj
p8LOroPVXTRezcX0p3HFGTg0Cq8Lyk57UjVp0sbYzYY4R95MKXu0iYU8Kv821rw7yQ100t2THqa7
MMaBrme7SndOIT/SaFQ3pYoOeRbfDiE/4qQuuWpX021qDFtpioNdEpzQGT/ahEHL36eOOCyx1h+1
z9h9VHacyjZAKAaqRciVec01Dh4bfXfwTl2i79xePxQkek2EatOp944ciekNW8qu1qULlaqr98v3
BaDh1EKVdB/TiBeD/+Ua8mgX3Stu3CuDGdEJPqHavevID6ON7ocsPzmGywYwzna60G6b1Nw59rCd
7ebo2MY6B7s7Ktan4RC0xFBaCbUdHz0gyKEmZpHesHh9sBD9csS/clEBzUUOXHTBdFEI1aIVwvCu
GT3RD1Fed9A+taCxodKdp8a9Nj/0Rt3nBaETjwdLrEn3HImWQLiJM2bgiw1Jto0c1R0y7sA9topV
6rnuGiBrgARJD2LeHbPyVWQjTiMWDyXr/Z1irtUrBaiViWEgZ3vAZrKuFfAKf4G7xRbJlqbXn6Yq
cncCF+7eT4yDPyjnsuBD41E/VNH8GE5gV2oUp9Brp003MsPELCob3pt2VPmHif0Lu2AguIr13xhL
CiF1ThdsRF06H93RrHeJ4KdgducYJTlkkUvqo+IIO6XZFsR21rRdJeFXz4LerJPeWYEMKQJI6Y9t
Wr3mnpmu7urWlsfRGJ70aGTbG4sat673YerTTaOycDcr75qNPASUS45+9D9sZeDOBjy0dmvyu7mJ
HNCmOdRFtjQEyX09wKi+dgxZb5mKGbcQIW7j/rUl/1S8EKnEeT7NACDnZLpAON96g4WrqSFB2hGa
n3T5aoOIPvT0O4WRG9TaiGFRFaxnXBjwunXLPwBhkNhWMNoyqEMBWcjmlY8WCB7HGugWZHYapxJn
V8YAJzMDCOe/v1H82IH9IjSi/vjQB61ld2ezdPv1QhEODYtdnf5szntqJ7Fc1ZDchBmzENP2lp3e
5ZF4yTrpsZ8xCd/DPfHwvInF/Pb3r9D/ZZrkv3/H/h96hTZtLp3/+RL2+Wv/8cf7848/8s/7s7sU
cUAncVi+YqHFlfb7/dn5jbAIJRiOwxXZcpC5/yVjkzfxHM6A5YL8a9OQ8xtrVzqBzH/yUcy/dX12
/iwzUvSho60vpUY6UJNf31xoLxr8RxuNRIn80Kgp5ao6E5W2nI3Ux++Rz36tdUqAhnbTBuxj2Egh
VqyaFPm68txy22PyWGnTxOQ469+12cjWlUK1q2EHryermE6mpVGTqgTxQHx0TV6/lwQMAJ+iAcSU
xqD0xls7uYapftTLKTxki95gh6pftVQtHTouFShldnjCoSweo8lWoMklG1ZiEoThOm2bDFO6H0QH
yUcytcqECwqeForDaaopfItDX8NN4klz77Hr83CiWQRqKmvutw6VJxsvfBEmoUundJuDEuX3cAbe
ZHBt0/Lt3JML44aArRXanxoI0iEiffcMyTvjP945fzE++PqfxgfYW/7CSyR+xGJ8iQD/PD50tiwX
MYhrb+votyw1gYOERh04TXg/RblLQwQmOg/lAfZYdM5t/RzmeIFpm/sURcgDJWofpaJr2IqJ9GBR
PFezulDaKvCrHTyCfDunz54wz61Nnmsk1kjd5Q1xRn1E3q5KjvfKeyjKlrBgb527CEHKhMyxSeeG
8Aq6k2wdevi2SZkiCsZ2upngXx0cyjMKjfo8K52wb3KHufiOhuY/WUC7UVcWxozXhtGujyoHBEQH
KmuQCuOSuoHqwWO3xCyNXKH0EqHRC7y+JpZucdi6M4gC7kWd0axqR/E8LJlHojjc0NDarexGuzJ0
umsLt+Eh1tkyA+095eam9ZvmBB6oWGe+825BE9nncgpXTZKdK6f/bNIJzmuc61xTp+fBo5Kviki3
ZOw79gXq0RZSgko/XFVrD+48nPsMWKjsWh36Pk/stpkx+bDA1JxwXFkzN5yhj7pD20FmDxN/JaGt
tL4LzsvO3VVn1fs5Ac9JANC8KVgxNB5iZukAF6izh7nV0ZE8npqQK1P8Gmshee6qTlzQsAhFUnTc
VEZ/NKCr4XcoqQnxAOULr7UvRuV9A3P/FiYy3rzMJQXI8djFt3OLRQr8bA3ixeQdMCHlemnCwzNJ
SFJDaXOkuc0hAwCRCeoGeLDbRZcu7kCvJd0GrmhBYvu2gel5dJR3o4XP0jbOtt1wgRj4e0L/AEPw
a52Z071mAjjJYTUgT1kUaM8YrpzU24czjbucGcfZMWJc3MoPuiXz7XchdbvDM3dHPE06YZY4lwwZ
+VtoGhDDWoCiKV5V3Z8AE+vgW34ElOEP+0NX7u3BeZkEViizsiPWNCh9NmjRnbBHxLaERHpeBn3r
XPH0BaAh5K63YJjYUEsShlEIranceHgW6tg3ljMOHQ0W6lgxeLbhAvEl4bT2s6V1seX908kNGVDy
Z1V3R0/BB1zdFLQEsHY28kWZnvs0OstB0ze1MYK3RwuAsTd2q8YKwWigdq6SO0KsfE6H+JvPMr8K
8Zg3hPAOaQdvtnOSnTf4L1bvJZu6YpWeW5EXDLgXzM+O+bvI3WqXGzkz5ZQ+DtZO63W5qawsXaVj
d0gH7Zq17BDrYXJXji+/ZJK61qiMnnwJuqep3gbJu5yUYRmYY+JfUBPpU3CAZwNpx2vq3Hr4Addt
h8LO84nhfhafZu7vlaHdpP2HNlgHOkqxyYZatq976tj8cXwbOri0eVJ5mCmpVYUNqNZNVKZX+Imn
uWmie430C7E8TG0YicEaz0IcXP6lUWJ5SWawbmXEkITICnC2hTaNeXBcZxYcJ+VUa6IpNnJCfxaT
k26NvCw2o8bXbCXLLTPbm4bCMtfXGU7n1A7cSlLYCcGcb5NOEMVLXTgy3FRy3ll1WXOchV+kHeM9
cIsnoQ+C9hHqOry+Y5o27G0O7mDdNwMEbcyBZTT0q5wl5irJGli4k3nKDYMwCxaatTCeu7x804sC
PsDMSyMIYqBa6+RM0CiSOk83pWCc4BmqoF9ZCciqZo3HQ23j7tzE4iEXxMFgxeAJNckgOumJqh/E
6N5/Ak187Q2kUglraDC1LQzdBupi7Jv70u/eo8l/jlvtOI1yM1s93QX0HrT8dY0z0oY1gaoqmn0/
OKDIgZWVZX0VmI9WLhB2Ed2lRotRW21xcD9nknxMrW0VWKU4H286LdrGQInjaTzBbmDEcJvmaHX0
dTSm/wyriqZcamGHsOAU+xBQqqOwuq3K+AvEFhLxYA2Bju4yGPnkdhg0Vy1DrO0VgRvijxQZu4e4
eCtqBRt4NdaUGlq1fXRkDPmTnat0PqzFxURtxTnv9ZUL0JrMNBby8Lx8FQ0BYNYsSQmT4uOlfzMT
7aEzy7WTj5txwPxZ456NWg+HlSDx2izNwrSBQB5Y2oatpXfYD7svo+M6O9nHn3NG0AAliyaNDsRU
k4Af0xBGV0Naoc358yUFeL0p3S91JgFV0FkVpRRd6fkdwMYvxD6L0yya5MpbYI+l5zWrS+cKMKLp
r+0AeaiN8WIOGmk/aykEzUDvs8hGOLE7eVw8QLjAUkCPWH+cSpyAyWBwMiNj7Ts3tog/ckhU9xNV
PtTDy2fecf6pslwc9YCsdS2KAhmb1k7wxlnwc0slgI5cZjOzw8gMOpsvUJVkFwffiK4+bjmb9shW
Wc5N4YQveK9x4eMEu3psSSZSlBm61SGT/mM/0TDZOvkrlcjjnapMxJWRj1xrfXS6HdFdr7vwrnCV
51b/0nKhGkPXeHBZoNpb+jTsZ18PAWYNA6Ks1y3wjdl8Dut0ZOVi5Ld+TG0FiDriPWF1N/bNxbdv
jXpmxGn2hp/BnHPdcNWWXMEEZLS9YVIBNNMzh/4SleuIkPZ+lrLYha52wQhVbTWrG7YpLCu77DlN
myLI2Ui6fCJOyC930dDEe3MuSJvBP9OT8kY6U0unc4+/AEYWrOu9FnrawdCAM01pIbdDMllb5MqU
TlGkSuJnlMYMJJxD6+Ao4ysGlHI/Oeq5jjj0ZYzHlsq5Aqdue2xjhz6wGN94zah3ygBDEbmQX/LR
3w5DigTzNvnzTRHln2ka7bgpOeuEKCfjenWlb3KSEokmLdmUUh+pzPZqZdFTje+9LMd3pvxPS4OW
kBkQRBvzs67FuUgu1cxJIEJVgAwdT+1CdZcIjVH46IL+zMOd4wM/tfmAioy/O2uIdPQbN69ueaTu
I8M4ktB5Ko3uQAvFMS7ih7A3vzXpE8U7R1Gk59pUEFK74q4jC+zXxR4SGfpAdbZQocIyPMdhcUkP
w9REQQ0QYtUWRYDN/gxqhUgE33HeHEZHEcvASK9nV5PbB6mnu6KJyQWMp0bznnwjZIldvVUDt0zT
oF25eSgLZ6/rRVBI2YMgEd+miKHFnQ+DXd3+OHrkQGzEwfYcQlbkeORuW/D1Om0hHDvhOkrT157f
aqJrT6Toqfrgmks1w5l1/ybzFJprfR2A7yVF+FG73kOGkQUWL9Ui7gcl5UGo723vI+msfernr6Oh
Nm2eo5Bp57lsvxaYDVeLByOs2ksKpWLU9XWP6zsqO/z11bnTg7bf8uFmDW6ZhHnbQ4MAx8OZ5Xkp
5luvcq4hPJV1C4oOQNSLR6YLQWjrFAVtS9skH4iCwM0deCtl083s0FJX9PyqgJd0E6GtMhBFT+OV
Ntx0jf8YVaDm6LdpTR2rhYExtpApcbRaX3UifICU/uNb2QlGIaVw09uGQx9HHe2BPR5rQYHWPOdn
09Ze7C67z1uL+jcwA/w6OCU/OoJGfDjJ2Q3OtyyLXqoxu6vd6jajxgbKOtOljVpsDviTknY8g0SL
gn7kgBfOXavrADTEhl3Fm5zchxSmH5ct4mD+s2GaF0JgXLGb7pL18cESatMIrESARCDkYMAgUnrk
7sY9oA0S6gWcyPpm5SGfPT/7olNrMMU4QVyfpyCGGDd8hsJ274BKcembbBsNqkAekXPCvO7S7WHD
QpwQqOVw8Wod91Z5cArrYrXim6pTWDH+A7cgnt1j0LFBz0T6ZtX52XPVfc77t9QviZn3NEt1XxPp
3xvmh/LG6yJDd5P/YpbeoxdZ91xLgqJJ34jL3MZ4LZmU2pgdEfvaok/w/U6ATtpOTzYhmMPeDBu8
ogNInlQcBnbGWk27T6GOcVmW57TguphY43RSbXbpM5TNKg8vg5OIYEASxUtar+tZG14IjnDrdgPD
ijiqeoaNzvUP2HI+wM3c5ZmHNEZ1yD/C2fI63eTRTHJhY5Y+lSkpmJ02ndgWFfWWK0vKlA6brOju
o7RwaHXCN+HN5bXBvkETzodew5fwnXra/wO6a6L5MFJWpV52V7/kumdQKLOPTPvKlVpf9b6lWDow
RRq9XE3mkp8X/rwurembV43f/6FaFAU1AADsM/jIdB3G64I4IDaX8U2Zk3vqdOpArIQWTtkfIsaH
dqldSlvcI0vdi2aESVBN1SUroPAJeBeBVUNrczruzK5kMdRQspubrLSFDEEhxUi5XS7nbS2zDzrh
ldPWa2VyjlKMqG0qo4QpLex/LhL/1rb6f5/UZlv/Vmp7TL4lZfVHse3HH/p9Wc1xDvJM8FGB+YIr
8XexzWPrbBAzsD3oLjCGBTLcv+AuDgtZiCsEFLwlB/Evz6j9G+WZUF108vkIeHgf/8ayGsEP9eZX
LRdlEOahrhNWEDhXf1V38OD4g98z9hdQuFhUUg4lT2l7SHRI9JBVwzz9KFLw4UVfbMKaditBdoos
srkuG/NuNmNQjLiUNRKBMcDRrnqLmI1IukUPPuECYm+3Tr1OY+Osj9ylB/KnwCbmG7AsD07dbYsG
9IOTaI945s9ZZu2FkZB5A8ZZ9txLONSm1j76fOKAvnKhji5yMokT9qeaBiS6tuebMjwWnLyrquK5
JLzsk2XQqberC5rhMS0LCuBitBVq+w7y1Yrde8f176xm9IIaAxMLVrhdvdeyrYw3GrF8zkr3UKu2
XbkS85wokv3INYeAf3qO/Oqm0vijjiEI3Xv5GZy6uRNy+uiL4mCH+XvoJt8gjbobAzx81VEJzMAH
QwrvXz5yIy0S9+z1JXtVSaMMD3H4yywCWJ/EZ66t8QprAafWMLc0nQD4ajRsLcMMLKZMwxM9vdwf
6HsR7mnQ2Vn0fczF1E8oKqqfRLLYCl6U5T+OsEM8I+s2WkxEWBTcygqN30w6YWy0iQBOuXWofI19
WWxtIt0IqtQEqW7mxdkJEVlVmJHyeB2znD70cHIDJRm8EOaQm6bmifoUsM6JTf2eSLY+88bOnf1g
iLJPz0pT+oOnaDuY5XuTa+XeRxwBl3sX2jBwW+zE0IDjeOM1INndOH/3Mva7rRlXa3lrpIg4DbW1
hwoJS4YYepyke7QZ0rd1oo4RvYMrsx3uGyxcQVROO9MGHmN6PQBgfpvrMsa8SDt5RgsTai6tUuuk
640FsavvupyettHGhpUNrkutDL9+X1uPgqO1h1YDh9q6pl0CxWiqdmX2mKCXr0MvPiVdidNfswzc
mOZdmEOecML+bE+MfGACVgM+LMPJiNYk+Czz6YNWMibsvH80pglcV8QC25KBzlutT5ZlWkc3/FI4
3OADWJUNplNzDp9KOiN4qcKlC6HND2Nj4gyjRpmH+Y3orY07wXEW0kU00sAeqTDFrxXjWs41/MlF
rk6y0CtyN8UUhIYJJ3X2bzOSn7up4BMYz/FN4+HyTrlCpsKCZqTQazqeIqslfl3l+XyYpwvde1yO
TJqrle6hgoJkqiv9kFjqLrW1G6drIdumGrNSjM1TJdbeMGaa48JN5lR4omO8Fj4UpSlznnO/xsER
fcvN6slnbwj6OFvLmeEpq+xm46LhS33aW0n7fbAiMB6NjzOhzU4Eh+K9yPJXZ0zultlQ16kYAvSw
kbEhsQpqq7HXvuMQI0QFgjwzACxVGCvmbFzFGXd/RzO/h235HDXg6hICy13Li5Gk5HWPYApWBUK2
yYLACLnf7jNVc8yVxUvXsTR02cit6tqkF9FD+M2QXkiB4RdYQFi2lRxdqMcBtN/bgqhJSx33IR+J
SmK/xojrs4r37X1aIZ2Wfbt/Ck1x6kbtM5XzNy0t3iLSUVUcvedi2BDyXA0cBPn8WQvxXrii2epV
76xav9uMgO42xO/LvRaNT5qmvRZFudQfUUWkO2vLzsCbq9DeOF3xtTActHqXu0opnqiqiFbmlIOJ
NfAvMgxvRoONQ+tvwUwxT9fxU+OlL6PnYbxgcZ7bGil52WzaRLUbu6ABUeNmG4AR3CH0Apt2kx0D
7620Ohr8qMzjGCuv4+x/L1N4sZMFjLkoaGqO+vahSUdvxf3aWzXxpwWuGBHSjfgbuaBjA3utGZMK
jqO6hDHeD9HKI6O6EfqTgmrPWBZ+mXz5zi33CoP7ENKSGWjM3AfhdPspttxT1VgqaES3aUfPP2HL
qJEQGV565gaMke1KNjRO98XiL1zcRQI/BczK9TxO51jzH6vwZpDRi5+BVPDCjfT9R9PMXyEs1RYb
1IQmz7m/eiETq9+2X7v6EUQ3HwbgEk0GkTJPokvp8mMMo38wQjYZ8xT4cnjvUj5qeh/tqrS/9vVu
xiQi6AOsXPNi5kOOOYRLvpr0dTjqVyrd7vSwPC/TU2Fi4+gjPPH4UfAcO2nyJVCRvfZFv9XzOXA5
N3sPFAM2fEpEAkM4Z1tVUAh5tEItf8txOcoGZWuQ4dmWj7LzWdLEmJ34j+AcTrA6pCDBdcGzN84J
8dvqiHPs3vpiUd5ZYGzNiu+OV33nMfbhDiOpCA6Hob2Sijk3Y8RIx7xKTrvNwUbBZuj1bz2FKIM7
AogZKHWl9bu+o8vxYhgtXYrFQyYBaHs+L5Ur4ovdFVfDTN/M3n1sw+ROW9RBPYt3BuTBqfbOXk0N
MqMfVfOvNj9TVJZfcXHsJ1RTJZjb4dmIBkHYaHH0uMVXydjri+XIm3LGZqpc17Ntv86x/uiQZWET
8s5241q3TNe5wTFPr0GNn+Uj1Yf7qOlI/UF2wewCYWMEexHoerPFgtuQh+Nl0XgXjOU9A/WDlwHg
oX6y9ltr3bEFXCeqe8usNj56Q38zDjVPL2BlgVVkRy4xAVHHU9dOYq9DG4vr8l265cX1omk9Od42
i1N9QyXd0W2Taq9p9icCyf/j7rySG8myNL2VtHr3aNfCbKrNBhogAYKawRc3CtC11r6cWUe/1cbm
u2REVpAhuqKZ1sPpekirTJIOwHH93nP+84uZ5KhU+xGGctlxY1nHTYJ3reQQH/NoSmxFuMMEMm6d
ADh1Wq6LghRh474IvQXz0zW94x7F0jFfMkVCu+yJyQwxxxz8fE+u/NKniYXwOueAIuVeOw2CYmU0
2XkTO0v4sVMdYKcWbT9JkF1loUXIVlmnXXq6DtnPhEJ/k8OAKA1tVzdkEZhSj0ffNeyjrS2DW1t9
M+8tJhdUMxZkhbDP1gafLjGF95CFZ7ixa/PgnuA1ticbM508HshiInUptGaNAjZS6cuyL5a+l5xj
F3odjTWg6VGs9Ee/HnBScH9fAuOhKMyvMLWSMVp8XQJjkpB3yA0QtpSjDZ5rEfEoJrFhvtcKG/v4
KMNugEiW0LqJQ50QAWcA1w68HXyaqWrzDAWZZmNvoj8oUCJmZWJcVUIzGcr2WWT6t4adIvPV8xMX
zJBJDwpbHQ8+47zsJCZKnncVjepxRMiD28M7hym2KIvhvGF9MzDhRgTmxm4AhvsKhh+52Bj6QNEH
AJmaDalGMtZUmCzh11fYxoxp040ahtIyGTaVpHZT2aL2k/EPn0BpNydybdxoJosQMnvPWT1JFAm4
wf5s+eW91rpU3Y13j2kpkBGlR1JuYmenxWSrMtc97q36rDXiWxD3JeqYGat2mlbWhSchfTAczJei
+Jj0GvIGkuMmyJden59LwQ3TZW6ctosDeycCKPgk+yArT1v9oiXhs2qxqgp3o0Q+xohhgV8siQtM
z7I0WFsRAUfZGrXHWvg4UNyt25axqdUfmU4ybxxmKNjIO1m0C/uLsfP2ONAsE0ldlUO9SFNcZuzk
OEr7I6vydzU+UxF+TD5RFqVurHBy5hQ57XOLN0CsLq7OHE2zLN57Un5jhtlewvNVPzGz4rww2c1U
m3deYBXcoDwYCnVRKvY+4OkaC+WUqvhYA5buFB01bLcVR3RW4iccBZeBfZmb/bom5JKHFqPLptD2
sj7cjEEts3x8nNqDZNVSUOIbjIeDZN2M8sCKyWjJtDlKJpz/W86F2st9YXEEjNgR9ZUXZ1qWb/OS
F86wl0E57E5NSYV9X5bM62QTwpxZyVOHHOxaUi4AW6xAu28s77bTSTUyQuIZ4jv4ug8FhIu0ri5h
/u0g+XB7WiRyhTROBDdgQs689cIn+muBhf9huUQGEuVv9qnvWPCXZfAWVHj+i69CVFADVXNI4NMg
vNvmt6ACAm6ABpzXIckLm71vQAWi/xzNEtQaoUNFwPdViGp+QlZomVC5FP5QWLb/DqigC9DgNahA
CphjQRpRAS9MAaF8SxnpsmIIyO3DMDwNnmoSzAvLJfJVQT4KcDvv2YsmPRSYYIhOFYr7TFT5+C4z
AwnKWWdHGEBbzaH25ZXG1IkIaowTRLfgir7BpoHI6XUHJXjoY5pkGgxb2LWKjiMUvUcN616y+nXY
Mi8o4MbYok9BzcE0gXjVSUD/guT1VJY7ZQ0Qz3CjZSASm8wT6Vx7HxvtYKZ0RG33+fCU+cMqyOTT
uPDvA8ycVJNRqethy6nXMlmrlufPXYsBqgICaixoyDiUw+qssrMrI0tPI4/AcXucrPUmW2dDezQk
OTMGFRa+DkK6gKlxEvvoJSV3hpk2yXdZeOo1wulIndVUSSEehFmD5CWQ5WHWuVYzcUViKbKrGfJX
qlwjPerc+nooIp5v2Wd+4Kx6Q92PrnwRqx3BGPDxIyzNIzgpJMQNk0reWr2r4DaDvUGLAqCwMRJT
8UjvE6eZ+SLVmOSUXUwwympIcSHE/atVzblrU1+HhjPt2WiUsX6qFPnc6ZTrJCBiyMASThG8GwwX
8TTLFpGcLX04TbWfrlG3EuGw1Wtjg8EiuuRePR8KE+SGCeTInGFeNoDVwjfVATwn+MSHCRD6BZVS
7t/wXx4Hd6ekN3IqLVsHHa8b3niev9GL6JAbNfPalvnXiAHQkDXYFnSzuA5vG8Uni4iSc6IV0VFl
QCohj/jJq60LDZtIupzyEg82QpMQc7mOiqF7xVfvJOTueUo49YkZmhfGcN4FtNlBcad12pOFUmHW
5DGmRyd2hi9DiNhjqjfOFU5m29A0DlS/NVt8J+Rx48mIARsWVgDquQ03P9C3dJNHUWA9mKm6wLCv
ZdYjyEZdvnbtbGGH4TLsw7XndFM/Z9jiKfpNi32Tl+nEc6gyTjx5jYPYSZRzohWDexkPJF529rXv
czq0qTNNdHzMXWROCrGFGB8vs7LCAtxxr+xEXfd2cN7CEtx0FnWw+DpGd5glEcRbLaJYYICdzdrA
F0139LnWyhMCt+5LvIo6ootXEpbqM1zwMSUfeRrcCF2AC38n98JpKlIrk6Rjzl+oSzO4M9W9S15z
6z/l8X5E9U2uI5nPVn4Ay+bhj9qjDMCjV4/GYDu42IFNpeKBpEFPf+yl6wYyc1afD+pe6We+/hm/
J5sbMHI3mwTXlasmOpP1YydlIgDyN0+yU8Kbaaj3dXwe1vgYbmzlMsgpeJepyQxnq8o7QsC7fK5Z
y0KZZxZf2R4ulpGg54BtrqNdlAkAbUPm//6Jkm214CqCMRSZW3JNrB6ik0OaU3Uue8tImak8FFa5
U/J9gaug7J4qEoHu23HrKiFyUWbdMRGmJ954ppr0RJejfz4oZ720U5PTUNtW5YVnQ0o4s5MTKgWr
slirdwV/C4oz4XVpwOeGSr2hnRXSwTb3PmnG4/2QXaA97NXP1HS9RgC09pB5O6mHsL/ln6VzXYRn
rfMUsEyLGyUZp011bY89zBw6YfXGNz5LDhr+WVsvhuDeM86GIcewpJ0TWJEQSohr3Oji0p3jxuXN
pEiDvRJMiUmfBdXeBQFRmP941+TATVQjnDnVtUcX2isDRlj5DJvnDWaomgSNyDpYzEhGAq48Pntn
zsyaL5msaj24kqgsGjec94SuYz3dtFuzq6axjtKv7Ga5AwDjx/MGa074yAhY78P2UKMDTOmSSvXO
w4cErgGzQ++sgTGf4+iv3djB0RBuI/XC8o5C/84sdgETlQpUmfCmiZJ9LkEhLWhGNf2uNOzsYKMK
+YkVbnxKY69yCH9sF3bhTUpcrl1GydcdapGgQBrc7Fxa4hKcoD3TB3QklPsjSpqU2acZPw7JuUm3
BsV1okNH4kalw6EpHwfvHHhn4sGwUoqLDAGmDcV9GFB6Esg0YgPjxIRPFv401i5TD3pRdq1A95IJ
3wbxIWKO+IVy2rb6DD+6hYsPDlPPOfbXQLHxzOL0KiQJOShNOR6aUybfJcRNTMWEnhYPCg/3AIQC
VYrgQU4f7RYOokcKhtUmmyDvDrl61CS3ZfmojiShmZo4E2vvXgZ+K6z0TMFpd6WM2z6H+JeWIfEI
KZw6jvapL7UY6QJmZsgOyIkgoCdMFxJ8DKVruK0pOne9Vk9zFg/6LXL+ZFIwpmo9z9rGm4ac+BPf
woUhCqNloSbJPO+Kz0YGt9K0L3oCA1WeSUvGdgiUR01xWK8ljl00r7hrOjtUSuwcxWfVsBEDe0vZ
sHc4PGCzXpzGBoxDQrvB2CJA59GtpuEAVzFBhJbYdJ3uSdmZt22in2ZleeIndk9mgsYahuU+YpoB
KDxJNKT+nYxOGAUCBLZO20Q4UEy9Lsngt0cn0AWuDVEgSH1+QEGMU4N3UCEozwo/PLVisV+OV3Jj
X0m5s04sd6M3qYkNGoiSb0obRwU80kgcHku267Z3UlaEgjWpeTGO6onRxJe8xCxExDFm2XZoqpOh
aI47tURhx8sy5c5tArBSv4EXEhrn1HoQhjUCtGSePyidVsZYPRzim7TItkkQbTWXPL4+yneBW99m
an0T8r9FY+WflcK5q2QNe7s+3YzyiGEsLsOZR+ZNMFyYRcA0QybtL1fQYFXncBPizZBfYaiHAj60
gs1z+fvXNgn/84j+wkjmT7r2d13C1V18F1R//Nsf19h5B9V3HYP4668dgy78UKivmAvZ6GO/TiFN
4kgh/Ts2B70DVqF+I5k1kdOKOl7BVoZ+480U0sBmydY1y/idXsESb+l1r2A4Ij8VdjndCpXzm16h
dcKhCly27mwg0EHOqZg75SjOaf51KtvEQcnjWlijtUwYYw/cmP/D1U5itV7a2Tjr3TZcF+gnXRl6
4qgPB6VEWa+bSAPNrIOP4WdcpyoJ5DyL6kEEIEOvrXImdL20MFBqYXQxELcWjcddzBRE9qRkB+Wc
Njvd8/TEbecd9WrUzjt70bDTT6Ma3CE3zsGML307UWCMUPOy80DD7waITbg5TuP8WMaQGafm8Ciu
4Qm7+tI3B2OmDZAeWttadCWEE914cgOtX2RWfc/WB+LcMCazKn0G9/AuTIW9hYt5dW/dBwNFjW9W
nD+hAWMEJmgYsg9il9bDjpsq7NkzSTbxGE36FWOvHkY9FqIJQjM9MvJ54blnegSDO4DWPy9DjhOS
YlZWkjvc3NgBsXKOcRS+LNifp0mOJa5pftbJaSCkbwSnsIYFpJFm0ptKgyFFqc3T7Kw0JEjQgO2A
9+OcOEUbwjx2CJifZUtVsfGzxnO9ggk/8WIc6sK+wOO7J+BGfQAKIg5WJr68DCi9MGFN52Vu6Iun
IrAU5srWHh83gxmhTv8SW3MGLDceYxfkF6ueBEAYzfFlHxKZTJF8VPpQhhMEUhOjkC/LqOFW1TJW
ZHC2lZiCU/YoGR134dUc3x4MQfZGD985FYCygALZJfisJExwPSuWl73yjJIfOLIGLK97g7S9FMxZ
CotJbJvtwnJHXHgGbW61Hq4KBnT8lmOzYClHaquQBwWJ3DEyGUeFZBaV5EKHlT1N8wDgFy+zWQr3
g9QVd50RzjfBvHxBkc23UjEMHJMKVz3CMOChZFDq4D/aJLCjVwHn8QwGpppFDjeMEfrGERl2AzMc
jwYyJTm1tGaY5Snjn2pg5KorwVZv4FD1GfisRz+RKdYVc2ch5ramuLRso6HHhj5dWEwDCXGkEYcv
N/Wi+M6vip4RMKdmofshZ3BwMQJIQzcxbn18k/GIQryIG+xxzyjZsfiXTBn3bpgkC6itC62QbiRb
PXHjO29AxSpZ9kJNyGExGuQYhRHvcn/n1lWP8HudhKbE7NlFoVyekThWrRUDy/WRR0Av6UyYQZeu
Jc/kgqGXhN2VI06hGKC+qoxD3DpXTYvtjeRl81zNV2VW62vZUzEDSlW2B2Xnum0H314V5mvDGa5g
/hK+81Ry0yMm1TB7OwK/V6hY90qnOSg2Pfq2ZuGXDcZYJL+N3aNU4HdIsOpC1YYVwwMe2lyvZgwB
ybFdl2HhnliVMhkjmiWOTrxGZGoiHxptbgAchhKqg4SBVFbU52VD2ZrzGaJGW0EL3lqpn8LhDSAI
YDVCSbSHEUI8XclXn9fSSUn4I341+dLwu3pGdPNeD9z7XDMIH9fbK19GT2uQ+g5TE7OXmkib1ISP
3IiJpsRok2wa0oztVc7Ikyc4mqZ0C9Ikn2Hgo2+I8cxQ6BB6OU+U8Dwym0c64mQVRLgQ6eHGDql2
SeA5DsMq5KNy0geM0KAwXMaiBvApBgplkYjaIDGHZDFq7aPDHJFYH4ckyyw6l4aIiZLvX0VaUi41
K7sxY6eaGgbIpsPtnpbWRtbSCZZLOFAn2Cv1hFFKj3xdGLDb2l4ax4grYVkQtcZFY62Goo0hAhjc
UdCLSUK+rSZ5p0pO+F+Xn5oe5GizyVZdf+TFWFbZjpgSM+9y6QjyK8kO9SP8PzYmyTqVrNozQ8J7
2lKplI08OfZKJT2uchTvQzMSA2yhCMp3Dt2DxoOuDSb+3wpcaRc6uiQ38xZXG2wL1NMeY6u5VLho
NfDMrRWd9MqOeSeWmcpkaK8reAYbFS2uSxAhZiYbPyxXUpBFTMiR0Cdu4574o1IvopJq1fak9ZA6
6QbK2kKPo/o4S/qNmrDft7DQUMpgPeAHlk3IapjMZIgX8N5isCMXfIKS7Wps2mIVVf5h0GEupol+
Dm09nDipdSnJPdajDDJod91N3anZoiTxgWxOc556NkrX2qqnijNeQ3hcM8gbaOBBhcmpGTfDYiw4
wmC/aIvugRznYmcBGSnBIAv5OSb5uJVXfXJuVMdQT/k8nStPhlKGjI4XgVS6iBDMcq3H8lWjjyJc
SFlFKnSkwMCTqle8K9/JUJCC8HVm426VzpuXJrSBIsdmx9IT/PGHh1DdJJRB01YKHvTQeQL1wkJm
NLG58ZM7NXWXMhI0aDCePA0779RExrdRJLx08oBUWwjLyI5xOeoKVVsYuPhPWVOasDk/6geQN4gF
GSnRM1nqlGlhj0+hgdmkY9SoD83m3ge8gufaTSUh2/ZKb9fpGJRVDg8X1JtJXIUexTbREArOA8WQ
XIH5sm0524B44J2P6QFTxwQfMc09K9v6MtBT7QiuBsPUUgRhBJIizG7UEwzgFZDGECiIx0q+idoK
3yHH4o6r0ZFGSrFe2CdhYe08w0shInUY+9NfV54FCFTQvKPyXKQqHCUiT7AI8y59ChGY2ol8LEUb
rMu7i1xI7+R+b7s+cIBluDMUbwXpQfE0SINLO8AByq7Hdm0WFzpeAaQDH2PF1q5qGRctg8EzOm5v
5snBk2tiwNUHmD9FORJBCwnKyH0Kcss8RqBzZup9MdN1PPPrpFX2dmksGgAeKCCNunbH+qSUsNMy
U2ethwCpWeg80PpN3L4qtqY8sJRQqTHw1rRAuysJBbZxougFy9QQfFMU6uckim+LscX2AADA9BkP
O6gylk4V7N3CydeQ43UorKHgsroBlBrXdBd1Dc81FIxX6PpM6gQLtnzmw9rOTcc4Ou8EM0aEklc3
mQHHAXX+pMqchSae3972cL9rcPNOiA/uM3ecRJJy8JPitnGQjEZYNjLGGZd5TdaEJRGl7enY4nqs
2Ahh4jwetfM+LLTpqMAzyHUiVBLVnoxudylF7ueodk+Sakr5AERBzcmeiLGv1AxXjVa2iBCjC0kz
HGphgAZ849rU89c+tHKEjFPF5U56QmGPK9ikMA1s1og5tBAyLsQzRpwX7Ht2kls2eXHogy61AxSl
tvWXZiPNLC0j17lB9doTN32c9soGcsSqkfuJMuR3pcPEMMEreVlK4w7NnzlJRyufwobEagxY34tg
PXUlmTxaa9+rTTouET0xcwcFKR31uipJcLDMpJ2rLfHzhWnejCMLCmsUYSb3hI8t4qNwgdGWOa0Y
jNe6hO2A5Fx1kjMsAx0ejJPkx+4QbWoOvkXhQvoiCntglSkLuWTSqdjSTGEAvdAGmL+6Hjy6bdHj
FweBRR8weYthhKjkHjAIoMQsUfBNqdz3csEXn0LKJl75LnM1nGf02pmDpKzHvqQ1cAWSS4RJnlVz
NdH6KeAs3KvBWhgZyG4vAzerkXSPKuZIq3BRHuBlaB3m5145ss+VUMPkcesHUOn7x0YSYpFuXOSe
0PBB1zbRI0z7Rll6skWKSHRfY3031aOWsJj+Ue9YrYqFU10xHI8utbieGcEkMyrcG+SLSKuHuayX
+E2HzpQMvQIGiI3GxzZuitoKZwHqNjvF1/b3m/ht8FBmVfZU/y/R+/+ZnvU8b/rnv63mZ/Nf/sL/
PwmRmCozaft5E3/7j/8ogwf/bfP+/Fdfm3cabVskGdMf2w5t5NfuHQ6xgVb41U++coitT1ADMOxE
S68LKf83WcvWJ+gODAm/mGRh8PAb4z5DgAevW3jk6IQVMjrUdF2z37bwjTsqZasATlfkPwY5+0dR
O8Y88IwTfFh7IHrDmDVlGOCczp7IQdLm/qKsxkviA2VYSsE9Rjf4dgg2hbRPDNJp2X9VrmgMxL+n
vTuRsu6IUeNO9fozEVNrV8GBAdqZKXtn0jgLouFoUSj5DUz9k75KMcmoovsK/laiu/tylXvVjdwB
3TFeyydmEm3NIgE/BMKvsXUnREN4K0YnRDicu6l0FTD2x5z2MxwzqNBSPRnqZo6dNZGwCr855FB+
Y55vI1dPI1temokHfFdv4ObdVeI3JEUcWMWlhnVenUPpCZ+SjINKRWodENmSyd0iMKoth+guqtot
rje3hH9svRxPVJvWjr4Jepi5i4wa1xxoMi5xWkxoLhENrRoKAYnkCFdPj4e8PVPHB0gDoBz9Pg+f
8BiJaa1492YEwy0C7EiBaweg8zrXHs45UDeR0l5jzXUe6IibvUR6GJgCtaF70EIHjX5HoKc7TI1R
uTLRxElSxcQg2rHT7rBD2CN8vIyN7kwYLfQwHkmPWlekBFmVwy8qJs141szrpro39OhWl3QGPN0W
Avd54PanOSOGxuN8zBPvtCQSUen7C1bMLGuKY5X37vXapVXXi9juzmTP2rWVsXL6cIZCLgD5nGCV
fWc2cU374tMU1htN6078Mn6wfe8orpqVgaLcc9tt6bjrob/gyFlmza2UWBXSa7iANe4xxz0CVmc0
+j2xvZ+HoAWxKU18Zpk2klbmH9et6h/ng3eA1NNixhVe8C3jFm+RsDiQaWRFxqYTmUhRAMwBF2iG
c0G1ayhmcT1lhKoayNQD395IRkcolEAXROCSTPLSMDY3VFPLhESmisngsmuQ9xWchlO111aQ5qJJ
68jlijjsEW5sjFhMpuwu04JvqV/AIMPSETMx9I9yM5Gqjveja9BuFeB4Z3DnTTY0M6k1zImhhOrS
L5Q7G9foZZdTC6ANcxmVmw8x5era8OOTBhLOlFMSAMEfr9Jx4IB8bL2mOEpoh/1Rhysqo6stUx4m
DF99HnGYSOWJIln6zCF8YBLXVUz4VroVsdPEfQhrH2BuwPpQc5aIeZ+iMUNkWcfK0m0Ga0cyUjmR
iHRyk3A3DOW1HR0ZaV9Mkas2U9uPyAqo7rlOIkV4lFG1LzFoWrsdtCMpx25udFeep+IF7CQ4HbkW
WWU8yxJBV32bLQptYEKPaWyNmHAS5kWxLnKmgFgNNT2eQ5KN+1ApbIhqP552RnehqhCcTWtdm319
GteHxmZbgQhVrwjEPKUMRNs2FAaUJqZVMrMo1mTa29lslIydHo1HTceaapPOR0pb4PPBtIRBQxlN
JXnjFSTdSnJ3ixyJEs5/ajBZmjnQ/IEIdmh/DLjz1NfE+Hwm++68I2972aFI3fRuE2I3IJYEpeRU
09VbJVIsJkBn+ogrmVEfEJ3eVEkPHiimU1ZgHGrwAHj6OTuJqjAzxHc5zcgUM/qN2ZVXUj+sjNph
VId96FTxFVav0l4ZCjNrCZmnmze3PMML1be9NUZpAo2CsBiFRJx5GUa8RjUPY/um8Mn9DD0xPHeM
m7Akvc+KhptEhdRqeM6xJenHYRc/9gVKBiubNRY7PtbGw1xRWViKGl9nhCou/d4/HXtj36p9MO/M
Sltgr7dnNzRXdU7IBfiR3G4yBft9mUh1g3OA5K+TnnrXckA9s9GxMIaw7qDLsmA8iGg5vYtkxttM
g32ntPWjog/3CI1XaQOuFfrNtaaqWzWRJLA1VPC+JxaPqFrbPNvp1XUsg4oKu4QIGr6Jz9XEdeGZ
YAz94ARMgsE24i0sHHT6RfeUuhpWDtytuMHCyq4RUPvhtaaEj4qFCLIeZHSzJsmCSYXIWgFs9Q31
qjHh+BkKWLXTu9PCQ1gJP++ok/27Elcy3FxJJ3brfBn0OE4nBu5hXR3OCLAwpnlqWtTexT06WWyu
BhnZjYdCD2b81LBg0fejP6f/60GeXb5ANa8WgKTXlhABt0Fw0iqAw+lwE5rMPQf5XMkEJ345ZPj1
asLUkZNvm7m5CZatn8H9fYoU87yAXbRvdAMGolLMWsm/qZG/rAyQXQlj3RMXtw0cT+YoO09kOT3u
ySzCvgRkIcEXx03UFXKHCxxcH8WOghzeQrYhV5cCE4n9QVgh1/JCyfutUcXJsvVzjCKjXY77Bnma
zY0Wlls69/rYG0sIu1eSv1MkwhB1Jb+KUeinvn9utrnDNDRvj6QWIAJCLY4Q7aJyMPsuAp6yWBkh
OvcBHxRbSieRTqi8LotWWpc2Li2j49/LJGXikSivFR0kQKnCdP775fB/d6H7ZeAmRknztA7q4bQ5
lMPZoeK4fIlp9w6Z+Ok+C9L6Av/k/8ovfS0nf3yhPw7PF734T0MbbCzv35TOz2/r+T3/6irxHe+6
eTz8/W860UCiaHZ0HbtYMfz62x9YrXtffkyRjMQOmw/hZsY/1ZdS/Zu79LP78OuP+HJDf/07rz7A
Q9aktfgivCB7lcv7PJF71T385Ba8ucI3t8AkOElWMXHSDTR+9AOvboH9SVUdhQ7DMEScryH/v7oF
d49JkEIbwcLioX7TDtmO8baJ+slteHOVb24DNr+yLdOloMhUKBRYWt+sBOeTThCVYRqGSqsCcfEj
3gaLPvC9D4T5SVX4lKaBCZylqiYM0W9uA2ZummxpCivBRvulf8jbYFvftdS/vRp4KPjw4gtn/K1b
b24D+4LK02LKBhoYQ3OEOJeH8L9/X3iznF92zvXj3/+G0RG+bDT1/8re8OYqrx4KXebZt1QAAZWD
jFX/zWqwAQpM28Tl8csD8+HuARsDhnXvvQeaboKFWDolzIs1+Df3wPmkodIm7wQLckCTZ/3Ih7sN
CMz/gpNSRvgMoEQqn/jGX28MLAUFfzdbwUYctsgzCPXhbgMFw8uD+hJ79mf58XsFg24olqwqCpAW
y4Hl9c1qsD7xI84HbhJrAoH+hzwmWMTvfSggBqGFwhFAWNlzK+D4v7oNwiWUFUHtINz07Zdj6WPt
j5blvHs1CNtTheAuDgiF3Elhnv/NbXAwTMWISJW5CwpxlgbsqQ/3ULxEmL13i1SJqEYgQh3Jonhz
GzgtydtioWi6QyH9XGF+uNuA0dW7t0jBiKMmMHSqZDISxdf9ajWAs1NSYOWBfa6wyf2IqwGV43v3
BhyE+ZoNvm2wI/k5EvbVbVAtxeE3TGLauVfmy+t9sL1B/ysOTI1ngabRxJCXAun1ahBDFpObo/DE
iBQ6Yaz74R4Kqt+3sYj/lUqazpHORKHF5uO+7qtoLxG1WKrFHZAJbfly2z/WajBNsaO9b4vkpECQ
x5xOjOpos1+XTxynNp0EDZcBadqkuviAq0G8/ffeBoG32MKgmiLymSH8ZovEOt42mEtyTFj6R10N
wgbp3asBWIky+lme+VwffbNF2oANPCo0li85oiKN6MPtDT/I+v7tvYFyWRXNE9RzkW8q7Kde3Qaw
OcoGi6Ex4Mszw/zj3QbK3/euBoJemTGCLrINCp77673B/gQ1n8LCJHlcaHaND1k3fK9Y/u3VIMQG
AmlU0Cd/31OQ3kX55FBBIgjQtOcE0o+3Gqj93rsaQOAcKgMVOTZBqoaQT796KGzReJFWRkVhqfLL
VvSxzktk53/BXTDAnEAbHVWEJLx5Jqi0cTkTkhDBKRF4xEfcIdm7/oLFAJjAWWE5tk1/+baIZIHQ
S9C8CMm+UNt8wIOCFOv33gZRLaMCstGwPoNwr1EX+xMwBDQntkaOUuFQ8CFvw/tRaeuTroAl6MKn
QQaBensbAO4pojlIeCBMyu1//Tb8CxvIn/O/qR/Ej8+Tv+BQ/WhA+LNf+Drw+v7nX4ZdArkWE61X
vygGgS+v/c/B4L+/gqyfgfdvfvgViH9+nS9//uUDfv/Sr17r66f6+h9XwaG8Kx/gGzzPJL+8zd1d
wuzwtvk5Me/nE8w/68ZfX9p7M+Gik+Qh+udn/PvfXt2Bb56vX13359E/73zDL1LDr2/wywBCYINf
/9MPp7n/0r34qdfJO9/yr7xZ33tptEc/DSl957XPsxjNUVO+mgIz7XmB8d67QM4f/G4Yv35pX7/H
5xL3L7j03dOTf9dUh+/e+3Pl/+4XqP9YInT9wdUFpPXeq5/cd3fx43cXf0FI3nvxXfD446sDH7//
re8OzYP/j/9TH+Kv1/ryxb7gGu9988fNw6FMD2+u/TJyeu+1N0159/bCz9Dcey+8LO+a+3/8R/r9
N/oCBL/7+vFd2VRv3/rzxOHdlz6kh/a7u/I8+n/vpRdlcJ+xd719388Do/defPKDVfIyqn/3le+q
QyxdoNZ+88ZfGEJ/zeWnLxSc71+Bdvy9r/C/8/yQjoc4/uOkqQ+ldOZn3y/Ml1n2X/dSGHT/4qUY
XL77pe5+cAq+sBJ+fekf1Wp/siu+r+C+sql+9Gevy1PxGw/x4a789/8LAAD//w==</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4.xml"/><Relationship Id="rId7" Type="http://schemas.openxmlformats.org/officeDocument/2006/relationships/chart" Target="../charts/chart7.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6.xml"/><Relationship Id="rId5" Type="http://schemas.microsoft.com/office/2014/relationships/chartEx" Target="../charts/chartEx1.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1</xdr:col>
      <xdr:colOff>127000</xdr:colOff>
      <xdr:row>17</xdr:row>
      <xdr:rowOff>114300</xdr:rowOff>
    </xdr:from>
    <xdr:to>
      <xdr:col>14</xdr:col>
      <xdr:colOff>63500</xdr:colOff>
      <xdr:row>43</xdr:row>
      <xdr:rowOff>19050</xdr:rowOff>
    </xdr:to>
    <xdr:graphicFrame macro="">
      <xdr:nvGraphicFramePr>
        <xdr:cNvPr id="2" name="Diagramm 1">
          <a:extLst>
            <a:ext uri="{FF2B5EF4-FFF2-40B4-BE49-F238E27FC236}">
              <a16:creationId xmlns:a16="http://schemas.microsoft.com/office/drawing/2014/main" id="{5E792239-4CE1-4592-B68A-39F08ED80B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17640</xdr:rowOff>
    </xdr:from>
    <xdr:to>
      <xdr:col>3</xdr:col>
      <xdr:colOff>0</xdr:colOff>
      <xdr:row>31</xdr:row>
      <xdr:rowOff>0</xdr:rowOff>
    </xdr:to>
    <xdr:graphicFrame macro="">
      <xdr:nvGraphicFramePr>
        <xdr:cNvPr id="2" name="Diagramm 1">
          <a:extLst>
            <a:ext uri="{FF2B5EF4-FFF2-40B4-BE49-F238E27FC236}">
              <a16:creationId xmlns:a16="http://schemas.microsoft.com/office/drawing/2014/main" id="{02FA9ED4-6DA4-498A-9F68-2A7CE6BEB0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2829983</xdr:colOff>
      <xdr:row>4</xdr:row>
      <xdr:rowOff>0</xdr:rowOff>
    </xdr:from>
    <xdr:to>
      <xdr:col>6</xdr:col>
      <xdr:colOff>0</xdr:colOff>
      <xdr:row>30</xdr:row>
      <xdr:rowOff>171449</xdr:rowOff>
    </xdr:to>
    <xdr:graphicFrame macro="">
      <xdr:nvGraphicFramePr>
        <xdr:cNvPr id="3" name="Diagramm 2">
          <a:extLst>
            <a:ext uri="{FF2B5EF4-FFF2-40B4-BE49-F238E27FC236}">
              <a16:creationId xmlns:a16="http://schemas.microsoft.com/office/drawing/2014/main" id="{9A928724-2CDB-4F0A-8A03-9BE64DA113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3</xdr:col>
      <xdr:colOff>12700</xdr:colOff>
      <xdr:row>64</xdr:row>
      <xdr:rowOff>15874</xdr:rowOff>
    </xdr:to>
    <xdr:graphicFrame macro="">
      <xdr:nvGraphicFramePr>
        <xdr:cNvPr id="4" name="Diagramm 3">
          <a:extLst>
            <a:ext uri="{FF2B5EF4-FFF2-40B4-BE49-F238E27FC236}">
              <a16:creationId xmlns:a16="http://schemas.microsoft.com/office/drawing/2014/main" id="{6FD32B1D-6784-4EF3-BB07-816FC517E6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64</xdr:row>
      <xdr:rowOff>50799</xdr:rowOff>
    </xdr:from>
    <xdr:to>
      <xdr:col>6</xdr:col>
      <xdr:colOff>0</xdr:colOff>
      <xdr:row>92</xdr:row>
      <xdr:rowOff>0</xdr:rowOff>
    </xdr:to>
    <xdr:graphicFrame macro="">
      <xdr:nvGraphicFramePr>
        <xdr:cNvPr id="9" name="Diagramm 8">
          <a:extLst>
            <a:ext uri="{FF2B5EF4-FFF2-40B4-BE49-F238E27FC236}">
              <a16:creationId xmlns:a16="http://schemas.microsoft.com/office/drawing/2014/main" id="{E2219C3F-1071-40E2-A393-283D519623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64</xdr:row>
      <xdr:rowOff>0</xdr:rowOff>
    </xdr:from>
    <xdr:to>
      <xdr:col>3</xdr:col>
      <xdr:colOff>0</xdr:colOff>
      <xdr:row>92</xdr:row>
      <xdr:rowOff>0</xdr:rowOff>
    </xdr:to>
    <mc:AlternateContent xmlns:mc="http://schemas.openxmlformats.org/markup-compatibility/2006">
      <mc:Choice xmlns:cx4="http://schemas.microsoft.com/office/drawing/2016/5/10/chartex" Requires="cx4">
        <xdr:graphicFrame macro="">
          <xdr:nvGraphicFramePr>
            <xdr:cNvPr id="8" name="Diagramm 7">
              <a:extLst>
                <a:ext uri="{FF2B5EF4-FFF2-40B4-BE49-F238E27FC236}">
                  <a16:creationId xmlns:a16="http://schemas.microsoft.com/office/drawing/2014/main" id="{82049080-7EF3-4D1A-9A45-BA9C78026BD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0" y="12465050"/>
              <a:ext cx="8515350" cy="51562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twoCellAnchor>
    <xdr:from>
      <xdr:col>0</xdr:col>
      <xdr:colOff>0</xdr:colOff>
      <xdr:row>92</xdr:row>
      <xdr:rowOff>0</xdr:rowOff>
    </xdr:from>
    <xdr:to>
      <xdr:col>3</xdr:col>
      <xdr:colOff>0</xdr:colOff>
      <xdr:row>125</xdr:row>
      <xdr:rowOff>0</xdr:rowOff>
    </xdr:to>
    <xdr:graphicFrame macro="">
      <xdr:nvGraphicFramePr>
        <xdr:cNvPr id="10" name="Diagramm 9">
          <a:extLst>
            <a:ext uri="{FF2B5EF4-FFF2-40B4-BE49-F238E27FC236}">
              <a16:creationId xmlns:a16="http://schemas.microsoft.com/office/drawing/2014/main" id="{ACF68A04-80F5-492B-AFC4-394AD339D9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0</xdr:colOff>
      <xdr:row>92</xdr:row>
      <xdr:rowOff>0</xdr:rowOff>
    </xdr:from>
    <xdr:to>
      <xdr:col>6</xdr:col>
      <xdr:colOff>0</xdr:colOff>
      <xdr:row>125</xdr:row>
      <xdr:rowOff>0</xdr:rowOff>
    </xdr:to>
    <xdr:graphicFrame macro="">
      <xdr:nvGraphicFramePr>
        <xdr:cNvPr id="11" name="Diagramm 10">
          <a:extLst>
            <a:ext uri="{FF2B5EF4-FFF2-40B4-BE49-F238E27FC236}">
              <a16:creationId xmlns:a16="http://schemas.microsoft.com/office/drawing/2014/main" id="{7E1517AC-F6BC-4D8E-B8D2-405E3EC7E3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0</xdr:colOff>
      <xdr:row>31</xdr:row>
      <xdr:rowOff>0</xdr:rowOff>
    </xdr:from>
    <xdr:to>
      <xdr:col>6</xdr:col>
      <xdr:colOff>0</xdr:colOff>
      <xdr:row>64</xdr:row>
      <xdr:rowOff>0</xdr:rowOff>
    </xdr:to>
    <xdr:graphicFrame macro="">
      <xdr:nvGraphicFramePr>
        <xdr:cNvPr id="12" name="Diagramm 11">
          <a:extLst>
            <a:ext uri="{FF2B5EF4-FFF2-40B4-BE49-F238E27FC236}">
              <a16:creationId xmlns:a16="http://schemas.microsoft.com/office/drawing/2014/main" id="{9CD9492C-59B8-4067-B255-6BC198F490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31</xdr:col>
      <xdr:colOff>0</xdr:colOff>
      <xdr:row>2</xdr:row>
      <xdr:rowOff>0</xdr:rowOff>
    </xdr:from>
    <xdr:ext cx="65" cy="344453"/>
    <xdr:sp macro="" textlink="">
      <xdr:nvSpPr>
        <xdr:cNvPr id="9" name="Textfeld 8">
          <a:extLst>
            <a:ext uri="{FF2B5EF4-FFF2-40B4-BE49-F238E27FC236}">
              <a16:creationId xmlns:a16="http://schemas.microsoft.com/office/drawing/2014/main" id="{0D635330-4175-4AC8-84DF-5F0123BDA186}"/>
            </a:ext>
          </a:extLst>
        </xdr:cNvPr>
        <xdr:cNvSpPr txBox="1"/>
      </xdr:nvSpPr>
      <xdr:spPr>
        <a:xfrm>
          <a:off x="12782550" y="368300"/>
          <a:ext cx="65"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br>
            <a:rPr lang="de-CH"/>
          </a:br>
          <a:endParaRPr lang="de-CH" sz="1100"/>
        </a:p>
      </xdr:txBody>
    </xdr:sp>
    <xdr:clientData/>
  </xdr:oneCellAnchor>
  <xdr:oneCellAnchor>
    <xdr:from>
      <xdr:col>31</xdr:col>
      <xdr:colOff>0</xdr:colOff>
      <xdr:row>3</xdr:row>
      <xdr:rowOff>0</xdr:rowOff>
    </xdr:from>
    <xdr:ext cx="6465231" cy="516680"/>
    <mc:AlternateContent xmlns:mc="http://schemas.openxmlformats.org/markup-compatibility/2006" xmlns:a14="http://schemas.microsoft.com/office/drawing/2010/main">
      <mc:Choice Requires="a14">
        <xdr:sp macro="" textlink="">
          <xdr:nvSpPr>
            <xdr:cNvPr id="3" name="Textfeld 2">
              <a:extLst>
                <a:ext uri="{FF2B5EF4-FFF2-40B4-BE49-F238E27FC236}">
                  <a16:creationId xmlns:a16="http://schemas.microsoft.com/office/drawing/2014/main" id="{CF68A06C-6D5A-4112-BD02-747EF8914C6F}"/>
                </a:ext>
              </a:extLst>
            </xdr:cNvPr>
            <xdr:cNvSpPr txBox="1"/>
          </xdr:nvSpPr>
          <xdr:spPr>
            <a:xfrm>
              <a:off x="12782550" y="552450"/>
              <a:ext cx="6465231" cy="516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de-CH">
                        <a:effectLst/>
                      </a:rPr>
                      <m:t>=</m:t>
                    </m:r>
                    <m:r>
                      <m:rPr>
                        <m:nor/>
                      </m:rPr>
                      <a:rPr lang="de-CH">
                        <a:effectLst/>
                      </a:rPr>
                      <m:t>BEREICH</m:t>
                    </m:r>
                    <m:r>
                      <m:rPr>
                        <m:nor/>
                      </m:rPr>
                      <a:rPr lang="de-CH">
                        <a:effectLst/>
                      </a:rPr>
                      <m:t>.</m:t>
                    </m:r>
                    <m:r>
                      <m:rPr>
                        <m:nor/>
                      </m:rPr>
                      <a:rPr lang="de-CH">
                        <a:effectLst/>
                      </a:rPr>
                      <m:t>VERSCHIEBEN</m:t>
                    </m:r>
                    <m:r>
                      <m:rPr>
                        <m:nor/>
                      </m:rPr>
                      <a:rPr lang="de-CH">
                        <a:effectLst/>
                      </a:rPr>
                      <m:t>(</m:t>
                    </m:r>
                    <m:r>
                      <m:rPr>
                        <m:nor/>
                      </m:rPr>
                      <a:rPr lang="de-CH" b="0" i="0">
                        <a:effectLst/>
                      </a:rPr>
                      <m:t>Fallzahlen</m:t>
                    </m:r>
                    <m:r>
                      <m:rPr>
                        <m:nor/>
                      </m:rPr>
                      <a:rPr lang="de-CH" b="0" i="0">
                        <a:effectLst/>
                      </a:rPr>
                      <m:t>_</m:t>
                    </m:r>
                    <m:r>
                      <m:rPr>
                        <m:nor/>
                      </m:rPr>
                      <a:rPr lang="de-CH" b="0" i="0">
                        <a:effectLst/>
                      </a:rPr>
                      <m:t>CH</m:t>
                    </m:r>
                    <m:r>
                      <m:rPr>
                        <m:nor/>
                      </m:rPr>
                      <a:rPr lang="de-CH">
                        <a:effectLst/>
                      </a:rPr>
                      <m:t>!$</m:t>
                    </m:r>
                    <m:r>
                      <m:rPr>
                        <m:nor/>
                      </m:rPr>
                      <a:rPr lang="de-CH">
                        <a:effectLst/>
                      </a:rPr>
                      <m:t>A</m:t>
                    </m:r>
                    <m:r>
                      <m:rPr>
                        <m:nor/>
                      </m:rPr>
                      <a:rPr lang="de-CH">
                        <a:effectLst/>
                      </a:rPr>
                      <m:t>$1;;;</m:t>
                    </m:r>
                    <m:r>
                      <m:rPr>
                        <m:nor/>
                      </m:rPr>
                      <a:rPr lang="de-CH">
                        <a:effectLst/>
                      </a:rPr>
                      <m:t>ANZAHL</m:t>
                    </m:r>
                    <m:r>
                      <m:rPr>
                        <m:nor/>
                      </m:rPr>
                      <a:rPr lang="de-CH">
                        <a:effectLst/>
                      </a:rPr>
                      <m:t>2(</m:t>
                    </m:r>
                    <m:r>
                      <m:rPr>
                        <m:nor/>
                      </m:rPr>
                      <a:rPr lang="de-CH" sz="1100" b="0" i="0">
                        <a:solidFill>
                          <a:schemeClr val="tx1"/>
                        </a:solidFill>
                        <a:effectLst/>
                        <a:latin typeface="+mn-lt"/>
                        <a:ea typeface="+mn-ea"/>
                        <a:cs typeface="+mn-cs"/>
                      </a:rPr>
                      <m:t>Fallzahlen</m:t>
                    </m:r>
                    <m:r>
                      <m:rPr>
                        <m:nor/>
                      </m:rPr>
                      <a:rPr lang="de-CH" sz="1100" b="0" i="0">
                        <a:solidFill>
                          <a:schemeClr val="tx1"/>
                        </a:solidFill>
                        <a:effectLst/>
                        <a:latin typeface="+mn-lt"/>
                        <a:ea typeface="+mn-ea"/>
                        <a:cs typeface="+mn-cs"/>
                      </a:rPr>
                      <m:t>_</m:t>
                    </m:r>
                    <m:r>
                      <m:rPr>
                        <m:nor/>
                      </m:rPr>
                      <a:rPr lang="de-CH" sz="1100" b="0" i="0">
                        <a:solidFill>
                          <a:schemeClr val="tx1"/>
                        </a:solidFill>
                        <a:effectLst/>
                        <a:latin typeface="+mn-lt"/>
                        <a:ea typeface="+mn-ea"/>
                        <a:cs typeface="+mn-cs"/>
                      </a:rPr>
                      <m:t>CH</m:t>
                    </m:r>
                    <m:r>
                      <m:rPr>
                        <m:nor/>
                      </m:rPr>
                      <a:rPr lang="de-CH">
                        <a:effectLst/>
                      </a:rPr>
                      <m:t>!$</m:t>
                    </m:r>
                    <m:r>
                      <m:rPr>
                        <m:nor/>
                      </m:rPr>
                      <a:rPr lang="de-CH">
                        <a:effectLst/>
                      </a:rPr>
                      <m:t>A</m:t>
                    </m:r>
                    <m:r>
                      <m:rPr>
                        <m:nor/>
                      </m:rPr>
                      <a:rPr lang="de-CH">
                        <a:effectLst/>
                      </a:rPr>
                      <m:t>:$</m:t>
                    </m:r>
                    <m:r>
                      <m:rPr>
                        <m:nor/>
                      </m:rPr>
                      <a:rPr lang="de-CH">
                        <a:effectLst/>
                      </a:rPr>
                      <m:t>A</m:t>
                    </m:r>
                    <m:r>
                      <m:rPr>
                        <m:nor/>
                      </m:rPr>
                      <a:rPr lang="de-CH">
                        <a:effectLst/>
                      </a:rPr>
                      <m:t>);</m:t>
                    </m:r>
                    <m:r>
                      <m:rPr>
                        <m:nor/>
                      </m:rPr>
                      <a:rPr lang="de-CH">
                        <a:effectLst/>
                      </a:rPr>
                      <m:t>ANZAHL</m:t>
                    </m:r>
                    <m:r>
                      <m:rPr>
                        <m:nor/>
                      </m:rPr>
                      <a:rPr lang="de-CH">
                        <a:effectLst/>
                      </a:rPr>
                      <m:t>2(</m:t>
                    </m:r>
                    <m:r>
                      <m:rPr>
                        <m:nor/>
                      </m:rPr>
                      <a:rPr lang="de-CH" sz="1100" b="0" i="0">
                        <a:solidFill>
                          <a:schemeClr val="tx1"/>
                        </a:solidFill>
                        <a:effectLst/>
                        <a:latin typeface="+mn-lt"/>
                        <a:ea typeface="+mn-ea"/>
                        <a:cs typeface="+mn-cs"/>
                      </a:rPr>
                      <m:t>Fallzahlen</m:t>
                    </m:r>
                    <m:r>
                      <m:rPr>
                        <m:nor/>
                      </m:rPr>
                      <a:rPr lang="de-CH" sz="1100" b="0" i="0">
                        <a:solidFill>
                          <a:schemeClr val="tx1"/>
                        </a:solidFill>
                        <a:effectLst/>
                        <a:latin typeface="+mn-lt"/>
                        <a:ea typeface="+mn-ea"/>
                        <a:cs typeface="+mn-cs"/>
                      </a:rPr>
                      <m:t>_</m:t>
                    </m:r>
                    <m:r>
                      <m:rPr>
                        <m:nor/>
                      </m:rPr>
                      <a:rPr lang="de-CH" sz="1100" b="0" i="0">
                        <a:solidFill>
                          <a:schemeClr val="tx1"/>
                        </a:solidFill>
                        <a:effectLst/>
                        <a:latin typeface="+mn-lt"/>
                        <a:ea typeface="+mn-ea"/>
                        <a:cs typeface="+mn-cs"/>
                      </a:rPr>
                      <m:t>CH</m:t>
                    </m:r>
                    <m:r>
                      <m:rPr>
                        <m:nor/>
                      </m:rPr>
                      <a:rPr lang="de-CH">
                        <a:effectLst/>
                      </a:rPr>
                      <m:t>!$1:$1))</m:t>
                    </m:r>
                  </m:oMath>
                </m:oMathPara>
              </a14:m>
              <a:endParaRPr lang="de-CH">
                <a:effectLst/>
              </a:endParaRPr>
            </a:p>
            <a:p>
              <a:br>
                <a:rPr lang="de-CH"/>
              </a:br>
              <a:endParaRPr lang="de-CH" sz="1100"/>
            </a:p>
          </xdr:txBody>
        </xdr:sp>
      </mc:Choice>
      <mc:Fallback xmlns="">
        <xdr:sp macro="" textlink="">
          <xdr:nvSpPr>
            <xdr:cNvPr id="3" name="Textfeld 2">
              <a:extLst>
                <a:ext uri="{FF2B5EF4-FFF2-40B4-BE49-F238E27FC236}">
                  <a16:creationId xmlns:a16="http://schemas.microsoft.com/office/drawing/2014/main" id="{CF68A06C-6D5A-4112-BD02-747EF8914C6F}"/>
                </a:ext>
              </a:extLst>
            </xdr:cNvPr>
            <xdr:cNvSpPr txBox="1"/>
          </xdr:nvSpPr>
          <xdr:spPr>
            <a:xfrm>
              <a:off x="12782550" y="552450"/>
              <a:ext cx="6465231" cy="516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de-CH" i="0">
                  <a:effectLst/>
                  <a:latin typeface="Cambria Math" panose="02040503050406030204" pitchFamily="18" charset="0"/>
                </a:rPr>
                <a:t>"=BEREICH.VERSCHIEBEN(</a:t>
              </a:r>
              <a:r>
                <a:rPr lang="de-CH" b="0" i="0">
                  <a:effectLst/>
                  <a:latin typeface="Cambria Math" panose="02040503050406030204" pitchFamily="18" charset="0"/>
                </a:rPr>
                <a:t>Fallzahlen_CH</a:t>
              </a:r>
              <a:r>
                <a:rPr lang="de-CH" i="0">
                  <a:effectLst/>
                  <a:latin typeface="Cambria Math" panose="02040503050406030204" pitchFamily="18" charset="0"/>
                </a:rPr>
                <a:t>!$A$1;;;ANZAHL2(</a:t>
              </a:r>
              <a:r>
                <a:rPr lang="de-CH" sz="1100" b="0" i="0">
                  <a:solidFill>
                    <a:schemeClr val="tx1"/>
                  </a:solidFill>
                  <a:effectLst/>
                  <a:latin typeface="Cambria Math" panose="02040503050406030204" pitchFamily="18" charset="0"/>
                  <a:ea typeface="+mn-ea"/>
                  <a:cs typeface="+mn-cs"/>
                </a:rPr>
                <a:t>Fallzahlen_CH</a:t>
              </a:r>
              <a:r>
                <a:rPr lang="de-CH" i="0">
                  <a:effectLst/>
                  <a:latin typeface="Cambria Math" panose="02040503050406030204" pitchFamily="18" charset="0"/>
                </a:rPr>
                <a:t>!$A:$A);ANZAHL2(</a:t>
              </a:r>
              <a:r>
                <a:rPr lang="de-CH" sz="1100" b="0" i="0">
                  <a:solidFill>
                    <a:schemeClr val="tx1"/>
                  </a:solidFill>
                  <a:effectLst/>
                  <a:latin typeface="Cambria Math" panose="02040503050406030204" pitchFamily="18" charset="0"/>
                  <a:ea typeface="+mn-ea"/>
                  <a:cs typeface="+mn-cs"/>
                </a:rPr>
                <a:t>Fallzahlen_CH</a:t>
              </a:r>
              <a:r>
                <a:rPr lang="de-CH" i="0">
                  <a:effectLst/>
                  <a:latin typeface="Cambria Math" panose="02040503050406030204" pitchFamily="18" charset="0"/>
                </a:rPr>
                <a:t>!$1:$1))</a:t>
              </a:r>
              <a:r>
                <a:rPr lang="de-CH" i="0">
                  <a:effectLst/>
                </a:rPr>
                <a:t>"</a:t>
              </a:r>
              <a:endParaRPr lang="de-CH">
                <a:effectLst/>
              </a:endParaRPr>
            </a:p>
            <a:p>
              <a:br>
                <a:rPr lang="de-CH"/>
              </a:br>
              <a:endParaRPr lang="de-CH" sz="1100"/>
            </a:p>
          </xdr:txBody>
        </xdr:sp>
      </mc:Fallback>
    </mc:AlternateContent>
    <xdr:clientData/>
  </xdr:oneCellAnchor>
  <xdr:twoCellAnchor>
    <xdr:from>
      <xdr:col>31</xdr:col>
      <xdr:colOff>0</xdr:colOff>
      <xdr:row>11</xdr:row>
      <xdr:rowOff>0</xdr:rowOff>
    </xdr:from>
    <xdr:to>
      <xdr:col>42</xdr:col>
      <xdr:colOff>127000</xdr:colOff>
      <xdr:row>43</xdr:row>
      <xdr:rowOff>160866</xdr:rowOff>
    </xdr:to>
    <xdr:graphicFrame macro="">
      <xdr:nvGraphicFramePr>
        <xdr:cNvPr id="4" name="Diagramm 3">
          <a:extLst>
            <a:ext uri="{FF2B5EF4-FFF2-40B4-BE49-F238E27FC236}">
              <a16:creationId xmlns:a16="http://schemas.microsoft.com/office/drawing/2014/main" id="{66284E70-9B7C-49CD-9C3E-FFD7EEE777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3174</xdr:colOff>
      <xdr:row>1</xdr:row>
      <xdr:rowOff>28574</xdr:rowOff>
    </xdr:from>
    <xdr:to>
      <xdr:col>13</xdr:col>
      <xdr:colOff>1670050</xdr:colOff>
      <xdr:row>23</xdr:row>
      <xdr:rowOff>184149</xdr:rowOff>
    </xdr:to>
    <xdr:graphicFrame macro="">
      <xdr:nvGraphicFramePr>
        <xdr:cNvPr id="2" name="Diagramm 1">
          <a:extLst>
            <a:ext uri="{FF2B5EF4-FFF2-40B4-BE49-F238E27FC236}">
              <a16:creationId xmlns:a16="http://schemas.microsoft.com/office/drawing/2014/main" id="{56F89771-E519-436C-8E7A-2B443879E3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257174</xdr:colOff>
      <xdr:row>33</xdr:row>
      <xdr:rowOff>171450</xdr:rowOff>
    </xdr:from>
    <xdr:to>
      <xdr:col>20</xdr:col>
      <xdr:colOff>736599</xdr:colOff>
      <xdr:row>80</xdr:row>
      <xdr:rowOff>88900</xdr:rowOff>
    </xdr:to>
    <mc:AlternateContent xmlns:mc="http://schemas.openxmlformats.org/markup-compatibility/2006">
      <mc:Choice xmlns:cx4="http://schemas.microsoft.com/office/drawing/2016/5/10/chartex" Requires="cx4">
        <xdr:graphicFrame macro="">
          <xdr:nvGraphicFramePr>
            <xdr:cNvPr id="2" name="Diagramm 1">
              <a:extLst>
                <a:ext uri="{FF2B5EF4-FFF2-40B4-BE49-F238E27FC236}">
                  <a16:creationId xmlns:a16="http://schemas.microsoft.com/office/drawing/2014/main" id="{9E89ACDE-3CA2-478D-8903-C57ABA1AA07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565524" y="6248400"/>
              <a:ext cx="12671425" cy="85725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2.579979861111" createdVersion="6" refreshedVersion="6" minRefreshableVersion="3" recordCount="1054" xr:uid="{1CBA11BE-5F27-43AB-BA79-15C6804C0468}">
  <cacheSource type="worksheet">
    <worksheetSource ref="A1:I1048576" sheet="Sterblichkeit_2010-2019"/>
  </cacheSource>
  <cacheFields count="9">
    <cacheField name="KJ" numFmtId="0">
      <sharedItems containsString="0" containsBlank="1" containsNumber="1" containsInteger="1" minValue="2010" maxValue="2019"/>
    </cacheField>
    <cacheField name="Kalenderwoche" numFmtId="0">
      <sharedItems containsString="0" containsBlank="1" containsNumber="1" containsInteger="1" minValue="1" maxValue="53"/>
    </cacheField>
    <cacheField name="Endend" numFmtId="0">
      <sharedItems containsNonDate="0" containsDate="1" containsString="0" containsBlank="1" minDate="2010-01-10T00:00:00" maxDate="2019-12-30T00:00:00" count="522">
        <d v="2010-01-10T00:00:00"/>
        <d v="2010-01-17T00:00:00"/>
        <d v="2010-01-24T00:00:00"/>
        <d v="2010-01-31T00:00:00"/>
        <d v="2010-02-07T00:00:00"/>
        <d v="2010-02-14T00:00:00"/>
        <d v="2010-02-21T00:00:00"/>
        <d v="2010-02-28T00:00:00"/>
        <d v="2010-03-07T00:00:00"/>
        <d v="2010-03-14T00:00:00"/>
        <d v="2010-03-21T00:00:00"/>
        <d v="2010-03-28T00:00:00"/>
        <d v="2010-04-04T00:00:00"/>
        <d v="2010-04-11T00:00:00"/>
        <d v="2010-04-18T00:00:00"/>
        <d v="2010-04-25T00:00:00"/>
        <d v="2010-05-02T00:00:00"/>
        <d v="2010-05-09T00:00:00"/>
        <d v="2010-05-16T00:00:00"/>
        <d v="2010-05-23T00:00:00"/>
        <d v="2010-05-30T00:00:00"/>
        <d v="2010-06-06T00:00:00"/>
        <d v="2010-06-13T00:00:00"/>
        <d v="2010-06-20T00:00:00"/>
        <d v="2010-06-27T00:00:00"/>
        <d v="2010-07-04T00:00:00"/>
        <d v="2010-07-11T00:00:00"/>
        <d v="2010-07-18T00:00:00"/>
        <d v="2010-07-25T00:00:00"/>
        <d v="2010-08-01T00:00:00"/>
        <d v="2010-08-08T00:00:00"/>
        <d v="2010-08-15T00:00:00"/>
        <d v="2010-08-22T00:00:00"/>
        <d v="2010-08-29T00:00:00"/>
        <d v="2010-09-05T00:00:00"/>
        <d v="2010-09-12T00:00:00"/>
        <d v="2010-09-19T00:00:00"/>
        <d v="2010-09-26T00:00:00"/>
        <d v="2010-10-03T00:00:00"/>
        <d v="2010-10-10T00:00:00"/>
        <d v="2010-10-17T00:00:00"/>
        <d v="2010-10-24T00:00:00"/>
        <d v="2010-10-31T00:00:00"/>
        <d v="2010-11-07T00:00:00"/>
        <d v="2010-11-14T00:00:00"/>
        <d v="2010-11-21T00:00:00"/>
        <d v="2010-11-28T00:00:00"/>
        <d v="2010-12-05T00:00:00"/>
        <d v="2010-12-12T00:00:00"/>
        <d v="2010-12-19T00:00:00"/>
        <d v="2010-12-26T00:00:00"/>
        <d v="2011-01-02T00:00:00"/>
        <d v="2011-01-09T00:00:00"/>
        <d v="2011-01-16T00:00:00"/>
        <d v="2011-01-23T00:00:00"/>
        <d v="2011-01-30T00:00:00"/>
        <d v="2011-02-06T00:00:00"/>
        <d v="2011-02-13T00:00:00"/>
        <d v="2011-02-20T00:00:00"/>
        <d v="2011-02-27T00:00:00"/>
        <d v="2011-03-06T00:00:00"/>
        <d v="2011-03-13T00:00:00"/>
        <d v="2011-03-20T00:00:00"/>
        <d v="2011-03-27T00:00:00"/>
        <d v="2011-04-03T00:00:00"/>
        <d v="2011-04-10T00:00:00"/>
        <d v="2011-04-17T00:00:00"/>
        <d v="2011-04-24T00:00:00"/>
        <d v="2011-05-01T00:00:00"/>
        <d v="2011-05-08T00:00:00"/>
        <d v="2011-05-15T00:00:00"/>
        <d v="2011-05-22T00:00:00"/>
        <d v="2011-05-29T00:00:00"/>
        <d v="2011-06-05T00:00:00"/>
        <d v="2011-06-12T00:00:00"/>
        <d v="2011-06-19T00:00:00"/>
        <d v="2011-06-26T00:00:00"/>
        <d v="2011-07-03T00:00:00"/>
        <d v="2011-07-10T00:00:00"/>
        <d v="2011-07-17T00:00:00"/>
        <d v="2011-07-24T00:00:00"/>
        <d v="2011-07-31T00:00:00"/>
        <d v="2011-08-07T00:00:00"/>
        <d v="2011-08-14T00:00:00"/>
        <d v="2011-08-21T00:00:00"/>
        <d v="2011-08-28T00:00:00"/>
        <d v="2011-09-04T00:00:00"/>
        <d v="2011-09-11T00:00:00"/>
        <d v="2011-09-18T00:00:00"/>
        <d v="2011-09-25T00:00:00"/>
        <d v="2011-10-02T00:00:00"/>
        <d v="2011-10-09T00:00:00"/>
        <d v="2011-10-16T00:00:00"/>
        <d v="2011-10-23T00:00:00"/>
        <d v="2011-10-30T00:00:00"/>
        <d v="2011-11-06T00:00:00"/>
        <d v="2011-11-13T00:00:00"/>
        <d v="2011-11-20T00:00:00"/>
        <d v="2011-11-27T00:00:00"/>
        <d v="2011-12-04T00:00:00"/>
        <d v="2011-12-11T00:00:00"/>
        <d v="2011-12-18T00:00:00"/>
        <d v="2011-12-25T00:00:00"/>
        <d v="2012-01-01T00:00:00"/>
        <d v="2012-01-08T00:00:00"/>
        <d v="2012-01-15T00:00:00"/>
        <d v="2012-01-22T00:00:00"/>
        <d v="2012-01-29T00:00:00"/>
        <d v="2012-02-05T00:00:00"/>
        <d v="2012-02-12T00:00:00"/>
        <d v="2012-02-19T00:00:00"/>
        <d v="2012-02-26T00:00:00"/>
        <d v="2012-03-04T00:00:00"/>
        <d v="2012-03-11T00:00:00"/>
        <d v="2012-03-18T00:00:00"/>
        <d v="2012-03-25T00:00:00"/>
        <d v="2012-04-01T00:00:00"/>
        <d v="2012-04-08T00:00:00"/>
        <d v="2012-04-15T00:00:00"/>
        <d v="2012-04-22T00:00:00"/>
        <d v="2012-04-29T00:00:00"/>
        <d v="2012-05-06T00:00:00"/>
        <d v="2012-05-13T00:00:00"/>
        <d v="2012-05-20T00:00:00"/>
        <d v="2012-05-27T00:00:00"/>
        <d v="2012-06-03T00:00:00"/>
        <d v="2012-06-10T00:00:00"/>
        <d v="2012-06-17T00:00:00"/>
        <d v="2012-06-24T00:00:00"/>
        <d v="2012-07-01T00:00:00"/>
        <d v="2012-07-08T00:00:00"/>
        <d v="2012-07-15T00:00:00"/>
        <d v="2012-07-22T00:00:00"/>
        <d v="2012-07-29T00:00:00"/>
        <d v="2012-08-05T00:00:00"/>
        <d v="2012-08-12T00:00:00"/>
        <d v="2012-08-19T00:00:00"/>
        <d v="2012-08-26T00:00:00"/>
        <d v="2012-09-02T00:00:00"/>
        <d v="2012-09-09T00:00:00"/>
        <d v="2012-09-16T00:00:00"/>
        <d v="2012-09-23T00:00:00"/>
        <d v="2012-09-30T00:00:00"/>
        <d v="2012-10-07T00:00:00"/>
        <d v="2012-10-14T00:00:00"/>
        <d v="2012-10-21T00:00:00"/>
        <d v="2012-10-28T00:00:00"/>
        <d v="2012-11-04T00:00:00"/>
        <d v="2012-11-11T00:00:00"/>
        <d v="2012-11-18T00:00:00"/>
        <d v="2012-11-25T00:00:00"/>
        <d v="2012-12-02T00:00:00"/>
        <d v="2012-12-09T00:00:00"/>
        <d v="2012-12-16T00:00:00"/>
        <d v="2012-12-23T00:00:00"/>
        <d v="2012-12-30T00:00:00"/>
        <d v="2013-01-06T00:00:00"/>
        <d v="2013-01-13T00:00:00"/>
        <d v="2013-01-20T00:00:00"/>
        <d v="2013-01-27T00:00:00"/>
        <d v="2013-02-03T00:00:00"/>
        <d v="2013-02-10T00:00:00"/>
        <d v="2013-02-17T00:00:00"/>
        <d v="2013-02-24T00:00:00"/>
        <d v="2013-03-03T00:00:00"/>
        <d v="2013-03-10T00:00:00"/>
        <d v="2013-03-17T00:00:00"/>
        <d v="2013-03-24T00:00:00"/>
        <d v="2013-03-31T00:00:00"/>
        <d v="2013-04-07T00:00:00"/>
        <d v="2013-04-14T00:00:00"/>
        <d v="2013-04-21T00:00:00"/>
        <d v="2013-04-28T00:00:00"/>
        <d v="2013-05-05T00:00:00"/>
        <d v="2013-05-12T00:00:00"/>
        <d v="2013-05-19T00:00:00"/>
        <d v="2013-05-26T00:00:00"/>
        <d v="2013-06-02T00:00:00"/>
        <d v="2013-06-09T00:00:00"/>
        <d v="2013-06-16T00:00:00"/>
        <d v="2013-06-23T00:00:00"/>
        <d v="2013-06-30T00:00:00"/>
        <d v="2013-07-07T00:00:00"/>
        <d v="2013-07-14T00:00:00"/>
        <d v="2013-07-21T00:00:00"/>
        <d v="2013-07-28T00:00:00"/>
        <d v="2013-08-04T00:00:00"/>
        <d v="2013-08-11T00:00:00"/>
        <d v="2013-08-18T00:00:00"/>
        <d v="2013-08-25T00:00:00"/>
        <d v="2013-09-01T00:00:00"/>
        <d v="2013-09-08T00:00:00"/>
        <d v="2013-09-15T00:00:00"/>
        <d v="2013-09-22T00:00:00"/>
        <d v="2013-09-29T00:00:00"/>
        <d v="2013-10-06T00:00:00"/>
        <d v="2013-10-13T00:00:00"/>
        <d v="2013-10-20T00:00:00"/>
        <d v="2013-10-27T00:00:00"/>
        <d v="2013-11-03T00:00:00"/>
        <d v="2013-11-10T00:00:00"/>
        <d v="2013-11-17T00:00:00"/>
        <d v="2013-11-24T00:00:00"/>
        <d v="2013-12-01T00:00:00"/>
        <d v="2013-12-08T00:00:00"/>
        <d v="2013-12-15T00:00:00"/>
        <d v="2013-12-22T00:00:00"/>
        <d v="2013-12-29T00:00:00"/>
        <d v="2014-01-05T00:00:00"/>
        <d v="2014-01-12T00:00:00"/>
        <d v="2014-01-19T00:00:00"/>
        <d v="2014-01-26T00:00:00"/>
        <d v="2014-02-02T00:00:00"/>
        <d v="2014-02-09T00:00:00"/>
        <d v="2014-02-16T00:00:00"/>
        <d v="2014-02-23T00:00:00"/>
        <d v="2014-03-02T00:00:00"/>
        <d v="2014-03-09T00:00:00"/>
        <d v="2014-03-16T00:00:00"/>
        <d v="2014-03-23T00:00:00"/>
        <d v="2014-03-30T00:00:00"/>
        <d v="2014-04-06T00:00:00"/>
        <d v="2014-04-13T00:00:00"/>
        <d v="2014-04-20T00:00:00"/>
        <d v="2014-04-27T00:00:00"/>
        <d v="2014-05-04T00:00:00"/>
        <d v="2014-05-11T00:00:00"/>
        <d v="2014-05-18T00:00:00"/>
        <d v="2014-05-25T00:00:00"/>
        <d v="2014-06-01T00:00:00"/>
        <d v="2014-06-08T00:00:00"/>
        <d v="2014-06-15T00:00:00"/>
        <d v="2014-06-22T00:00:00"/>
        <d v="2014-06-29T00:00:00"/>
        <d v="2014-07-06T00:00:00"/>
        <d v="2014-07-13T00:00:00"/>
        <d v="2014-07-20T00:00:00"/>
        <d v="2014-07-27T00:00:00"/>
        <d v="2014-08-03T00:00:00"/>
        <d v="2014-08-10T00:00:00"/>
        <d v="2014-08-17T00:00:00"/>
        <d v="2014-08-24T00:00:00"/>
        <d v="2014-08-31T00:00:00"/>
        <d v="2014-09-07T00:00:00"/>
        <d v="2014-09-14T00:00:00"/>
        <d v="2014-09-21T00:00:00"/>
        <d v="2014-09-28T00:00:00"/>
        <d v="2014-10-05T00:00:00"/>
        <d v="2014-10-12T00:00:00"/>
        <d v="2014-10-19T00:00:00"/>
        <d v="2014-10-26T00:00:00"/>
        <d v="2014-11-02T00:00:00"/>
        <d v="2014-11-09T00:00:00"/>
        <d v="2014-11-16T00:00:00"/>
        <d v="2014-11-23T00:00:00"/>
        <d v="2014-11-30T00:00:00"/>
        <d v="2014-12-07T00:00:00"/>
        <d v="2014-12-14T00:00:00"/>
        <d v="2014-12-21T00:00:00"/>
        <d v="2014-12-28T00:00:00"/>
        <d v="2015-01-04T00:00:00"/>
        <d v="2015-01-11T00:00:00"/>
        <d v="2015-01-18T00:00:00"/>
        <d v="2015-01-25T00:00:00"/>
        <d v="2015-02-01T00:00:00"/>
        <d v="2015-02-08T00:00:00"/>
        <d v="2015-02-15T00:00:00"/>
        <d v="2015-02-22T00:00:00"/>
        <d v="2015-03-01T00:00:00"/>
        <d v="2015-03-08T00:00:00"/>
        <d v="2015-03-15T00:00:00"/>
        <d v="2015-03-22T00:00:00"/>
        <d v="2015-03-29T00:00:00"/>
        <d v="2015-04-05T00:00:00"/>
        <d v="2015-04-12T00:00:00"/>
        <d v="2015-04-19T00:00:00"/>
        <d v="2015-04-26T00:00:00"/>
        <d v="2015-05-03T00:00:00"/>
        <d v="2015-05-10T00:00:00"/>
        <d v="2015-05-17T00:00:00"/>
        <d v="2015-05-24T00:00:00"/>
        <d v="2015-05-31T00:00:00"/>
        <d v="2015-06-07T00:00:00"/>
        <d v="2015-06-14T00:00:00"/>
        <d v="2015-06-21T00:00:00"/>
        <d v="2015-06-28T00:00:00"/>
        <d v="2015-07-05T00:00:00"/>
        <d v="2015-07-12T00:00:00"/>
        <d v="2015-07-19T00:00:00"/>
        <d v="2015-07-26T00:00:00"/>
        <d v="2015-08-02T00:00:00"/>
        <d v="2015-08-09T00:00:00"/>
        <d v="2015-08-16T00:00:00"/>
        <d v="2015-08-23T00:00:00"/>
        <d v="2015-08-30T00:00:00"/>
        <d v="2015-09-06T00:00:00"/>
        <d v="2015-09-13T00:00:00"/>
        <d v="2015-09-20T00:00:00"/>
        <d v="2015-09-27T00:00:00"/>
        <d v="2015-10-04T00:00:00"/>
        <d v="2015-10-11T00:00:00"/>
        <d v="2015-10-18T00:00:00"/>
        <d v="2015-10-25T00:00:00"/>
        <d v="2015-11-01T00:00:00"/>
        <d v="2015-11-08T00:00:00"/>
        <d v="2015-11-15T00:00:00"/>
        <d v="2015-11-22T00:00:00"/>
        <d v="2015-11-29T00:00:00"/>
        <d v="2015-12-06T00:00:00"/>
        <d v="2015-12-13T00:00:00"/>
        <d v="2015-12-20T00:00:00"/>
        <d v="2015-12-27T00:00:00"/>
        <d v="2016-01-03T00:00:00"/>
        <d v="2016-01-10T00:00:00"/>
        <d v="2016-01-17T00:00:00"/>
        <d v="2016-01-24T00:00:00"/>
        <d v="2016-01-31T00:00:00"/>
        <d v="2016-02-07T00:00:00"/>
        <d v="2016-02-14T00:00:00"/>
        <d v="2016-02-21T00:00:00"/>
        <d v="2016-02-28T00:00:00"/>
        <d v="2016-03-06T00:00:00"/>
        <d v="2016-03-13T00:00:00"/>
        <d v="2016-03-20T00:00:00"/>
        <d v="2016-03-27T00:00:00"/>
        <d v="2016-04-03T00:00:00"/>
        <d v="2016-04-10T00:00:00"/>
        <d v="2016-04-17T00:00:00"/>
        <d v="2016-04-24T00:00:00"/>
        <d v="2016-05-01T00:00:00"/>
        <d v="2016-05-08T00:00:00"/>
        <d v="2016-05-15T00:00:00"/>
        <d v="2016-05-22T00:00:00"/>
        <d v="2016-05-29T00:00:00"/>
        <d v="2016-06-05T00:00:00"/>
        <d v="2016-06-12T00:00:00"/>
        <d v="2016-06-19T00:00:00"/>
        <d v="2016-06-26T00:00:00"/>
        <d v="2016-07-03T00:00:00"/>
        <d v="2016-07-10T00:00:00"/>
        <d v="2016-07-17T00:00:00"/>
        <d v="2016-07-24T00:00:00"/>
        <d v="2016-07-31T00:00:00"/>
        <d v="2016-08-07T00:00:00"/>
        <d v="2016-08-14T00:00:00"/>
        <d v="2016-08-21T00:00:00"/>
        <d v="2016-08-28T00:00:00"/>
        <d v="2016-09-04T00:00:00"/>
        <d v="2016-09-11T00:00:00"/>
        <d v="2016-09-18T00:00:00"/>
        <d v="2016-09-25T00:00:00"/>
        <d v="2016-10-02T00:00:00"/>
        <d v="2016-10-09T00:00:00"/>
        <d v="2016-10-16T00:00:00"/>
        <d v="2016-10-23T00:00:00"/>
        <d v="2016-10-30T00:00:00"/>
        <d v="2016-11-06T00:00:00"/>
        <d v="2016-11-13T00:00:00"/>
        <d v="2016-11-20T00:00:00"/>
        <d v="2016-11-27T00:00:00"/>
        <d v="2016-12-04T00:00:00"/>
        <d v="2016-12-11T00:00:00"/>
        <d v="2016-12-18T00:00:00"/>
        <d v="2016-12-25T00:00:00"/>
        <d v="2017-01-01T00:00:00"/>
        <d v="2017-01-08T00:00:00"/>
        <d v="2017-01-15T00:00:00"/>
        <d v="2017-01-22T00:00:00"/>
        <d v="2017-01-29T00:00:00"/>
        <d v="2017-02-05T00:00:00"/>
        <d v="2017-02-12T00:00:00"/>
        <d v="2017-02-19T00:00:00"/>
        <d v="2017-02-26T00:00:00"/>
        <d v="2017-03-05T00:00:00"/>
        <d v="2017-03-12T00:00:00"/>
        <d v="2017-03-19T00:00:00"/>
        <d v="2017-03-26T00:00:00"/>
        <d v="2017-04-02T00:00:00"/>
        <d v="2017-04-09T00:00:00"/>
        <d v="2017-04-16T00:00:00"/>
        <d v="2017-04-23T00:00:00"/>
        <d v="2017-04-30T00:00:00"/>
        <d v="2017-05-07T00:00:00"/>
        <d v="2017-05-14T00:00:00"/>
        <d v="2017-05-21T00:00:00"/>
        <d v="2017-05-28T00:00:00"/>
        <d v="2017-06-04T00:00:00"/>
        <d v="2017-06-11T00:00:00"/>
        <d v="2017-06-18T00:00:00"/>
        <d v="2017-06-25T00:00:00"/>
        <d v="2017-07-02T00:00:00"/>
        <d v="2017-07-09T00:00:00"/>
        <d v="2017-07-16T00:00:00"/>
        <d v="2017-07-23T00:00:00"/>
        <d v="2017-07-30T00:00:00"/>
        <d v="2017-08-06T00:00:00"/>
        <d v="2017-08-13T00:00:00"/>
        <d v="2017-08-20T00:00:00"/>
        <d v="2017-08-27T00:00:00"/>
        <d v="2017-09-03T00:00:00"/>
        <d v="2017-09-10T00:00:00"/>
        <d v="2017-09-17T00:00:00"/>
        <d v="2017-09-24T00:00:00"/>
        <d v="2017-10-01T00:00:00"/>
        <d v="2017-10-08T00:00:00"/>
        <d v="2017-10-15T00:00:00"/>
        <d v="2017-10-22T00:00:00"/>
        <d v="2017-10-29T00:00:00"/>
        <d v="2017-11-05T00:00:00"/>
        <d v="2017-11-12T00:00:00"/>
        <d v="2017-11-19T00:00:00"/>
        <d v="2017-11-26T00:00:00"/>
        <d v="2017-12-03T00:00:00"/>
        <d v="2017-12-10T00:00:00"/>
        <d v="2017-12-17T00:00:00"/>
        <d v="2017-12-24T00:00:00"/>
        <d v="2017-12-31T00:00:00"/>
        <d v="2018-01-07T00:00:00"/>
        <d v="2018-01-14T00:00:00"/>
        <d v="2018-01-21T00:00:00"/>
        <d v="2018-01-28T00:00:00"/>
        <d v="2018-02-04T00:00:00"/>
        <d v="2018-02-11T00:00:00"/>
        <d v="2018-02-18T00:00:00"/>
        <d v="2018-02-25T00:00:00"/>
        <d v="2018-03-04T00:00:00"/>
        <d v="2018-03-11T00:00:00"/>
        <d v="2018-03-18T00:00:00"/>
        <d v="2018-03-25T00:00:00"/>
        <d v="2018-04-01T00:00:00"/>
        <d v="2018-04-08T00:00:00"/>
        <d v="2018-04-15T00:00:00"/>
        <d v="2018-04-22T00:00:00"/>
        <d v="2018-04-29T00:00:00"/>
        <d v="2018-05-06T00:00:00"/>
        <d v="2018-05-13T00:00:00"/>
        <d v="2018-05-20T00:00:00"/>
        <d v="2018-05-27T00:00:00"/>
        <d v="2018-06-03T00:00:00"/>
        <d v="2018-06-10T00:00:00"/>
        <d v="2018-06-17T00:00:00"/>
        <d v="2018-06-24T00:00:00"/>
        <d v="2018-07-01T00:00:00"/>
        <d v="2018-07-08T00:00:00"/>
        <d v="2018-07-15T00:00:00"/>
        <d v="2018-07-22T00:00:00"/>
        <d v="2018-07-29T00:00:00"/>
        <d v="2018-08-05T00:00:00"/>
        <d v="2018-08-12T00:00:00"/>
        <d v="2018-08-19T00:00:00"/>
        <d v="2018-08-26T00:00:00"/>
        <d v="2018-09-02T00:00:00"/>
        <d v="2018-09-09T00:00:00"/>
        <d v="2018-09-16T00:00:00"/>
        <d v="2018-09-23T00:00:00"/>
        <d v="2018-09-30T00:00:00"/>
        <d v="2018-10-07T00:00:00"/>
        <d v="2018-10-14T00:00:00"/>
        <d v="2018-10-21T00:00:00"/>
        <d v="2018-10-28T00:00:00"/>
        <d v="2018-11-04T00:00:00"/>
        <d v="2018-11-11T00:00:00"/>
        <d v="2018-11-18T00:00:00"/>
        <d v="2018-11-25T00:00:00"/>
        <d v="2018-12-02T00:00:00"/>
        <d v="2018-12-09T00:00:00"/>
        <d v="2018-12-16T00:00:00"/>
        <d v="2018-12-23T00:00:00"/>
        <d v="2018-12-30T00:00:00"/>
        <d v="2019-01-06T00:00:00"/>
        <d v="2019-01-13T00:00:00"/>
        <d v="2019-01-20T00:00:00"/>
        <d v="2019-01-27T00:00:00"/>
        <d v="2019-02-03T00:00:00"/>
        <d v="2019-02-10T00:00:00"/>
        <d v="2019-02-17T00:00:00"/>
        <d v="2019-02-24T00:00:00"/>
        <d v="2019-03-03T00:00:00"/>
        <d v="2019-03-10T00:00:00"/>
        <d v="2019-03-17T00:00:00"/>
        <d v="2019-03-24T00:00:00"/>
        <d v="2019-03-31T00:00:00"/>
        <d v="2019-04-07T00:00:00"/>
        <d v="2019-04-14T00:00:00"/>
        <d v="2019-04-21T00:00:00"/>
        <d v="2019-04-28T00:00:00"/>
        <d v="2019-05-05T00:00:00"/>
        <d v="2019-05-12T00:00:00"/>
        <d v="2019-05-19T00:00:00"/>
        <d v="2019-05-26T00:00:00"/>
        <d v="2019-06-02T00:00:00"/>
        <d v="2019-06-09T00:00:00"/>
        <d v="2019-06-16T00:00:00"/>
        <d v="2019-06-23T00:00:00"/>
        <d v="2019-06-30T00:00:00"/>
        <d v="2019-07-07T00:00:00"/>
        <d v="2019-07-14T00:00:00"/>
        <d v="2019-07-21T00:00:00"/>
        <d v="2019-07-28T00:00:00"/>
        <d v="2019-08-04T00:00:00"/>
        <d v="2019-08-11T00:00:00"/>
        <d v="2019-08-18T00:00:00"/>
        <d v="2019-08-25T00:00:00"/>
        <d v="2019-09-01T00:00:00"/>
        <d v="2019-09-08T00:00:00"/>
        <d v="2019-09-15T00:00:00"/>
        <d v="2019-09-22T00:00:00"/>
        <d v="2019-09-29T00:00:00"/>
        <d v="2019-10-06T00:00:00"/>
        <d v="2019-10-13T00:00:00"/>
        <d v="2019-10-20T00:00:00"/>
        <d v="2019-10-27T00:00:00"/>
        <d v="2019-11-03T00:00:00"/>
        <d v="2019-11-10T00:00:00"/>
        <d v="2019-11-17T00:00:00"/>
        <d v="2019-11-24T00:00:00"/>
        <d v="2019-12-01T00:00:00"/>
        <d v="2019-12-08T00:00:00"/>
        <d v="2019-12-15T00:00:00"/>
        <d v="2019-12-22T00:00:00"/>
        <d v="2019-12-29T00:00:00"/>
        <m/>
      </sharedItems>
    </cacheField>
    <cacheField name="Alter" numFmtId="0">
      <sharedItems containsBlank="1" count="4">
        <s v="0-64"/>
        <s v="65+"/>
        <s v=""/>
        <m/>
      </sharedItems>
    </cacheField>
    <cacheField name="Anzahl_Todesfalle" numFmtId="0">
      <sharedItems containsString="0" containsBlank="1" containsNumber="1" containsInteger="1" minValue="130" maxValue="1572"/>
    </cacheField>
    <cacheField name="Erwartung" numFmtId="0">
      <sharedItems containsString="0" containsBlank="1" containsNumber="1" containsInteger="1" minValue="158" maxValue="1272"/>
    </cacheField>
    <cacheField name="untGrenze" numFmtId="0">
      <sharedItems containsString="0" containsBlank="1" containsNumber="1" containsInteger="1" minValue="126" maxValue="1180"/>
    </cacheField>
    <cacheField name="obeGrenze" numFmtId="0">
      <sharedItems containsString="0" containsBlank="1" containsNumber="1" containsInteger="1" minValue="190" maxValue="1363"/>
    </cacheField>
    <cacheField name="Exzess" numFmtId="0">
      <sharedItems containsString="0" containsBlank="1" containsNumber="1" containsInteger="1" minValue="197" maxValue="157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2.579980092596" createdVersion="6" refreshedVersion="6" minRefreshableVersion="3" recordCount="1419" xr:uid="{9B1C80C3-763C-406E-94B3-86FA4AD270BA}">
  <cacheSource type="worksheet">
    <worksheetSource ref="A1:K1048576" sheet="Fallzahlen_CH"/>
  </cacheSource>
  <cacheFields count="11">
    <cacheField name="date" numFmtId="14">
      <sharedItems containsNonDate="0" containsDate="1" containsString="0" containsBlank="1" minDate="2020-02-25T00:00:00" maxDate="2020-05-02T00:00:00" count="68">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m/>
      </sharedItems>
    </cacheField>
    <cacheField name="time" numFmtId="2">
      <sharedItems containsString="0" containsBlank="1" containsNumber="1" minValue="0" maxValue="0.80347222222222225"/>
    </cacheField>
    <cacheField name="abbreviation_canton_and_fl" numFmtId="2">
      <sharedItems containsBlank="1" count="28">
        <s v="GE"/>
        <s v="TI"/>
        <s v="FL"/>
        <s v="JU"/>
        <s v="ZH"/>
        <s v="BS"/>
        <s v="BE"/>
        <s v="BL"/>
        <s v="VD"/>
        <s v="VS"/>
        <s v="AG"/>
        <s v="ZG"/>
        <s v="FR"/>
        <s v="NE"/>
        <s v="SG"/>
        <s v="SZ"/>
        <s v="LU"/>
        <s v="AR"/>
        <s v="SO"/>
        <s v="GL"/>
        <s v="NW"/>
        <s v="SH"/>
        <s v="UR"/>
        <s v="OW"/>
        <s v="AI"/>
        <s v="TG"/>
        <s v="GR"/>
        <m/>
      </sharedItems>
    </cacheField>
    <cacheField name="ncumul_tested" numFmtId="2">
      <sharedItems containsString="0" containsBlank="1" containsNumber="1" containsInteger="1" minValue="1" maxValue="25000"/>
    </cacheField>
    <cacheField name="ncumul_conf" numFmtId="2">
      <sharedItems containsString="0" containsBlank="1" containsNumber="1" containsInteger="1" minValue="0" maxValue="5284"/>
    </cacheField>
    <cacheField name="ncumul_hosp" numFmtId="2">
      <sharedItems containsString="0" containsBlank="1" containsNumber="1" containsInteger="1" minValue="0" maxValue="424"/>
    </cacheField>
    <cacheField name="ncumul_ICU" numFmtId="2">
      <sharedItems containsString="0" containsBlank="1" containsNumber="1" containsInteger="1" minValue="0" maxValue="76"/>
    </cacheField>
    <cacheField name="ncumul_vent" numFmtId="2">
      <sharedItems containsString="0" containsBlank="1" containsNumber="1" containsInteger="1" minValue="0" maxValue="73"/>
    </cacheField>
    <cacheField name="ncumul_released" numFmtId="2">
      <sharedItems containsString="0" containsBlank="1" containsNumber="1" containsInteger="1" minValue="0" maxValue="870"/>
    </cacheField>
    <cacheField name="ncumul_deceased" numFmtId="2">
      <sharedItems containsString="0" containsBlank="1" containsNumber="1" containsInteger="1" minValue="0" maxValue="377"/>
    </cacheField>
    <cacheField name="source" numFmtId="2">
      <sharedItems containsBlank="1" longText="1"/>
    </cacheField>
  </cacheFields>
  <extLst>
    <ext xmlns:x14="http://schemas.microsoft.com/office/spreadsheetml/2009/9/main" uri="{725AE2AE-9491-48be-B2B4-4EB974FC3084}">
      <x14:pivotCacheDefinition pivotCacheId="250415525"/>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2.579980208335" createdVersion="6" refreshedVersion="6" minRefreshableVersion="3" recordCount="107" xr:uid="{1C929E36-C3BA-4E57-BEC8-775A9476F8AA}">
  <cacheSource type="worksheet">
    <worksheetSource ref="A1:G1048576" sheet="Sterblichkeit"/>
  </cacheSource>
  <cacheFields count="7">
    <cacheField name="Endend" numFmtId="0">
      <sharedItems containsNonDate="0" containsDate="1" containsString="0" containsBlank="1" minDate="2020-01-05T00:00:00" maxDate="2021-01-04T00:00:00"/>
    </cacheField>
    <cacheField name="Alter" numFmtId="0">
      <sharedItems containsBlank="1" count="3">
        <s v="0-64"/>
        <s v="65+"/>
        <m/>
      </sharedItems>
    </cacheField>
    <cacheField name="Woche" numFmtId="0">
      <sharedItems containsString="0" containsBlank="1" containsNumber="1" containsInteger="1" minValue="1" maxValue="53" count="5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m/>
      </sharedItems>
    </cacheField>
    <cacheField name="untGrenze" numFmtId="0">
      <sharedItems containsString="0" containsBlank="1" containsNumber="1" containsInteger="1" minValue="123" maxValue="1187"/>
    </cacheField>
    <cacheField name="Erwartung" numFmtId="0">
      <sharedItems containsString="0" containsBlank="1" containsNumber="1" containsInteger="1" minValue="155" maxValue="1279"/>
    </cacheField>
    <cacheField name="obeGrenze" numFmtId="0">
      <sharedItems containsString="0" containsBlank="1" containsNumber="1" containsInteger="1" minValue="187" maxValue="1371"/>
    </cacheField>
    <cacheField name="hochrechnung" numFmtId="0">
      <sharedItems containsString="0" containsBlank="1" containsNumber="1" minValue="146" maxValue="1679.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4">
  <r>
    <n v="2010"/>
    <n v="1"/>
    <x v="0"/>
    <x v="0"/>
    <n v="193"/>
    <n v="195"/>
    <n v="159"/>
    <n v="231"/>
    <m/>
  </r>
  <r>
    <n v="2010"/>
    <n v="2"/>
    <x v="1"/>
    <x v="0"/>
    <n v="198"/>
    <n v="195"/>
    <n v="159"/>
    <n v="231"/>
    <m/>
  </r>
  <r>
    <n v="2010"/>
    <n v="3"/>
    <x v="2"/>
    <x v="0"/>
    <n v="191"/>
    <n v="194"/>
    <n v="158"/>
    <n v="230"/>
    <m/>
  </r>
  <r>
    <n v="2010"/>
    <n v="4"/>
    <x v="3"/>
    <x v="0"/>
    <n v="207"/>
    <n v="194"/>
    <n v="158"/>
    <n v="229"/>
    <m/>
  </r>
  <r>
    <n v="2010"/>
    <n v="5"/>
    <x v="4"/>
    <x v="0"/>
    <n v="175"/>
    <n v="193"/>
    <n v="157"/>
    <n v="229"/>
    <m/>
  </r>
  <r>
    <n v="2010"/>
    <n v="6"/>
    <x v="5"/>
    <x v="0"/>
    <n v="179"/>
    <n v="192"/>
    <n v="157"/>
    <n v="228"/>
    <m/>
  </r>
  <r>
    <n v="2010"/>
    <n v="7"/>
    <x v="6"/>
    <x v="0"/>
    <n v="218"/>
    <n v="192"/>
    <n v="156"/>
    <n v="227"/>
    <m/>
  </r>
  <r>
    <n v="2010"/>
    <n v="8"/>
    <x v="7"/>
    <x v="0"/>
    <n v="184"/>
    <n v="191"/>
    <n v="155"/>
    <n v="227"/>
    <m/>
  </r>
  <r>
    <n v="2010"/>
    <n v="9"/>
    <x v="8"/>
    <x v="0"/>
    <n v="179"/>
    <n v="190"/>
    <n v="155"/>
    <n v="226"/>
    <m/>
  </r>
  <r>
    <n v="2010"/>
    <n v="10"/>
    <x v="9"/>
    <x v="0"/>
    <n v="221"/>
    <n v="190"/>
    <n v="154"/>
    <n v="225"/>
    <m/>
  </r>
  <r>
    <n v="2010"/>
    <n v="11"/>
    <x v="10"/>
    <x v="0"/>
    <n v="196"/>
    <n v="189"/>
    <n v="154"/>
    <n v="225"/>
    <m/>
  </r>
  <r>
    <n v="2010"/>
    <n v="12"/>
    <x v="11"/>
    <x v="0"/>
    <n v="200"/>
    <n v="189"/>
    <n v="153"/>
    <n v="224"/>
    <m/>
  </r>
  <r>
    <n v="2010"/>
    <n v="13"/>
    <x v="12"/>
    <x v="0"/>
    <n v="162"/>
    <n v="188"/>
    <n v="153"/>
    <n v="223"/>
    <m/>
  </r>
  <r>
    <n v="2010"/>
    <n v="14"/>
    <x v="13"/>
    <x v="0"/>
    <n v="180"/>
    <n v="187"/>
    <n v="152"/>
    <n v="223"/>
    <m/>
  </r>
  <r>
    <n v="2010"/>
    <n v="15"/>
    <x v="14"/>
    <x v="0"/>
    <n v="158"/>
    <n v="187"/>
    <n v="152"/>
    <n v="222"/>
    <m/>
  </r>
  <r>
    <n v="2010"/>
    <n v="16"/>
    <x v="15"/>
    <x v="0"/>
    <n v="226"/>
    <n v="186"/>
    <n v="151"/>
    <n v="221"/>
    <n v="226"/>
  </r>
  <r>
    <n v="2010"/>
    <n v="17"/>
    <x v="16"/>
    <x v="0"/>
    <n v="176"/>
    <n v="185"/>
    <n v="150"/>
    <n v="221"/>
    <m/>
  </r>
  <r>
    <n v="2010"/>
    <n v="18"/>
    <x v="17"/>
    <x v="0"/>
    <n v="161"/>
    <n v="185"/>
    <n v="150"/>
    <n v="220"/>
    <m/>
  </r>
  <r>
    <n v="2010"/>
    <n v="19"/>
    <x v="18"/>
    <x v="0"/>
    <n v="190"/>
    <n v="184"/>
    <n v="149"/>
    <n v="219"/>
    <m/>
  </r>
  <r>
    <n v="2010"/>
    <n v="20"/>
    <x v="19"/>
    <x v="0"/>
    <n v="193"/>
    <n v="183"/>
    <n v="149"/>
    <n v="218"/>
    <m/>
  </r>
  <r>
    <n v="2010"/>
    <n v="21"/>
    <x v="20"/>
    <x v="0"/>
    <n v="191"/>
    <n v="183"/>
    <n v="148"/>
    <n v="218"/>
    <m/>
  </r>
  <r>
    <n v="2010"/>
    <n v="22"/>
    <x v="21"/>
    <x v="0"/>
    <n v="202"/>
    <n v="182"/>
    <n v="148"/>
    <n v="217"/>
    <m/>
  </r>
  <r>
    <n v="2010"/>
    <n v="23"/>
    <x v="22"/>
    <x v="0"/>
    <n v="189"/>
    <n v="182"/>
    <n v="147"/>
    <n v="217"/>
    <m/>
  </r>
  <r>
    <n v="2010"/>
    <n v="24"/>
    <x v="23"/>
    <x v="0"/>
    <n v="192"/>
    <n v="182"/>
    <n v="147"/>
    <n v="217"/>
    <m/>
  </r>
  <r>
    <n v="2010"/>
    <n v="25"/>
    <x v="24"/>
    <x v="0"/>
    <n v="168"/>
    <n v="182"/>
    <n v="147"/>
    <n v="216"/>
    <m/>
  </r>
  <r>
    <n v="2010"/>
    <n v="26"/>
    <x v="25"/>
    <x v="0"/>
    <n v="189"/>
    <n v="181"/>
    <n v="147"/>
    <n v="216"/>
    <m/>
  </r>
  <r>
    <n v="2010"/>
    <n v="27"/>
    <x v="26"/>
    <x v="0"/>
    <n v="187"/>
    <n v="181"/>
    <n v="146"/>
    <n v="216"/>
    <m/>
  </r>
  <r>
    <n v="2010"/>
    <n v="28"/>
    <x v="27"/>
    <x v="0"/>
    <n v="184"/>
    <n v="181"/>
    <n v="146"/>
    <n v="216"/>
    <m/>
  </r>
  <r>
    <n v="2010"/>
    <n v="29"/>
    <x v="28"/>
    <x v="0"/>
    <n v="170"/>
    <n v="181"/>
    <n v="146"/>
    <n v="216"/>
    <m/>
  </r>
  <r>
    <n v="2010"/>
    <n v="30"/>
    <x v="29"/>
    <x v="0"/>
    <n v="177"/>
    <n v="181"/>
    <n v="146"/>
    <n v="216"/>
    <m/>
  </r>
  <r>
    <n v="2010"/>
    <n v="31"/>
    <x v="30"/>
    <x v="0"/>
    <n v="187"/>
    <n v="181"/>
    <n v="146"/>
    <n v="216"/>
    <m/>
  </r>
  <r>
    <n v="2010"/>
    <n v="32"/>
    <x v="31"/>
    <x v="0"/>
    <n v="172"/>
    <n v="181"/>
    <n v="147"/>
    <n v="216"/>
    <m/>
  </r>
  <r>
    <n v="2010"/>
    <n v="33"/>
    <x v="32"/>
    <x v="0"/>
    <n v="171"/>
    <n v="181"/>
    <n v="147"/>
    <n v="216"/>
    <m/>
  </r>
  <r>
    <n v="2010"/>
    <n v="34"/>
    <x v="33"/>
    <x v="0"/>
    <n v="169"/>
    <n v="182"/>
    <n v="147"/>
    <n v="216"/>
    <m/>
  </r>
  <r>
    <n v="2010"/>
    <n v="35"/>
    <x v="34"/>
    <x v="0"/>
    <n v="176"/>
    <n v="182"/>
    <n v="147"/>
    <n v="216"/>
    <m/>
  </r>
  <r>
    <n v="2010"/>
    <n v="36"/>
    <x v="35"/>
    <x v="0"/>
    <n v="197"/>
    <n v="182"/>
    <n v="147"/>
    <n v="217"/>
    <m/>
  </r>
  <r>
    <n v="2010"/>
    <n v="37"/>
    <x v="36"/>
    <x v="0"/>
    <n v="176"/>
    <n v="182"/>
    <n v="147"/>
    <n v="217"/>
    <m/>
  </r>
  <r>
    <n v="2010"/>
    <n v="38"/>
    <x v="37"/>
    <x v="0"/>
    <n v="186"/>
    <n v="182"/>
    <n v="147"/>
    <n v="217"/>
    <m/>
  </r>
  <r>
    <n v="2010"/>
    <n v="39"/>
    <x v="38"/>
    <x v="0"/>
    <n v="185"/>
    <n v="182"/>
    <n v="148"/>
    <n v="217"/>
    <m/>
  </r>
  <r>
    <n v="2010"/>
    <n v="40"/>
    <x v="39"/>
    <x v="0"/>
    <n v="192"/>
    <n v="183"/>
    <n v="148"/>
    <n v="217"/>
    <m/>
  </r>
  <r>
    <n v="2010"/>
    <n v="41"/>
    <x v="40"/>
    <x v="0"/>
    <n v="189"/>
    <n v="183"/>
    <n v="148"/>
    <n v="218"/>
    <m/>
  </r>
  <r>
    <n v="2010"/>
    <n v="42"/>
    <x v="41"/>
    <x v="0"/>
    <n v="183"/>
    <n v="183"/>
    <n v="148"/>
    <n v="218"/>
    <m/>
  </r>
  <r>
    <n v="2010"/>
    <n v="43"/>
    <x v="42"/>
    <x v="0"/>
    <n v="181"/>
    <n v="183"/>
    <n v="148"/>
    <n v="218"/>
    <m/>
  </r>
  <r>
    <n v="2010"/>
    <n v="44"/>
    <x v="43"/>
    <x v="0"/>
    <n v="178"/>
    <n v="183"/>
    <n v="148"/>
    <n v="218"/>
    <m/>
  </r>
  <r>
    <n v="2010"/>
    <n v="45"/>
    <x v="44"/>
    <x v="0"/>
    <n v="169"/>
    <n v="183"/>
    <n v="148"/>
    <n v="218"/>
    <m/>
  </r>
  <r>
    <n v="2010"/>
    <n v="46"/>
    <x v="45"/>
    <x v="0"/>
    <n v="182"/>
    <n v="183"/>
    <n v="148"/>
    <n v="218"/>
    <m/>
  </r>
  <r>
    <n v="2010"/>
    <n v="47"/>
    <x v="46"/>
    <x v="0"/>
    <n v="180"/>
    <n v="183"/>
    <n v="148"/>
    <n v="218"/>
    <m/>
  </r>
  <r>
    <n v="2010"/>
    <n v="48"/>
    <x v="47"/>
    <x v="0"/>
    <n v="185"/>
    <n v="183"/>
    <n v="149"/>
    <n v="218"/>
    <m/>
  </r>
  <r>
    <n v="2010"/>
    <n v="49"/>
    <x v="48"/>
    <x v="0"/>
    <n v="188"/>
    <n v="184"/>
    <n v="149"/>
    <n v="218"/>
    <m/>
  </r>
  <r>
    <n v="2010"/>
    <n v="50"/>
    <x v="49"/>
    <x v="0"/>
    <n v="191"/>
    <n v="184"/>
    <n v="149"/>
    <n v="219"/>
    <m/>
  </r>
  <r>
    <n v="2010"/>
    <n v="51"/>
    <x v="50"/>
    <x v="0"/>
    <n v="209"/>
    <n v="184"/>
    <n v="149"/>
    <n v="219"/>
    <m/>
  </r>
  <r>
    <n v="2010"/>
    <n v="52"/>
    <x v="51"/>
    <x v="0"/>
    <n v="197"/>
    <n v="184"/>
    <n v="149"/>
    <n v="219"/>
    <m/>
  </r>
  <r>
    <n v="2010"/>
    <n v="1"/>
    <x v="0"/>
    <x v="1"/>
    <n v="1100"/>
    <n v="1156"/>
    <n v="1068"/>
    <n v="1243"/>
    <m/>
  </r>
  <r>
    <n v="2010"/>
    <n v="2"/>
    <x v="1"/>
    <x v="1"/>
    <n v="1071"/>
    <n v="1149"/>
    <n v="1061"/>
    <n v="1236"/>
    <m/>
  </r>
  <r>
    <n v="2010"/>
    <n v="3"/>
    <x v="2"/>
    <x v="1"/>
    <n v="1005"/>
    <n v="1141"/>
    <n v="1054"/>
    <n v="1228"/>
    <m/>
  </r>
  <r>
    <n v="2010"/>
    <n v="4"/>
    <x v="3"/>
    <x v="1"/>
    <n v="1039"/>
    <n v="1133"/>
    <n v="1047"/>
    <n v="1220"/>
    <m/>
  </r>
  <r>
    <n v="2010"/>
    <n v="5"/>
    <x v="4"/>
    <x v="1"/>
    <n v="1110"/>
    <n v="1125"/>
    <n v="1039"/>
    <n v="1211"/>
    <m/>
  </r>
  <r>
    <n v="2010"/>
    <n v="6"/>
    <x v="5"/>
    <x v="1"/>
    <n v="1057"/>
    <n v="1117"/>
    <n v="1031"/>
    <n v="1203"/>
    <m/>
  </r>
  <r>
    <n v="2010"/>
    <n v="7"/>
    <x v="6"/>
    <x v="1"/>
    <n v="1203"/>
    <n v="1109"/>
    <n v="1023"/>
    <n v="1194"/>
    <n v="1203"/>
  </r>
  <r>
    <n v="2010"/>
    <n v="8"/>
    <x v="7"/>
    <x v="1"/>
    <n v="1131"/>
    <n v="1095"/>
    <n v="1010"/>
    <n v="1180"/>
    <m/>
  </r>
  <r>
    <n v="2010"/>
    <n v="9"/>
    <x v="8"/>
    <x v="1"/>
    <n v="1119"/>
    <n v="1082"/>
    <n v="997"/>
    <n v="1166"/>
    <m/>
  </r>
  <r>
    <n v="2010"/>
    <n v="10"/>
    <x v="9"/>
    <x v="1"/>
    <n v="1131"/>
    <n v="1065"/>
    <n v="981"/>
    <n v="1149"/>
    <m/>
  </r>
  <r>
    <n v="2010"/>
    <n v="11"/>
    <x v="10"/>
    <x v="1"/>
    <n v="1114"/>
    <n v="1049"/>
    <n v="965"/>
    <n v="1132"/>
    <m/>
  </r>
  <r>
    <n v="2010"/>
    <n v="12"/>
    <x v="11"/>
    <x v="1"/>
    <n v="1048"/>
    <n v="1033"/>
    <n v="950"/>
    <n v="1115"/>
    <m/>
  </r>
  <r>
    <n v="2010"/>
    <n v="13"/>
    <x v="12"/>
    <x v="1"/>
    <n v="1049"/>
    <n v="1017"/>
    <n v="934"/>
    <n v="1099"/>
    <m/>
  </r>
  <r>
    <n v="2010"/>
    <n v="14"/>
    <x v="13"/>
    <x v="1"/>
    <n v="970"/>
    <n v="1002"/>
    <n v="920"/>
    <n v="1083"/>
    <m/>
  </r>
  <r>
    <n v="2010"/>
    <n v="15"/>
    <x v="14"/>
    <x v="1"/>
    <n v="987"/>
    <n v="988"/>
    <n v="907"/>
    <n v="1069"/>
    <m/>
  </r>
  <r>
    <n v="2010"/>
    <n v="16"/>
    <x v="15"/>
    <x v="1"/>
    <n v="971"/>
    <n v="975"/>
    <n v="895"/>
    <n v="1056"/>
    <m/>
  </r>
  <r>
    <n v="2010"/>
    <n v="17"/>
    <x v="16"/>
    <x v="1"/>
    <n v="964"/>
    <n v="965"/>
    <n v="885"/>
    <n v="1045"/>
    <m/>
  </r>
  <r>
    <n v="2010"/>
    <n v="18"/>
    <x v="17"/>
    <x v="1"/>
    <n v="976"/>
    <n v="954"/>
    <n v="875"/>
    <n v="1034"/>
    <m/>
  </r>
  <r>
    <n v="2010"/>
    <n v="19"/>
    <x v="18"/>
    <x v="1"/>
    <n v="974"/>
    <n v="947"/>
    <n v="868"/>
    <n v="1026"/>
    <m/>
  </r>
  <r>
    <n v="2010"/>
    <n v="20"/>
    <x v="19"/>
    <x v="1"/>
    <n v="985"/>
    <n v="939"/>
    <n v="860"/>
    <n v="1018"/>
    <m/>
  </r>
  <r>
    <n v="2010"/>
    <n v="21"/>
    <x v="20"/>
    <x v="1"/>
    <n v="961"/>
    <n v="934"/>
    <n v="855"/>
    <n v="1013"/>
    <m/>
  </r>
  <r>
    <n v="2010"/>
    <n v="22"/>
    <x v="21"/>
    <x v="1"/>
    <n v="898"/>
    <n v="930"/>
    <n v="851"/>
    <n v="1008"/>
    <m/>
  </r>
  <r>
    <n v="2010"/>
    <n v="23"/>
    <x v="22"/>
    <x v="1"/>
    <n v="946"/>
    <n v="926"/>
    <n v="847"/>
    <n v="1004"/>
    <m/>
  </r>
  <r>
    <n v="2010"/>
    <n v="24"/>
    <x v="23"/>
    <x v="1"/>
    <n v="887"/>
    <n v="922"/>
    <n v="844"/>
    <n v="1000"/>
    <m/>
  </r>
  <r>
    <n v="2010"/>
    <n v="25"/>
    <x v="24"/>
    <x v="1"/>
    <n v="907"/>
    <n v="919"/>
    <n v="841"/>
    <n v="997"/>
    <m/>
  </r>
  <r>
    <n v="2010"/>
    <n v="26"/>
    <x v="25"/>
    <x v="1"/>
    <n v="956"/>
    <n v="915"/>
    <n v="837"/>
    <n v="993"/>
    <m/>
  </r>
  <r>
    <n v="2010"/>
    <n v="27"/>
    <x v="26"/>
    <x v="1"/>
    <n v="918"/>
    <n v="912"/>
    <n v="835"/>
    <n v="990"/>
    <m/>
  </r>
  <r>
    <n v="2010"/>
    <n v="28"/>
    <x v="27"/>
    <x v="1"/>
    <n v="936"/>
    <n v="910"/>
    <n v="832"/>
    <n v="988"/>
    <m/>
  </r>
  <r>
    <n v="2010"/>
    <n v="29"/>
    <x v="28"/>
    <x v="1"/>
    <n v="870"/>
    <n v="907"/>
    <n v="830"/>
    <n v="985"/>
    <m/>
  </r>
  <r>
    <n v="2010"/>
    <n v="30"/>
    <x v="29"/>
    <x v="1"/>
    <n v="922"/>
    <n v="905"/>
    <n v="827"/>
    <n v="982"/>
    <m/>
  </r>
  <r>
    <n v="2010"/>
    <n v="31"/>
    <x v="30"/>
    <x v="1"/>
    <n v="914"/>
    <n v="902"/>
    <n v="825"/>
    <n v="980"/>
    <m/>
  </r>
  <r>
    <n v="2010"/>
    <n v="32"/>
    <x v="31"/>
    <x v="1"/>
    <n v="911"/>
    <n v="903"/>
    <n v="826"/>
    <n v="981"/>
    <m/>
  </r>
  <r>
    <n v="2010"/>
    <n v="33"/>
    <x v="32"/>
    <x v="1"/>
    <n v="882"/>
    <n v="904"/>
    <n v="827"/>
    <n v="982"/>
    <m/>
  </r>
  <r>
    <n v="2010"/>
    <n v="34"/>
    <x v="33"/>
    <x v="1"/>
    <n v="938"/>
    <n v="909"/>
    <n v="831"/>
    <n v="987"/>
    <m/>
  </r>
  <r>
    <n v="2010"/>
    <n v="35"/>
    <x v="34"/>
    <x v="1"/>
    <n v="938"/>
    <n v="915"/>
    <n v="837"/>
    <n v="993"/>
    <m/>
  </r>
  <r>
    <n v="2010"/>
    <n v="36"/>
    <x v="35"/>
    <x v="1"/>
    <n v="993"/>
    <n v="920"/>
    <n v="842"/>
    <n v="999"/>
    <m/>
  </r>
  <r>
    <n v="2010"/>
    <n v="37"/>
    <x v="36"/>
    <x v="1"/>
    <n v="945"/>
    <n v="927"/>
    <n v="849"/>
    <n v="1005"/>
    <m/>
  </r>
  <r>
    <n v="2010"/>
    <n v="38"/>
    <x v="37"/>
    <x v="1"/>
    <n v="996"/>
    <n v="934"/>
    <n v="856"/>
    <n v="1013"/>
    <m/>
  </r>
  <r>
    <n v="2010"/>
    <n v="39"/>
    <x v="38"/>
    <x v="1"/>
    <n v="1035"/>
    <n v="942"/>
    <n v="863"/>
    <n v="1021"/>
    <n v="1035"/>
  </r>
  <r>
    <n v="2010"/>
    <n v="40"/>
    <x v="39"/>
    <x v="1"/>
    <n v="1018"/>
    <n v="950"/>
    <n v="871"/>
    <n v="1029"/>
    <m/>
  </r>
  <r>
    <n v="2010"/>
    <n v="41"/>
    <x v="40"/>
    <x v="1"/>
    <n v="1060"/>
    <n v="959"/>
    <n v="879"/>
    <n v="1038"/>
    <n v="1060"/>
  </r>
  <r>
    <n v="2010"/>
    <n v="42"/>
    <x v="41"/>
    <x v="1"/>
    <n v="976"/>
    <n v="967"/>
    <n v="887"/>
    <n v="1048"/>
    <m/>
  </r>
  <r>
    <n v="2010"/>
    <n v="43"/>
    <x v="42"/>
    <x v="1"/>
    <n v="1036"/>
    <n v="978"/>
    <n v="897"/>
    <n v="1058"/>
    <m/>
  </r>
  <r>
    <n v="2010"/>
    <n v="44"/>
    <x v="43"/>
    <x v="1"/>
    <n v="1059"/>
    <n v="988"/>
    <n v="907"/>
    <n v="1069"/>
    <m/>
  </r>
  <r>
    <n v="2010"/>
    <n v="45"/>
    <x v="44"/>
    <x v="1"/>
    <n v="1054"/>
    <n v="999"/>
    <n v="918"/>
    <n v="1081"/>
    <m/>
  </r>
  <r>
    <n v="2010"/>
    <n v="46"/>
    <x v="45"/>
    <x v="1"/>
    <n v="993"/>
    <n v="1011"/>
    <n v="929"/>
    <n v="1093"/>
    <m/>
  </r>
  <r>
    <n v="2010"/>
    <n v="47"/>
    <x v="46"/>
    <x v="1"/>
    <n v="1017"/>
    <n v="1025"/>
    <n v="943"/>
    <n v="1108"/>
    <m/>
  </r>
  <r>
    <n v="2010"/>
    <n v="48"/>
    <x v="47"/>
    <x v="1"/>
    <n v="1030"/>
    <n v="1041"/>
    <n v="958"/>
    <n v="1124"/>
    <m/>
  </r>
  <r>
    <n v="2010"/>
    <n v="49"/>
    <x v="48"/>
    <x v="1"/>
    <n v="1085"/>
    <n v="1057"/>
    <n v="974"/>
    <n v="1141"/>
    <m/>
  </r>
  <r>
    <n v="2010"/>
    <n v="50"/>
    <x v="49"/>
    <x v="1"/>
    <n v="1092"/>
    <n v="1073"/>
    <n v="989"/>
    <n v="1158"/>
    <m/>
  </r>
  <r>
    <n v="2010"/>
    <n v="51"/>
    <x v="50"/>
    <x v="1"/>
    <n v="1060"/>
    <n v="1089"/>
    <n v="1004"/>
    <n v="1174"/>
    <m/>
  </r>
  <r>
    <n v="2010"/>
    <n v="52"/>
    <x v="51"/>
    <x v="1"/>
    <n v="1122"/>
    <n v="1105"/>
    <n v="1019"/>
    <n v="1190"/>
    <m/>
  </r>
  <r>
    <n v="2011"/>
    <n v="1"/>
    <x v="52"/>
    <x v="0"/>
    <n v="199"/>
    <n v="193"/>
    <n v="157"/>
    <n v="229"/>
    <m/>
  </r>
  <r>
    <n v="2011"/>
    <n v="2"/>
    <x v="53"/>
    <x v="0"/>
    <n v="172"/>
    <n v="193"/>
    <n v="157"/>
    <n v="228"/>
    <m/>
  </r>
  <r>
    <n v="2011"/>
    <n v="3"/>
    <x v="54"/>
    <x v="0"/>
    <n v="213"/>
    <n v="192"/>
    <n v="156"/>
    <n v="228"/>
    <m/>
  </r>
  <r>
    <n v="2011"/>
    <n v="4"/>
    <x v="55"/>
    <x v="0"/>
    <n v="188"/>
    <n v="191"/>
    <n v="156"/>
    <n v="227"/>
    <m/>
  </r>
  <r>
    <n v="2011"/>
    <n v="5"/>
    <x v="56"/>
    <x v="0"/>
    <n v="219"/>
    <n v="191"/>
    <n v="155"/>
    <n v="226"/>
    <m/>
  </r>
  <r>
    <n v="2011"/>
    <n v="6"/>
    <x v="57"/>
    <x v="0"/>
    <n v="188"/>
    <n v="190"/>
    <n v="155"/>
    <n v="226"/>
    <m/>
  </r>
  <r>
    <n v="2011"/>
    <n v="7"/>
    <x v="58"/>
    <x v="0"/>
    <n v="167"/>
    <n v="190"/>
    <n v="154"/>
    <n v="225"/>
    <m/>
  </r>
  <r>
    <n v="2011"/>
    <n v="8"/>
    <x v="59"/>
    <x v="0"/>
    <n v="199"/>
    <n v="189"/>
    <n v="154"/>
    <n v="225"/>
    <m/>
  </r>
  <r>
    <n v="2011"/>
    <n v="9"/>
    <x v="60"/>
    <x v="0"/>
    <n v="196"/>
    <n v="189"/>
    <n v="153"/>
    <n v="224"/>
    <m/>
  </r>
  <r>
    <n v="2011"/>
    <n v="10"/>
    <x v="61"/>
    <x v="0"/>
    <n v="174"/>
    <n v="188"/>
    <n v="153"/>
    <n v="223"/>
    <m/>
  </r>
  <r>
    <n v="2011"/>
    <n v="11"/>
    <x v="62"/>
    <x v="0"/>
    <n v="180"/>
    <n v="187"/>
    <n v="152"/>
    <n v="223"/>
    <m/>
  </r>
  <r>
    <n v="2011"/>
    <n v="12"/>
    <x v="63"/>
    <x v="0"/>
    <n v="165"/>
    <n v="187"/>
    <n v="152"/>
    <n v="222"/>
    <m/>
  </r>
  <r>
    <n v="2011"/>
    <n v="13"/>
    <x v="64"/>
    <x v="0"/>
    <n v="192"/>
    <n v="186"/>
    <n v="151"/>
    <n v="221"/>
    <m/>
  </r>
  <r>
    <n v="2011"/>
    <n v="14"/>
    <x v="65"/>
    <x v="0"/>
    <n v="170"/>
    <n v="186"/>
    <n v="151"/>
    <n v="221"/>
    <m/>
  </r>
  <r>
    <n v="2011"/>
    <n v="15"/>
    <x v="66"/>
    <x v="0"/>
    <n v="173"/>
    <n v="185"/>
    <n v="150"/>
    <n v="220"/>
    <m/>
  </r>
  <r>
    <n v="2011"/>
    <n v="16"/>
    <x v="67"/>
    <x v="0"/>
    <n v="164"/>
    <n v="184"/>
    <n v="149"/>
    <n v="219"/>
    <m/>
  </r>
  <r>
    <n v="2011"/>
    <n v="17"/>
    <x v="68"/>
    <x v="0"/>
    <n v="166"/>
    <n v="184"/>
    <n v="149"/>
    <n v="219"/>
    <m/>
  </r>
  <r>
    <n v="2011"/>
    <n v="18"/>
    <x v="69"/>
    <x v="0"/>
    <n v="180"/>
    <n v="183"/>
    <n v="148"/>
    <n v="218"/>
    <m/>
  </r>
  <r>
    <n v="2011"/>
    <n v="19"/>
    <x v="70"/>
    <x v="0"/>
    <n v="182"/>
    <n v="182"/>
    <n v="148"/>
    <n v="217"/>
    <m/>
  </r>
  <r>
    <n v="2011"/>
    <n v="20"/>
    <x v="71"/>
    <x v="0"/>
    <n v="187"/>
    <n v="181"/>
    <n v="147"/>
    <n v="216"/>
    <m/>
  </r>
  <r>
    <n v="2011"/>
    <n v="21"/>
    <x v="72"/>
    <x v="0"/>
    <n v="175"/>
    <n v="181"/>
    <n v="146"/>
    <n v="215"/>
    <m/>
  </r>
  <r>
    <n v="2011"/>
    <n v="22"/>
    <x v="73"/>
    <x v="0"/>
    <n v="178"/>
    <n v="180"/>
    <n v="146"/>
    <n v="215"/>
    <m/>
  </r>
  <r>
    <n v="2011"/>
    <n v="23"/>
    <x v="74"/>
    <x v="0"/>
    <n v="160"/>
    <n v="180"/>
    <n v="145"/>
    <n v="214"/>
    <m/>
  </r>
  <r>
    <n v="2011"/>
    <n v="24"/>
    <x v="75"/>
    <x v="0"/>
    <n v="170"/>
    <n v="179"/>
    <n v="145"/>
    <n v="214"/>
    <m/>
  </r>
  <r>
    <n v="2011"/>
    <n v="25"/>
    <x v="76"/>
    <x v="0"/>
    <n v="170"/>
    <n v="179"/>
    <n v="145"/>
    <n v="213"/>
    <m/>
  </r>
  <r>
    <n v="2011"/>
    <n v="26"/>
    <x v="77"/>
    <x v="0"/>
    <n v="186"/>
    <n v="179"/>
    <n v="144"/>
    <n v="213"/>
    <m/>
  </r>
  <r>
    <n v="2011"/>
    <n v="27"/>
    <x v="78"/>
    <x v="0"/>
    <n v="172"/>
    <n v="178"/>
    <n v="144"/>
    <n v="213"/>
    <m/>
  </r>
  <r>
    <n v="2011"/>
    <n v="28"/>
    <x v="79"/>
    <x v="0"/>
    <n v="172"/>
    <n v="178"/>
    <n v="144"/>
    <n v="213"/>
    <m/>
  </r>
  <r>
    <n v="2011"/>
    <n v="29"/>
    <x v="80"/>
    <x v="0"/>
    <n v="179"/>
    <n v="178"/>
    <n v="144"/>
    <n v="212"/>
    <m/>
  </r>
  <r>
    <n v="2011"/>
    <n v="30"/>
    <x v="81"/>
    <x v="0"/>
    <n v="157"/>
    <n v="178"/>
    <n v="144"/>
    <n v="212"/>
    <m/>
  </r>
  <r>
    <n v="2011"/>
    <n v="31"/>
    <x v="82"/>
    <x v="0"/>
    <n v="154"/>
    <n v="178"/>
    <n v="144"/>
    <n v="212"/>
    <m/>
  </r>
  <r>
    <n v="2011"/>
    <n v="32"/>
    <x v="83"/>
    <x v="0"/>
    <n v="191"/>
    <n v="178"/>
    <n v="144"/>
    <n v="212"/>
    <m/>
  </r>
  <r>
    <n v="2011"/>
    <n v="33"/>
    <x v="84"/>
    <x v="0"/>
    <n v="182"/>
    <n v="178"/>
    <n v="144"/>
    <n v="212"/>
    <m/>
  </r>
  <r>
    <n v="2011"/>
    <n v="34"/>
    <x v="85"/>
    <x v="0"/>
    <n v="181"/>
    <n v="178"/>
    <n v="144"/>
    <n v="212"/>
    <m/>
  </r>
  <r>
    <n v="2011"/>
    <n v="35"/>
    <x v="86"/>
    <x v="0"/>
    <n v="192"/>
    <n v="178"/>
    <n v="144"/>
    <n v="213"/>
    <m/>
  </r>
  <r>
    <n v="2011"/>
    <n v="36"/>
    <x v="87"/>
    <x v="0"/>
    <n v="181"/>
    <n v="179"/>
    <n v="144"/>
    <n v="213"/>
    <m/>
  </r>
  <r>
    <n v="2011"/>
    <n v="37"/>
    <x v="88"/>
    <x v="0"/>
    <n v="161"/>
    <n v="179"/>
    <n v="144"/>
    <n v="213"/>
    <m/>
  </r>
  <r>
    <n v="2011"/>
    <n v="38"/>
    <x v="89"/>
    <x v="0"/>
    <n v="182"/>
    <n v="179"/>
    <n v="145"/>
    <n v="214"/>
    <m/>
  </r>
  <r>
    <n v="2011"/>
    <n v="39"/>
    <x v="90"/>
    <x v="0"/>
    <n v="179"/>
    <n v="179"/>
    <n v="145"/>
    <n v="214"/>
    <m/>
  </r>
  <r>
    <n v="2011"/>
    <n v="40"/>
    <x v="91"/>
    <x v="0"/>
    <n v="171"/>
    <n v="180"/>
    <n v="145"/>
    <n v="214"/>
    <m/>
  </r>
  <r>
    <n v="2011"/>
    <n v="41"/>
    <x v="92"/>
    <x v="0"/>
    <n v="191"/>
    <n v="180"/>
    <n v="145"/>
    <n v="214"/>
    <m/>
  </r>
  <r>
    <n v="2011"/>
    <n v="42"/>
    <x v="93"/>
    <x v="0"/>
    <n v="177"/>
    <n v="180"/>
    <n v="146"/>
    <n v="215"/>
    <m/>
  </r>
  <r>
    <n v="2011"/>
    <n v="43"/>
    <x v="94"/>
    <x v="0"/>
    <n v="194"/>
    <n v="180"/>
    <n v="146"/>
    <n v="215"/>
    <m/>
  </r>
  <r>
    <n v="2011"/>
    <n v="44"/>
    <x v="95"/>
    <x v="0"/>
    <n v="156"/>
    <n v="181"/>
    <n v="146"/>
    <n v="215"/>
    <m/>
  </r>
  <r>
    <n v="2011"/>
    <n v="45"/>
    <x v="96"/>
    <x v="0"/>
    <n v="177"/>
    <n v="181"/>
    <n v="146"/>
    <n v="215"/>
    <m/>
  </r>
  <r>
    <n v="2011"/>
    <n v="46"/>
    <x v="97"/>
    <x v="0"/>
    <n v="195"/>
    <n v="181"/>
    <n v="146"/>
    <n v="216"/>
    <m/>
  </r>
  <r>
    <n v="2011"/>
    <n v="47"/>
    <x v="98"/>
    <x v="0"/>
    <n v="175"/>
    <n v="181"/>
    <n v="147"/>
    <n v="216"/>
    <m/>
  </r>
  <r>
    <n v="2011"/>
    <n v="48"/>
    <x v="99"/>
    <x v="0"/>
    <n v="168"/>
    <n v="182"/>
    <n v="147"/>
    <n v="216"/>
    <m/>
  </r>
  <r>
    <n v="2011"/>
    <n v="49"/>
    <x v="100"/>
    <x v="0"/>
    <n v="184"/>
    <n v="182"/>
    <n v="147"/>
    <n v="216"/>
    <m/>
  </r>
  <r>
    <n v="2011"/>
    <n v="50"/>
    <x v="101"/>
    <x v="0"/>
    <n v="191"/>
    <n v="182"/>
    <n v="147"/>
    <n v="217"/>
    <m/>
  </r>
  <r>
    <n v="2011"/>
    <n v="51"/>
    <x v="102"/>
    <x v="0"/>
    <n v="197"/>
    <n v="182"/>
    <n v="147"/>
    <n v="217"/>
    <m/>
  </r>
  <r>
    <n v="2011"/>
    <n v="52"/>
    <x v="103"/>
    <x v="0"/>
    <n v="171"/>
    <n v="182"/>
    <n v="148"/>
    <n v="217"/>
    <m/>
  </r>
  <r>
    <n v="2011"/>
    <n v="1"/>
    <x v="52"/>
    <x v="1"/>
    <n v="1155"/>
    <n v="1153"/>
    <n v="1066"/>
    <n v="1241"/>
    <m/>
  </r>
  <r>
    <n v="2011"/>
    <n v="2"/>
    <x v="53"/>
    <x v="1"/>
    <n v="1118"/>
    <n v="1150"/>
    <n v="1062"/>
    <n v="1237"/>
    <m/>
  </r>
  <r>
    <n v="2011"/>
    <n v="3"/>
    <x v="54"/>
    <x v="1"/>
    <n v="1033"/>
    <n v="1146"/>
    <n v="1059"/>
    <n v="1233"/>
    <m/>
  </r>
  <r>
    <n v="2011"/>
    <n v="4"/>
    <x v="55"/>
    <x v="1"/>
    <n v="1106"/>
    <n v="1142"/>
    <n v="1055"/>
    <n v="1229"/>
    <m/>
  </r>
  <r>
    <n v="2011"/>
    <n v="5"/>
    <x v="56"/>
    <x v="1"/>
    <n v="1049"/>
    <n v="1138"/>
    <n v="1051"/>
    <n v="1225"/>
    <m/>
  </r>
  <r>
    <n v="2011"/>
    <n v="6"/>
    <x v="57"/>
    <x v="1"/>
    <n v="1059"/>
    <n v="1134"/>
    <n v="1048"/>
    <n v="1221"/>
    <m/>
  </r>
  <r>
    <n v="2011"/>
    <n v="7"/>
    <x v="58"/>
    <x v="1"/>
    <n v="1094"/>
    <n v="1130"/>
    <n v="1043"/>
    <n v="1217"/>
    <m/>
  </r>
  <r>
    <n v="2011"/>
    <n v="8"/>
    <x v="59"/>
    <x v="1"/>
    <n v="1074"/>
    <n v="1119"/>
    <n v="1033"/>
    <n v="1205"/>
    <m/>
  </r>
  <r>
    <n v="2011"/>
    <n v="9"/>
    <x v="60"/>
    <x v="1"/>
    <n v="1050"/>
    <n v="1108"/>
    <n v="1022"/>
    <n v="1193"/>
    <m/>
  </r>
  <r>
    <n v="2011"/>
    <n v="10"/>
    <x v="61"/>
    <x v="1"/>
    <n v="1109"/>
    <n v="1092"/>
    <n v="1007"/>
    <n v="1177"/>
    <m/>
  </r>
  <r>
    <n v="2011"/>
    <n v="11"/>
    <x v="62"/>
    <x v="1"/>
    <n v="1065"/>
    <n v="1076"/>
    <n v="991"/>
    <n v="1160"/>
    <m/>
  </r>
  <r>
    <n v="2011"/>
    <n v="12"/>
    <x v="63"/>
    <x v="1"/>
    <n v="1017"/>
    <n v="1057"/>
    <n v="973"/>
    <n v="1140"/>
    <m/>
  </r>
  <r>
    <n v="2011"/>
    <n v="13"/>
    <x v="64"/>
    <x v="1"/>
    <n v="1084"/>
    <n v="1038"/>
    <n v="955"/>
    <n v="1121"/>
    <m/>
  </r>
  <r>
    <n v="2011"/>
    <n v="14"/>
    <x v="65"/>
    <x v="1"/>
    <n v="1049"/>
    <n v="1021"/>
    <n v="939"/>
    <n v="1104"/>
    <m/>
  </r>
  <r>
    <n v="2011"/>
    <n v="15"/>
    <x v="66"/>
    <x v="1"/>
    <n v="895"/>
    <n v="1008"/>
    <n v="926"/>
    <n v="1090"/>
    <m/>
  </r>
  <r>
    <n v="2011"/>
    <n v="16"/>
    <x v="67"/>
    <x v="1"/>
    <n v="1027"/>
    <n v="995"/>
    <n v="914"/>
    <n v="1076"/>
    <m/>
  </r>
  <r>
    <n v="2011"/>
    <n v="17"/>
    <x v="68"/>
    <x v="1"/>
    <n v="992"/>
    <n v="985"/>
    <n v="904"/>
    <n v="1065"/>
    <m/>
  </r>
  <r>
    <n v="2011"/>
    <n v="18"/>
    <x v="69"/>
    <x v="1"/>
    <n v="1011"/>
    <n v="974"/>
    <n v="894"/>
    <n v="1055"/>
    <m/>
  </r>
  <r>
    <n v="2011"/>
    <n v="19"/>
    <x v="70"/>
    <x v="1"/>
    <n v="923"/>
    <n v="965"/>
    <n v="885"/>
    <n v="1045"/>
    <m/>
  </r>
  <r>
    <n v="2011"/>
    <n v="20"/>
    <x v="71"/>
    <x v="1"/>
    <n v="920"/>
    <n v="956"/>
    <n v="877"/>
    <n v="1036"/>
    <m/>
  </r>
  <r>
    <n v="2011"/>
    <n v="21"/>
    <x v="72"/>
    <x v="1"/>
    <n v="901"/>
    <n v="949"/>
    <n v="870"/>
    <n v="1029"/>
    <m/>
  </r>
  <r>
    <n v="2011"/>
    <n v="22"/>
    <x v="73"/>
    <x v="1"/>
    <n v="927"/>
    <n v="946"/>
    <n v="867"/>
    <n v="1025"/>
    <m/>
  </r>
  <r>
    <n v="2011"/>
    <n v="23"/>
    <x v="74"/>
    <x v="1"/>
    <n v="906"/>
    <n v="943"/>
    <n v="864"/>
    <n v="1022"/>
    <m/>
  </r>
  <r>
    <n v="2011"/>
    <n v="24"/>
    <x v="75"/>
    <x v="1"/>
    <n v="928"/>
    <n v="941"/>
    <n v="862"/>
    <n v="1020"/>
    <m/>
  </r>
  <r>
    <n v="2011"/>
    <n v="25"/>
    <x v="76"/>
    <x v="1"/>
    <n v="926"/>
    <n v="938"/>
    <n v="859"/>
    <n v="1016"/>
    <m/>
  </r>
  <r>
    <n v="2011"/>
    <n v="26"/>
    <x v="77"/>
    <x v="1"/>
    <n v="955"/>
    <n v="934"/>
    <n v="855"/>
    <n v="1013"/>
    <m/>
  </r>
  <r>
    <n v="2011"/>
    <n v="27"/>
    <x v="78"/>
    <x v="1"/>
    <n v="929"/>
    <n v="931"/>
    <n v="853"/>
    <n v="1010"/>
    <m/>
  </r>
  <r>
    <n v="2011"/>
    <n v="28"/>
    <x v="79"/>
    <x v="1"/>
    <n v="938"/>
    <n v="928"/>
    <n v="849"/>
    <n v="1006"/>
    <m/>
  </r>
  <r>
    <n v="2011"/>
    <n v="29"/>
    <x v="80"/>
    <x v="1"/>
    <n v="908"/>
    <n v="924"/>
    <n v="846"/>
    <n v="1002"/>
    <m/>
  </r>
  <r>
    <n v="2011"/>
    <n v="30"/>
    <x v="81"/>
    <x v="1"/>
    <n v="989"/>
    <n v="921"/>
    <n v="842"/>
    <n v="999"/>
    <m/>
  </r>
  <r>
    <n v="2011"/>
    <n v="31"/>
    <x v="82"/>
    <x v="1"/>
    <n v="955"/>
    <n v="917"/>
    <n v="839"/>
    <n v="995"/>
    <m/>
  </r>
  <r>
    <n v="2011"/>
    <n v="32"/>
    <x v="83"/>
    <x v="1"/>
    <n v="892"/>
    <n v="919"/>
    <n v="841"/>
    <n v="997"/>
    <m/>
  </r>
  <r>
    <n v="2011"/>
    <n v="33"/>
    <x v="84"/>
    <x v="1"/>
    <n v="968"/>
    <n v="921"/>
    <n v="843"/>
    <n v="999"/>
    <m/>
  </r>
  <r>
    <n v="2011"/>
    <n v="34"/>
    <x v="85"/>
    <x v="1"/>
    <n v="1024"/>
    <n v="925"/>
    <n v="847"/>
    <n v="1003"/>
    <n v="1024"/>
  </r>
  <r>
    <n v="2011"/>
    <n v="35"/>
    <x v="86"/>
    <x v="1"/>
    <n v="933"/>
    <n v="931"/>
    <n v="852"/>
    <n v="1009"/>
    <m/>
  </r>
  <r>
    <n v="2011"/>
    <n v="36"/>
    <x v="87"/>
    <x v="1"/>
    <n v="930"/>
    <n v="936"/>
    <n v="857"/>
    <n v="1015"/>
    <m/>
  </r>
  <r>
    <n v="2011"/>
    <n v="37"/>
    <x v="88"/>
    <x v="1"/>
    <n v="924"/>
    <n v="943"/>
    <n v="864"/>
    <n v="1022"/>
    <m/>
  </r>
  <r>
    <n v="2011"/>
    <n v="38"/>
    <x v="89"/>
    <x v="1"/>
    <n v="931"/>
    <n v="951"/>
    <n v="871"/>
    <n v="1030"/>
    <m/>
  </r>
  <r>
    <n v="2011"/>
    <n v="39"/>
    <x v="90"/>
    <x v="1"/>
    <n v="953"/>
    <n v="958"/>
    <n v="879"/>
    <n v="1038"/>
    <m/>
  </r>
  <r>
    <n v="2011"/>
    <n v="40"/>
    <x v="91"/>
    <x v="1"/>
    <n v="970"/>
    <n v="966"/>
    <n v="886"/>
    <n v="1046"/>
    <m/>
  </r>
  <r>
    <n v="2011"/>
    <n v="41"/>
    <x v="92"/>
    <x v="1"/>
    <n v="1005"/>
    <n v="974"/>
    <n v="893"/>
    <n v="1054"/>
    <m/>
  </r>
  <r>
    <n v="2011"/>
    <n v="42"/>
    <x v="93"/>
    <x v="1"/>
    <n v="939"/>
    <n v="981"/>
    <n v="900"/>
    <n v="1062"/>
    <m/>
  </r>
  <r>
    <n v="2011"/>
    <n v="43"/>
    <x v="94"/>
    <x v="1"/>
    <n v="1060"/>
    <n v="991"/>
    <n v="910"/>
    <n v="1072"/>
    <m/>
  </r>
  <r>
    <n v="2011"/>
    <n v="44"/>
    <x v="95"/>
    <x v="1"/>
    <n v="1030"/>
    <n v="1001"/>
    <n v="919"/>
    <n v="1082"/>
    <m/>
  </r>
  <r>
    <n v="2011"/>
    <n v="45"/>
    <x v="96"/>
    <x v="1"/>
    <n v="991"/>
    <n v="1013"/>
    <n v="931"/>
    <n v="1095"/>
    <m/>
  </r>
  <r>
    <n v="2011"/>
    <n v="46"/>
    <x v="97"/>
    <x v="1"/>
    <n v="1004"/>
    <n v="1024"/>
    <n v="942"/>
    <n v="1107"/>
    <m/>
  </r>
  <r>
    <n v="2011"/>
    <n v="47"/>
    <x v="98"/>
    <x v="1"/>
    <n v="1048"/>
    <n v="1039"/>
    <n v="956"/>
    <n v="1122"/>
    <m/>
  </r>
  <r>
    <n v="2011"/>
    <n v="48"/>
    <x v="99"/>
    <x v="1"/>
    <n v="1087"/>
    <n v="1057"/>
    <n v="973"/>
    <n v="1141"/>
    <m/>
  </r>
  <r>
    <n v="2011"/>
    <n v="49"/>
    <x v="100"/>
    <x v="1"/>
    <n v="1057"/>
    <n v="1075"/>
    <n v="990"/>
    <n v="1159"/>
    <m/>
  </r>
  <r>
    <n v="2011"/>
    <n v="50"/>
    <x v="101"/>
    <x v="1"/>
    <n v="1090"/>
    <n v="1092"/>
    <n v="1007"/>
    <n v="1177"/>
    <m/>
  </r>
  <r>
    <n v="2011"/>
    <n v="51"/>
    <x v="102"/>
    <x v="1"/>
    <n v="1084"/>
    <n v="1109"/>
    <n v="1023"/>
    <n v="1195"/>
    <m/>
  </r>
  <r>
    <n v="2011"/>
    <n v="52"/>
    <x v="103"/>
    <x v="1"/>
    <n v="1065"/>
    <n v="1126"/>
    <n v="1040"/>
    <n v="1213"/>
    <m/>
  </r>
  <r>
    <n v="2012"/>
    <n v="1"/>
    <x v="104"/>
    <x v="0"/>
    <n v="175"/>
    <n v="188"/>
    <n v="152"/>
    <n v="223"/>
    <m/>
  </r>
  <r>
    <n v="2012"/>
    <n v="2"/>
    <x v="105"/>
    <x v="0"/>
    <n v="198"/>
    <n v="187"/>
    <n v="152"/>
    <n v="222"/>
    <m/>
  </r>
  <r>
    <n v="2012"/>
    <n v="3"/>
    <x v="106"/>
    <x v="0"/>
    <n v="163"/>
    <n v="186"/>
    <n v="151"/>
    <n v="222"/>
    <m/>
  </r>
  <r>
    <n v="2012"/>
    <n v="4"/>
    <x v="107"/>
    <x v="0"/>
    <n v="189"/>
    <n v="186"/>
    <n v="151"/>
    <n v="221"/>
    <m/>
  </r>
  <r>
    <n v="2012"/>
    <n v="5"/>
    <x v="108"/>
    <x v="0"/>
    <n v="199"/>
    <n v="185"/>
    <n v="150"/>
    <n v="220"/>
    <m/>
  </r>
  <r>
    <n v="2012"/>
    <n v="6"/>
    <x v="109"/>
    <x v="0"/>
    <n v="218"/>
    <n v="185"/>
    <n v="150"/>
    <n v="220"/>
    <m/>
  </r>
  <r>
    <n v="2012"/>
    <n v="7"/>
    <x v="110"/>
    <x v="0"/>
    <n v="206"/>
    <n v="184"/>
    <n v="149"/>
    <n v="219"/>
    <m/>
  </r>
  <r>
    <n v="2012"/>
    <n v="8"/>
    <x v="111"/>
    <x v="0"/>
    <n v="181"/>
    <n v="184"/>
    <n v="149"/>
    <n v="218"/>
    <m/>
  </r>
  <r>
    <n v="2012"/>
    <n v="9"/>
    <x v="112"/>
    <x v="0"/>
    <n v="198"/>
    <n v="183"/>
    <n v="148"/>
    <n v="218"/>
    <m/>
  </r>
  <r>
    <n v="2012"/>
    <n v="10"/>
    <x v="113"/>
    <x v="0"/>
    <n v="181"/>
    <n v="182"/>
    <n v="148"/>
    <n v="217"/>
    <m/>
  </r>
  <r>
    <n v="2012"/>
    <n v="11"/>
    <x v="114"/>
    <x v="0"/>
    <n v="210"/>
    <n v="182"/>
    <n v="147"/>
    <n v="217"/>
    <m/>
  </r>
  <r>
    <n v="2012"/>
    <n v="12"/>
    <x v="115"/>
    <x v="0"/>
    <n v="180"/>
    <n v="181"/>
    <n v="147"/>
    <n v="216"/>
    <m/>
  </r>
  <r>
    <n v="2012"/>
    <n v="13"/>
    <x v="116"/>
    <x v="0"/>
    <n v="187"/>
    <n v="181"/>
    <n v="146"/>
    <n v="215"/>
    <m/>
  </r>
  <r>
    <n v="2012"/>
    <n v="14"/>
    <x v="117"/>
    <x v="0"/>
    <n v="202"/>
    <n v="180"/>
    <n v="146"/>
    <n v="215"/>
    <m/>
  </r>
  <r>
    <n v="2012"/>
    <n v="15"/>
    <x v="118"/>
    <x v="0"/>
    <n v="182"/>
    <n v="179"/>
    <n v="145"/>
    <n v="214"/>
    <m/>
  </r>
  <r>
    <n v="2012"/>
    <n v="16"/>
    <x v="119"/>
    <x v="0"/>
    <n v="189"/>
    <n v="179"/>
    <n v="144"/>
    <n v="213"/>
    <m/>
  </r>
  <r>
    <n v="2012"/>
    <n v="17"/>
    <x v="120"/>
    <x v="0"/>
    <n v="207"/>
    <n v="178"/>
    <n v="144"/>
    <n v="213"/>
    <m/>
  </r>
  <r>
    <n v="2012"/>
    <n v="18"/>
    <x v="121"/>
    <x v="0"/>
    <n v="167"/>
    <n v="178"/>
    <n v="143"/>
    <n v="212"/>
    <m/>
  </r>
  <r>
    <n v="2012"/>
    <n v="19"/>
    <x v="122"/>
    <x v="0"/>
    <n v="195"/>
    <n v="177"/>
    <n v="143"/>
    <n v="211"/>
    <m/>
  </r>
  <r>
    <n v="2012"/>
    <n v="20"/>
    <x v="123"/>
    <x v="0"/>
    <n v="161"/>
    <n v="176"/>
    <n v="142"/>
    <n v="211"/>
    <m/>
  </r>
  <r>
    <n v="2012"/>
    <n v="21"/>
    <x v="124"/>
    <x v="0"/>
    <n v="175"/>
    <n v="176"/>
    <n v="142"/>
    <n v="210"/>
    <m/>
  </r>
  <r>
    <n v="2012"/>
    <n v="22"/>
    <x v="125"/>
    <x v="0"/>
    <n v="177"/>
    <n v="175"/>
    <n v="141"/>
    <n v="209"/>
    <m/>
  </r>
  <r>
    <n v="2012"/>
    <n v="23"/>
    <x v="126"/>
    <x v="0"/>
    <n v="162"/>
    <n v="175"/>
    <n v="141"/>
    <n v="209"/>
    <m/>
  </r>
  <r>
    <n v="2012"/>
    <n v="24"/>
    <x v="127"/>
    <x v="0"/>
    <n v="183"/>
    <n v="175"/>
    <n v="141"/>
    <n v="209"/>
    <m/>
  </r>
  <r>
    <n v="2012"/>
    <n v="25"/>
    <x v="128"/>
    <x v="0"/>
    <n v="185"/>
    <n v="174"/>
    <n v="140"/>
    <n v="208"/>
    <m/>
  </r>
  <r>
    <n v="2012"/>
    <n v="26"/>
    <x v="129"/>
    <x v="0"/>
    <n v="190"/>
    <n v="174"/>
    <n v="140"/>
    <n v="208"/>
    <m/>
  </r>
  <r>
    <n v="2012"/>
    <n v="27"/>
    <x v="130"/>
    <x v="0"/>
    <n v="194"/>
    <n v="174"/>
    <n v="140"/>
    <n v="208"/>
    <m/>
  </r>
  <r>
    <n v="2012"/>
    <n v="28"/>
    <x v="131"/>
    <x v="0"/>
    <n v="178"/>
    <n v="174"/>
    <n v="140"/>
    <n v="207"/>
    <m/>
  </r>
  <r>
    <n v="2012"/>
    <n v="29"/>
    <x v="132"/>
    <x v="0"/>
    <n v="140"/>
    <n v="173"/>
    <n v="140"/>
    <n v="207"/>
    <m/>
  </r>
  <r>
    <n v="2012"/>
    <n v="30"/>
    <x v="133"/>
    <x v="0"/>
    <n v="185"/>
    <n v="173"/>
    <n v="139"/>
    <n v="207"/>
    <m/>
  </r>
  <r>
    <n v="2012"/>
    <n v="31"/>
    <x v="134"/>
    <x v="0"/>
    <n v="177"/>
    <n v="173"/>
    <n v="139"/>
    <n v="207"/>
    <m/>
  </r>
  <r>
    <n v="2012"/>
    <n v="32"/>
    <x v="135"/>
    <x v="0"/>
    <n v="166"/>
    <n v="173"/>
    <n v="139"/>
    <n v="207"/>
    <m/>
  </r>
  <r>
    <n v="2012"/>
    <n v="33"/>
    <x v="136"/>
    <x v="0"/>
    <n v="169"/>
    <n v="173"/>
    <n v="140"/>
    <n v="207"/>
    <m/>
  </r>
  <r>
    <n v="2012"/>
    <n v="34"/>
    <x v="137"/>
    <x v="0"/>
    <n v="201"/>
    <n v="173"/>
    <n v="140"/>
    <n v="207"/>
    <m/>
  </r>
  <r>
    <n v="2012"/>
    <n v="35"/>
    <x v="138"/>
    <x v="0"/>
    <n v="167"/>
    <n v="174"/>
    <n v="140"/>
    <n v="208"/>
    <m/>
  </r>
  <r>
    <n v="2012"/>
    <n v="36"/>
    <x v="139"/>
    <x v="0"/>
    <n v="172"/>
    <n v="174"/>
    <n v="140"/>
    <n v="208"/>
    <m/>
  </r>
  <r>
    <n v="2012"/>
    <n v="37"/>
    <x v="140"/>
    <x v="0"/>
    <n v="189"/>
    <n v="174"/>
    <n v="140"/>
    <n v="208"/>
    <m/>
  </r>
  <r>
    <n v="2012"/>
    <n v="38"/>
    <x v="141"/>
    <x v="0"/>
    <n v="180"/>
    <n v="174"/>
    <n v="140"/>
    <n v="208"/>
    <m/>
  </r>
  <r>
    <n v="2012"/>
    <n v="39"/>
    <x v="142"/>
    <x v="0"/>
    <n v="176"/>
    <n v="175"/>
    <n v="141"/>
    <n v="209"/>
    <m/>
  </r>
  <r>
    <n v="2012"/>
    <n v="40"/>
    <x v="143"/>
    <x v="0"/>
    <n v="180"/>
    <n v="175"/>
    <n v="141"/>
    <n v="209"/>
    <m/>
  </r>
  <r>
    <n v="2012"/>
    <n v="41"/>
    <x v="144"/>
    <x v="0"/>
    <n v="162"/>
    <n v="175"/>
    <n v="141"/>
    <n v="209"/>
    <m/>
  </r>
  <r>
    <n v="2012"/>
    <n v="42"/>
    <x v="145"/>
    <x v="0"/>
    <n v="149"/>
    <n v="175"/>
    <n v="141"/>
    <n v="209"/>
    <m/>
  </r>
  <r>
    <n v="2012"/>
    <n v="43"/>
    <x v="146"/>
    <x v="0"/>
    <n v="181"/>
    <n v="176"/>
    <n v="141"/>
    <n v="210"/>
    <m/>
  </r>
  <r>
    <n v="2012"/>
    <n v="44"/>
    <x v="147"/>
    <x v="0"/>
    <n v="187"/>
    <n v="176"/>
    <n v="142"/>
    <n v="210"/>
    <m/>
  </r>
  <r>
    <n v="2012"/>
    <n v="45"/>
    <x v="148"/>
    <x v="0"/>
    <n v="190"/>
    <n v="176"/>
    <n v="142"/>
    <n v="210"/>
    <m/>
  </r>
  <r>
    <n v="2012"/>
    <n v="46"/>
    <x v="149"/>
    <x v="0"/>
    <n v="183"/>
    <n v="177"/>
    <n v="142"/>
    <n v="211"/>
    <m/>
  </r>
  <r>
    <n v="2012"/>
    <n v="47"/>
    <x v="150"/>
    <x v="0"/>
    <n v="192"/>
    <n v="177"/>
    <n v="143"/>
    <n v="211"/>
    <m/>
  </r>
  <r>
    <n v="2012"/>
    <n v="48"/>
    <x v="151"/>
    <x v="0"/>
    <n v="143"/>
    <n v="177"/>
    <n v="143"/>
    <n v="211"/>
    <m/>
  </r>
  <r>
    <n v="2012"/>
    <n v="49"/>
    <x v="152"/>
    <x v="0"/>
    <n v="168"/>
    <n v="177"/>
    <n v="143"/>
    <n v="212"/>
    <m/>
  </r>
  <r>
    <n v="2012"/>
    <n v="50"/>
    <x v="153"/>
    <x v="0"/>
    <n v="163"/>
    <n v="178"/>
    <n v="143"/>
    <n v="212"/>
    <m/>
  </r>
  <r>
    <n v="2012"/>
    <n v="51"/>
    <x v="154"/>
    <x v="0"/>
    <n v="178"/>
    <n v="178"/>
    <n v="144"/>
    <n v="212"/>
    <m/>
  </r>
  <r>
    <n v="2012"/>
    <n v="52"/>
    <x v="155"/>
    <x v="0"/>
    <n v="202"/>
    <n v="178"/>
    <n v="144"/>
    <n v="213"/>
    <m/>
  </r>
  <r>
    <n v="2012"/>
    <n v="1"/>
    <x v="104"/>
    <x v="1"/>
    <n v="1174"/>
    <n v="1156"/>
    <n v="1068"/>
    <n v="1244"/>
    <m/>
  </r>
  <r>
    <n v="2012"/>
    <n v="2"/>
    <x v="105"/>
    <x v="1"/>
    <n v="1153"/>
    <n v="1153"/>
    <n v="1065"/>
    <n v="1240"/>
    <m/>
  </r>
  <r>
    <n v="2012"/>
    <n v="3"/>
    <x v="106"/>
    <x v="1"/>
    <n v="1181"/>
    <n v="1149"/>
    <n v="1062"/>
    <n v="1236"/>
    <m/>
  </r>
  <r>
    <n v="2012"/>
    <n v="4"/>
    <x v="107"/>
    <x v="1"/>
    <n v="1148"/>
    <n v="1146"/>
    <n v="1059"/>
    <n v="1233"/>
    <m/>
  </r>
  <r>
    <n v="2012"/>
    <n v="5"/>
    <x v="108"/>
    <x v="1"/>
    <n v="1137"/>
    <n v="1142"/>
    <n v="1055"/>
    <n v="1229"/>
    <m/>
  </r>
  <r>
    <n v="2012"/>
    <n v="6"/>
    <x v="109"/>
    <x v="1"/>
    <n v="1197"/>
    <n v="1138"/>
    <n v="1052"/>
    <n v="1225"/>
    <m/>
  </r>
  <r>
    <n v="2012"/>
    <n v="7"/>
    <x v="110"/>
    <x v="1"/>
    <n v="1218"/>
    <n v="1135"/>
    <n v="1048"/>
    <n v="1222"/>
    <m/>
  </r>
  <r>
    <n v="2012"/>
    <n v="8"/>
    <x v="111"/>
    <x v="1"/>
    <n v="1216"/>
    <n v="1125"/>
    <n v="1038"/>
    <n v="1211"/>
    <n v="1216"/>
  </r>
  <r>
    <n v="2012"/>
    <n v="9"/>
    <x v="112"/>
    <x v="1"/>
    <n v="1209"/>
    <n v="1115"/>
    <n v="1029"/>
    <n v="1201"/>
    <n v="1209"/>
  </r>
  <r>
    <n v="2012"/>
    <n v="10"/>
    <x v="113"/>
    <x v="1"/>
    <n v="1146"/>
    <n v="1099"/>
    <n v="1013"/>
    <n v="1184"/>
    <m/>
  </r>
  <r>
    <n v="2012"/>
    <n v="11"/>
    <x v="114"/>
    <x v="1"/>
    <n v="1182"/>
    <n v="1082"/>
    <n v="998"/>
    <n v="1167"/>
    <n v="1182"/>
  </r>
  <r>
    <n v="2012"/>
    <n v="12"/>
    <x v="115"/>
    <x v="1"/>
    <n v="1048"/>
    <n v="1062"/>
    <n v="978"/>
    <n v="1146"/>
    <m/>
  </r>
  <r>
    <n v="2012"/>
    <n v="13"/>
    <x v="116"/>
    <x v="1"/>
    <n v="1121"/>
    <n v="1042"/>
    <n v="959"/>
    <n v="1126"/>
    <m/>
  </r>
  <r>
    <n v="2012"/>
    <n v="14"/>
    <x v="117"/>
    <x v="1"/>
    <n v="1082"/>
    <n v="1025"/>
    <n v="943"/>
    <n v="1108"/>
    <m/>
  </r>
  <r>
    <n v="2012"/>
    <n v="15"/>
    <x v="118"/>
    <x v="1"/>
    <n v="1092"/>
    <n v="1010"/>
    <n v="929"/>
    <n v="1092"/>
    <m/>
  </r>
  <r>
    <n v="2012"/>
    <n v="16"/>
    <x v="119"/>
    <x v="1"/>
    <n v="1018"/>
    <n v="996"/>
    <n v="914"/>
    <n v="1077"/>
    <m/>
  </r>
  <r>
    <n v="2012"/>
    <n v="17"/>
    <x v="120"/>
    <x v="1"/>
    <n v="1088"/>
    <n v="985"/>
    <n v="904"/>
    <n v="1066"/>
    <n v="1088"/>
  </r>
  <r>
    <n v="2012"/>
    <n v="18"/>
    <x v="121"/>
    <x v="1"/>
    <n v="987"/>
    <n v="974"/>
    <n v="894"/>
    <n v="1054"/>
    <m/>
  </r>
  <r>
    <n v="2012"/>
    <n v="19"/>
    <x v="122"/>
    <x v="1"/>
    <n v="979"/>
    <n v="966"/>
    <n v="886"/>
    <n v="1046"/>
    <m/>
  </r>
  <r>
    <n v="2012"/>
    <n v="20"/>
    <x v="123"/>
    <x v="1"/>
    <n v="941"/>
    <n v="957"/>
    <n v="878"/>
    <n v="1037"/>
    <m/>
  </r>
  <r>
    <n v="2012"/>
    <n v="21"/>
    <x v="124"/>
    <x v="1"/>
    <n v="921"/>
    <n v="950"/>
    <n v="871"/>
    <n v="1030"/>
    <m/>
  </r>
  <r>
    <n v="2012"/>
    <n v="22"/>
    <x v="125"/>
    <x v="1"/>
    <n v="951"/>
    <n v="947"/>
    <n v="868"/>
    <n v="1026"/>
    <m/>
  </r>
  <r>
    <n v="2012"/>
    <n v="23"/>
    <x v="126"/>
    <x v="1"/>
    <n v="873"/>
    <n v="944"/>
    <n v="865"/>
    <n v="1023"/>
    <m/>
  </r>
  <r>
    <n v="2012"/>
    <n v="24"/>
    <x v="127"/>
    <x v="1"/>
    <n v="985"/>
    <n v="941"/>
    <n v="862"/>
    <n v="1020"/>
    <m/>
  </r>
  <r>
    <n v="2012"/>
    <n v="25"/>
    <x v="128"/>
    <x v="1"/>
    <n v="956"/>
    <n v="937"/>
    <n v="858"/>
    <n v="1016"/>
    <m/>
  </r>
  <r>
    <n v="2012"/>
    <n v="26"/>
    <x v="129"/>
    <x v="1"/>
    <n v="945"/>
    <n v="933"/>
    <n v="854"/>
    <n v="1012"/>
    <m/>
  </r>
  <r>
    <n v="2012"/>
    <n v="27"/>
    <x v="130"/>
    <x v="1"/>
    <n v="903"/>
    <n v="929"/>
    <n v="850"/>
    <n v="1007"/>
    <m/>
  </r>
  <r>
    <n v="2012"/>
    <n v="28"/>
    <x v="131"/>
    <x v="1"/>
    <n v="925"/>
    <n v="925"/>
    <n v="847"/>
    <n v="1003"/>
    <m/>
  </r>
  <r>
    <n v="2012"/>
    <n v="29"/>
    <x v="132"/>
    <x v="1"/>
    <n v="933"/>
    <n v="921"/>
    <n v="843"/>
    <n v="1000"/>
    <m/>
  </r>
  <r>
    <n v="2012"/>
    <n v="30"/>
    <x v="133"/>
    <x v="1"/>
    <n v="957"/>
    <n v="920"/>
    <n v="842"/>
    <n v="998"/>
    <m/>
  </r>
  <r>
    <n v="2012"/>
    <n v="31"/>
    <x v="134"/>
    <x v="1"/>
    <n v="945"/>
    <n v="918"/>
    <n v="840"/>
    <n v="996"/>
    <m/>
  </r>
  <r>
    <n v="2012"/>
    <n v="32"/>
    <x v="135"/>
    <x v="1"/>
    <n v="858"/>
    <n v="921"/>
    <n v="843"/>
    <n v="999"/>
    <m/>
  </r>
  <r>
    <n v="2012"/>
    <n v="33"/>
    <x v="136"/>
    <x v="1"/>
    <n v="949"/>
    <n v="924"/>
    <n v="845"/>
    <n v="1002"/>
    <m/>
  </r>
  <r>
    <n v="2012"/>
    <n v="34"/>
    <x v="137"/>
    <x v="1"/>
    <n v="979"/>
    <n v="928"/>
    <n v="850"/>
    <n v="1007"/>
    <m/>
  </r>
  <r>
    <n v="2012"/>
    <n v="35"/>
    <x v="138"/>
    <x v="1"/>
    <n v="914"/>
    <n v="934"/>
    <n v="855"/>
    <n v="1012"/>
    <m/>
  </r>
  <r>
    <n v="2012"/>
    <n v="36"/>
    <x v="139"/>
    <x v="1"/>
    <n v="955"/>
    <n v="939"/>
    <n v="860"/>
    <n v="1018"/>
    <m/>
  </r>
  <r>
    <n v="2012"/>
    <n v="37"/>
    <x v="140"/>
    <x v="1"/>
    <n v="970"/>
    <n v="944"/>
    <n v="865"/>
    <n v="1023"/>
    <m/>
  </r>
  <r>
    <n v="2012"/>
    <n v="38"/>
    <x v="141"/>
    <x v="1"/>
    <n v="993"/>
    <n v="950"/>
    <n v="871"/>
    <n v="1030"/>
    <m/>
  </r>
  <r>
    <n v="2012"/>
    <n v="39"/>
    <x v="142"/>
    <x v="1"/>
    <n v="979"/>
    <n v="957"/>
    <n v="877"/>
    <n v="1036"/>
    <m/>
  </r>
  <r>
    <n v="2012"/>
    <n v="40"/>
    <x v="143"/>
    <x v="1"/>
    <n v="1057"/>
    <n v="965"/>
    <n v="885"/>
    <n v="1045"/>
    <n v="1057"/>
  </r>
  <r>
    <n v="2012"/>
    <n v="41"/>
    <x v="144"/>
    <x v="1"/>
    <n v="1018"/>
    <n v="972"/>
    <n v="892"/>
    <n v="1053"/>
    <m/>
  </r>
  <r>
    <n v="2012"/>
    <n v="42"/>
    <x v="145"/>
    <x v="1"/>
    <n v="993"/>
    <n v="980"/>
    <n v="900"/>
    <n v="1061"/>
    <m/>
  </r>
  <r>
    <n v="2012"/>
    <n v="43"/>
    <x v="146"/>
    <x v="1"/>
    <n v="1064"/>
    <n v="991"/>
    <n v="910"/>
    <n v="1072"/>
    <m/>
  </r>
  <r>
    <n v="2012"/>
    <n v="44"/>
    <x v="147"/>
    <x v="1"/>
    <n v="986"/>
    <n v="1002"/>
    <n v="920"/>
    <n v="1083"/>
    <m/>
  </r>
  <r>
    <n v="2012"/>
    <n v="45"/>
    <x v="148"/>
    <x v="1"/>
    <n v="994"/>
    <n v="1015"/>
    <n v="933"/>
    <n v="1097"/>
    <m/>
  </r>
  <r>
    <n v="2012"/>
    <n v="46"/>
    <x v="149"/>
    <x v="1"/>
    <n v="1024"/>
    <n v="1028"/>
    <n v="945"/>
    <n v="1111"/>
    <m/>
  </r>
  <r>
    <n v="2012"/>
    <n v="47"/>
    <x v="150"/>
    <x v="1"/>
    <n v="1073"/>
    <n v="1043"/>
    <n v="960"/>
    <n v="1126"/>
    <m/>
  </r>
  <r>
    <n v="2012"/>
    <n v="48"/>
    <x v="151"/>
    <x v="1"/>
    <n v="1067"/>
    <n v="1059"/>
    <n v="975"/>
    <n v="1143"/>
    <m/>
  </r>
  <r>
    <n v="2012"/>
    <n v="49"/>
    <x v="152"/>
    <x v="1"/>
    <n v="1095"/>
    <n v="1075"/>
    <n v="991"/>
    <n v="1160"/>
    <m/>
  </r>
  <r>
    <n v="2012"/>
    <n v="50"/>
    <x v="153"/>
    <x v="1"/>
    <n v="1103"/>
    <n v="1091"/>
    <n v="1006"/>
    <n v="1176"/>
    <m/>
  </r>
  <r>
    <n v="2012"/>
    <n v="51"/>
    <x v="154"/>
    <x v="1"/>
    <n v="1094"/>
    <n v="1107"/>
    <n v="1021"/>
    <n v="1193"/>
    <m/>
  </r>
  <r>
    <n v="2012"/>
    <n v="52"/>
    <x v="155"/>
    <x v="1"/>
    <n v="1140"/>
    <n v="1123"/>
    <n v="1036"/>
    <n v="1209"/>
    <m/>
  </r>
  <r>
    <n v="2013"/>
    <n v="1"/>
    <x v="156"/>
    <x v="0"/>
    <n v="194"/>
    <n v="185"/>
    <n v="150"/>
    <n v="220"/>
    <m/>
  </r>
  <r>
    <n v="2013"/>
    <n v="2"/>
    <x v="157"/>
    <x v="0"/>
    <n v="174"/>
    <n v="185"/>
    <n v="150"/>
    <n v="220"/>
    <m/>
  </r>
  <r>
    <n v="2013"/>
    <n v="3"/>
    <x v="158"/>
    <x v="0"/>
    <n v="204"/>
    <n v="184"/>
    <n v="149"/>
    <n v="219"/>
    <m/>
  </r>
  <r>
    <n v="2013"/>
    <n v="4"/>
    <x v="159"/>
    <x v="0"/>
    <n v="192"/>
    <n v="184"/>
    <n v="149"/>
    <n v="218"/>
    <m/>
  </r>
  <r>
    <n v="2013"/>
    <n v="5"/>
    <x v="160"/>
    <x v="0"/>
    <n v="207"/>
    <n v="183"/>
    <n v="148"/>
    <n v="218"/>
    <m/>
  </r>
  <r>
    <n v="2013"/>
    <n v="6"/>
    <x v="161"/>
    <x v="0"/>
    <n v="195"/>
    <n v="182"/>
    <n v="148"/>
    <n v="217"/>
    <m/>
  </r>
  <r>
    <n v="2013"/>
    <n v="7"/>
    <x v="162"/>
    <x v="0"/>
    <n v="232"/>
    <n v="182"/>
    <n v="147"/>
    <n v="217"/>
    <n v="232"/>
  </r>
  <r>
    <n v="2013"/>
    <n v="8"/>
    <x v="163"/>
    <x v="0"/>
    <n v="193"/>
    <n v="181"/>
    <n v="147"/>
    <n v="216"/>
    <m/>
  </r>
  <r>
    <n v="2013"/>
    <n v="9"/>
    <x v="164"/>
    <x v="0"/>
    <n v="206"/>
    <n v="181"/>
    <n v="146"/>
    <n v="215"/>
    <m/>
  </r>
  <r>
    <n v="2013"/>
    <n v="10"/>
    <x v="165"/>
    <x v="0"/>
    <n v="151"/>
    <n v="180"/>
    <n v="146"/>
    <n v="215"/>
    <m/>
  </r>
  <r>
    <n v="2013"/>
    <n v="11"/>
    <x v="166"/>
    <x v="0"/>
    <n v="192"/>
    <n v="180"/>
    <n v="145"/>
    <n v="214"/>
    <m/>
  </r>
  <r>
    <n v="2013"/>
    <n v="12"/>
    <x v="167"/>
    <x v="0"/>
    <n v="203"/>
    <n v="179"/>
    <n v="145"/>
    <n v="213"/>
    <m/>
  </r>
  <r>
    <n v="2013"/>
    <n v="13"/>
    <x v="168"/>
    <x v="0"/>
    <n v="182"/>
    <n v="178"/>
    <n v="144"/>
    <n v="213"/>
    <m/>
  </r>
  <r>
    <n v="2013"/>
    <n v="14"/>
    <x v="169"/>
    <x v="0"/>
    <n v="185"/>
    <n v="178"/>
    <n v="144"/>
    <n v="212"/>
    <m/>
  </r>
  <r>
    <n v="2013"/>
    <n v="15"/>
    <x v="170"/>
    <x v="0"/>
    <n v="161"/>
    <n v="177"/>
    <n v="143"/>
    <n v="212"/>
    <m/>
  </r>
  <r>
    <n v="2013"/>
    <n v="16"/>
    <x v="171"/>
    <x v="0"/>
    <n v="170"/>
    <n v="177"/>
    <n v="142"/>
    <n v="211"/>
    <m/>
  </r>
  <r>
    <n v="2013"/>
    <n v="17"/>
    <x v="172"/>
    <x v="0"/>
    <n v="191"/>
    <n v="176"/>
    <n v="142"/>
    <n v="210"/>
    <m/>
  </r>
  <r>
    <n v="2013"/>
    <n v="18"/>
    <x v="173"/>
    <x v="0"/>
    <n v="184"/>
    <n v="175"/>
    <n v="141"/>
    <n v="209"/>
    <m/>
  </r>
  <r>
    <n v="2013"/>
    <n v="19"/>
    <x v="174"/>
    <x v="0"/>
    <n v="170"/>
    <n v="175"/>
    <n v="141"/>
    <n v="209"/>
    <m/>
  </r>
  <r>
    <n v="2013"/>
    <n v="20"/>
    <x v="175"/>
    <x v="0"/>
    <n v="173"/>
    <n v="174"/>
    <n v="140"/>
    <n v="208"/>
    <m/>
  </r>
  <r>
    <n v="2013"/>
    <n v="21"/>
    <x v="176"/>
    <x v="0"/>
    <n v="164"/>
    <n v="173"/>
    <n v="139"/>
    <n v="207"/>
    <m/>
  </r>
  <r>
    <n v="2013"/>
    <n v="22"/>
    <x v="177"/>
    <x v="0"/>
    <n v="184"/>
    <n v="173"/>
    <n v="139"/>
    <n v="207"/>
    <m/>
  </r>
  <r>
    <n v="2013"/>
    <n v="23"/>
    <x v="178"/>
    <x v="0"/>
    <n v="153"/>
    <n v="173"/>
    <n v="139"/>
    <n v="207"/>
    <m/>
  </r>
  <r>
    <n v="2013"/>
    <n v="24"/>
    <x v="179"/>
    <x v="0"/>
    <n v="182"/>
    <n v="172"/>
    <n v="139"/>
    <n v="206"/>
    <m/>
  </r>
  <r>
    <n v="2013"/>
    <n v="25"/>
    <x v="180"/>
    <x v="0"/>
    <n v="169"/>
    <n v="172"/>
    <n v="138"/>
    <n v="206"/>
    <m/>
  </r>
  <r>
    <n v="2013"/>
    <n v="26"/>
    <x v="181"/>
    <x v="0"/>
    <n v="191"/>
    <n v="172"/>
    <n v="138"/>
    <n v="205"/>
    <m/>
  </r>
  <r>
    <n v="2013"/>
    <n v="27"/>
    <x v="182"/>
    <x v="0"/>
    <n v="174"/>
    <n v="171"/>
    <n v="138"/>
    <n v="205"/>
    <m/>
  </r>
  <r>
    <n v="2013"/>
    <n v="28"/>
    <x v="183"/>
    <x v="0"/>
    <n v="175"/>
    <n v="171"/>
    <n v="138"/>
    <n v="205"/>
    <m/>
  </r>
  <r>
    <n v="2013"/>
    <n v="29"/>
    <x v="184"/>
    <x v="0"/>
    <n v="161"/>
    <n v="171"/>
    <n v="138"/>
    <n v="205"/>
    <m/>
  </r>
  <r>
    <n v="2013"/>
    <n v="30"/>
    <x v="185"/>
    <x v="0"/>
    <n v="176"/>
    <n v="171"/>
    <n v="138"/>
    <n v="205"/>
    <m/>
  </r>
  <r>
    <n v="2013"/>
    <n v="31"/>
    <x v="186"/>
    <x v="0"/>
    <n v="174"/>
    <n v="171"/>
    <n v="137"/>
    <n v="205"/>
    <m/>
  </r>
  <r>
    <n v="2013"/>
    <n v="32"/>
    <x v="187"/>
    <x v="0"/>
    <n v="174"/>
    <n v="171"/>
    <n v="138"/>
    <n v="205"/>
    <m/>
  </r>
  <r>
    <n v="2013"/>
    <n v="33"/>
    <x v="188"/>
    <x v="0"/>
    <n v="185"/>
    <n v="171"/>
    <n v="138"/>
    <n v="205"/>
    <m/>
  </r>
  <r>
    <n v="2013"/>
    <n v="34"/>
    <x v="189"/>
    <x v="0"/>
    <n v="176"/>
    <n v="171"/>
    <n v="138"/>
    <n v="205"/>
    <m/>
  </r>
  <r>
    <n v="2013"/>
    <n v="35"/>
    <x v="190"/>
    <x v="0"/>
    <n v="188"/>
    <n v="172"/>
    <n v="138"/>
    <n v="206"/>
    <m/>
  </r>
  <r>
    <n v="2013"/>
    <n v="36"/>
    <x v="191"/>
    <x v="0"/>
    <n v="162"/>
    <n v="172"/>
    <n v="138"/>
    <n v="206"/>
    <m/>
  </r>
  <r>
    <n v="2013"/>
    <n v="37"/>
    <x v="192"/>
    <x v="0"/>
    <n v="164"/>
    <n v="172"/>
    <n v="139"/>
    <n v="206"/>
    <m/>
  </r>
  <r>
    <n v="2013"/>
    <n v="38"/>
    <x v="193"/>
    <x v="0"/>
    <n v="168"/>
    <n v="173"/>
    <n v="139"/>
    <n v="206"/>
    <m/>
  </r>
  <r>
    <n v="2013"/>
    <n v="39"/>
    <x v="194"/>
    <x v="0"/>
    <n v="179"/>
    <n v="173"/>
    <n v="139"/>
    <n v="207"/>
    <m/>
  </r>
  <r>
    <n v="2013"/>
    <n v="40"/>
    <x v="195"/>
    <x v="0"/>
    <n v="195"/>
    <n v="173"/>
    <n v="139"/>
    <n v="207"/>
    <m/>
  </r>
  <r>
    <n v="2013"/>
    <n v="41"/>
    <x v="196"/>
    <x v="0"/>
    <n v="165"/>
    <n v="174"/>
    <n v="140"/>
    <n v="208"/>
    <m/>
  </r>
  <r>
    <n v="2013"/>
    <n v="42"/>
    <x v="197"/>
    <x v="0"/>
    <n v="158"/>
    <n v="174"/>
    <n v="140"/>
    <n v="208"/>
    <m/>
  </r>
  <r>
    <n v="2013"/>
    <n v="43"/>
    <x v="198"/>
    <x v="0"/>
    <n v="181"/>
    <n v="174"/>
    <n v="140"/>
    <n v="208"/>
    <m/>
  </r>
  <r>
    <n v="2013"/>
    <n v="44"/>
    <x v="199"/>
    <x v="0"/>
    <n v="166"/>
    <n v="175"/>
    <n v="141"/>
    <n v="209"/>
    <m/>
  </r>
  <r>
    <n v="2013"/>
    <n v="45"/>
    <x v="200"/>
    <x v="0"/>
    <n v="168"/>
    <n v="175"/>
    <n v="141"/>
    <n v="209"/>
    <m/>
  </r>
  <r>
    <n v="2013"/>
    <n v="46"/>
    <x v="201"/>
    <x v="0"/>
    <n v="161"/>
    <n v="176"/>
    <n v="141"/>
    <n v="210"/>
    <m/>
  </r>
  <r>
    <n v="2013"/>
    <n v="47"/>
    <x v="202"/>
    <x v="0"/>
    <n v="179"/>
    <n v="176"/>
    <n v="142"/>
    <n v="210"/>
    <m/>
  </r>
  <r>
    <n v="2013"/>
    <n v="48"/>
    <x v="203"/>
    <x v="0"/>
    <n v="165"/>
    <n v="176"/>
    <n v="142"/>
    <n v="211"/>
    <m/>
  </r>
  <r>
    <n v="2013"/>
    <n v="49"/>
    <x v="204"/>
    <x v="0"/>
    <n v="201"/>
    <n v="177"/>
    <n v="143"/>
    <n v="211"/>
    <m/>
  </r>
  <r>
    <n v="2013"/>
    <n v="50"/>
    <x v="205"/>
    <x v="0"/>
    <n v="180"/>
    <n v="177"/>
    <n v="143"/>
    <n v="211"/>
    <m/>
  </r>
  <r>
    <n v="2013"/>
    <n v="51"/>
    <x v="206"/>
    <x v="0"/>
    <n v="190"/>
    <n v="178"/>
    <n v="143"/>
    <n v="212"/>
    <m/>
  </r>
  <r>
    <n v="2013"/>
    <n v="52"/>
    <x v="207"/>
    <x v="0"/>
    <n v="169"/>
    <n v="178"/>
    <n v="144"/>
    <n v="212"/>
    <m/>
  </r>
  <r>
    <n v="2013"/>
    <n v="1"/>
    <x v="156"/>
    <x v="1"/>
    <n v="1093"/>
    <n v="1184"/>
    <n v="1096"/>
    <n v="1273"/>
    <m/>
  </r>
  <r>
    <n v="2013"/>
    <n v="2"/>
    <x v="157"/>
    <x v="1"/>
    <n v="1238"/>
    <n v="1182"/>
    <n v="1094"/>
    <n v="1271"/>
    <m/>
  </r>
  <r>
    <n v="2013"/>
    <n v="3"/>
    <x v="158"/>
    <x v="1"/>
    <n v="1191"/>
    <n v="1180"/>
    <n v="1092"/>
    <n v="1269"/>
    <m/>
  </r>
  <r>
    <n v="2013"/>
    <n v="4"/>
    <x v="159"/>
    <x v="1"/>
    <n v="1212"/>
    <n v="1178"/>
    <n v="1090"/>
    <n v="1266"/>
    <m/>
  </r>
  <r>
    <n v="2013"/>
    <n v="5"/>
    <x v="160"/>
    <x v="1"/>
    <n v="1223"/>
    <n v="1176"/>
    <n v="1087"/>
    <n v="1264"/>
    <m/>
  </r>
  <r>
    <n v="2013"/>
    <n v="6"/>
    <x v="161"/>
    <x v="1"/>
    <n v="1256"/>
    <n v="1173"/>
    <n v="1085"/>
    <n v="1261"/>
    <m/>
  </r>
  <r>
    <n v="2013"/>
    <n v="7"/>
    <x v="162"/>
    <x v="1"/>
    <n v="1264"/>
    <n v="1171"/>
    <n v="1083"/>
    <n v="1259"/>
    <n v="1264"/>
  </r>
  <r>
    <n v="2013"/>
    <n v="8"/>
    <x v="163"/>
    <x v="1"/>
    <n v="1230"/>
    <n v="1162"/>
    <n v="1074"/>
    <n v="1250"/>
    <m/>
  </r>
  <r>
    <n v="2013"/>
    <n v="9"/>
    <x v="164"/>
    <x v="1"/>
    <n v="1255"/>
    <n v="1152"/>
    <n v="1065"/>
    <n v="1240"/>
    <n v="1255"/>
  </r>
  <r>
    <n v="2013"/>
    <n v="10"/>
    <x v="165"/>
    <x v="1"/>
    <n v="1305"/>
    <n v="1136"/>
    <n v="1049"/>
    <n v="1222"/>
    <n v="1305"/>
  </r>
  <r>
    <n v="2013"/>
    <n v="11"/>
    <x v="166"/>
    <x v="1"/>
    <n v="1227"/>
    <n v="1119"/>
    <n v="1033"/>
    <n v="1205"/>
    <n v="1227"/>
  </r>
  <r>
    <n v="2013"/>
    <n v="12"/>
    <x v="167"/>
    <x v="1"/>
    <n v="1146"/>
    <n v="1098"/>
    <n v="1012"/>
    <n v="1183"/>
    <m/>
  </r>
  <r>
    <n v="2013"/>
    <n v="13"/>
    <x v="168"/>
    <x v="1"/>
    <n v="1170"/>
    <n v="1077"/>
    <n v="992"/>
    <n v="1161"/>
    <n v="1170"/>
  </r>
  <r>
    <n v="2013"/>
    <n v="14"/>
    <x v="169"/>
    <x v="1"/>
    <n v="1132"/>
    <n v="1059"/>
    <n v="975"/>
    <n v="1142"/>
    <m/>
  </r>
  <r>
    <n v="2013"/>
    <n v="15"/>
    <x v="170"/>
    <x v="1"/>
    <n v="1107"/>
    <n v="1043"/>
    <n v="960"/>
    <n v="1126"/>
    <m/>
  </r>
  <r>
    <n v="2013"/>
    <n v="16"/>
    <x v="171"/>
    <x v="1"/>
    <n v="1043"/>
    <n v="1028"/>
    <n v="945"/>
    <n v="1111"/>
    <m/>
  </r>
  <r>
    <n v="2013"/>
    <n v="17"/>
    <x v="172"/>
    <x v="1"/>
    <n v="1054"/>
    <n v="1016"/>
    <n v="933"/>
    <n v="1098"/>
    <m/>
  </r>
  <r>
    <n v="2013"/>
    <n v="18"/>
    <x v="173"/>
    <x v="1"/>
    <n v="968"/>
    <n v="1003"/>
    <n v="922"/>
    <n v="1085"/>
    <m/>
  </r>
  <r>
    <n v="2013"/>
    <n v="19"/>
    <x v="174"/>
    <x v="1"/>
    <n v="935"/>
    <n v="992"/>
    <n v="911"/>
    <n v="1073"/>
    <m/>
  </r>
  <r>
    <n v="2013"/>
    <n v="20"/>
    <x v="175"/>
    <x v="1"/>
    <n v="981"/>
    <n v="981"/>
    <n v="901"/>
    <n v="1062"/>
    <m/>
  </r>
  <r>
    <n v="2013"/>
    <n v="21"/>
    <x v="176"/>
    <x v="1"/>
    <n v="937"/>
    <n v="971"/>
    <n v="891"/>
    <n v="1052"/>
    <m/>
  </r>
  <r>
    <n v="2013"/>
    <n v="22"/>
    <x v="177"/>
    <x v="1"/>
    <n v="935"/>
    <n v="966"/>
    <n v="886"/>
    <n v="1046"/>
    <m/>
  </r>
  <r>
    <n v="2013"/>
    <n v="23"/>
    <x v="178"/>
    <x v="1"/>
    <n v="986"/>
    <n v="961"/>
    <n v="881"/>
    <n v="1041"/>
    <m/>
  </r>
  <r>
    <n v="2013"/>
    <n v="24"/>
    <x v="179"/>
    <x v="1"/>
    <n v="992"/>
    <n v="958"/>
    <n v="878"/>
    <n v="1038"/>
    <m/>
  </r>
  <r>
    <n v="2013"/>
    <n v="25"/>
    <x v="180"/>
    <x v="1"/>
    <n v="1002"/>
    <n v="956"/>
    <n v="876"/>
    <n v="1035"/>
    <m/>
  </r>
  <r>
    <n v="2013"/>
    <n v="26"/>
    <x v="181"/>
    <x v="1"/>
    <n v="909"/>
    <n v="953"/>
    <n v="874"/>
    <n v="1033"/>
    <m/>
  </r>
  <r>
    <n v="2013"/>
    <n v="27"/>
    <x v="182"/>
    <x v="1"/>
    <n v="991"/>
    <n v="952"/>
    <n v="872"/>
    <n v="1031"/>
    <m/>
  </r>
  <r>
    <n v="2013"/>
    <n v="28"/>
    <x v="183"/>
    <x v="1"/>
    <n v="924"/>
    <n v="950"/>
    <n v="870"/>
    <n v="1029"/>
    <m/>
  </r>
  <r>
    <n v="2013"/>
    <n v="29"/>
    <x v="184"/>
    <x v="1"/>
    <n v="1012"/>
    <n v="948"/>
    <n v="868"/>
    <n v="1027"/>
    <m/>
  </r>
  <r>
    <n v="2013"/>
    <n v="30"/>
    <x v="185"/>
    <x v="1"/>
    <n v="1020"/>
    <n v="947"/>
    <n v="867"/>
    <n v="1026"/>
    <m/>
  </r>
  <r>
    <n v="2013"/>
    <n v="31"/>
    <x v="186"/>
    <x v="1"/>
    <n v="967"/>
    <n v="946"/>
    <n v="867"/>
    <n v="1025"/>
    <m/>
  </r>
  <r>
    <n v="2013"/>
    <n v="32"/>
    <x v="187"/>
    <x v="1"/>
    <n v="910"/>
    <n v="948"/>
    <n v="869"/>
    <n v="1028"/>
    <m/>
  </r>
  <r>
    <n v="2013"/>
    <n v="33"/>
    <x v="188"/>
    <x v="1"/>
    <n v="993"/>
    <n v="951"/>
    <n v="871"/>
    <n v="1030"/>
    <m/>
  </r>
  <r>
    <n v="2013"/>
    <n v="34"/>
    <x v="189"/>
    <x v="1"/>
    <n v="948"/>
    <n v="955"/>
    <n v="875"/>
    <n v="1034"/>
    <m/>
  </r>
  <r>
    <n v="2013"/>
    <n v="35"/>
    <x v="190"/>
    <x v="1"/>
    <n v="975"/>
    <n v="960"/>
    <n v="880"/>
    <n v="1040"/>
    <m/>
  </r>
  <r>
    <n v="2013"/>
    <n v="36"/>
    <x v="191"/>
    <x v="1"/>
    <n v="996"/>
    <n v="965"/>
    <n v="885"/>
    <n v="1045"/>
    <m/>
  </r>
  <r>
    <n v="2013"/>
    <n v="37"/>
    <x v="192"/>
    <x v="1"/>
    <n v="942"/>
    <n v="970"/>
    <n v="889"/>
    <n v="1050"/>
    <m/>
  </r>
  <r>
    <n v="2013"/>
    <n v="38"/>
    <x v="193"/>
    <x v="1"/>
    <n v="992"/>
    <n v="975"/>
    <n v="894"/>
    <n v="1055"/>
    <m/>
  </r>
  <r>
    <n v="2013"/>
    <n v="39"/>
    <x v="194"/>
    <x v="1"/>
    <n v="989"/>
    <n v="980"/>
    <n v="899"/>
    <n v="1060"/>
    <m/>
  </r>
  <r>
    <n v="2013"/>
    <n v="40"/>
    <x v="195"/>
    <x v="1"/>
    <n v="920"/>
    <n v="987"/>
    <n v="906"/>
    <n v="1068"/>
    <m/>
  </r>
  <r>
    <n v="2013"/>
    <n v="41"/>
    <x v="196"/>
    <x v="1"/>
    <n v="980"/>
    <n v="995"/>
    <n v="914"/>
    <n v="1077"/>
    <m/>
  </r>
  <r>
    <n v="2013"/>
    <n v="42"/>
    <x v="197"/>
    <x v="1"/>
    <n v="984"/>
    <n v="1003"/>
    <n v="922"/>
    <n v="1085"/>
    <m/>
  </r>
  <r>
    <n v="2013"/>
    <n v="43"/>
    <x v="198"/>
    <x v="1"/>
    <n v="1024"/>
    <n v="1015"/>
    <n v="933"/>
    <n v="1097"/>
    <m/>
  </r>
  <r>
    <n v="2013"/>
    <n v="44"/>
    <x v="199"/>
    <x v="1"/>
    <n v="1030"/>
    <n v="1027"/>
    <n v="945"/>
    <n v="1110"/>
    <m/>
  </r>
  <r>
    <n v="2013"/>
    <n v="45"/>
    <x v="200"/>
    <x v="1"/>
    <n v="1035"/>
    <n v="1042"/>
    <n v="959"/>
    <n v="1125"/>
    <m/>
  </r>
  <r>
    <n v="2013"/>
    <n v="46"/>
    <x v="201"/>
    <x v="1"/>
    <n v="1007"/>
    <n v="1057"/>
    <n v="974"/>
    <n v="1141"/>
    <m/>
  </r>
  <r>
    <n v="2013"/>
    <n v="47"/>
    <x v="202"/>
    <x v="1"/>
    <n v="1061"/>
    <n v="1073"/>
    <n v="988"/>
    <n v="1157"/>
    <m/>
  </r>
  <r>
    <n v="2013"/>
    <n v="48"/>
    <x v="203"/>
    <x v="1"/>
    <n v="1049"/>
    <n v="1088"/>
    <n v="1003"/>
    <n v="1173"/>
    <m/>
  </r>
  <r>
    <n v="2013"/>
    <n v="49"/>
    <x v="204"/>
    <x v="1"/>
    <n v="1128"/>
    <n v="1103"/>
    <n v="1018"/>
    <n v="1189"/>
    <m/>
  </r>
  <r>
    <n v="2013"/>
    <n v="50"/>
    <x v="205"/>
    <x v="1"/>
    <n v="1076"/>
    <n v="1118"/>
    <n v="1032"/>
    <n v="1204"/>
    <m/>
  </r>
  <r>
    <n v="2013"/>
    <n v="51"/>
    <x v="206"/>
    <x v="1"/>
    <n v="1031"/>
    <n v="1132"/>
    <n v="1046"/>
    <n v="1219"/>
    <m/>
  </r>
  <r>
    <n v="2013"/>
    <n v="52"/>
    <x v="207"/>
    <x v="1"/>
    <n v="1106"/>
    <n v="1147"/>
    <n v="1060"/>
    <n v="1234"/>
    <m/>
  </r>
  <r>
    <n v="2014"/>
    <n v="1"/>
    <x v="208"/>
    <x v="0"/>
    <n v="166"/>
    <n v="185"/>
    <n v="150"/>
    <n v="220"/>
    <m/>
  </r>
  <r>
    <n v="2014"/>
    <n v="2"/>
    <x v="209"/>
    <x v="0"/>
    <n v="160"/>
    <n v="185"/>
    <n v="150"/>
    <n v="220"/>
    <m/>
  </r>
  <r>
    <n v="2014"/>
    <n v="3"/>
    <x v="210"/>
    <x v="0"/>
    <n v="215"/>
    <n v="184"/>
    <n v="149"/>
    <n v="219"/>
    <m/>
  </r>
  <r>
    <n v="2014"/>
    <n v="4"/>
    <x v="211"/>
    <x v="0"/>
    <n v="184"/>
    <n v="183"/>
    <n v="148"/>
    <n v="218"/>
    <m/>
  </r>
  <r>
    <n v="2014"/>
    <n v="5"/>
    <x v="212"/>
    <x v="0"/>
    <n v="149"/>
    <n v="182"/>
    <n v="148"/>
    <n v="217"/>
    <m/>
  </r>
  <r>
    <n v="2014"/>
    <n v="6"/>
    <x v="213"/>
    <x v="0"/>
    <n v="167"/>
    <n v="182"/>
    <n v="147"/>
    <n v="217"/>
    <m/>
  </r>
  <r>
    <n v="2014"/>
    <n v="7"/>
    <x v="214"/>
    <x v="0"/>
    <n v="205"/>
    <n v="181"/>
    <n v="146"/>
    <n v="216"/>
    <m/>
  </r>
  <r>
    <n v="2014"/>
    <n v="8"/>
    <x v="215"/>
    <x v="0"/>
    <n v="191"/>
    <n v="180"/>
    <n v="146"/>
    <n v="215"/>
    <m/>
  </r>
  <r>
    <n v="2014"/>
    <n v="9"/>
    <x v="216"/>
    <x v="0"/>
    <n v="198"/>
    <n v="180"/>
    <n v="145"/>
    <n v="214"/>
    <m/>
  </r>
  <r>
    <n v="2014"/>
    <n v="10"/>
    <x v="217"/>
    <x v="0"/>
    <n v="184"/>
    <n v="179"/>
    <n v="145"/>
    <n v="213"/>
    <m/>
  </r>
  <r>
    <n v="2014"/>
    <n v="11"/>
    <x v="218"/>
    <x v="0"/>
    <n v="178"/>
    <n v="178"/>
    <n v="144"/>
    <n v="213"/>
    <m/>
  </r>
  <r>
    <n v="2014"/>
    <n v="12"/>
    <x v="219"/>
    <x v="0"/>
    <n v="172"/>
    <n v="178"/>
    <n v="143"/>
    <n v="212"/>
    <m/>
  </r>
  <r>
    <n v="2014"/>
    <n v="13"/>
    <x v="220"/>
    <x v="0"/>
    <n v="183"/>
    <n v="177"/>
    <n v="143"/>
    <n v="211"/>
    <m/>
  </r>
  <r>
    <n v="2014"/>
    <n v="14"/>
    <x v="221"/>
    <x v="0"/>
    <n v="188"/>
    <n v="176"/>
    <n v="142"/>
    <n v="211"/>
    <m/>
  </r>
  <r>
    <n v="2014"/>
    <n v="15"/>
    <x v="222"/>
    <x v="0"/>
    <n v="177"/>
    <n v="176"/>
    <n v="141"/>
    <n v="210"/>
    <m/>
  </r>
  <r>
    <n v="2014"/>
    <n v="16"/>
    <x v="223"/>
    <x v="0"/>
    <n v="170"/>
    <n v="175"/>
    <n v="141"/>
    <n v="209"/>
    <m/>
  </r>
  <r>
    <n v="2014"/>
    <n v="17"/>
    <x v="224"/>
    <x v="0"/>
    <n v="156"/>
    <n v="174"/>
    <n v="140"/>
    <n v="208"/>
    <m/>
  </r>
  <r>
    <n v="2014"/>
    <n v="18"/>
    <x v="225"/>
    <x v="0"/>
    <n v="141"/>
    <n v="173"/>
    <n v="139"/>
    <n v="207"/>
    <m/>
  </r>
  <r>
    <n v="2014"/>
    <n v="19"/>
    <x v="226"/>
    <x v="0"/>
    <n v="208"/>
    <n v="173"/>
    <n v="139"/>
    <n v="206"/>
    <n v="208"/>
  </r>
  <r>
    <n v="2014"/>
    <n v="20"/>
    <x v="227"/>
    <x v="0"/>
    <n v="165"/>
    <n v="172"/>
    <n v="138"/>
    <n v="206"/>
    <m/>
  </r>
  <r>
    <n v="2014"/>
    <n v="21"/>
    <x v="228"/>
    <x v="0"/>
    <n v="170"/>
    <n v="171"/>
    <n v="137"/>
    <n v="205"/>
    <m/>
  </r>
  <r>
    <n v="2014"/>
    <n v="22"/>
    <x v="229"/>
    <x v="0"/>
    <n v="176"/>
    <n v="171"/>
    <n v="137"/>
    <n v="204"/>
    <m/>
  </r>
  <r>
    <n v="2014"/>
    <n v="23"/>
    <x v="230"/>
    <x v="0"/>
    <n v="163"/>
    <n v="170"/>
    <n v="137"/>
    <n v="204"/>
    <m/>
  </r>
  <r>
    <n v="2014"/>
    <n v="24"/>
    <x v="231"/>
    <x v="0"/>
    <n v="158"/>
    <n v="170"/>
    <n v="136"/>
    <n v="203"/>
    <m/>
  </r>
  <r>
    <n v="2014"/>
    <n v="25"/>
    <x v="232"/>
    <x v="0"/>
    <n v="159"/>
    <n v="169"/>
    <n v="136"/>
    <n v="203"/>
    <m/>
  </r>
  <r>
    <n v="2014"/>
    <n v="26"/>
    <x v="233"/>
    <x v="0"/>
    <n v="163"/>
    <n v="169"/>
    <n v="136"/>
    <n v="203"/>
    <m/>
  </r>
  <r>
    <n v="2014"/>
    <n v="27"/>
    <x v="234"/>
    <x v="0"/>
    <n v="163"/>
    <n v="169"/>
    <n v="135"/>
    <n v="202"/>
    <m/>
  </r>
  <r>
    <n v="2014"/>
    <n v="28"/>
    <x v="235"/>
    <x v="0"/>
    <n v="150"/>
    <n v="169"/>
    <n v="135"/>
    <n v="202"/>
    <m/>
  </r>
  <r>
    <n v="2014"/>
    <n v="29"/>
    <x v="236"/>
    <x v="0"/>
    <n v="167"/>
    <n v="168"/>
    <n v="135"/>
    <n v="202"/>
    <m/>
  </r>
  <r>
    <n v="2014"/>
    <n v="30"/>
    <x v="237"/>
    <x v="0"/>
    <n v="165"/>
    <n v="168"/>
    <n v="135"/>
    <n v="202"/>
    <m/>
  </r>
  <r>
    <n v="2014"/>
    <n v="31"/>
    <x v="238"/>
    <x v="0"/>
    <n v="159"/>
    <n v="168"/>
    <n v="135"/>
    <n v="202"/>
    <m/>
  </r>
  <r>
    <n v="2014"/>
    <n v="32"/>
    <x v="239"/>
    <x v="0"/>
    <n v="154"/>
    <n v="168"/>
    <n v="135"/>
    <n v="202"/>
    <m/>
  </r>
  <r>
    <n v="2014"/>
    <n v="33"/>
    <x v="240"/>
    <x v="0"/>
    <n v="142"/>
    <n v="168"/>
    <n v="135"/>
    <n v="202"/>
    <m/>
  </r>
  <r>
    <n v="2014"/>
    <n v="34"/>
    <x v="241"/>
    <x v="0"/>
    <n v="160"/>
    <n v="168"/>
    <n v="135"/>
    <n v="202"/>
    <m/>
  </r>
  <r>
    <n v="2014"/>
    <n v="35"/>
    <x v="242"/>
    <x v="0"/>
    <n v="163"/>
    <n v="169"/>
    <n v="135"/>
    <n v="202"/>
    <m/>
  </r>
  <r>
    <n v="2014"/>
    <n v="36"/>
    <x v="243"/>
    <x v="0"/>
    <n v="188"/>
    <n v="169"/>
    <n v="135"/>
    <n v="202"/>
    <m/>
  </r>
  <r>
    <n v="2014"/>
    <n v="37"/>
    <x v="244"/>
    <x v="0"/>
    <n v="141"/>
    <n v="169"/>
    <n v="136"/>
    <n v="203"/>
    <m/>
  </r>
  <r>
    <n v="2014"/>
    <n v="38"/>
    <x v="245"/>
    <x v="0"/>
    <n v="157"/>
    <n v="170"/>
    <n v="136"/>
    <n v="203"/>
    <m/>
  </r>
  <r>
    <n v="2014"/>
    <n v="39"/>
    <x v="246"/>
    <x v="0"/>
    <n v="169"/>
    <n v="170"/>
    <n v="136"/>
    <n v="204"/>
    <m/>
  </r>
  <r>
    <n v="2014"/>
    <n v="40"/>
    <x v="247"/>
    <x v="0"/>
    <n v="167"/>
    <n v="170"/>
    <n v="137"/>
    <n v="204"/>
    <m/>
  </r>
  <r>
    <n v="2014"/>
    <n v="41"/>
    <x v="248"/>
    <x v="0"/>
    <n v="188"/>
    <n v="171"/>
    <n v="137"/>
    <n v="205"/>
    <m/>
  </r>
  <r>
    <n v="2014"/>
    <n v="42"/>
    <x v="249"/>
    <x v="0"/>
    <n v="149"/>
    <n v="172"/>
    <n v="138"/>
    <n v="205"/>
    <m/>
  </r>
  <r>
    <n v="2014"/>
    <n v="43"/>
    <x v="250"/>
    <x v="0"/>
    <n v="158"/>
    <n v="172"/>
    <n v="138"/>
    <n v="206"/>
    <m/>
  </r>
  <r>
    <n v="2014"/>
    <n v="44"/>
    <x v="251"/>
    <x v="0"/>
    <n v="182"/>
    <n v="173"/>
    <n v="139"/>
    <n v="207"/>
    <m/>
  </r>
  <r>
    <n v="2014"/>
    <n v="45"/>
    <x v="252"/>
    <x v="0"/>
    <n v="181"/>
    <n v="173"/>
    <n v="139"/>
    <n v="207"/>
    <m/>
  </r>
  <r>
    <n v="2014"/>
    <n v="46"/>
    <x v="253"/>
    <x v="0"/>
    <n v="207"/>
    <n v="174"/>
    <n v="140"/>
    <n v="208"/>
    <m/>
  </r>
  <r>
    <n v="2014"/>
    <n v="47"/>
    <x v="254"/>
    <x v="0"/>
    <n v="181"/>
    <n v="174"/>
    <n v="140"/>
    <n v="208"/>
    <m/>
  </r>
  <r>
    <n v="2014"/>
    <n v="48"/>
    <x v="255"/>
    <x v="0"/>
    <n v="158"/>
    <n v="175"/>
    <n v="141"/>
    <n v="209"/>
    <m/>
  </r>
  <r>
    <n v="2014"/>
    <n v="49"/>
    <x v="256"/>
    <x v="0"/>
    <n v="194"/>
    <n v="176"/>
    <n v="142"/>
    <n v="210"/>
    <m/>
  </r>
  <r>
    <n v="2014"/>
    <n v="50"/>
    <x v="257"/>
    <x v="0"/>
    <n v="171"/>
    <n v="176"/>
    <n v="142"/>
    <n v="210"/>
    <m/>
  </r>
  <r>
    <n v="2014"/>
    <n v="51"/>
    <x v="258"/>
    <x v="0"/>
    <n v="173"/>
    <n v="177"/>
    <n v="143"/>
    <n v="211"/>
    <m/>
  </r>
  <r>
    <n v="2014"/>
    <n v="52"/>
    <x v="259"/>
    <x v="0"/>
    <n v="177"/>
    <n v="178"/>
    <n v="143"/>
    <n v="212"/>
    <m/>
  </r>
  <r>
    <n v="2014"/>
    <n v="1"/>
    <x v="208"/>
    <x v="1"/>
    <n v="1143"/>
    <n v="1216"/>
    <n v="1126"/>
    <n v="1306"/>
    <m/>
  </r>
  <r>
    <n v="2014"/>
    <n v="2"/>
    <x v="209"/>
    <x v="1"/>
    <n v="1126"/>
    <n v="1215"/>
    <n v="1126"/>
    <n v="1305"/>
    <m/>
  </r>
  <r>
    <n v="2014"/>
    <n v="3"/>
    <x v="210"/>
    <x v="1"/>
    <n v="1097"/>
    <n v="1216"/>
    <n v="1126"/>
    <n v="1306"/>
    <m/>
  </r>
  <r>
    <n v="2014"/>
    <n v="4"/>
    <x v="211"/>
    <x v="1"/>
    <n v="1131"/>
    <n v="1216"/>
    <n v="1126"/>
    <n v="1306"/>
    <m/>
  </r>
  <r>
    <n v="2014"/>
    <n v="5"/>
    <x v="212"/>
    <x v="1"/>
    <n v="1164"/>
    <n v="1217"/>
    <n v="1127"/>
    <n v="1307"/>
    <m/>
  </r>
  <r>
    <n v="2014"/>
    <n v="6"/>
    <x v="213"/>
    <x v="1"/>
    <n v="1108"/>
    <n v="1218"/>
    <n v="1128"/>
    <n v="1308"/>
    <m/>
  </r>
  <r>
    <n v="2014"/>
    <n v="7"/>
    <x v="214"/>
    <x v="1"/>
    <n v="1095"/>
    <n v="1215"/>
    <n v="1125"/>
    <n v="1305"/>
    <m/>
  </r>
  <r>
    <n v="2014"/>
    <n v="8"/>
    <x v="215"/>
    <x v="1"/>
    <n v="1158"/>
    <n v="1204"/>
    <n v="1115"/>
    <n v="1294"/>
    <m/>
  </r>
  <r>
    <n v="2014"/>
    <n v="9"/>
    <x v="216"/>
    <x v="1"/>
    <n v="1160"/>
    <n v="1193"/>
    <n v="1104"/>
    <n v="1282"/>
    <m/>
  </r>
  <r>
    <n v="2014"/>
    <n v="10"/>
    <x v="217"/>
    <x v="1"/>
    <n v="1151"/>
    <n v="1170"/>
    <n v="1082"/>
    <n v="1258"/>
    <m/>
  </r>
  <r>
    <n v="2014"/>
    <n v="11"/>
    <x v="218"/>
    <x v="1"/>
    <n v="1114"/>
    <n v="1146"/>
    <n v="1059"/>
    <n v="1233"/>
    <m/>
  </r>
  <r>
    <n v="2014"/>
    <n v="12"/>
    <x v="219"/>
    <x v="1"/>
    <n v="1114"/>
    <n v="1121"/>
    <n v="1034"/>
    <n v="1207"/>
    <m/>
  </r>
  <r>
    <n v="2014"/>
    <n v="13"/>
    <x v="220"/>
    <x v="1"/>
    <n v="1026"/>
    <n v="1095"/>
    <n v="1010"/>
    <n v="1180"/>
    <m/>
  </r>
  <r>
    <n v="2014"/>
    <n v="14"/>
    <x v="221"/>
    <x v="1"/>
    <n v="1036"/>
    <n v="1077"/>
    <n v="992"/>
    <n v="1161"/>
    <m/>
  </r>
  <r>
    <n v="2014"/>
    <n v="15"/>
    <x v="222"/>
    <x v="1"/>
    <n v="1035"/>
    <n v="1063"/>
    <n v="979"/>
    <n v="1147"/>
    <m/>
  </r>
  <r>
    <n v="2014"/>
    <n v="16"/>
    <x v="223"/>
    <x v="1"/>
    <n v="1020"/>
    <n v="1049"/>
    <n v="966"/>
    <n v="1132"/>
    <m/>
  </r>
  <r>
    <n v="2014"/>
    <n v="17"/>
    <x v="224"/>
    <x v="1"/>
    <n v="980"/>
    <n v="1036"/>
    <n v="954"/>
    <n v="1119"/>
    <m/>
  </r>
  <r>
    <n v="2014"/>
    <n v="18"/>
    <x v="225"/>
    <x v="1"/>
    <n v="1047"/>
    <n v="1024"/>
    <n v="942"/>
    <n v="1106"/>
    <m/>
  </r>
  <r>
    <n v="2014"/>
    <n v="19"/>
    <x v="226"/>
    <x v="1"/>
    <n v="1001"/>
    <n v="1012"/>
    <n v="930"/>
    <n v="1094"/>
    <m/>
  </r>
  <r>
    <n v="2014"/>
    <n v="20"/>
    <x v="227"/>
    <x v="1"/>
    <n v="970"/>
    <n v="999"/>
    <n v="918"/>
    <n v="1081"/>
    <m/>
  </r>
  <r>
    <n v="2014"/>
    <n v="21"/>
    <x v="228"/>
    <x v="1"/>
    <n v="983"/>
    <n v="988"/>
    <n v="907"/>
    <n v="1069"/>
    <m/>
  </r>
  <r>
    <n v="2014"/>
    <n v="22"/>
    <x v="229"/>
    <x v="1"/>
    <n v="948"/>
    <n v="984"/>
    <n v="903"/>
    <n v="1064"/>
    <m/>
  </r>
  <r>
    <n v="2014"/>
    <n v="23"/>
    <x v="230"/>
    <x v="1"/>
    <n v="934"/>
    <n v="979"/>
    <n v="899"/>
    <n v="1060"/>
    <m/>
  </r>
  <r>
    <n v="2014"/>
    <n v="24"/>
    <x v="231"/>
    <x v="1"/>
    <n v="1057"/>
    <n v="978"/>
    <n v="897"/>
    <n v="1058"/>
    <m/>
  </r>
  <r>
    <n v="2014"/>
    <n v="25"/>
    <x v="232"/>
    <x v="1"/>
    <n v="921"/>
    <n v="976"/>
    <n v="896"/>
    <n v="1057"/>
    <m/>
  </r>
  <r>
    <n v="2014"/>
    <n v="26"/>
    <x v="233"/>
    <x v="1"/>
    <n v="916"/>
    <n v="975"/>
    <n v="894"/>
    <n v="1055"/>
    <m/>
  </r>
  <r>
    <n v="2014"/>
    <n v="27"/>
    <x v="234"/>
    <x v="1"/>
    <n v="993"/>
    <n v="975"/>
    <n v="894"/>
    <n v="1055"/>
    <m/>
  </r>
  <r>
    <n v="2014"/>
    <n v="28"/>
    <x v="235"/>
    <x v="1"/>
    <n v="927"/>
    <n v="971"/>
    <n v="891"/>
    <n v="1051"/>
    <m/>
  </r>
  <r>
    <n v="2014"/>
    <n v="29"/>
    <x v="236"/>
    <x v="1"/>
    <n v="1014"/>
    <n v="968"/>
    <n v="888"/>
    <n v="1048"/>
    <m/>
  </r>
  <r>
    <n v="2014"/>
    <n v="30"/>
    <x v="237"/>
    <x v="1"/>
    <n v="971"/>
    <n v="967"/>
    <n v="887"/>
    <n v="1047"/>
    <m/>
  </r>
  <r>
    <n v="2014"/>
    <n v="31"/>
    <x v="238"/>
    <x v="1"/>
    <n v="1002"/>
    <n v="967"/>
    <n v="887"/>
    <n v="1047"/>
    <m/>
  </r>
  <r>
    <n v="2014"/>
    <n v="32"/>
    <x v="239"/>
    <x v="1"/>
    <n v="900"/>
    <n v="970"/>
    <n v="890"/>
    <n v="1051"/>
    <m/>
  </r>
  <r>
    <n v="2014"/>
    <n v="33"/>
    <x v="240"/>
    <x v="1"/>
    <n v="965"/>
    <n v="974"/>
    <n v="894"/>
    <n v="1055"/>
    <m/>
  </r>
  <r>
    <n v="2014"/>
    <n v="34"/>
    <x v="241"/>
    <x v="1"/>
    <n v="943"/>
    <n v="980"/>
    <n v="900"/>
    <n v="1061"/>
    <m/>
  </r>
  <r>
    <n v="2014"/>
    <n v="35"/>
    <x v="242"/>
    <x v="1"/>
    <n v="1014"/>
    <n v="987"/>
    <n v="906"/>
    <n v="1068"/>
    <m/>
  </r>
  <r>
    <n v="2014"/>
    <n v="36"/>
    <x v="243"/>
    <x v="1"/>
    <n v="963"/>
    <n v="994"/>
    <n v="913"/>
    <n v="1075"/>
    <m/>
  </r>
  <r>
    <n v="2014"/>
    <n v="37"/>
    <x v="244"/>
    <x v="1"/>
    <n v="991"/>
    <n v="999"/>
    <n v="917"/>
    <n v="1080"/>
    <m/>
  </r>
  <r>
    <n v="2014"/>
    <n v="38"/>
    <x v="245"/>
    <x v="1"/>
    <n v="958"/>
    <n v="1003"/>
    <n v="922"/>
    <n v="1085"/>
    <m/>
  </r>
  <r>
    <n v="2014"/>
    <n v="39"/>
    <x v="246"/>
    <x v="1"/>
    <n v="966"/>
    <n v="1008"/>
    <n v="926"/>
    <n v="1090"/>
    <m/>
  </r>
  <r>
    <n v="2014"/>
    <n v="40"/>
    <x v="247"/>
    <x v="1"/>
    <n v="1022"/>
    <n v="1015"/>
    <n v="933"/>
    <n v="1098"/>
    <m/>
  </r>
  <r>
    <n v="2014"/>
    <n v="41"/>
    <x v="248"/>
    <x v="1"/>
    <n v="1020"/>
    <n v="1024"/>
    <n v="942"/>
    <n v="1106"/>
    <m/>
  </r>
  <r>
    <n v="2014"/>
    <n v="42"/>
    <x v="249"/>
    <x v="1"/>
    <n v="1020"/>
    <n v="1033"/>
    <n v="950"/>
    <n v="1115"/>
    <m/>
  </r>
  <r>
    <n v="2014"/>
    <n v="43"/>
    <x v="250"/>
    <x v="1"/>
    <n v="1086"/>
    <n v="1045"/>
    <n v="962"/>
    <n v="1128"/>
    <m/>
  </r>
  <r>
    <n v="2014"/>
    <n v="44"/>
    <x v="251"/>
    <x v="1"/>
    <n v="1036"/>
    <n v="1057"/>
    <n v="974"/>
    <n v="1141"/>
    <m/>
  </r>
  <r>
    <n v="2014"/>
    <n v="45"/>
    <x v="252"/>
    <x v="1"/>
    <n v="1085"/>
    <n v="1074"/>
    <n v="989"/>
    <n v="1158"/>
    <m/>
  </r>
  <r>
    <n v="2014"/>
    <n v="46"/>
    <x v="253"/>
    <x v="1"/>
    <n v="1092"/>
    <n v="1090"/>
    <n v="1005"/>
    <n v="1175"/>
    <m/>
  </r>
  <r>
    <n v="2014"/>
    <n v="47"/>
    <x v="254"/>
    <x v="1"/>
    <n v="1112"/>
    <n v="1106"/>
    <n v="1021"/>
    <n v="1192"/>
    <m/>
  </r>
  <r>
    <n v="2014"/>
    <n v="48"/>
    <x v="255"/>
    <x v="1"/>
    <n v="1125"/>
    <n v="1123"/>
    <n v="1037"/>
    <n v="1209"/>
    <m/>
  </r>
  <r>
    <n v="2014"/>
    <n v="49"/>
    <x v="256"/>
    <x v="1"/>
    <n v="1100"/>
    <n v="1140"/>
    <n v="1053"/>
    <n v="1227"/>
    <m/>
  </r>
  <r>
    <n v="2014"/>
    <n v="50"/>
    <x v="257"/>
    <x v="1"/>
    <n v="1080"/>
    <n v="1149"/>
    <n v="1062"/>
    <n v="1237"/>
    <m/>
  </r>
  <r>
    <n v="2014"/>
    <n v="51"/>
    <x v="258"/>
    <x v="1"/>
    <n v="1160"/>
    <n v="1158"/>
    <n v="1071"/>
    <n v="1246"/>
    <m/>
  </r>
  <r>
    <n v="2014"/>
    <n v="52"/>
    <x v="259"/>
    <x v="1"/>
    <n v="1155"/>
    <n v="1167"/>
    <n v="1079"/>
    <n v="1255"/>
    <m/>
  </r>
  <r>
    <n v="2015"/>
    <n v="1"/>
    <x v="260"/>
    <x v="0"/>
    <n v="192"/>
    <n v="177"/>
    <n v="143"/>
    <n v="211"/>
    <m/>
  </r>
  <r>
    <n v="2015"/>
    <n v="2"/>
    <x v="261"/>
    <x v="0"/>
    <n v="190"/>
    <n v="177"/>
    <n v="143"/>
    <n v="212"/>
    <m/>
  </r>
  <r>
    <n v="2015"/>
    <n v="3"/>
    <x v="262"/>
    <x v="0"/>
    <n v="197"/>
    <n v="178"/>
    <n v="144"/>
    <n v="212"/>
    <m/>
  </r>
  <r>
    <n v="2015"/>
    <n v="4"/>
    <x v="263"/>
    <x v="0"/>
    <n v="174"/>
    <n v="178"/>
    <n v="144"/>
    <n v="213"/>
    <m/>
  </r>
  <r>
    <n v="2015"/>
    <n v="5"/>
    <x v="264"/>
    <x v="0"/>
    <n v="203"/>
    <n v="179"/>
    <n v="144"/>
    <n v="213"/>
    <m/>
  </r>
  <r>
    <n v="2015"/>
    <n v="6"/>
    <x v="265"/>
    <x v="0"/>
    <n v="178"/>
    <n v="179"/>
    <n v="145"/>
    <n v="214"/>
    <m/>
  </r>
  <r>
    <n v="2015"/>
    <n v="7"/>
    <x v="266"/>
    <x v="0"/>
    <n v="223"/>
    <n v="179"/>
    <n v="145"/>
    <n v="214"/>
    <n v="223"/>
  </r>
  <r>
    <n v="2015"/>
    <n v="8"/>
    <x v="267"/>
    <x v="0"/>
    <n v="208"/>
    <n v="178"/>
    <n v="144"/>
    <n v="213"/>
    <m/>
  </r>
  <r>
    <n v="2015"/>
    <n v="9"/>
    <x v="268"/>
    <x v="0"/>
    <n v="188"/>
    <n v="177"/>
    <n v="143"/>
    <n v="211"/>
    <m/>
  </r>
  <r>
    <n v="2015"/>
    <n v="10"/>
    <x v="269"/>
    <x v="0"/>
    <n v="184"/>
    <n v="175"/>
    <n v="141"/>
    <n v="210"/>
    <m/>
  </r>
  <r>
    <n v="2015"/>
    <n v="11"/>
    <x v="270"/>
    <x v="0"/>
    <n v="171"/>
    <n v="174"/>
    <n v="140"/>
    <n v="208"/>
    <m/>
  </r>
  <r>
    <n v="2015"/>
    <n v="12"/>
    <x v="271"/>
    <x v="0"/>
    <n v="187"/>
    <n v="172"/>
    <n v="138"/>
    <n v="206"/>
    <m/>
  </r>
  <r>
    <n v="2015"/>
    <n v="13"/>
    <x v="272"/>
    <x v="0"/>
    <n v="170"/>
    <n v="171"/>
    <n v="137"/>
    <n v="204"/>
    <m/>
  </r>
  <r>
    <n v="2015"/>
    <n v="14"/>
    <x v="273"/>
    <x v="0"/>
    <n v="186"/>
    <n v="170"/>
    <n v="136"/>
    <n v="204"/>
    <m/>
  </r>
  <r>
    <n v="2015"/>
    <n v="15"/>
    <x v="274"/>
    <x v="0"/>
    <n v="161"/>
    <n v="169"/>
    <n v="136"/>
    <n v="203"/>
    <m/>
  </r>
  <r>
    <n v="2015"/>
    <n v="16"/>
    <x v="275"/>
    <x v="0"/>
    <n v="171"/>
    <n v="169"/>
    <n v="135"/>
    <n v="202"/>
    <m/>
  </r>
  <r>
    <n v="2015"/>
    <n v="17"/>
    <x v="276"/>
    <x v="0"/>
    <n v="163"/>
    <n v="169"/>
    <n v="135"/>
    <n v="202"/>
    <m/>
  </r>
  <r>
    <n v="2015"/>
    <n v="18"/>
    <x v="277"/>
    <x v="0"/>
    <n v="159"/>
    <n v="168"/>
    <n v="135"/>
    <n v="202"/>
    <m/>
  </r>
  <r>
    <n v="2015"/>
    <n v="19"/>
    <x v="278"/>
    <x v="0"/>
    <n v="180"/>
    <n v="168"/>
    <n v="135"/>
    <n v="201"/>
    <m/>
  </r>
  <r>
    <n v="2015"/>
    <n v="20"/>
    <x v="279"/>
    <x v="0"/>
    <n v="184"/>
    <n v="167"/>
    <n v="134"/>
    <n v="201"/>
    <m/>
  </r>
  <r>
    <n v="2015"/>
    <n v="21"/>
    <x v="280"/>
    <x v="0"/>
    <n v="166"/>
    <n v="167"/>
    <n v="133"/>
    <n v="200"/>
    <m/>
  </r>
  <r>
    <n v="2015"/>
    <n v="22"/>
    <x v="281"/>
    <x v="0"/>
    <n v="164"/>
    <n v="166"/>
    <n v="133"/>
    <n v="200"/>
    <m/>
  </r>
  <r>
    <n v="2015"/>
    <n v="23"/>
    <x v="282"/>
    <x v="0"/>
    <n v="164"/>
    <n v="166"/>
    <n v="133"/>
    <n v="199"/>
    <m/>
  </r>
  <r>
    <n v="2015"/>
    <n v="24"/>
    <x v="283"/>
    <x v="0"/>
    <n v="175"/>
    <n v="166"/>
    <n v="133"/>
    <n v="199"/>
    <m/>
  </r>
  <r>
    <n v="2015"/>
    <n v="25"/>
    <x v="284"/>
    <x v="0"/>
    <n v="166"/>
    <n v="165"/>
    <n v="132"/>
    <n v="198"/>
    <m/>
  </r>
  <r>
    <n v="2015"/>
    <n v="26"/>
    <x v="285"/>
    <x v="0"/>
    <n v="202"/>
    <n v="165"/>
    <n v="132"/>
    <n v="198"/>
    <n v="202"/>
  </r>
  <r>
    <n v="2015"/>
    <n v="27"/>
    <x v="286"/>
    <x v="0"/>
    <n v="179"/>
    <n v="164"/>
    <n v="131"/>
    <n v="197"/>
    <m/>
  </r>
  <r>
    <n v="2015"/>
    <n v="28"/>
    <x v="287"/>
    <x v="0"/>
    <n v="181"/>
    <n v="163"/>
    <n v="130"/>
    <n v="196"/>
    <m/>
  </r>
  <r>
    <n v="2015"/>
    <n v="29"/>
    <x v="288"/>
    <x v="0"/>
    <n v="203"/>
    <n v="162"/>
    <n v="129"/>
    <n v="195"/>
    <n v="203"/>
  </r>
  <r>
    <n v="2015"/>
    <n v="30"/>
    <x v="289"/>
    <x v="0"/>
    <n v="157"/>
    <n v="161"/>
    <n v="129"/>
    <n v="194"/>
    <m/>
  </r>
  <r>
    <n v="2015"/>
    <n v="31"/>
    <x v="290"/>
    <x v="0"/>
    <n v="164"/>
    <n v="161"/>
    <n v="128"/>
    <n v="194"/>
    <m/>
  </r>
  <r>
    <n v="2015"/>
    <n v="32"/>
    <x v="291"/>
    <x v="0"/>
    <n v="180"/>
    <n v="161"/>
    <n v="129"/>
    <n v="194"/>
    <m/>
  </r>
  <r>
    <n v="2015"/>
    <n v="33"/>
    <x v="292"/>
    <x v="0"/>
    <n v="165"/>
    <n v="162"/>
    <n v="129"/>
    <n v="194"/>
    <m/>
  </r>
  <r>
    <n v="2015"/>
    <n v="34"/>
    <x v="293"/>
    <x v="0"/>
    <n v="163"/>
    <n v="162"/>
    <n v="130"/>
    <n v="195"/>
    <m/>
  </r>
  <r>
    <n v="2015"/>
    <n v="35"/>
    <x v="294"/>
    <x v="0"/>
    <n v="176"/>
    <n v="163"/>
    <n v="131"/>
    <n v="196"/>
    <m/>
  </r>
  <r>
    <n v="2015"/>
    <n v="36"/>
    <x v="295"/>
    <x v="0"/>
    <n v="162"/>
    <n v="164"/>
    <n v="131"/>
    <n v="197"/>
    <m/>
  </r>
  <r>
    <n v="2015"/>
    <n v="37"/>
    <x v="296"/>
    <x v="0"/>
    <n v="186"/>
    <n v="165"/>
    <n v="132"/>
    <n v="199"/>
    <m/>
  </r>
  <r>
    <n v="2015"/>
    <n v="38"/>
    <x v="297"/>
    <x v="0"/>
    <n v="169"/>
    <n v="166"/>
    <n v="133"/>
    <n v="199"/>
    <m/>
  </r>
  <r>
    <n v="2015"/>
    <n v="39"/>
    <x v="298"/>
    <x v="0"/>
    <n v="146"/>
    <n v="166"/>
    <n v="133"/>
    <n v="199"/>
    <m/>
  </r>
  <r>
    <n v="2015"/>
    <n v="40"/>
    <x v="299"/>
    <x v="0"/>
    <n v="185"/>
    <n v="166"/>
    <n v="133"/>
    <n v="200"/>
    <m/>
  </r>
  <r>
    <n v="2015"/>
    <n v="41"/>
    <x v="300"/>
    <x v="0"/>
    <n v="159"/>
    <n v="167"/>
    <n v="133"/>
    <n v="200"/>
    <m/>
  </r>
  <r>
    <n v="2015"/>
    <n v="42"/>
    <x v="301"/>
    <x v="0"/>
    <n v="171"/>
    <n v="167"/>
    <n v="134"/>
    <n v="200"/>
    <m/>
  </r>
  <r>
    <n v="2015"/>
    <n v="43"/>
    <x v="302"/>
    <x v="0"/>
    <n v="170"/>
    <n v="167"/>
    <n v="133"/>
    <n v="200"/>
    <m/>
  </r>
  <r>
    <n v="2015"/>
    <n v="44"/>
    <x v="303"/>
    <x v="0"/>
    <n v="177"/>
    <n v="166"/>
    <n v="133"/>
    <n v="200"/>
    <m/>
  </r>
  <r>
    <n v="2015"/>
    <n v="45"/>
    <x v="304"/>
    <x v="0"/>
    <n v="167"/>
    <n v="167"/>
    <n v="134"/>
    <n v="200"/>
    <m/>
  </r>
  <r>
    <n v="2015"/>
    <n v="46"/>
    <x v="305"/>
    <x v="0"/>
    <n v="181"/>
    <n v="167"/>
    <n v="134"/>
    <n v="200"/>
    <m/>
  </r>
  <r>
    <n v="2015"/>
    <n v="47"/>
    <x v="306"/>
    <x v="0"/>
    <n v="178"/>
    <n v="169"/>
    <n v="135"/>
    <n v="202"/>
    <m/>
  </r>
  <r>
    <n v="2015"/>
    <n v="48"/>
    <x v="307"/>
    <x v="0"/>
    <n v="159"/>
    <n v="171"/>
    <n v="137"/>
    <n v="204"/>
    <m/>
  </r>
  <r>
    <n v="2015"/>
    <n v="49"/>
    <x v="308"/>
    <x v="0"/>
    <n v="179"/>
    <n v="173"/>
    <n v="139"/>
    <n v="207"/>
    <m/>
  </r>
  <r>
    <n v="2015"/>
    <n v="50"/>
    <x v="309"/>
    <x v="0"/>
    <n v="180"/>
    <n v="175"/>
    <n v="141"/>
    <n v="209"/>
    <m/>
  </r>
  <r>
    <n v="2015"/>
    <n v="51"/>
    <x v="310"/>
    <x v="0"/>
    <n v="162"/>
    <n v="177"/>
    <n v="142"/>
    <n v="211"/>
    <m/>
  </r>
  <r>
    <n v="2015"/>
    <n v="52"/>
    <x v="311"/>
    <x v="0"/>
    <n v="169"/>
    <n v="179"/>
    <n v="144"/>
    <n v="213"/>
    <m/>
  </r>
  <r>
    <n v="2015"/>
    <n v="53"/>
    <x v="312"/>
    <x v="0"/>
    <n v="165"/>
    <n v="181"/>
    <n v="146"/>
    <n v="215"/>
    <m/>
  </r>
  <r>
    <n v="2015"/>
    <n v="1"/>
    <x v="260"/>
    <x v="1"/>
    <n v="1210"/>
    <n v="1188"/>
    <n v="1100"/>
    <n v="1277"/>
    <m/>
  </r>
  <r>
    <n v="2015"/>
    <n v="2"/>
    <x v="261"/>
    <x v="1"/>
    <n v="1293"/>
    <n v="1190"/>
    <n v="1101"/>
    <n v="1279"/>
    <n v="1293"/>
  </r>
  <r>
    <n v="2015"/>
    <n v="3"/>
    <x v="262"/>
    <x v="1"/>
    <n v="1313"/>
    <n v="1192"/>
    <n v="1103"/>
    <n v="1281"/>
    <n v="1313"/>
  </r>
  <r>
    <n v="2015"/>
    <n v="4"/>
    <x v="263"/>
    <x v="1"/>
    <n v="1299"/>
    <n v="1195"/>
    <n v="1106"/>
    <n v="1284"/>
    <n v="1299"/>
  </r>
  <r>
    <n v="2015"/>
    <n v="5"/>
    <x v="264"/>
    <x v="1"/>
    <n v="1378"/>
    <n v="1199"/>
    <n v="1110"/>
    <n v="1288"/>
    <n v="1378"/>
  </r>
  <r>
    <n v="2015"/>
    <n v="6"/>
    <x v="265"/>
    <x v="1"/>
    <n v="1468"/>
    <n v="1209"/>
    <n v="1119"/>
    <n v="1298"/>
    <n v="1468"/>
  </r>
  <r>
    <n v="2015"/>
    <n v="7"/>
    <x v="266"/>
    <x v="1"/>
    <n v="1572"/>
    <n v="1213"/>
    <n v="1123"/>
    <n v="1303"/>
    <n v="1572"/>
  </r>
  <r>
    <n v="2015"/>
    <n v="8"/>
    <x v="267"/>
    <x v="1"/>
    <n v="1548"/>
    <n v="1212"/>
    <n v="1122"/>
    <n v="1302"/>
    <n v="1548"/>
  </r>
  <r>
    <n v="2015"/>
    <n v="9"/>
    <x v="268"/>
    <x v="1"/>
    <n v="1527"/>
    <n v="1201"/>
    <n v="1112"/>
    <n v="1291"/>
    <n v="1527"/>
  </r>
  <r>
    <n v="2015"/>
    <n v="10"/>
    <x v="269"/>
    <x v="1"/>
    <n v="1359"/>
    <n v="1176"/>
    <n v="1088"/>
    <n v="1265"/>
    <n v="1359"/>
  </r>
  <r>
    <n v="2015"/>
    <n v="11"/>
    <x v="270"/>
    <x v="1"/>
    <n v="1359"/>
    <n v="1147"/>
    <n v="1060"/>
    <n v="1235"/>
    <n v="1359"/>
  </r>
  <r>
    <n v="2015"/>
    <n v="12"/>
    <x v="271"/>
    <x v="1"/>
    <n v="1237"/>
    <n v="1119"/>
    <n v="1033"/>
    <n v="1205"/>
    <n v="1237"/>
  </r>
  <r>
    <n v="2015"/>
    <n v="13"/>
    <x v="272"/>
    <x v="1"/>
    <n v="1112"/>
    <n v="1092"/>
    <n v="1007"/>
    <n v="1177"/>
    <m/>
  </r>
  <r>
    <n v="2015"/>
    <n v="14"/>
    <x v="273"/>
    <x v="1"/>
    <n v="1104"/>
    <n v="1071"/>
    <n v="987"/>
    <n v="1156"/>
    <m/>
  </r>
  <r>
    <n v="2015"/>
    <n v="15"/>
    <x v="274"/>
    <x v="1"/>
    <n v="1059"/>
    <n v="1058"/>
    <n v="974"/>
    <n v="1141"/>
    <m/>
  </r>
  <r>
    <n v="2015"/>
    <n v="16"/>
    <x v="275"/>
    <x v="1"/>
    <n v="1106"/>
    <n v="1045"/>
    <n v="962"/>
    <n v="1128"/>
    <m/>
  </r>
  <r>
    <n v="2015"/>
    <n v="17"/>
    <x v="276"/>
    <x v="1"/>
    <n v="1043"/>
    <n v="1032"/>
    <n v="949"/>
    <n v="1115"/>
    <m/>
  </r>
  <r>
    <n v="2015"/>
    <n v="18"/>
    <x v="277"/>
    <x v="1"/>
    <n v="1105"/>
    <n v="1019"/>
    <n v="937"/>
    <n v="1102"/>
    <n v="1105"/>
  </r>
  <r>
    <n v="2015"/>
    <n v="19"/>
    <x v="278"/>
    <x v="1"/>
    <n v="970"/>
    <n v="1006"/>
    <n v="924"/>
    <n v="1088"/>
    <m/>
  </r>
  <r>
    <n v="2015"/>
    <n v="20"/>
    <x v="279"/>
    <x v="1"/>
    <n v="957"/>
    <n v="993"/>
    <n v="912"/>
    <n v="1074"/>
    <m/>
  </r>
  <r>
    <n v="2015"/>
    <n v="21"/>
    <x v="280"/>
    <x v="1"/>
    <n v="950"/>
    <n v="981"/>
    <n v="901"/>
    <n v="1062"/>
    <m/>
  </r>
  <r>
    <n v="2015"/>
    <n v="22"/>
    <x v="281"/>
    <x v="1"/>
    <n v="921"/>
    <n v="975"/>
    <n v="894"/>
    <n v="1055"/>
    <m/>
  </r>
  <r>
    <n v="2015"/>
    <n v="23"/>
    <x v="282"/>
    <x v="1"/>
    <n v="994"/>
    <n v="974"/>
    <n v="893"/>
    <n v="1054"/>
    <m/>
  </r>
  <r>
    <n v="2015"/>
    <n v="24"/>
    <x v="283"/>
    <x v="1"/>
    <n v="982"/>
    <n v="975"/>
    <n v="894"/>
    <n v="1055"/>
    <m/>
  </r>
  <r>
    <n v="2015"/>
    <n v="25"/>
    <x v="284"/>
    <x v="1"/>
    <n v="923"/>
    <n v="976"/>
    <n v="896"/>
    <n v="1057"/>
    <m/>
  </r>
  <r>
    <n v="2015"/>
    <n v="26"/>
    <x v="285"/>
    <x v="1"/>
    <n v="983"/>
    <n v="980"/>
    <n v="899"/>
    <n v="1061"/>
    <m/>
  </r>
  <r>
    <n v="2015"/>
    <n v="27"/>
    <x v="286"/>
    <x v="1"/>
    <n v="1098"/>
    <n v="983"/>
    <n v="902"/>
    <n v="1063"/>
    <n v="1098"/>
  </r>
  <r>
    <n v="2015"/>
    <n v="28"/>
    <x v="287"/>
    <x v="1"/>
    <n v="1157"/>
    <n v="984"/>
    <n v="903"/>
    <n v="1064"/>
    <n v="1157"/>
  </r>
  <r>
    <n v="2015"/>
    <n v="29"/>
    <x v="288"/>
    <x v="1"/>
    <n v="1077"/>
    <n v="981"/>
    <n v="900"/>
    <n v="1062"/>
    <n v="1077"/>
  </r>
  <r>
    <n v="2015"/>
    <n v="30"/>
    <x v="289"/>
    <x v="1"/>
    <n v="994"/>
    <n v="977"/>
    <n v="896"/>
    <n v="1057"/>
    <m/>
  </r>
  <r>
    <n v="2015"/>
    <n v="31"/>
    <x v="290"/>
    <x v="1"/>
    <n v="957"/>
    <n v="973"/>
    <n v="893"/>
    <n v="1054"/>
    <m/>
  </r>
  <r>
    <n v="2015"/>
    <n v="32"/>
    <x v="291"/>
    <x v="1"/>
    <n v="1018"/>
    <n v="972"/>
    <n v="892"/>
    <n v="1052"/>
    <m/>
  </r>
  <r>
    <n v="2015"/>
    <n v="33"/>
    <x v="292"/>
    <x v="1"/>
    <n v="1015"/>
    <n v="972"/>
    <n v="892"/>
    <n v="1053"/>
    <m/>
  </r>
  <r>
    <n v="2015"/>
    <n v="34"/>
    <x v="293"/>
    <x v="1"/>
    <n v="967"/>
    <n v="978"/>
    <n v="898"/>
    <n v="1059"/>
    <m/>
  </r>
  <r>
    <n v="2015"/>
    <n v="35"/>
    <x v="294"/>
    <x v="1"/>
    <n v="990"/>
    <n v="988"/>
    <n v="907"/>
    <n v="1069"/>
    <m/>
  </r>
  <r>
    <n v="2015"/>
    <n v="36"/>
    <x v="295"/>
    <x v="1"/>
    <n v="980"/>
    <n v="995"/>
    <n v="914"/>
    <n v="1076"/>
    <m/>
  </r>
  <r>
    <n v="2015"/>
    <n v="37"/>
    <x v="296"/>
    <x v="1"/>
    <n v="991"/>
    <n v="999"/>
    <n v="918"/>
    <n v="1081"/>
    <m/>
  </r>
  <r>
    <n v="2015"/>
    <n v="38"/>
    <x v="297"/>
    <x v="1"/>
    <n v="952"/>
    <n v="1005"/>
    <n v="923"/>
    <n v="1086"/>
    <m/>
  </r>
  <r>
    <n v="2015"/>
    <n v="39"/>
    <x v="298"/>
    <x v="1"/>
    <n v="1027"/>
    <n v="1012"/>
    <n v="930"/>
    <n v="1094"/>
    <m/>
  </r>
  <r>
    <n v="2015"/>
    <n v="40"/>
    <x v="299"/>
    <x v="1"/>
    <n v="1031"/>
    <n v="1021"/>
    <n v="938"/>
    <n v="1103"/>
    <m/>
  </r>
  <r>
    <n v="2015"/>
    <n v="41"/>
    <x v="300"/>
    <x v="1"/>
    <n v="999"/>
    <n v="1034"/>
    <n v="951"/>
    <n v="1116"/>
    <m/>
  </r>
  <r>
    <n v="2015"/>
    <n v="42"/>
    <x v="301"/>
    <x v="1"/>
    <n v="1039"/>
    <n v="1045"/>
    <n v="962"/>
    <n v="1128"/>
    <m/>
  </r>
  <r>
    <n v="2015"/>
    <n v="43"/>
    <x v="302"/>
    <x v="1"/>
    <n v="1026"/>
    <n v="1053"/>
    <n v="970"/>
    <n v="1137"/>
    <m/>
  </r>
  <r>
    <n v="2015"/>
    <n v="44"/>
    <x v="303"/>
    <x v="1"/>
    <n v="1093"/>
    <n v="1061"/>
    <n v="977"/>
    <n v="1145"/>
    <m/>
  </r>
  <r>
    <n v="2015"/>
    <n v="45"/>
    <x v="304"/>
    <x v="1"/>
    <n v="994"/>
    <n v="1073"/>
    <n v="988"/>
    <n v="1157"/>
    <m/>
  </r>
  <r>
    <n v="2015"/>
    <n v="46"/>
    <x v="305"/>
    <x v="1"/>
    <n v="1007"/>
    <n v="1084"/>
    <n v="999"/>
    <n v="1169"/>
    <m/>
  </r>
  <r>
    <n v="2015"/>
    <n v="47"/>
    <x v="306"/>
    <x v="1"/>
    <n v="1066"/>
    <n v="1101"/>
    <n v="1016"/>
    <n v="1187"/>
    <m/>
  </r>
  <r>
    <n v="2015"/>
    <n v="48"/>
    <x v="307"/>
    <x v="1"/>
    <n v="1084"/>
    <n v="1121"/>
    <n v="1035"/>
    <n v="1207"/>
    <m/>
  </r>
  <r>
    <n v="2015"/>
    <n v="49"/>
    <x v="308"/>
    <x v="1"/>
    <n v="1111"/>
    <n v="1138"/>
    <n v="1051"/>
    <n v="1225"/>
    <m/>
  </r>
  <r>
    <n v="2015"/>
    <n v="50"/>
    <x v="309"/>
    <x v="1"/>
    <n v="1034"/>
    <n v="1149"/>
    <n v="1062"/>
    <n v="1237"/>
    <m/>
  </r>
  <r>
    <n v="2015"/>
    <n v="51"/>
    <x v="310"/>
    <x v="1"/>
    <n v="1022"/>
    <n v="1159"/>
    <n v="1071"/>
    <n v="1247"/>
    <m/>
  </r>
  <r>
    <n v="2015"/>
    <n v="52"/>
    <x v="311"/>
    <x v="1"/>
    <n v="1099"/>
    <n v="1168"/>
    <n v="1080"/>
    <n v="1256"/>
    <m/>
  </r>
  <r>
    <n v="2015"/>
    <n v="53"/>
    <x v="312"/>
    <x v="1"/>
    <n v="1126"/>
    <n v="1177"/>
    <n v="1089"/>
    <n v="1266"/>
    <m/>
  </r>
  <r>
    <n v="2016"/>
    <n v="1"/>
    <x v="313"/>
    <x v="0"/>
    <n v="183"/>
    <n v="181"/>
    <n v="147"/>
    <n v="216"/>
    <m/>
  </r>
  <r>
    <n v="2016"/>
    <n v="2"/>
    <x v="314"/>
    <x v="0"/>
    <n v="149"/>
    <n v="181"/>
    <n v="146"/>
    <n v="215"/>
    <m/>
  </r>
  <r>
    <n v="2016"/>
    <n v="3"/>
    <x v="315"/>
    <x v="0"/>
    <n v="183"/>
    <n v="180"/>
    <n v="145"/>
    <n v="214"/>
    <m/>
  </r>
  <r>
    <n v="2016"/>
    <n v="4"/>
    <x v="316"/>
    <x v="0"/>
    <n v="194"/>
    <n v="179"/>
    <n v="144"/>
    <n v="213"/>
    <m/>
  </r>
  <r>
    <n v="2016"/>
    <n v="5"/>
    <x v="317"/>
    <x v="0"/>
    <n v="190"/>
    <n v="178"/>
    <n v="144"/>
    <n v="213"/>
    <m/>
  </r>
  <r>
    <n v="2016"/>
    <n v="6"/>
    <x v="318"/>
    <x v="0"/>
    <n v="187"/>
    <n v="177"/>
    <n v="143"/>
    <n v="212"/>
    <m/>
  </r>
  <r>
    <n v="2016"/>
    <n v="7"/>
    <x v="319"/>
    <x v="0"/>
    <n v="179"/>
    <n v="177"/>
    <n v="142"/>
    <n v="211"/>
    <m/>
  </r>
  <r>
    <n v="2016"/>
    <n v="8"/>
    <x v="320"/>
    <x v="0"/>
    <n v="194"/>
    <n v="176"/>
    <n v="142"/>
    <n v="210"/>
    <m/>
  </r>
  <r>
    <n v="2016"/>
    <n v="9"/>
    <x v="321"/>
    <x v="0"/>
    <n v="181"/>
    <n v="175"/>
    <n v="141"/>
    <n v="209"/>
    <m/>
  </r>
  <r>
    <n v="2016"/>
    <n v="10"/>
    <x v="322"/>
    <x v="0"/>
    <n v="191"/>
    <n v="174"/>
    <n v="140"/>
    <n v="208"/>
    <m/>
  </r>
  <r>
    <n v="2016"/>
    <n v="11"/>
    <x v="323"/>
    <x v="0"/>
    <n v="168"/>
    <n v="174"/>
    <n v="140"/>
    <n v="207"/>
    <m/>
  </r>
  <r>
    <n v="2016"/>
    <n v="12"/>
    <x v="324"/>
    <x v="0"/>
    <n v="183"/>
    <n v="173"/>
    <n v="139"/>
    <n v="207"/>
    <m/>
  </r>
  <r>
    <n v="2016"/>
    <n v="13"/>
    <x v="325"/>
    <x v="0"/>
    <n v="167"/>
    <n v="172"/>
    <n v="138"/>
    <n v="206"/>
    <m/>
  </r>
  <r>
    <n v="2016"/>
    <n v="14"/>
    <x v="326"/>
    <x v="0"/>
    <n v="143"/>
    <n v="171"/>
    <n v="138"/>
    <n v="205"/>
    <m/>
  </r>
  <r>
    <n v="2016"/>
    <n v="15"/>
    <x v="327"/>
    <x v="0"/>
    <n v="159"/>
    <n v="170"/>
    <n v="137"/>
    <n v="204"/>
    <m/>
  </r>
  <r>
    <n v="2016"/>
    <n v="16"/>
    <x v="328"/>
    <x v="0"/>
    <n v="168"/>
    <n v="170"/>
    <n v="136"/>
    <n v="203"/>
    <m/>
  </r>
  <r>
    <n v="2016"/>
    <n v="17"/>
    <x v="329"/>
    <x v="0"/>
    <n v="152"/>
    <n v="169"/>
    <n v="135"/>
    <n v="202"/>
    <m/>
  </r>
  <r>
    <n v="2016"/>
    <n v="18"/>
    <x v="330"/>
    <x v="0"/>
    <n v="169"/>
    <n v="168"/>
    <n v="135"/>
    <n v="201"/>
    <m/>
  </r>
  <r>
    <n v="2016"/>
    <n v="19"/>
    <x v="331"/>
    <x v="0"/>
    <n v="177"/>
    <n v="167"/>
    <n v="134"/>
    <n v="200"/>
    <m/>
  </r>
  <r>
    <n v="2016"/>
    <n v="20"/>
    <x v="332"/>
    <x v="0"/>
    <n v="165"/>
    <n v="166"/>
    <n v="133"/>
    <n v="200"/>
    <m/>
  </r>
  <r>
    <n v="2016"/>
    <n v="21"/>
    <x v="333"/>
    <x v="0"/>
    <n v="146"/>
    <n v="166"/>
    <n v="132"/>
    <n v="199"/>
    <m/>
  </r>
  <r>
    <n v="2016"/>
    <n v="22"/>
    <x v="334"/>
    <x v="0"/>
    <n v="151"/>
    <n v="165"/>
    <n v="132"/>
    <n v="198"/>
    <m/>
  </r>
  <r>
    <n v="2016"/>
    <n v="23"/>
    <x v="335"/>
    <x v="0"/>
    <n v="165"/>
    <n v="165"/>
    <n v="132"/>
    <n v="198"/>
    <m/>
  </r>
  <r>
    <n v="2016"/>
    <n v="24"/>
    <x v="336"/>
    <x v="0"/>
    <n v="173"/>
    <n v="164"/>
    <n v="131"/>
    <n v="197"/>
    <m/>
  </r>
  <r>
    <n v="2016"/>
    <n v="25"/>
    <x v="337"/>
    <x v="0"/>
    <n v="163"/>
    <n v="164"/>
    <n v="131"/>
    <n v="197"/>
    <m/>
  </r>
  <r>
    <n v="2016"/>
    <n v="26"/>
    <x v="338"/>
    <x v="0"/>
    <n v="169"/>
    <n v="164"/>
    <n v="131"/>
    <n v="197"/>
    <m/>
  </r>
  <r>
    <n v="2016"/>
    <n v="27"/>
    <x v="339"/>
    <x v="0"/>
    <n v="154"/>
    <n v="163"/>
    <n v="130"/>
    <n v="196"/>
    <m/>
  </r>
  <r>
    <n v="2016"/>
    <n v="28"/>
    <x v="340"/>
    <x v="0"/>
    <n v="155"/>
    <n v="163"/>
    <n v="130"/>
    <n v="196"/>
    <m/>
  </r>
  <r>
    <n v="2016"/>
    <n v="29"/>
    <x v="341"/>
    <x v="0"/>
    <n v="166"/>
    <n v="163"/>
    <n v="130"/>
    <n v="196"/>
    <m/>
  </r>
  <r>
    <n v="2016"/>
    <n v="30"/>
    <x v="342"/>
    <x v="0"/>
    <n v="160"/>
    <n v="163"/>
    <n v="130"/>
    <n v="196"/>
    <m/>
  </r>
  <r>
    <n v="2016"/>
    <n v="31"/>
    <x v="343"/>
    <x v="0"/>
    <n v="195"/>
    <n v="163"/>
    <n v="130"/>
    <n v="196"/>
    <m/>
  </r>
  <r>
    <n v="2016"/>
    <n v="32"/>
    <x v="344"/>
    <x v="0"/>
    <n v="187"/>
    <n v="163"/>
    <n v="130"/>
    <n v="196"/>
    <m/>
  </r>
  <r>
    <n v="2016"/>
    <n v="33"/>
    <x v="345"/>
    <x v="0"/>
    <n v="151"/>
    <n v="163"/>
    <n v="130"/>
    <n v="196"/>
    <m/>
  </r>
  <r>
    <n v="2016"/>
    <n v="34"/>
    <x v="346"/>
    <x v="0"/>
    <n v="139"/>
    <n v="163"/>
    <n v="131"/>
    <n v="196"/>
    <m/>
  </r>
  <r>
    <n v="2016"/>
    <n v="35"/>
    <x v="347"/>
    <x v="0"/>
    <n v="169"/>
    <n v="164"/>
    <n v="131"/>
    <n v="197"/>
    <m/>
  </r>
  <r>
    <n v="2016"/>
    <n v="36"/>
    <x v="348"/>
    <x v="0"/>
    <n v="182"/>
    <n v="164"/>
    <n v="131"/>
    <n v="197"/>
    <m/>
  </r>
  <r>
    <n v="2016"/>
    <n v="37"/>
    <x v="349"/>
    <x v="0"/>
    <n v="150"/>
    <n v="164"/>
    <n v="131"/>
    <n v="198"/>
    <m/>
  </r>
  <r>
    <n v="2016"/>
    <n v="38"/>
    <x v="350"/>
    <x v="0"/>
    <n v="171"/>
    <n v="165"/>
    <n v="132"/>
    <n v="198"/>
    <m/>
  </r>
  <r>
    <n v="2016"/>
    <n v="39"/>
    <x v="351"/>
    <x v="0"/>
    <n v="172"/>
    <n v="165"/>
    <n v="132"/>
    <n v="198"/>
    <m/>
  </r>
  <r>
    <n v="2016"/>
    <n v="40"/>
    <x v="352"/>
    <x v="0"/>
    <n v="185"/>
    <n v="165"/>
    <n v="132"/>
    <n v="199"/>
    <m/>
  </r>
  <r>
    <n v="2016"/>
    <n v="41"/>
    <x v="353"/>
    <x v="0"/>
    <n v="172"/>
    <n v="166"/>
    <n v="133"/>
    <n v="199"/>
    <m/>
  </r>
  <r>
    <n v="2016"/>
    <n v="42"/>
    <x v="354"/>
    <x v="0"/>
    <n v="163"/>
    <n v="167"/>
    <n v="133"/>
    <n v="200"/>
    <m/>
  </r>
  <r>
    <n v="2016"/>
    <n v="43"/>
    <x v="355"/>
    <x v="0"/>
    <n v="168"/>
    <n v="167"/>
    <n v="134"/>
    <n v="200"/>
    <m/>
  </r>
  <r>
    <n v="2016"/>
    <n v="44"/>
    <x v="356"/>
    <x v="0"/>
    <n v="176"/>
    <n v="168"/>
    <n v="134"/>
    <n v="201"/>
    <m/>
  </r>
  <r>
    <n v="2016"/>
    <n v="45"/>
    <x v="357"/>
    <x v="0"/>
    <n v="172"/>
    <n v="168"/>
    <n v="135"/>
    <n v="202"/>
    <m/>
  </r>
  <r>
    <n v="2016"/>
    <n v="46"/>
    <x v="358"/>
    <x v="0"/>
    <n v="170"/>
    <n v="169"/>
    <n v="135"/>
    <n v="202"/>
    <m/>
  </r>
  <r>
    <n v="2016"/>
    <n v="47"/>
    <x v="359"/>
    <x v="0"/>
    <n v="134"/>
    <n v="169"/>
    <n v="136"/>
    <n v="203"/>
    <m/>
  </r>
  <r>
    <n v="2016"/>
    <n v="48"/>
    <x v="360"/>
    <x v="0"/>
    <n v="179"/>
    <n v="170"/>
    <n v="136"/>
    <n v="203"/>
    <m/>
  </r>
  <r>
    <n v="2016"/>
    <n v="49"/>
    <x v="361"/>
    <x v="0"/>
    <n v="159"/>
    <n v="170"/>
    <n v="137"/>
    <n v="204"/>
    <m/>
  </r>
  <r>
    <n v="2016"/>
    <n v="50"/>
    <x v="362"/>
    <x v="0"/>
    <n v="163"/>
    <n v="171"/>
    <n v="137"/>
    <n v="205"/>
    <m/>
  </r>
  <r>
    <n v="2016"/>
    <n v="51"/>
    <x v="363"/>
    <x v="0"/>
    <n v="187"/>
    <n v="171"/>
    <n v="138"/>
    <n v="205"/>
    <m/>
  </r>
  <r>
    <n v="2016"/>
    <n v="52"/>
    <x v="364"/>
    <x v="0"/>
    <n v="168"/>
    <n v="172"/>
    <n v="138"/>
    <n v="206"/>
    <m/>
  </r>
  <r>
    <n v="2016"/>
    <n v="1"/>
    <x v="313"/>
    <x v="1"/>
    <n v="1146"/>
    <n v="1237"/>
    <n v="1147"/>
    <n v="1328"/>
    <m/>
  </r>
  <r>
    <n v="2016"/>
    <n v="2"/>
    <x v="314"/>
    <x v="1"/>
    <n v="1090"/>
    <n v="1236"/>
    <n v="1146"/>
    <n v="1327"/>
    <m/>
  </r>
  <r>
    <n v="2016"/>
    <n v="3"/>
    <x v="315"/>
    <x v="1"/>
    <n v="1134"/>
    <n v="1236"/>
    <n v="1145"/>
    <n v="1326"/>
    <m/>
  </r>
  <r>
    <n v="2016"/>
    <n v="4"/>
    <x v="316"/>
    <x v="1"/>
    <n v="1151"/>
    <n v="1235"/>
    <n v="1145"/>
    <n v="1326"/>
    <m/>
  </r>
  <r>
    <n v="2016"/>
    <n v="5"/>
    <x v="317"/>
    <x v="1"/>
    <n v="1138"/>
    <n v="1234"/>
    <n v="1143"/>
    <n v="1324"/>
    <m/>
  </r>
  <r>
    <n v="2016"/>
    <n v="6"/>
    <x v="318"/>
    <x v="1"/>
    <n v="1145"/>
    <n v="1233"/>
    <n v="1142"/>
    <n v="1323"/>
    <m/>
  </r>
  <r>
    <n v="2016"/>
    <n v="7"/>
    <x v="319"/>
    <x v="1"/>
    <n v="1124"/>
    <n v="1231"/>
    <n v="1141"/>
    <n v="1322"/>
    <m/>
  </r>
  <r>
    <n v="2016"/>
    <n v="8"/>
    <x v="320"/>
    <x v="1"/>
    <n v="1181"/>
    <n v="1223"/>
    <n v="1133"/>
    <n v="1313"/>
    <m/>
  </r>
  <r>
    <n v="2016"/>
    <n v="9"/>
    <x v="321"/>
    <x v="1"/>
    <n v="1137"/>
    <n v="1215"/>
    <n v="1126"/>
    <n v="1305"/>
    <m/>
  </r>
  <r>
    <n v="2016"/>
    <n v="10"/>
    <x v="322"/>
    <x v="1"/>
    <n v="1151"/>
    <n v="1200"/>
    <n v="1111"/>
    <n v="1289"/>
    <m/>
  </r>
  <r>
    <n v="2016"/>
    <n v="11"/>
    <x v="323"/>
    <x v="1"/>
    <n v="1102"/>
    <n v="1184"/>
    <n v="1096"/>
    <n v="1273"/>
    <m/>
  </r>
  <r>
    <n v="2016"/>
    <n v="12"/>
    <x v="324"/>
    <x v="1"/>
    <n v="1100"/>
    <n v="1163"/>
    <n v="1076"/>
    <n v="1251"/>
    <m/>
  </r>
  <r>
    <n v="2016"/>
    <n v="13"/>
    <x v="325"/>
    <x v="1"/>
    <n v="1093"/>
    <n v="1143"/>
    <n v="1055"/>
    <n v="1230"/>
    <m/>
  </r>
  <r>
    <n v="2016"/>
    <n v="14"/>
    <x v="326"/>
    <x v="1"/>
    <n v="1091"/>
    <n v="1123"/>
    <n v="1037"/>
    <n v="1209"/>
    <m/>
  </r>
  <r>
    <n v="2016"/>
    <n v="15"/>
    <x v="327"/>
    <x v="1"/>
    <n v="1059"/>
    <n v="1106"/>
    <n v="1020"/>
    <n v="1191"/>
    <m/>
  </r>
  <r>
    <n v="2016"/>
    <n v="16"/>
    <x v="328"/>
    <x v="1"/>
    <n v="962"/>
    <n v="1088"/>
    <n v="1003"/>
    <n v="1173"/>
    <m/>
  </r>
  <r>
    <n v="2016"/>
    <n v="17"/>
    <x v="329"/>
    <x v="1"/>
    <n v="1013"/>
    <n v="1073"/>
    <n v="988"/>
    <n v="1157"/>
    <m/>
  </r>
  <r>
    <n v="2016"/>
    <n v="18"/>
    <x v="330"/>
    <x v="1"/>
    <n v="987"/>
    <n v="1057"/>
    <n v="973"/>
    <n v="1141"/>
    <m/>
  </r>
  <r>
    <n v="2016"/>
    <n v="19"/>
    <x v="331"/>
    <x v="1"/>
    <n v="964"/>
    <n v="1045"/>
    <n v="961"/>
    <n v="1128"/>
    <m/>
  </r>
  <r>
    <n v="2016"/>
    <n v="20"/>
    <x v="332"/>
    <x v="1"/>
    <n v="1003"/>
    <n v="1032"/>
    <n v="949"/>
    <n v="1115"/>
    <m/>
  </r>
  <r>
    <n v="2016"/>
    <n v="21"/>
    <x v="333"/>
    <x v="1"/>
    <n v="1071"/>
    <n v="1024"/>
    <n v="941"/>
    <n v="1106"/>
    <m/>
  </r>
  <r>
    <n v="2016"/>
    <n v="22"/>
    <x v="334"/>
    <x v="1"/>
    <n v="989"/>
    <n v="1019"/>
    <n v="936"/>
    <n v="1101"/>
    <m/>
  </r>
  <r>
    <n v="2016"/>
    <n v="23"/>
    <x v="335"/>
    <x v="1"/>
    <n v="928"/>
    <n v="1013"/>
    <n v="931"/>
    <n v="1095"/>
    <m/>
  </r>
  <r>
    <n v="2016"/>
    <n v="24"/>
    <x v="336"/>
    <x v="1"/>
    <n v="929"/>
    <n v="1011"/>
    <n v="929"/>
    <n v="1093"/>
    <m/>
  </r>
  <r>
    <n v="2016"/>
    <n v="25"/>
    <x v="337"/>
    <x v="1"/>
    <n v="1057"/>
    <n v="1012"/>
    <n v="930"/>
    <n v="1094"/>
    <m/>
  </r>
  <r>
    <n v="2016"/>
    <n v="26"/>
    <x v="338"/>
    <x v="1"/>
    <n v="990"/>
    <n v="1012"/>
    <n v="930"/>
    <n v="1094"/>
    <m/>
  </r>
  <r>
    <n v="2016"/>
    <n v="27"/>
    <x v="339"/>
    <x v="1"/>
    <n v="928"/>
    <n v="1015"/>
    <n v="932"/>
    <n v="1097"/>
    <m/>
  </r>
  <r>
    <n v="2016"/>
    <n v="28"/>
    <x v="340"/>
    <x v="1"/>
    <n v="985"/>
    <n v="1014"/>
    <n v="932"/>
    <n v="1096"/>
    <m/>
  </r>
  <r>
    <n v="2016"/>
    <n v="29"/>
    <x v="341"/>
    <x v="1"/>
    <n v="1053"/>
    <n v="1013"/>
    <n v="931"/>
    <n v="1095"/>
    <m/>
  </r>
  <r>
    <n v="2016"/>
    <n v="30"/>
    <x v="342"/>
    <x v="1"/>
    <n v="999"/>
    <n v="1014"/>
    <n v="932"/>
    <n v="1096"/>
    <m/>
  </r>
  <r>
    <n v="2016"/>
    <n v="31"/>
    <x v="343"/>
    <x v="1"/>
    <n v="902"/>
    <n v="1014"/>
    <n v="932"/>
    <n v="1096"/>
    <m/>
  </r>
  <r>
    <n v="2016"/>
    <n v="32"/>
    <x v="344"/>
    <x v="1"/>
    <n v="959"/>
    <n v="1015"/>
    <n v="933"/>
    <n v="1097"/>
    <m/>
  </r>
  <r>
    <n v="2016"/>
    <n v="33"/>
    <x v="345"/>
    <x v="1"/>
    <n v="1006"/>
    <n v="1016"/>
    <n v="934"/>
    <n v="1098"/>
    <m/>
  </r>
  <r>
    <n v="2016"/>
    <n v="34"/>
    <x v="346"/>
    <x v="1"/>
    <n v="979"/>
    <n v="1018"/>
    <n v="936"/>
    <n v="1100"/>
    <m/>
  </r>
  <r>
    <n v="2016"/>
    <n v="35"/>
    <x v="347"/>
    <x v="1"/>
    <n v="958"/>
    <n v="1022"/>
    <n v="940"/>
    <n v="1104"/>
    <m/>
  </r>
  <r>
    <n v="2016"/>
    <n v="36"/>
    <x v="348"/>
    <x v="1"/>
    <n v="987"/>
    <n v="1027"/>
    <n v="944"/>
    <n v="1109"/>
    <m/>
  </r>
  <r>
    <n v="2016"/>
    <n v="37"/>
    <x v="349"/>
    <x v="1"/>
    <n v="943"/>
    <n v="1034"/>
    <n v="951"/>
    <n v="1117"/>
    <m/>
  </r>
  <r>
    <n v="2016"/>
    <n v="38"/>
    <x v="350"/>
    <x v="1"/>
    <n v="998"/>
    <n v="1042"/>
    <n v="959"/>
    <n v="1125"/>
    <m/>
  </r>
  <r>
    <n v="2016"/>
    <n v="39"/>
    <x v="351"/>
    <x v="1"/>
    <n v="1024"/>
    <n v="1051"/>
    <n v="967"/>
    <n v="1134"/>
    <m/>
  </r>
  <r>
    <n v="2016"/>
    <n v="40"/>
    <x v="352"/>
    <x v="1"/>
    <n v="1082"/>
    <n v="1060"/>
    <n v="976"/>
    <n v="1144"/>
    <m/>
  </r>
  <r>
    <n v="2016"/>
    <n v="41"/>
    <x v="353"/>
    <x v="1"/>
    <n v="1085"/>
    <n v="1069"/>
    <n v="985"/>
    <n v="1153"/>
    <m/>
  </r>
  <r>
    <n v="2016"/>
    <n v="42"/>
    <x v="354"/>
    <x v="1"/>
    <n v="1109"/>
    <n v="1078"/>
    <n v="993"/>
    <n v="1162"/>
    <m/>
  </r>
  <r>
    <n v="2016"/>
    <n v="43"/>
    <x v="355"/>
    <x v="1"/>
    <n v="1054"/>
    <n v="1088"/>
    <n v="1003"/>
    <n v="1173"/>
    <m/>
  </r>
  <r>
    <n v="2016"/>
    <n v="44"/>
    <x v="356"/>
    <x v="1"/>
    <n v="1124"/>
    <n v="1098"/>
    <n v="1012"/>
    <n v="1183"/>
    <m/>
  </r>
  <r>
    <n v="2016"/>
    <n v="45"/>
    <x v="357"/>
    <x v="1"/>
    <n v="1108"/>
    <n v="1109"/>
    <n v="1023"/>
    <n v="1195"/>
    <m/>
  </r>
  <r>
    <n v="2016"/>
    <n v="46"/>
    <x v="358"/>
    <x v="1"/>
    <n v="1176"/>
    <n v="1121"/>
    <n v="1034"/>
    <n v="1207"/>
    <m/>
  </r>
  <r>
    <n v="2016"/>
    <n v="47"/>
    <x v="359"/>
    <x v="1"/>
    <n v="1050"/>
    <n v="1133"/>
    <n v="1046"/>
    <n v="1219"/>
    <m/>
  </r>
  <r>
    <n v="2016"/>
    <n v="48"/>
    <x v="360"/>
    <x v="1"/>
    <n v="1144"/>
    <n v="1146"/>
    <n v="1059"/>
    <n v="1233"/>
    <m/>
  </r>
  <r>
    <n v="2016"/>
    <n v="49"/>
    <x v="361"/>
    <x v="1"/>
    <n v="1125"/>
    <n v="1159"/>
    <n v="1071"/>
    <n v="1247"/>
    <m/>
  </r>
  <r>
    <n v="2016"/>
    <n v="50"/>
    <x v="362"/>
    <x v="1"/>
    <n v="1129"/>
    <n v="1172"/>
    <n v="1084"/>
    <n v="1261"/>
    <m/>
  </r>
  <r>
    <n v="2016"/>
    <n v="51"/>
    <x v="363"/>
    <x v="1"/>
    <n v="1247"/>
    <n v="1186"/>
    <n v="1097"/>
    <n v="1274"/>
    <m/>
  </r>
  <r>
    <n v="2016"/>
    <n v="52"/>
    <x v="364"/>
    <x v="1"/>
    <n v="1404"/>
    <n v="1199"/>
    <n v="1110"/>
    <n v="1288"/>
    <n v="1404"/>
  </r>
  <r>
    <n v="2017"/>
    <n v="1"/>
    <x v="365"/>
    <x v="0"/>
    <n v="170"/>
    <n v="176"/>
    <n v="142"/>
    <n v="210"/>
    <m/>
  </r>
  <r>
    <n v="2017"/>
    <n v="2"/>
    <x v="366"/>
    <x v="0"/>
    <n v="181"/>
    <n v="176"/>
    <n v="142"/>
    <n v="210"/>
    <m/>
  </r>
  <r>
    <n v="2017"/>
    <n v="3"/>
    <x v="367"/>
    <x v="0"/>
    <n v="189"/>
    <n v="176"/>
    <n v="142"/>
    <n v="211"/>
    <m/>
  </r>
  <r>
    <n v="2017"/>
    <n v="4"/>
    <x v="368"/>
    <x v="0"/>
    <n v="170"/>
    <n v="177"/>
    <n v="142"/>
    <n v="211"/>
    <m/>
  </r>
  <r>
    <n v="2017"/>
    <n v="5"/>
    <x v="369"/>
    <x v="0"/>
    <n v="181"/>
    <n v="177"/>
    <n v="142"/>
    <n v="211"/>
    <m/>
  </r>
  <r>
    <n v="2017"/>
    <n v="6"/>
    <x v="370"/>
    <x v="0"/>
    <n v="180"/>
    <n v="177"/>
    <n v="142"/>
    <n v="211"/>
    <m/>
  </r>
  <r>
    <n v="2017"/>
    <n v="7"/>
    <x v="371"/>
    <x v="0"/>
    <n v="174"/>
    <n v="176"/>
    <n v="142"/>
    <n v="211"/>
    <m/>
  </r>
  <r>
    <n v="2017"/>
    <n v="8"/>
    <x v="372"/>
    <x v="0"/>
    <n v="176"/>
    <n v="176"/>
    <n v="142"/>
    <n v="210"/>
    <m/>
  </r>
  <r>
    <n v="2017"/>
    <n v="9"/>
    <x v="373"/>
    <x v="0"/>
    <n v="171"/>
    <n v="175"/>
    <n v="141"/>
    <n v="210"/>
    <m/>
  </r>
  <r>
    <n v="2017"/>
    <n v="10"/>
    <x v="374"/>
    <x v="0"/>
    <n v="194"/>
    <n v="174"/>
    <n v="140"/>
    <n v="208"/>
    <m/>
  </r>
  <r>
    <n v="2017"/>
    <n v="11"/>
    <x v="375"/>
    <x v="0"/>
    <n v="169"/>
    <n v="172"/>
    <n v="139"/>
    <n v="206"/>
    <m/>
  </r>
  <r>
    <n v="2017"/>
    <n v="12"/>
    <x v="376"/>
    <x v="0"/>
    <n v="174"/>
    <n v="171"/>
    <n v="137"/>
    <n v="204"/>
    <m/>
  </r>
  <r>
    <n v="2017"/>
    <n v="13"/>
    <x v="377"/>
    <x v="0"/>
    <n v="169"/>
    <n v="169"/>
    <n v="135"/>
    <n v="202"/>
    <m/>
  </r>
  <r>
    <n v="2017"/>
    <n v="14"/>
    <x v="378"/>
    <x v="0"/>
    <n v="169"/>
    <n v="167"/>
    <n v="134"/>
    <n v="200"/>
    <m/>
  </r>
  <r>
    <n v="2017"/>
    <n v="15"/>
    <x v="379"/>
    <x v="0"/>
    <n v="163"/>
    <n v="166"/>
    <n v="133"/>
    <n v="199"/>
    <m/>
  </r>
  <r>
    <n v="2017"/>
    <n v="16"/>
    <x v="380"/>
    <x v="0"/>
    <n v="159"/>
    <n v="165"/>
    <n v="132"/>
    <n v="198"/>
    <m/>
  </r>
  <r>
    <n v="2017"/>
    <n v="17"/>
    <x v="381"/>
    <x v="0"/>
    <n v="159"/>
    <n v="164"/>
    <n v="131"/>
    <n v="197"/>
    <m/>
  </r>
  <r>
    <n v="2017"/>
    <n v="18"/>
    <x v="382"/>
    <x v="0"/>
    <n v="162"/>
    <n v="163"/>
    <n v="130"/>
    <n v="196"/>
    <m/>
  </r>
  <r>
    <n v="2017"/>
    <n v="19"/>
    <x v="383"/>
    <x v="0"/>
    <n v="164"/>
    <n v="162"/>
    <n v="130"/>
    <n v="195"/>
    <m/>
  </r>
  <r>
    <n v="2017"/>
    <n v="20"/>
    <x v="384"/>
    <x v="0"/>
    <n v="169"/>
    <n v="162"/>
    <n v="129"/>
    <n v="195"/>
    <m/>
  </r>
  <r>
    <n v="2017"/>
    <n v="21"/>
    <x v="385"/>
    <x v="0"/>
    <n v="159"/>
    <n v="162"/>
    <n v="129"/>
    <n v="194"/>
    <m/>
  </r>
  <r>
    <n v="2017"/>
    <n v="22"/>
    <x v="386"/>
    <x v="0"/>
    <n v="159"/>
    <n v="162"/>
    <n v="129"/>
    <n v="194"/>
    <m/>
  </r>
  <r>
    <n v="2017"/>
    <n v="23"/>
    <x v="387"/>
    <x v="0"/>
    <n v="175"/>
    <n v="162"/>
    <n v="129"/>
    <n v="194"/>
    <m/>
  </r>
  <r>
    <n v="2017"/>
    <n v="24"/>
    <x v="388"/>
    <x v="0"/>
    <n v="149"/>
    <n v="162"/>
    <n v="129"/>
    <n v="194"/>
    <m/>
  </r>
  <r>
    <n v="2017"/>
    <n v="25"/>
    <x v="389"/>
    <x v="0"/>
    <n v="154"/>
    <n v="161"/>
    <n v="129"/>
    <n v="194"/>
    <m/>
  </r>
  <r>
    <n v="2017"/>
    <n v="26"/>
    <x v="390"/>
    <x v="0"/>
    <n v="166"/>
    <n v="161"/>
    <n v="128"/>
    <n v="194"/>
    <m/>
  </r>
  <r>
    <n v="2017"/>
    <n v="27"/>
    <x v="391"/>
    <x v="0"/>
    <n v="146"/>
    <n v="161"/>
    <n v="128"/>
    <n v="194"/>
    <m/>
  </r>
  <r>
    <n v="2017"/>
    <n v="28"/>
    <x v="392"/>
    <x v="0"/>
    <n v="150"/>
    <n v="161"/>
    <n v="128"/>
    <n v="194"/>
    <m/>
  </r>
  <r>
    <n v="2017"/>
    <n v="29"/>
    <x v="393"/>
    <x v="0"/>
    <n v="167"/>
    <n v="161"/>
    <n v="128"/>
    <n v="194"/>
    <m/>
  </r>
  <r>
    <n v="2017"/>
    <n v="30"/>
    <x v="394"/>
    <x v="0"/>
    <n v="153"/>
    <n v="161"/>
    <n v="128"/>
    <n v="193"/>
    <m/>
  </r>
  <r>
    <n v="2017"/>
    <n v="31"/>
    <x v="395"/>
    <x v="0"/>
    <n v="170"/>
    <n v="161"/>
    <n v="128"/>
    <n v="193"/>
    <m/>
  </r>
  <r>
    <n v="2017"/>
    <n v="32"/>
    <x v="396"/>
    <x v="0"/>
    <n v="141"/>
    <n v="161"/>
    <n v="128"/>
    <n v="193"/>
    <m/>
  </r>
  <r>
    <n v="2017"/>
    <n v="33"/>
    <x v="397"/>
    <x v="0"/>
    <n v="139"/>
    <n v="161"/>
    <n v="128"/>
    <n v="193"/>
    <m/>
  </r>
  <r>
    <n v="2017"/>
    <n v="34"/>
    <x v="398"/>
    <x v="0"/>
    <n v="201"/>
    <n v="161"/>
    <n v="128"/>
    <n v="194"/>
    <n v="201"/>
  </r>
  <r>
    <n v="2017"/>
    <n v="35"/>
    <x v="399"/>
    <x v="0"/>
    <n v="166"/>
    <n v="161"/>
    <n v="129"/>
    <n v="194"/>
    <m/>
  </r>
  <r>
    <n v="2017"/>
    <n v="36"/>
    <x v="400"/>
    <x v="0"/>
    <n v="177"/>
    <n v="162"/>
    <n v="129"/>
    <n v="195"/>
    <m/>
  </r>
  <r>
    <n v="2017"/>
    <n v="37"/>
    <x v="401"/>
    <x v="0"/>
    <n v="184"/>
    <n v="162"/>
    <n v="129"/>
    <n v="195"/>
    <m/>
  </r>
  <r>
    <n v="2017"/>
    <n v="38"/>
    <x v="402"/>
    <x v="0"/>
    <n v="186"/>
    <n v="163"/>
    <n v="130"/>
    <n v="195"/>
    <m/>
  </r>
  <r>
    <n v="2017"/>
    <n v="39"/>
    <x v="403"/>
    <x v="0"/>
    <n v="166"/>
    <n v="163"/>
    <n v="130"/>
    <n v="196"/>
    <m/>
  </r>
  <r>
    <n v="2017"/>
    <n v="40"/>
    <x v="404"/>
    <x v="0"/>
    <n v="171"/>
    <n v="163"/>
    <n v="130"/>
    <n v="196"/>
    <m/>
  </r>
  <r>
    <n v="2017"/>
    <n v="41"/>
    <x v="405"/>
    <x v="0"/>
    <n v="170"/>
    <n v="163"/>
    <n v="130"/>
    <n v="196"/>
    <m/>
  </r>
  <r>
    <n v="2017"/>
    <n v="42"/>
    <x v="406"/>
    <x v="0"/>
    <n v="165"/>
    <n v="164"/>
    <n v="131"/>
    <n v="196"/>
    <m/>
  </r>
  <r>
    <n v="2017"/>
    <n v="43"/>
    <x v="407"/>
    <x v="0"/>
    <n v="151"/>
    <n v="164"/>
    <n v="131"/>
    <n v="197"/>
    <m/>
  </r>
  <r>
    <n v="2017"/>
    <n v="44"/>
    <x v="408"/>
    <x v="0"/>
    <n v="176"/>
    <n v="164"/>
    <n v="131"/>
    <n v="197"/>
    <m/>
  </r>
  <r>
    <n v="2017"/>
    <n v="45"/>
    <x v="409"/>
    <x v="0"/>
    <n v="198"/>
    <n v="164"/>
    <n v="131"/>
    <n v="197"/>
    <n v="198"/>
  </r>
  <r>
    <n v="2017"/>
    <n v="46"/>
    <x v="410"/>
    <x v="0"/>
    <n v="180"/>
    <n v="165"/>
    <n v="132"/>
    <n v="198"/>
    <m/>
  </r>
  <r>
    <n v="2017"/>
    <n v="47"/>
    <x v="411"/>
    <x v="0"/>
    <n v="161"/>
    <n v="166"/>
    <n v="133"/>
    <n v="199"/>
    <m/>
  </r>
  <r>
    <n v="2017"/>
    <n v="48"/>
    <x v="412"/>
    <x v="0"/>
    <n v="188"/>
    <n v="167"/>
    <n v="134"/>
    <n v="200"/>
    <m/>
  </r>
  <r>
    <n v="2017"/>
    <n v="49"/>
    <x v="413"/>
    <x v="0"/>
    <n v="166"/>
    <n v="168"/>
    <n v="135"/>
    <n v="201"/>
    <m/>
  </r>
  <r>
    <n v="2017"/>
    <n v="50"/>
    <x v="414"/>
    <x v="0"/>
    <n v="164"/>
    <n v="169"/>
    <n v="136"/>
    <n v="203"/>
    <m/>
  </r>
  <r>
    <n v="2017"/>
    <n v="51"/>
    <x v="415"/>
    <x v="0"/>
    <n v="156"/>
    <n v="170"/>
    <n v="137"/>
    <n v="204"/>
    <m/>
  </r>
  <r>
    <n v="2017"/>
    <n v="52"/>
    <x v="416"/>
    <x v="0"/>
    <n v="171"/>
    <n v="171"/>
    <n v="138"/>
    <n v="205"/>
    <m/>
  </r>
  <r>
    <n v="2017"/>
    <n v="1"/>
    <x v="365"/>
    <x v="1"/>
    <n v="1499"/>
    <n v="1228"/>
    <n v="1138"/>
    <n v="1318"/>
    <n v="1499"/>
  </r>
  <r>
    <n v="2017"/>
    <n v="2"/>
    <x v="366"/>
    <x v="1"/>
    <n v="1537"/>
    <n v="1228"/>
    <n v="1138"/>
    <n v="1319"/>
    <n v="1537"/>
  </r>
  <r>
    <n v="2017"/>
    <n v="3"/>
    <x v="367"/>
    <x v="1"/>
    <n v="1549"/>
    <n v="1229"/>
    <n v="1138"/>
    <n v="1319"/>
    <n v="1549"/>
  </r>
  <r>
    <n v="2017"/>
    <n v="4"/>
    <x v="368"/>
    <x v="1"/>
    <n v="1472"/>
    <n v="1229"/>
    <n v="1139"/>
    <n v="1319"/>
    <n v="1472"/>
  </r>
  <r>
    <n v="2017"/>
    <n v="5"/>
    <x v="369"/>
    <x v="1"/>
    <n v="1377"/>
    <n v="1229"/>
    <n v="1138"/>
    <n v="1319"/>
    <n v="1377"/>
  </r>
  <r>
    <n v="2017"/>
    <n v="6"/>
    <x v="370"/>
    <x v="1"/>
    <n v="1405"/>
    <n v="1228"/>
    <n v="1138"/>
    <n v="1319"/>
    <n v="1405"/>
  </r>
  <r>
    <n v="2017"/>
    <n v="7"/>
    <x v="371"/>
    <x v="1"/>
    <n v="1222"/>
    <n v="1228"/>
    <n v="1138"/>
    <n v="1318"/>
    <m/>
  </r>
  <r>
    <n v="2017"/>
    <n v="8"/>
    <x v="372"/>
    <x v="1"/>
    <n v="1199"/>
    <n v="1220"/>
    <n v="1130"/>
    <n v="1310"/>
    <m/>
  </r>
  <r>
    <n v="2017"/>
    <n v="9"/>
    <x v="373"/>
    <x v="1"/>
    <n v="1204"/>
    <n v="1213"/>
    <n v="1123"/>
    <n v="1302"/>
    <m/>
  </r>
  <r>
    <n v="2017"/>
    <n v="10"/>
    <x v="374"/>
    <x v="1"/>
    <n v="1136"/>
    <n v="1199"/>
    <n v="1110"/>
    <n v="1288"/>
    <m/>
  </r>
  <r>
    <n v="2017"/>
    <n v="11"/>
    <x v="375"/>
    <x v="1"/>
    <n v="1070"/>
    <n v="1185"/>
    <n v="1096"/>
    <n v="1274"/>
    <m/>
  </r>
  <r>
    <n v="2017"/>
    <n v="12"/>
    <x v="376"/>
    <x v="1"/>
    <n v="1061"/>
    <n v="1165"/>
    <n v="1077"/>
    <n v="1253"/>
    <m/>
  </r>
  <r>
    <n v="2017"/>
    <n v="13"/>
    <x v="377"/>
    <x v="1"/>
    <n v="1002"/>
    <n v="1146"/>
    <n v="1058"/>
    <n v="1233"/>
    <m/>
  </r>
  <r>
    <n v="2017"/>
    <n v="14"/>
    <x v="378"/>
    <x v="1"/>
    <n v="1055"/>
    <n v="1125"/>
    <n v="1039"/>
    <n v="1212"/>
    <m/>
  </r>
  <r>
    <n v="2017"/>
    <n v="15"/>
    <x v="379"/>
    <x v="1"/>
    <n v="1022"/>
    <n v="1107"/>
    <n v="1021"/>
    <n v="1193"/>
    <m/>
  </r>
  <r>
    <n v="2017"/>
    <n v="16"/>
    <x v="380"/>
    <x v="1"/>
    <n v="1005"/>
    <n v="1089"/>
    <n v="1004"/>
    <n v="1174"/>
    <m/>
  </r>
  <r>
    <n v="2017"/>
    <n v="17"/>
    <x v="381"/>
    <x v="1"/>
    <n v="1052"/>
    <n v="1072"/>
    <n v="988"/>
    <n v="1156"/>
    <m/>
  </r>
  <r>
    <n v="2017"/>
    <n v="18"/>
    <x v="382"/>
    <x v="1"/>
    <n v="1035"/>
    <n v="1055"/>
    <n v="972"/>
    <n v="1139"/>
    <m/>
  </r>
  <r>
    <n v="2017"/>
    <n v="19"/>
    <x v="383"/>
    <x v="1"/>
    <n v="1023"/>
    <n v="1041"/>
    <n v="958"/>
    <n v="1124"/>
    <m/>
  </r>
  <r>
    <n v="2017"/>
    <n v="20"/>
    <x v="384"/>
    <x v="1"/>
    <n v="1029"/>
    <n v="1027"/>
    <n v="944"/>
    <n v="1109"/>
    <m/>
  </r>
  <r>
    <n v="2017"/>
    <n v="21"/>
    <x v="385"/>
    <x v="1"/>
    <n v="1012"/>
    <n v="1017"/>
    <n v="935"/>
    <n v="1099"/>
    <m/>
  </r>
  <r>
    <n v="2017"/>
    <n v="22"/>
    <x v="386"/>
    <x v="1"/>
    <n v="951"/>
    <n v="1011"/>
    <n v="929"/>
    <n v="1093"/>
    <m/>
  </r>
  <r>
    <n v="2017"/>
    <n v="23"/>
    <x v="387"/>
    <x v="1"/>
    <n v="920"/>
    <n v="1005"/>
    <n v="924"/>
    <n v="1087"/>
    <m/>
  </r>
  <r>
    <n v="2017"/>
    <n v="24"/>
    <x v="388"/>
    <x v="1"/>
    <n v="960"/>
    <n v="1002"/>
    <n v="921"/>
    <n v="1084"/>
    <m/>
  </r>
  <r>
    <n v="2017"/>
    <n v="25"/>
    <x v="389"/>
    <x v="1"/>
    <n v="1028"/>
    <n v="1002"/>
    <n v="921"/>
    <n v="1084"/>
    <m/>
  </r>
  <r>
    <n v="2017"/>
    <n v="26"/>
    <x v="390"/>
    <x v="1"/>
    <n v="991"/>
    <n v="1002"/>
    <n v="920"/>
    <n v="1083"/>
    <m/>
  </r>
  <r>
    <n v="2017"/>
    <n v="27"/>
    <x v="391"/>
    <x v="1"/>
    <n v="993"/>
    <n v="1004"/>
    <n v="922"/>
    <n v="1086"/>
    <m/>
  </r>
  <r>
    <n v="2017"/>
    <n v="28"/>
    <x v="392"/>
    <x v="1"/>
    <n v="922"/>
    <n v="1004"/>
    <n v="923"/>
    <n v="1086"/>
    <m/>
  </r>
  <r>
    <n v="2017"/>
    <n v="29"/>
    <x v="393"/>
    <x v="1"/>
    <n v="968"/>
    <n v="1005"/>
    <n v="923"/>
    <n v="1087"/>
    <m/>
  </r>
  <r>
    <n v="2017"/>
    <n v="30"/>
    <x v="394"/>
    <x v="1"/>
    <n v="947"/>
    <n v="1006"/>
    <n v="924"/>
    <n v="1088"/>
    <m/>
  </r>
  <r>
    <n v="2017"/>
    <n v="31"/>
    <x v="395"/>
    <x v="1"/>
    <n v="1011"/>
    <n v="1007"/>
    <n v="925"/>
    <n v="1089"/>
    <m/>
  </r>
  <r>
    <n v="2017"/>
    <n v="32"/>
    <x v="396"/>
    <x v="1"/>
    <n v="944"/>
    <n v="1009"/>
    <n v="927"/>
    <n v="1090"/>
    <m/>
  </r>
  <r>
    <n v="2017"/>
    <n v="33"/>
    <x v="397"/>
    <x v="1"/>
    <n v="972"/>
    <n v="1011"/>
    <n v="929"/>
    <n v="1092"/>
    <m/>
  </r>
  <r>
    <n v="2017"/>
    <n v="34"/>
    <x v="398"/>
    <x v="1"/>
    <n v="990"/>
    <n v="1012"/>
    <n v="931"/>
    <n v="1094"/>
    <m/>
  </r>
  <r>
    <n v="2017"/>
    <n v="35"/>
    <x v="399"/>
    <x v="1"/>
    <n v="984"/>
    <n v="1018"/>
    <n v="936"/>
    <n v="1100"/>
    <m/>
  </r>
  <r>
    <n v="2017"/>
    <n v="36"/>
    <x v="400"/>
    <x v="1"/>
    <n v="960"/>
    <n v="1023"/>
    <n v="941"/>
    <n v="1106"/>
    <m/>
  </r>
  <r>
    <n v="2017"/>
    <n v="37"/>
    <x v="401"/>
    <x v="1"/>
    <n v="989"/>
    <n v="1031"/>
    <n v="949"/>
    <n v="1114"/>
    <m/>
  </r>
  <r>
    <n v="2017"/>
    <n v="38"/>
    <x v="402"/>
    <x v="1"/>
    <n v="1072"/>
    <n v="1040"/>
    <n v="957"/>
    <n v="1123"/>
    <m/>
  </r>
  <r>
    <n v="2017"/>
    <n v="39"/>
    <x v="403"/>
    <x v="1"/>
    <n v="1059"/>
    <n v="1049"/>
    <n v="966"/>
    <n v="1132"/>
    <m/>
  </r>
  <r>
    <n v="2017"/>
    <n v="40"/>
    <x v="404"/>
    <x v="1"/>
    <n v="1104"/>
    <n v="1060"/>
    <n v="976"/>
    <n v="1143"/>
    <m/>
  </r>
  <r>
    <n v="2017"/>
    <n v="41"/>
    <x v="405"/>
    <x v="1"/>
    <n v="1087"/>
    <n v="1069"/>
    <n v="985"/>
    <n v="1153"/>
    <m/>
  </r>
  <r>
    <n v="2017"/>
    <n v="42"/>
    <x v="406"/>
    <x v="1"/>
    <n v="1023"/>
    <n v="1078"/>
    <n v="993"/>
    <n v="1162"/>
    <m/>
  </r>
  <r>
    <n v="2017"/>
    <n v="43"/>
    <x v="407"/>
    <x v="1"/>
    <n v="1050"/>
    <n v="1086"/>
    <n v="1001"/>
    <n v="1171"/>
    <m/>
  </r>
  <r>
    <n v="2017"/>
    <n v="44"/>
    <x v="408"/>
    <x v="1"/>
    <n v="967"/>
    <n v="1094"/>
    <n v="1009"/>
    <n v="1179"/>
    <m/>
  </r>
  <r>
    <n v="2017"/>
    <n v="45"/>
    <x v="409"/>
    <x v="1"/>
    <n v="1100"/>
    <n v="1104"/>
    <n v="1019"/>
    <n v="1190"/>
    <m/>
  </r>
  <r>
    <n v="2017"/>
    <n v="46"/>
    <x v="410"/>
    <x v="1"/>
    <n v="1055"/>
    <n v="1114"/>
    <n v="1028"/>
    <n v="1200"/>
    <m/>
  </r>
  <r>
    <n v="2017"/>
    <n v="47"/>
    <x v="411"/>
    <x v="1"/>
    <n v="1139"/>
    <n v="1126"/>
    <n v="1039"/>
    <n v="1212"/>
    <m/>
  </r>
  <r>
    <n v="2017"/>
    <n v="48"/>
    <x v="412"/>
    <x v="1"/>
    <n v="1177"/>
    <n v="1140"/>
    <n v="1053"/>
    <n v="1227"/>
    <m/>
  </r>
  <r>
    <n v="2017"/>
    <n v="49"/>
    <x v="413"/>
    <x v="1"/>
    <n v="1196"/>
    <n v="1154"/>
    <n v="1066"/>
    <n v="1241"/>
    <m/>
  </r>
  <r>
    <n v="2017"/>
    <n v="50"/>
    <x v="414"/>
    <x v="1"/>
    <n v="1165"/>
    <n v="1168"/>
    <n v="1080"/>
    <n v="1256"/>
    <m/>
  </r>
  <r>
    <n v="2017"/>
    <n v="51"/>
    <x v="415"/>
    <x v="1"/>
    <n v="1270"/>
    <n v="1182"/>
    <n v="1094"/>
    <n v="1271"/>
    <m/>
  </r>
  <r>
    <n v="2017"/>
    <n v="52"/>
    <x v="416"/>
    <x v="1"/>
    <n v="1159"/>
    <n v="1197"/>
    <n v="1107"/>
    <n v="1286"/>
    <m/>
  </r>
  <r>
    <n v="2018"/>
    <n v="1"/>
    <x v="417"/>
    <x v="0"/>
    <n v="179"/>
    <n v="174"/>
    <n v="140"/>
    <n v="208"/>
    <m/>
  </r>
  <r>
    <n v="2018"/>
    <n v="2"/>
    <x v="418"/>
    <x v="0"/>
    <n v="174"/>
    <n v="175"/>
    <n v="141"/>
    <n v="209"/>
    <m/>
  </r>
  <r>
    <n v="2018"/>
    <n v="3"/>
    <x v="419"/>
    <x v="0"/>
    <n v="187"/>
    <n v="176"/>
    <n v="141"/>
    <n v="210"/>
    <m/>
  </r>
  <r>
    <n v="2018"/>
    <n v="4"/>
    <x v="420"/>
    <x v="0"/>
    <n v="189"/>
    <n v="176"/>
    <n v="142"/>
    <n v="210"/>
    <m/>
  </r>
  <r>
    <n v="2018"/>
    <n v="5"/>
    <x v="421"/>
    <x v="0"/>
    <n v="152"/>
    <n v="177"/>
    <n v="142"/>
    <n v="211"/>
    <m/>
  </r>
  <r>
    <n v="2018"/>
    <n v="6"/>
    <x v="422"/>
    <x v="0"/>
    <n v="191"/>
    <n v="177"/>
    <n v="143"/>
    <n v="211"/>
    <m/>
  </r>
  <r>
    <n v="2018"/>
    <n v="7"/>
    <x v="423"/>
    <x v="0"/>
    <n v="195"/>
    <n v="177"/>
    <n v="143"/>
    <n v="211"/>
    <m/>
  </r>
  <r>
    <n v="2018"/>
    <n v="8"/>
    <x v="424"/>
    <x v="0"/>
    <n v="190"/>
    <n v="176"/>
    <n v="142"/>
    <n v="210"/>
    <m/>
  </r>
  <r>
    <n v="2018"/>
    <n v="9"/>
    <x v="425"/>
    <x v="0"/>
    <n v="213"/>
    <n v="175"/>
    <n v="141"/>
    <n v="209"/>
    <n v="213"/>
  </r>
  <r>
    <n v="2018"/>
    <n v="10"/>
    <x v="426"/>
    <x v="0"/>
    <n v="202"/>
    <n v="173"/>
    <n v="139"/>
    <n v="207"/>
    <m/>
  </r>
  <r>
    <n v="2018"/>
    <n v="11"/>
    <x v="427"/>
    <x v="0"/>
    <n v="175"/>
    <n v="171"/>
    <n v="137"/>
    <n v="205"/>
    <m/>
  </r>
  <r>
    <n v="2018"/>
    <n v="12"/>
    <x v="428"/>
    <x v="0"/>
    <n v="160"/>
    <n v="168"/>
    <n v="135"/>
    <n v="202"/>
    <m/>
  </r>
  <r>
    <n v="2018"/>
    <n v="13"/>
    <x v="429"/>
    <x v="0"/>
    <n v="171"/>
    <n v="166"/>
    <n v="133"/>
    <n v="199"/>
    <m/>
  </r>
  <r>
    <n v="2018"/>
    <n v="14"/>
    <x v="430"/>
    <x v="0"/>
    <n v="171"/>
    <n v="163"/>
    <n v="131"/>
    <n v="196"/>
    <m/>
  </r>
  <r>
    <n v="2018"/>
    <n v="15"/>
    <x v="431"/>
    <x v="0"/>
    <n v="170"/>
    <n v="162"/>
    <n v="129"/>
    <n v="195"/>
    <m/>
  </r>
  <r>
    <n v="2018"/>
    <n v="16"/>
    <x v="432"/>
    <x v="0"/>
    <n v="182"/>
    <n v="160"/>
    <n v="128"/>
    <n v="193"/>
    <m/>
  </r>
  <r>
    <n v="2018"/>
    <n v="17"/>
    <x v="433"/>
    <x v="0"/>
    <n v="163"/>
    <n v="160"/>
    <n v="127"/>
    <n v="192"/>
    <m/>
  </r>
  <r>
    <n v="2018"/>
    <n v="18"/>
    <x v="434"/>
    <x v="0"/>
    <n v="151"/>
    <n v="159"/>
    <n v="126"/>
    <n v="191"/>
    <m/>
  </r>
  <r>
    <n v="2018"/>
    <n v="19"/>
    <x v="435"/>
    <x v="0"/>
    <n v="162"/>
    <n v="159"/>
    <n v="126"/>
    <n v="191"/>
    <m/>
  </r>
  <r>
    <n v="2018"/>
    <n v="20"/>
    <x v="436"/>
    <x v="0"/>
    <n v="167"/>
    <n v="159"/>
    <n v="126"/>
    <n v="191"/>
    <m/>
  </r>
  <r>
    <n v="2018"/>
    <n v="21"/>
    <x v="437"/>
    <x v="0"/>
    <n v="172"/>
    <n v="159"/>
    <n v="126"/>
    <n v="191"/>
    <m/>
  </r>
  <r>
    <n v="2018"/>
    <n v="22"/>
    <x v="438"/>
    <x v="0"/>
    <n v="156"/>
    <n v="159"/>
    <n v="127"/>
    <n v="192"/>
    <m/>
  </r>
  <r>
    <n v="2018"/>
    <n v="23"/>
    <x v="439"/>
    <x v="0"/>
    <n v="171"/>
    <n v="160"/>
    <n v="127"/>
    <n v="192"/>
    <m/>
  </r>
  <r>
    <n v="2018"/>
    <n v="24"/>
    <x v="440"/>
    <x v="0"/>
    <n v="149"/>
    <n v="160"/>
    <n v="127"/>
    <n v="193"/>
    <m/>
  </r>
  <r>
    <n v="2018"/>
    <n v="25"/>
    <x v="441"/>
    <x v="0"/>
    <n v="174"/>
    <n v="160"/>
    <n v="127"/>
    <n v="192"/>
    <m/>
  </r>
  <r>
    <n v="2018"/>
    <n v="26"/>
    <x v="442"/>
    <x v="0"/>
    <n v="150"/>
    <n v="160"/>
    <n v="127"/>
    <n v="192"/>
    <m/>
  </r>
  <r>
    <n v="2018"/>
    <n v="27"/>
    <x v="443"/>
    <x v="0"/>
    <n v="155"/>
    <n v="160"/>
    <n v="127"/>
    <n v="192"/>
    <m/>
  </r>
  <r>
    <n v="2018"/>
    <n v="28"/>
    <x v="444"/>
    <x v="0"/>
    <n v="146"/>
    <n v="160"/>
    <n v="127"/>
    <n v="192"/>
    <m/>
  </r>
  <r>
    <n v="2018"/>
    <n v="29"/>
    <x v="445"/>
    <x v="0"/>
    <n v="159"/>
    <n v="160"/>
    <n v="127"/>
    <n v="192"/>
    <m/>
  </r>
  <r>
    <n v="2018"/>
    <n v="30"/>
    <x v="446"/>
    <x v="0"/>
    <n v="170"/>
    <n v="159"/>
    <n v="127"/>
    <n v="192"/>
    <m/>
  </r>
  <r>
    <n v="2018"/>
    <n v="31"/>
    <x v="447"/>
    <x v="0"/>
    <n v="188"/>
    <n v="159"/>
    <n v="126"/>
    <n v="191"/>
    <m/>
  </r>
  <r>
    <n v="2018"/>
    <n v="32"/>
    <x v="448"/>
    <x v="0"/>
    <n v="153"/>
    <n v="159"/>
    <n v="127"/>
    <n v="192"/>
    <m/>
  </r>
  <r>
    <n v="2018"/>
    <n v="33"/>
    <x v="449"/>
    <x v="0"/>
    <n v="162"/>
    <n v="159"/>
    <n v="127"/>
    <n v="192"/>
    <m/>
  </r>
  <r>
    <n v="2018"/>
    <n v="34"/>
    <x v="450"/>
    <x v="0"/>
    <n v="152"/>
    <n v="160"/>
    <n v="127"/>
    <n v="193"/>
    <m/>
  </r>
  <r>
    <n v="2018"/>
    <n v="35"/>
    <x v="451"/>
    <x v="0"/>
    <n v="168"/>
    <n v="161"/>
    <n v="128"/>
    <n v="193"/>
    <m/>
  </r>
  <r>
    <n v="2018"/>
    <n v="36"/>
    <x v="452"/>
    <x v="0"/>
    <n v="177"/>
    <n v="161"/>
    <n v="129"/>
    <n v="194"/>
    <m/>
  </r>
  <r>
    <n v="2018"/>
    <n v="37"/>
    <x v="453"/>
    <x v="0"/>
    <n v="159"/>
    <n v="162"/>
    <n v="129"/>
    <n v="195"/>
    <m/>
  </r>
  <r>
    <n v="2018"/>
    <n v="38"/>
    <x v="454"/>
    <x v="0"/>
    <n v="172"/>
    <n v="162"/>
    <n v="129"/>
    <n v="195"/>
    <m/>
  </r>
  <r>
    <n v="2018"/>
    <n v="39"/>
    <x v="455"/>
    <x v="0"/>
    <n v="166"/>
    <n v="162"/>
    <n v="130"/>
    <n v="195"/>
    <m/>
  </r>
  <r>
    <n v="2018"/>
    <n v="40"/>
    <x v="456"/>
    <x v="0"/>
    <n v="171"/>
    <n v="163"/>
    <n v="130"/>
    <n v="195"/>
    <m/>
  </r>
  <r>
    <n v="2018"/>
    <n v="41"/>
    <x v="457"/>
    <x v="0"/>
    <n v="162"/>
    <n v="163"/>
    <n v="130"/>
    <n v="196"/>
    <m/>
  </r>
  <r>
    <n v="2018"/>
    <n v="42"/>
    <x v="458"/>
    <x v="0"/>
    <n v="149"/>
    <n v="163"/>
    <n v="130"/>
    <n v="196"/>
    <m/>
  </r>
  <r>
    <n v="2018"/>
    <n v="43"/>
    <x v="459"/>
    <x v="0"/>
    <n v="134"/>
    <n v="163"/>
    <n v="130"/>
    <n v="196"/>
    <m/>
  </r>
  <r>
    <n v="2018"/>
    <n v="44"/>
    <x v="460"/>
    <x v="0"/>
    <n v="149"/>
    <n v="163"/>
    <n v="130"/>
    <n v="196"/>
    <m/>
  </r>
  <r>
    <n v="2018"/>
    <n v="45"/>
    <x v="461"/>
    <x v="0"/>
    <n v="169"/>
    <n v="163"/>
    <n v="130"/>
    <n v="196"/>
    <m/>
  </r>
  <r>
    <n v="2018"/>
    <n v="46"/>
    <x v="462"/>
    <x v="0"/>
    <n v="186"/>
    <n v="163"/>
    <n v="130"/>
    <n v="196"/>
    <m/>
  </r>
  <r>
    <n v="2018"/>
    <n v="47"/>
    <x v="463"/>
    <x v="0"/>
    <n v="164"/>
    <n v="164"/>
    <n v="131"/>
    <n v="197"/>
    <m/>
  </r>
  <r>
    <n v="2018"/>
    <n v="48"/>
    <x v="464"/>
    <x v="0"/>
    <n v="181"/>
    <n v="165"/>
    <n v="132"/>
    <n v="198"/>
    <m/>
  </r>
  <r>
    <n v="2018"/>
    <n v="49"/>
    <x v="465"/>
    <x v="0"/>
    <n v="198"/>
    <n v="166"/>
    <n v="133"/>
    <n v="199"/>
    <m/>
  </r>
  <r>
    <n v="2018"/>
    <n v="50"/>
    <x v="466"/>
    <x v="0"/>
    <n v="161"/>
    <n v="166"/>
    <n v="133"/>
    <n v="200"/>
    <m/>
  </r>
  <r>
    <n v="2018"/>
    <n v="51"/>
    <x v="467"/>
    <x v="0"/>
    <n v="177"/>
    <n v="167"/>
    <n v="134"/>
    <n v="200"/>
    <m/>
  </r>
  <r>
    <n v="2018"/>
    <n v="52"/>
    <x v="468"/>
    <x v="0"/>
    <n v="154"/>
    <n v="168"/>
    <n v="135"/>
    <n v="201"/>
    <m/>
  </r>
  <r>
    <n v="2018"/>
    <n v="1"/>
    <x v="417"/>
    <x v="1"/>
    <n v="1355"/>
    <n v="1251"/>
    <n v="1160"/>
    <n v="1342"/>
    <n v="1355"/>
  </r>
  <r>
    <n v="2018"/>
    <n v="2"/>
    <x v="418"/>
    <x v="1"/>
    <n v="1352"/>
    <n v="1251"/>
    <n v="1160"/>
    <n v="1342"/>
    <n v="1352"/>
  </r>
  <r>
    <n v="2018"/>
    <n v="3"/>
    <x v="419"/>
    <x v="1"/>
    <n v="1300"/>
    <n v="1250"/>
    <n v="1159"/>
    <n v="1341"/>
    <m/>
  </r>
  <r>
    <n v="2018"/>
    <n v="4"/>
    <x v="420"/>
    <x v="1"/>
    <n v="1189"/>
    <n v="1250"/>
    <n v="1159"/>
    <n v="1341"/>
    <m/>
  </r>
  <r>
    <n v="2018"/>
    <n v="5"/>
    <x v="421"/>
    <x v="1"/>
    <n v="1231"/>
    <n v="1248"/>
    <n v="1157"/>
    <n v="1339"/>
    <m/>
  </r>
  <r>
    <n v="2018"/>
    <n v="6"/>
    <x v="422"/>
    <x v="1"/>
    <n v="1241"/>
    <n v="1247"/>
    <n v="1156"/>
    <n v="1338"/>
    <m/>
  </r>
  <r>
    <n v="2018"/>
    <n v="7"/>
    <x v="423"/>
    <x v="1"/>
    <n v="1254"/>
    <n v="1245"/>
    <n v="1154"/>
    <n v="1336"/>
    <m/>
  </r>
  <r>
    <n v="2018"/>
    <n v="8"/>
    <x v="424"/>
    <x v="1"/>
    <n v="1275"/>
    <n v="1235"/>
    <n v="1144"/>
    <n v="1325"/>
    <m/>
  </r>
  <r>
    <n v="2018"/>
    <n v="9"/>
    <x v="425"/>
    <x v="1"/>
    <n v="1412"/>
    <n v="1225"/>
    <n v="1135"/>
    <n v="1315"/>
    <n v="1412"/>
  </r>
  <r>
    <n v="2018"/>
    <n v="10"/>
    <x v="426"/>
    <x v="1"/>
    <n v="1322"/>
    <n v="1209"/>
    <n v="1119"/>
    <n v="1298"/>
    <n v="1322"/>
  </r>
  <r>
    <n v="2018"/>
    <n v="11"/>
    <x v="427"/>
    <x v="1"/>
    <n v="1302"/>
    <n v="1192"/>
    <n v="1103"/>
    <n v="1281"/>
    <n v="1302"/>
  </r>
  <r>
    <n v="2018"/>
    <n v="12"/>
    <x v="428"/>
    <x v="1"/>
    <n v="1211"/>
    <n v="1172"/>
    <n v="1083"/>
    <n v="1260"/>
    <m/>
  </r>
  <r>
    <n v="2018"/>
    <n v="13"/>
    <x v="429"/>
    <x v="1"/>
    <n v="1168"/>
    <n v="1151"/>
    <n v="1064"/>
    <n v="1238"/>
    <m/>
  </r>
  <r>
    <n v="2018"/>
    <n v="14"/>
    <x v="430"/>
    <x v="1"/>
    <n v="1163"/>
    <n v="1131"/>
    <n v="1045"/>
    <n v="1218"/>
    <m/>
  </r>
  <r>
    <n v="2018"/>
    <n v="15"/>
    <x v="431"/>
    <x v="1"/>
    <n v="1118"/>
    <n v="1114"/>
    <n v="1028"/>
    <n v="1200"/>
    <m/>
  </r>
  <r>
    <n v="2018"/>
    <n v="16"/>
    <x v="432"/>
    <x v="1"/>
    <n v="1033"/>
    <n v="1096"/>
    <n v="1011"/>
    <n v="1181"/>
    <m/>
  </r>
  <r>
    <n v="2018"/>
    <n v="17"/>
    <x v="433"/>
    <x v="1"/>
    <n v="967"/>
    <n v="1079"/>
    <n v="995"/>
    <n v="1164"/>
    <m/>
  </r>
  <r>
    <n v="2018"/>
    <n v="18"/>
    <x v="434"/>
    <x v="1"/>
    <n v="1064"/>
    <n v="1063"/>
    <n v="979"/>
    <n v="1147"/>
    <m/>
  </r>
  <r>
    <n v="2018"/>
    <n v="19"/>
    <x v="435"/>
    <x v="1"/>
    <n v="1022"/>
    <n v="1048"/>
    <n v="965"/>
    <n v="1132"/>
    <m/>
  </r>
  <r>
    <n v="2018"/>
    <n v="20"/>
    <x v="436"/>
    <x v="1"/>
    <n v="932"/>
    <n v="1034"/>
    <n v="951"/>
    <n v="1117"/>
    <m/>
  </r>
  <r>
    <n v="2018"/>
    <n v="21"/>
    <x v="437"/>
    <x v="1"/>
    <n v="1044"/>
    <n v="1024"/>
    <n v="942"/>
    <n v="1106"/>
    <m/>
  </r>
  <r>
    <n v="2018"/>
    <n v="22"/>
    <x v="438"/>
    <x v="1"/>
    <n v="989"/>
    <n v="1018"/>
    <n v="936"/>
    <n v="1100"/>
    <m/>
  </r>
  <r>
    <n v="2018"/>
    <n v="23"/>
    <x v="439"/>
    <x v="1"/>
    <n v="984"/>
    <n v="1012"/>
    <n v="930"/>
    <n v="1094"/>
    <m/>
  </r>
  <r>
    <n v="2018"/>
    <n v="24"/>
    <x v="440"/>
    <x v="1"/>
    <n v="962"/>
    <n v="1008"/>
    <n v="926"/>
    <n v="1090"/>
    <m/>
  </r>
  <r>
    <n v="2018"/>
    <n v="25"/>
    <x v="441"/>
    <x v="1"/>
    <n v="938"/>
    <n v="1008"/>
    <n v="927"/>
    <n v="1090"/>
    <m/>
  </r>
  <r>
    <n v="2018"/>
    <n v="26"/>
    <x v="442"/>
    <x v="1"/>
    <n v="1018"/>
    <n v="1009"/>
    <n v="927"/>
    <n v="1090"/>
    <m/>
  </r>
  <r>
    <n v="2018"/>
    <n v="27"/>
    <x v="443"/>
    <x v="1"/>
    <n v="973"/>
    <n v="1011"/>
    <n v="929"/>
    <n v="1093"/>
    <m/>
  </r>
  <r>
    <n v="2018"/>
    <n v="28"/>
    <x v="444"/>
    <x v="1"/>
    <n v="918"/>
    <n v="1012"/>
    <n v="930"/>
    <n v="1094"/>
    <m/>
  </r>
  <r>
    <n v="2018"/>
    <n v="29"/>
    <x v="445"/>
    <x v="1"/>
    <n v="1045"/>
    <n v="1013"/>
    <n v="931"/>
    <n v="1095"/>
    <m/>
  </r>
  <r>
    <n v="2018"/>
    <n v="30"/>
    <x v="446"/>
    <x v="1"/>
    <n v="1029"/>
    <n v="1014"/>
    <n v="932"/>
    <n v="1096"/>
    <m/>
  </r>
  <r>
    <n v="2018"/>
    <n v="31"/>
    <x v="447"/>
    <x v="1"/>
    <n v="1056"/>
    <n v="1016"/>
    <n v="934"/>
    <n v="1098"/>
    <m/>
  </r>
  <r>
    <n v="2018"/>
    <n v="32"/>
    <x v="448"/>
    <x v="1"/>
    <n v="1053"/>
    <n v="1018"/>
    <n v="936"/>
    <n v="1100"/>
    <m/>
  </r>
  <r>
    <n v="2018"/>
    <n v="33"/>
    <x v="449"/>
    <x v="1"/>
    <n v="1006"/>
    <n v="1020"/>
    <n v="938"/>
    <n v="1102"/>
    <m/>
  </r>
  <r>
    <n v="2018"/>
    <n v="34"/>
    <x v="450"/>
    <x v="1"/>
    <n v="985"/>
    <n v="1022"/>
    <n v="939"/>
    <n v="1104"/>
    <m/>
  </r>
  <r>
    <n v="2018"/>
    <n v="35"/>
    <x v="451"/>
    <x v="1"/>
    <n v="1024"/>
    <n v="1028"/>
    <n v="945"/>
    <n v="1110"/>
    <m/>
  </r>
  <r>
    <n v="2018"/>
    <n v="36"/>
    <x v="452"/>
    <x v="1"/>
    <n v="986"/>
    <n v="1034"/>
    <n v="951"/>
    <n v="1117"/>
    <m/>
  </r>
  <r>
    <n v="2018"/>
    <n v="37"/>
    <x v="453"/>
    <x v="1"/>
    <n v="1052"/>
    <n v="1043"/>
    <n v="960"/>
    <n v="1126"/>
    <m/>
  </r>
  <r>
    <n v="2018"/>
    <n v="38"/>
    <x v="454"/>
    <x v="1"/>
    <n v="989"/>
    <n v="1052"/>
    <n v="969"/>
    <n v="1136"/>
    <m/>
  </r>
  <r>
    <n v="2018"/>
    <n v="39"/>
    <x v="455"/>
    <x v="1"/>
    <n v="1021"/>
    <n v="1061"/>
    <n v="977"/>
    <n v="1145"/>
    <m/>
  </r>
  <r>
    <n v="2018"/>
    <n v="40"/>
    <x v="456"/>
    <x v="1"/>
    <n v="1042"/>
    <n v="1072"/>
    <n v="988"/>
    <n v="1156"/>
    <m/>
  </r>
  <r>
    <n v="2018"/>
    <n v="41"/>
    <x v="457"/>
    <x v="1"/>
    <n v="1046"/>
    <n v="1081"/>
    <n v="996"/>
    <n v="1165"/>
    <m/>
  </r>
  <r>
    <n v="2018"/>
    <n v="42"/>
    <x v="458"/>
    <x v="1"/>
    <n v="1050"/>
    <n v="1089"/>
    <n v="1004"/>
    <n v="1174"/>
    <m/>
  </r>
  <r>
    <n v="2018"/>
    <n v="43"/>
    <x v="459"/>
    <x v="1"/>
    <n v="1083"/>
    <n v="1096"/>
    <n v="1011"/>
    <n v="1181"/>
    <m/>
  </r>
  <r>
    <n v="2018"/>
    <n v="44"/>
    <x v="460"/>
    <x v="1"/>
    <n v="1106"/>
    <n v="1103"/>
    <n v="1017"/>
    <n v="1188"/>
    <m/>
  </r>
  <r>
    <n v="2018"/>
    <n v="45"/>
    <x v="461"/>
    <x v="1"/>
    <n v="1084"/>
    <n v="1113"/>
    <n v="1027"/>
    <n v="1198"/>
    <m/>
  </r>
  <r>
    <n v="2018"/>
    <n v="46"/>
    <x v="462"/>
    <x v="1"/>
    <n v="1037"/>
    <n v="1122"/>
    <n v="1036"/>
    <n v="1209"/>
    <m/>
  </r>
  <r>
    <n v="2018"/>
    <n v="47"/>
    <x v="463"/>
    <x v="1"/>
    <n v="1103"/>
    <n v="1133"/>
    <n v="1047"/>
    <n v="1220"/>
    <m/>
  </r>
  <r>
    <n v="2018"/>
    <n v="48"/>
    <x v="464"/>
    <x v="1"/>
    <n v="1125"/>
    <n v="1146"/>
    <n v="1059"/>
    <n v="1233"/>
    <m/>
  </r>
  <r>
    <n v="2018"/>
    <n v="49"/>
    <x v="465"/>
    <x v="1"/>
    <n v="1172"/>
    <n v="1159"/>
    <n v="1071"/>
    <n v="1246"/>
    <m/>
  </r>
  <r>
    <n v="2018"/>
    <n v="50"/>
    <x v="466"/>
    <x v="1"/>
    <n v="1166"/>
    <n v="1172"/>
    <n v="1083"/>
    <n v="1260"/>
    <m/>
  </r>
  <r>
    <n v="2018"/>
    <n v="51"/>
    <x v="467"/>
    <x v="1"/>
    <n v="1122"/>
    <n v="1185"/>
    <n v="1096"/>
    <n v="1273"/>
    <m/>
  </r>
  <r>
    <n v="2018"/>
    <n v="52"/>
    <x v="468"/>
    <x v="1"/>
    <n v="1152"/>
    <n v="1198"/>
    <n v="1108"/>
    <n v="1287"/>
    <m/>
  </r>
  <r>
    <n v="2019"/>
    <n v="1"/>
    <x v="469"/>
    <x v="0"/>
    <n v="156"/>
    <n v="174"/>
    <n v="140"/>
    <n v="208"/>
    <m/>
  </r>
  <r>
    <n v="2019"/>
    <n v="2"/>
    <x v="470"/>
    <x v="0"/>
    <n v="171"/>
    <n v="174"/>
    <n v="140"/>
    <n v="208"/>
    <m/>
  </r>
  <r>
    <n v="2019"/>
    <n v="3"/>
    <x v="471"/>
    <x v="0"/>
    <n v="177"/>
    <n v="175"/>
    <n v="141"/>
    <n v="209"/>
    <m/>
  </r>
  <r>
    <n v="2019"/>
    <n v="4"/>
    <x v="472"/>
    <x v="0"/>
    <n v="172"/>
    <n v="176"/>
    <n v="142"/>
    <n v="210"/>
    <m/>
  </r>
  <r>
    <n v="2019"/>
    <n v="5"/>
    <x v="473"/>
    <x v="0"/>
    <n v="170"/>
    <n v="176"/>
    <n v="142"/>
    <n v="210"/>
    <m/>
  </r>
  <r>
    <n v="2019"/>
    <n v="6"/>
    <x v="474"/>
    <x v="0"/>
    <n v="162"/>
    <n v="177"/>
    <n v="142"/>
    <n v="211"/>
    <m/>
  </r>
  <r>
    <n v="2019"/>
    <n v="7"/>
    <x v="475"/>
    <x v="0"/>
    <n v="175"/>
    <n v="177"/>
    <n v="143"/>
    <n v="211"/>
    <m/>
  </r>
  <r>
    <n v="2019"/>
    <n v="8"/>
    <x v="476"/>
    <x v="0"/>
    <n v="159"/>
    <n v="176"/>
    <n v="142"/>
    <n v="210"/>
    <m/>
  </r>
  <r>
    <n v="2019"/>
    <n v="9"/>
    <x v="477"/>
    <x v="0"/>
    <n v="184"/>
    <n v="174"/>
    <n v="140"/>
    <n v="208"/>
    <m/>
  </r>
  <r>
    <n v="2019"/>
    <n v="10"/>
    <x v="478"/>
    <x v="0"/>
    <n v="178"/>
    <n v="172"/>
    <n v="138"/>
    <n v="206"/>
    <m/>
  </r>
  <r>
    <n v="2019"/>
    <n v="11"/>
    <x v="479"/>
    <x v="0"/>
    <n v="147"/>
    <n v="170"/>
    <n v="136"/>
    <n v="204"/>
    <m/>
  </r>
  <r>
    <n v="2019"/>
    <n v="12"/>
    <x v="480"/>
    <x v="0"/>
    <n v="180"/>
    <n v="167"/>
    <n v="134"/>
    <n v="201"/>
    <m/>
  </r>
  <r>
    <n v="2019"/>
    <n v="13"/>
    <x v="481"/>
    <x v="0"/>
    <n v="182"/>
    <n v="165"/>
    <n v="132"/>
    <n v="198"/>
    <m/>
  </r>
  <r>
    <n v="2019"/>
    <n v="14"/>
    <x v="482"/>
    <x v="0"/>
    <n v="175"/>
    <n v="162"/>
    <n v="129"/>
    <n v="195"/>
    <m/>
  </r>
  <r>
    <n v="2019"/>
    <n v="15"/>
    <x v="483"/>
    <x v="0"/>
    <n v="143"/>
    <n v="161"/>
    <n v="128"/>
    <n v="194"/>
    <m/>
  </r>
  <r>
    <n v="2019"/>
    <n v="16"/>
    <x v="484"/>
    <x v="0"/>
    <n v="172"/>
    <n v="159"/>
    <n v="127"/>
    <n v="192"/>
    <m/>
  </r>
  <r>
    <n v="2019"/>
    <n v="17"/>
    <x v="485"/>
    <x v="0"/>
    <n v="151"/>
    <n v="159"/>
    <n v="126"/>
    <n v="191"/>
    <m/>
  </r>
  <r>
    <n v="2019"/>
    <n v="18"/>
    <x v="486"/>
    <x v="0"/>
    <n v="146"/>
    <n v="158"/>
    <n v="126"/>
    <n v="191"/>
    <m/>
  </r>
  <r>
    <n v="2019"/>
    <n v="19"/>
    <x v="487"/>
    <x v="0"/>
    <n v="197"/>
    <n v="158"/>
    <n v="126"/>
    <n v="191"/>
    <n v="197"/>
  </r>
  <r>
    <n v="2019"/>
    <n v="20"/>
    <x v="488"/>
    <x v="0"/>
    <n v="164"/>
    <n v="158"/>
    <n v="126"/>
    <n v="191"/>
    <m/>
  </r>
  <r>
    <n v="2019"/>
    <n v="21"/>
    <x v="489"/>
    <x v="0"/>
    <n v="180"/>
    <n v="159"/>
    <n v="126"/>
    <n v="191"/>
    <m/>
  </r>
  <r>
    <n v="2019"/>
    <n v="22"/>
    <x v="490"/>
    <x v="0"/>
    <n v="158"/>
    <n v="159"/>
    <n v="127"/>
    <n v="192"/>
    <m/>
  </r>
  <r>
    <n v="2019"/>
    <n v="23"/>
    <x v="491"/>
    <x v="0"/>
    <n v="154"/>
    <n v="160"/>
    <n v="127"/>
    <n v="192"/>
    <m/>
  </r>
  <r>
    <n v="2019"/>
    <n v="24"/>
    <x v="492"/>
    <x v="0"/>
    <n v="177"/>
    <n v="160"/>
    <n v="127"/>
    <n v="192"/>
    <m/>
  </r>
  <r>
    <n v="2019"/>
    <n v="25"/>
    <x v="493"/>
    <x v="0"/>
    <n v="179"/>
    <n v="159"/>
    <n v="127"/>
    <n v="192"/>
    <m/>
  </r>
  <r>
    <n v="2019"/>
    <n v="26"/>
    <x v="494"/>
    <x v="0"/>
    <n v="161"/>
    <n v="159"/>
    <n v="127"/>
    <n v="191"/>
    <m/>
  </r>
  <r>
    <n v="2019"/>
    <n v="27"/>
    <x v="495"/>
    <x v="0"/>
    <n v="177"/>
    <n v="159"/>
    <n v="126"/>
    <n v="191"/>
    <m/>
  </r>
  <r>
    <n v="2019"/>
    <n v="28"/>
    <x v="496"/>
    <x v="0"/>
    <n v="166"/>
    <n v="159"/>
    <n v="126"/>
    <n v="191"/>
    <m/>
  </r>
  <r>
    <n v="2019"/>
    <n v="29"/>
    <x v="497"/>
    <x v="0"/>
    <n v="163"/>
    <n v="159"/>
    <n v="126"/>
    <n v="191"/>
    <m/>
  </r>
  <r>
    <n v="2019"/>
    <n v="30"/>
    <x v="498"/>
    <x v="0"/>
    <n v="138"/>
    <n v="158"/>
    <n v="126"/>
    <n v="191"/>
    <m/>
  </r>
  <r>
    <n v="2019"/>
    <n v="31"/>
    <x v="499"/>
    <x v="0"/>
    <n v="147"/>
    <n v="158"/>
    <n v="126"/>
    <n v="190"/>
    <m/>
  </r>
  <r>
    <n v="2019"/>
    <n v="32"/>
    <x v="500"/>
    <x v="0"/>
    <n v="154"/>
    <n v="158"/>
    <n v="126"/>
    <n v="191"/>
    <m/>
  </r>
  <r>
    <n v="2019"/>
    <n v="33"/>
    <x v="501"/>
    <x v="0"/>
    <n v="148"/>
    <n v="158"/>
    <n v="126"/>
    <n v="191"/>
    <m/>
  </r>
  <r>
    <n v="2019"/>
    <n v="34"/>
    <x v="502"/>
    <x v="0"/>
    <n v="167"/>
    <n v="159"/>
    <n v="126"/>
    <n v="191"/>
    <m/>
  </r>
  <r>
    <n v="2019"/>
    <n v="35"/>
    <x v="503"/>
    <x v="0"/>
    <n v="137"/>
    <n v="160"/>
    <n v="127"/>
    <n v="192"/>
    <m/>
  </r>
  <r>
    <n v="2019"/>
    <n v="36"/>
    <x v="504"/>
    <x v="0"/>
    <n v="141"/>
    <n v="160"/>
    <n v="128"/>
    <n v="193"/>
    <m/>
  </r>
  <r>
    <n v="2019"/>
    <n v="37"/>
    <x v="505"/>
    <x v="0"/>
    <n v="164"/>
    <n v="161"/>
    <n v="128"/>
    <n v="193"/>
    <m/>
  </r>
  <r>
    <n v="2019"/>
    <n v="38"/>
    <x v="506"/>
    <x v="0"/>
    <n v="174"/>
    <n v="161"/>
    <n v="128"/>
    <n v="194"/>
    <m/>
  </r>
  <r>
    <n v="2019"/>
    <n v="39"/>
    <x v="507"/>
    <x v="0"/>
    <n v="163"/>
    <n v="161"/>
    <n v="128"/>
    <n v="194"/>
    <m/>
  </r>
  <r>
    <n v="2019"/>
    <n v="40"/>
    <x v="508"/>
    <x v="0"/>
    <n v="166"/>
    <n v="161"/>
    <n v="129"/>
    <n v="194"/>
    <m/>
  </r>
  <r>
    <n v="2019"/>
    <n v="41"/>
    <x v="509"/>
    <x v="0"/>
    <n v="176"/>
    <n v="162"/>
    <n v="129"/>
    <n v="194"/>
    <m/>
  </r>
  <r>
    <n v="2019"/>
    <n v="42"/>
    <x v="510"/>
    <x v="0"/>
    <n v="174"/>
    <n v="162"/>
    <n v="129"/>
    <n v="195"/>
    <m/>
  </r>
  <r>
    <n v="2019"/>
    <n v="43"/>
    <x v="511"/>
    <x v="0"/>
    <n v="160"/>
    <n v="162"/>
    <n v="130"/>
    <n v="195"/>
    <m/>
  </r>
  <r>
    <n v="2019"/>
    <n v="44"/>
    <x v="512"/>
    <x v="0"/>
    <n v="152"/>
    <n v="163"/>
    <n v="130"/>
    <n v="195"/>
    <m/>
  </r>
  <r>
    <n v="2019"/>
    <n v="45"/>
    <x v="513"/>
    <x v="0"/>
    <n v="130"/>
    <n v="163"/>
    <n v="130"/>
    <n v="196"/>
    <m/>
  </r>
  <r>
    <n v="2019"/>
    <n v="46"/>
    <x v="514"/>
    <x v="0"/>
    <n v="155"/>
    <n v="164"/>
    <n v="131"/>
    <n v="197"/>
    <m/>
  </r>
  <r>
    <n v="2019"/>
    <n v="47"/>
    <x v="515"/>
    <x v="0"/>
    <n v="156"/>
    <n v="165"/>
    <n v="132"/>
    <n v="198"/>
    <m/>
  </r>
  <r>
    <n v="2019"/>
    <n v="48"/>
    <x v="516"/>
    <x v="0"/>
    <n v="171"/>
    <n v="165"/>
    <n v="132"/>
    <n v="199"/>
    <m/>
  </r>
  <r>
    <n v="2019"/>
    <n v="49"/>
    <x v="517"/>
    <x v="0"/>
    <n v="138"/>
    <n v="166"/>
    <n v="133"/>
    <n v="199"/>
    <m/>
  </r>
  <r>
    <n v="2019"/>
    <n v="50"/>
    <x v="518"/>
    <x v="0"/>
    <n v="163"/>
    <n v="167"/>
    <n v="133"/>
    <n v="200"/>
    <m/>
  </r>
  <r>
    <n v="2019"/>
    <n v="51"/>
    <x v="519"/>
    <x v="0"/>
    <n v="175"/>
    <n v="167"/>
    <n v="134"/>
    <n v="201"/>
    <m/>
  </r>
  <r>
    <n v="2019"/>
    <n v="52"/>
    <x v="520"/>
    <x v="0"/>
    <n v="147"/>
    <n v="168"/>
    <n v="135"/>
    <n v="201"/>
    <m/>
  </r>
  <r>
    <n v="2019"/>
    <n v="1"/>
    <x v="469"/>
    <x v="1"/>
    <n v="1174"/>
    <n v="1247"/>
    <n v="1156"/>
    <n v="1338"/>
    <m/>
  </r>
  <r>
    <n v="2019"/>
    <n v="2"/>
    <x v="470"/>
    <x v="1"/>
    <n v="1199"/>
    <n v="1253"/>
    <n v="1162"/>
    <n v="1344"/>
    <m/>
  </r>
  <r>
    <n v="2019"/>
    <n v="3"/>
    <x v="471"/>
    <x v="1"/>
    <n v="1170"/>
    <n v="1258"/>
    <n v="1167"/>
    <n v="1349"/>
    <m/>
  </r>
  <r>
    <n v="2019"/>
    <n v="4"/>
    <x v="472"/>
    <x v="1"/>
    <n v="1219"/>
    <n v="1263"/>
    <n v="1172"/>
    <n v="1355"/>
    <m/>
  </r>
  <r>
    <n v="2019"/>
    <n v="5"/>
    <x v="473"/>
    <x v="1"/>
    <n v="1255"/>
    <n v="1267"/>
    <n v="1176"/>
    <n v="1359"/>
    <m/>
  </r>
  <r>
    <n v="2019"/>
    <n v="6"/>
    <x v="474"/>
    <x v="1"/>
    <n v="1308"/>
    <n v="1272"/>
    <n v="1180"/>
    <n v="1363"/>
    <m/>
  </r>
  <r>
    <n v="2019"/>
    <n v="7"/>
    <x v="475"/>
    <x v="1"/>
    <n v="1373"/>
    <n v="1268"/>
    <n v="1177"/>
    <n v="1360"/>
    <n v="1373"/>
  </r>
  <r>
    <n v="2019"/>
    <n v="8"/>
    <x v="476"/>
    <x v="1"/>
    <n v="1354"/>
    <n v="1255"/>
    <n v="1163"/>
    <n v="1346"/>
    <n v="1354"/>
  </r>
  <r>
    <n v="2019"/>
    <n v="9"/>
    <x v="477"/>
    <x v="1"/>
    <n v="1334"/>
    <n v="1241"/>
    <n v="1150"/>
    <n v="1332"/>
    <n v="1334"/>
  </r>
  <r>
    <n v="2019"/>
    <n v="10"/>
    <x v="478"/>
    <x v="1"/>
    <n v="1269"/>
    <n v="1219"/>
    <n v="1129"/>
    <n v="1309"/>
    <m/>
  </r>
  <r>
    <n v="2019"/>
    <n v="11"/>
    <x v="479"/>
    <x v="1"/>
    <n v="1223"/>
    <n v="1196"/>
    <n v="1107"/>
    <n v="1285"/>
    <m/>
  </r>
  <r>
    <n v="2019"/>
    <n v="12"/>
    <x v="480"/>
    <x v="1"/>
    <n v="1159"/>
    <n v="1173"/>
    <n v="1085"/>
    <n v="1262"/>
    <m/>
  </r>
  <r>
    <n v="2019"/>
    <n v="13"/>
    <x v="481"/>
    <x v="1"/>
    <n v="1124"/>
    <n v="1150"/>
    <n v="1063"/>
    <n v="1238"/>
    <m/>
  </r>
  <r>
    <n v="2019"/>
    <n v="14"/>
    <x v="482"/>
    <x v="1"/>
    <n v="1199"/>
    <n v="1130"/>
    <n v="1043"/>
    <n v="1216"/>
    <m/>
  </r>
  <r>
    <n v="2019"/>
    <n v="15"/>
    <x v="483"/>
    <x v="1"/>
    <n v="1070"/>
    <n v="1111"/>
    <n v="1026"/>
    <n v="1197"/>
    <m/>
  </r>
  <r>
    <n v="2019"/>
    <n v="16"/>
    <x v="484"/>
    <x v="1"/>
    <n v="1121"/>
    <n v="1093"/>
    <n v="1008"/>
    <n v="1179"/>
    <m/>
  </r>
  <r>
    <n v="2019"/>
    <n v="17"/>
    <x v="485"/>
    <x v="1"/>
    <n v="1076"/>
    <n v="1076"/>
    <n v="991"/>
    <n v="1160"/>
    <m/>
  </r>
  <r>
    <n v="2019"/>
    <n v="18"/>
    <x v="486"/>
    <x v="1"/>
    <n v="1103"/>
    <n v="1058"/>
    <n v="974"/>
    <n v="1142"/>
    <m/>
  </r>
  <r>
    <n v="2019"/>
    <n v="19"/>
    <x v="487"/>
    <x v="1"/>
    <n v="1060"/>
    <n v="1044"/>
    <n v="961"/>
    <n v="1128"/>
    <m/>
  </r>
  <r>
    <n v="2019"/>
    <n v="20"/>
    <x v="488"/>
    <x v="1"/>
    <n v="1038"/>
    <n v="1030"/>
    <n v="948"/>
    <n v="1113"/>
    <m/>
  </r>
  <r>
    <n v="2019"/>
    <n v="21"/>
    <x v="489"/>
    <x v="1"/>
    <n v="1080"/>
    <n v="1021"/>
    <n v="938"/>
    <n v="1103"/>
    <m/>
  </r>
  <r>
    <n v="2019"/>
    <n v="22"/>
    <x v="490"/>
    <x v="1"/>
    <n v="1073"/>
    <n v="1015"/>
    <n v="933"/>
    <n v="1097"/>
    <m/>
  </r>
  <r>
    <n v="2019"/>
    <n v="23"/>
    <x v="491"/>
    <x v="1"/>
    <n v="1077"/>
    <n v="1009"/>
    <n v="927"/>
    <n v="1091"/>
    <m/>
  </r>
  <r>
    <n v="2019"/>
    <n v="24"/>
    <x v="492"/>
    <x v="1"/>
    <n v="984"/>
    <n v="1007"/>
    <n v="925"/>
    <n v="1089"/>
    <m/>
  </r>
  <r>
    <n v="2019"/>
    <n v="25"/>
    <x v="493"/>
    <x v="1"/>
    <n v="1020"/>
    <n v="1009"/>
    <n v="927"/>
    <n v="1091"/>
    <m/>
  </r>
  <r>
    <n v="2019"/>
    <n v="26"/>
    <x v="494"/>
    <x v="1"/>
    <n v="1069"/>
    <n v="1010"/>
    <n v="929"/>
    <n v="1092"/>
    <m/>
  </r>
  <r>
    <n v="2019"/>
    <n v="27"/>
    <x v="495"/>
    <x v="1"/>
    <n v="1071"/>
    <n v="1016"/>
    <n v="934"/>
    <n v="1098"/>
    <m/>
  </r>
  <r>
    <n v="2019"/>
    <n v="28"/>
    <x v="496"/>
    <x v="1"/>
    <n v="1052"/>
    <n v="1017"/>
    <n v="935"/>
    <n v="1099"/>
    <m/>
  </r>
  <r>
    <n v="2019"/>
    <n v="29"/>
    <x v="497"/>
    <x v="1"/>
    <n v="1033"/>
    <n v="1019"/>
    <n v="937"/>
    <n v="1101"/>
    <m/>
  </r>
  <r>
    <n v="2019"/>
    <n v="30"/>
    <x v="498"/>
    <x v="1"/>
    <n v="1101"/>
    <n v="1020"/>
    <n v="938"/>
    <n v="1102"/>
    <m/>
  </r>
  <r>
    <n v="2019"/>
    <n v="31"/>
    <x v="499"/>
    <x v="1"/>
    <n v="972"/>
    <n v="1021"/>
    <n v="939"/>
    <n v="1103"/>
    <m/>
  </r>
  <r>
    <n v="2019"/>
    <n v="32"/>
    <x v="500"/>
    <x v="1"/>
    <n v="971"/>
    <n v="1021"/>
    <n v="939"/>
    <n v="1104"/>
    <m/>
  </r>
  <r>
    <n v="2019"/>
    <n v="33"/>
    <x v="501"/>
    <x v="1"/>
    <n v="988"/>
    <n v="1022"/>
    <n v="939"/>
    <n v="1104"/>
    <m/>
  </r>
  <r>
    <n v="2019"/>
    <n v="34"/>
    <x v="502"/>
    <x v="1"/>
    <n v="1069"/>
    <n v="1023"/>
    <n v="940"/>
    <n v="1105"/>
    <m/>
  </r>
  <r>
    <n v="2019"/>
    <n v="35"/>
    <x v="503"/>
    <x v="1"/>
    <n v="1001"/>
    <n v="1030"/>
    <n v="947"/>
    <n v="1113"/>
    <m/>
  </r>
  <r>
    <n v="2019"/>
    <n v="36"/>
    <x v="504"/>
    <x v="1"/>
    <n v="1018"/>
    <n v="1037"/>
    <n v="954"/>
    <n v="1120"/>
    <m/>
  </r>
  <r>
    <n v="2019"/>
    <n v="37"/>
    <x v="505"/>
    <x v="1"/>
    <n v="1066"/>
    <n v="1046"/>
    <n v="963"/>
    <n v="1129"/>
    <m/>
  </r>
  <r>
    <n v="2019"/>
    <n v="38"/>
    <x v="506"/>
    <x v="1"/>
    <n v="1100"/>
    <n v="1055"/>
    <n v="972"/>
    <n v="1139"/>
    <m/>
  </r>
  <r>
    <n v="2019"/>
    <n v="39"/>
    <x v="507"/>
    <x v="1"/>
    <n v="1062"/>
    <n v="1065"/>
    <n v="981"/>
    <n v="1149"/>
    <m/>
  </r>
  <r>
    <n v="2019"/>
    <n v="40"/>
    <x v="508"/>
    <x v="1"/>
    <n v="1050"/>
    <n v="1076"/>
    <n v="991"/>
    <n v="1160"/>
    <m/>
  </r>
  <r>
    <n v="2019"/>
    <n v="41"/>
    <x v="509"/>
    <x v="1"/>
    <n v="1088"/>
    <n v="1085"/>
    <n v="1000"/>
    <n v="1170"/>
    <m/>
  </r>
  <r>
    <n v="2019"/>
    <n v="42"/>
    <x v="510"/>
    <x v="1"/>
    <n v="1108"/>
    <n v="1094"/>
    <n v="1009"/>
    <n v="1179"/>
    <m/>
  </r>
  <r>
    <n v="2019"/>
    <n v="43"/>
    <x v="511"/>
    <x v="1"/>
    <n v="1133"/>
    <n v="1099"/>
    <n v="1013"/>
    <n v="1184"/>
    <m/>
  </r>
  <r>
    <n v="2019"/>
    <n v="44"/>
    <x v="512"/>
    <x v="1"/>
    <n v="1060"/>
    <n v="1103"/>
    <n v="1018"/>
    <n v="1189"/>
    <m/>
  </r>
  <r>
    <n v="2019"/>
    <n v="45"/>
    <x v="513"/>
    <x v="1"/>
    <n v="1118"/>
    <n v="1113"/>
    <n v="1027"/>
    <n v="1199"/>
    <m/>
  </r>
  <r>
    <n v="2019"/>
    <n v="46"/>
    <x v="514"/>
    <x v="1"/>
    <n v="1192"/>
    <n v="1123"/>
    <n v="1037"/>
    <n v="1209"/>
    <m/>
  </r>
  <r>
    <n v="2019"/>
    <n v="47"/>
    <x v="515"/>
    <x v="1"/>
    <n v="1168"/>
    <n v="1133"/>
    <n v="1047"/>
    <n v="1220"/>
    <m/>
  </r>
  <r>
    <n v="2019"/>
    <n v="48"/>
    <x v="516"/>
    <x v="1"/>
    <n v="1183"/>
    <n v="1146"/>
    <n v="1058"/>
    <n v="1233"/>
    <m/>
  </r>
  <r>
    <n v="2019"/>
    <n v="49"/>
    <x v="517"/>
    <x v="1"/>
    <n v="1057"/>
    <n v="1158"/>
    <n v="1070"/>
    <n v="1245"/>
    <m/>
  </r>
  <r>
    <n v="2019"/>
    <n v="50"/>
    <x v="518"/>
    <x v="1"/>
    <n v="1189"/>
    <n v="1170"/>
    <n v="1082"/>
    <n v="1258"/>
    <m/>
  </r>
  <r>
    <n v="2019"/>
    <n v="51"/>
    <x v="519"/>
    <x v="1"/>
    <n v="1200"/>
    <n v="1181"/>
    <n v="1093"/>
    <n v="1270"/>
    <m/>
  </r>
  <r>
    <n v="2019"/>
    <n v="52"/>
    <x v="520"/>
    <x v="1"/>
    <n v="1157"/>
    <n v="1193"/>
    <n v="1104"/>
    <n v="1281"/>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3"/>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9">
  <r>
    <x v="0"/>
    <m/>
    <x v="0"/>
    <n v="72"/>
    <n v="0"/>
    <n v="0"/>
    <n v="0"/>
    <n v="0"/>
    <m/>
    <n v="0"/>
    <s v="https://www.ge.ch/document/covid-19-situation-epidemiologique-geneve/telecharger"/>
  </r>
  <r>
    <x v="0"/>
    <m/>
    <x v="1"/>
    <m/>
    <n v="1"/>
    <m/>
    <m/>
    <m/>
    <m/>
    <m/>
    <s v="https://www.srf.ch/news/schweiz/tessiner-patient-erster-coronavirus-fall-in-der-schweiz"/>
  </r>
  <r>
    <x v="1"/>
    <m/>
    <x v="0"/>
    <n v="177"/>
    <n v="1"/>
    <n v="1"/>
    <n v="0"/>
    <n v="0"/>
    <m/>
    <n v="0"/>
    <s v="https://www.ge.ch/document/covid-19-situation-epidemiologique-geneve/telecharger"/>
  </r>
  <r>
    <x v="1"/>
    <m/>
    <x v="1"/>
    <m/>
    <m/>
    <m/>
    <m/>
    <m/>
    <m/>
    <m/>
    <s v=""/>
  </r>
  <r>
    <x v="2"/>
    <m/>
    <x v="2"/>
    <n v="3"/>
    <m/>
    <m/>
    <m/>
    <m/>
    <m/>
    <m/>
    <s v="https://www.regierung.li/media/attachments/83-verdachtsfaelle-negativ-getestet.pdf?t=637202562374055719"/>
  </r>
  <r>
    <x v="2"/>
    <m/>
    <x v="0"/>
    <n v="325"/>
    <n v="1"/>
    <n v="1"/>
    <n v="0"/>
    <n v="0"/>
    <m/>
    <n v="0"/>
    <s v="https://www.ge.ch/document/covid-19-situation-epidemiologique-geneve/telecharger"/>
  </r>
  <r>
    <x v="2"/>
    <m/>
    <x v="3"/>
    <m/>
    <n v="1"/>
    <n v="1"/>
    <n v="0"/>
    <m/>
    <m/>
    <n v="0"/>
    <s v="https://www.jura.ch/Htdocs/Files/v/34292.xlsx/Departements/CHA/SIC/Carrousel/Coronavirus/Cornavirus/Chiffres/donnees_30_04.xlsx?download=1"/>
  </r>
  <r>
    <x v="2"/>
    <m/>
    <x v="1"/>
    <m/>
    <m/>
    <m/>
    <m/>
    <m/>
    <m/>
    <m/>
    <s v=""/>
  </r>
  <r>
    <x v="2"/>
    <n v="0.60416666666666663"/>
    <x v="4"/>
    <m/>
    <n v="2"/>
    <m/>
    <m/>
    <m/>
    <m/>
    <m/>
    <s v="https://gd.zh.ch/internet/gesundheitsdirektion/de/themen/coronavirus.html"/>
  </r>
  <r>
    <x v="2"/>
    <n v="0.80347222222222225"/>
    <x v="5"/>
    <m/>
    <n v="1"/>
    <m/>
    <m/>
    <m/>
    <m/>
    <m/>
    <s v="https://www.coronavirus.bs.ch/nm/2020-coronavirus-erster-positiver-fall-in-basel-stadt-zweiter-positiv-getesteter-ausserkantonaler-fall-gd.html"/>
  </r>
  <r>
    <x v="3"/>
    <m/>
    <x v="6"/>
    <m/>
    <n v="1"/>
    <m/>
    <m/>
    <m/>
    <m/>
    <m/>
    <s v="https://www.be.ch/portal/de/index/mediencenter/medienmitteilungen/suche.archiv.meldungNeu.html/portal/de/meldungen/mm/2020/02/20200229_0936_corona.html"/>
  </r>
  <r>
    <x v="3"/>
    <m/>
    <x v="7"/>
    <m/>
    <n v="1"/>
    <m/>
    <m/>
    <m/>
    <m/>
    <m/>
    <s v="https://www.baselland.ch/politik-und-behorden/direktionen/volkswirtschafts-und-gesundheitsdirektion/medienmitteilungen/neuer-coronavirus-covid-19-erster-bestaetigter-fall-aus-dem-kanton-basel-landschaft"/>
  </r>
  <r>
    <x v="3"/>
    <m/>
    <x v="0"/>
    <n v="532"/>
    <n v="4"/>
    <n v="2"/>
    <n v="0"/>
    <n v="0"/>
    <m/>
    <n v="0"/>
    <s v="https://www.ge.ch/document/covid-19-situation-epidemiologique-geneve/telecharger"/>
  </r>
  <r>
    <x v="3"/>
    <m/>
    <x v="3"/>
    <m/>
    <n v="1"/>
    <n v="1"/>
    <n v="0"/>
    <m/>
    <m/>
    <n v="0"/>
    <s v="https://www.jura.ch/Htdocs/Files/v/34292.xlsx/Departements/CHA/SIC/Carrousel/Coronavirus/Cornavirus/Chiffres/donnees_30_04.xlsx?download=1"/>
  </r>
  <r>
    <x v="3"/>
    <m/>
    <x v="1"/>
    <m/>
    <m/>
    <m/>
    <m/>
    <m/>
    <m/>
    <m/>
    <s v=""/>
  </r>
  <r>
    <x v="3"/>
    <m/>
    <x v="8"/>
    <m/>
    <m/>
    <n v="4"/>
    <m/>
    <m/>
    <m/>
    <m/>
    <s v="https://www.vd.ch/toutes-les-actualites/hotline-et-informations-sur-le-coronavirus/"/>
  </r>
  <r>
    <x v="3"/>
    <m/>
    <x v="9"/>
    <m/>
    <n v="1"/>
    <n v="5"/>
    <n v="0"/>
    <n v="0"/>
    <m/>
    <n v="0"/>
    <s v="https://www.vs.ch/documents/6756452/7008787/2020%2004%2029%20Sit%20Epid%20-%20%C3%89tat%20Stand"/>
  </r>
  <r>
    <x v="3"/>
    <n v="0.42708333333333331"/>
    <x v="5"/>
    <m/>
    <n v="1"/>
    <m/>
    <m/>
    <m/>
    <m/>
    <m/>
    <s v="https://twitter.com/BR_Sprecher/status/1233316679863631873?s=20"/>
  </r>
  <r>
    <x v="3"/>
    <n v="0.60416666666666663"/>
    <x v="4"/>
    <m/>
    <n v="2"/>
    <m/>
    <m/>
    <m/>
    <m/>
    <m/>
    <s v="https://gd.zh.ch/internet/gesundheitsdirektion/de/themen/coronavirus.html"/>
  </r>
  <r>
    <x v="3"/>
    <n v="0.625"/>
    <x v="10"/>
    <m/>
    <n v="1"/>
    <m/>
    <m/>
    <m/>
    <m/>
    <m/>
    <s v="https://www.ag.ch/media/kanton_aargau/themen_1/coronavirus_1/20200228_KFS_20200106_Coronavirus_Lagebulletin_AG_Unterschrieben.pdf"/>
  </r>
  <r>
    <x v="4"/>
    <m/>
    <x v="7"/>
    <m/>
    <n v="2"/>
    <n v="1"/>
    <m/>
    <m/>
    <m/>
    <m/>
    <s v="https://www.baselland.ch/politik-und-behorden/direktionen/volkswirtschafts-und-gesundheitsdirektion/medienmitteilungen/weiterer-bestaetigter-fall-aus-dem-kanton-basel-landschaft"/>
  </r>
  <r>
    <x v="4"/>
    <m/>
    <x v="0"/>
    <n v="672"/>
    <n v="6"/>
    <n v="3"/>
    <n v="0"/>
    <n v="0"/>
    <m/>
    <n v="0"/>
    <s v="https://www.ge.ch/document/covid-19-situation-epidemiologique-geneve/telecharger"/>
  </r>
  <r>
    <x v="4"/>
    <m/>
    <x v="3"/>
    <m/>
    <n v="1"/>
    <n v="1"/>
    <n v="0"/>
    <m/>
    <m/>
    <n v="0"/>
    <s v="https://www.jura.ch/Htdocs/Files/v/34292.xlsx/Departements/CHA/SIC/Carrousel/Coronavirus/Cornavirus/Chiffres/donnees_30_04.xlsx?download=1"/>
  </r>
  <r>
    <x v="4"/>
    <m/>
    <x v="1"/>
    <m/>
    <m/>
    <m/>
    <m/>
    <m/>
    <m/>
    <m/>
    <s v=""/>
  </r>
  <r>
    <x v="4"/>
    <m/>
    <x v="8"/>
    <m/>
    <m/>
    <n v="4"/>
    <m/>
    <m/>
    <m/>
    <m/>
    <s v="https://www.vd.ch/toutes-les-actualites/hotline-et-informations-sur-le-coronavirus/"/>
  </r>
  <r>
    <x v="4"/>
    <m/>
    <x v="9"/>
    <m/>
    <n v="1"/>
    <n v="5"/>
    <n v="0"/>
    <n v="0"/>
    <m/>
    <n v="0"/>
    <s v="https://www.vs.ch/documents/6756452/7008787/2020%2004%2029%20Sit%20Epid%20-%20%C3%89tat%20Stand"/>
  </r>
  <r>
    <x v="4"/>
    <n v="0.33333333333333331"/>
    <x v="11"/>
    <m/>
    <n v="0"/>
    <n v="0"/>
    <n v="0"/>
    <m/>
    <m/>
    <n v="0"/>
    <s v="https://www.zg.ch/behoerden/gesundheitsdirektion/statistikfachstelle/themen/gesundheit/corona"/>
  </r>
  <r>
    <x v="4"/>
    <n v="0.60416666666666663"/>
    <x v="4"/>
    <m/>
    <n v="6"/>
    <m/>
    <m/>
    <m/>
    <m/>
    <m/>
    <s v="https://gd.zh.ch/internet/gesundheitsdirektion/de/themen/coronavirus.html"/>
  </r>
  <r>
    <x v="4"/>
    <n v="0.64097222222222228"/>
    <x v="5"/>
    <m/>
    <n v="1"/>
    <m/>
    <m/>
    <m/>
    <m/>
    <m/>
    <s v="https://twitter.com/BAG_OFSP_UFSP/status/1233759578241863681?s=20"/>
  </r>
  <r>
    <x v="5"/>
    <m/>
    <x v="6"/>
    <m/>
    <n v="2"/>
    <m/>
    <m/>
    <m/>
    <m/>
    <m/>
    <s v="https://www.be.ch/portal/de/index/mediencenter/medienmitteilungen/suche.meldungNeu.html/portal/de/meldungen/mm/2020/03/20200302_1522_zweiter_bestaetigtercorona-fallinbiel"/>
  </r>
  <r>
    <x v="5"/>
    <m/>
    <x v="7"/>
    <m/>
    <n v="2"/>
    <n v="1"/>
    <m/>
    <m/>
    <m/>
    <m/>
    <s v=""/>
  </r>
  <r>
    <x v="5"/>
    <m/>
    <x v="12"/>
    <n v="30"/>
    <n v="1"/>
    <m/>
    <m/>
    <m/>
    <m/>
    <m/>
    <s v="https://www.fr.ch/sites/default/files/2020-03/200301_commd_dsas_covid_cas_fr.pdf"/>
  </r>
  <r>
    <x v="5"/>
    <m/>
    <x v="0"/>
    <n v="778"/>
    <n v="8"/>
    <n v="3"/>
    <n v="0"/>
    <n v="0"/>
    <m/>
    <n v="0"/>
    <s v="https://www.ge.ch/document/covid-19-situation-epidemiologique-geneve/telecharger"/>
  </r>
  <r>
    <x v="5"/>
    <m/>
    <x v="3"/>
    <m/>
    <n v="1"/>
    <n v="1"/>
    <n v="0"/>
    <m/>
    <m/>
    <n v="0"/>
    <s v="https://www.jura.ch/Htdocs/Files/v/34292.xlsx/Departements/CHA/SIC/Carrousel/Coronavirus/Cornavirus/Chiffres/donnees_30_04.xlsx?download=1"/>
  </r>
  <r>
    <x v="5"/>
    <m/>
    <x v="13"/>
    <m/>
    <n v="1"/>
    <m/>
    <m/>
    <m/>
    <m/>
    <m/>
    <s v="https://www.ne.ch/autorites/DFS/SCSP/medecin-cantonal/maladies-vaccinations/Documents/Covid-19-Statistiques/COVID19_PublicationInternet.xlsx"/>
  </r>
  <r>
    <x v="5"/>
    <m/>
    <x v="1"/>
    <m/>
    <m/>
    <m/>
    <m/>
    <m/>
    <m/>
    <m/>
    <s v=""/>
  </r>
  <r>
    <x v="5"/>
    <m/>
    <x v="8"/>
    <m/>
    <m/>
    <n v="4"/>
    <m/>
    <m/>
    <m/>
    <m/>
    <s v="https://www.vd.ch/toutes-les-actualites/hotline-et-informations-sur-le-coronavirus/"/>
  </r>
  <r>
    <x v="5"/>
    <m/>
    <x v="9"/>
    <m/>
    <n v="2"/>
    <n v="6"/>
    <n v="0"/>
    <n v="0"/>
    <m/>
    <n v="0"/>
    <s v="https://www.vs.ch/documents/6756452/7008787/2020%2004%2029%20Sit%20Epid%20-%20%C3%89tat%20Stand"/>
  </r>
  <r>
    <x v="5"/>
    <n v="0.33333333333333331"/>
    <x v="11"/>
    <m/>
    <n v="0"/>
    <n v="0"/>
    <n v="0"/>
    <m/>
    <n v="0"/>
    <n v="0"/>
    <s v="https://www.zg.ch/behoerden/gesundheitsdirektion/statistikfachstelle/themen/gesundheit/corona"/>
  </r>
  <r>
    <x v="5"/>
    <n v="0.60416666666666663"/>
    <x v="4"/>
    <m/>
    <n v="7"/>
    <m/>
    <m/>
    <m/>
    <m/>
    <m/>
    <s v="https://gd.zh.ch/internet/gesundheitsdirektion/de/themen/coronavirus.html"/>
  </r>
  <r>
    <x v="5"/>
    <n v="0.72847222222222219"/>
    <x v="5"/>
    <m/>
    <n v="1"/>
    <m/>
    <m/>
    <m/>
    <m/>
    <m/>
    <s v="https://www.coronavirus.bs.ch/nm/2020-coronavirus-anzahl-der-getesteten-faelle-und-zwischenstand-kita-riehen-gd.html"/>
  </r>
  <r>
    <x v="6"/>
    <m/>
    <x v="6"/>
    <m/>
    <n v="4"/>
    <m/>
    <m/>
    <m/>
    <m/>
    <m/>
    <s v="https://www.be.ch/portal/de/index/mediencenter/medienmitteilungen/suche.meldungNeu.html/portal/de/meldungen/mm/2020/03/20200303_1333_mann_in_spital_interlakenpositivgetestet"/>
  </r>
  <r>
    <x v="6"/>
    <m/>
    <x v="7"/>
    <m/>
    <n v="2"/>
    <n v="1"/>
    <m/>
    <m/>
    <m/>
    <m/>
    <s v=""/>
  </r>
  <r>
    <x v="6"/>
    <m/>
    <x v="12"/>
    <m/>
    <n v="2"/>
    <m/>
    <m/>
    <m/>
    <m/>
    <m/>
    <s v="https://www.fr.ch/sites/default/files/2020-03/200302_CommD_DSAS_covid_cas%20FR.pdf"/>
  </r>
  <r>
    <x v="6"/>
    <m/>
    <x v="0"/>
    <n v="865"/>
    <n v="8"/>
    <n v="3"/>
    <n v="0"/>
    <n v="0"/>
    <m/>
    <n v="0"/>
    <s v="https://www.ge.ch/document/covid-19-situation-epidemiologique-geneve/telecharger"/>
  </r>
  <r>
    <x v="6"/>
    <m/>
    <x v="3"/>
    <m/>
    <n v="1"/>
    <n v="1"/>
    <n v="0"/>
    <m/>
    <m/>
    <n v="0"/>
    <s v="https://www.jura.ch/Htdocs/Files/v/34292.xlsx/Departements/CHA/SIC/Carrousel/Coronavirus/Cornavirus/Chiffres/donnees_30_04.xlsx?download=1"/>
  </r>
  <r>
    <x v="6"/>
    <m/>
    <x v="13"/>
    <m/>
    <n v="1"/>
    <n v="1"/>
    <m/>
    <m/>
    <m/>
    <m/>
    <s v="https://www.ne.ch/autorites/DFS/SCSP/medecin-cantonal/maladies-vaccinations/Documents/Covid-19-Statistiques/COVID19_PublicationInternet.xlsx"/>
  </r>
  <r>
    <x v="6"/>
    <m/>
    <x v="14"/>
    <m/>
    <n v="0"/>
    <m/>
    <m/>
    <m/>
    <m/>
    <m/>
    <s v="https://www.sg.ch/news/sgch_allgemein/2020/03/zwei-personen-in-quarantaene---kein-bestaetigter-fall.html"/>
  </r>
  <r>
    <x v="6"/>
    <m/>
    <x v="1"/>
    <m/>
    <n v="2"/>
    <m/>
    <m/>
    <m/>
    <m/>
    <m/>
    <s v="https://www4.ti.ch/area-media/comunicati/dettaglio-comunicato/?NEWS_ID=187352&amp;tx_tichareamedia_comunicazioni%5Baction%5D=show&amp;tx_tichareamedia_comunicazioni%5Bcontroller%5D=Comunicazioni&amp;cHash=ea65dbcabb28d4711459f3b613bbc1b7"/>
  </r>
  <r>
    <x v="6"/>
    <m/>
    <x v="8"/>
    <m/>
    <m/>
    <n v="6"/>
    <m/>
    <m/>
    <m/>
    <m/>
    <s v="https://www.vd.ch/toutes-les-actualites/hotline-et-informations-sur-le-coronavirus/"/>
  </r>
  <r>
    <x v="6"/>
    <m/>
    <x v="9"/>
    <m/>
    <n v="3"/>
    <n v="9"/>
    <n v="0"/>
    <n v="0"/>
    <m/>
    <n v="0"/>
    <s v="https://www.vs.ch/documents/6756452/7008787/2020%2004%2029%20Sit%20Epid%20-%20%C3%89tat%20Stand"/>
  </r>
  <r>
    <x v="6"/>
    <n v="0.33333333333333331"/>
    <x v="11"/>
    <m/>
    <n v="0"/>
    <n v="0"/>
    <n v="0"/>
    <m/>
    <n v="0"/>
    <n v="0"/>
    <s v="https://www.zg.ch/behoerden/gesundheitsdirektion/statistikfachstelle/themen/gesundheit/corona"/>
  </r>
  <r>
    <x v="6"/>
    <n v="0.60416666666666663"/>
    <x v="4"/>
    <m/>
    <n v="11"/>
    <m/>
    <m/>
    <m/>
    <m/>
    <m/>
    <s v="https://gd.zh.ch/internet/gesundheitsdirektion/de/themen/coronavirus.html"/>
  </r>
  <r>
    <x v="6"/>
    <n v="0.71875"/>
    <x v="5"/>
    <n v="235"/>
    <n v="1"/>
    <m/>
    <m/>
    <m/>
    <m/>
    <m/>
    <s v="https://www.coronavirus.bs.ch/nm/2020-coronavirus-zwei-neue-positive-faelle-in-basel-stadt-gd.html"/>
  </r>
  <r>
    <x v="6"/>
    <n v="0.75"/>
    <x v="10"/>
    <m/>
    <n v="2"/>
    <m/>
    <m/>
    <m/>
    <m/>
    <m/>
    <s v="https://www.ag.ch/media/kanton_aargau/themen_1/coronavirus_1/200302_KFS_Coronavirus_Lagebulletin_2.pdf"/>
  </r>
  <r>
    <x v="7"/>
    <m/>
    <x v="7"/>
    <m/>
    <n v="2"/>
    <n v="1"/>
    <m/>
    <m/>
    <m/>
    <m/>
    <s v=""/>
  </r>
  <r>
    <x v="7"/>
    <m/>
    <x v="2"/>
    <n v="14"/>
    <m/>
    <m/>
    <m/>
    <m/>
    <m/>
    <m/>
    <s v="https://www.regierung.li/media/attachments/90-coronavirus.pdf?t=637202562374055719"/>
  </r>
  <r>
    <x v="7"/>
    <m/>
    <x v="0"/>
    <n v="974"/>
    <n v="11"/>
    <n v="4"/>
    <n v="0"/>
    <n v="0"/>
    <m/>
    <n v="0"/>
    <s v="https://www.ge.ch/document/covid-19-situation-epidemiologique-geneve/telecharger"/>
  </r>
  <r>
    <x v="7"/>
    <m/>
    <x v="3"/>
    <m/>
    <n v="2"/>
    <n v="1"/>
    <n v="0"/>
    <m/>
    <m/>
    <n v="0"/>
    <s v="https://www.jura.ch/Htdocs/Files/v/34292.xlsx/Departements/CHA/SIC/Carrousel/Coronavirus/Cornavirus/Chiffres/donnees_30_04.xlsx?download=1"/>
  </r>
  <r>
    <x v="7"/>
    <m/>
    <x v="13"/>
    <m/>
    <n v="1"/>
    <n v="1"/>
    <m/>
    <m/>
    <m/>
    <m/>
    <s v="https://www.ne.ch/autorites/DFS/SCSP/medecin-cantonal/maladies-vaccinations/Documents/Covid-19-Statistiques/COVID19_PublicationInternet.xlsx"/>
  </r>
  <r>
    <x v="7"/>
    <m/>
    <x v="15"/>
    <n v="1"/>
    <n v="1"/>
    <m/>
    <m/>
    <m/>
    <m/>
    <m/>
    <s v="https://www.sz.ch/public/upload/assets/45351/MM_Coronavirus_4_3_2020.pdf"/>
  </r>
  <r>
    <x v="7"/>
    <m/>
    <x v="1"/>
    <m/>
    <n v="4"/>
    <m/>
    <m/>
    <m/>
    <m/>
    <m/>
    <s v="https://www4.ti.ch/area-media/comunicati/dettaglio-comunicato/?NEWS_ID=187363&amp;tx_tichareamedia_comunicazioni%5Baction%5D=show&amp;tx_tichareamedia_comunicazioni%5Bcontroller%5D=Comunicazioni&amp;cHash=b34e82602a39cad67a7f8d54150dcf70   https://www4.ti.ch/area-media/comunicati/dettaglio-comunicato/?NEWS_ID=187369&amp;tx_tichareamedia_comunicazioni%5Baction%5D=show&amp;tx_tichareamedia_comunicazioni%5Bcontroller%5D=Comunicazioni&amp;cHash=3154d18e72821fc23d7b3c5cdfe9f9a3"/>
  </r>
  <r>
    <x v="7"/>
    <m/>
    <x v="8"/>
    <m/>
    <m/>
    <n v="8"/>
    <m/>
    <m/>
    <m/>
    <m/>
    <s v="https://www.vd.ch/toutes-les-actualites/hotline-et-informations-sur-le-coronavirus/"/>
  </r>
  <r>
    <x v="7"/>
    <m/>
    <x v="9"/>
    <m/>
    <n v="3"/>
    <n v="11"/>
    <n v="0"/>
    <n v="0"/>
    <m/>
    <n v="0"/>
    <s v="https://www.vs.ch/documents/6756452/7008787/2020%2004%2029%20Sit%20Epid%20-%20%C3%89tat%20Stand"/>
  </r>
  <r>
    <x v="7"/>
    <n v="0.33333333333333331"/>
    <x v="11"/>
    <m/>
    <n v="1"/>
    <n v="0"/>
    <n v="0"/>
    <m/>
    <n v="0"/>
    <n v="0"/>
    <s v="https://www.zg.ch/behoerden/gesundheitsdirektion/statistikfachstelle/themen/gesundheit/corona"/>
  </r>
  <r>
    <x v="7"/>
    <n v="0.60416666666666663"/>
    <x v="4"/>
    <m/>
    <n v="14"/>
    <m/>
    <m/>
    <m/>
    <m/>
    <m/>
    <s v="https://gd.zh.ch/internet/gesundheitsdirektion/de/themen/coronavirus.html"/>
  </r>
  <r>
    <x v="7"/>
    <n v="0.625"/>
    <x v="10"/>
    <m/>
    <n v="6"/>
    <m/>
    <m/>
    <m/>
    <m/>
    <m/>
    <s v="https://www.ag.ch/media/kanton_aargau/themen_1/coronavirus_1/lagebulletins/200303_KFS_Coronavirus_Lagebulletin_3.pdf"/>
  </r>
  <r>
    <x v="7"/>
    <n v="0.72916666666666663"/>
    <x v="5"/>
    <m/>
    <n v="3"/>
    <m/>
    <m/>
    <m/>
    <m/>
    <m/>
    <s v="https://twitter.com/BAG_OFSP_UFSP/status/1234880556095213569?s=20"/>
  </r>
  <r>
    <x v="8"/>
    <m/>
    <x v="6"/>
    <m/>
    <n v="6"/>
    <m/>
    <m/>
    <m/>
    <m/>
    <m/>
    <s v="https://www.be.ch/portal/de/index/mediencenter/medienmitteilungen/suche.meldungNeu.html/portal/de/meldungen/mm/2020/03/20200304_1443_corona-4-3-2020"/>
  </r>
  <r>
    <x v="8"/>
    <m/>
    <x v="7"/>
    <m/>
    <n v="2"/>
    <n v="1"/>
    <m/>
    <m/>
    <m/>
    <m/>
    <s v=""/>
  </r>
  <r>
    <x v="8"/>
    <m/>
    <x v="2"/>
    <n v="16"/>
    <n v="1"/>
    <m/>
    <m/>
    <m/>
    <m/>
    <m/>
    <s v="https://www.regierung.li/media/attachments/97-coronavirus.pdf?t=637202562374055719"/>
  </r>
  <r>
    <x v="8"/>
    <m/>
    <x v="12"/>
    <m/>
    <n v="4"/>
    <m/>
    <m/>
    <m/>
    <m/>
    <m/>
    <s v="https://www.fr.ch/sites/default/files/2020-03/200304_CommD_DSAS_covid_cas%20FR.pdf"/>
  </r>
  <r>
    <x v="8"/>
    <m/>
    <x v="0"/>
    <n v="1081"/>
    <n v="11"/>
    <n v="4"/>
    <n v="0"/>
    <n v="0"/>
    <m/>
    <n v="0"/>
    <s v="https://www.ge.ch/document/covid-19-situation-epidemiologique-geneve/telecharger"/>
  </r>
  <r>
    <x v="8"/>
    <m/>
    <x v="3"/>
    <m/>
    <n v="2"/>
    <n v="1"/>
    <n v="0"/>
    <m/>
    <m/>
    <n v="0"/>
    <s v="https://www.jura.ch/Htdocs/Files/v/34292.xlsx/Departements/CHA/SIC/Carrousel/Coronavirus/Cornavirus/Chiffres/donnees_30_04.xlsx?download=1"/>
  </r>
  <r>
    <x v="8"/>
    <m/>
    <x v="13"/>
    <m/>
    <n v="8"/>
    <n v="4"/>
    <m/>
    <m/>
    <m/>
    <m/>
    <s v="https://www.ne.ch/autorites/DFS/SCSP/medecin-cantonal/maladies-vaccinations/Documents/Covid-19-Statistiques/COVID19_PublicationInternet.xlsx"/>
  </r>
  <r>
    <x v="8"/>
    <m/>
    <x v="15"/>
    <n v="3"/>
    <n v="3"/>
    <n v="1"/>
    <m/>
    <m/>
    <m/>
    <m/>
    <s v="https://www.sz.ch/public/upload/assets/45351/MM_Coronavirus_4_3_2020.pdf"/>
  </r>
  <r>
    <x v="8"/>
    <m/>
    <x v="1"/>
    <m/>
    <n v="5"/>
    <m/>
    <m/>
    <m/>
    <m/>
    <m/>
    <s v="https://www4.ti.ch/area-media/comunicati/dettaglio-comunicato/?NEWS_ID=187371&amp;tx_tichareamedia_comunicazioni%5Baction%5D=show&amp;tx_tichareamedia_comunicazioni%5Bcontroller%5D=Comunicazioni&amp;cHash=174f2d754f3b657af79f343c92fc5c89"/>
  </r>
  <r>
    <x v="8"/>
    <m/>
    <x v="8"/>
    <m/>
    <m/>
    <n v="11"/>
    <n v="1"/>
    <m/>
    <m/>
    <m/>
    <s v="https://www.vd.ch/toutes-les-actualites/hotline-et-informations-sur-le-coronavirus/"/>
  </r>
  <r>
    <x v="8"/>
    <m/>
    <x v="9"/>
    <m/>
    <n v="4"/>
    <n v="12"/>
    <n v="0"/>
    <n v="0"/>
    <m/>
    <n v="0"/>
    <s v="https://www.vs.ch/documents/6756452/7008787/2020%2004%2029%20Sit%20Epid%20-%20%C3%89tat%20Stand"/>
  </r>
  <r>
    <x v="8"/>
    <n v="0.27430555555555558"/>
    <x v="14"/>
    <m/>
    <n v="1"/>
    <m/>
    <m/>
    <m/>
    <m/>
    <m/>
    <s v="https://www.sg.ch/news/sgch_allgemein/2020/03/erster-bestaetigter-corona-fall-im-kanton-.html"/>
  </r>
  <r>
    <x v="8"/>
    <n v="0.33333333333333331"/>
    <x v="11"/>
    <m/>
    <n v="1"/>
    <n v="0"/>
    <n v="0"/>
    <m/>
    <n v="0"/>
    <n v="0"/>
    <s v="https://www.zg.ch/behoerden/gesundheitsdirektion/statistikfachstelle/themen/gesundheit/corona"/>
  </r>
  <r>
    <x v="8"/>
    <n v="0.60416666666666663"/>
    <x v="4"/>
    <m/>
    <n v="16"/>
    <m/>
    <m/>
    <m/>
    <m/>
    <m/>
    <s v="https://gd.zh.ch/internet/gesundheitsdirektion/de/themen/coronavirus.html"/>
  </r>
  <r>
    <x v="8"/>
    <n v="0.625"/>
    <x v="10"/>
    <m/>
    <n v="7"/>
    <m/>
    <m/>
    <m/>
    <m/>
    <m/>
    <s v="https://www.ag.ch/media/kanton_aargau/themen_1/coronavirus_1/lagebulletins/200304_KFS_Coronavirus_Lagebulletin_4.pdf"/>
  </r>
  <r>
    <x v="8"/>
    <n v="0.72222222222222221"/>
    <x v="5"/>
    <m/>
    <n v="3"/>
    <m/>
    <m/>
    <m/>
    <m/>
    <m/>
    <s v="https://twitter.com/BAG_OFSP_UFSP/status/1235240377134862336?s=20"/>
  </r>
  <r>
    <x v="8"/>
    <n v="0.75"/>
    <x v="16"/>
    <m/>
    <n v="0"/>
    <m/>
    <m/>
    <m/>
    <m/>
    <m/>
    <s v="https://web.archive.org/web/20200304173939/https://gesundheit.lu.ch/themen/Humanmedizin/Infektionskrankheiten/Coronavirus"/>
  </r>
  <r>
    <x v="9"/>
    <m/>
    <x v="17"/>
    <m/>
    <n v="1"/>
    <m/>
    <m/>
    <m/>
    <m/>
    <m/>
    <s v="https://www.ar.ch/verwaltung/departement-gesundheit-und-soziales/news-aus-dem-departement/detail/news/coronavirusersterfallinappenzellausserrhoden/?tx_news_pi1[controller]=News&amp;tx_news_pi1[action]=detail&amp;cHash=fb1a9cf08108cdc7b82780b9239b009d"/>
  </r>
  <r>
    <x v="9"/>
    <m/>
    <x v="7"/>
    <m/>
    <n v="6"/>
    <n v="1"/>
    <m/>
    <m/>
    <m/>
    <m/>
    <s v="https://www.baselland.ch/politik-und-behorden/direktionen/volkswirtschafts-und-gesundheitsdirektion/medienmitteilungen/neuer-coronavirus-covid-19-sechs-bestaetigte-faelle-im-kanton-basel-landschaft"/>
  </r>
  <r>
    <x v="9"/>
    <m/>
    <x v="2"/>
    <n v="18"/>
    <n v="1"/>
    <m/>
    <m/>
    <m/>
    <m/>
    <m/>
    <s v="https://www.regierung.li/media/attachments/100-coronavirus-18-verdachtsfaelle-0305.pdf?t=637202562374055719"/>
  </r>
  <r>
    <x v="9"/>
    <m/>
    <x v="12"/>
    <m/>
    <n v="6"/>
    <m/>
    <m/>
    <m/>
    <m/>
    <m/>
    <s v="https://www.fr.ch/de/covid19/gesundheit/covid-19/coronavirus-entwicklungen-der-situation"/>
  </r>
  <r>
    <x v="9"/>
    <m/>
    <x v="0"/>
    <n v="1146"/>
    <n v="15"/>
    <n v="5"/>
    <n v="0"/>
    <n v="0"/>
    <m/>
    <n v="0"/>
    <s v="https://www.ge.ch/document/covid-19-situation-epidemiologique-geneve/telecharger"/>
  </r>
  <r>
    <x v="9"/>
    <m/>
    <x v="3"/>
    <m/>
    <n v="4"/>
    <n v="2"/>
    <n v="0"/>
    <m/>
    <m/>
    <n v="0"/>
    <s v="https://www.jura.ch/Htdocs/Files/v/34292.xlsx/Departements/CHA/SIC/Carrousel/Coronavirus/Cornavirus/Chiffres/donnees_30_04.xlsx?download=1"/>
  </r>
  <r>
    <x v="9"/>
    <m/>
    <x v="13"/>
    <m/>
    <n v="9"/>
    <n v="4"/>
    <m/>
    <m/>
    <m/>
    <m/>
    <s v="https://www.ne.ch/autorites/DFS/SCSP/medecin-cantonal/maladies-vaccinations/Documents/Covid-19-Statistiques/COVID19_PublicationInternet.xlsx"/>
  </r>
  <r>
    <x v="9"/>
    <m/>
    <x v="1"/>
    <m/>
    <n v="18"/>
    <m/>
    <m/>
    <m/>
    <m/>
    <m/>
    <s v="https://www4.ti.ch/area-media/comunicati/dettaglio-comunicato/?NEWS_ID=187385&amp;tx_tichareamedia_comunicazioni%5Baction%5D=show&amp;tx_tichareamedia_comunicazioni%5Bcontroller%5D=Comunicazioni&amp;cHash=a9ddddfae2c7446e5b856451e178a61a"/>
  </r>
  <r>
    <x v="9"/>
    <m/>
    <x v="8"/>
    <m/>
    <m/>
    <n v="14"/>
    <n v="1"/>
    <m/>
    <m/>
    <m/>
    <s v="https://www.vd.ch/toutes-les-actualites/hotline-et-informations-sur-le-coronavirus/"/>
  </r>
  <r>
    <x v="9"/>
    <m/>
    <x v="9"/>
    <m/>
    <n v="5"/>
    <n v="10"/>
    <n v="0"/>
    <n v="0"/>
    <m/>
    <n v="0"/>
    <s v="https://www.vs.ch/documents/6756452/7008787/2020%2004%2029%20Sit%20Epid%20-%20%C3%89tat%20Stand"/>
  </r>
  <r>
    <x v="9"/>
    <n v="0.33333333333333331"/>
    <x v="11"/>
    <m/>
    <n v="2"/>
    <n v="0"/>
    <n v="0"/>
    <m/>
    <n v="0"/>
    <n v="0"/>
    <s v="https://www.zg.ch/behoerden/gesundheitsdirektion/statistikfachstelle/themen/gesundheit/corona"/>
  </r>
  <r>
    <x v="9"/>
    <n v="0.60416666666666663"/>
    <x v="4"/>
    <m/>
    <n v="24"/>
    <m/>
    <m/>
    <m/>
    <m/>
    <m/>
    <s v="https://gd.zh.ch/internet/gesundheitsdirektion/de/themen/coronavirus.html"/>
  </r>
  <r>
    <x v="9"/>
    <n v="0.625"/>
    <x v="10"/>
    <m/>
    <n v="9"/>
    <m/>
    <m/>
    <m/>
    <m/>
    <m/>
    <s v="https://www.ag.ch/media/kanton_aargau/themen_1/coronavirus_1/lagebulletins/200305_KFS_Coronavirus_Lagebulletin_5.pdf"/>
  </r>
  <r>
    <x v="9"/>
    <n v="0.71875"/>
    <x v="5"/>
    <m/>
    <n v="8"/>
    <n v="1"/>
    <m/>
    <m/>
    <m/>
    <m/>
    <s v="https://www.coronavirus.bs.ch/nm/2020-coronavirus-fuenf-neue-positive-faelle-in-basel-stadt-gd.html"/>
  </r>
  <r>
    <x v="10"/>
    <m/>
    <x v="6"/>
    <m/>
    <n v="17"/>
    <m/>
    <m/>
    <m/>
    <m/>
    <m/>
    <s v="https://www.be.ch/portal/de/index/mediencenter/medienmitteilungen/suche.meldungNeu.html/portal/de/meldungen/mm/2020/03/20200306_1343_corona6-3"/>
  </r>
  <r>
    <x v="10"/>
    <m/>
    <x v="7"/>
    <m/>
    <n v="6"/>
    <n v="4"/>
    <n v="2"/>
    <m/>
    <m/>
    <m/>
    <s v=""/>
  </r>
  <r>
    <x v="10"/>
    <m/>
    <x v="2"/>
    <n v="22"/>
    <n v="1"/>
    <m/>
    <m/>
    <m/>
    <m/>
    <m/>
    <s v="https://www.regierung.li/media/attachments/104-coronavirus-vorsicht.pdf?t=637202562374055719"/>
  </r>
  <r>
    <x v="10"/>
    <m/>
    <x v="0"/>
    <n v="1241"/>
    <n v="19"/>
    <n v="7"/>
    <n v="0"/>
    <n v="0"/>
    <m/>
    <n v="0"/>
    <s v="https://www.ge.ch/document/covid-19-situation-epidemiologique-geneve/telecharger"/>
  </r>
  <r>
    <x v="10"/>
    <m/>
    <x v="3"/>
    <m/>
    <n v="4"/>
    <n v="5"/>
    <n v="0"/>
    <m/>
    <m/>
    <n v="0"/>
    <s v="https://www.jura.ch/Htdocs/Files/v/34292.xlsx/Departements/CHA/SIC/Carrousel/Coronavirus/Cornavirus/Chiffres/donnees_30_04.xlsx?download=1"/>
  </r>
  <r>
    <x v="10"/>
    <m/>
    <x v="13"/>
    <m/>
    <n v="13"/>
    <n v="2"/>
    <m/>
    <m/>
    <m/>
    <m/>
    <s v="https://www.ne.ch/autorites/DFS/SCSP/medecin-cantonal/maladies-vaccinations/Documents/Covid-19-Statistiques/COVID19_PublicationInternet.xlsx"/>
  </r>
  <r>
    <x v="10"/>
    <m/>
    <x v="15"/>
    <n v="6"/>
    <n v="6"/>
    <m/>
    <m/>
    <m/>
    <m/>
    <m/>
    <s v="https://www.sz.ch/public/upload/assets/45417/MM_Coronavirus_6_3_2020.pdf"/>
  </r>
  <r>
    <x v="10"/>
    <m/>
    <x v="1"/>
    <m/>
    <m/>
    <m/>
    <m/>
    <m/>
    <m/>
    <m/>
    <s v=""/>
  </r>
  <r>
    <x v="10"/>
    <m/>
    <x v="8"/>
    <m/>
    <n v="23"/>
    <n v="15"/>
    <n v="2"/>
    <m/>
    <m/>
    <n v="1"/>
    <s v="https://www.vd.ch/toutes-les-actualites/hotline-et-informations-sur-le-coronavirus/"/>
  </r>
  <r>
    <x v="10"/>
    <m/>
    <x v="9"/>
    <m/>
    <n v="6"/>
    <n v="11"/>
    <n v="0"/>
    <n v="0"/>
    <m/>
    <n v="0"/>
    <s v="https://www.vs.ch/documents/6756452/7008787/2020%2004%2029%20Sit%20Epid%20-%20%C3%89tat%20Stand"/>
  </r>
  <r>
    <x v="10"/>
    <n v="0.33333333333333331"/>
    <x v="11"/>
    <m/>
    <n v="3"/>
    <n v="0"/>
    <n v="0"/>
    <m/>
    <n v="0"/>
    <n v="0"/>
    <s v="https://www.zg.ch/behoerden/gesundheitsdirektion/statistikfachstelle/themen/gesundheit/corona"/>
  </r>
  <r>
    <x v="10"/>
    <n v="0.5"/>
    <x v="18"/>
    <m/>
    <n v="1"/>
    <m/>
    <m/>
    <m/>
    <m/>
    <m/>
    <s v="https://so.ch/startseite/aktuell/news/erster-laborbestaetigter-covid-19-fall-im-kanton-solothurn/?tx_news_pi1%5Bcontroller%5D=News&amp;tx_news_pi1%5Baction%5D=detail&amp;cHash=3074bbdc8f0fcdcb9f1e11a21fc05e73"/>
  </r>
  <r>
    <x v="10"/>
    <n v="0.58333333333333337"/>
    <x v="5"/>
    <m/>
    <n v="15"/>
    <n v="1"/>
    <m/>
    <m/>
    <m/>
    <m/>
    <s v="https://twitter.com/BAG_OFSP_UFSP/status/1235934884167852035?s=20"/>
  </r>
  <r>
    <x v="10"/>
    <n v="0.60416666666666663"/>
    <x v="4"/>
    <m/>
    <n v="30"/>
    <m/>
    <m/>
    <m/>
    <m/>
    <m/>
    <s v="https://gd.zh.ch/internet/gesundheitsdirektion/de/themen/coronavirus.html"/>
  </r>
  <r>
    <x v="10"/>
    <n v="0.625"/>
    <x v="10"/>
    <m/>
    <n v="12"/>
    <m/>
    <m/>
    <m/>
    <n v="1"/>
    <m/>
    <s v="https://www.ag.ch/media/kanton_aargau/themen_1/coronavirus_1/lagebulletins/200305_KFS_Coronavirus_Lagebulletin_6.pdf"/>
  </r>
  <r>
    <x v="10"/>
    <n v="0.65138888888888891"/>
    <x v="14"/>
    <m/>
    <n v="2"/>
    <m/>
    <m/>
    <m/>
    <m/>
    <m/>
    <s v="https://www.sg.ch/news/sgch_allgemein/2020/03/zweiter-bestaetigter-fall-einer-corona-patientin.html"/>
  </r>
  <r>
    <x v="11"/>
    <m/>
    <x v="7"/>
    <m/>
    <n v="15"/>
    <n v="4"/>
    <n v="2"/>
    <m/>
    <m/>
    <m/>
    <s v="https://www.baselland.ch/politik-und-behorden/direktionen/volkswirtschafts-und-gesundheitsdirektion/medienmitteilungen/update-15-bestaetigte-faelle-in-basel-landschaft"/>
  </r>
  <r>
    <x v="11"/>
    <m/>
    <x v="0"/>
    <n v="1316"/>
    <n v="30"/>
    <n v="7"/>
    <n v="0"/>
    <n v="0"/>
    <m/>
    <n v="0"/>
    <s v="https://www.ge.ch/document/covid-19-situation-epidemiologique-geneve/telecharger"/>
  </r>
  <r>
    <x v="11"/>
    <m/>
    <x v="3"/>
    <m/>
    <n v="5"/>
    <n v="5"/>
    <n v="0"/>
    <m/>
    <m/>
    <n v="0"/>
    <s v="https://www.jura.ch/Htdocs/Files/v/34292.xlsx/Departements/CHA/SIC/Carrousel/Coronavirus/Cornavirus/Chiffres/donnees_30_04.xlsx?download=1"/>
  </r>
  <r>
    <x v="11"/>
    <m/>
    <x v="13"/>
    <m/>
    <n v="18"/>
    <n v="2"/>
    <m/>
    <m/>
    <m/>
    <m/>
    <s v="https://www.ne.ch/autorites/DFS/SCSP/medecin-cantonal/maladies-vaccinations/Documents/Covid-19-Statistiques/COVID19_PublicationInternet.xlsx"/>
  </r>
  <r>
    <x v="11"/>
    <m/>
    <x v="1"/>
    <m/>
    <n v="45"/>
    <m/>
    <m/>
    <m/>
    <m/>
    <m/>
    <s v="https://www4.ti.ch/area-media/comunicati/dettaglio-comunicato/?NEWS_ID=187406&amp;tx_tichareamedia_comunicazioni%5Baction%5D=show&amp;tx_tichareamedia_comunicazioni%5Bcontroller%5D=Comunicazioni&amp;cHash=e553d0b42db2ead87a7d05e499fac4db"/>
  </r>
  <r>
    <x v="11"/>
    <m/>
    <x v="8"/>
    <m/>
    <n v="30"/>
    <n v="16"/>
    <n v="4"/>
    <m/>
    <m/>
    <n v="1"/>
    <s v="https://www.vd.ch/toutes-les-actualites/hotline-et-informations-sur-le-coronavirus/"/>
  </r>
  <r>
    <x v="11"/>
    <m/>
    <x v="9"/>
    <m/>
    <n v="7"/>
    <n v="11"/>
    <n v="0"/>
    <n v="0"/>
    <m/>
    <n v="0"/>
    <s v="https://www.vs.ch/documents/6756452/7008787/2020%2004%2029%20Sit%20Epid%20-%20%C3%89tat%20Stand"/>
  </r>
  <r>
    <x v="11"/>
    <n v="0.33333333333333331"/>
    <x v="11"/>
    <m/>
    <n v="3"/>
    <n v="0"/>
    <n v="0"/>
    <m/>
    <n v="0"/>
    <n v="0"/>
    <s v="https://www.zg.ch/behoerden/gesundheitsdirektion/statistikfachstelle/themen/gesundheit/corona"/>
  </r>
  <r>
    <x v="11"/>
    <n v="0.5"/>
    <x v="5"/>
    <m/>
    <n v="21"/>
    <n v="1"/>
    <m/>
    <m/>
    <m/>
    <m/>
    <s v="https://twitter.com/BAG_OFSP_UFSP/status/1236249864473894914?s=20"/>
  </r>
  <r>
    <x v="11"/>
    <n v="0.60416666666666663"/>
    <x v="4"/>
    <m/>
    <n v="35"/>
    <m/>
    <m/>
    <m/>
    <m/>
    <m/>
    <s v="https://gd.zh.ch/internet/gesundheitsdirektion/de/themen/coronavirus.html"/>
  </r>
  <r>
    <x v="12"/>
    <m/>
    <x v="7"/>
    <m/>
    <n v="19"/>
    <n v="4"/>
    <n v="2"/>
    <m/>
    <m/>
    <n v="1"/>
    <s v="https://www.baselland.ch/politik-und-behorden/direktionen/volkswirtschafts-und-gesundheitsdirektion/medienmitteilungen/patient-im-kantonsspital-baselland-stirbt-an-den-folgen-einer-coronavirus-infektion"/>
  </r>
  <r>
    <x v="12"/>
    <m/>
    <x v="12"/>
    <m/>
    <n v="8"/>
    <m/>
    <m/>
    <m/>
    <m/>
    <m/>
    <s v="https://www.fr.ch/de/covid19/gesundheit/covid-19/coronavirus-entwicklungen-der-situation"/>
  </r>
  <r>
    <x v="12"/>
    <m/>
    <x v="0"/>
    <n v="1383"/>
    <n v="38"/>
    <n v="9"/>
    <n v="0"/>
    <n v="0"/>
    <m/>
    <n v="0"/>
    <s v="https://www.ge.ch/document/covid-19-situation-epidemiologique-geneve/telecharger"/>
  </r>
  <r>
    <x v="12"/>
    <m/>
    <x v="3"/>
    <m/>
    <n v="5"/>
    <n v="5"/>
    <n v="0"/>
    <m/>
    <m/>
    <n v="0"/>
    <s v="https://www.jura.ch/Htdocs/Files/v/34292.xlsx/Departements/CHA/SIC/Carrousel/Coronavirus/Cornavirus/Chiffres/donnees_30_04.xlsx?download=1"/>
  </r>
  <r>
    <x v="12"/>
    <m/>
    <x v="13"/>
    <m/>
    <n v="24"/>
    <n v="3"/>
    <m/>
    <m/>
    <m/>
    <m/>
    <s v="https://www.ne.ch/autorites/DFS/SCSP/medecin-cantonal/maladies-vaccinations/Documents/Covid-19-Statistiques/COVID19_PublicationInternet.xlsx"/>
  </r>
  <r>
    <x v="12"/>
    <m/>
    <x v="1"/>
    <m/>
    <n v="58"/>
    <m/>
    <m/>
    <m/>
    <m/>
    <m/>
    <s v="https://www4.ti.ch/area-media/comunicati/dettaglio-comunicato/?NEWS_ID=187407&amp;tx_tichareamedia_comunicazioni%5Baction%5D=show&amp;tx_tichareamedia_comunicazioni%5Bcontroller%5D=Comunicazioni&amp;cHash=8d1ff4bf2a674892913340827de952ea"/>
  </r>
  <r>
    <x v="12"/>
    <m/>
    <x v="8"/>
    <m/>
    <n v="40"/>
    <n v="22"/>
    <n v="3"/>
    <m/>
    <m/>
    <n v="1"/>
    <s v="https://www.vd.ch/toutes-les-actualites/hotline-et-informations-sur-le-coronavirus/"/>
  </r>
  <r>
    <x v="12"/>
    <m/>
    <x v="9"/>
    <m/>
    <n v="12"/>
    <n v="15"/>
    <n v="1"/>
    <n v="1"/>
    <m/>
    <n v="0"/>
    <s v="https://www.vs.ch/documents/6756452/7008787/2020%2004%2029%20Sit%20Epid%20-%20%C3%89tat%20Stand"/>
  </r>
  <r>
    <x v="12"/>
    <n v="0.33333333333333331"/>
    <x v="11"/>
    <m/>
    <n v="3"/>
    <n v="0"/>
    <n v="0"/>
    <m/>
    <n v="0"/>
    <n v="0"/>
    <s v="https://www.zg.ch/behoerden/gesundheitsdirektion/statistikfachstelle/themen/gesundheit/corona"/>
  </r>
  <r>
    <x v="12"/>
    <n v="0.5"/>
    <x v="5"/>
    <m/>
    <n v="24"/>
    <n v="1"/>
    <m/>
    <m/>
    <m/>
    <m/>
    <s v="https://twitter.com/BAG_OFSP_UFSP/status/1236609191831384064?s=20"/>
  </r>
  <r>
    <x v="12"/>
    <n v="0.60416666666666663"/>
    <x v="4"/>
    <m/>
    <n v="41"/>
    <m/>
    <m/>
    <m/>
    <m/>
    <m/>
    <s v="https://gd.zh.ch/internet/gesundheitsdirektion/de/themen/coronavirus.html"/>
  </r>
  <r>
    <x v="13"/>
    <m/>
    <x v="17"/>
    <m/>
    <n v="2"/>
    <m/>
    <m/>
    <m/>
    <m/>
    <m/>
    <s v="https://www.ar.ch/schnellzugriff/medienmitteilungen-der-kantonalen-verwaltung/detail/news/zweiter-coronafall-in-appenzell-ausserrhoden/?tx_news_pi1[controller]=News&amp;tx_news_pi1[action]=detail&amp;cHash=de7ec38198b5e60b6dce8fccc7735501"/>
  </r>
  <r>
    <x v="13"/>
    <m/>
    <x v="6"/>
    <m/>
    <n v="34"/>
    <m/>
    <m/>
    <m/>
    <m/>
    <m/>
    <s v="https://www.be.ch/portal/de/index/mediencenter/medienmitteilungen/suche.meldungNeu.html/portal/de/meldungen/mm/2020/03/20200309_1545_corona-9-3"/>
  </r>
  <r>
    <x v="13"/>
    <m/>
    <x v="7"/>
    <m/>
    <n v="20"/>
    <n v="4"/>
    <n v="4"/>
    <m/>
    <n v="1"/>
    <n v="1"/>
    <s v="https://www.baselland.ch/politik-und-behorden/direktionen/volkswirtschafts-und-gesundheitsdirektion/medienmitteilungen/update-xx-bestaetigte-faelle-in-basel-landschaft"/>
  </r>
  <r>
    <x v="13"/>
    <m/>
    <x v="2"/>
    <n v="24"/>
    <n v="1"/>
    <m/>
    <m/>
    <m/>
    <m/>
    <m/>
    <s v="https://www.regierung.li/media/attachments/106-coronavirus-anpassung-massnahmen.pdf?t=637202562374055719"/>
  </r>
  <r>
    <x v="13"/>
    <m/>
    <x v="12"/>
    <m/>
    <n v="11"/>
    <m/>
    <m/>
    <m/>
    <m/>
    <m/>
    <s v="https://www.fr.ch/de/covid19/gesundheit/covid-19/coronavirus-entwicklungen-der-situation"/>
  </r>
  <r>
    <x v="13"/>
    <m/>
    <x v="0"/>
    <n v="1488"/>
    <n v="47"/>
    <n v="13"/>
    <n v="3"/>
    <n v="1"/>
    <m/>
    <n v="0"/>
    <s v="https://www.ge.ch/document/covid-19-situation-epidemiologique-geneve/telecharger"/>
  </r>
  <r>
    <x v="13"/>
    <m/>
    <x v="3"/>
    <m/>
    <n v="7"/>
    <n v="5"/>
    <n v="0"/>
    <m/>
    <m/>
    <n v="0"/>
    <s v="https://www.jura.ch/Htdocs/Files/v/34292.xlsx/Departements/CHA/SIC/Carrousel/Coronavirus/Cornavirus/Chiffres/donnees_30_04.xlsx?download=1"/>
  </r>
  <r>
    <x v="13"/>
    <m/>
    <x v="13"/>
    <m/>
    <n v="27"/>
    <n v="4"/>
    <m/>
    <m/>
    <m/>
    <m/>
    <s v="https://www.ne.ch/autorites/DFS/SCSP/medecin-cantonal/maladies-vaccinations/Documents/Covid-19-Statistiques/COVID19_PublicationInternet.xlsx"/>
  </r>
  <r>
    <x v="13"/>
    <m/>
    <x v="1"/>
    <m/>
    <n v="68"/>
    <m/>
    <m/>
    <m/>
    <m/>
    <m/>
    <s v="https://www4.ti.ch/area-media/comunicati/dettaglio-comunicato/?NEWS_ID=187417&amp;tx_tichareamedia_comunicazioni%5Baction%5D=show&amp;tx_tichareamedia_comunicazioni%5Bcontroller%5D=Comunicazioni&amp;cHash=20e9b76118246e98781581881b459523"/>
  </r>
  <r>
    <x v="13"/>
    <m/>
    <x v="8"/>
    <m/>
    <n v="51"/>
    <n v="29"/>
    <n v="5"/>
    <m/>
    <m/>
    <n v="1"/>
    <s v="https://www.vd.ch/toutes-les-actualites/hotline-et-informations-sur-le-coronavirus/"/>
  </r>
  <r>
    <x v="13"/>
    <m/>
    <x v="9"/>
    <m/>
    <n v="17"/>
    <n v="16"/>
    <n v="1"/>
    <n v="1"/>
    <m/>
    <n v="0"/>
    <s v="https://www.vs.ch/documents/6756452/7008787/2020%2004%2029%20Sit%20Epid%20-%20%C3%89tat%20Stand"/>
  </r>
  <r>
    <x v="13"/>
    <n v="0.33333333333333331"/>
    <x v="11"/>
    <m/>
    <n v="10"/>
    <n v="0"/>
    <n v="0"/>
    <m/>
    <n v="0"/>
    <n v="0"/>
    <s v="https://www.zg.ch/behoerden/gesundheitsdirektion/statistikfachstelle/themen/gesundheit/corona"/>
  </r>
  <r>
    <x v="13"/>
    <n v="0.5"/>
    <x v="5"/>
    <m/>
    <n v="28"/>
    <n v="1"/>
    <m/>
    <m/>
    <m/>
    <m/>
    <s v="https://twitter.com/BAG_OFSP_UFSP/status/1236973685602426881?s=20"/>
  </r>
  <r>
    <x v="13"/>
    <n v="0.60416666666666663"/>
    <x v="4"/>
    <m/>
    <n v="50"/>
    <m/>
    <m/>
    <m/>
    <m/>
    <m/>
    <s v="https://gd.zh.ch/internet/gesundheitsdirektion/de/themen/coronavirus.html"/>
  </r>
  <r>
    <x v="13"/>
    <n v="0.625"/>
    <x v="10"/>
    <m/>
    <n v="14"/>
    <m/>
    <m/>
    <m/>
    <n v="2"/>
    <m/>
    <s v="https://www.ag.ch/media/kanton_aargau/themen_1/coronavirus_1/lagebulletins/200309_KFS_Coronavirus_Lagebulletin_7.pdf"/>
  </r>
  <r>
    <x v="14"/>
    <m/>
    <x v="7"/>
    <m/>
    <n v="22"/>
    <n v="5"/>
    <n v="1"/>
    <m/>
    <n v="2"/>
    <n v="1"/>
    <s v="https://www.baselland.ch/politik-und-behorden/direktionen/volkswirtschafts-und-gesundheitsdirektion/medienmitteilungen/update"/>
  </r>
  <r>
    <x v="14"/>
    <m/>
    <x v="2"/>
    <n v="37"/>
    <n v="1"/>
    <m/>
    <m/>
    <m/>
    <m/>
    <m/>
    <s v="https://www.regierung.li/media/attachments/110-corona-0310.pdf?t=637202562374055719"/>
  </r>
  <r>
    <x v="14"/>
    <m/>
    <x v="0"/>
    <n v="1688"/>
    <n v="73"/>
    <n v="18"/>
    <n v="4"/>
    <n v="1"/>
    <m/>
    <n v="1"/>
    <s v="https://www.ge.ch/document/covid-19-situation-epidemiologique-geneve/telecharger"/>
  </r>
  <r>
    <x v="14"/>
    <m/>
    <x v="19"/>
    <m/>
    <n v="1"/>
    <n v="0"/>
    <m/>
    <m/>
    <m/>
    <n v="0"/>
    <s v="https://www.gl.ch/public/upload/assets/27992/COVID-19_Fallzahlen_Kanton_Glarus.xlsx"/>
  </r>
  <r>
    <x v="14"/>
    <m/>
    <x v="3"/>
    <m/>
    <n v="7"/>
    <n v="5"/>
    <n v="0"/>
    <m/>
    <m/>
    <n v="0"/>
    <s v="https://www.jura.ch/Htdocs/Files/v/34292.xlsx/Departements/CHA/SIC/Carrousel/Coronavirus/Cornavirus/Chiffres/donnees_30_04.xlsx?download=1"/>
  </r>
  <r>
    <x v="14"/>
    <m/>
    <x v="13"/>
    <m/>
    <n v="31"/>
    <n v="4"/>
    <m/>
    <m/>
    <m/>
    <m/>
    <s v="https://www.ne.ch/autorites/DFS/SCSP/medecin-cantonal/maladies-vaccinations/Documents/Covid-19-Statistiques/COVID19_PublicationInternet.xlsx"/>
  </r>
  <r>
    <x v="14"/>
    <m/>
    <x v="1"/>
    <m/>
    <m/>
    <m/>
    <m/>
    <m/>
    <m/>
    <n v="1"/>
    <s v="https://www4.ti.ch/area-media/comunicati/dettaglio-comunicato/?NEWS_ID=187422&amp;tx_tichareamedia_comunicazioni%5Baction%5D=show&amp;tx_tichareamedia_comunicazioni%5Bcontroller%5D=Comunicazioni&amp;cHash=24aa247e65de88fdd1551a61fcc407d9"/>
  </r>
  <r>
    <x v="14"/>
    <m/>
    <x v="8"/>
    <m/>
    <n v="130"/>
    <n v="48"/>
    <n v="8"/>
    <m/>
    <m/>
    <n v="1"/>
    <s v="https://www.vd.ch/toutes-les-actualites/hotline-et-informations-sur-le-coronavirus/point-de-situation-statistique-dans-le-canton-de-vaud/"/>
  </r>
  <r>
    <x v="14"/>
    <m/>
    <x v="9"/>
    <m/>
    <n v="22"/>
    <n v="19"/>
    <n v="1"/>
    <n v="1"/>
    <n v="3"/>
    <n v="0"/>
    <s v="https://www.vs.ch/documents/6756452/7008787/2020%2004%2029%20Sit%20Epid%20-%20%C3%89tat%20Stand"/>
  </r>
  <r>
    <x v="14"/>
    <n v="0.33333333333333331"/>
    <x v="11"/>
    <m/>
    <n v="10"/>
    <n v="0"/>
    <n v="0"/>
    <m/>
    <n v="0"/>
    <n v="0"/>
    <s v="https://www.zg.ch/behoerden/gesundheitsdirektion/statistikfachstelle/themen/gesundheit/corona"/>
  </r>
  <r>
    <x v="14"/>
    <n v="0.5"/>
    <x v="5"/>
    <m/>
    <n v="33"/>
    <n v="1"/>
    <m/>
    <m/>
    <m/>
    <m/>
    <s v="https://twitter.com/BAG_OFSP_UFSP/status/1237336196772175873?s=20"/>
  </r>
  <r>
    <x v="14"/>
    <n v="0.60416666666666663"/>
    <x v="4"/>
    <m/>
    <n v="63"/>
    <m/>
    <m/>
    <m/>
    <m/>
    <m/>
    <s v="https://gd.zh.ch/internet/gesundheitsdirektion/de/themen/coronavirus.html"/>
  </r>
  <r>
    <x v="14"/>
    <n v="0.625"/>
    <x v="10"/>
    <m/>
    <n v="17"/>
    <m/>
    <m/>
    <m/>
    <n v="2"/>
    <m/>
    <s v="https://www.ag.ch/media/kanton_aargau/themen_1/coronavirus_1/lagebulletins/200310_KFS_Coronavirus_Lagebulletin_8.pdf"/>
  </r>
  <r>
    <x v="15"/>
    <m/>
    <x v="7"/>
    <m/>
    <n v="26"/>
    <n v="3"/>
    <n v="1"/>
    <m/>
    <n v="2"/>
    <n v="2"/>
    <s v="https://www.baselland.ch/politik-und-behorden/direktionen/volkswirtschafts-und-gesundheitsdirektion/medienmitteilungen/update-26-bestaetigte-faelle-in-basel-landschaft-1"/>
  </r>
  <r>
    <x v="15"/>
    <m/>
    <x v="2"/>
    <n v="50"/>
    <n v="3"/>
    <m/>
    <m/>
    <m/>
    <n v="1"/>
    <m/>
    <s v="https://www.regierung.li/media/attachments/112-drei-personen-infiziert.pdf?t=637202562374055719"/>
  </r>
  <r>
    <x v="15"/>
    <m/>
    <x v="12"/>
    <m/>
    <n v="16"/>
    <m/>
    <m/>
    <m/>
    <m/>
    <n v="0"/>
    <s v="https://www.fr.ch/sites/default/files/2020-05/statistiques_situation_FR_0105.xlsx"/>
  </r>
  <r>
    <x v="15"/>
    <m/>
    <x v="0"/>
    <n v="1926"/>
    <n v="84"/>
    <n v="20"/>
    <n v="6"/>
    <n v="4"/>
    <m/>
    <n v="1"/>
    <s v="https://www.ge.ch/document/covid-19-situation-epidemiologique-geneve/telecharger"/>
  </r>
  <r>
    <x v="15"/>
    <m/>
    <x v="19"/>
    <m/>
    <n v="1"/>
    <n v="0"/>
    <m/>
    <m/>
    <m/>
    <n v="0"/>
    <s v="https://www.gl.ch/public/upload/assets/27992/COVID-19_Fallzahlen_Kanton_Glarus.xlsx"/>
  </r>
  <r>
    <x v="15"/>
    <m/>
    <x v="3"/>
    <m/>
    <n v="7"/>
    <n v="6"/>
    <n v="0"/>
    <m/>
    <m/>
    <n v="0"/>
    <s v="https://www.jura.ch/Htdocs/Files/v/34292.xlsx/Departements/CHA/SIC/Carrousel/Coronavirus/Cornavirus/Chiffres/donnees_30_04.xlsx?download=1"/>
  </r>
  <r>
    <x v="15"/>
    <m/>
    <x v="13"/>
    <m/>
    <n v="37"/>
    <n v="6"/>
    <m/>
    <m/>
    <m/>
    <m/>
    <s v="https://www.ne.ch/autorites/DFS/SCSP/medecin-cantonal/maladies-vaccinations/Documents/Covid-19-Statistiques/COVID19_PublicationInternet.xlsx"/>
  </r>
  <r>
    <x v="15"/>
    <m/>
    <x v="20"/>
    <m/>
    <n v="4"/>
    <n v="2"/>
    <m/>
    <m/>
    <m/>
    <m/>
    <s v="http://www.nw.ch/coronastatistik"/>
  </r>
  <r>
    <x v="15"/>
    <m/>
    <x v="21"/>
    <m/>
    <n v="1"/>
    <m/>
    <m/>
    <m/>
    <m/>
    <n v="0"/>
    <s v="https://sh.ch/CMS/get/file/c1688ab0-1c33-488a-8c2b-85b3bde7fe77"/>
  </r>
  <r>
    <x v="15"/>
    <m/>
    <x v="1"/>
    <m/>
    <m/>
    <m/>
    <m/>
    <m/>
    <m/>
    <m/>
    <s v=""/>
  </r>
  <r>
    <x v="15"/>
    <m/>
    <x v="8"/>
    <m/>
    <n v="203"/>
    <n v="51"/>
    <n v="7"/>
    <m/>
    <m/>
    <n v="1"/>
    <s v="https://www.vd.ch/toutes-les-actualites/hotline-et-informations-sur-le-coronavirus/point-de-situation-statistique-dans-le-canton-de-vaud/"/>
  </r>
  <r>
    <x v="15"/>
    <m/>
    <x v="9"/>
    <m/>
    <n v="30"/>
    <n v="20"/>
    <n v="1"/>
    <n v="1"/>
    <m/>
    <n v="0"/>
    <s v="https://www.vs.ch/documents/6756452/7008787/2020%2004%2029%20Sit%20Epid%20-%20%C3%89tat%20Stand"/>
  </r>
  <r>
    <x v="15"/>
    <n v="0.33333333333333331"/>
    <x v="11"/>
    <m/>
    <n v="11"/>
    <n v="0"/>
    <n v="0"/>
    <m/>
    <n v="0"/>
    <n v="0"/>
    <s v="https://www.zg.ch/behoerden/gesundheitsdirektion/statistikfachstelle/themen/gesundheit/corona"/>
  </r>
  <r>
    <x v="15"/>
    <n v="0.5"/>
    <x v="5"/>
    <m/>
    <n v="49"/>
    <n v="13"/>
    <n v="2"/>
    <m/>
    <n v="4"/>
    <m/>
    <s v="https://www.coronavirus.bs.ch/nm/2020-coronavirus-ende-der-quarantaenemassnahmen-im-fall-kita-riehen-gd.html"/>
  </r>
  <r>
    <x v="15"/>
    <n v="0.60416666666666663"/>
    <x v="4"/>
    <m/>
    <n v="102"/>
    <m/>
    <m/>
    <m/>
    <m/>
    <m/>
    <s v="https://gd.zh.ch/internet/gesundheitsdirektion/de/themen/coronavirus.html"/>
  </r>
  <r>
    <x v="15"/>
    <n v="0.625"/>
    <x v="10"/>
    <m/>
    <n v="18"/>
    <m/>
    <m/>
    <m/>
    <n v="2"/>
    <m/>
    <s v="https://www.ag.ch/media/kanton_aargau/themen_1/coronavirus_1/lagebulletins/200311_KFS_Coronavirus_Lagebulletin_9.pdf"/>
  </r>
  <r>
    <x v="16"/>
    <m/>
    <x v="17"/>
    <m/>
    <n v="5"/>
    <m/>
    <m/>
    <m/>
    <m/>
    <m/>
    <s v="https://www.ar.ch/schnellzugriff/medienmitteilungen-der-kantonalen-verwaltung/detail/news/coronavirus-drei-neue-faelle-in-appenzell-ausserrhoden/?tx_news_pi1[controller]=News&amp;tx_news_pi1[action]=detail&amp;cHash=272411484066c8fb971dcc838aa96ef9"/>
  </r>
  <r>
    <x v="16"/>
    <m/>
    <x v="7"/>
    <m/>
    <n v="26"/>
    <n v="9"/>
    <n v="3"/>
    <m/>
    <n v="2"/>
    <n v="2"/>
    <s v=""/>
  </r>
  <r>
    <x v="16"/>
    <m/>
    <x v="2"/>
    <n v="57"/>
    <n v="3"/>
    <m/>
    <m/>
    <m/>
    <n v="1"/>
    <m/>
    <s v="https://www.regierung.li/media/attachments/114-hallenbaeder-geschlossen-0312.pdf?t=637202562374055719"/>
  </r>
  <r>
    <x v="16"/>
    <m/>
    <x v="12"/>
    <m/>
    <n v="22"/>
    <m/>
    <m/>
    <m/>
    <m/>
    <n v="0"/>
    <s v="https://www.fr.ch/sites/default/files/2020-05/statistiques_situation_FR_0105.xlsx"/>
  </r>
  <r>
    <x v="16"/>
    <m/>
    <x v="0"/>
    <n v="2277"/>
    <n v="114"/>
    <n v="23"/>
    <n v="6"/>
    <n v="4"/>
    <m/>
    <n v="2"/>
    <s v="https://www.ge.ch/document/covid-19-situation-epidemiologique-geneve/telecharger"/>
  </r>
  <r>
    <x v="16"/>
    <m/>
    <x v="19"/>
    <m/>
    <n v="3"/>
    <n v="0"/>
    <m/>
    <m/>
    <m/>
    <n v="0"/>
    <s v="https://www.gl.ch/public/upload/assets/27992/COVID-19_Fallzahlen_Kanton_Glarus.xlsx"/>
  </r>
  <r>
    <x v="16"/>
    <m/>
    <x v="3"/>
    <m/>
    <n v="12"/>
    <n v="6"/>
    <n v="0"/>
    <m/>
    <m/>
    <n v="0"/>
    <s v="https://www.jura.ch/Htdocs/Files/v/34292.xlsx/Departements/CHA/SIC/Carrousel/Coronavirus/Cornavirus/Chiffres/donnees_30_04.xlsx?download=1"/>
  </r>
  <r>
    <x v="16"/>
    <m/>
    <x v="13"/>
    <m/>
    <n v="46"/>
    <n v="6"/>
    <m/>
    <m/>
    <m/>
    <m/>
    <s v="https://www.ne.ch/autorites/DFS/SCSP/medecin-cantonal/maladies-vaccinations/Documents/Covid-19-Statistiques/COVID19_PublicationInternet.xlsx"/>
  </r>
  <r>
    <x v="16"/>
    <m/>
    <x v="20"/>
    <m/>
    <n v="5"/>
    <n v="5"/>
    <m/>
    <m/>
    <m/>
    <m/>
    <s v="http://www.nw.ch/coronastatistik"/>
  </r>
  <r>
    <x v="16"/>
    <m/>
    <x v="14"/>
    <m/>
    <n v="15"/>
    <m/>
    <m/>
    <m/>
    <m/>
    <m/>
    <s v="https://www.sg.ch/tools/informationen-coronavirus.html"/>
  </r>
  <r>
    <x v="16"/>
    <m/>
    <x v="21"/>
    <m/>
    <n v="1"/>
    <m/>
    <m/>
    <m/>
    <m/>
    <n v="0"/>
    <s v="https://sh.ch/CMS/get/file/c1688ab0-1c33-488a-8c2b-85b3bde7fe77"/>
  </r>
  <r>
    <x v="16"/>
    <m/>
    <x v="1"/>
    <m/>
    <n v="180"/>
    <m/>
    <m/>
    <m/>
    <m/>
    <m/>
    <s v="https://www4.ti.ch/area-media/comunicati/dettaglio-comunicato/?NEWS_ID=187437&amp;tx_tichareamedia_comunicazioni%5Baction%5D=show&amp;tx_tichareamedia_comunicazioni%5Bcontroller%5D=Comunicazioni&amp;cHash=59cf6112c82abed490acd8901f5a0bb2"/>
  </r>
  <r>
    <x v="16"/>
    <m/>
    <x v="22"/>
    <m/>
    <n v="2"/>
    <m/>
    <m/>
    <m/>
    <m/>
    <m/>
    <s v=""/>
  </r>
  <r>
    <x v="16"/>
    <m/>
    <x v="8"/>
    <m/>
    <n v="277"/>
    <n v="55"/>
    <n v="6"/>
    <m/>
    <m/>
    <n v="3"/>
    <s v="https://www.vd.ch/toutes-les-actualites/hotline-et-informations-sur-le-coronavirus/point-de-situation-statistique-dans-le-canton-de-vaud/"/>
  </r>
  <r>
    <x v="16"/>
    <m/>
    <x v="9"/>
    <m/>
    <n v="53"/>
    <n v="27"/>
    <n v="1"/>
    <n v="1"/>
    <m/>
    <n v="0"/>
    <s v="https://www.vs.ch/documents/6756452/7008787/2020%2004%2029%20Sit%20Epid%20-%20%C3%89tat%20Stand"/>
  </r>
  <r>
    <x v="16"/>
    <n v="0.33333333333333331"/>
    <x v="11"/>
    <m/>
    <n v="11"/>
    <n v="0"/>
    <n v="0"/>
    <m/>
    <n v="0"/>
    <n v="0"/>
    <s v="https://www.zg.ch/behoerden/gesundheitsdirektion/statistikfachstelle/themen/gesundheit/corona"/>
  </r>
  <r>
    <x v="16"/>
    <n v="0.5"/>
    <x v="5"/>
    <m/>
    <n v="73"/>
    <n v="13"/>
    <m/>
    <m/>
    <n v="4"/>
    <n v="1"/>
    <s v="https://twitter.com/BAG_OFSP_UFSP/status/1238073089902235648?s=20 https://www.coronavirus.bs.ch/nm/2020-coronavirus-erster-todesfall-im-kanton-basel-stadt-gd.html"/>
  </r>
  <r>
    <x v="16"/>
    <n v="0.60416666666666663"/>
    <x v="4"/>
    <m/>
    <n v="141"/>
    <m/>
    <m/>
    <m/>
    <m/>
    <m/>
    <s v="https://gd.zh.ch/internet/gesundheitsdirektion/de/themen/coronavirus.html"/>
  </r>
  <r>
    <x v="16"/>
    <n v="0.625"/>
    <x v="10"/>
    <m/>
    <n v="27"/>
    <n v="1"/>
    <m/>
    <m/>
    <n v="3"/>
    <m/>
    <s v="https://www.ag.ch/media/kanton_aargau/themen_1/coronavirus_1/lagebulletins/200312_KFS_Coronavirus_Lagebulletin_10.pdf"/>
  </r>
  <r>
    <x v="17"/>
    <m/>
    <x v="7"/>
    <m/>
    <n v="42"/>
    <n v="12"/>
    <n v="3"/>
    <m/>
    <n v="2"/>
    <n v="2"/>
    <s v="https://www.baselland.ch/politik-und-behorden/direktionen/volkswirtschafts-und-gesundheitsdirektion/medienmitteilungen/update-26-bestaetigte-faelle-in-basel-landschaft-2"/>
  </r>
  <r>
    <x v="17"/>
    <m/>
    <x v="12"/>
    <m/>
    <n v="29"/>
    <m/>
    <m/>
    <m/>
    <m/>
    <n v="0"/>
    <s v="https://www.fr.ch/sites/default/files/2020-05/statistiques_situation_FR_0105.xlsx"/>
  </r>
  <r>
    <x v="17"/>
    <m/>
    <x v="0"/>
    <n v="2712"/>
    <n v="178"/>
    <n v="33"/>
    <n v="7"/>
    <n v="5"/>
    <m/>
    <n v="2"/>
    <s v="https://www.ge.ch/document/covid-19-situation-epidemiologique-geneve/telecharger"/>
  </r>
  <r>
    <x v="17"/>
    <m/>
    <x v="19"/>
    <m/>
    <n v="6"/>
    <n v="0"/>
    <m/>
    <m/>
    <m/>
    <n v="0"/>
    <s v="https://www.gl.ch/public/upload/assets/27992/COVID-19_Fallzahlen_Kanton_Glarus.xlsx"/>
  </r>
  <r>
    <x v="17"/>
    <m/>
    <x v="3"/>
    <m/>
    <n v="17"/>
    <n v="8"/>
    <n v="0"/>
    <m/>
    <m/>
    <n v="0"/>
    <s v="https://www.jura.ch/Htdocs/Files/v/34292.xlsx/Departements/CHA/SIC/Carrousel/Coronavirus/Cornavirus/Chiffres/donnees_30_04.xlsx?download=1"/>
  </r>
  <r>
    <x v="17"/>
    <m/>
    <x v="13"/>
    <m/>
    <n v="59"/>
    <n v="9"/>
    <m/>
    <m/>
    <m/>
    <m/>
    <s v="https://www.ne.ch/autorites/DFS/SCSP/medecin-cantonal/maladies-vaccinations/Documents/Covid-19-Statistiques/COVID19_PublicationInternet.xlsx"/>
  </r>
  <r>
    <x v="17"/>
    <m/>
    <x v="20"/>
    <m/>
    <n v="5"/>
    <n v="6"/>
    <m/>
    <m/>
    <m/>
    <m/>
    <s v="http://www.nw.ch/coronastatistik"/>
  </r>
  <r>
    <x v="17"/>
    <m/>
    <x v="21"/>
    <m/>
    <n v="1"/>
    <m/>
    <m/>
    <m/>
    <m/>
    <n v="0"/>
    <s v="https://sh.ch/CMS/get/file/c1688ab0-1c33-488a-8c2b-85b3bde7fe77"/>
  </r>
  <r>
    <x v="17"/>
    <m/>
    <x v="1"/>
    <m/>
    <n v="258"/>
    <n v="65"/>
    <n v="13"/>
    <m/>
    <m/>
    <m/>
    <s v="https://www.youtube.com/watch?v=_x_yQ6uwGAQ"/>
  </r>
  <r>
    <x v="17"/>
    <m/>
    <x v="8"/>
    <m/>
    <n v="369"/>
    <n v="61"/>
    <n v="7"/>
    <m/>
    <m/>
    <n v="3"/>
    <s v="https://www.vd.ch/toutes-les-actualites/hotline-et-informations-sur-le-coronavirus/point-de-situation-statistique-dans-le-canton-de-vaud/"/>
  </r>
  <r>
    <x v="17"/>
    <m/>
    <x v="9"/>
    <m/>
    <n v="76"/>
    <n v="29"/>
    <n v="1"/>
    <n v="1"/>
    <m/>
    <n v="1"/>
    <s v="https://www.vs.ch/documents/6756452/7008787/2020%2004%2029%20Sit%20Epid%20-%20%C3%89tat%20Stand"/>
  </r>
  <r>
    <x v="17"/>
    <n v="0.33333333333333331"/>
    <x v="11"/>
    <m/>
    <n v="11"/>
    <n v="0"/>
    <n v="0"/>
    <m/>
    <n v="0"/>
    <n v="0"/>
    <s v="https://www.zg.ch/behoerden/gesundheitsdirektion/statistikfachstelle/themen/gesundheit/corona"/>
  </r>
  <r>
    <x v="17"/>
    <n v="0.5"/>
    <x v="23"/>
    <n v="6"/>
    <n v="1"/>
    <m/>
    <m/>
    <m/>
    <m/>
    <m/>
    <s v="https://www.ow.ch/de/aktuelles/aktuellesinformationen/amtsmitteilungen/welcome.php?action=showinfo&amp;info_id=63566&amp;ls=0&amp;sq=&amp;kategorie_id=&amp;date_from=&amp;date_to="/>
  </r>
  <r>
    <x v="17"/>
    <n v="0.5"/>
    <x v="15"/>
    <n v="10"/>
    <n v="9"/>
    <m/>
    <m/>
    <m/>
    <m/>
    <m/>
    <s v="https://www.sz.ch/public/upload/assets/45585/MM_Coronavirus_13_03_2020.pdf"/>
  </r>
  <r>
    <x v="17"/>
    <n v="0.52083333333333337"/>
    <x v="5"/>
    <m/>
    <n v="92"/>
    <n v="13"/>
    <m/>
    <m/>
    <n v="4"/>
    <n v="1"/>
    <s v="https://twitter.com/BAG_OFSP_UFSP/status/1238430659762364417?s=20"/>
  </r>
  <r>
    <x v="17"/>
    <n v="0.54166666666666663"/>
    <x v="10"/>
    <m/>
    <n v="32"/>
    <m/>
    <m/>
    <m/>
    <n v="3"/>
    <m/>
    <s v="https://www.ag.ch/media/kanton_aargau/themen_1/coronavirus_1/lagebulletins/200313_KFS_Coronavirus_Lagebulletin_11.pdf"/>
  </r>
  <r>
    <x v="17"/>
    <n v="0.60416666666666663"/>
    <x v="4"/>
    <m/>
    <n v="164"/>
    <m/>
    <m/>
    <m/>
    <m/>
    <m/>
    <s v="https://gd.zh.ch/internet/gesundheitsdirektion/de/themen/coronavirus.html"/>
  </r>
  <r>
    <x v="18"/>
    <m/>
    <x v="24"/>
    <m/>
    <n v="2"/>
    <m/>
    <m/>
    <m/>
    <m/>
    <m/>
    <s v="https://www.ai.ch/themen/gesundheit-alter-und-soziales/gesundheitsfoerderung-und-praevention/aktuelles/erste-bestaetigte-coronavirus-faelle-auch-in-innerrhoden"/>
  </r>
  <r>
    <x v="18"/>
    <m/>
    <x v="7"/>
    <m/>
    <n v="47"/>
    <n v="8"/>
    <n v="2"/>
    <m/>
    <n v="2"/>
    <n v="2"/>
    <s v="https://www.baselland.ch/politik-und-behorden/direktionen/volkswirtschafts-und-gesundheitsdirektion/medienmitteilungen/update-47-bestaetigte-faelle-in-basel-landschaft"/>
  </r>
  <r>
    <x v="18"/>
    <m/>
    <x v="2"/>
    <n v="99"/>
    <n v="3"/>
    <m/>
    <m/>
    <m/>
    <n v="1"/>
    <m/>
    <s v="https://www.regierung.li/media/attachments/118-corona-rueckkehrer-skiferien-0314.pdf?t=637202562374055719"/>
  </r>
  <r>
    <x v="18"/>
    <m/>
    <x v="12"/>
    <m/>
    <n v="36"/>
    <m/>
    <m/>
    <m/>
    <m/>
    <n v="0"/>
    <s v="https://www.fr.ch/sites/default/files/2020-05/statistiques_situation_FR_0105.xlsx"/>
  </r>
  <r>
    <x v="18"/>
    <m/>
    <x v="0"/>
    <n v="3295"/>
    <n v="281"/>
    <n v="43"/>
    <n v="8"/>
    <n v="5"/>
    <m/>
    <n v="2"/>
    <s v="https://www.ge.ch/document/covid-19-situation-epidemiologique-geneve/telecharger"/>
  </r>
  <r>
    <x v="18"/>
    <m/>
    <x v="19"/>
    <m/>
    <n v="8"/>
    <n v="0"/>
    <m/>
    <m/>
    <m/>
    <n v="0"/>
    <s v="https://www.gl.ch/public/upload/assets/27992/COVID-19_Fallzahlen_Kanton_Glarus.xlsx"/>
  </r>
  <r>
    <x v="18"/>
    <m/>
    <x v="3"/>
    <m/>
    <n v="18"/>
    <n v="8"/>
    <n v="0"/>
    <m/>
    <m/>
    <n v="0"/>
    <s v="https://www.jura.ch/Htdocs/Files/v/34292.xlsx/Departements/CHA/SIC/Carrousel/Coronavirus/Cornavirus/Chiffres/donnees_30_04.xlsx?download=1"/>
  </r>
  <r>
    <x v="18"/>
    <m/>
    <x v="13"/>
    <m/>
    <n v="68"/>
    <n v="10"/>
    <m/>
    <m/>
    <m/>
    <m/>
    <s v="https://www.ne.ch/autorites/DFS/SCSP/medecin-cantonal/maladies-vaccinations/Documents/Covid-19-Statistiques/COVID19_PublicationInternet.xlsx"/>
  </r>
  <r>
    <x v="18"/>
    <m/>
    <x v="20"/>
    <m/>
    <n v="5"/>
    <n v="6"/>
    <m/>
    <m/>
    <m/>
    <m/>
    <s v="http://www.nw.ch/coronastatistik"/>
  </r>
  <r>
    <x v="18"/>
    <m/>
    <x v="21"/>
    <m/>
    <n v="1"/>
    <m/>
    <m/>
    <m/>
    <m/>
    <n v="0"/>
    <s v="https://sh.ch/CMS/get/file/c1688ab0-1c33-488a-8c2b-85b3bde7fe77"/>
  </r>
  <r>
    <x v="18"/>
    <m/>
    <x v="1"/>
    <m/>
    <n v="265"/>
    <m/>
    <m/>
    <m/>
    <m/>
    <n v="3"/>
    <s v="https://www4.ti.ch/area-media/comunicati/dettaglio-comunicato/?NEWS_ID=187466&amp;tx_tichareamedia_comunicazioni%5Baction%5D=show&amp;tx_tichareamedia_comunicazioni%5Bcontroller%5D=Comunicazioni&amp;cHash=1b10e6e8117296766155edcf9c317a4c"/>
  </r>
  <r>
    <x v="18"/>
    <m/>
    <x v="8"/>
    <m/>
    <n v="476"/>
    <n v="75"/>
    <n v="10"/>
    <m/>
    <m/>
    <n v="4"/>
    <s v="https://www.vd.ch/toutes-les-actualites/hotline-et-informations-sur-le-coronavirus/point-de-situation-statistique-dans-le-canton-de-vaud/"/>
  </r>
  <r>
    <x v="18"/>
    <m/>
    <x v="9"/>
    <m/>
    <n v="98"/>
    <n v="33"/>
    <n v="1"/>
    <n v="1"/>
    <m/>
    <n v="1"/>
    <s v="https://www.vs.ch/documents/6756452/7008787/2020%2004%2029%20Sit%20Epid%20-%20%C3%89tat%20Stand"/>
  </r>
  <r>
    <x v="18"/>
    <n v="0.12708333333333333"/>
    <x v="15"/>
    <n v="10"/>
    <n v="12"/>
    <m/>
    <m/>
    <m/>
    <m/>
    <m/>
    <s v="https://www.bote.ch/nachrichten/schwyz/schwyz_bdu/coronavirus-einsatz-fuer-spitalbataillon-5"/>
  </r>
  <r>
    <x v="18"/>
    <n v="0.33333333333333331"/>
    <x v="11"/>
    <m/>
    <n v="13"/>
    <n v="0"/>
    <n v="0"/>
    <m/>
    <n v="0"/>
    <n v="0"/>
    <s v="https://www.zg.ch/behoerden/gesundheitsdirektion/statistikfachstelle/themen/gesundheit/corona"/>
  </r>
  <r>
    <x v="18"/>
    <n v="0.47708333333333336"/>
    <x v="5"/>
    <m/>
    <n v="100"/>
    <n v="13"/>
    <m/>
    <m/>
    <n v="4"/>
    <n v="1"/>
    <s v="https://twitter.com/BAG_OFSP_UFSP/status/1238773726423941127?s=20"/>
  </r>
  <r>
    <x v="18"/>
    <n v="0.60416666666666663"/>
    <x v="4"/>
    <m/>
    <n v="219"/>
    <m/>
    <m/>
    <m/>
    <m/>
    <m/>
    <s v="https://gd.zh.ch/internet/gesundheitsdirektion/de/themen/coronavirus.html"/>
  </r>
  <r>
    <x v="19"/>
    <m/>
    <x v="7"/>
    <m/>
    <n v="54"/>
    <n v="12"/>
    <n v="2"/>
    <m/>
    <n v="5"/>
    <n v="2"/>
    <s v="https://www.baselland.ch/politik-und-behorden/direktionen/volkswirtschafts-und-gesundheitsdirektion/medienmitteilungen/update-54-bestaetigte-faelle-in-basel-landschaft"/>
  </r>
  <r>
    <x v="19"/>
    <m/>
    <x v="2"/>
    <m/>
    <n v="7"/>
    <m/>
    <m/>
    <m/>
    <n v="1"/>
    <m/>
    <s v="https://www.regierung.li/media/attachments/119-corona-massnahmen-verschaerft-0315.pdf?t=637202562374055719"/>
  </r>
  <r>
    <x v="19"/>
    <m/>
    <x v="12"/>
    <m/>
    <n v="40"/>
    <m/>
    <m/>
    <m/>
    <m/>
    <n v="0"/>
    <s v="https://www.fr.ch/sites/default/files/2020-05/statistiques_situation_FR_0105.xlsx"/>
  </r>
  <r>
    <x v="19"/>
    <m/>
    <x v="0"/>
    <n v="3698"/>
    <n v="374"/>
    <n v="46"/>
    <n v="12"/>
    <n v="8"/>
    <m/>
    <n v="4"/>
    <s v="https://www.ge.ch/document/covid-19-situation-epidemiologique-geneve/telecharger"/>
  </r>
  <r>
    <x v="19"/>
    <m/>
    <x v="19"/>
    <m/>
    <n v="10"/>
    <n v="0"/>
    <m/>
    <m/>
    <m/>
    <n v="0"/>
    <s v="https://www.gl.ch/public/upload/assets/27992/COVID-19_Fallzahlen_Kanton_Glarus.xlsx"/>
  </r>
  <r>
    <x v="19"/>
    <m/>
    <x v="3"/>
    <m/>
    <n v="19"/>
    <n v="9"/>
    <n v="0"/>
    <m/>
    <m/>
    <n v="0"/>
    <s v="https://www.jura.ch/Htdocs/Files/v/34292.xlsx/Departements/CHA/SIC/Carrousel/Coronavirus/Cornavirus/Chiffres/donnees_30_04.xlsx?download=1"/>
  </r>
  <r>
    <x v="19"/>
    <m/>
    <x v="13"/>
    <m/>
    <n v="74"/>
    <n v="9"/>
    <m/>
    <m/>
    <m/>
    <m/>
    <s v="https://www.ne.ch/autorites/DFS/SCSP/medecin-cantonal/maladies-vaccinations/Documents/Covid-19-Statistiques/COVID19_PublicationInternet.xlsx"/>
  </r>
  <r>
    <x v="19"/>
    <m/>
    <x v="20"/>
    <m/>
    <n v="8"/>
    <n v="6"/>
    <m/>
    <m/>
    <m/>
    <m/>
    <s v="http://www.nw.ch/coronastatistik"/>
  </r>
  <r>
    <x v="19"/>
    <m/>
    <x v="21"/>
    <m/>
    <n v="1"/>
    <m/>
    <m/>
    <m/>
    <m/>
    <n v="0"/>
    <s v="https://sh.ch/CMS/get/file/c1688ab0-1c33-488a-8c2b-85b3bde7fe77"/>
  </r>
  <r>
    <x v="19"/>
    <m/>
    <x v="15"/>
    <m/>
    <n v="13"/>
    <m/>
    <m/>
    <m/>
    <m/>
    <m/>
    <s v="https://www.sz.ch/public/upload/assets/45590/MM_Coronavirus_15_3_2020.pdf"/>
  </r>
  <r>
    <x v="19"/>
    <m/>
    <x v="1"/>
    <m/>
    <n v="291"/>
    <m/>
    <m/>
    <m/>
    <m/>
    <n v="6"/>
    <s v="https://www4.ti.ch/area-media/comunicati/dettaglio-comunicato/?NEWS_ID=187467&amp;tx_tichareamedia_comunicazioni%5Baction%5D=show&amp;tx_tichareamedia_comunicazioni%5Bcontroller%5D=Comunicazioni&amp;cHash=af5473066754ef4d1272e156056acc07"/>
  </r>
  <r>
    <x v="19"/>
    <m/>
    <x v="8"/>
    <m/>
    <n v="566"/>
    <n v="90"/>
    <n v="10"/>
    <m/>
    <m/>
    <n v="5"/>
    <s v="https://www.vd.ch/toutes-les-actualites/hotline-et-informations-sur-le-coronavirus/point-de-situation-statistique-dans-le-canton-de-vaud/"/>
  </r>
  <r>
    <x v="19"/>
    <m/>
    <x v="9"/>
    <m/>
    <n v="115"/>
    <n v="35"/>
    <n v="1"/>
    <n v="1"/>
    <m/>
    <n v="2"/>
    <s v="https://www.vs.ch/documents/6756452/7008787/2020%2004%2029%20Sit%20Epid%20-%20%C3%89tat%20Stand"/>
  </r>
  <r>
    <x v="19"/>
    <n v="0.33333333333333331"/>
    <x v="11"/>
    <m/>
    <n v="13"/>
    <n v="0"/>
    <n v="0"/>
    <m/>
    <n v="0"/>
    <n v="0"/>
    <s v="https://www.zg.ch/behoerden/gesundheitsdirektion/statistikfachstelle/themen/gesundheit/corona"/>
  </r>
  <r>
    <x v="19"/>
    <n v="0.60416666666666663"/>
    <x v="4"/>
    <m/>
    <n v="251"/>
    <m/>
    <m/>
    <m/>
    <m/>
    <n v="1"/>
    <s v="https://gd.zh.ch/internet/gesundheitsdirektion/de/themen/coronavirus.html"/>
  </r>
  <r>
    <x v="20"/>
    <m/>
    <x v="24"/>
    <m/>
    <n v="4"/>
    <m/>
    <m/>
    <m/>
    <m/>
    <m/>
    <s v="Kantonaler Führungsstab Appenzell Innerrhoden"/>
  </r>
  <r>
    <x v="20"/>
    <m/>
    <x v="6"/>
    <m/>
    <n v="123"/>
    <m/>
    <m/>
    <m/>
    <m/>
    <n v="1"/>
    <s v="https://www.besondere-lage.sites.be.ch/besondere-lage_sites/de/index/corona/index.html"/>
  </r>
  <r>
    <x v="20"/>
    <m/>
    <x v="7"/>
    <m/>
    <n v="76"/>
    <n v="17"/>
    <n v="4"/>
    <m/>
    <n v="5"/>
    <n v="2"/>
    <s v="https://www.baselland.ch/politik-und-behorden/direktionen/volkswirtschafts-und-gesundheitsdirektion/medienmitteilungen/update-67-bestaetigte-faelle-in-basel-landschaft"/>
  </r>
  <r>
    <x v="20"/>
    <m/>
    <x v="12"/>
    <m/>
    <n v="45"/>
    <m/>
    <m/>
    <m/>
    <m/>
    <n v="0"/>
    <s v="https://www.fr.ch/sites/default/files/2020-05/statistiques_situation_FR_0105.xlsx"/>
  </r>
  <r>
    <x v="20"/>
    <m/>
    <x v="0"/>
    <n v="4147"/>
    <n v="460"/>
    <n v="66"/>
    <n v="10"/>
    <n v="9"/>
    <m/>
    <n v="4"/>
    <s v="https://www.ge.ch/document/covid-19-situation-epidemiologique-geneve/telecharger"/>
  </r>
  <r>
    <x v="20"/>
    <m/>
    <x v="19"/>
    <m/>
    <n v="10"/>
    <n v="0"/>
    <m/>
    <m/>
    <m/>
    <n v="0"/>
    <s v="https://www.gl.ch/public/upload/assets/27992/COVID-19_Fallzahlen_Kanton_Glarus.xlsx"/>
  </r>
  <r>
    <x v="20"/>
    <m/>
    <x v="3"/>
    <m/>
    <n v="25"/>
    <n v="9"/>
    <n v="0"/>
    <m/>
    <m/>
    <n v="0"/>
    <s v="https://www.jura.ch/Htdocs/Files/v/34292.xlsx/Departements/CHA/SIC/Carrousel/Coronavirus/Cornavirus/Chiffres/donnees_30_04.xlsx?download=1"/>
  </r>
  <r>
    <x v="20"/>
    <m/>
    <x v="13"/>
    <m/>
    <n v="93"/>
    <n v="13"/>
    <m/>
    <m/>
    <m/>
    <m/>
    <s v="https://www.ne.ch/autorites/DFS/SCSP/medecin-cantonal/maladies-vaccinations/Documents/Covid-19-Statistiques/COVID19_PublicationInternet.xlsx"/>
  </r>
  <r>
    <x v="20"/>
    <m/>
    <x v="20"/>
    <m/>
    <n v="10"/>
    <n v="7"/>
    <m/>
    <m/>
    <m/>
    <m/>
    <s v="http://www.nw.ch/coronastatistik"/>
  </r>
  <r>
    <x v="20"/>
    <m/>
    <x v="21"/>
    <m/>
    <n v="2"/>
    <m/>
    <m/>
    <m/>
    <m/>
    <n v="0"/>
    <s v="https://sh.ch/CMS/get/file/c1688ab0-1c33-488a-8c2b-85b3bde7fe77"/>
  </r>
  <r>
    <x v="20"/>
    <m/>
    <x v="25"/>
    <n v="246"/>
    <n v="17"/>
    <m/>
    <m/>
    <m/>
    <m/>
    <m/>
    <s v=""/>
  </r>
  <r>
    <x v="20"/>
    <m/>
    <x v="1"/>
    <m/>
    <n v="330"/>
    <m/>
    <m/>
    <m/>
    <m/>
    <n v="8"/>
    <s v="https://www4.ti.ch/area-media/comunicati/dettaglio-comunicato/?NEWS_ID=187475&amp;tx_tichareamedia_comunicazioni%5Baction%5D=show&amp;tx_tichareamedia_comunicazioni%5Bcontroller%5D=Comunicazioni&amp;cHash=dee4a529abd4e9300e116c7ff4db5774"/>
  </r>
  <r>
    <x v="20"/>
    <m/>
    <x v="8"/>
    <m/>
    <n v="796"/>
    <n v="126"/>
    <n v="20"/>
    <m/>
    <m/>
    <n v="7"/>
    <s v="https://www.vd.ch/toutes-les-actualites/hotline-et-informations-sur-le-coronavirus/point-de-situation-statistique-dans-le-canton-de-vaud/"/>
  </r>
  <r>
    <x v="20"/>
    <m/>
    <x v="9"/>
    <m/>
    <n v="172"/>
    <n v="41"/>
    <n v="2"/>
    <n v="1"/>
    <m/>
    <n v="3"/>
    <s v="https://www.vs.ch/documents/6756452/7008787/2020%2004%2029%20Sit%20Epid%20-%20%C3%89tat%20Stand"/>
  </r>
  <r>
    <x v="20"/>
    <n v="0.33333333333333331"/>
    <x v="11"/>
    <m/>
    <n v="20"/>
    <n v="0"/>
    <n v="0"/>
    <m/>
    <n v="0"/>
    <n v="0"/>
    <s v="https://www.zg.ch/behoerden/gesundheitsdirektion/statistikfachstelle/themen/gesundheit/corona"/>
  </r>
  <r>
    <x v="20"/>
    <n v="0.5"/>
    <x v="5"/>
    <m/>
    <n v="143"/>
    <n v="13"/>
    <m/>
    <m/>
    <n v="4"/>
    <n v="4"/>
    <s v="https://www.coronavirus.bs.ch/nm/2020-tagesbulletin-coronavirus-144-bestaetigte-faelle-im-kanton-basel-stadt-gd.html"/>
  </r>
  <r>
    <x v="20"/>
    <n v="0.60416666666666663"/>
    <x v="4"/>
    <m/>
    <n v="327"/>
    <m/>
    <m/>
    <m/>
    <m/>
    <n v="1"/>
    <s v="https://gd.zh.ch/internet/gesundheitsdirektion/de/themen/coronavirus.html"/>
  </r>
  <r>
    <x v="20"/>
    <n v="0.625"/>
    <x v="10"/>
    <m/>
    <n v="52"/>
    <n v="2"/>
    <m/>
    <m/>
    <n v="4"/>
    <m/>
    <s v="https://www.ag.ch/media/kanton_aargau/themen_1/coronavirus_1/lagebulletins/200316_KFS_Coronavirus_Lagebulletin_12.pdf"/>
  </r>
  <r>
    <x v="21"/>
    <m/>
    <x v="24"/>
    <m/>
    <n v="5"/>
    <m/>
    <m/>
    <m/>
    <m/>
    <m/>
    <s v="Kantonaler Führungsstab Appenzell Innerrhoden"/>
  </r>
  <r>
    <x v="21"/>
    <m/>
    <x v="7"/>
    <m/>
    <n v="89"/>
    <n v="26"/>
    <n v="5"/>
    <m/>
    <n v="13"/>
    <n v="2"/>
    <s v="https://www.baselland.ch/politik-und-behorden/direktionen/volkswirtschafts-und-gesundheitsdirektion/medienmitteilungen/update-89-bestaetigte-faelle-in-basel-landschaft"/>
  </r>
  <r>
    <x v="21"/>
    <m/>
    <x v="2"/>
    <m/>
    <n v="19"/>
    <m/>
    <m/>
    <m/>
    <n v="1"/>
    <m/>
    <s v="https://www.regierung.li/media/attachments/126-corona-generelles-veranstaltungsverbot-weitere-schliessungen.pdf?t=637202562374055719"/>
  </r>
  <r>
    <x v="21"/>
    <m/>
    <x v="12"/>
    <m/>
    <n v="59"/>
    <m/>
    <m/>
    <m/>
    <m/>
    <n v="0"/>
    <s v="https://www.fr.ch/sites/default/files/2020-05/statistiques_situation_FR_0105.xlsx"/>
  </r>
  <r>
    <x v="21"/>
    <m/>
    <x v="0"/>
    <n v="4750"/>
    <n v="587"/>
    <n v="75"/>
    <n v="19"/>
    <n v="17"/>
    <m/>
    <n v="5"/>
    <s v="https://www.ge.ch/document/covid-19-situation-epidemiologique-geneve/telecharger"/>
  </r>
  <r>
    <x v="21"/>
    <m/>
    <x v="19"/>
    <m/>
    <n v="12"/>
    <n v="0"/>
    <m/>
    <m/>
    <m/>
    <n v="0"/>
    <s v="https://www.gl.ch/public/upload/assets/27992/COVID-19_Fallzahlen_Kanton_Glarus.xlsx"/>
  </r>
  <r>
    <x v="21"/>
    <m/>
    <x v="26"/>
    <m/>
    <n v="101"/>
    <n v="9"/>
    <m/>
    <m/>
    <m/>
    <n v="1"/>
    <s v="https://www.gr.ch/DE/institutionen/verwaltung/djsg/ga/coronavirus/info/Seiten/Start.aspx"/>
  </r>
  <r>
    <x v="21"/>
    <m/>
    <x v="3"/>
    <m/>
    <n v="29"/>
    <n v="11"/>
    <n v="0"/>
    <m/>
    <m/>
    <n v="0"/>
    <s v="https://www.jura.ch/Htdocs/Files/v/34292.xlsx/Departements/CHA/SIC/Carrousel/Coronavirus/Cornavirus/Chiffres/donnees_30_04.xlsx?download=1"/>
  </r>
  <r>
    <x v="21"/>
    <m/>
    <x v="13"/>
    <m/>
    <n v="114"/>
    <n v="16"/>
    <m/>
    <m/>
    <m/>
    <n v="1"/>
    <s v="https://www.ne.ch/autorites/DFS/SCSP/medecin-cantonal/maladies-vaccinations/Documents/Covid-19-Statistiques/COVID19_PublicationInternet.xlsx"/>
  </r>
  <r>
    <x v="21"/>
    <m/>
    <x v="20"/>
    <m/>
    <n v="12"/>
    <n v="6"/>
    <m/>
    <m/>
    <m/>
    <m/>
    <s v="http://www.nw.ch/coronastatistik"/>
  </r>
  <r>
    <x v="21"/>
    <m/>
    <x v="14"/>
    <m/>
    <n v="47"/>
    <m/>
    <m/>
    <m/>
    <m/>
    <m/>
    <s v="https://www.sg.ch/tools/informationen-coronavirus.html"/>
  </r>
  <r>
    <x v="21"/>
    <m/>
    <x v="21"/>
    <m/>
    <n v="2"/>
    <m/>
    <m/>
    <m/>
    <m/>
    <n v="0"/>
    <s v="https://sh.ch/CMS/get/file/c1688ab0-1c33-488a-8c2b-85b3bde7fe77"/>
  </r>
  <r>
    <x v="21"/>
    <m/>
    <x v="25"/>
    <n v="276"/>
    <n v="23"/>
    <m/>
    <m/>
    <m/>
    <m/>
    <m/>
    <s v=""/>
  </r>
  <r>
    <x v="21"/>
    <m/>
    <x v="1"/>
    <m/>
    <n v="422"/>
    <m/>
    <m/>
    <m/>
    <m/>
    <n v="10"/>
    <s v="https://www4.ti.ch/area-media/comunicati/dettaglio-comunicato/?NEWS_ID=187486&amp;tx_tichareamedia_comunicazioni%5Baction%5D=show&amp;tx_tichareamedia_comunicazioni%5Bcontroller%5D=Comunicazioni&amp;cHash=d106aab74491da09b294ff13ffadd02f"/>
  </r>
  <r>
    <x v="21"/>
    <m/>
    <x v="8"/>
    <m/>
    <n v="1039"/>
    <n v="140"/>
    <n v="24"/>
    <m/>
    <m/>
    <n v="9"/>
    <s v="https://www.vd.ch/toutes-les-actualites/hotline-et-informations-sur-le-coronavirus/point-de-situation-statistique-dans-le-canton-de-vaud/"/>
  </r>
  <r>
    <x v="21"/>
    <m/>
    <x v="9"/>
    <m/>
    <n v="225"/>
    <n v="46"/>
    <n v="2"/>
    <n v="2"/>
    <m/>
    <n v="3"/>
    <s v="https://www.vs.ch/documents/6756452/7008787/2020%2004%2029%20Sit%20Epid%20-%20%C3%89tat%20Stand"/>
  </r>
  <r>
    <x v="21"/>
    <n v="0.33333333333333331"/>
    <x v="11"/>
    <m/>
    <n v="29"/>
    <n v="0"/>
    <n v="0"/>
    <m/>
    <n v="1"/>
    <n v="0"/>
    <s v="https://www.zg.ch/behoerden/gesundheitsdirektion/statistikfachstelle/themen/gesundheit/corona"/>
  </r>
  <r>
    <x v="21"/>
    <n v="0.5"/>
    <x v="5"/>
    <m/>
    <n v="164"/>
    <n v="30"/>
    <m/>
    <m/>
    <n v="25"/>
    <n v="4"/>
    <s v="https://www.coronavirus.bs.ch/nm/2020-tagesbulletin-coronavirus-165-bestaetigte-faelle-im-kanton-basel-stadt-gd.html"/>
  </r>
  <r>
    <x v="21"/>
    <n v="0.60416666666666663"/>
    <x v="4"/>
    <m/>
    <n v="430"/>
    <m/>
    <m/>
    <m/>
    <m/>
    <n v="1"/>
    <s v="https://gd.zh.ch/internet/gesundheitsdirektion/de/themen/coronavirus.html"/>
  </r>
  <r>
    <x v="21"/>
    <n v="0.66666666666666663"/>
    <x v="10"/>
    <m/>
    <n v="67"/>
    <n v="2"/>
    <m/>
    <m/>
    <n v="4"/>
    <m/>
    <s v="https://www.ag.ch/media/kanton_aargau/themen_1/coronavirus_1/lagebulletins/200317_KFS_Coronavirus_Lagebulletin_13.pdf"/>
  </r>
  <r>
    <x v="22"/>
    <m/>
    <x v="17"/>
    <m/>
    <n v="11"/>
    <n v="3"/>
    <m/>
    <m/>
    <m/>
    <m/>
    <s v="https://www.ar.ch/schnellzugriff/medienmitteilungen-der-kantonalen-verwaltung/detail/news/coronavirus-bevoelkerung-und-alle-spitaeler-machen-bei-der-gesundheitsversorgung-mit/?tx_news_pi1%5Bcontroller%5D=News&amp;tx_news_pi1%5Baction%5D=detail&amp;cHash=3d2a0733446b5fc7cdad0f48f61c28fd"/>
  </r>
  <r>
    <x v="22"/>
    <m/>
    <x v="6"/>
    <m/>
    <n v="193"/>
    <m/>
    <m/>
    <m/>
    <m/>
    <n v="1"/>
    <s v="https://www.besondere-lage.sites.be.ch/besondere-lage_sites/de/index/corona/index.html"/>
  </r>
  <r>
    <x v="22"/>
    <m/>
    <x v="7"/>
    <m/>
    <n v="116"/>
    <n v="27"/>
    <n v="2"/>
    <m/>
    <n v="16"/>
    <n v="2"/>
    <s v="https://www.baselland.ch/politik-und-behorden/direktionen/volkswirtschafts-und-gesundheitsdirektion/medienmitteilungen/update-116-bestaetigte-faelle-in-basel-landschaft"/>
  </r>
  <r>
    <x v="22"/>
    <m/>
    <x v="2"/>
    <m/>
    <n v="28"/>
    <m/>
    <m/>
    <m/>
    <n v="1"/>
    <m/>
    <s v="https://www.regierung.li/media/attachments/131-corona-hotline-0318.pdf?t=637202562374055719"/>
  </r>
  <r>
    <x v="22"/>
    <m/>
    <x v="12"/>
    <m/>
    <n v="86"/>
    <n v="11"/>
    <n v="5"/>
    <m/>
    <m/>
    <n v="0"/>
    <s v="https://www.fr.ch/sites/default/files/2020-05/statistiques_situation_FR_0105.xlsx"/>
  </r>
  <r>
    <x v="22"/>
    <m/>
    <x v="0"/>
    <n v="5573"/>
    <n v="775"/>
    <n v="78"/>
    <n v="20"/>
    <n v="17"/>
    <m/>
    <n v="6"/>
    <s v="https://www.ge.ch/document/covid-19-situation-epidemiologique-geneve/telecharger"/>
  </r>
  <r>
    <x v="22"/>
    <m/>
    <x v="19"/>
    <m/>
    <n v="14"/>
    <n v="0"/>
    <m/>
    <m/>
    <m/>
    <n v="0"/>
    <s v="https://www.gl.ch/public/upload/assets/27992/COVID-19_Fallzahlen_Kanton_Glarus.xlsx"/>
  </r>
  <r>
    <x v="22"/>
    <m/>
    <x v="26"/>
    <m/>
    <n v="128"/>
    <n v="13"/>
    <m/>
    <m/>
    <m/>
    <n v="1"/>
    <s v="https://www.gr.ch/DE/institutionen/verwaltung/djsg/ga/coronavirus/info/Seiten/Start.aspx"/>
  </r>
  <r>
    <x v="22"/>
    <m/>
    <x v="3"/>
    <m/>
    <n v="32"/>
    <n v="11"/>
    <n v="0"/>
    <m/>
    <m/>
    <n v="0"/>
    <s v="https://www.jura.ch/Htdocs/Files/v/34292.xlsx/Departements/CHA/SIC/Carrousel/Coronavirus/Cornavirus/Chiffres/donnees_30_04.xlsx?download=1"/>
  </r>
  <r>
    <x v="22"/>
    <m/>
    <x v="13"/>
    <m/>
    <n v="146"/>
    <n v="18"/>
    <m/>
    <m/>
    <m/>
    <n v="2"/>
    <s v="https://www.ne.ch/autorites/DFS/SCSP/medecin-cantonal/maladies-vaccinations/Documents/Covid-19-Statistiques/COVID19_PublicationInternet.xlsx"/>
  </r>
  <r>
    <x v="22"/>
    <m/>
    <x v="20"/>
    <m/>
    <n v="18"/>
    <n v="6"/>
    <m/>
    <m/>
    <m/>
    <m/>
    <s v="http://www.nw.ch/coronastatistik"/>
  </r>
  <r>
    <x v="22"/>
    <m/>
    <x v="14"/>
    <m/>
    <n v="61"/>
    <m/>
    <m/>
    <m/>
    <m/>
    <m/>
    <s v="https://www.sg.ch/tools/informationen-coronavirus.html"/>
  </r>
  <r>
    <x v="22"/>
    <m/>
    <x v="21"/>
    <m/>
    <n v="8"/>
    <m/>
    <m/>
    <m/>
    <m/>
    <n v="0"/>
    <s v="https://sh.ch/CMS/get/file/c1688ab0-1c33-488a-8c2b-85b3bde7fe77"/>
  </r>
  <r>
    <x v="22"/>
    <m/>
    <x v="18"/>
    <m/>
    <n v="43"/>
    <m/>
    <m/>
    <m/>
    <m/>
    <m/>
    <s v="https://www.oltnertagblatt.ch/solothurn/kanton-solothurn/zivilschuetzer-kontrollieren-wer-in-die-solothurner-spitaeler-rein-will-137174885"/>
  </r>
  <r>
    <x v="22"/>
    <m/>
    <x v="25"/>
    <m/>
    <n v="32"/>
    <m/>
    <m/>
    <m/>
    <m/>
    <m/>
    <s v="https://www.tg.ch/news/fachdossier-coronavirus.html/10552"/>
  </r>
  <r>
    <x v="22"/>
    <m/>
    <x v="1"/>
    <m/>
    <n v="511"/>
    <m/>
    <m/>
    <m/>
    <m/>
    <n v="14"/>
    <s v="https://www4.ti.ch/area-media/comunicati/dettaglio-comunicato/?NEWS_ID=187493&amp;tx_tichareamedia_comunicazioni%5Baction%5D=show&amp;tx_tichareamedia_comunicazioni%5Bcontroller%5D=Comunicazioni&amp;cHash=7803bbc03dd49ef2e421dfd6b12dd239"/>
  </r>
  <r>
    <x v="22"/>
    <m/>
    <x v="22"/>
    <n v="85"/>
    <n v="5"/>
    <m/>
    <m/>
    <m/>
    <m/>
    <m/>
    <s v="https://www.ur.ch/mmdirektionen/63802"/>
  </r>
  <r>
    <x v="22"/>
    <m/>
    <x v="8"/>
    <m/>
    <n v="1305"/>
    <n v="153"/>
    <n v="24"/>
    <m/>
    <m/>
    <n v="12"/>
    <s v="https://www.vd.ch/toutes-les-actualites/hotline-et-informations-sur-le-coronavirus/point-de-situation-statistique-dans-le-canton-de-vaud/"/>
  </r>
  <r>
    <x v="22"/>
    <m/>
    <x v="9"/>
    <m/>
    <n v="312"/>
    <n v="58"/>
    <n v="2"/>
    <n v="2"/>
    <m/>
    <n v="4"/>
    <s v="https://www.vs.ch/documents/6756452/7008787/2020%2004%2029%20Sit%20Epid%20-%20%C3%89tat%20Stand"/>
  </r>
  <r>
    <x v="22"/>
    <n v="0.33333333333333331"/>
    <x v="11"/>
    <m/>
    <n v="33"/>
    <n v="0"/>
    <n v="0"/>
    <m/>
    <n v="5"/>
    <n v="0"/>
    <s v="https://www.zg.ch/behoerden/gesundheitsdirektion/statistikfachstelle/themen/gesundheit/corona"/>
  </r>
  <r>
    <x v="22"/>
    <n v="0.46875"/>
    <x v="5"/>
    <m/>
    <n v="181"/>
    <n v="40"/>
    <m/>
    <m/>
    <n v="36"/>
    <n v="4"/>
    <s v="https://www.coronavirus.bs.ch/nm/2020-tagesbulletin-coronavirus-182-bestaetigte-faelle-im-kanton-basel-stadt-treffen-mit-allen-spitaelern-gd.html"/>
  </r>
  <r>
    <x v="22"/>
    <n v="0.60416666666666663"/>
    <x v="4"/>
    <m/>
    <n v="569"/>
    <m/>
    <m/>
    <m/>
    <m/>
    <n v="2"/>
    <s v="https://gd.zh.ch/internet/gesundheitsdirektion/de/themen/coronavirus.html"/>
  </r>
  <r>
    <x v="22"/>
    <n v="0.66666666666666663"/>
    <x v="10"/>
    <m/>
    <n v="101"/>
    <n v="6"/>
    <m/>
    <m/>
    <n v="4"/>
    <m/>
    <s v="https://www.ag.ch/media/kanton_aargau/themen_1/coronavirus_1/lagebulletins/200318_KFS_Coronavirus_Lagebulletin_14.pdf"/>
  </r>
  <r>
    <x v="22"/>
    <n v="0.66666666666666663"/>
    <x v="16"/>
    <m/>
    <n v="65"/>
    <m/>
    <m/>
    <m/>
    <m/>
    <m/>
    <s v="https://web.archive.org/web/20200318191404/https://gesundheit.lu.ch/themen/Humanmedizin/Infektionskrankheiten/Coronavirus"/>
  </r>
  <r>
    <x v="23"/>
    <m/>
    <x v="24"/>
    <m/>
    <n v="6"/>
    <n v="1"/>
    <m/>
    <m/>
    <m/>
    <m/>
    <s v="Kantonaler Führungsstab Appenzell Innerrhoden"/>
  </r>
  <r>
    <x v="23"/>
    <m/>
    <x v="6"/>
    <m/>
    <n v="282"/>
    <m/>
    <m/>
    <m/>
    <m/>
    <n v="1"/>
    <s v="https://www.besondere-lage.sites.be.ch/besondere-lage_sites/de/index/corona/index.html"/>
  </r>
  <r>
    <x v="23"/>
    <m/>
    <x v="7"/>
    <m/>
    <n v="134"/>
    <n v="19"/>
    <n v="2"/>
    <m/>
    <n v="16"/>
    <n v="2"/>
    <s v="https://www.baselland.ch/politik-und-behorden/direktionen/volkswirtschafts-und-gesundheitsdirektion/medienmitteilungen/update-131-bestaetigte-faelle-in-basel-landschaft"/>
  </r>
  <r>
    <x v="23"/>
    <m/>
    <x v="12"/>
    <m/>
    <n v="111"/>
    <n v="12"/>
    <n v="5"/>
    <m/>
    <m/>
    <n v="1"/>
    <s v="https://www.fr.ch/sites/default/files/2020-05/statistiques_situation_FR_0105.xlsx"/>
  </r>
  <r>
    <x v="23"/>
    <m/>
    <x v="0"/>
    <n v="6233"/>
    <n v="994"/>
    <n v="92"/>
    <n v="19"/>
    <n v="18"/>
    <m/>
    <n v="7"/>
    <s v="https://www.ge.ch/document/covid-19-situation-epidemiologique-geneve/telecharger"/>
  </r>
  <r>
    <x v="23"/>
    <m/>
    <x v="19"/>
    <m/>
    <n v="16"/>
    <n v="0"/>
    <m/>
    <m/>
    <m/>
    <n v="0"/>
    <s v="https://www.gl.ch/public/upload/assets/27992/COVID-19_Fallzahlen_Kanton_Glarus.xlsx"/>
  </r>
  <r>
    <x v="23"/>
    <m/>
    <x v="26"/>
    <m/>
    <n v="182"/>
    <n v="18"/>
    <m/>
    <m/>
    <m/>
    <n v="2"/>
    <s v="https://www.gr.ch/DE/institutionen/verwaltung/djsg/ga/coronavirus/info/Seiten/Start.aspx"/>
  </r>
  <r>
    <x v="23"/>
    <m/>
    <x v="3"/>
    <m/>
    <n v="36"/>
    <n v="12"/>
    <n v="0"/>
    <m/>
    <m/>
    <n v="0"/>
    <s v="https://www.jura.ch/Htdocs/Files/v/34292.xlsx/Departements/CHA/SIC/Carrousel/Coronavirus/Cornavirus/Chiffres/donnees_30_04.xlsx?download=1"/>
  </r>
  <r>
    <x v="23"/>
    <m/>
    <x v="13"/>
    <m/>
    <n v="175"/>
    <n v="19"/>
    <m/>
    <m/>
    <m/>
    <n v="3"/>
    <s v="https://www.ne.ch/autorites/DFS/SCSP/medecin-cantonal/maladies-vaccinations/Documents/Covid-19-Statistiques/COVID19_PublicationInternet.xlsx"/>
  </r>
  <r>
    <x v="23"/>
    <m/>
    <x v="20"/>
    <m/>
    <n v="25"/>
    <n v="5"/>
    <m/>
    <m/>
    <m/>
    <m/>
    <s v="http://www.nw.ch/coronastatistik"/>
  </r>
  <r>
    <x v="23"/>
    <m/>
    <x v="14"/>
    <m/>
    <n v="85"/>
    <m/>
    <m/>
    <m/>
    <m/>
    <m/>
    <s v="https://www.sg.ch/tools/informationen-coronavirus.html"/>
  </r>
  <r>
    <x v="23"/>
    <m/>
    <x v="21"/>
    <m/>
    <n v="12"/>
    <m/>
    <m/>
    <m/>
    <m/>
    <n v="0"/>
    <s v="https://sh.ch/CMS/get/file/c1688ab0-1c33-488a-8c2b-85b3bde7fe77"/>
  </r>
  <r>
    <x v="23"/>
    <m/>
    <x v="25"/>
    <m/>
    <n v="37"/>
    <m/>
    <m/>
    <m/>
    <m/>
    <m/>
    <s v="https://www.tg.ch/news/fachdossier-coronavirus.html/10552"/>
  </r>
  <r>
    <x v="23"/>
    <m/>
    <x v="1"/>
    <m/>
    <n v="638"/>
    <n v="155"/>
    <n v="33"/>
    <m/>
    <m/>
    <n v="15"/>
    <s v="https://www4.ti.ch/area-media/comunicati/dettaglio-comunicato/?NEWS_ID=187499&amp;tx_tichareamedia_comunicazioni%5Baction%5D=show&amp;tx_tichareamedia_comunicazioni%5Bcontroller%5D=Comunicazioni&amp;cHash=634a783514bdcbb426c005f1ea916268 https://www.youtube.com/watch?v=34RQ7OOWYoI"/>
  </r>
  <r>
    <x v="23"/>
    <m/>
    <x v="22"/>
    <m/>
    <n v="7"/>
    <m/>
    <m/>
    <m/>
    <m/>
    <m/>
    <s v="https://www.ur.ch/mmdirektionen/63841"/>
  </r>
  <r>
    <x v="23"/>
    <m/>
    <x v="8"/>
    <m/>
    <n v="1514"/>
    <n v="170"/>
    <n v="23"/>
    <m/>
    <m/>
    <n v="13"/>
    <s v="https://www.vd.ch/toutes-les-actualites/hotline-et-informations-sur-le-coronavirus/point-de-situation-statistique-dans-le-canton-de-vaud/"/>
  </r>
  <r>
    <x v="23"/>
    <m/>
    <x v="9"/>
    <m/>
    <n v="349"/>
    <n v="64"/>
    <n v="5"/>
    <n v="5"/>
    <m/>
    <n v="6"/>
    <s v="https://www.vs.ch/documents/6756452/7008787/2020%2004%2029%20Sit%20Epid%20-%20%C3%89tat%20Stand"/>
  </r>
  <r>
    <x v="23"/>
    <n v="0.33333333333333331"/>
    <x v="11"/>
    <m/>
    <n v="37"/>
    <n v="1"/>
    <n v="0"/>
    <m/>
    <n v="5"/>
    <n v="0"/>
    <s v="https://www.zg.ch/behoerden/gesundheitsdirektion/statistikfachstelle/themen/gesundheit/corona"/>
  </r>
  <r>
    <x v="23"/>
    <n v="0.45833333333333331"/>
    <x v="5"/>
    <m/>
    <n v="220"/>
    <n v="40"/>
    <m/>
    <m/>
    <n v="44"/>
    <n v="4"/>
    <s v="https://www.coronavirus.bs.ch/nm/2020-tagesbulletin-coronavirus-222-bestaetigte-faelle-basel-stadt-trifft-gemeinsam-mit-den-spitaelern-vorkehrungen-fuer-intensiv--und-beatmungskapazitaeten-gd.html"/>
  </r>
  <r>
    <x v="23"/>
    <n v="0.60416666666666663"/>
    <x v="4"/>
    <m/>
    <n v="680"/>
    <n v="60"/>
    <m/>
    <n v="12"/>
    <m/>
    <n v="3"/>
    <s v="https://gd.zh.ch/internet/gesundheitsdirektion/de/themen/coronavirus.html"/>
  </r>
  <r>
    <x v="23"/>
    <n v="0.625"/>
    <x v="10"/>
    <m/>
    <n v="118"/>
    <n v="17"/>
    <n v="6"/>
    <n v="3"/>
    <m/>
    <m/>
    <s v="https://www.ag.ch/media/kanton_aargau/themen_1/coronavirus_1/lagebulletins/200319_KFS_Coronavirus_Lagebulletin_15.pdf"/>
  </r>
  <r>
    <x v="24"/>
    <m/>
    <x v="6"/>
    <m/>
    <n v="377"/>
    <m/>
    <m/>
    <m/>
    <m/>
    <n v="2"/>
    <s v="https://www.besondere-lage.sites.be.ch/besondere-lage_sites/de/index/corona/index.html"/>
  </r>
  <r>
    <x v="24"/>
    <m/>
    <x v="7"/>
    <m/>
    <n v="184"/>
    <n v="27"/>
    <n v="2"/>
    <m/>
    <n v="18"/>
    <n v="3"/>
    <s v="https://www.baselland.ch/politik-und-behorden/direktionen/volkswirtschafts-und-gesundheitsdirektion/medienmitteilungen/update-170-bestaetigte-faelle-in-basel-landschaft"/>
  </r>
  <r>
    <x v="24"/>
    <m/>
    <x v="2"/>
    <m/>
    <n v="37"/>
    <m/>
    <m/>
    <m/>
    <n v="1"/>
    <m/>
    <s v="https://www.regierung.li/media/attachments/136-soziale-kontakte-reduktion-corona.pdf?t=637203388043363286"/>
  </r>
  <r>
    <x v="24"/>
    <m/>
    <x v="12"/>
    <m/>
    <n v="145"/>
    <n v="20"/>
    <n v="6"/>
    <m/>
    <m/>
    <n v="1"/>
    <s v="https://www.fr.ch/sites/default/files/2020-05/statistiques_situation_FR_0105.xlsx"/>
  </r>
  <r>
    <x v="24"/>
    <m/>
    <x v="0"/>
    <n v="6647"/>
    <n v="1119"/>
    <n v="109"/>
    <n v="22"/>
    <n v="21"/>
    <m/>
    <n v="9"/>
    <s v="https://www.ge.ch/document/covid-19-situation-epidemiologique-geneve/telecharger"/>
  </r>
  <r>
    <x v="24"/>
    <m/>
    <x v="19"/>
    <m/>
    <n v="20"/>
    <n v="0"/>
    <m/>
    <m/>
    <m/>
    <n v="0"/>
    <s v="https://www.gl.ch/public/upload/assets/27992/COVID-19_Fallzahlen_Kanton_Glarus.xlsx"/>
  </r>
  <r>
    <x v="24"/>
    <m/>
    <x v="26"/>
    <m/>
    <n v="226"/>
    <n v="24"/>
    <m/>
    <m/>
    <m/>
    <n v="3"/>
    <s v="https://www.gr.ch/DE/institutionen/verwaltung/djsg/ga/coronavirus/info/Seiten/Start.aspx"/>
  </r>
  <r>
    <x v="24"/>
    <m/>
    <x v="3"/>
    <m/>
    <n v="44"/>
    <n v="14"/>
    <n v="1"/>
    <m/>
    <m/>
    <n v="0"/>
    <s v="https://www.jura.ch/Htdocs/Files/v/34292.xlsx/Departements/CHA/SIC/Carrousel/Coronavirus/Cornavirus/Chiffres/donnees_30_04.xlsx?download=1"/>
  </r>
  <r>
    <x v="24"/>
    <m/>
    <x v="13"/>
    <m/>
    <n v="189"/>
    <n v="21"/>
    <m/>
    <m/>
    <m/>
    <n v="3"/>
    <s v="https://www.ne.ch/autorites/DFS/SCSP/medecin-cantonal/maladies-vaccinations/Documents/Covid-19-Statistiques/COVID19_PublicationInternet.xlsx"/>
  </r>
  <r>
    <x v="24"/>
    <m/>
    <x v="20"/>
    <m/>
    <n v="28"/>
    <n v="5"/>
    <m/>
    <m/>
    <m/>
    <m/>
    <s v="http://www.nw.ch/coronastatistik"/>
  </r>
  <r>
    <x v="24"/>
    <m/>
    <x v="14"/>
    <m/>
    <n v="98"/>
    <m/>
    <m/>
    <m/>
    <m/>
    <m/>
    <s v="https://www.sg.ch/tools/informationen-coronavirus.html"/>
  </r>
  <r>
    <x v="24"/>
    <m/>
    <x v="21"/>
    <m/>
    <n v="17"/>
    <m/>
    <m/>
    <m/>
    <m/>
    <n v="0"/>
    <s v="https://sh.ch/CMS/get/file/c1688ab0-1c33-488a-8c2b-85b3bde7fe77"/>
  </r>
  <r>
    <x v="24"/>
    <m/>
    <x v="25"/>
    <m/>
    <n v="50"/>
    <m/>
    <m/>
    <m/>
    <m/>
    <m/>
    <s v="https://www.tg.ch/news/fachdossier-coronavirus.html/10552"/>
  </r>
  <r>
    <x v="24"/>
    <m/>
    <x v="8"/>
    <m/>
    <n v="1756"/>
    <n v="182"/>
    <n v="23"/>
    <m/>
    <m/>
    <n v="19"/>
    <s v="https://www.vd.ch/toutes-les-actualites/hotline-et-informations-sur-le-coronavirus/point-de-situation-statistique-dans-le-canton-de-vaud/"/>
  </r>
  <r>
    <x v="24"/>
    <m/>
    <x v="9"/>
    <m/>
    <n v="436"/>
    <n v="73"/>
    <n v="6"/>
    <n v="5"/>
    <m/>
    <n v="7"/>
    <s v="https://www.vs.ch/documents/6756452/7008787/2020%2004%2029%20Sit%20Epid%20-%20%C3%89tat%20Stand"/>
  </r>
  <r>
    <x v="24"/>
    <n v="0.33333333333333331"/>
    <x v="1"/>
    <m/>
    <n v="834"/>
    <n v="168"/>
    <n v="35"/>
    <m/>
    <m/>
    <n v="22"/>
    <s v="https://www4.ti.ch/dss/dsp/covid19/home/ https://www.youtube.com/watch?v=34RQ7OOWYoI"/>
  </r>
  <r>
    <x v="24"/>
    <n v="0.33333333333333331"/>
    <x v="11"/>
    <m/>
    <n v="48"/>
    <n v="1"/>
    <n v="0"/>
    <m/>
    <n v="5"/>
    <n v="0"/>
    <s v="https://www.zg.ch/behoerden/gesundheitsdirektion/statistikfachstelle/themen/gesundheit/corona"/>
  </r>
  <r>
    <x v="24"/>
    <n v="0.40277777777777779"/>
    <x v="16"/>
    <m/>
    <n v="92"/>
    <m/>
    <m/>
    <m/>
    <m/>
    <m/>
    <s v="https://gesundheit.lu.ch/themen/Humanmedizin/Infektionskrankheiten/Coronavirus"/>
  </r>
  <r>
    <x v="24"/>
    <n v="0.41666666666666669"/>
    <x v="5"/>
    <m/>
    <n v="270"/>
    <n v="45"/>
    <m/>
    <m/>
    <n v="46"/>
    <n v="4"/>
    <s v="https://www.coronavirus.bs.ch/nm/2020-tagesbulletin-coronavirus-272-bestaetigte-faelle-im-kanton-basel-stadt-gd.html"/>
  </r>
  <r>
    <x v="24"/>
    <n v="0.5"/>
    <x v="22"/>
    <m/>
    <n v="7"/>
    <m/>
    <m/>
    <m/>
    <m/>
    <m/>
    <s v="https://www.ur.ch/themen/2920"/>
  </r>
  <r>
    <x v="24"/>
    <n v="0.60416666666666663"/>
    <x v="4"/>
    <m/>
    <n v="712"/>
    <n v="78"/>
    <m/>
    <n v="15"/>
    <m/>
    <n v="4"/>
    <s v="https://gd.zh.ch/internet/gesundheitsdirektion/de/themen/coronavirus.html"/>
  </r>
  <r>
    <x v="24"/>
    <n v="0.625"/>
    <x v="10"/>
    <m/>
    <n v="168"/>
    <n v="25"/>
    <n v="4"/>
    <n v="2"/>
    <m/>
    <n v="1"/>
    <s v="https://www.ag.ch/media/kanton_aargau/themen_1/coronavirus_1/lagebulletins/200320_KFS_Coronavirus_Lagebulletin_16.pdf"/>
  </r>
  <r>
    <x v="24"/>
    <n v="0.73402777777777772"/>
    <x v="18"/>
    <m/>
    <n v="66"/>
    <m/>
    <m/>
    <m/>
    <m/>
    <m/>
    <s v="https://twitter.com/KantonSolothurn/status/1241041303024041989?p=p"/>
  </r>
  <r>
    <x v="25"/>
    <m/>
    <x v="17"/>
    <m/>
    <m/>
    <m/>
    <m/>
    <m/>
    <m/>
    <n v="1"/>
    <s v="https://www.ar.ch/schnellzugriff/medienmitteilungen-der-kantonalen-verwaltung/detail/news/coronavirus-erster-todesfall-in-appenzell-ausserrhoden/?tx_news_pi1%5Bcontroller%5D=News&amp;tx_news_pi1%5Baction%5D=detail&amp;cHash=a88f209df29c38474f9c5f9e1c5dd53f"/>
  </r>
  <r>
    <x v="25"/>
    <m/>
    <x v="6"/>
    <m/>
    <n v="418"/>
    <m/>
    <m/>
    <m/>
    <m/>
    <n v="3"/>
    <s v="https://www.besondere-lage.sites.be.ch/besondere-lage_sites/de/index/corona/index.html"/>
  </r>
  <r>
    <x v="25"/>
    <m/>
    <x v="7"/>
    <m/>
    <n v="282"/>
    <n v="30"/>
    <n v="4"/>
    <m/>
    <n v="21"/>
    <n v="3"/>
    <s v="https://www.baselland.ch/politik-und-behorden/direktionen/volkswirtschafts-und-gesundheitsdirektion/medienmitteilungen/update-282-bestaetigte-faelle-in-basel-landschaft"/>
  </r>
  <r>
    <x v="25"/>
    <m/>
    <x v="2"/>
    <m/>
    <n v="44"/>
    <m/>
    <m/>
    <m/>
    <m/>
    <m/>
    <s v="https://www.regierung.li/media/attachments/138-corona-starke-zunahme-0321.pdf?t=637204593432337675"/>
  </r>
  <r>
    <x v="25"/>
    <m/>
    <x v="12"/>
    <m/>
    <n v="167"/>
    <n v="28"/>
    <n v="6"/>
    <m/>
    <m/>
    <n v="2"/>
    <s v="https://www.fr.ch/sites/default/files/2020-05/statistiques_situation_FR_0105.xlsx"/>
  </r>
  <r>
    <x v="25"/>
    <m/>
    <x v="0"/>
    <n v="7009"/>
    <n v="1248"/>
    <n v="145"/>
    <n v="25"/>
    <n v="24"/>
    <m/>
    <n v="9"/>
    <s v="https://www.ge.ch/document/covid-19-situation-epidemiologique-geneve/telecharger"/>
  </r>
  <r>
    <x v="25"/>
    <m/>
    <x v="19"/>
    <m/>
    <n v="25"/>
    <n v="0"/>
    <m/>
    <m/>
    <m/>
    <n v="0"/>
    <s v="https://www.gl.ch/public/upload/assets/27992/COVID-19_Fallzahlen_Kanton_Glarus.xlsx"/>
  </r>
  <r>
    <x v="25"/>
    <m/>
    <x v="26"/>
    <m/>
    <n v="258"/>
    <n v="24"/>
    <m/>
    <m/>
    <m/>
    <n v="4"/>
    <s v="https://www.gr.ch/DE/institutionen/verwaltung/djsg/ga/coronavirus/info/Seiten/Start.aspx"/>
  </r>
  <r>
    <x v="25"/>
    <m/>
    <x v="3"/>
    <m/>
    <n v="54"/>
    <n v="13"/>
    <n v="1"/>
    <m/>
    <m/>
    <n v="0"/>
    <s v="https://www.jura.ch/Htdocs/Files/v/34292.xlsx/Departements/CHA/SIC/Carrousel/Coronavirus/Cornavirus/Chiffres/donnees_30_04.xlsx?download=1"/>
  </r>
  <r>
    <x v="25"/>
    <m/>
    <x v="13"/>
    <m/>
    <n v="200"/>
    <n v="20"/>
    <m/>
    <m/>
    <m/>
    <n v="4"/>
    <s v="https://www.ne.ch/autorites/DFS/SCSP/medecin-cantonal/maladies-vaccinations/Documents/Covid-19-Statistiques/COVID19_PublicationInternet.xlsx"/>
  </r>
  <r>
    <x v="25"/>
    <m/>
    <x v="20"/>
    <m/>
    <n v="33"/>
    <n v="5"/>
    <m/>
    <m/>
    <m/>
    <m/>
    <s v="http://www.nw.ch/coronastatistik"/>
  </r>
  <r>
    <x v="25"/>
    <m/>
    <x v="21"/>
    <m/>
    <n v="28"/>
    <m/>
    <m/>
    <m/>
    <m/>
    <n v="0"/>
    <s v="https://sh.ch/CMS/get/file/c1688ab0-1c33-488a-8c2b-85b3bde7fe77"/>
  </r>
  <r>
    <x v="25"/>
    <m/>
    <x v="25"/>
    <m/>
    <n v="57"/>
    <m/>
    <m/>
    <m/>
    <m/>
    <m/>
    <s v="https://www.tg.ch/news/fachdossier-coronavirus.html/10552"/>
  </r>
  <r>
    <x v="25"/>
    <m/>
    <x v="8"/>
    <m/>
    <n v="1875"/>
    <n v="210"/>
    <n v="24"/>
    <m/>
    <m/>
    <n v="22"/>
    <s v="https://www.vd.ch/toutes-les-actualites/hotline-et-informations-sur-le-coronavirus/point-de-situation-statistique-dans-le-canton-de-vaud/"/>
  </r>
  <r>
    <x v="25"/>
    <m/>
    <x v="9"/>
    <m/>
    <n v="498"/>
    <n v="83"/>
    <n v="8"/>
    <n v="6"/>
    <m/>
    <n v="10"/>
    <s v="https://www.vs.ch/documents/6756452/7008787/2020%2004%2029%20Sit%20Epid%20-%20%C3%89tat%20Stand"/>
  </r>
  <r>
    <x v="25"/>
    <n v="0.33333333333333331"/>
    <x v="1"/>
    <m/>
    <n v="918"/>
    <n v="184"/>
    <n v="40"/>
    <n v="37"/>
    <m/>
    <n v="28"/>
    <s v="https://www4.ti.ch/dss/dsp/covid19/home/ https://www.youtube.com/watch?v=7g2sALU9bQM"/>
  </r>
  <r>
    <x v="25"/>
    <n v="0.33333333333333331"/>
    <x v="22"/>
    <m/>
    <n v="12"/>
    <m/>
    <m/>
    <m/>
    <m/>
    <m/>
    <s v="https://www.ur.ch/themen/2920"/>
  </r>
  <r>
    <x v="25"/>
    <n v="0.33333333333333331"/>
    <x v="11"/>
    <m/>
    <n v="53"/>
    <n v="3"/>
    <n v="0"/>
    <m/>
    <n v="5"/>
    <n v="0"/>
    <s v="https://www.zg.ch/behoerden/gesundheitsdirektion/statistikfachstelle/themen/gesundheit/corona"/>
  </r>
  <r>
    <x v="25"/>
    <n v="0.41666666666666669"/>
    <x v="5"/>
    <m/>
    <n v="297"/>
    <n v="46"/>
    <m/>
    <m/>
    <n v="57"/>
    <n v="5"/>
    <s v="https://www.coronavirus.bs.ch/nm/2020-tagesbulletin-coronavirus-299-bestaetigte-faelle-im-kanton-basel-stadt-gd.html"/>
  </r>
  <r>
    <x v="25"/>
    <n v="0.45833333333333331"/>
    <x v="16"/>
    <m/>
    <n v="109"/>
    <m/>
    <m/>
    <m/>
    <m/>
    <n v="1"/>
    <s v="https://gesundheit.lu.ch/themen/Humanmedizin/Infektionskrankheiten/Coronavirus;https://newsletter.lu.ch/inxmail/html_mail.jsp?params=7UGt4J1Fx6OIONHlV9upAAuOzkQ6ZmQA%2FxRrLjJkeDWZdweUdKfwhAE94i2Apium%2F6rIvcF2Z5MaTtV52A77W2jrwVmrkZ8UhFPVmHC4iuI%3D"/>
  </r>
  <r>
    <x v="25"/>
    <n v="0.60416666666666663"/>
    <x v="4"/>
    <m/>
    <n v="712"/>
    <n v="83"/>
    <m/>
    <n v="23"/>
    <m/>
    <n v="5"/>
    <s v="https://gd.zh.ch/internet/gesundheitsdirektion/de/themen/coronavirus.html"/>
  </r>
  <r>
    <x v="26"/>
    <m/>
    <x v="7"/>
    <m/>
    <n v="289"/>
    <n v="40"/>
    <n v="7"/>
    <m/>
    <n v="21"/>
    <n v="3"/>
    <s v="https://www.baselland.ch/politik-und-behorden/direktionen/volkswirtschafts-und-gesundheitsdirektion/medienmitteilungen/update-289-bestaetigte-faelle-in-basel-landschaft"/>
  </r>
  <r>
    <x v="26"/>
    <m/>
    <x v="2"/>
    <m/>
    <n v="46"/>
    <m/>
    <m/>
    <m/>
    <m/>
    <m/>
    <s v="https://www.regierung.li/media/attachments/139-46-faelle-0322.pdf?t=637204971345932209"/>
  </r>
  <r>
    <x v="26"/>
    <m/>
    <x v="12"/>
    <m/>
    <n v="202"/>
    <n v="32"/>
    <n v="8"/>
    <m/>
    <m/>
    <n v="3"/>
    <s v="https://www.fr.ch/sites/default/files/2020-05/statistiques_situation_FR_0105.xlsx"/>
  </r>
  <r>
    <x v="26"/>
    <m/>
    <x v="0"/>
    <n v="7244"/>
    <n v="1391"/>
    <n v="179"/>
    <n v="36"/>
    <n v="36"/>
    <m/>
    <n v="10"/>
    <s v="https://www.ge.ch/document/covid-19-situation-epidemiologique-geneve/telecharger"/>
  </r>
  <r>
    <x v="26"/>
    <m/>
    <x v="19"/>
    <m/>
    <n v="29"/>
    <n v="0"/>
    <m/>
    <m/>
    <m/>
    <n v="0"/>
    <s v="https://www.gl.ch/public/upload/assets/27992/COVID-19_Fallzahlen_Kanton_Glarus.xlsx"/>
  </r>
  <r>
    <x v="26"/>
    <m/>
    <x v="26"/>
    <m/>
    <n v="284"/>
    <n v="27"/>
    <m/>
    <m/>
    <m/>
    <n v="4"/>
    <s v="https://www.gr.ch/DE/institutionen/verwaltung/djsg/ga/coronavirus/info/Seiten/Start.aspx"/>
  </r>
  <r>
    <x v="26"/>
    <m/>
    <x v="3"/>
    <m/>
    <n v="61"/>
    <n v="18"/>
    <n v="2"/>
    <m/>
    <m/>
    <n v="0"/>
    <s v="https://www.jura.ch/Htdocs/Files/v/34292.xlsx/Departements/CHA/SIC/Carrousel/Coronavirus/Cornavirus/Chiffres/donnees_30_04.xlsx?download=1"/>
  </r>
  <r>
    <x v="26"/>
    <m/>
    <x v="13"/>
    <m/>
    <n v="216"/>
    <n v="28"/>
    <m/>
    <m/>
    <m/>
    <n v="4"/>
    <s v="https://www.ne.ch/autorites/DFS/SCSP/medecin-cantonal/maladies-vaccinations/Documents/Covid-19-Statistiques/COVID19_PublicationInternet.xlsx"/>
  </r>
  <r>
    <x v="26"/>
    <m/>
    <x v="20"/>
    <m/>
    <n v="36"/>
    <n v="5"/>
    <m/>
    <m/>
    <m/>
    <m/>
    <s v="http://www.nw.ch/coronastatistik"/>
  </r>
  <r>
    <x v="26"/>
    <m/>
    <x v="21"/>
    <m/>
    <n v="30"/>
    <m/>
    <m/>
    <m/>
    <m/>
    <n v="0"/>
    <s v="https://sh.ch/CMS/get/file/c1688ab0-1c33-488a-8c2b-85b3bde7fe77"/>
  </r>
  <r>
    <x v="26"/>
    <m/>
    <x v="25"/>
    <m/>
    <n v="76"/>
    <m/>
    <m/>
    <m/>
    <m/>
    <m/>
    <s v="https://www.tg.ch/news/fachdossier-coronavirus.html/10552"/>
  </r>
  <r>
    <x v="26"/>
    <m/>
    <x v="8"/>
    <m/>
    <n v="1977"/>
    <n v="230"/>
    <n v="30"/>
    <m/>
    <m/>
    <n v="24"/>
    <s v="https://www.vd.ch/toutes-les-actualites/hotline-et-informations-sur-le-coronavirus/point-de-situation-statistique-dans-le-canton-de-vaud/"/>
  </r>
  <r>
    <x v="26"/>
    <m/>
    <x v="9"/>
    <m/>
    <n v="535"/>
    <n v="92"/>
    <n v="11"/>
    <n v="7"/>
    <m/>
    <n v="11"/>
    <s v="https://www.vs.ch/documents/6756452/7008787/2020%2004%2029%20Sit%20Epid%20-%20%C3%89tat%20Stand"/>
  </r>
  <r>
    <x v="26"/>
    <n v="0.33333333333333331"/>
    <x v="1"/>
    <m/>
    <n v="939"/>
    <n v="246"/>
    <n v="46"/>
    <n v="43"/>
    <m/>
    <n v="37"/>
    <s v="https://web.archive.org/web/20200322153528/https://www4.ti.ch/dss/dsp/covid19/home/"/>
  </r>
  <r>
    <x v="26"/>
    <n v="0.33333333333333331"/>
    <x v="11"/>
    <m/>
    <n v="53"/>
    <n v="3"/>
    <n v="0"/>
    <m/>
    <n v="5"/>
    <n v="0"/>
    <s v="https://www.zg.ch/behoerden/gesundheitsdirektion/statistikfachstelle/themen/gesundheit/corona"/>
  </r>
  <r>
    <x v="26"/>
    <n v="0.4375"/>
    <x v="5"/>
    <m/>
    <n v="356"/>
    <n v="50"/>
    <m/>
    <m/>
    <n v="73"/>
    <n v="5"/>
    <s v="https://www.coronavirus.bs.ch/nm/2020-tagesbulletin-coronavirus-358-bestaetigte-faelle-im-kanton-basel-stadt-gd.html"/>
  </r>
  <r>
    <x v="26"/>
    <n v="0.45833333333333331"/>
    <x v="16"/>
    <m/>
    <n v="131"/>
    <m/>
    <m/>
    <m/>
    <m/>
    <n v="1"/>
    <s v="https://gesundheit.lu.ch/themen/Humanmedizin/Infektionskrankheiten/Coronavirus"/>
  </r>
  <r>
    <x v="26"/>
    <n v="0.5"/>
    <x v="10"/>
    <m/>
    <n v="232"/>
    <m/>
    <m/>
    <m/>
    <m/>
    <n v="1"/>
    <s v="https://www.ag.ch/de/aktuelles/medienportal/medienmitteilung/medienmitteilungen/mediendetails_139237.jsp"/>
  </r>
  <r>
    <x v="26"/>
    <n v="0.60416666666666663"/>
    <x v="4"/>
    <m/>
    <n v="712"/>
    <n v="110"/>
    <m/>
    <n v="22"/>
    <m/>
    <n v="6"/>
    <s v="https://gd.zh.ch/internet/gesundheitsdirektion/de/themen/coronavirus.html"/>
  </r>
  <r>
    <x v="27"/>
    <m/>
    <x v="6"/>
    <m/>
    <n v="470"/>
    <m/>
    <m/>
    <m/>
    <m/>
    <n v="5"/>
    <s v="https://www.besondere-lage.sites.be.ch/besondere-lage_sites/de/index/corona/index.html"/>
  </r>
  <r>
    <x v="27"/>
    <m/>
    <x v="7"/>
    <m/>
    <n v="302"/>
    <n v="51"/>
    <n v="10"/>
    <m/>
    <n v="35"/>
    <n v="3"/>
    <s v="https://www.baselland.ch/politik-und-behorden/direktionen/volkswirtschafts-und-gesundheitsdirektion/medienmitteilungen/update-289-bestaetigte-faelle-in-basel-landschaft-1"/>
  </r>
  <r>
    <x v="27"/>
    <m/>
    <x v="12"/>
    <m/>
    <n v="226"/>
    <n v="35"/>
    <n v="7"/>
    <m/>
    <m/>
    <n v="4"/>
    <s v="https://www.fr.ch/sites/default/files/2020-05/statistiques_situation_FR_0105.xlsx"/>
  </r>
  <r>
    <x v="27"/>
    <m/>
    <x v="0"/>
    <n v="7622"/>
    <n v="1536"/>
    <n v="214"/>
    <n v="43"/>
    <n v="41"/>
    <m/>
    <n v="16"/>
    <s v="https://www.ge.ch/document/covid-19-situation-epidemiologique-geneve/telecharger"/>
  </r>
  <r>
    <x v="27"/>
    <m/>
    <x v="19"/>
    <m/>
    <n v="31"/>
    <n v="3"/>
    <m/>
    <m/>
    <m/>
    <n v="0"/>
    <s v="https://www.gl.ch/public/upload/assets/27992/COVID-19_Fallzahlen_Kanton_Glarus.xlsx"/>
  </r>
  <r>
    <x v="27"/>
    <m/>
    <x v="26"/>
    <m/>
    <n v="300"/>
    <n v="29"/>
    <m/>
    <m/>
    <m/>
    <n v="5"/>
    <s v="https://www.gr.ch/DE/institutionen/verwaltung/djsg/ga/coronavirus/info/Seiten/Start.aspx"/>
  </r>
  <r>
    <x v="27"/>
    <m/>
    <x v="3"/>
    <m/>
    <n v="69"/>
    <n v="18"/>
    <n v="3"/>
    <m/>
    <m/>
    <n v="0"/>
    <s v="https://www.jura.ch/Htdocs/Files/v/34292.xlsx/Departements/CHA/SIC/Carrousel/Coronavirus/Cornavirus/Chiffres/donnees_30_04.xlsx?download=1"/>
  </r>
  <r>
    <x v="27"/>
    <m/>
    <x v="13"/>
    <m/>
    <n v="247"/>
    <n v="33"/>
    <n v="11"/>
    <n v="6"/>
    <m/>
    <n v="5"/>
    <s v="https://www.ne.ch/autorites/DFS/SCSP/medecin-cantonal/maladies-vaccinations/Documents/Covid-19-Statistiques/COVID19_PublicationInternet.xlsx"/>
  </r>
  <r>
    <x v="27"/>
    <m/>
    <x v="20"/>
    <m/>
    <n v="39"/>
    <n v="5"/>
    <m/>
    <m/>
    <m/>
    <m/>
    <s v="http://www.nw.ch/coronastatistik"/>
  </r>
  <r>
    <x v="27"/>
    <m/>
    <x v="23"/>
    <m/>
    <n v="25"/>
    <m/>
    <m/>
    <m/>
    <m/>
    <m/>
    <s v="https://www.ow.ch/de/verwaltung/dienstleistungen/?dienst_id=5962"/>
  </r>
  <r>
    <x v="27"/>
    <m/>
    <x v="14"/>
    <m/>
    <n v="185"/>
    <m/>
    <m/>
    <m/>
    <m/>
    <n v="1"/>
    <s v="https://www.sg.ch/tools/informationen-coronavirus.html"/>
  </r>
  <r>
    <x v="27"/>
    <m/>
    <x v="21"/>
    <m/>
    <n v="32"/>
    <m/>
    <m/>
    <m/>
    <m/>
    <n v="0"/>
    <s v="https://sh.ch/CMS/get/file/c1688ab0-1c33-488a-8c2b-85b3bde7fe77"/>
  </r>
  <r>
    <x v="27"/>
    <m/>
    <x v="25"/>
    <m/>
    <n v="82"/>
    <m/>
    <m/>
    <m/>
    <m/>
    <m/>
    <s v="https://www.tg.ch/news/fachdossier-coronavirus.html/10552"/>
  </r>
  <r>
    <x v="27"/>
    <m/>
    <x v="22"/>
    <m/>
    <n v="22"/>
    <n v="1"/>
    <m/>
    <m/>
    <n v="1"/>
    <m/>
    <s v="https://www.ur.ch/themen/2920"/>
  </r>
  <r>
    <x v="27"/>
    <m/>
    <x v="8"/>
    <m/>
    <n v="2283"/>
    <n v="248"/>
    <n v="39"/>
    <m/>
    <m/>
    <n v="28"/>
    <s v="https://www.vd.ch/toutes-les-actualites/hotline-et-informations-sur-le-coronavirus/point-de-situation-statistique-dans-le-canton-de-vaud/"/>
  </r>
  <r>
    <x v="27"/>
    <m/>
    <x v="9"/>
    <m/>
    <n v="628"/>
    <n v="104"/>
    <n v="12"/>
    <n v="9"/>
    <m/>
    <n v="13"/>
    <s v="https://www.vs.ch/documents/6756452/7008787/2020%2004%2029%20Sit%20Epid%20-%20%C3%89tat%20Stand"/>
  </r>
  <r>
    <x v="27"/>
    <n v="0.33333333333333331"/>
    <x v="1"/>
    <m/>
    <n v="1165"/>
    <n v="261"/>
    <n v="45"/>
    <n v="43"/>
    <m/>
    <n v="48"/>
    <s v="https://www4.ti.ch/area-media/comunicati/dettaglio-comunicato/?NEWS_ID=187510&amp;tx_tichareamedia_comunicazioni%5Baction%5D=show&amp;tx_tichareamedia_comunicazioni%5Bcontroller%5D=Comunicazioni&amp;cHash=0120f665ab49651b9d66c876ef272a91"/>
  </r>
  <r>
    <x v="27"/>
    <n v="0.33333333333333331"/>
    <x v="11"/>
    <m/>
    <n v="53"/>
    <n v="3"/>
    <n v="0"/>
    <m/>
    <n v="5"/>
    <n v="0"/>
    <s v="https://www.zg.ch/behoerden/gesundheitsdirektion/statistikfachstelle/themen/gesundheit/corona"/>
  </r>
  <r>
    <x v="27"/>
    <n v="0.41666666666666669"/>
    <x v="17"/>
    <m/>
    <n v="30"/>
    <n v="7"/>
    <m/>
    <m/>
    <m/>
    <n v="1"/>
    <s v="https://www.ar.ch/verwaltung/departement-gesundheit-und-soziales/amt-fuer-gesundheit/informationsseite-coronavirus/"/>
  </r>
  <r>
    <x v="27"/>
    <n v="0.41666666666666669"/>
    <x v="5"/>
    <m/>
    <n v="374"/>
    <n v="56"/>
    <m/>
    <m/>
    <n v="78"/>
    <n v="5"/>
    <s v="https://www.coronavirus.bs.ch/nm/2020-tagesbulletin-coronavirus-376-bestaetigte-faelle-im-kanton-basel-stadt-gd.html"/>
  </r>
  <r>
    <x v="27"/>
    <n v="0.45833333333333331"/>
    <x v="16"/>
    <m/>
    <n v="156"/>
    <m/>
    <m/>
    <m/>
    <m/>
    <n v="1"/>
    <s v="https://gesundheit.lu.ch/themen/Humanmedizin/Infektionskrankheiten/Coronavirus"/>
  </r>
  <r>
    <x v="27"/>
    <n v="0.5"/>
    <x v="18"/>
    <m/>
    <n v="95"/>
    <m/>
    <m/>
    <m/>
    <m/>
    <n v="1"/>
    <s v="https://corona.so.ch/"/>
  </r>
  <r>
    <x v="27"/>
    <n v="0.60416666666666663"/>
    <x v="4"/>
    <m/>
    <n v="1076"/>
    <n v="127"/>
    <m/>
    <n v="27"/>
    <m/>
    <n v="6"/>
    <s v="https://gd.zh.ch/internet/gesundheitsdirektion/de/themen/coronavirus.html"/>
  </r>
  <r>
    <x v="27"/>
    <n v="0.625"/>
    <x v="10"/>
    <m/>
    <n v="241"/>
    <n v="10"/>
    <n v="3"/>
    <n v="2"/>
    <m/>
    <n v="1"/>
    <s v="https://www.ag.ch/media/kanton_aargau/themen_1/coronavirus_1/lagebulletins/200323_KFS_Coronavirus_Lagebulletin_17.pdf"/>
  </r>
  <r>
    <x v="27"/>
    <n v="0.75"/>
    <x v="2"/>
    <m/>
    <n v="51"/>
    <m/>
    <m/>
    <m/>
    <m/>
    <m/>
    <s v="https://www.regierung.li/media/attachments/140-corona-regierung-0323.pdf?t=637205847493377066"/>
  </r>
  <r>
    <x v="28"/>
    <m/>
    <x v="6"/>
    <m/>
    <n v="532"/>
    <m/>
    <m/>
    <m/>
    <m/>
    <n v="6"/>
    <s v="https://www.besondere-lage.sites.be.ch/besondere-lage_sites/de/index/corona/index.html"/>
  </r>
  <r>
    <x v="28"/>
    <m/>
    <x v="7"/>
    <m/>
    <n v="306"/>
    <n v="66"/>
    <n v="11"/>
    <m/>
    <n v="40"/>
    <n v="4"/>
    <s v="https://www.baselland.ch/politik-und-behorden/direktionen/volkswirtschafts-und-gesundheitsdirektion/amt-fur-gesundheit/medizinische-dienste/kantonsarztlicher-dienst/aktuelles/covid-19-faelle-kanton-basel-landschaft"/>
  </r>
  <r>
    <x v="28"/>
    <m/>
    <x v="2"/>
    <m/>
    <n v="51"/>
    <m/>
    <m/>
    <m/>
    <m/>
    <m/>
    <s v="https://www.regierung.li/media/attachments/143-coronavirus-praesenz-fernunterricht.pdf?t=637207680400073990"/>
  </r>
  <r>
    <x v="28"/>
    <m/>
    <x v="12"/>
    <m/>
    <n v="255"/>
    <n v="35"/>
    <n v="7"/>
    <m/>
    <m/>
    <n v="5"/>
    <s v="https://www.fr.ch/sites/default/files/2020-05/statistiques_situation_FR_0105.xlsx"/>
  </r>
  <r>
    <x v="28"/>
    <m/>
    <x v="0"/>
    <n v="7965"/>
    <n v="1636"/>
    <n v="238"/>
    <n v="41"/>
    <n v="41"/>
    <n v="103"/>
    <n v="17"/>
    <s v="https://www.ge.ch/document/covid-19-situation-epidemiologique-geneve/telecharger"/>
  </r>
  <r>
    <x v="28"/>
    <m/>
    <x v="19"/>
    <m/>
    <n v="33"/>
    <n v="3"/>
    <m/>
    <m/>
    <m/>
    <n v="0"/>
    <s v="https://www.gl.ch/public/upload/assets/27992/COVID-19_Fallzahlen_Kanton_Glarus.xlsx"/>
  </r>
  <r>
    <x v="28"/>
    <m/>
    <x v="26"/>
    <m/>
    <n v="343"/>
    <n v="43"/>
    <m/>
    <m/>
    <m/>
    <n v="6"/>
    <s v="https://www.gr.ch/DE/institutionen/verwaltung/djsg/ga/coronavirus/info/Seiten/Start.aspx"/>
  </r>
  <r>
    <x v="28"/>
    <m/>
    <x v="3"/>
    <m/>
    <n v="82"/>
    <n v="22"/>
    <n v="4"/>
    <m/>
    <m/>
    <n v="0"/>
    <s v="https://www.jura.ch/Htdocs/Files/v/34292.xlsx/Departements/CHA/SIC/Carrousel/Coronavirus/Cornavirus/Chiffres/donnees_30_04.xlsx?download=1"/>
  </r>
  <r>
    <x v="28"/>
    <m/>
    <x v="13"/>
    <m/>
    <n v="265"/>
    <n v="32"/>
    <n v="8"/>
    <n v="6"/>
    <m/>
    <n v="6"/>
    <s v="https://www.ne.ch/autorites/DFS/SCSP/medecin-cantonal/maladies-vaccinations/Documents/Covid-19-Statistiques/COVID19_PublicationInternet.xlsx"/>
  </r>
  <r>
    <x v="28"/>
    <m/>
    <x v="20"/>
    <m/>
    <n v="42"/>
    <n v="4"/>
    <m/>
    <m/>
    <m/>
    <m/>
    <s v="http://www.nw.ch/coronastatistik"/>
  </r>
  <r>
    <x v="28"/>
    <m/>
    <x v="23"/>
    <m/>
    <n v="25"/>
    <m/>
    <m/>
    <m/>
    <m/>
    <m/>
    <s v="https://www.ow.ch/de/verwaltung/dienstleistungen/?dienst_id=5962"/>
  </r>
  <r>
    <x v="28"/>
    <m/>
    <x v="14"/>
    <m/>
    <n v="200"/>
    <m/>
    <m/>
    <m/>
    <m/>
    <n v="1"/>
    <s v="https://www.sg.ch/tools/informationen-coronavirus.html"/>
  </r>
  <r>
    <x v="28"/>
    <m/>
    <x v="21"/>
    <m/>
    <n v="34"/>
    <m/>
    <m/>
    <m/>
    <m/>
    <n v="0"/>
    <s v="https://sh.ch/CMS/get/file/c1688ab0-1c33-488a-8c2b-85b3bde7fe77"/>
  </r>
  <r>
    <x v="28"/>
    <m/>
    <x v="15"/>
    <m/>
    <n v="97"/>
    <m/>
    <m/>
    <m/>
    <n v="10"/>
    <n v="0"/>
    <s v="https://www.sz.ch/public/upload/assets/46403/COVID-19_Fallzahlen_Kanton_Schwyz.xlsx"/>
  </r>
  <r>
    <x v="28"/>
    <m/>
    <x v="25"/>
    <m/>
    <n v="88"/>
    <m/>
    <m/>
    <m/>
    <m/>
    <n v="1"/>
    <s v="https://www.tg.ch/news/fachdossier-coronavirus.html/10552 &amp; https://www.tg.ch/news/news-detailseite.html/485/news/44925"/>
  </r>
  <r>
    <x v="28"/>
    <m/>
    <x v="8"/>
    <m/>
    <n v="2548"/>
    <n v="284"/>
    <n v="40"/>
    <m/>
    <m/>
    <n v="32"/>
    <s v="https://www.vd.ch/toutes-les-actualites/hotline-et-informations-sur-le-coronavirus/point-de-situation-statistique-dans-le-canton-de-vaud/"/>
  </r>
  <r>
    <x v="28"/>
    <m/>
    <x v="9"/>
    <m/>
    <n v="728"/>
    <n v="117"/>
    <n v="13"/>
    <n v="12"/>
    <m/>
    <n v="14"/>
    <s v="https://www.vs.ch/documents/6756452/7008787/2020%2004%2029%20Sit%20Epid%20-%20%C3%89tat%20Stand"/>
  </r>
  <r>
    <x v="28"/>
    <n v="0"/>
    <x v="18"/>
    <m/>
    <n v="104"/>
    <m/>
    <m/>
    <m/>
    <m/>
    <n v="1"/>
    <s v="https://corona.so.ch/"/>
  </r>
  <r>
    <x v="28"/>
    <n v="0.33333333333333331"/>
    <x v="1"/>
    <m/>
    <n v="1211"/>
    <n v="285"/>
    <n v="50"/>
    <n v="48"/>
    <m/>
    <n v="53"/>
    <s v="https://www4.ti.ch/area-media/comunicati/dettaglio-comunicato/?NEWS_ID=187520&amp;tx_tichareamedia_comunicazioni%5Baction%5D=show&amp;tx_tichareamedia_comunicazioni%5Bcontroller%5D=Comunicazioni&amp;cHash=4d581f57e92de04937175bab9e5b0f14"/>
  </r>
  <r>
    <x v="28"/>
    <n v="0.33333333333333331"/>
    <x v="11"/>
    <m/>
    <n v="72"/>
    <n v="6"/>
    <n v="0"/>
    <m/>
    <n v="12"/>
    <n v="0"/>
    <s v="https://www.zg.ch/behoerden/gesundheitsdirektion/statistikfachstelle/themen/gesundheit/corona"/>
  </r>
  <r>
    <x v="28"/>
    <n v="0.375"/>
    <x v="5"/>
    <m/>
    <n v="410"/>
    <n v="58"/>
    <m/>
    <m/>
    <n v="105"/>
    <n v="5"/>
    <s v="https://www.coronavirus.bs.ch/nm/2020-tagesbulletin-coronavirus-414-bestaetigte-faelle-im-kanton-basel-stadt-gd.html"/>
  </r>
  <r>
    <x v="28"/>
    <n v="0.41666666666666669"/>
    <x v="17"/>
    <m/>
    <n v="33"/>
    <n v="6"/>
    <m/>
    <m/>
    <m/>
    <n v="2"/>
    <s v="https://www.ar.ch/verwaltung/departement-gesundheit-und-soziales/amt-fuer-gesundheit/informationsseite-coronavirus/"/>
  </r>
  <r>
    <x v="28"/>
    <n v="0.45833333333333331"/>
    <x v="16"/>
    <m/>
    <n v="205"/>
    <m/>
    <m/>
    <m/>
    <m/>
    <n v="2"/>
    <s v="https://gesundheit.lu.ch/themen/Humanmedizin/Infektionskrankheiten/Coronavirus"/>
  </r>
  <r>
    <x v="28"/>
    <n v="0.5"/>
    <x v="22"/>
    <m/>
    <n v="25"/>
    <n v="1"/>
    <m/>
    <m/>
    <n v="1"/>
    <m/>
    <s v="https://www.ur.ch/themen/2920"/>
  </r>
  <r>
    <x v="28"/>
    <n v="0.60416666666666663"/>
    <x v="4"/>
    <m/>
    <n v="1224"/>
    <n v="138"/>
    <m/>
    <n v="26"/>
    <m/>
    <n v="8"/>
    <s v="https://gd.zh.ch/internet/gesundheitsdirektion/de/themen/coronavirus.html"/>
  </r>
  <r>
    <x v="28"/>
    <n v="0.625"/>
    <x v="10"/>
    <m/>
    <n v="266"/>
    <n v="24"/>
    <n v="2"/>
    <n v="2"/>
    <m/>
    <n v="2"/>
    <s v="https://www.ag.ch/media/kanton_aargau/themen_1/coronavirus_1/lagebulletins/200324_KFS_Coronavirus_Lagebulletin_18.pdf"/>
  </r>
  <r>
    <x v="28"/>
    <n v="0.70833333333333337"/>
    <x v="24"/>
    <m/>
    <n v="8"/>
    <m/>
    <m/>
    <m/>
    <m/>
    <m/>
    <s v="https://www.ai.ch/themen/gesundheit-alter-und-soziales/gesundheitsfoerderung-und-praevention/uebertragbare-krankheiten/coronavirus"/>
  </r>
  <r>
    <x v="29"/>
    <m/>
    <x v="6"/>
    <m/>
    <n v="624"/>
    <m/>
    <m/>
    <m/>
    <m/>
    <n v="6"/>
    <s v="https://www.besondere-lage.sites.be.ch/besondere-lage_sites/de/index/corona/index.html"/>
  </r>
  <r>
    <x v="29"/>
    <m/>
    <x v="7"/>
    <m/>
    <n v="341"/>
    <n v="68"/>
    <n v="8"/>
    <m/>
    <n v="46"/>
    <n v="5"/>
    <s v="https://www.baselland.ch/politik-und-behorden/direktionen/volkswirtschafts-und-gesundheitsdirektion/amt-fur-gesundheit/medizinische-dienste/kantonsarztlicher-dienst/aktuelles/covid-19-faelle-kanton-basel-landschaft"/>
  </r>
  <r>
    <x v="29"/>
    <m/>
    <x v="2"/>
    <m/>
    <n v="53"/>
    <m/>
    <m/>
    <m/>
    <m/>
    <m/>
    <s v="https://www.regierung.li/media/attachments/145-drive-trouhg-anlage-corona.pdf?t=637207634421649200"/>
  </r>
  <r>
    <x v="29"/>
    <m/>
    <x v="12"/>
    <m/>
    <n v="293"/>
    <n v="39"/>
    <n v="7"/>
    <m/>
    <m/>
    <n v="6"/>
    <s v="https://www.fr.ch/sites/default/files/2020-05/statistiques_situation_FR_0105.xlsx"/>
  </r>
  <r>
    <x v="29"/>
    <m/>
    <x v="0"/>
    <n v="8370"/>
    <n v="1757"/>
    <n v="258"/>
    <n v="50"/>
    <n v="48"/>
    <n v="122"/>
    <n v="24"/>
    <s v="https://www.ge.ch/document/covid-19-situation-epidemiologique-geneve/telecharger"/>
  </r>
  <r>
    <x v="29"/>
    <m/>
    <x v="19"/>
    <m/>
    <n v="40"/>
    <n v="2"/>
    <m/>
    <m/>
    <m/>
    <n v="0"/>
    <s v="https://www.gl.ch/public/upload/assets/27992/COVID-19_Fallzahlen_Kanton_Glarus.xlsx"/>
  </r>
  <r>
    <x v="29"/>
    <m/>
    <x v="26"/>
    <m/>
    <n v="393"/>
    <n v="45"/>
    <m/>
    <m/>
    <m/>
    <n v="8"/>
    <s v="https://www.gr.ch/DE/institutionen/verwaltung/djsg/ga/coronavirus/info/Seiten/Start.aspx"/>
  </r>
  <r>
    <x v="29"/>
    <m/>
    <x v="3"/>
    <m/>
    <n v="92"/>
    <n v="23"/>
    <n v="4"/>
    <m/>
    <m/>
    <n v="0"/>
    <s v="https://www.jura.ch/Htdocs/Files/v/34292.xlsx/Departements/CHA/SIC/Carrousel/Coronavirus/Cornavirus/Chiffres/donnees_30_04.xlsx?download=1"/>
  </r>
  <r>
    <x v="29"/>
    <m/>
    <x v="13"/>
    <m/>
    <n v="280"/>
    <n v="41"/>
    <n v="10"/>
    <n v="7"/>
    <m/>
    <n v="9"/>
    <s v="https://www.ne.ch/autorites/DFS/SCSP/medecin-cantonal/maladies-vaccinations/Documents/Covid-19-Statistiques/COVID19_PublicationInternet.xlsx"/>
  </r>
  <r>
    <x v="29"/>
    <m/>
    <x v="20"/>
    <m/>
    <n v="44"/>
    <n v="3"/>
    <m/>
    <m/>
    <m/>
    <m/>
    <s v="http://www.nw.ch/coronastatistik"/>
  </r>
  <r>
    <x v="29"/>
    <m/>
    <x v="23"/>
    <m/>
    <n v="27"/>
    <m/>
    <m/>
    <m/>
    <m/>
    <m/>
    <s v="https://www.ow.ch/de/verwaltung/dienstleistungen/?dienst_id=5962"/>
  </r>
  <r>
    <x v="29"/>
    <m/>
    <x v="14"/>
    <m/>
    <n v="228"/>
    <m/>
    <m/>
    <m/>
    <m/>
    <n v="1"/>
    <s v="https://www.sg.ch/tools/informationen-coronavirus.html"/>
  </r>
  <r>
    <x v="29"/>
    <m/>
    <x v="21"/>
    <m/>
    <n v="35"/>
    <n v="10"/>
    <n v="1"/>
    <m/>
    <m/>
    <n v="0"/>
    <s v="https://sh.ch/CMS/get/file/c1688ab0-1c33-488a-8c2b-85b3bde7fe77"/>
  </r>
  <r>
    <x v="29"/>
    <m/>
    <x v="15"/>
    <m/>
    <m/>
    <m/>
    <m/>
    <m/>
    <n v="10"/>
    <n v="0"/>
    <s v="https://www.sz.ch/public/upload/assets/46403/COVID-19_Fallzahlen_Kanton_Schwyz.xlsx"/>
  </r>
  <r>
    <x v="29"/>
    <m/>
    <x v="25"/>
    <m/>
    <n v="97"/>
    <m/>
    <m/>
    <m/>
    <m/>
    <n v="1"/>
    <s v="https://www.tg.ch/news/fachdossier-coronavirus.html/10552"/>
  </r>
  <r>
    <x v="29"/>
    <m/>
    <x v="8"/>
    <m/>
    <n v="2740"/>
    <n v="311"/>
    <n v="51"/>
    <m/>
    <m/>
    <n v="40"/>
    <s v="https://www.vd.ch/toutes-les-actualites/hotline-et-informations-sur-le-coronavirus/point-de-situation-statistique-dans-le-canton-de-vaud/"/>
  </r>
  <r>
    <x v="29"/>
    <m/>
    <x v="9"/>
    <m/>
    <n v="793"/>
    <n v="118"/>
    <n v="15"/>
    <n v="14"/>
    <m/>
    <n v="15"/>
    <s v="https://www.vs.ch/documents/6756452/7008787/2020%2004%2029%20Sit%20Epid%20-%20%C3%89tat%20Stand"/>
  </r>
  <r>
    <x v="29"/>
    <n v="0"/>
    <x v="18"/>
    <m/>
    <n v="129"/>
    <m/>
    <m/>
    <m/>
    <m/>
    <n v="1"/>
    <s v="https://corona.so.ch/"/>
  </r>
  <r>
    <x v="29"/>
    <n v="0.33333333333333331"/>
    <x v="17"/>
    <m/>
    <n v="34"/>
    <m/>
    <m/>
    <m/>
    <m/>
    <n v="2"/>
    <s v="https://www.ar.ch/verwaltung/departement-gesundheit-und-soziales/amt-fuer-gesundheit/informationsseite-coronavirus/"/>
  </r>
  <r>
    <x v="29"/>
    <n v="0.33333333333333331"/>
    <x v="1"/>
    <m/>
    <n v="1354"/>
    <n v="306"/>
    <n v="57"/>
    <n v="55"/>
    <m/>
    <n v="60"/>
    <s v="https://www4.ti.ch/area-media/comunicati/dettaglio-comunicato/?NEWS_ID=187523&amp;tx_tichareamedia_comunicazioni%5Baction%5D=show&amp;tx_tichareamedia_comunicazioni%5Bcontroller%5D=Comunicazioni&amp;cHash=982795a2c13394282accc3a8506c9ba0"/>
  </r>
  <r>
    <x v="29"/>
    <n v="0.33333333333333331"/>
    <x v="11"/>
    <m/>
    <n v="80"/>
    <n v="9"/>
    <n v="1"/>
    <m/>
    <n v="18"/>
    <n v="0"/>
    <s v="https://www.zg.ch/behoerden/gesundheitsdirektion/statistikfachstelle/themen/gesundheit/corona"/>
  </r>
  <r>
    <x v="29"/>
    <n v="0.41666666666666669"/>
    <x v="5"/>
    <m/>
    <n v="462"/>
    <n v="58"/>
    <m/>
    <m/>
    <n v="128"/>
    <n v="8"/>
    <s v="https://www.coronavirus.bs.ch/nm/2020-tagesbulletin-coronavirus-466-bestaetigte-faelle-im-kanton-basel-stadt-gd.html"/>
  </r>
  <r>
    <x v="29"/>
    <n v="0.45833333333333331"/>
    <x v="16"/>
    <m/>
    <n v="228"/>
    <m/>
    <m/>
    <m/>
    <m/>
    <n v="2"/>
    <s v="https://gesundheit.lu.ch/themen/Humanmedizin/Infektionskrankheiten/Coronavirus"/>
  </r>
  <r>
    <x v="29"/>
    <n v="0.60416666666666663"/>
    <x v="4"/>
    <m/>
    <n v="1371"/>
    <n v="146"/>
    <m/>
    <n v="28"/>
    <m/>
    <n v="10"/>
    <s v="https://gd.zh.ch/internet/gesundheitsdirektion/de/themen/coronavirus.html"/>
  </r>
  <r>
    <x v="29"/>
    <n v="0.625"/>
    <x v="10"/>
    <m/>
    <n v="319"/>
    <n v="16"/>
    <n v="5"/>
    <n v="5"/>
    <m/>
    <n v="2"/>
    <s v="https://www.ag.ch/media/kanton_aargau/themen_1/coronavirus_1/lagebulletins/200325_KFS_Coronavirus_Lagebulletin_19.pdf"/>
  </r>
  <r>
    <x v="29"/>
    <n v="0.70833333333333337"/>
    <x v="24"/>
    <m/>
    <n v="9"/>
    <m/>
    <m/>
    <m/>
    <m/>
    <m/>
    <s v="https://www.ai.ch/themen/gesundheit-alter-und-soziales/gesundheitsfoerderung-und-praevention/uebertragbare-krankheiten/coronavirus"/>
  </r>
  <r>
    <x v="30"/>
    <m/>
    <x v="6"/>
    <m/>
    <n v="660"/>
    <m/>
    <m/>
    <m/>
    <m/>
    <n v="7"/>
    <s v="https://www.besondere-lage.sites.be.ch/besondere-lage_sites/de/index/corona/index.html"/>
  </r>
  <r>
    <x v="30"/>
    <m/>
    <x v="7"/>
    <m/>
    <n v="422"/>
    <n v="68"/>
    <n v="9"/>
    <m/>
    <n v="65"/>
    <n v="5"/>
    <s v="https://www.baselland.ch/politik-und-behorden/direktionen/volkswirtschafts-und-gesundheitsdirektion/amt-fur-gesundheit/medizinische-dienste/kantonsarztlicher-dienst/aktuelles/covid-19-faelle-kanton-basel-landschaft"/>
  </r>
  <r>
    <x v="30"/>
    <m/>
    <x v="2"/>
    <n v="900"/>
    <n v="56"/>
    <m/>
    <m/>
    <m/>
    <m/>
    <m/>
    <s v="https://www.regierung.li/media/attachments/151-900-personen-getestet.pdf?t=637208497707275503"/>
  </r>
  <r>
    <x v="30"/>
    <m/>
    <x v="12"/>
    <m/>
    <n v="309"/>
    <n v="44"/>
    <n v="5"/>
    <m/>
    <m/>
    <n v="11"/>
    <s v="https://www.fr.ch/sites/default/files/2020-05/statistiques_situation_FR_0105.xlsx"/>
  </r>
  <r>
    <x v="30"/>
    <m/>
    <x v="0"/>
    <n v="8876"/>
    <n v="1979"/>
    <n v="272"/>
    <n v="52"/>
    <n v="48"/>
    <n v="144"/>
    <n v="26"/>
    <s v="https://www.ge.ch/document/covid-19-situation-epidemiologique-geneve/telecharger"/>
  </r>
  <r>
    <x v="30"/>
    <m/>
    <x v="19"/>
    <m/>
    <n v="43"/>
    <n v="2"/>
    <m/>
    <m/>
    <m/>
    <n v="0"/>
    <s v="https://www.gl.ch/public/upload/assets/27992/COVID-19_Fallzahlen_Kanton_Glarus.xlsx"/>
  </r>
  <r>
    <x v="30"/>
    <m/>
    <x v="26"/>
    <m/>
    <n v="433"/>
    <n v="52"/>
    <m/>
    <m/>
    <m/>
    <n v="8"/>
    <s v="https://www.gr.ch/DE/institutionen/verwaltung/djsg/ga/coronavirus/info/Seiten/Start.aspx"/>
  </r>
  <r>
    <x v="30"/>
    <m/>
    <x v="3"/>
    <m/>
    <n v="100"/>
    <n v="22"/>
    <n v="4"/>
    <m/>
    <m/>
    <n v="0"/>
    <s v="https://www.jura.ch/Htdocs/Files/v/34292.xlsx/Departements/CHA/SIC/Carrousel/Coronavirus/Cornavirus/Chiffres/donnees_30_04.xlsx?download=1"/>
  </r>
  <r>
    <x v="30"/>
    <m/>
    <x v="13"/>
    <m/>
    <n v="299"/>
    <n v="42"/>
    <n v="9"/>
    <n v="7"/>
    <m/>
    <n v="12"/>
    <s v="https://www.ne.ch/autorites/DFS/SCSP/medecin-cantonal/maladies-vaccinations/Documents/Covid-19-Statistiques/COVID19_PublicationInternet.xlsx"/>
  </r>
  <r>
    <x v="30"/>
    <m/>
    <x v="20"/>
    <m/>
    <n v="48"/>
    <n v="2"/>
    <m/>
    <m/>
    <m/>
    <m/>
    <s v="http://www.nw.ch/coronastatistik"/>
  </r>
  <r>
    <x v="30"/>
    <m/>
    <x v="23"/>
    <m/>
    <n v="30"/>
    <m/>
    <m/>
    <m/>
    <m/>
    <m/>
    <s v="https://www.ow.ch/de/verwaltung/dienstleistungen/?dienst_id=5962"/>
  </r>
  <r>
    <x v="30"/>
    <m/>
    <x v="14"/>
    <m/>
    <n v="280"/>
    <m/>
    <m/>
    <m/>
    <m/>
    <n v="1"/>
    <s v="https://www.sg.ch/tools/informationen-coronavirus.html"/>
  </r>
  <r>
    <x v="30"/>
    <m/>
    <x v="21"/>
    <m/>
    <n v="36"/>
    <n v="6"/>
    <n v="1"/>
    <m/>
    <m/>
    <n v="0"/>
    <s v="https://sh.ch/CMS/get/file/c1688ab0-1c33-488a-8c2b-85b3bde7fe77"/>
  </r>
  <r>
    <x v="30"/>
    <m/>
    <x v="15"/>
    <m/>
    <n v="107"/>
    <m/>
    <m/>
    <m/>
    <n v="20"/>
    <n v="0"/>
    <s v="https://www.sz.ch/public/upload/assets/46403/COVID-19_Fallzahlen_Kanton_Schwyz.xlsx"/>
  </r>
  <r>
    <x v="30"/>
    <m/>
    <x v="25"/>
    <m/>
    <n v="111"/>
    <m/>
    <m/>
    <m/>
    <m/>
    <n v="1"/>
    <s v="https://www.tg.ch/news/fachdossier-coronavirus.html/10552"/>
  </r>
  <r>
    <x v="30"/>
    <m/>
    <x v="22"/>
    <m/>
    <n v="38"/>
    <n v="4"/>
    <m/>
    <m/>
    <n v="2"/>
    <m/>
    <s v="https://www.ur.ch/themen/2920"/>
  </r>
  <r>
    <x v="30"/>
    <m/>
    <x v="8"/>
    <m/>
    <n v="2945"/>
    <n v="322"/>
    <n v="55"/>
    <m/>
    <m/>
    <n v="57"/>
    <s v="https://www.vd.ch/toutes-les-actualites/hotline-et-informations-sur-le-coronavirus/point-de-situation-statistique-dans-le-canton-de-vaud/"/>
  </r>
  <r>
    <x v="30"/>
    <m/>
    <x v="9"/>
    <m/>
    <n v="874"/>
    <n v="128"/>
    <n v="19"/>
    <n v="17"/>
    <m/>
    <n v="17"/>
    <s v="https://www.vs.ch/documents/6756452/7008787/2020%2004%2029%20Sit%20Epid%20-%20%C3%89tat%20Stand"/>
  </r>
  <r>
    <x v="30"/>
    <n v="0"/>
    <x v="18"/>
    <m/>
    <n v="141"/>
    <m/>
    <m/>
    <m/>
    <m/>
    <n v="1"/>
    <s v="https://corona.so.ch/"/>
  </r>
  <r>
    <x v="30"/>
    <n v="0.33333333333333331"/>
    <x v="1"/>
    <m/>
    <n v="1401"/>
    <n v="358"/>
    <n v="60"/>
    <n v="56"/>
    <m/>
    <n v="67"/>
    <s v="https://www4.ti.ch/area-media/comunicati/dettaglio-comunicato/?NEWS_ID=187529&amp;tx_tichareamedia_comunicazioni%5Baction%5D=show&amp;tx_tichareamedia_comunicazioni%5Bcontroller%5D=Comunicazioni&amp;cHash=8ce8f2f412a3bb9022fb4a28c9ad7fa4"/>
  </r>
  <r>
    <x v="30"/>
    <n v="0.33333333333333331"/>
    <x v="11"/>
    <m/>
    <n v="87"/>
    <n v="10"/>
    <n v="1"/>
    <m/>
    <n v="18"/>
    <n v="0"/>
    <s v="https://www.zg.ch/behoerden/gesundheitsdirektion/statistikfachstelle/themen/gesundheit/corona"/>
  </r>
  <r>
    <x v="30"/>
    <n v="0.4375"/>
    <x v="5"/>
    <m/>
    <n v="501"/>
    <n v="74"/>
    <n v="8"/>
    <m/>
    <n v="155"/>
    <n v="12"/>
    <s v="https://www.coronavirus.bs.ch/nm/2020-tagesbulletin-coronavirus-505-bestaetigte-faelle-im-kanton-basel-stadt-gd.html"/>
  </r>
  <r>
    <x v="30"/>
    <n v="0.45833333333333331"/>
    <x v="16"/>
    <m/>
    <n v="253"/>
    <m/>
    <m/>
    <m/>
    <m/>
    <n v="3"/>
    <s v="https://gesundheit.lu.ch/themen/Humanmedizin/Infektionskrankheiten/Coronavirus"/>
  </r>
  <r>
    <x v="30"/>
    <n v="0.60416666666666663"/>
    <x v="4"/>
    <m/>
    <n v="1503"/>
    <n v="156"/>
    <m/>
    <n v="35"/>
    <m/>
    <n v="13"/>
    <s v="https://gd.zh.ch/internet/gesundheitsdirektion/de/themen/coronavirus.html"/>
  </r>
  <r>
    <x v="30"/>
    <n v="0.625"/>
    <x v="10"/>
    <m/>
    <n v="349"/>
    <n v="38"/>
    <n v="10"/>
    <n v="9"/>
    <m/>
    <n v="2"/>
    <s v="https://www.ag.ch/media/kanton_aargau/themen_1/coronavirus_1/lagebulletins/200326_KFS_Coronavirus_Lagebulletin_20.pdf"/>
  </r>
  <r>
    <x v="30"/>
    <n v="0.66666666666666663"/>
    <x v="17"/>
    <m/>
    <n v="42"/>
    <m/>
    <m/>
    <m/>
    <m/>
    <n v="2"/>
    <s v="https://www.ar.ch/verwaltung/departement-gesundheit-und-soziales/amt-fuer-gesundheit/informationsseite-coronavirus/"/>
  </r>
  <r>
    <x v="30"/>
    <n v="0.75"/>
    <x v="24"/>
    <m/>
    <n v="11"/>
    <m/>
    <m/>
    <m/>
    <m/>
    <m/>
    <s v="https://www.ai.ch/themen/gesundheit-alter-und-soziales/gesundheitsfoerderung-und-praevention/uebertragbare-krankheiten/coronavirus"/>
  </r>
  <r>
    <x v="31"/>
    <m/>
    <x v="6"/>
    <m/>
    <n v="718"/>
    <m/>
    <m/>
    <m/>
    <m/>
    <n v="8"/>
    <s v="https://www.besondere-lage.sites.be.ch/besondere-lage_sites/de/index/corona/index.html"/>
  </r>
  <r>
    <x v="31"/>
    <m/>
    <x v="7"/>
    <m/>
    <n v="466"/>
    <n v="79"/>
    <n v="11"/>
    <m/>
    <n v="76"/>
    <n v="5"/>
    <s v="https://www.baselland.ch/politik-und-behorden/direktionen/volkswirtschafts-und-gesundheitsdirektion/amt-fur-gesundheit/medizinische-dienste/kantonsarztlicher-dienst/aktuelles/covid-19-faelle-kanton-basel-landschaft"/>
  </r>
  <r>
    <x v="31"/>
    <m/>
    <x v="2"/>
    <m/>
    <n v="60"/>
    <m/>
    <m/>
    <m/>
    <m/>
    <m/>
    <s v="https://www.regierung.li/media/attachments/152-regierung-bedankt-sich.pdf?t=637209361840426241"/>
  </r>
  <r>
    <x v="31"/>
    <m/>
    <x v="12"/>
    <m/>
    <n v="369"/>
    <n v="50"/>
    <n v="8"/>
    <m/>
    <m/>
    <n v="14"/>
    <s v="https://www.fr.ch/sites/default/files/2020-05/statistiques_situation_FR_0105.xlsx"/>
  </r>
  <r>
    <x v="31"/>
    <m/>
    <x v="0"/>
    <n v="9366"/>
    <n v="2164"/>
    <n v="313"/>
    <n v="54"/>
    <n v="54"/>
    <n v="153"/>
    <n v="33"/>
    <s v="https://www.ge.ch/document/covid-19-situation-epidemiologique-geneve/telecharger"/>
  </r>
  <r>
    <x v="31"/>
    <m/>
    <x v="19"/>
    <m/>
    <n v="47"/>
    <n v="3"/>
    <m/>
    <m/>
    <m/>
    <n v="0"/>
    <s v="https://www.gl.ch/public/upload/assets/27992/COVID-19_Fallzahlen_Kanton_Glarus.xlsx"/>
  </r>
  <r>
    <x v="31"/>
    <m/>
    <x v="26"/>
    <m/>
    <n v="474"/>
    <n v="58"/>
    <m/>
    <m/>
    <m/>
    <n v="9"/>
    <s v="https://www.gr.ch/DE/institutionen/verwaltung/djsg/ga/coronavirus/info/Seiten/Start.aspx"/>
  </r>
  <r>
    <x v="31"/>
    <m/>
    <x v="3"/>
    <m/>
    <n v="114"/>
    <n v="25"/>
    <n v="6"/>
    <m/>
    <m/>
    <n v="0"/>
    <s v="https://www.jura.ch/Htdocs/Files/v/34292.xlsx/Departements/CHA/SIC/Carrousel/Coronavirus/Cornavirus/Chiffres/donnees_30_04.xlsx?download=1"/>
  </r>
  <r>
    <x v="31"/>
    <m/>
    <x v="13"/>
    <m/>
    <n v="316"/>
    <n v="45"/>
    <n v="9"/>
    <n v="7"/>
    <m/>
    <n v="13"/>
    <s v="https://www.ne.ch/autorites/DFS/SCSP/medecin-cantonal/maladies-vaccinations/Documents/Covid-19-Statistiques/COVID19_PublicationInternet.xlsx"/>
  </r>
  <r>
    <x v="31"/>
    <m/>
    <x v="20"/>
    <m/>
    <n v="54"/>
    <n v="3"/>
    <m/>
    <m/>
    <m/>
    <m/>
    <s v="http://www.nw.ch/coronastatistik"/>
  </r>
  <r>
    <x v="31"/>
    <m/>
    <x v="23"/>
    <m/>
    <n v="37"/>
    <m/>
    <m/>
    <m/>
    <m/>
    <m/>
    <s v="https://www.ow.ch/de/verwaltung/dienstleistungen/?dienst_id=5962"/>
  </r>
  <r>
    <x v="31"/>
    <m/>
    <x v="14"/>
    <m/>
    <n v="306"/>
    <m/>
    <m/>
    <m/>
    <m/>
    <n v="2"/>
    <s v="https://www.sg.ch/tools/informationen-coronavirus.html"/>
  </r>
  <r>
    <x v="31"/>
    <m/>
    <x v="21"/>
    <m/>
    <n v="37"/>
    <n v="10"/>
    <n v="1"/>
    <m/>
    <m/>
    <n v="0"/>
    <s v="https://sh.ch/CMS/get/file/c1688ab0-1c33-488a-8c2b-85b3bde7fe77"/>
  </r>
  <r>
    <x v="31"/>
    <m/>
    <x v="15"/>
    <m/>
    <n v="119"/>
    <m/>
    <m/>
    <m/>
    <n v="32"/>
    <n v="1"/>
    <s v="https://www.sz.ch/public/upload/assets/46403/COVID-19_Fallzahlen_Kanton_Schwyz.xlsx"/>
  </r>
  <r>
    <x v="31"/>
    <m/>
    <x v="25"/>
    <m/>
    <n v="118"/>
    <m/>
    <m/>
    <m/>
    <m/>
    <n v="2"/>
    <s v="https://www.tg.ch/news/fachdossier-coronavirus.html/10552 &amp; email der Staatskanzlei des Kanton Thurgau"/>
  </r>
  <r>
    <x v="31"/>
    <m/>
    <x v="22"/>
    <m/>
    <n v="40"/>
    <n v="7"/>
    <m/>
    <m/>
    <n v="3"/>
    <m/>
    <s v="https://www.ur.ch/themen/2920"/>
  </r>
  <r>
    <x v="31"/>
    <m/>
    <x v="8"/>
    <m/>
    <n v="3179"/>
    <n v="356"/>
    <n v="59"/>
    <m/>
    <m/>
    <n v="61"/>
    <s v="https://www.vd.ch/toutes-les-actualites/hotline-et-informations-sur-le-coronavirus/point-de-situation-statistique-dans-le-canton-de-vaud/"/>
  </r>
  <r>
    <x v="31"/>
    <m/>
    <x v="9"/>
    <m/>
    <n v="968"/>
    <n v="137"/>
    <n v="20"/>
    <n v="16"/>
    <m/>
    <n v="21"/>
    <s v="https://www.vs.ch/documents/6756452/7008787/2020%2004%2029%20Sit%20Epid%20-%20%C3%89tat%20Stand"/>
  </r>
  <r>
    <x v="31"/>
    <n v="0"/>
    <x v="18"/>
    <m/>
    <n v="157"/>
    <m/>
    <m/>
    <m/>
    <m/>
    <n v="1"/>
    <s v="https://corona.so.ch/"/>
  </r>
  <r>
    <x v="31"/>
    <n v="0.33333333333333331"/>
    <x v="1"/>
    <m/>
    <n v="1688"/>
    <n v="386"/>
    <n v="61"/>
    <n v="51"/>
    <m/>
    <n v="76"/>
    <s v="https://www4.ti.ch/area-media/comunicati/dettaglio-comunicato/?NEWS_ID=187533&amp;tx_tichareamedia_comunicazioni%5Baction%5D=show&amp;tx_tichareamedia_comunicazioni%5Bcontroller%5D=Comunicazioni&amp;cHash=0f01b9fd5e63dbb0f6f5cec02aa32b40"/>
  </r>
  <r>
    <x v="31"/>
    <n v="0.33333333333333331"/>
    <x v="11"/>
    <m/>
    <n v="94"/>
    <n v="12"/>
    <n v="5"/>
    <m/>
    <n v="18"/>
    <n v="0"/>
    <s v="https://www.zg.ch/behoerden/gesundheitsdirektion/statistikfachstelle/themen/gesundheit/corona"/>
  </r>
  <r>
    <x v="31"/>
    <n v="0.41666666666666669"/>
    <x v="5"/>
    <m/>
    <n v="530"/>
    <n v="76"/>
    <n v="8"/>
    <m/>
    <n v="191"/>
    <n v="13"/>
    <s v="https://www.coronavirus.bs.ch/nm/2020-tagesbulletin-coronavirus-534-bestaetigte-faelle-im-kanton-basel-stadt-gd.html"/>
  </r>
  <r>
    <x v="31"/>
    <n v="0.45833333333333331"/>
    <x v="16"/>
    <m/>
    <n v="287"/>
    <m/>
    <m/>
    <m/>
    <m/>
    <n v="3"/>
    <s v="https://gesundheit.lu.ch/themen/Humanmedizin/Infektionskrankheiten/Coronavirus"/>
  </r>
  <r>
    <x v="31"/>
    <n v="0.54166666666666663"/>
    <x v="17"/>
    <m/>
    <n v="44"/>
    <m/>
    <m/>
    <m/>
    <m/>
    <n v="2"/>
    <s v="https://www.ar.ch/verwaltung/departement-gesundheit-und-soziales/amt-fuer-gesundheit/informationsseite-coronavirus/"/>
  </r>
  <r>
    <x v="31"/>
    <n v="0.60416666666666663"/>
    <x v="4"/>
    <m/>
    <n v="1630"/>
    <n v="171"/>
    <m/>
    <n v="38"/>
    <m/>
    <n v="15"/>
    <s v="https://gd.zh.ch/internet/gesundheitsdirektion/de/themen/coronavirus.html"/>
  </r>
  <r>
    <x v="31"/>
    <n v="0.625"/>
    <x v="10"/>
    <m/>
    <n v="364"/>
    <n v="50"/>
    <n v="12"/>
    <n v="10"/>
    <m/>
    <n v="3"/>
    <s v="https://www.ag.ch/media/kanton_aargau/themen_1/coronavirus_1/lagebulletins/200327_KFS_Coronavirus_Lagebulletin_21.pdf"/>
  </r>
  <r>
    <x v="31"/>
    <n v="0.75"/>
    <x v="24"/>
    <m/>
    <n v="12"/>
    <m/>
    <m/>
    <m/>
    <m/>
    <m/>
    <s v="https://www.ai.ch/themen/gesundheit-alter-und-soziales/gesundheitsfoerderung-und-praevention/uebertragbare-krankheiten/coronavirus"/>
  </r>
  <r>
    <x v="32"/>
    <m/>
    <x v="6"/>
    <m/>
    <n v="767"/>
    <m/>
    <m/>
    <m/>
    <m/>
    <n v="9"/>
    <s v="https://www.besondere-lage.sites.be.ch/besondere-lage_sites/de/index/corona/index.html"/>
  </r>
  <r>
    <x v="32"/>
    <m/>
    <x v="7"/>
    <m/>
    <n v="502"/>
    <n v="75"/>
    <n v="14"/>
    <n v="13"/>
    <n v="100"/>
    <n v="6"/>
    <s v="https://www.baselland.ch/politik-und-behorden/direktionen/volkswirtschafts-und-gesundheitsdirektion/amt-fur-gesundheit/medizinische-dienste/kantonsarztlicher-dienst/aktuelles/covid-19-faelle-kanton-basel-landschaft"/>
  </r>
  <r>
    <x v="32"/>
    <m/>
    <x v="2"/>
    <m/>
    <n v="61"/>
    <m/>
    <m/>
    <m/>
    <m/>
    <m/>
    <s v="https://www.regierung.li/de/mitteilungen/223346/?typ=news"/>
  </r>
  <r>
    <x v="32"/>
    <m/>
    <x v="12"/>
    <m/>
    <n v="421"/>
    <n v="67"/>
    <n v="12"/>
    <m/>
    <m/>
    <n v="15"/>
    <s v="https://www.fr.ch/sites/default/files/2020-05/statistiques_situation_FR_0105.xlsx"/>
  </r>
  <r>
    <x v="32"/>
    <m/>
    <x v="0"/>
    <n v="9959"/>
    <n v="2360"/>
    <n v="339"/>
    <n v="59"/>
    <n v="54"/>
    <n v="175"/>
    <n v="41"/>
    <s v="https://www.ge.ch/document/covid-19-situation-epidemiologique-geneve/telecharger"/>
  </r>
  <r>
    <x v="32"/>
    <m/>
    <x v="19"/>
    <m/>
    <n v="47"/>
    <n v="3"/>
    <m/>
    <m/>
    <m/>
    <n v="1"/>
    <s v="https://www.gl.ch/public/upload/assets/27992/COVID-19_Fallzahlen_Kanton_Glarus.xlsx"/>
  </r>
  <r>
    <x v="32"/>
    <m/>
    <x v="26"/>
    <m/>
    <n v="495"/>
    <n v="63"/>
    <m/>
    <m/>
    <m/>
    <n v="12"/>
    <s v="https://www.gr.ch/DE/institutionen/verwaltung/djsg/ga/coronavirus/info/Seiten/Start.aspx"/>
  </r>
  <r>
    <x v="32"/>
    <m/>
    <x v="3"/>
    <m/>
    <n v="119"/>
    <n v="27"/>
    <n v="5"/>
    <m/>
    <m/>
    <n v="0"/>
    <s v="https://www.jura.ch/Htdocs/Files/v/34292.xlsx/Departements/CHA/SIC/Carrousel/Coronavirus/Cornavirus/Chiffres/donnees_30_04.xlsx?download=1"/>
  </r>
  <r>
    <x v="32"/>
    <m/>
    <x v="13"/>
    <m/>
    <n v="337"/>
    <n v="50"/>
    <n v="11"/>
    <n v="8"/>
    <m/>
    <n v="15"/>
    <s v="https://www.ne.ch/autorites/DFS/SCSP/medecin-cantonal/maladies-vaccinations/Documents/Covid-19-Statistiques/COVID19_PublicationInternet.xlsx"/>
  </r>
  <r>
    <x v="32"/>
    <m/>
    <x v="20"/>
    <m/>
    <n v="55"/>
    <n v="4"/>
    <m/>
    <m/>
    <m/>
    <m/>
    <s v="http://www.nw.ch/coronastatistik"/>
  </r>
  <r>
    <x v="32"/>
    <m/>
    <x v="14"/>
    <m/>
    <n v="339"/>
    <m/>
    <m/>
    <m/>
    <m/>
    <n v="5"/>
    <s v="https://www.sg.ch/tools/informationen-coronavirus.html"/>
  </r>
  <r>
    <x v="32"/>
    <m/>
    <x v="21"/>
    <m/>
    <n v="40"/>
    <n v="14"/>
    <n v="1"/>
    <m/>
    <m/>
    <n v="0"/>
    <s v="https://sh.ch/CMS/get/file/c1688ab0-1c33-488a-8c2b-85b3bde7fe77"/>
  </r>
  <r>
    <x v="32"/>
    <m/>
    <x v="15"/>
    <m/>
    <n v="122"/>
    <m/>
    <m/>
    <m/>
    <n v="33"/>
    <n v="1"/>
    <s v="https://www.sz.ch/public/upload/assets/46403/COVID-19_Fallzahlen_Kanton_Schwyz.xlsx"/>
  </r>
  <r>
    <x v="32"/>
    <m/>
    <x v="25"/>
    <m/>
    <n v="135"/>
    <m/>
    <m/>
    <m/>
    <m/>
    <n v="2"/>
    <s v="https://www.tg.ch/news/fachdossier-coronavirus.html/10552"/>
  </r>
  <r>
    <x v="32"/>
    <m/>
    <x v="22"/>
    <m/>
    <n v="48"/>
    <n v="7"/>
    <m/>
    <m/>
    <n v="3"/>
    <m/>
    <s v="https://www.ur.ch/themen/2920"/>
  </r>
  <r>
    <x v="32"/>
    <m/>
    <x v="8"/>
    <m/>
    <n v="3310"/>
    <n v="364"/>
    <n v="60"/>
    <m/>
    <m/>
    <n v="72"/>
    <s v="https://www.vd.ch/toutes-les-actualites/hotline-et-informations-sur-le-coronavirus/point-de-situation-statistique-dans-le-canton-de-vaud/"/>
  </r>
  <r>
    <x v="32"/>
    <m/>
    <x v="9"/>
    <m/>
    <n v="1017"/>
    <n v="142"/>
    <n v="21"/>
    <n v="19"/>
    <m/>
    <n v="25"/>
    <s v="https://www.vs.ch/documents/6756452/7008787/2020%2004%2029%20Sit%20Epid%20-%20%C3%89tat%20Stand"/>
  </r>
  <r>
    <x v="32"/>
    <n v="0"/>
    <x v="18"/>
    <m/>
    <n v="173"/>
    <m/>
    <m/>
    <m/>
    <m/>
    <n v="1"/>
    <s v="https://corona.so.ch/"/>
  </r>
  <r>
    <x v="32"/>
    <n v="0.33333333333333331"/>
    <x v="17"/>
    <m/>
    <n v="45"/>
    <m/>
    <m/>
    <m/>
    <m/>
    <n v="2"/>
    <s v="https://www.ar.ch/verwaltung/departement-gesundheit-und-soziales/amt-fuer-gesundheit/informationsseite-coronavirus/"/>
  </r>
  <r>
    <x v="32"/>
    <n v="0.33333333333333331"/>
    <x v="1"/>
    <m/>
    <n v="1727"/>
    <n v="385"/>
    <n v="69"/>
    <n v="60"/>
    <m/>
    <n v="87"/>
    <s v="https://www4.ti.ch/area-media/comunicati/dettaglio-comunicato/?NEWS_ID=187538&amp;tx_tichareamedia_comunicazioni%5Baction%5D=show&amp;tx_tichareamedia_comunicazioni%5Bcontroller%5D=Comunicazioni&amp;cHash=736a7f1a780ed9bdb1d8e45f8a0326ff"/>
  </r>
  <r>
    <x v="32"/>
    <n v="0.33333333333333331"/>
    <x v="11"/>
    <m/>
    <n v="101"/>
    <n v="12"/>
    <n v="5"/>
    <m/>
    <n v="21"/>
    <n v="1"/>
    <s v="https://www.zg.ch/behoerden/gesundheitsdirektion/statistikfachstelle/themen/gesundheit/corona"/>
  </r>
  <r>
    <x v="32"/>
    <n v="0.41666666666666669"/>
    <x v="5"/>
    <m/>
    <n v="569"/>
    <n v="79"/>
    <n v="11"/>
    <m/>
    <n v="211"/>
    <n v="13"/>
    <s v="https://www.coronavirus.bs.ch/nm/2020-tagesbulletin-coronavirus-573-bestaetigte-faelle-im-kanton-basel-stadt-gd.html"/>
  </r>
  <r>
    <x v="32"/>
    <n v="0.45833333333333331"/>
    <x v="16"/>
    <m/>
    <n v="317"/>
    <m/>
    <m/>
    <m/>
    <m/>
    <n v="4"/>
    <s v="https://gesundheit.lu.ch/themen/Humanmedizin/Infektionskrankheiten/Coronavirus"/>
  </r>
  <r>
    <x v="32"/>
    <n v="0.60416666666666663"/>
    <x v="4"/>
    <m/>
    <n v="1704"/>
    <n v="187"/>
    <m/>
    <n v="42"/>
    <m/>
    <n v="19"/>
    <s v="https://gd.zh.ch/internet/gesundheitsdirektion/de/themen/coronavirus.html"/>
  </r>
  <r>
    <x v="32"/>
    <n v="0.75"/>
    <x v="24"/>
    <m/>
    <n v="13"/>
    <m/>
    <m/>
    <m/>
    <m/>
    <m/>
    <s v="https://www.ai.ch/themen/gesundheit-alter-und-soziales/gesundheitsfoerderung-und-praevention/uebertragbare-krankheiten/coronavirus"/>
  </r>
  <r>
    <x v="33"/>
    <m/>
    <x v="6"/>
    <m/>
    <n v="798"/>
    <m/>
    <m/>
    <m/>
    <m/>
    <n v="10"/>
    <s v="https://www.besondere-lage.sites.be.ch/besondere-lage_sites/de/index/corona/index.html"/>
  </r>
  <r>
    <x v="33"/>
    <m/>
    <x v="7"/>
    <m/>
    <n v="511"/>
    <n v="99"/>
    <n v="15"/>
    <n v="14"/>
    <n v="115"/>
    <n v="6"/>
    <s v="https://www.baselland.ch/politik-und-behorden/direktionen/volkswirtschafts-und-gesundheitsdirektion/amt-fur-gesundheit/medizinische-dienste/kantonsarztlicher-dienst/aktuelles/covid-19-faelle-kanton-basel-landschaft"/>
  </r>
  <r>
    <x v="33"/>
    <m/>
    <x v="2"/>
    <m/>
    <n v="62"/>
    <m/>
    <m/>
    <m/>
    <m/>
    <m/>
    <s v="https://www.regierung.li/de/mitteilungen/223347/?typ=news"/>
  </r>
  <r>
    <x v="33"/>
    <m/>
    <x v="12"/>
    <m/>
    <n v="442"/>
    <n v="76"/>
    <n v="13"/>
    <m/>
    <m/>
    <n v="15"/>
    <s v="https://www.fr.ch/sites/default/files/2020-05/statistiques_situation_FR_0105.xlsx"/>
  </r>
  <r>
    <x v="33"/>
    <m/>
    <x v="0"/>
    <n v="10268"/>
    <n v="2466"/>
    <n v="365"/>
    <n v="59"/>
    <n v="55"/>
    <n v="193"/>
    <n v="49"/>
    <s v="https://www.ge.ch/document/covid-19-situation-epidemiologique-geneve/telecharger"/>
  </r>
  <r>
    <x v="33"/>
    <m/>
    <x v="19"/>
    <m/>
    <n v="50"/>
    <n v="2"/>
    <m/>
    <m/>
    <m/>
    <n v="1"/>
    <s v="https://www.gl.ch/public/upload/assets/27992/COVID-19_Fallzahlen_Kanton_Glarus.xlsx"/>
  </r>
  <r>
    <x v="33"/>
    <m/>
    <x v="26"/>
    <m/>
    <n v="519"/>
    <n v="63"/>
    <m/>
    <m/>
    <m/>
    <n v="15"/>
    <s v="https://www.gr.ch/DE/institutionen/verwaltung/djsg/ga/coronavirus/info/Seiten/Start.aspx"/>
  </r>
  <r>
    <x v="33"/>
    <m/>
    <x v="3"/>
    <m/>
    <n v="127"/>
    <n v="28"/>
    <n v="5"/>
    <m/>
    <m/>
    <n v="0"/>
    <s v="https://www.jura.ch/Htdocs/Files/v/34292.xlsx/Departements/CHA/SIC/Carrousel/Coronavirus/Cornavirus/Chiffres/donnees_30_04.xlsx?download=1"/>
  </r>
  <r>
    <x v="33"/>
    <m/>
    <x v="13"/>
    <m/>
    <n v="346"/>
    <n v="60"/>
    <n v="16"/>
    <n v="6"/>
    <m/>
    <n v="18"/>
    <s v="https://www.ne.ch/autorites/DFS/SCSP/medecin-cantonal/maladies-vaccinations/Documents/Covid-19-Statistiques/COVID19_PublicationInternet.xlsx"/>
  </r>
  <r>
    <x v="33"/>
    <m/>
    <x v="20"/>
    <m/>
    <n v="59"/>
    <n v="4"/>
    <m/>
    <m/>
    <m/>
    <m/>
    <s v="http://www.nw.ch/coronastatistik"/>
  </r>
  <r>
    <x v="33"/>
    <m/>
    <x v="14"/>
    <m/>
    <n v="365"/>
    <m/>
    <m/>
    <m/>
    <m/>
    <n v="5"/>
    <s v="https://www.sg.ch/tools/informationen-coronavirus.html"/>
  </r>
  <r>
    <x v="33"/>
    <m/>
    <x v="21"/>
    <m/>
    <n v="41"/>
    <n v="15"/>
    <n v="1"/>
    <m/>
    <m/>
    <n v="0"/>
    <s v="https://sh.ch/CMS/get/file/c1688ab0-1c33-488a-8c2b-85b3bde7fe77"/>
  </r>
  <r>
    <x v="33"/>
    <m/>
    <x v="15"/>
    <m/>
    <n v="128"/>
    <m/>
    <m/>
    <m/>
    <n v="33"/>
    <n v="2"/>
    <s v="https://www.sz.ch/public/upload/assets/46403/COVID-19_Fallzahlen_Kanton_Schwyz.xlsx"/>
  </r>
  <r>
    <x v="33"/>
    <m/>
    <x v="25"/>
    <m/>
    <n v="139"/>
    <m/>
    <m/>
    <m/>
    <m/>
    <n v="2"/>
    <s v="https://www.tg.ch/news/fachdossier-coronavirus.html/10552"/>
  </r>
  <r>
    <x v="33"/>
    <m/>
    <x v="22"/>
    <m/>
    <n v="50"/>
    <n v="7"/>
    <m/>
    <m/>
    <n v="3"/>
    <m/>
    <s v="https://www.ur.ch/themen/2920"/>
  </r>
  <r>
    <x v="33"/>
    <m/>
    <x v="8"/>
    <m/>
    <n v="3395"/>
    <n v="366"/>
    <n v="61"/>
    <m/>
    <m/>
    <n v="81"/>
    <s v="https://www.vd.ch/toutes-les-actualites/hotline-et-informations-sur-le-coronavirus/point-de-situation-statistique-dans-le-canton-de-vaud/"/>
  </r>
  <r>
    <x v="33"/>
    <m/>
    <x v="9"/>
    <m/>
    <n v="1055"/>
    <n v="152"/>
    <n v="22"/>
    <n v="21"/>
    <m/>
    <n v="31"/>
    <s v="https://www.vs.ch/documents/6756452/7008787/2020%2004%2029%20Sit%20Epid%20-%20%C3%89tat%20Stand"/>
  </r>
  <r>
    <x v="33"/>
    <n v="0"/>
    <x v="18"/>
    <m/>
    <n v="190"/>
    <m/>
    <m/>
    <m/>
    <m/>
    <n v="2"/>
    <s v="https://corona.so.ch/"/>
  </r>
  <r>
    <x v="33"/>
    <n v="0.33333333333333331"/>
    <x v="17"/>
    <m/>
    <n v="48"/>
    <m/>
    <m/>
    <m/>
    <m/>
    <n v="2"/>
    <s v="https://www.ar.ch/verwaltung/departement-gesundheit-und-soziales/amt-fuer-gesundheit/informationsseite-coronavirus/"/>
  </r>
  <r>
    <x v="33"/>
    <n v="0.33333333333333331"/>
    <x v="1"/>
    <m/>
    <n v="1837"/>
    <n v="402"/>
    <n v="69"/>
    <n v="59"/>
    <m/>
    <n v="93"/>
    <s v="https://www4.ti.ch/area-media/comunicati/dettaglio-comunicato/?NEWS_ID=187540&amp;tx_tichareamedia_comunicazioni%5Baction%5D=show&amp;tx_tichareamedia_comunicazioni%5Bcontroller%5D=Comunicazioni&amp;cHash=ae32268e60ac2b59add1b9d55de51cbf"/>
  </r>
  <r>
    <x v="33"/>
    <n v="0.33333333333333331"/>
    <x v="11"/>
    <m/>
    <n v="101"/>
    <n v="12"/>
    <n v="5"/>
    <m/>
    <n v="21"/>
    <n v="1"/>
    <s v="https://www.zg.ch/behoerden/gesundheitsdirektion/statistikfachstelle/themen/gesundheit/corona"/>
  </r>
  <r>
    <x v="33"/>
    <n v="0.41666666666666669"/>
    <x v="5"/>
    <m/>
    <n v="605"/>
    <n v="87"/>
    <n v="12"/>
    <m/>
    <n v="228"/>
    <n v="15"/>
    <s v="https://www.coronavirus.bs.ch/nm/2020-tagesbulletin-coronavirus-609-bestaetigte-faelle-im-kanton-basel-stadt-gd.html"/>
  </r>
  <r>
    <x v="33"/>
    <n v="0.45833333333333331"/>
    <x v="16"/>
    <m/>
    <n v="339"/>
    <m/>
    <m/>
    <m/>
    <m/>
    <n v="5"/>
    <s v="https://gesundheit.lu.ch/themen/Humanmedizin/Infektionskrankheiten/Coronavirus"/>
  </r>
  <r>
    <x v="33"/>
    <n v="0.60416666666666663"/>
    <x v="4"/>
    <m/>
    <n v="1736"/>
    <n v="194"/>
    <m/>
    <n v="46"/>
    <m/>
    <n v="22"/>
    <s v="https://gd.zh.ch/internet/gesundheitsdirektion/de/themen/coronavirus.html"/>
  </r>
  <r>
    <x v="34"/>
    <m/>
    <x v="7"/>
    <m/>
    <n v="539"/>
    <n v="86"/>
    <n v="17"/>
    <n v="16"/>
    <n v="158"/>
    <n v="7"/>
    <s v="https://www.baselland.ch/politik-und-behorden/direktionen/volkswirtschafts-und-gesundheitsdirektion/amt-fur-gesundheit/medizinische-dienste/kantonsarztlicher-dienst/aktuelles/covid-19-faelle-kanton-basel-landschaft"/>
  </r>
  <r>
    <x v="34"/>
    <m/>
    <x v="2"/>
    <m/>
    <n v="64"/>
    <m/>
    <m/>
    <m/>
    <m/>
    <m/>
    <s v="https://www.regierung.li/de/mitteilungen/223349/?typ=newss"/>
  </r>
  <r>
    <x v="34"/>
    <m/>
    <x v="12"/>
    <m/>
    <n v="477"/>
    <n v="77"/>
    <n v="16"/>
    <m/>
    <m/>
    <n v="17"/>
    <s v="https://www.fr.ch/sites/default/files/2020-05/statistiques_situation_FR_0105.xlsx"/>
  </r>
  <r>
    <x v="34"/>
    <m/>
    <x v="0"/>
    <n v="10934"/>
    <n v="2673"/>
    <n v="382"/>
    <n v="57"/>
    <n v="54"/>
    <n v="216"/>
    <n v="59"/>
    <s v="https://www.ge.ch/document/covid-19-situation-epidemiologique-geneve/telecharger"/>
  </r>
  <r>
    <x v="34"/>
    <m/>
    <x v="19"/>
    <m/>
    <n v="51"/>
    <n v="3"/>
    <m/>
    <m/>
    <m/>
    <n v="2"/>
    <s v="https://www.gl.ch/public/upload/assets/27992/COVID-19_Fallzahlen_Kanton_Glarus.xlsx"/>
  </r>
  <r>
    <x v="34"/>
    <m/>
    <x v="26"/>
    <m/>
    <n v="535"/>
    <n v="58"/>
    <m/>
    <m/>
    <m/>
    <n v="19"/>
    <s v="https://www.gr.ch/DE/institutionen/verwaltung/djsg/ga/coronavirus/info/Seiten/Start.aspx"/>
  </r>
  <r>
    <x v="34"/>
    <m/>
    <x v="3"/>
    <m/>
    <n v="128"/>
    <n v="28"/>
    <n v="5"/>
    <m/>
    <m/>
    <n v="0"/>
    <s v="https://www.jura.ch/Htdocs/Files/v/34292.xlsx/Departements/CHA/SIC/Carrousel/Coronavirus/Cornavirus/Chiffres/donnees_30_04.xlsx?download=1"/>
  </r>
  <r>
    <x v="34"/>
    <m/>
    <x v="13"/>
    <m/>
    <n v="378"/>
    <n v="57"/>
    <n v="12"/>
    <n v="6"/>
    <m/>
    <n v="20"/>
    <s v="https://www.ne.ch/autorites/DFS/SCSP/medecin-cantonal/maladies-vaccinations/Documents/Covid-19-Statistiques/COVID19_PublicationInternet.xlsx"/>
  </r>
  <r>
    <x v="34"/>
    <m/>
    <x v="20"/>
    <m/>
    <n v="63"/>
    <n v="8"/>
    <m/>
    <m/>
    <m/>
    <m/>
    <s v="http://www.nw.ch/coronastatistik"/>
  </r>
  <r>
    <x v="34"/>
    <m/>
    <x v="23"/>
    <m/>
    <n v="46"/>
    <m/>
    <m/>
    <m/>
    <m/>
    <m/>
    <s v="https://www.ow.ch/de/verwaltung/dienstleistungen/?dienst_id=5962"/>
  </r>
  <r>
    <x v="34"/>
    <m/>
    <x v="14"/>
    <m/>
    <n v="389"/>
    <m/>
    <m/>
    <m/>
    <m/>
    <n v="7"/>
    <s v="https://www.sg.ch/tools/informationen-coronavirus.html"/>
  </r>
  <r>
    <x v="34"/>
    <m/>
    <x v="21"/>
    <m/>
    <n v="42"/>
    <n v="19"/>
    <n v="3"/>
    <m/>
    <m/>
    <n v="0"/>
    <s v="https://sh.ch/CMS/get/file/c1688ab0-1c33-488a-8c2b-85b3bde7fe77"/>
  </r>
  <r>
    <x v="34"/>
    <m/>
    <x v="15"/>
    <m/>
    <n v="135"/>
    <m/>
    <m/>
    <m/>
    <n v="33"/>
    <n v="2"/>
    <s v="https://www.sz.ch/public/upload/assets/46403/COVID-19_Fallzahlen_Kanton_Schwyz.xlsx"/>
  </r>
  <r>
    <x v="34"/>
    <m/>
    <x v="25"/>
    <m/>
    <n v="149"/>
    <m/>
    <m/>
    <m/>
    <m/>
    <n v="2"/>
    <s v="https://www.tg.ch/news/fachdossier-coronavirus.html/10552"/>
  </r>
  <r>
    <x v="34"/>
    <m/>
    <x v="22"/>
    <m/>
    <n v="53"/>
    <n v="7"/>
    <m/>
    <m/>
    <n v="9"/>
    <m/>
    <s v="https://www.ur.ch/themen/2920"/>
  </r>
  <r>
    <x v="34"/>
    <m/>
    <x v="8"/>
    <m/>
    <n v="3607"/>
    <n v="368"/>
    <n v="63"/>
    <m/>
    <m/>
    <n v="93"/>
    <s v="https://www.vd.ch/toutes-les-actualites/hotline-et-informations-sur-le-coronavirus/point-de-situation-statistique-dans-le-canton-de-vaud/"/>
  </r>
  <r>
    <x v="34"/>
    <m/>
    <x v="9"/>
    <m/>
    <n v="1144"/>
    <n v="152"/>
    <n v="25"/>
    <n v="23"/>
    <m/>
    <n v="35"/>
    <s v="https://www.vs.ch/documents/6756452/7008787/2020%2004%2029%20Sit%20Epid%20-%20%C3%89tat%20Stand"/>
  </r>
  <r>
    <x v="34"/>
    <n v="0.29166666666666669"/>
    <x v="6"/>
    <m/>
    <n v="826"/>
    <n v="112"/>
    <n v="21"/>
    <n v="17"/>
    <m/>
    <n v="13"/>
    <s v="https://www.besondere-lage.sites.be.ch/besondere-lage_sites/de/index/corona/index.html"/>
  </r>
  <r>
    <x v="34"/>
    <n v="0.33333333333333331"/>
    <x v="1"/>
    <m/>
    <n v="1962"/>
    <n v="415"/>
    <n v="75"/>
    <n v="61"/>
    <m/>
    <n v="105"/>
    <s v="https://www4.ti.ch/area-media/comunicati/dettaglio-comunicato/?NEWS_ID=187546&amp;tx_tichareamedia_comunicazioni%5Baction%5D=show&amp;tx_tichareamedia_comunicazioni%5Bcontroller%5D=Comunicazioni&amp;cHash=1465eace9ac68357130a7327d0c9b8f9"/>
  </r>
  <r>
    <x v="34"/>
    <n v="0.33333333333333331"/>
    <x v="11"/>
    <m/>
    <n v="112"/>
    <n v="13"/>
    <n v="5"/>
    <m/>
    <n v="29"/>
    <n v="1"/>
    <s v="https://www.zg.ch/behoerden/gesundheitsdirektion/statistikfachstelle/themen/gesundheit/corona"/>
  </r>
  <r>
    <x v="34"/>
    <n v="0.41666666666666669"/>
    <x v="5"/>
    <m/>
    <n v="617"/>
    <n v="90"/>
    <n v="12"/>
    <m/>
    <n v="263"/>
    <n v="15"/>
    <s v="https://www.coronavirus.bs.ch/nm/2020-tagesbulletin-coronavirus-621-bestaetigte-faelle-im-kanton-basel-stadt-gd.html"/>
  </r>
  <r>
    <x v="34"/>
    <n v="0.45833333333333331"/>
    <x v="16"/>
    <m/>
    <n v="351"/>
    <m/>
    <m/>
    <m/>
    <m/>
    <n v="6"/>
    <s v="https://gesundheit.lu.ch/themen/Humanmedizin/Infektionskrankheiten/Coronavirus"/>
  </r>
  <r>
    <x v="34"/>
    <n v="0.5"/>
    <x v="24"/>
    <m/>
    <n v="14"/>
    <m/>
    <m/>
    <m/>
    <m/>
    <m/>
    <s v="https://www.ai.ch/themen/gesundheit-alter-und-soziales/gesundheitsfoerderung-und-praevention/uebertragbare-krankheiten/coronavirus"/>
  </r>
  <r>
    <x v="34"/>
    <n v="0.60416666666666663"/>
    <x v="4"/>
    <m/>
    <n v="1862"/>
    <n v="197"/>
    <m/>
    <n v="46"/>
    <m/>
    <n v="24"/>
    <s v="https://gd.zh.ch/internet/gesundheitsdirektion/de/themen/coronavirus.html"/>
  </r>
  <r>
    <x v="34"/>
    <n v="0.625"/>
    <x v="10"/>
    <m/>
    <n v="481"/>
    <n v="94"/>
    <n v="25"/>
    <n v="23"/>
    <m/>
    <n v="8"/>
    <s v="https://www.ag.ch/media/kanton_aargau/themen_1/coronavirus_1/lagebulletins/200330_KFS_Coronavirus_Lagebulletin_22.pdf"/>
  </r>
  <r>
    <x v="34"/>
    <n v="0.75"/>
    <x v="17"/>
    <m/>
    <n v="50"/>
    <m/>
    <m/>
    <m/>
    <m/>
    <n v="2"/>
    <s v="https://www.ar.ch/verwaltung/departement-gesundheit-und-soziales/amt-fuer-gesundheit/informationsseite-coronavirus/"/>
  </r>
  <r>
    <x v="35"/>
    <m/>
    <x v="7"/>
    <m/>
    <n v="561"/>
    <n v="88"/>
    <n v="18"/>
    <n v="16"/>
    <n v="242"/>
    <n v="10"/>
    <s v="https://www.baselland.ch/politik-und-behorden/direktionen/volkswirtschafts-und-gesundheitsdirektion/amt-fur-gesundheit/medizinische-dienste/kantonsarztlicher-dienst/aktuelles/covid-19-faelle-kanton-basel-landschaft"/>
  </r>
  <r>
    <x v="35"/>
    <m/>
    <x v="2"/>
    <m/>
    <n v="68"/>
    <m/>
    <m/>
    <m/>
    <m/>
    <m/>
    <s v="https://www.regierung.li/media/attachments/160-coronavirus-68-personen-positiv.pdf?t=637212737830081294"/>
  </r>
  <r>
    <x v="35"/>
    <m/>
    <x v="12"/>
    <m/>
    <n v="491"/>
    <n v="77"/>
    <n v="20"/>
    <m/>
    <m/>
    <n v="20"/>
    <s v="https://www.fr.ch/sites/default/files/2020-05/statistiques_situation_FR_0105.xlsx"/>
  </r>
  <r>
    <x v="35"/>
    <m/>
    <x v="0"/>
    <n v="11694"/>
    <n v="2902"/>
    <n v="405"/>
    <n v="64"/>
    <n v="49"/>
    <n v="241"/>
    <n v="68"/>
    <s v="https://www.ge.ch/document/covid-19-situation-epidemiologique-geneve/telecharger"/>
  </r>
  <r>
    <x v="35"/>
    <m/>
    <x v="19"/>
    <m/>
    <n v="53"/>
    <n v="5"/>
    <m/>
    <m/>
    <m/>
    <n v="2"/>
    <s v="https://www.gl.ch/public/upload/assets/27992/COVID-19_Fallzahlen_Kanton_Glarus.xlsx"/>
  </r>
  <r>
    <x v="35"/>
    <m/>
    <x v="26"/>
    <m/>
    <n v="547"/>
    <n v="58"/>
    <m/>
    <m/>
    <m/>
    <n v="23"/>
    <s v="https://www.gr.ch/DE/institutionen/verwaltung/djsg/ga/coronavirus/info/Seiten/Start.aspx"/>
  </r>
  <r>
    <x v="35"/>
    <m/>
    <x v="3"/>
    <m/>
    <n v="140"/>
    <n v="29"/>
    <n v="5"/>
    <m/>
    <m/>
    <n v="0"/>
    <s v="https://www.jura.ch/Htdocs/Files/v/34292.xlsx/Departements/CHA/SIC/Carrousel/Coronavirus/Cornavirus/Chiffres/donnees_30_04.xlsx?download=1"/>
  </r>
  <r>
    <x v="35"/>
    <m/>
    <x v="13"/>
    <m/>
    <n v="402"/>
    <n v="59"/>
    <n v="14"/>
    <n v="8"/>
    <m/>
    <n v="22"/>
    <s v="https://www.ne.ch/autorites/DFS/SCSP/medecin-cantonal/maladies-vaccinations/Documents/Covid-19-Statistiques/COVID19_PublicationInternet.xlsx"/>
  </r>
  <r>
    <x v="35"/>
    <m/>
    <x v="20"/>
    <m/>
    <n v="70"/>
    <n v="7"/>
    <n v="1"/>
    <m/>
    <m/>
    <m/>
    <s v="http://www.nw.ch/coronastatistik"/>
  </r>
  <r>
    <x v="35"/>
    <m/>
    <x v="23"/>
    <m/>
    <n v="46"/>
    <m/>
    <m/>
    <m/>
    <m/>
    <m/>
    <s v="https://www.ow.ch/de/verwaltung/dienstleistungen/?dienst_id=5962"/>
  </r>
  <r>
    <x v="35"/>
    <m/>
    <x v="14"/>
    <m/>
    <n v="394"/>
    <m/>
    <m/>
    <m/>
    <m/>
    <n v="7"/>
    <s v="https://www.sg.ch/tools/informationen-coronavirus.html"/>
  </r>
  <r>
    <x v="35"/>
    <m/>
    <x v="21"/>
    <m/>
    <n v="44"/>
    <n v="18"/>
    <n v="3"/>
    <m/>
    <m/>
    <n v="1"/>
    <s v="https://sh.ch/CMS/get/file/c1688ab0-1c33-488a-8c2b-85b3bde7fe77"/>
  </r>
  <r>
    <x v="35"/>
    <m/>
    <x v="15"/>
    <m/>
    <n v="140"/>
    <m/>
    <m/>
    <m/>
    <n v="48"/>
    <n v="4"/>
    <s v="https://www.sz.ch/public/upload/assets/46403/COVID-19_Fallzahlen_Kanton_Schwyz.xlsx"/>
  </r>
  <r>
    <x v="35"/>
    <m/>
    <x v="25"/>
    <m/>
    <n v="155"/>
    <m/>
    <m/>
    <m/>
    <m/>
    <n v="3"/>
    <s v="https://www.tg.ch/news/fachdossier-coronavirus.html/10552"/>
  </r>
  <r>
    <x v="35"/>
    <m/>
    <x v="22"/>
    <m/>
    <n v="57"/>
    <n v="9"/>
    <m/>
    <m/>
    <n v="11"/>
    <m/>
    <s v="https://www.ur.ch/themen/2920"/>
  </r>
  <r>
    <x v="35"/>
    <m/>
    <x v="8"/>
    <m/>
    <n v="3766"/>
    <n v="376"/>
    <n v="66"/>
    <m/>
    <m/>
    <n v="105"/>
    <s v="https://www.vd.ch/toutes-les-actualites/hotline-et-informations-sur-le-coronavirus/point-de-situation-statistique-dans-le-canton-de-vaud/"/>
  </r>
  <r>
    <x v="35"/>
    <m/>
    <x v="9"/>
    <m/>
    <n v="1211"/>
    <n v="151"/>
    <n v="24"/>
    <n v="23"/>
    <m/>
    <n v="37"/>
    <s v="https://www.vs.ch/documents/6756452/7008787/2020%2004%2029%20Sit%20Epid%20-%20%C3%89tat%20Stand"/>
  </r>
  <r>
    <x v="35"/>
    <n v="0"/>
    <x v="18"/>
    <m/>
    <n v="196"/>
    <m/>
    <m/>
    <m/>
    <m/>
    <n v="2"/>
    <s v="https://corona.so.ch/index.php?id=27979"/>
  </r>
  <r>
    <x v="35"/>
    <n v="0.33333333333333331"/>
    <x v="6"/>
    <m/>
    <n v="856"/>
    <n v="111"/>
    <n v="23"/>
    <n v="18"/>
    <m/>
    <n v="16"/>
    <s v="https://www.besondere-lage.sites.be.ch/besondere-lage_sites/de/index/corona/index.html"/>
  </r>
  <r>
    <x v="35"/>
    <n v="0.33333333333333331"/>
    <x v="1"/>
    <m/>
    <n v="2091"/>
    <n v="401"/>
    <n v="74"/>
    <n v="67"/>
    <n v="202"/>
    <n v="120"/>
    <s v="https://www4.ti.ch/area-media/comunicati/dettaglio-comunicato/?NEWS_ID=187550&amp;tx_tichareamedia_comunicazioni%5Baction%5D=show&amp;tx_tichareamedia_comunicazioni%5Bcontroller%5D=Comunicazioni&amp;cHash=007dc1182450e5b85ee4f533dfdcd6e3"/>
  </r>
  <r>
    <x v="35"/>
    <n v="0.33333333333333331"/>
    <x v="11"/>
    <m/>
    <n v="114"/>
    <n v="14"/>
    <n v="6"/>
    <m/>
    <n v="39"/>
    <n v="1"/>
    <s v="https://www.zg.ch/behoerden/gesundheitsdirektion/statistikfachstelle/themen/gesundheit/corona"/>
  </r>
  <r>
    <x v="35"/>
    <n v="0.41666666666666669"/>
    <x v="5"/>
    <m/>
    <n v="653"/>
    <n v="105"/>
    <n v="15"/>
    <m/>
    <n v="292"/>
    <n v="16"/>
    <s v="https://www.coronavirus.bs.ch/nm/2020-tagesbulletin-coronavirus-628-bestaetigte-faelle-im-kanton-basel-stadt-gd.html https://www.coronavirus.bs.ch/nm/2020-tagesbulletin-coronavirus-691-bestaetigte-faelle-im-kanton-basel-stadt-gd.html"/>
  </r>
  <r>
    <x v="35"/>
    <n v="0.45833333333333331"/>
    <x v="16"/>
    <m/>
    <n v="375"/>
    <m/>
    <m/>
    <m/>
    <m/>
    <n v="7"/>
    <s v="https://gesundheit.lu.ch/themen/Humanmedizin/Infektionskrankheiten/Coronavirus"/>
  </r>
  <r>
    <x v="35"/>
    <n v="0.5"/>
    <x v="24"/>
    <m/>
    <n v="14"/>
    <m/>
    <m/>
    <m/>
    <m/>
    <m/>
    <s v="https://www.ai.ch/themen/gesundheit-alter-und-soziales/gesundheitsfoerderung-und-praevention/uebertragbare-krankheiten/coronavirus"/>
  </r>
  <r>
    <x v="35"/>
    <n v="0.60416666666666663"/>
    <x v="4"/>
    <m/>
    <n v="1953"/>
    <n v="196"/>
    <m/>
    <n v="50"/>
    <m/>
    <n v="27"/>
    <s v="https://gd.zh.ch/internet/gesundheitsdirektion/de/themen/coronavirus.html"/>
  </r>
  <r>
    <x v="35"/>
    <n v="0.625"/>
    <x v="10"/>
    <m/>
    <n v="499"/>
    <n v="85"/>
    <n v="25"/>
    <n v="25"/>
    <m/>
    <n v="11"/>
    <s v="https://www.ag.ch/media/kanton_aargau/themen_1/coronavirus_1/lagebulletins/200331_KFS_Coronavirus_Lagebulletin_23.pdf"/>
  </r>
  <r>
    <x v="35"/>
    <n v="0.66666666666666663"/>
    <x v="17"/>
    <m/>
    <n v="58"/>
    <m/>
    <m/>
    <m/>
    <m/>
    <n v="2"/>
    <s v="https://www.ar.ch/verwaltung/departement-gesundheit-und-soziales/amt-fuer-gesundheit/informationsseite-coronavirus/"/>
  </r>
  <r>
    <x v="36"/>
    <m/>
    <x v="7"/>
    <m/>
    <n v="588"/>
    <n v="86"/>
    <n v="17"/>
    <n v="17"/>
    <n v="249"/>
    <n v="11"/>
    <s v="https://www.baselland.ch/politik-und-behorden/direktionen/volkswirtschafts-und-gesundheitsdirektion/amt-fur-gesundheit/medizinische-dienste/kantonsarztlicher-dienst/aktuelles/covid-19-faelle-kanton-basel-landschaft"/>
  </r>
  <r>
    <x v="36"/>
    <m/>
    <x v="2"/>
    <m/>
    <n v="72"/>
    <m/>
    <m/>
    <m/>
    <m/>
    <m/>
    <s v="https://www.regierung.li/media/attachments/164-corona-schweizer-sanitaetssoldaten-0401.pdf?t=637213766824962451"/>
  </r>
  <r>
    <x v="36"/>
    <m/>
    <x v="12"/>
    <m/>
    <n v="525"/>
    <n v="81"/>
    <n v="23"/>
    <m/>
    <m/>
    <n v="23"/>
    <s v="https://www.fr.ch/sites/default/files/2020-05/statistiques_situation_FR_0105.xlsx"/>
  </r>
  <r>
    <x v="36"/>
    <m/>
    <x v="0"/>
    <n v="12350"/>
    <n v="3059"/>
    <n v="406"/>
    <n v="64"/>
    <n v="58"/>
    <n v="260"/>
    <n v="77"/>
    <s v="https://www.ge.ch/document/covid-19-situation-epidemiologique-geneve/telecharger"/>
  </r>
  <r>
    <x v="36"/>
    <m/>
    <x v="19"/>
    <m/>
    <n v="56"/>
    <n v="5"/>
    <m/>
    <m/>
    <m/>
    <n v="2"/>
    <s v="https://www.gl.ch/public/upload/assets/27992/COVID-19_Fallzahlen_Kanton_Glarus.xlsx"/>
  </r>
  <r>
    <x v="36"/>
    <m/>
    <x v="26"/>
    <m/>
    <n v="592"/>
    <n v="59"/>
    <m/>
    <m/>
    <m/>
    <n v="26"/>
    <s v="https://www.gr.ch/DE/institutionen/verwaltung/djsg/ga/coronavirus/info/Seiten/Start.aspx"/>
  </r>
  <r>
    <x v="36"/>
    <m/>
    <x v="3"/>
    <m/>
    <n v="145"/>
    <n v="29"/>
    <n v="5"/>
    <m/>
    <m/>
    <n v="0"/>
    <s v="https://www.jura.ch/Htdocs/Files/v/34292.xlsx/Departements/CHA/SIC/Carrousel/Coronavirus/Cornavirus/Chiffres/donnees_30_04.xlsx?download=1"/>
  </r>
  <r>
    <x v="36"/>
    <m/>
    <x v="13"/>
    <m/>
    <n v="420"/>
    <n v="66"/>
    <n v="14"/>
    <n v="8"/>
    <m/>
    <n v="24"/>
    <s v="https://www.ne.ch/autorites/DFS/SCSP/medecin-cantonal/maladies-vaccinations/Documents/Covid-19-Statistiques/COVID19_PublicationInternet.xlsx"/>
  </r>
  <r>
    <x v="36"/>
    <m/>
    <x v="20"/>
    <m/>
    <n v="70"/>
    <n v="9"/>
    <n v="2"/>
    <m/>
    <m/>
    <m/>
    <s v="http://www.nw.ch/coronastatistik"/>
  </r>
  <r>
    <x v="36"/>
    <m/>
    <x v="23"/>
    <m/>
    <n v="48"/>
    <m/>
    <m/>
    <m/>
    <m/>
    <m/>
    <s v="https://www.ow.ch/de/verwaltung/dienstleistungen/?dienst_id=5962"/>
  </r>
  <r>
    <x v="36"/>
    <m/>
    <x v="14"/>
    <m/>
    <n v="414"/>
    <m/>
    <m/>
    <m/>
    <m/>
    <n v="7"/>
    <s v="https://www.sg.ch/tools/informationen-coronavirus.html"/>
  </r>
  <r>
    <x v="36"/>
    <m/>
    <x v="21"/>
    <m/>
    <n v="44"/>
    <n v="10"/>
    <n v="3"/>
    <m/>
    <m/>
    <n v="1"/>
    <s v="https://sh.ch/CMS/get/file/c1688ab0-1c33-488a-8c2b-85b3bde7fe77"/>
  </r>
  <r>
    <x v="36"/>
    <m/>
    <x v="15"/>
    <m/>
    <n v="146"/>
    <m/>
    <m/>
    <m/>
    <n v="65"/>
    <n v="4"/>
    <s v="https://www.sz.ch/public/upload/assets/46403/COVID-19_Fallzahlen_Kanton_Schwyz.xlsx"/>
  </r>
  <r>
    <x v="36"/>
    <m/>
    <x v="25"/>
    <m/>
    <n v="167"/>
    <m/>
    <m/>
    <m/>
    <m/>
    <n v="4"/>
    <s v="https://www.tg.ch/news/fachdossier-coronavirus.html/10552"/>
  </r>
  <r>
    <x v="36"/>
    <m/>
    <x v="22"/>
    <m/>
    <n v="59"/>
    <n v="10"/>
    <m/>
    <m/>
    <n v="13"/>
    <n v="1"/>
    <s v="https://www.ur.ch/themen/2920"/>
  </r>
  <r>
    <x v="36"/>
    <m/>
    <x v="8"/>
    <m/>
    <n v="3918"/>
    <n v="380"/>
    <n v="67"/>
    <m/>
    <m/>
    <n v="116"/>
    <s v="https://www.vd.ch/toutes-les-actualites/hotline-et-informations-sur-le-coronavirus/point-de-situation-statistique-dans-le-canton-de-vaud/"/>
  </r>
  <r>
    <x v="36"/>
    <m/>
    <x v="9"/>
    <m/>
    <n v="1282"/>
    <n v="145"/>
    <n v="26"/>
    <n v="25"/>
    <n v="70"/>
    <n v="40"/>
    <s v="https://www.vs.ch/documents/6756452/7008787/2020%2004%2029%20Sit%20Epid%20-%20%C3%89tat%20Stand"/>
  </r>
  <r>
    <x v="36"/>
    <n v="0"/>
    <x v="18"/>
    <m/>
    <n v="216"/>
    <m/>
    <m/>
    <m/>
    <m/>
    <n v="3"/>
    <s v="https://corona.so.ch/index.php?id=27979"/>
  </r>
  <r>
    <x v="36"/>
    <n v="0.33333333333333331"/>
    <x v="6"/>
    <m/>
    <n v="909"/>
    <n v="115"/>
    <n v="26"/>
    <n v="21"/>
    <m/>
    <n v="20"/>
    <s v="https://www.besondere-lage.sites.be.ch/besondere-lage_sites/de/index/corona/index.html"/>
  </r>
  <r>
    <x v="36"/>
    <n v="0.33333333333333331"/>
    <x v="1"/>
    <m/>
    <n v="2195"/>
    <n v="396"/>
    <n v="76"/>
    <n v="72"/>
    <n v="229"/>
    <n v="132"/>
    <s v="https://www4.ti.ch/area-media/comunicati/dettaglio-comunicato/?NEWS_ID=187555&amp;tx_tichareamedia_comunicazioni%5Baction%5D=show&amp;tx_tichareamedia_comunicazioni%5Bcontroller%5D=Comunicazioni&amp;cHash=843d72993004667ab731d64142591372"/>
  </r>
  <r>
    <x v="36"/>
    <n v="0.33333333333333331"/>
    <x v="11"/>
    <m/>
    <n v="125"/>
    <n v="13"/>
    <n v="5"/>
    <m/>
    <n v="40"/>
    <n v="1"/>
    <s v="https://www.zg.ch/behoerden/gesundheitsdirektion/statistikfachstelle/themen/gesundheit/corona"/>
  </r>
  <r>
    <x v="36"/>
    <n v="0.41666666666666669"/>
    <x v="5"/>
    <m/>
    <n v="687"/>
    <n v="108"/>
    <n v="16"/>
    <m/>
    <n v="323"/>
    <n v="18"/>
    <s v="https://www.coronavirus.bs.ch/nm/2020-tagesbulletin-coronavirus-691-bestaetigte-faelle-im-kanton-basel-stadt-gd.html"/>
  </r>
  <r>
    <x v="36"/>
    <n v="0.45833333333333331"/>
    <x v="16"/>
    <m/>
    <n v="401"/>
    <n v="57"/>
    <n v="12"/>
    <m/>
    <m/>
    <n v="7"/>
    <s v="https://gesundheit.lu.ch/themen/Humanmedizin/Infektionskrankheiten/Coronavirus"/>
  </r>
  <r>
    <x v="36"/>
    <n v="0.60416666666666663"/>
    <x v="4"/>
    <m/>
    <n v="2142"/>
    <n v="203"/>
    <m/>
    <n v="54"/>
    <m/>
    <n v="36"/>
    <s v="https://gd.zh.ch/internet/gesundheitsdirektion/de/themen/coronavirus.html"/>
  </r>
  <r>
    <x v="36"/>
    <n v="0.625"/>
    <x v="10"/>
    <m/>
    <n v="549"/>
    <n v="94"/>
    <n v="27"/>
    <n v="27"/>
    <m/>
    <n v="11"/>
    <s v="https://www.ag.ch/media/kanton_aargau/themen_1/coronavirus_1/lagebulletins/200401_KFS_Coronavirus_Lagebulletin_24.pdf"/>
  </r>
  <r>
    <x v="36"/>
    <n v="0.70833333333333337"/>
    <x v="17"/>
    <m/>
    <n v="61"/>
    <m/>
    <m/>
    <m/>
    <m/>
    <n v="3"/>
    <s v="https://www.ar.ch/verwaltung/departement-gesundheit-und-soziales/amt-fuer-gesundheit/informationsseite-coronavirus/"/>
  </r>
  <r>
    <x v="37"/>
    <m/>
    <x v="7"/>
    <m/>
    <n v="610"/>
    <n v="81"/>
    <n v="18"/>
    <n v="18"/>
    <n v="262"/>
    <n v="12"/>
    <s v="https://www.baselland.ch/politik-und-behorden/direktionen/volkswirtschafts-und-gesundheitsdirektion/amt-fur-gesundheit/medizinische-dienste/kantonsarztlicher-dienst/aktuelles/covid-19-faelle-kanton-basel-landschaft"/>
  </r>
  <r>
    <x v="37"/>
    <m/>
    <x v="2"/>
    <m/>
    <n v="75"/>
    <m/>
    <m/>
    <m/>
    <m/>
    <m/>
    <s v="https://www.regierung.li/media/attachments/166-massnahmen-weiter-einhalten-0402.pdf?t=637214501732587547"/>
  </r>
  <r>
    <x v="37"/>
    <m/>
    <x v="12"/>
    <m/>
    <n v="550"/>
    <n v="80"/>
    <n v="23"/>
    <m/>
    <n v="46"/>
    <n v="26"/>
    <s v="https://www.fr.ch/sites/default/files/2020-05/statistiques_situation_FR_0105.xlsx"/>
  </r>
  <r>
    <x v="37"/>
    <m/>
    <x v="0"/>
    <n v="13297"/>
    <n v="3270"/>
    <n v="424"/>
    <n v="62"/>
    <n v="54"/>
    <n v="283"/>
    <n v="85"/>
    <s v="https://www.ge.ch/document/covid-19-situation-epidemiologique-geneve/telecharger"/>
  </r>
  <r>
    <x v="37"/>
    <m/>
    <x v="19"/>
    <m/>
    <n v="58"/>
    <n v="5"/>
    <m/>
    <m/>
    <m/>
    <n v="2"/>
    <s v="https://www.gl.ch/public/upload/assets/27992/COVID-19_Fallzahlen_Kanton_Glarus.xlsx"/>
  </r>
  <r>
    <x v="37"/>
    <m/>
    <x v="26"/>
    <m/>
    <n v="622"/>
    <n v="60"/>
    <m/>
    <m/>
    <m/>
    <n v="28"/>
    <s v="https://www.gr.ch/DE/institutionen/verwaltung/djsg/ga/coronavirus/info/Seiten/Start.aspx"/>
  </r>
  <r>
    <x v="37"/>
    <m/>
    <x v="3"/>
    <m/>
    <n v="149"/>
    <n v="29"/>
    <n v="3"/>
    <m/>
    <m/>
    <n v="0"/>
    <s v="https://www.jura.ch/Htdocs/Files/v/34292.xlsx/Departements/CHA/SIC/Carrousel/Coronavirus/Cornavirus/Chiffres/donnees_30_04.xlsx?download=1"/>
  </r>
  <r>
    <x v="37"/>
    <m/>
    <x v="13"/>
    <m/>
    <n v="430"/>
    <n v="61"/>
    <n v="12"/>
    <n v="10"/>
    <m/>
    <n v="27"/>
    <s v="https://www.ne.ch/autorites/DFS/SCSP/medecin-cantonal/maladies-vaccinations/Documents/Covid-19-Statistiques/COVID19_PublicationInternet.xlsx"/>
  </r>
  <r>
    <x v="37"/>
    <m/>
    <x v="20"/>
    <m/>
    <n v="76"/>
    <n v="9"/>
    <n v="2"/>
    <m/>
    <m/>
    <m/>
    <s v="http://www.nw.ch/coronastatistik"/>
  </r>
  <r>
    <x v="37"/>
    <m/>
    <x v="23"/>
    <m/>
    <n v="51"/>
    <m/>
    <m/>
    <m/>
    <m/>
    <m/>
    <s v="https://www.ow.ch/de/verwaltung/dienstleistungen/?dienst_id=5962"/>
  </r>
  <r>
    <x v="37"/>
    <m/>
    <x v="14"/>
    <m/>
    <n v="455"/>
    <n v="64"/>
    <n v="11"/>
    <m/>
    <n v="49"/>
    <n v="8"/>
    <s v="https://www.sg.ch/tools/informationen-coronavirus.html"/>
  </r>
  <r>
    <x v="37"/>
    <m/>
    <x v="21"/>
    <m/>
    <n v="47"/>
    <n v="18"/>
    <n v="3"/>
    <m/>
    <m/>
    <n v="1"/>
    <s v="https://sh.ch/CMS/get/file/c1688ab0-1c33-488a-8c2b-85b3bde7fe77"/>
  </r>
  <r>
    <x v="37"/>
    <m/>
    <x v="15"/>
    <m/>
    <n v="155"/>
    <m/>
    <m/>
    <m/>
    <n v="65"/>
    <n v="4"/>
    <s v="https://www.sz.ch/public/upload/assets/46403/COVID-19_Fallzahlen_Kanton_Schwyz.xlsx"/>
  </r>
  <r>
    <x v="37"/>
    <m/>
    <x v="25"/>
    <m/>
    <n v="180"/>
    <m/>
    <m/>
    <m/>
    <m/>
    <n v="4"/>
    <s v="https://www.tg.ch/news/fachdossier-coronavirus.html/10552"/>
  </r>
  <r>
    <x v="37"/>
    <m/>
    <x v="8"/>
    <m/>
    <n v="4052"/>
    <n v="370"/>
    <n v="68"/>
    <m/>
    <m/>
    <n v="135"/>
    <s v="https://www.vd.ch/toutes-les-actualites/hotline-et-informations-sur-le-coronavirus/point-de-situation-statistique-dans-le-canton-de-vaud/"/>
  </r>
  <r>
    <x v="37"/>
    <m/>
    <x v="9"/>
    <m/>
    <n v="1334"/>
    <n v="145"/>
    <n v="28"/>
    <n v="24"/>
    <n v="88"/>
    <n v="47"/>
    <s v="https://www.vs.ch/documents/6756452/7008787/2020%2004%2029%20Sit%20Epid%20-%20%C3%89tat%20Stand"/>
  </r>
  <r>
    <x v="37"/>
    <n v="0"/>
    <x v="18"/>
    <m/>
    <n v="227"/>
    <n v="14"/>
    <m/>
    <m/>
    <m/>
    <n v="3"/>
    <s v="https://corona.so.ch/index.php?id=27979"/>
  </r>
  <r>
    <x v="37"/>
    <n v="0.33333333333333331"/>
    <x v="6"/>
    <m/>
    <n v="1003"/>
    <n v="104"/>
    <n v="24"/>
    <n v="20"/>
    <m/>
    <n v="23"/>
    <s v="https://www.besondere-lage.sites.be.ch/besondere-lage_sites/de/index/corona/index.html"/>
  </r>
  <r>
    <x v="37"/>
    <n v="0.33333333333333331"/>
    <x v="1"/>
    <m/>
    <n v="2271"/>
    <n v="374"/>
    <n v="75"/>
    <n v="73"/>
    <n v="263"/>
    <n v="141"/>
    <s v="https://www4.ti.ch/area-media/comunicati/dettaglio-comunicato/?NEWS_ID=187564&amp;tx_tichareamedia_comunicazioni%5Baction%5D=show&amp;tx_tichareamedia_comunicazioni%5Bcontroller%5D=Comunicazioni&amp;cHash=6abbcb9cd18b83f8ce260e2748b9a326"/>
  </r>
  <r>
    <x v="37"/>
    <n v="0.33333333333333331"/>
    <x v="11"/>
    <m/>
    <n v="131"/>
    <n v="14"/>
    <n v="5"/>
    <m/>
    <n v="41"/>
    <n v="1"/>
    <s v="https://www.zg.ch/behoerden/gesundheitsdirektion/statistikfachstelle/themen/gesundheit/corona"/>
  </r>
  <r>
    <x v="37"/>
    <n v="0.41666666666666669"/>
    <x v="5"/>
    <m/>
    <n v="714"/>
    <n v="119"/>
    <n v="17"/>
    <m/>
    <n v="350"/>
    <n v="19"/>
    <s v="https://www.gd.bs.ch//nm/2020-tagesbulletin-coronavirus-718-bestaetigte-faelle-im-kanton-basel-stadt-gd.html"/>
  </r>
  <r>
    <x v="37"/>
    <n v="0.45833333333333331"/>
    <x v="16"/>
    <m/>
    <n v="422"/>
    <n v="66"/>
    <n v="11"/>
    <m/>
    <m/>
    <n v="7"/>
    <s v="https://gesundheit.lu.ch/themen/Humanmedizin/Infektionskrankheiten/Coronavirus"/>
  </r>
  <r>
    <x v="37"/>
    <n v="0.5"/>
    <x v="17"/>
    <m/>
    <n v="64"/>
    <m/>
    <m/>
    <m/>
    <m/>
    <n v="3"/>
    <s v="https://www.ar.ch/verwaltung/departement-gesundheit-und-soziales/amt-fuer-gesundheit/informationsseite-coronavirus/"/>
  </r>
  <r>
    <x v="37"/>
    <n v="0.58333333333333337"/>
    <x v="22"/>
    <m/>
    <n v="60"/>
    <n v="4"/>
    <m/>
    <m/>
    <n v="13"/>
    <n v="1"/>
    <s v="https://www.ur.ch/themen/2920"/>
  </r>
  <r>
    <x v="37"/>
    <n v="0.60416666666666663"/>
    <x v="4"/>
    <m/>
    <n v="2306"/>
    <n v="200"/>
    <m/>
    <n v="53"/>
    <m/>
    <n v="39"/>
    <s v="https://gd.zh.ch/internet/gesundheitsdirektion/de/themen/coronavirus.html"/>
  </r>
  <r>
    <x v="37"/>
    <n v="0.625"/>
    <x v="10"/>
    <m/>
    <n v="592"/>
    <n v="94"/>
    <n v="27"/>
    <n v="27"/>
    <m/>
    <n v="12"/>
    <s v="https://www.ag.ch/media/kanton_aargau/themen_1/coronavirus_1/lagebulletins/200402_KFS_Coronavirus_Lagebulletin_25.pdf"/>
  </r>
  <r>
    <x v="37"/>
    <n v="0.70833333333333337"/>
    <x v="24"/>
    <m/>
    <n v="20"/>
    <m/>
    <m/>
    <m/>
    <m/>
    <m/>
    <s v="https://www.ai.ch/themen/gesundheit-alter-und-soziales/gesundheitsfoerderung-und-praevention/uebertragbare-krankheiten/coronavirus"/>
  </r>
  <r>
    <x v="38"/>
    <m/>
    <x v="7"/>
    <m/>
    <n v="625"/>
    <n v="82"/>
    <n v="18"/>
    <n v="18"/>
    <n v="266"/>
    <n v="14"/>
    <s v="https://www.baselland.ch/politik-und-behorden/direktionen/volkswirtschafts-und-gesundheitsdirektion/amt-fur-gesundheit/medizinische-dienste/kantonsarztlicher-dienst/aktuelles/covid-19-faelle-kanton-basel-landschaft"/>
  </r>
  <r>
    <x v="38"/>
    <m/>
    <x v="2"/>
    <m/>
    <n v="76"/>
    <m/>
    <m/>
    <m/>
    <m/>
    <m/>
    <s v="https://www.regierung.li/media/attachments/166-massnahmen-weiter-einhalten-0402.pdf?t=637214501732587547"/>
  </r>
  <r>
    <x v="38"/>
    <m/>
    <x v="12"/>
    <m/>
    <n v="588"/>
    <n v="77"/>
    <n v="21"/>
    <m/>
    <n v="46"/>
    <n v="31"/>
    <s v="https://www.fr.ch/sites/default/files/2020-05/statistiques_situation_FR_0105.xlsx"/>
  </r>
  <r>
    <x v="38"/>
    <m/>
    <x v="0"/>
    <n v="14126"/>
    <n v="3456"/>
    <n v="424"/>
    <n v="65"/>
    <n v="58"/>
    <n v="284"/>
    <n v="92"/>
    <s v="https://www.ge.ch/document/covid-19-situation-epidemiologique-geneve/telecharger"/>
  </r>
  <r>
    <x v="38"/>
    <m/>
    <x v="19"/>
    <m/>
    <n v="59"/>
    <n v="5"/>
    <m/>
    <m/>
    <m/>
    <n v="2"/>
    <s v="https://www.gl.ch/public/upload/assets/27992/COVID-19_Fallzahlen_Kanton_Glarus.xlsx"/>
  </r>
  <r>
    <x v="38"/>
    <m/>
    <x v="26"/>
    <m/>
    <n v="649"/>
    <n v="51"/>
    <m/>
    <m/>
    <m/>
    <n v="30"/>
    <s v="https://www.gr.ch/DE/institutionen/verwaltung/djsg/ga/coronavirus/info/Seiten/Start.aspx"/>
  </r>
  <r>
    <x v="38"/>
    <m/>
    <x v="3"/>
    <m/>
    <n v="149"/>
    <n v="28"/>
    <n v="3"/>
    <m/>
    <m/>
    <n v="0"/>
    <s v="https://www.jura.ch/Htdocs/Files/v/34292.xlsx/Departements/CHA/SIC/Carrousel/Coronavirus/Cornavirus/Chiffres/donnees_30_04.xlsx?download=1"/>
  </r>
  <r>
    <x v="38"/>
    <m/>
    <x v="13"/>
    <m/>
    <n v="444"/>
    <n v="61"/>
    <n v="11"/>
    <n v="9"/>
    <m/>
    <n v="28"/>
    <s v="https://www.ne.ch/autorites/DFS/SCSP/medecin-cantonal/maladies-vaccinations/Documents/Covid-19-Statistiques/COVID19_PublicationInternet.xlsx"/>
  </r>
  <r>
    <x v="38"/>
    <m/>
    <x v="20"/>
    <m/>
    <n v="79"/>
    <n v="10"/>
    <n v="2"/>
    <m/>
    <m/>
    <m/>
    <s v="http://www.nw.ch/coronastatistik"/>
  </r>
  <r>
    <x v="38"/>
    <m/>
    <x v="23"/>
    <m/>
    <n v="56"/>
    <m/>
    <m/>
    <m/>
    <m/>
    <m/>
    <s v="https://www.ow.ch/de/verwaltung/dienstleistungen/?dienst_id=5962"/>
  </r>
  <r>
    <x v="38"/>
    <m/>
    <x v="14"/>
    <m/>
    <n v="480"/>
    <n v="75"/>
    <n v="12"/>
    <m/>
    <n v="50"/>
    <n v="8"/>
    <s v="https://www.sg.ch/tools/informationen-coronavirus.html"/>
  </r>
  <r>
    <x v="38"/>
    <m/>
    <x v="21"/>
    <m/>
    <n v="47"/>
    <n v="9"/>
    <n v="3"/>
    <m/>
    <m/>
    <n v="1"/>
    <s v="https://sh.ch/CMS/get/file/c1688ab0-1c33-488a-8c2b-85b3bde7fe77"/>
  </r>
  <r>
    <x v="38"/>
    <m/>
    <x v="15"/>
    <m/>
    <n v="165"/>
    <m/>
    <m/>
    <m/>
    <n v="75"/>
    <n v="4"/>
    <s v="https://www.sz.ch/public/upload/assets/46403/COVID-19_Fallzahlen_Kanton_Schwyz.xlsx"/>
  </r>
  <r>
    <x v="38"/>
    <m/>
    <x v="25"/>
    <m/>
    <n v="199"/>
    <m/>
    <m/>
    <m/>
    <m/>
    <n v="5"/>
    <s v="https://www.tg.ch/news/fachdossier-coronavirus.html/10552"/>
  </r>
  <r>
    <x v="38"/>
    <m/>
    <x v="8"/>
    <m/>
    <n v="4188"/>
    <n v="361"/>
    <n v="66"/>
    <m/>
    <m/>
    <n v="153"/>
    <s v="https://www.vd.ch/toutes-les-actualites/hotline-et-informations-sur-le-coronavirus/point-de-situation-statistique-dans-le-canton-de-vaud/"/>
  </r>
  <r>
    <x v="38"/>
    <m/>
    <x v="9"/>
    <m/>
    <n v="1383"/>
    <n v="145"/>
    <n v="26"/>
    <n v="23"/>
    <n v="91"/>
    <n v="51"/>
    <s v="https://www.vs.ch/documents/6756452/7008787/2020%2004%2029%20Sit%20Epid%20-%20%C3%89tat%20Stand"/>
  </r>
  <r>
    <x v="38"/>
    <n v="0"/>
    <x v="18"/>
    <m/>
    <n v="237"/>
    <n v="17"/>
    <m/>
    <m/>
    <m/>
    <n v="3"/>
    <s v="https://corona.so.ch/index.php?id=27979"/>
  </r>
  <r>
    <x v="38"/>
    <n v="0.33333333333333331"/>
    <x v="17"/>
    <m/>
    <n v="65"/>
    <m/>
    <m/>
    <m/>
    <m/>
    <n v="3"/>
    <s v="https://www.ar.ch/verwaltung/departement-gesundheit-und-soziales/amt-fuer-gesundheit/informationsseite-coronavirus/"/>
  </r>
  <r>
    <x v="38"/>
    <n v="0.33333333333333331"/>
    <x v="6"/>
    <m/>
    <n v="1073"/>
    <n v="109"/>
    <n v="30"/>
    <n v="26"/>
    <m/>
    <n v="26"/>
    <s v="https://www.besondere-lage.sites.be.ch/besondere-lage_sites/de/index/corona/index.html"/>
  </r>
  <r>
    <x v="38"/>
    <n v="0.33333333333333331"/>
    <x v="1"/>
    <m/>
    <n v="2377"/>
    <n v="370"/>
    <n v="75"/>
    <n v="67"/>
    <n v="287"/>
    <n v="155"/>
    <s v="https://www4.ti.ch/area-media/comunicati/dettaglio-comunicato/?NEWS_ID=187570&amp;tx_tichareamedia_comunicazioni%5Baction%5D=show&amp;tx_tichareamedia_comunicazioni%5Bcontroller%5D=Comunicazioni&amp;cHash=bf727072887350e7700586450c3cf957"/>
  </r>
  <r>
    <x v="38"/>
    <n v="0.33333333333333331"/>
    <x v="11"/>
    <m/>
    <n v="138"/>
    <n v="15"/>
    <n v="7"/>
    <m/>
    <n v="44"/>
    <n v="1"/>
    <s v="https://www.zg.ch/behoerden/gesundheitsdirektion/statistikfachstelle/themen/gesundheit/corona"/>
  </r>
  <r>
    <x v="38"/>
    <n v="0.35416666666666669"/>
    <x v="5"/>
    <m/>
    <n v="754"/>
    <n v="115"/>
    <n v="17"/>
    <m/>
    <n v="397"/>
    <n v="21"/>
    <s v="https://www.gd.bs.ch/nm/2020-tagesbulletin-coronavirus-748-bestaetigte-faelle-im-kanton-basel-stadt-gd.html https://www.coronavirus.bs.ch/nm/2020-tagesbulletin-coronavirus-771-bestaetigte-faelle-im-kanton-basel-stadt-gd.html"/>
  </r>
  <r>
    <x v="38"/>
    <n v="0.45833333333333331"/>
    <x v="24"/>
    <m/>
    <n v="20"/>
    <m/>
    <m/>
    <m/>
    <m/>
    <m/>
    <s v="https://www.ai.ch/themen/gesundheit-alter-und-soziales/gesundheitsfoerderung-und-praevention/uebertragbare-krankheiten/coronavirus"/>
  </r>
  <r>
    <x v="38"/>
    <n v="0.45833333333333331"/>
    <x v="16"/>
    <m/>
    <n v="449"/>
    <n v="49"/>
    <n v="12"/>
    <m/>
    <m/>
    <n v="7"/>
    <s v="https://gesundheit.lu.ch/themen/Humanmedizin/Infektionskrankheiten/Coronavirus"/>
  </r>
  <r>
    <x v="38"/>
    <n v="0.58333333333333337"/>
    <x v="22"/>
    <m/>
    <n v="62"/>
    <n v="6"/>
    <m/>
    <m/>
    <n v="26"/>
    <n v="1"/>
    <s v="https://www.ur.ch/themen/2920"/>
  </r>
  <r>
    <x v="38"/>
    <n v="0.60416666666666663"/>
    <x v="4"/>
    <m/>
    <n v="2434"/>
    <n v="207"/>
    <m/>
    <n v="57"/>
    <m/>
    <n v="41"/>
    <s v="https://gd.zh.ch/internet/gesundheitsdirektion/de/themen/coronavirus.html"/>
  </r>
  <r>
    <x v="38"/>
    <n v="0.625"/>
    <x v="10"/>
    <m/>
    <n v="626"/>
    <n v="100"/>
    <n v="27"/>
    <n v="26"/>
    <m/>
    <n v="12"/>
    <s v="https://www.ag.ch/media/kanton_aargau/themen_1/coronavirus_1/lagebulletins/200403_KFS_Coronavirus_Lagebulletin_26.pdf"/>
  </r>
  <r>
    <x v="39"/>
    <m/>
    <x v="7"/>
    <m/>
    <n v="656"/>
    <n v="73"/>
    <n v="19"/>
    <n v="17"/>
    <n v="298"/>
    <n v="19"/>
    <s v="https://www.baselland.ch/politik-und-behorden/direktionen/volkswirtschafts-und-gesundheitsdirektion/amt-fur-gesundheit/medizinische-dienste/kantonsarztlicher-dienst/aktuelles/covid-19-faelle-kanton-basel-landschaft"/>
  </r>
  <r>
    <x v="39"/>
    <m/>
    <x v="2"/>
    <m/>
    <n v="77"/>
    <m/>
    <m/>
    <m/>
    <m/>
    <n v="1"/>
    <s v="https://www.regierung.li/media/attachments/168-corona-person-verstorben-0404.pdf?t=637216219078826521"/>
  </r>
  <r>
    <x v="39"/>
    <m/>
    <x v="12"/>
    <m/>
    <n v="638"/>
    <n v="89"/>
    <n v="21"/>
    <m/>
    <n v="49"/>
    <n v="37"/>
    <s v="https://www.fr.ch/sites/default/files/2020-05/statistiques_situation_FR_0105.xlsx"/>
  </r>
  <r>
    <x v="39"/>
    <m/>
    <x v="0"/>
    <n v="14717"/>
    <n v="3584"/>
    <n v="421"/>
    <n v="61"/>
    <n v="51"/>
    <n v="305"/>
    <n v="106"/>
    <s v="https://www.ge.ch/document/covid-19-situation-epidemiologique-geneve/telecharger"/>
  </r>
  <r>
    <x v="39"/>
    <m/>
    <x v="19"/>
    <m/>
    <n v="61"/>
    <n v="5"/>
    <m/>
    <m/>
    <m/>
    <n v="2"/>
    <s v="https://www.gl.ch/public/upload/assets/27992/COVID-19_Fallzahlen_Kanton_Glarus.xlsx"/>
  </r>
  <r>
    <x v="39"/>
    <m/>
    <x v="26"/>
    <m/>
    <n v="657"/>
    <n v="52"/>
    <m/>
    <m/>
    <m/>
    <n v="30"/>
    <s v="https://www.gr.ch/DE/institutionen/verwaltung/djsg/ga/coronavirus/info/Seiten/Start.aspx"/>
  </r>
  <r>
    <x v="39"/>
    <m/>
    <x v="3"/>
    <m/>
    <n v="154"/>
    <n v="27"/>
    <n v="3"/>
    <m/>
    <m/>
    <n v="0"/>
    <s v="https://www.jura.ch/Htdocs/Files/v/34292.xlsx/Departements/CHA/SIC/Carrousel/Coronavirus/Cornavirus/Chiffres/donnees_30_04.xlsx?download=1"/>
  </r>
  <r>
    <x v="39"/>
    <m/>
    <x v="13"/>
    <m/>
    <n v="452"/>
    <n v="59"/>
    <n v="10"/>
    <n v="9"/>
    <m/>
    <n v="30"/>
    <s v="https://www.ne.ch/autorites/DFS/SCSP/medecin-cantonal/maladies-vaccinations/Documents/Covid-19-Statistiques/COVID19_PublicationInternet.xlsx"/>
  </r>
  <r>
    <x v="39"/>
    <m/>
    <x v="20"/>
    <m/>
    <n v="80"/>
    <n v="10"/>
    <n v="2"/>
    <m/>
    <m/>
    <m/>
    <s v="http://www.nw.ch/coronastatistik"/>
  </r>
  <r>
    <x v="39"/>
    <m/>
    <x v="14"/>
    <m/>
    <n v="504"/>
    <n v="79"/>
    <n v="13"/>
    <m/>
    <n v="62"/>
    <n v="9"/>
    <s v="https://www.sg.ch/tools/informationen-coronavirus.html"/>
  </r>
  <r>
    <x v="39"/>
    <m/>
    <x v="21"/>
    <m/>
    <n v="47"/>
    <n v="12"/>
    <n v="3"/>
    <m/>
    <m/>
    <n v="1"/>
    <s v="https://sh.ch/CMS/get/file/c1688ab0-1c33-488a-8c2b-85b3bde7fe77"/>
  </r>
  <r>
    <x v="39"/>
    <m/>
    <x v="15"/>
    <m/>
    <n v="168"/>
    <m/>
    <m/>
    <m/>
    <n v="92"/>
    <n v="5"/>
    <s v="https://www.sz.ch/public/upload/assets/46403/COVID-19_Fallzahlen_Kanton_Schwyz.xlsx"/>
  </r>
  <r>
    <x v="39"/>
    <m/>
    <x v="25"/>
    <m/>
    <n v="209"/>
    <m/>
    <m/>
    <m/>
    <m/>
    <n v="5"/>
    <s v="https://www.tg.ch/news/fachdossier-coronavirus.html/10552"/>
  </r>
  <r>
    <x v="39"/>
    <m/>
    <x v="8"/>
    <m/>
    <n v="4260"/>
    <n v="360"/>
    <n v="66"/>
    <m/>
    <m/>
    <n v="164"/>
    <s v="https://www.vd.ch/toutes-les-actualites/hotline-et-informations-sur-le-coronavirus/point-de-situation-statistique-dans-le-canton-de-vaud/"/>
  </r>
  <r>
    <x v="39"/>
    <m/>
    <x v="9"/>
    <m/>
    <n v="1416"/>
    <n v="148"/>
    <n v="28"/>
    <n v="23"/>
    <n v="95"/>
    <n v="53"/>
    <s v="https://www.vs.ch/documents/6756452/7008787/2020%2004%2029%20Sit%20Epid%20-%20%C3%89tat%20Stand"/>
  </r>
  <r>
    <x v="39"/>
    <n v="0"/>
    <x v="18"/>
    <m/>
    <n v="250"/>
    <m/>
    <m/>
    <m/>
    <m/>
    <n v="3"/>
    <s v="https://corona.so.ch/index.php?id=27979"/>
  </r>
  <r>
    <x v="39"/>
    <n v="0.33333333333333331"/>
    <x v="6"/>
    <m/>
    <n v="1106"/>
    <n v="113"/>
    <n v="35"/>
    <n v="28"/>
    <m/>
    <n v="28"/>
    <s v="https://www.besondere-lage.sites.be.ch/besondere-lage_sites/de/index/corona/index.html"/>
  </r>
  <r>
    <x v="39"/>
    <n v="0.33333333333333331"/>
    <x v="1"/>
    <m/>
    <n v="2442"/>
    <n v="363"/>
    <n v="72"/>
    <n v="67"/>
    <n v="314"/>
    <n v="165"/>
    <s v="https://www4.ti.ch/area-media/comunicati/dettaglio-comunicato/?NEWS_ID=187575&amp;tx_tichareamedia_comunicazioni%5Baction%5D=show&amp;tx_tichareamedia_comunicazioni%5Bcontroller%5D=Comunicazioni&amp;cHash=4b3f64139a9dd36b9fd30a1ace23654a"/>
  </r>
  <r>
    <x v="39"/>
    <n v="0.33333333333333331"/>
    <x v="11"/>
    <m/>
    <n v="146"/>
    <n v="14"/>
    <n v="7"/>
    <m/>
    <n v="46"/>
    <n v="2"/>
    <s v="https://www.zg.ch/behoerden/gesundheitsdirektion/statistikfachstelle/themen/gesundheit/corona"/>
  </r>
  <r>
    <x v="39"/>
    <n v="0.42708333333333331"/>
    <x v="5"/>
    <m/>
    <n v="767"/>
    <n v="112"/>
    <n v="16"/>
    <m/>
    <n v="434"/>
    <n v="24"/>
    <s v="https://www.gd.bs.ch//nm/2020-tagesbulletin-coronavirus-771-bestaetigte-faelle-im-kanton-basel-stadt-gd.html"/>
  </r>
  <r>
    <x v="39"/>
    <n v="0.45833333333333331"/>
    <x v="24"/>
    <m/>
    <n v="21"/>
    <m/>
    <m/>
    <m/>
    <m/>
    <m/>
    <s v="https://www.ai.ch/themen/gesundheit-alter-und-soziales/gesundheitsfoerderung-und-praevention/uebertragbare-krankheiten/coronavirus"/>
  </r>
  <r>
    <x v="39"/>
    <n v="0.45833333333333331"/>
    <x v="16"/>
    <m/>
    <n v="469"/>
    <n v="49"/>
    <n v="12"/>
    <m/>
    <m/>
    <n v="7"/>
    <s v="https://gesundheit.lu.ch/themen/Humanmedizin/Infektionskrankheiten/Coronavirus"/>
  </r>
  <r>
    <x v="39"/>
    <n v="0.54166666666666663"/>
    <x v="17"/>
    <m/>
    <n v="66"/>
    <m/>
    <m/>
    <m/>
    <m/>
    <n v="3"/>
    <s v="https://www.ar.ch/verwaltung/departement-gesundheit-und-soziales/amt-fuer-gesundheit/informationsseite-coronavirus/"/>
  </r>
  <r>
    <x v="39"/>
    <n v="0.60416666666666663"/>
    <x v="4"/>
    <m/>
    <n v="2467"/>
    <n v="194"/>
    <m/>
    <n v="59"/>
    <m/>
    <n v="49"/>
    <s v="https://gd.zh.ch/internet/gesundheitsdirektion/de/themen/coronavirus.html"/>
  </r>
  <r>
    <x v="39"/>
    <n v="0.70833333333333337"/>
    <x v="22"/>
    <m/>
    <n v="66"/>
    <n v="6"/>
    <m/>
    <m/>
    <n v="26"/>
    <n v="1"/>
    <s v="https://www.ur.ch/themen/2920"/>
  </r>
  <r>
    <x v="40"/>
    <m/>
    <x v="7"/>
    <m/>
    <n v="670"/>
    <n v="73"/>
    <n v="19"/>
    <n v="17"/>
    <n v="369"/>
    <n v="19"/>
    <s v="https://www.baselland.ch/politik-und-behorden/direktionen/volkswirtschafts-und-gesundheitsdirektion/amt-fur-gesundheit/medizinische-dienste/kantonsarztlicher-dienst/aktuelles/covid-19-faelle-kanton-basel-landschaft"/>
  </r>
  <r>
    <x v="40"/>
    <m/>
    <x v="2"/>
    <m/>
    <n v="77"/>
    <m/>
    <m/>
    <m/>
    <m/>
    <n v="1"/>
    <s v="https://www.regierung.li/de/mitteilungen/223366/?typ=news"/>
  </r>
  <r>
    <x v="40"/>
    <m/>
    <x v="12"/>
    <m/>
    <n v="669"/>
    <n v="87"/>
    <n v="20"/>
    <m/>
    <n v="55"/>
    <n v="40"/>
    <s v="https://www.fr.ch/sites/default/files/2020-05/statistiques_situation_FR_0105.xlsx"/>
  </r>
  <r>
    <x v="40"/>
    <m/>
    <x v="0"/>
    <n v="15016"/>
    <n v="3649"/>
    <n v="424"/>
    <n v="56"/>
    <n v="50"/>
    <n v="327"/>
    <n v="113"/>
    <s v="https://www.ge.ch/document/covid-19-situation-epidemiologique-geneve/telecharger"/>
  </r>
  <r>
    <x v="40"/>
    <m/>
    <x v="19"/>
    <m/>
    <n v="63"/>
    <n v="5"/>
    <m/>
    <m/>
    <m/>
    <n v="2"/>
    <s v="https://www.gl.ch/public/upload/assets/27992/COVID-19_Fallzahlen_Kanton_Glarus.xlsx"/>
  </r>
  <r>
    <x v="40"/>
    <m/>
    <x v="26"/>
    <m/>
    <n v="668"/>
    <n v="49"/>
    <m/>
    <m/>
    <m/>
    <n v="33"/>
    <s v="https://www.gr.ch/DE/institutionen/verwaltung/djsg/ga/coronavirus/info/Seiten/Start.aspx"/>
  </r>
  <r>
    <x v="40"/>
    <m/>
    <x v="3"/>
    <m/>
    <n v="160"/>
    <n v="29"/>
    <n v="4"/>
    <m/>
    <m/>
    <n v="0"/>
    <s v="https://www.jura.ch/Htdocs/Files/v/34292.xlsx/Departements/CHA/SIC/Carrousel/Coronavirus/Cornavirus/Chiffres/donnees_30_04.xlsx?download=1"/>
  </r>
  <r>
    <x v="40"/>
    <m/>
    <x v="13"/>
    <m/>
    <n v="463"/>
    <n v="58"/>
    <n v="12"/>
    <n v="8"/>
    <m/>
    <n v="30"/>
    <s v="https://www.ne.ch/autorites/DFS/SCSP/medecin-cantonal/maladies-vaccinations/Documents/Covid-19-Statistiques/COVID19_PublicationInternet.xlsx"/>
  </r>
  <r>
    <x v="40"/>
    <m/>
    <x v="20"/>
    <m/>
    <n v="80"/>
    <n v="9"/>
    <n v="2"/>
    <m/>
    <m/>
    <m/>
    <s v="http://www.nw.ch/coronastatistik"/>
  </r>
  <r>
    <x v="40"/>
    <m/>
    <x v="14"/>
    <m/>
    <n v="515"/>
    <n v="70"/>
    <n v="13"/>
    <m/>
    <n v="70"/>
    <n v="9"/>
    <s v="https://www.sg.ch/tools/informationen-coronavirus.html"/>
  </r>
  <r>
    <x v="40"/>
    <m/>
    <x v="21"/>
    <m/>
    <n v="49"/>
    <n v="12"/>
    <n v="3"/>
    <m/>
    <m/>
    <n v="1"/>
    <s v="https://sh.ch/CMS/get/file/c1688ab0-1c33-488a-8c2b-85b3bde7fe77"/>
  </r>
  <r>
    <x v="40"/>
    <m/>
    <x v="15"/>
    <m/>
    <n v="170"/>
    <m/>
    <m/>
    <m/>
    <n v="93"/>
    <n v="5"/>
    <s v="https://www.sz.ch/public/upload/assets/46403/COVID-19_Fallzahlen_Kanton_Schwyz.xlsx"/>
  </r>
  <r>
    <x v="40"/>
    <m/>
    <x v="25"/>
    <m/>
    <n v="214"/>
    <m/>
    <m/>
    <m/>
    <m/>
    <n v="7"/>
    <s v="https://www.tg.ch/news/fachdossier-coronavirus.html/10552"/>
  </r>
  <r>
    <x v="40"/>
    <m/>
    <x v="8"/>
    <m/>
    <n v="4299"/>
    <n v="371"/>
    <n v="65"/>
    <m/>
    <m/>
    <n v="176"/>
    <s v="https://www.vd.ch/toutes-les-actualites/hotline-et-informations-sur-le-coronavirus/point-de-situation-statistique-dans-le-canton-de-vaud/"/>
  </r>
  <r>
    <x v="40"/>
    <m/>
    <x v="9"/>
    <m/>
    <n v="1431"/>
    <n v="145"/>
    <n v="26"/>
    <n v="23"/>
    <m/>
    <n v="57"/>
    <s v="https://www.vs.ch/documents/6756452/7008787/2020%2004%2029%20Sit%20Epid%20-%20%C3%89tat%20Stand"/>
  </r>
  <r>
    <x v="40"/>
    <n v="0"/>
    <x v="18"/>
    <m/>
    <n v="258"/>
    <n v="16"/>
    <m/>
    <m/>
    <m/>
    <n v="3"/>
    <s v="https://corona.so.ch/index.php?id=27979"/>
  </r>
  <r>
    <x v="40"/>
    <n v="0.33333333333333331"/>
    <x v="6"/>
    <m/>
    <n v="1137"/>
    <n v="110"/>
    <n v="30"/>
    <n v="25"/>
    <m/>
    <n v="28"/>
    <s v="https://www.besondere-lage.sites.be.ch/besondere-lage_sites/de/index/corona/index.html"/>
  </r>
  <r>
    <x v="40"/>
    <n v="0.33333333333333331"/>
    <x v="1"/>
    <m/>
    <n v="2508"/>
    <n v="362"/>
    <n v="74"/>
    <n v="61"/>
    <n v="340"/>
    <n v="177"/>
    <s v="https://www4.ti.ch/area-media/comunicati/dettaglio-comunicato/?NEWS_ID=187576&amp;tx_tichareamedia_comunicazioni%5Baction%5D=show&amp;tx_tichareamedia_comunicazioni%5Bcontroller%5D=Comunicazioni&amp;cHash=7486178287491dbfa00376059224e150"/>
  </r>
  <r>
    <x v="40"/>
    <n v="0.33333333333333331"/>
    <x v="11"/>
    <m/>
    <n v="146"/>
    <n v="14"/>
    <n v="7"/>
    <m/>
    <n v="46"/>
    <n v="2"/>
    <s v="https://www.zg.ch/behoerden/gesundheitsdirektion/statistikfachstelle/themen/gesundheit/corona"/>
  </r>
  <r>
    <x v="40"/>
    <n v="0.42708333333333331"/>
    <x v="5"/>
    <m/>
    <n v="789"/>
    <n v="106"/>
    <n v="15"/>
    <m/>
    <n v="460"/>
    <n v="26"/>
    <s v="https://www.gd.bs.ch//nm/2020-tagesbulletin-coronavirus-794-bestaetigte-faelle-im-kanton-basel-stadt-gd.html"/>
  </r>
  <r>
    <x v="40"/>
    <n v="0.45833333333333331"/>
    <x v="16"/>
    <m/>
    <n v="478"/>
    <n v="49"/>
    <n v="12"/>
    <m/>
    <m/>
    <n v="9"/>
    <s v="https://gesundheit.lu.ch/themen/Humanmedizin/Infektionskrankheiten/Coronavirus"/>
  </r>
  <r>
    <x v="40"/>
    <n v="0.54166666666666663"/>
    <x v="17"/>
    <m/>
    <n v="67"/>
    <m/>
    <m/>
    <m/>
    <m/>
    <n v="3"/>
    <s v="https://www.ar.ch/verwaltung/departement-gesundheit-und-soziales/amt-fuer-gesundheit/informationsseite-coronavirus/"/>
  </r>
  <r>
    <x v="40"/>
    <n v="0.60416666666666663"/>
    <x v="4"/>
    <m/>
    <n v="2497"/>
    <n v="194"/>
    <m/>
    <n v="59"/>
    <m/>
    <n v="53"/>
    <s v="https://gd.zh.ch/internet/gesundheitsdirektion/de/themen/coronavirus.html"/>
  </r>
  <r>
    <x v="40"/>
    <n v="0.70833333333333337"/>
    <x v="22"/>
    <m/>
    <n v="67"/>
    <n v="5"/>
    <m/>
    <m/>
    <n v="26"/>
    <n v="2"/>
    <s v="https://www.ur.ch/themen/2920"/>
  </r>
  <r>
    <x v="41"/>
    <m/>
    <x v="7"/>
    <m/>
    <n v="682"/>
    <n v="67"/>
    <n v="17"/>
    <n v="17"/>
    <n v="412"/>
    <n v="19"/>
    <s v="https://www.baselland.ch/politik-und-behorden/direktionen/volkswirtschafts-und-gesundheitsdirektion/amt-fur-gesundheit/medizinische-dienste/kantonsarztlicher-dienst/aktuelles/covid-19-faelle-kanton-basel-landschaft"/>
  </r>
  <r>
    <x v="41"/>
    <m/>
    <x v="12"/>
    <m/>
    <n v="689"/>
    <n v="87"/>
    <n v="19"/>
    <m/>
    <n v="56"/>
    <n v="41"/>
    <s v="https://www.fr.ch/sites/default/files/2020-05/statistiques_situation_FR_0105.xlsx"/>
  </r>
  <r>
    <x v="41"/>
    <m/>
    <x v="0"/>
    <n v="15655"/>
    <n v="3768"/>
    <n v="418"/>
    <n v="56"/>
    <n v="50"/>
    <n v="345"/>
    <n v="125"/>
    <s v="https://www.ge.ch/document/covid-19-situation-epidemiologique-geneve/telecharger"/>
  </r>
  <r>
    <x v="41"/>
    <m/>
    <x v="19"/>
    <m/>
    <n v="63"/>
    <n v="2"/>
    <m/>
    <m/>
    <m/>
    <n v="2"/>
    <s v="https://www.gl.ch/public/upload/assets/27992/COVID-19_Fallzahlen_Kanton_Glarus.xlsx"/>
  </r>
  <r>
    <x v="41"/>
    <m/>
    <x v="26"/>
    <m/>
    <n v="679"/>
    <n v="52"/>
    <m/>
    <m/>
    <m/>
    <n v="34"/>
    <s v="https://www.gr.ch/DE/institutionen/verwaltung/djsg/ga/coronavirus/info/Seiten/Start.aspx"/>
  </r>
  <r>
    <x v="41"/>
    <m/>
    <x v="3"/>
    <m/>
    <n v="164"/>
    <n v="27"/>
    <n v="4"/>
    <m/>
    <m/>
    <n v="0"/>
    <s v="https://www.jura.ch/Htdocs/Files/v/34292.xlsx/Departements/CHA/SIC/Carrousel/Coronavirus/Cornavirus/Chiffres/donnees_30_04.xlsx?download=1"/>
  </r>
  <r>
    <x v="41"/>
    <m/>
    <x v="13"/>
    <m/>
    <n v="485"/>
    <n v="59"/>
    <n v="10"/>
    <n v="8"/>
    <m/>
    <n v="34"/>
    <s v="https://www.ne.ch/autorites/DFS/SCSP/medecin-cantonal/maladies-vaccinations/Documents/Covid-19-Statistiques/COVID19_PublicationInternet.xlsx"/>
  </r>
  <r>
    <x v="41"/>
    <m/>
    <x v="20"/>
    <m/>
    <n v="86"/>
    <n v="11"/>
    <n v="2"/>
    <m/>
    <m/>
    <m/>
    <s v="http://www.nw.ch/coronastatistik"/>
  </r>
  <r>
    <x v="41"/>
    <m/>
    <x v="14"/>
    <m/>
    <n v="532"/>
    <n v="70"/>
    <n v="12"/>
    <m/>
    <n v="75"/>
    <n v="11"/>
    <s v="https://www.sg.ch/tools/informationen-coronavirus.html"/>
  </r>
  <r>
    <x v="41"/>
    <m/>
    <x v="21"/>
    <m/>
    <n v="50"/>
    <n v="15"/>
    <n v="3"/>
    <m/>
    <m/>
    <n v="1"/>
    <s v="https://sh.ch/CMS/get/file/c1688ab0-1c33-488a-8c2b-85b3bde7fe77"/>
  </r>
  <r>
    <x v="41"/>
    <m/>
    <x v="15"/>
    <m/>
    <n v="178"/>
    <m/>
    <m/>
    <m/>
    <n v="93"/>
    <n v="6"/>
    <s v="https://www.sz.ch/public/upload/assets/46403/COVID-19_Fallzahlen_Kanton_Schwyz.xlsx"/>
  </r>
  <r>
    <x v="41"/>
    <m/>
    <x v="25"/>
    <m/>
    <n v="220"/>
    <n v="34"/>
    <n v="14"/>
    <m/>
    <m/>
    <n v="7"/>
    <s v="https://www.tg.ch/news/fachdossier-coronavirus.html/10552"/>
  </r>
  <r>
    <x v="41"/>
    <m/>
    <x v="8"/>
    <m/>
    <n v="4417"/>
    <n v="356"/>
    <n v="63"/>
    <m/>
    <m/>
    <n v="192"/>
    <s v="https://www.vd.ch/toutes-les-actualites/hotline-et-informations-sur-le-coronavirus/point-de-situation-statistique-dans-le-canton-de-vaud/"/>
  </r>
  <r>
    <x v="41"/>
    <m/>
    <x v="9"/>
    <m/>
    <n v="1497"/>
    <n v="132"/>
    <n v="26"/>
    <n v="22"/>
    <n v="105"/>
    <n v="60"/>
    <s v="https://www.vs.ch/documents/6756452/7008787/2020%2004%2029%20Sit%20Epid%20-%20%C3%89tat%20Stand"/>
  </r>
  <r>
    <x v="41"/>
    <n v="0"/>
    <x v="18"/>
    <m/>
    <n v="261"/>
    <n v="26"/>
    <m/>
    <m/>
    <m/>
    <n v="3"/>
    <s v="https://corona.so.ch/index.php?id=27979"/>
  </r>
  <r>
    <x v="41"/>
    <n v="0.33333333333333331"/>
    <x v="17"/>
    <m/>
    <n v="69"/>
    <m/>
    <m/>
    <m/>
    <m/>
    <n v="3"/>
    <s v="https://www.ar.ch/verwaltung/departement-gesundheit-und-soziales/amt-fuer-gesundheit/informationsseite-coronavirus/"/>
  </r>
  <r>
    <x v="41"/>
    <n v="0.33333333333333331"/>
    <x v="6"/>
    <m/>
    <n v="1173"/>
    <n v="117"/>
    <n v="35"/>
    <n v="30"/>
    <m/>
    <n v="31"/>
    <s v="https://www.besondere-lage.sites.be.ch/besondere-lage_sites/de/index/corona/index.html"/>
  </r>
  <r>
    <x v="41"/>
    <n v="0.33333333333333331"/>
    <x v="1"/>
    <m/>
    <n v="2546"/>
    <n v="357"/>
    <n v="72"/>
    <n v="62"/>
    <n v="350"/>
    <n v="189"/>
    <s v="https://www4.ti.ch/area-media/comunicati/dettaglio-comunicato/?NEWS_ID=187585&amp;cHash=71dae3c15afd6b09d15f28f43d415af1"/>
  </r>
  <r>
    <x v="41"/>
    <n v="0.33333333333333331"/>
    <x v="11"/>
    <m/>
    <n v="152"/>
    <n v="14"/>
    <n v="8"/>
    <m/>
    <n v="52"/>
    <n v="3"/>
    <s v="https://www.zg.ch/behoerden/gesundheitsdirektion/statistikfachstelle/themen/gesundheit/corona"/>
  </r>
  <r>
    <x v="41"/>
    <n v="0.40625"/>
    <x v="5"/>
    <m/>
    <n v="798"/>
    <n v="99"/>
    <n v="13"/>
    <m/>
    <n v="481"/>
    <n v="26"/>
    <s v="https://www.coronavirus.bs.ch/nm/2020-tagesbulletin-coronavirus-803-bestaetigte-faelle-im-kanton-basel-stadt-gd.html"/>
  </r>
  <r>
    <x v="41"/>
    <n v="0.45833333333333331"/>
    <x v="24"/>
    <m/>
    <n v="21"/>
    <m/>
    <m/>
    <m/>
    <m/>
    <m/>
    <s v="https://www.ai.ch/themen/gesundheit-alter-und-soziales/gesundheitsfoerderung-und-praevention/uebertragbare-krankheiten/coronavirus"/>
  </r>
  <r>
    <x v="41"/>
    <n v="0.45833333333333331"/>
    <x v="16"/>
    <m/>
    <n v="497"/>
    <n v="61"/>
    <n v="6"/>
    <m/>
    <m/>
    <n v="9"/>
    <s v="https://gesundheit.lu.ch/themen/Humanmedizin/Infektionskrankheiten/Coronavirus"/>
  </r>
  <r>
    <x v="41"/>
    <n v="0.58333333333333337"/>
    <x v="22"/>
    <m/>
    <n v="67"/>
    <n v="9"/>
    <m/>
    <m/>
    <n v="34"/>
    <n v="2"/>
    <s v="https://www.ur.ch/themen/2920"/>
  </r>
  <r>
    <x v="41"/>
    <n v="0.60416666666666663"/>
    <x v="4"/>
    <m/>
    <n v="2611"/>
    <n v="198"/>
    <m/>
    <n v="58"/>
    <m/>
    <n v="55"/>
    <s v="https://gd.zh.ch/internet/gesundheitsdirektion/de/themen/coronavirus.html"/>
  </r>
  <r>
    <x v="41"/>
    <n v="0.625"/>
    <x v="10"/>
    <m/>
    <n v="727"/>
    <n v="82"/>
    <n v="25"/>
    <n v="24"/>
    <m/>
    <n v="13"/>
    <s v="https://www.ag.ch/media/kanton_aargau/themen_1/coronavirus_1/lagebulletins/200406_KFS_Coronavirus_Lagebulletin_27.pdf"/>
  </r>
  <r>
    <x v="41"/>
    <n v="0.625"/>
    <x v="23"/>
    <m/>
    <n v="60"/>
    <m/>
    <m/>
    <m/>
    <n v="1"/>
    <n v="0"/>
    <s v="https://www.ow.ch/de/verwaltung/dienstleistungen/?dienst_id=5962"/>
  </r>
  <r>
    <x v="42"/>
    <m/>
    <x v="7"/>
    <m/>
    <n v="690"/>
    <n v="66"/>
    <n v="18"/>
    <n v="17"/>
    <n v="452"/>
    <n v="19"/>
    <s v="https://www.baselland.ch/politik-und-behorden/direktionen/volkswirtschafts-und-gesundheitsdirektion/amt-fur-gesundheit/medizinische-dienste/kantonsarztlicher-dienst/aktuelles/covid-19-faelle-kanton-basel-landschaft"/>
  </r>
  <r>
    <x v="42"/>
    <m/>
    <x v="2"/>
    <m/>
    <n v="78"/>
    <m/>
    <m/>
    <m/>
    <m/>
    <n v="1"/>
    <s v="https://www.liechtenstein.li/news-detail/article/aktuelle-informationen-zum-coronavirus/"/>
  </r>
  <r>
    <x v="42"/>
    <m/>
    <x v="12"/>
    <m/>
    <n v="729"/>
    <n v="78"/>
    <n v="22"/>
    <m/>
    <n v="73"/>
    <n v="44"/>
    <s v="https://www.fr.ch/sites/default/files/2020-05/statistiques_situation_FR_0105.xlsx"/>
  </r>
  <r>
    <x v="42"/>
    <m/>
    <x v="0"/>
    <n v="16496"/>
    <n v="3928"/>
    <n v="412"/>
    <n v="51"/>
    <n v="48"/>
    <n v="374"/>
    <n v="136"/>
    <s v="https://www.ge.ch/document/covid-19-situation-epidemiologique-geneve/telecharger"/>
  </r>
  <r>
    <x v="42"/>
    <m/>
    <x v="19"/>
    <m/>
    <n v="63"/>
    <n v="2"/>
    <m/>
    <m/>
    <m/>
    <n v="2"/>
    <s v="https://www.gl.ch/public/upload/assets/27992/COVID-19_Fallzahlen_Kanton_Glarus.xlsx"/>
  </r>
  <r>
    <x v="42"/>
    <m/>
    <x v="26"/>
    <m/>
    <n v="684"/>
    <n v="49"/>
    <m/>
    <m/>
    <m/>
    <n v="35"/>
    <s v="https://www.gr.ch/DE/institutionen/verwaltung/djsg/ga/coronavirus/info/Seiten/Start.aspx"/>
  </r>
  <r>
    <x v="42"/>
    <m/>
    <x v="3"/>
    <m/>
    <n v="171"/>
    <n v="28"/>
    <n v="4"/>
    <m/>
    <m/>
    <n v="0"/>
    <s v="https://www.jura.ch/Htdocs/Files/v/34292.xlsx/Departements/CHA/SIC/Carrousel/Coronavirus/Cornavirus/Chiffres/donnees_30_04.xlsx?download=1"/>
  </r>
  <r>
    <x v="42"/>
    <m/>
    <x v="13"/>
    <m/>
    <n v="509"/>
    <n v="64"/>
    <n v="10"/>
    <n v="5"/>
    <m/>
    <n v="37"/>
    <s v="https://www.ne.ch/autorites/DFS/SCSP/medecin-cantonal/maladies-vaccinations/Documents/Covid-19-Statistiques/COVID19_PublicationInternet.xlsx"/>
  </r>
  <r>
    <x v="42"/>
    <m/>
    <x v="20"/>
    <m/>
    <n v="87"/>
    <n v="9"/>
    <n v="2"/>
    <m/>
    <m/>
    <m/>
    <s v="http://www.nw.ch/coronastatistik"/>
  </r>
  <r>
    <x v="42"/>
    <m/>
    <x v="14"/>
    <m/>
    <n v="557"/>
    <n v="65"/>
    <n v="9"/>
    <m/>
    <n v="79"/>
    <n v="13"/>
    <s v="https://www.sg.ch/tools/informationen-coronavirus.html"/>
  </r>
  <r>
    <x v="42"/>
    <m/>
    <x v="15"/>
    <m/>
    <n v="185"/>
    <m/>
    <m/>
    <m/>
    <n v="105"/>
    <n v="7"/>
    <s v="https://www.sz.ch/public/upload/assets/46403/COVID-19_Fallzahlen_Kanton_Schwyz.xlsx"/>
  </r>
  <r>
    <x v="42"/>
    <m/>
    <x v="25"/>
    <m/>
    <n v="222"/>
    <n v="33"/>
    <n v="13"/>
    <m/>
    <m/>
    <n v="8"/>
    <s v="https://www.tg.ch/news/fachdossier-coronavirus.html/10552"/>
  </r>
  <r>
    <x v="42"/>
    <m/>
    <x v="8"/>
    <m/>
    <n v="4494"/>
    <n v="329"/>
    <n v="62"/>
    <m/>
    <m/>
    <n v="204"/>
    <s v="https://www.vd.ch/toutes-les-actualites/hotline-et-informations-sur-le-coronavirus/point-de-situation-statistique-dans-le-canton-de-vaud/"/>
  </r>
  <r>
    <x v="42"/>
    <m/>
    <x v="9"/>
    <m/>
    <n v="1536"/>
    <n v="129"/>
    <n v="25"/>
    <n v="20"/>
    <n v="123"/>
    <n v="68"/>
    <s v="https://www.vs.ch/documents/6756452/7008787/2020%2004%2029%20Sit%20Epid%20-%20%C3%89tat%20Stand"/>
  </r>
  <r>
    <x v="42"/>
    <n v="0"/>
    <x v="18"/>
    <m/>
    <n v="264"/>
    <n v="29"/>
    <m/>
    <m/>
    <m/>
    <n v="3"/>
    <s v="https://corona.so.ch/index.php?id=27979"/>
  </r>
  <r>
    <x v="42"/>
    <n v="0.33333333333333331"/>
    <x v="17"/>
    <m/>
    <n v="69"/>
    <m/>
    <m/>
    <m/>
    <m/>
    <n v="3"/>
    <s v="https://www.ar.ch/verwaltung/departement-gesundheit-und-soziales/amt-fuer-gesundheit/informationsseite-coronavirus/"/>
  </r>
  <r>
    <x v="42"/>
    <n v="0.33333333333333331"/>
    <x v="6"/>
    <m/>
    <n v="1228"/>
    <n v="122"/>
    <n v="34"/>
    <n v="26"/>
    <m/>
    <n v="33"/>
    <s v="https://www.besondere-lage.sites.be.ch/besondere-lage_sites/de/index/corona/index.html"/>
  </r>
  <r>
    <x v="42"/>
    <n v="0.33333333333333331"/>
    <x v="1"/>
    <m/>
    <n v="2599"/>
    <n v="335"/>
    <n v="72"/>
    <n v="65"/>
    <n v="388"/>
    <n v="198"/>
    <s v="https://www4.ti.ch/area-media/comunicati/dettaglio-comunicato/?NEWS_ID=187585&amp;tx_tichareamedia_comunicazioni%5Baction%5D=show&amp;tx_tichareamedia_comunicazioni%5Bcontroller%5D=Comunicazioni&amp;cHash=4bf78e02dc8ee0d240e06c4603f5605c"/>
  </r>
  <r>
    <x v="42"/>
    <n v="0.33333333333333331"/>
    <x v="11"/>
    <m/>
    <n v="157"/>
    <n v="15"/>
    <n v="8"/>
    <m/>
    <n v="54"/>
    <n v="3"/>
    <s v="https://www.zg.ch/behoerden/gesundheitsdirektion/statistikfachstelle/themen/gesundheit/corona"/>
  </r>
  <r>
    <x v="42"/>
    <n v="0.39583333333333331"/>
    <x v="5"/>
    <m/>
    <n v="808"/>
    <n v="101"/>
    <n v="13"/>
    <m/>
    <n v="508"/>
    <n v="28"/>
    <s v="https://www.gd.bs.ch//nm/2020-tagesbulletin-coronavirus-813-bestaetigte-faelle-im-kanton-basel-stadt-gd.html"/>
  </r>
  <r>
    <x v="42"/>
    <n v="0.39583333333333331"/>
    <x v="21"/>
    <m/>
    <n v="50"/>
    <n v="14"/>
    <n v="3"/>
    <m/>
    <m/>
    <n v="1"/>
    <s v="https://sh.ch/CMS/get/file/c1688ab0-1c33-488a-8c2b-85b3bde7fe77"/>
  </r>
  <r>
    <x v="42"/>
    <n v="0.45833333333333331"/>
    <x v="24"/>
    <m/>
    <n v="21"/>
    <m/>
    <m/>
    <m/>
    <m/>
    <m/>
    <s v="https://www.ai.ch/themen/gesundheit-alter-und-soziales/gesundheitsfoerderung-und-praevention/uebertragbare-krankheiten/coronavirus"/>
  </r>
  <r>
    <x v="42"/>
    <n v="0.45833333333333331"/>
    <x v="16"/>
    <m/>
    <n v="509"/>
    <n v="57"/>
    <n v="6"/>
    <m/>
    <m/>
    <n v="9"/>
    <s v="https://gesundheit.lu.ch/themen/Humanmedizin/Infektionskrankheiten/Coronavirus"/>
  </r>
  <r>
    <x v="42"/>
    <n v="0.58333333333333337"/>
    <x v="22"/>
    <m/>
    <n v="68"/>
    <n v="7"/>
    <m/>
    <m/>
    <n v="42"/>
    <n v="2"/>
    <s v="https://www.ur.ch/themen/2920"/>
  </r>
  <r>
    <x v="42"/>
    <n v="0.60416666666666663"/>
    <x v="23"/>
    <m/>
    <n v="60"/>
    <n v="2"/>
    <m/>
    <m/>
    <m/>
    <n v="0"/>
    <s v="https://www.ow.ch/de/verwaltung/dienstleistungen/?dienst_id=5962"/>
  </r>
  <r>
    <x v="42"/>
    <n v="0.60416666666666663"/>
    <x v="4"/>
    <m/>
    <n v="2695"/>
    <n v="181"/>
    <m/>
    <n v="60"/>
    <m/>
    <n v="57"/>
    <s v="https://gd.zh.ch/internet/gesundheitsdirektion/de/themen/coronavirus.html"/>
  </r>
  <r>
    <x v="42"/>
    <n v="0.61458333333333337"/>
    <x v="10"/>
    <m/>
    <n v="760"/>
    <n v="84"/>
    <n v="25"/>
    <n v="25"/>
    <n v="170"/>
    <n v="16"/>
    <s v="https://www.ag.ch/media/kanton_aargau/themen_1/coronavirus_1/lagebulletins/200407_KFS_Coronavirus_Lagebulletin_28.pdf"/>
  </r>
  <r>
    <x v="43"/>
    <m/>
    <x v="7"/>
    <m/>
    <n v="694"/>
    <n v="65"/>
    <n v="18"/>
    <n v="17"/>
    <n v="461"/>
    <n v="21"/>
    <s v="https://www.baselland.ch/politik-und-behorden/direktionen/volkswirtschafts-und-gesundheitsdirektion/amt-fur-gesundheit/medizinische-dienste/kantonsarztlicher-dienst/aktuelles/covid-19-faelle-kanton-basel-landschaft"/>
  </r>
  <r>
    <x v="43"/>
    <m/>
    <x v="12"/>
    <m/>
    <n v="756"/>
    <n v="80"/>
    <n v="22"/>
    <m/>
    <n v="78"/>
    <n v="45"/>
    <s v="https://www.fr.ch/sites/default/files/2020-05/statistiques_situation_FR_0105.xlsx"/>
  </r>
  <r>
    <x v="43"/>
    <m/>
    <x v="0"/>
    <n v="17301"/>
    <n v="4059"/>
    <n v="402"/>
    <n v="49"/>
    <n v="47"/>
    <n v="442"/>
    <n v="150"/>
    <s v="https://www.ge.ch/document/covid-19-situation-epidemiologique-geneve/telecharger"/>
  </r>
  <r>
    <x v="43"/>
    <m/>
    <x v="19"/>
    <m/>
    <n v="64"/>
    <n v="2"/>
    <m/>
    <m/>
    <m/>
    <n v="2"/>
    <s v="https://www.gl.ch/public/upload/assets/27992/COVID-19_Fallzahlen_Kanton_Glarus.xlsx"/>
  </r>
  <r>
    <x v="43"/>
    <m/>
    <x v="26"/>
    <m/>
    <n v="698"/>
    <n v="38"/>
    <m/>
    <m/>
    <m/>
    <n v="35"/>
    <s v="https://www.gr.ch/DE/institutionen/verwaltung/djsg/ga/coronavirus/info/Seiten/Start.aspx"/>
  </r>
  <r>
    <x v="43"/>
    <m/>
    <x v="3"/>
    <m/>
    <n v="174"/>
    <n v="31"/>
    <n v="4"/>
    <m/>
    <m/>
    <n v="1"/>
    <s v="https://www.jura.ch/Htdocs/Files/v/34292.xlsx/Departements/CHA/SIC/Carrousel/Coronavirus/Cornavirus/Chiffres/donnees_30_04.xlsx?download=1"/>
  </r>
  <r>
    <x v="43"/>
    <m/>
    <x v="13"/>
    <m/>
    <n v="513"/>
    <n v="63"/>
    <n v="10"/>
    <n v="7"/>
    <m/>
    <n v="40"/>
    <s v="https://www.ne.ch/autorites/DFS/SCSP/medecin-cantonal/maladies-vaccinations/Documents/Covid-19-Statistiques/COVID19_PublicationInternet.xlsx"/>
  </r>
  <r>
    <x v="43"/>
    <m/>
    <x v="20"/>
    <m/>
    <n v="93"/>
    <n v="9"/>
    <n v="1"/>
    <m/>
    <m/>
    <m/>
    <s v="http://www.nw.ch/coronastatistik"/>
  </r>
  <r>
    <x v="43"/>
    <m/>
    <x v="14"/>
    <m/>
    <n v="578"/>
    <n v="52"/>
    <n v="12"/>
    <m/>
    <n v="89"/>
    <n v="15"/>
    <s v="https://www.sg.ch/tools/informationen-coronavirus.html"/>
  </r>
  <r>
    <x v="43"/>
    <m/>
    <x v="15"/>
    <m/>
    <n v="196"/>
    <m/>
    <m/>
    <m/>
    <n v="107"/>
    <n v="7"/>
    <s v="https://www.sz.ch/public/upload/assets/46403/COVID-19_Fallzahlen_Kanton_Schwyz.xlsx"/>
  </r>
  <r>
    <x v="43"/>
    <m/>
    <x v="25"/>
    <m/>
    <n v="237"/>
    <n v="30"/>
    <n v="15"/>
    <m/>
    <m/>
    <n v="8"/>
    <s v="https://www.tg.ch/news/fachdossier-coronavirus.html/10552"/>
  </r>
  <r>
    <x v="43"/>
    <m/>
    <x v="8"/>
    <m/>
    <n v="4585"/>
    <n v="320"/>
    <n v="61"/>
    <m/>
    <m/>
    <n v="216"/>
    <s v="https://www.vd.ch/toutes-les-actualites/hotline-et-informations-sur-le-coronavirus/point-de-situation-statistique-dans-le-canton-de-vaud/"/>
  </r>
  <r>
    <x v="43"/>
    <m/>
    <x v="9"/>
    <m/>
    <n v="1570"/>
    <n v="122"/>
    <n v="26"/>
    <n v="20"/>
    <n v="130"/>
    <n v="71"/>
    <s v="https://www.vs.ch/documents/6756452/7008787/2020%2004%2029%20Sit%20Epid%20-%20%C3%89tat%20Stand"/>
  </r>
  <r>
    <x v="43"/>
    <n v="0"/>
    <x v="18"/>
    <m/>
    <n v="276"/>
    <n v="22"/>
    <m/>
    <m/>
    <m/>
    <n v="3"/>
    <s v="https://corona.so.ch/index.php?id=27979"/>
  </r>
  <r>
    <x v="43"/>
    <n v="0.33333333333333331"/>
    <x v="17"/>
    <m/>
    <n v="72"/>
    <m/>
    <m/>
    <m/>
    <m/>
    <n v="3"/>
    <s v="https://www.ar.ch/verwaltung/departement-gesundheit-und-soziales/amt-fuer-gesundheit/informationsseite-coronavirus/"/>
  </r>
  <r>
    <x v="43"/>
    <n v="0.33333333333333331"/>
    <x v="6"/>
    <m/>
    <n v="1286"/>
    <n v="127"/>
    <n v="35"/>
    <n v="27"/>
    <m/>
    <n v="37"/>
    <s v="https://www.besondere-lage.sites.be.ch/besondere-lage_sites/de/index/corona/index.html"/>
  </r>
  <r>
    <x v="43"/>
    <n v="0.33333333333333331"/>
    <x v="1"/>
    <m/>
    <n v="2659"/>
    <n v="319"/>
    <n v="71"/>
    <n v="64"/>
    <n v="420"/>
    <n v="211"/>
    <s v="https://www4.ti.ch/area-media/comunicati/dettaglio-comunicato/?NEWS_ID=187593&amp;cHash=04877af9adec32de4f5ef43a5916f801"/>
  </r>
  <r>
    <x v="43"/>
    <n v="0.33333333333333331"/>
    <x v="11"/>
    <m/>
    <n v="162"/>
    <n v="12"/>
    <n v="9"/>
    <m/>
    <n v="61"/>
    <n v="3"/>
    <s v="https://www.zg.ch/behoerden/gesundheitsdirektion/statistikfachstelle/themen/gesundheit/corona"/>
  </r>
  <r>
    <x v="43"/>
    <n v="0.39583333333333331"/>
    <x v="21"/>
    <m/>
    <n v="50"/>
    <n v="15"/>
    <n v="2"/>
    <m/>
    <m/>
    <n v="1"/>
    <s v="https://sh.ch/CMS/get/file/c1688ab0-1c33-488a-8c2b-85b3bde7fe77"/>
  </r>
  <r>
    <x v="43"/>
    <n v="0.41666666666666669"/>
    <x v="5"/>
    <m/>
    <n v="829"/>
    <n v="99"/>
    <n v="14"/>
    <m/>
    <n v="535"/>
    <n v="31"/>
    <s v="https://www.gd.bs.ch//nm/2020-tagesbulletin-coronavirus-834-bestaetigte-faelle-im-kanton-basel-stadt-gd.html"/>
  </r>
  <r>
    <x v="43"/>
    <n v="0.45833333333333331"/>
    <x v="24"/>
    <m/>
    <n v="23"/>
    <m/>
    <m/>
    <m/>
    <m/>
    <m/>
    <s v="https://www.ai.ch/themen/gesundheit-alter-und-soziales/gesundheitsfoerderung-und-praevention/uebertragbare-krankheiten/coronavirus"/>
  </r>
  <r>
    <x v="43"/>
    <n v="0.45833333333333331"/>
    <x v="16"/>
    <m/>
    <n v="527"/>
    <m/>
    <m/>
    <m/>
    <m/>
    <n v="9"/>
    <s v="https://gesundheit.lu.ch/themen/Humanmedizin/Infektionskrankheiten/Coronavirus"/>
  </r>
  <r>
    <x v="43"/>
    <n v="0.58333333333333337"/>
    <x v="22"/>
    <m/>
    <n v="72"/>
    <n v="5"/>
    <m/>
    <m/>
    <n v="42"/>
    <n v="4"/>
    <s v="https://www.ur.ch/themen/2962"/>
  </r>
  <r>
    <x v="43"/>
    <n v="0.60416666666666663"/>
    <x v="4"/>
    <m/>
    <n v="2790"/>
    <n v="170"/>
    <m/>
    <n v="56"/>
    <m/>
    <n v="65"/>
    <s v="https://gd.zh.ch/internet/gesundheitsdirektion/de/themen/coronavirus.html"/>
  </r>
  <r>
    <x v="43"/>
    <n v="0.61458333333333337"/>
    <x v="10"/>
    <m/>
    <n v="788"/>
    <n v="79"/>
    <n v="23"/>
    <n v="23"/>
    <n v="220"/>
    <n v="16"/>
    <s v="https://www.ag.ch/media/kanton_aargau/themen_1/coronavirus_1/lagebulletins/200408_KFS_Coronavirus_Lagebulletin_29.pdf"/>
  </r>
  <r>
    <x v="43"/>
    <n v="0.625"/>
    <x v="23"/>
    <m/>
    <n v="61"/>
    <n v="2"/>
    <m/>
    <m/>
    <m/>
    <n v="0"/>
    <s v="https://www.ow.ch/de/verwaltung/dienstleistungen/?dienst_id=5962"/>
  </r>
  <r>
    <x v="44"/>
    <m/>
    <x v="7"/>
    <m/>
    <n v="711"/>
    <n v="62"/>
    <n v="18"/>
    <n v="16"/>
    <n v="485"/>
    <n v="21"/>
    <s v="https://www.baselland.ch/politik-und-behorden/direktionen/volkswirtschafts-und-gesundheitsdirektion/amt-fur-gesundheit/medizinische-dienste/kantonsarztlicher-dienst/aktuelles/covid-19-faelle-kanton-basel-landschaft"/>
  </r>
  <r>
    <x v="44"/>
    <m/>
    <x v="12"/>
    <m/>
    <n v="786"/>
    <n v="80"/>
    <n v="20"/>
    <m/>
    <n v="84"/>
    <n v="46"/>
    <s v="https://www.fr.ch/sites/default/files/2020-05/statistiques_situation_FR_0105.xlsx"/>
  </r>
  <r>
    <x v="44"/>
    <m/>
    <x v="0"/>
    <n v="17815"/>
    <n v="4152"/>
    <n v="393"/>
    <n v="47"/>
    <n v="45"/>
    <m/>
    <n v="159"/>
    <s v="https://www.ge.ch/document/covid-19-situation-epidemiologique-geneve/telecharger"/>
  </r>
  <r>
    <x v="44"/>
    <m/>
    <x v="19"/>
    <m/>
    <n v="67"/>
    <n v="2"/>
    <m/>
    <m/>
    <m/>
    <n v="2"/>
    <s v="https://www.gl.ch/public/upload/assets/27992/COVID-19_Fallzahlen_Kanton_Glarus.xlsx"/>
  </r>
  <r>
    <x v="44"/>
    <m/>
    <x v="26"/>
    <m/>
    <n v="719"/>
    <n v="39"/>
    <m/>
    <m/>
    <m/>
    <n v="36"/>
    <s v="https://www.gr.ch/DE/institutionen/verwaltung/djsg/ga/coronavirus/info/Seiten/Start.aspx"/>
  </r>
  <r>
    <x v="44"/>
    <m/>
    <x v="3"/>
    <m/>
    <n v="179"/>
    <n v="28"/>
    <n v="5"/>
    <m/>
    <m/>
    <n v="1"/>
    <s v="https://www.jura.ch/Htdocs/Files/v/34292.xlsx/Departements/CHA/SIC/Carrousel/Coronavirus/Cornavirus/Chiffres/donnees_30_04.xlsx?download=1"/>
  </r>
  <r>
    <x v="44"/>
    <m/>
    <x v="13"/>
    <m/>
    <n v="545"/>
    <n v="58"/>
    <n v="10"/>
    <n v="7"/>
    <m/>
    <n v="42"/>
    <s v="https://www.ne.ch/autorites/DFS/SCSP/medecin-cantonal/maladies-vaccinations/Documents/Covid-19-Statistiques/COVID19_PublicationInternet.xlsx"/>
  </r>
  <r>
    <x v="44"/>
    <m/>
    <x v="20"/>
    <m/>
    <n v="96"/>
    <n v="9"/>
    <n v="1"/>
    <m/>
    <m/>
    <m/>
    <s v="http://www.nw.ch/coronastatistik"/>
  </r>
  <r>
    <x v="44"/>
    <m/>
    <x v="14"/>
    <m/>
    <n v="604"/>
    <n v="52"/>
    <n v="13"/>
    <m/>
    <n v="92"/>
    <n v="16"/>
    <s v="https://www.sg.ch/tools/informationen-coronavirus.html"/>
  </r>
  <r>
    <x v="44"/>
    <m/>
    <x v="15"/>
    <m/>
    <n v="213"/>
    <m/>
    <m/>
    <m/>
    <n v="113"/>
    <n v="9"/>
    <s v="https://www.sz.ch/public/upload/assets/46403/COVID-19_Fallzahlen_Kanton_Schwyz.xlsx"/>
  </r>
  <r>
    <x v="44"/>
    <m/>
    <x v="25"/>
    <m/>
    <n v="256"/>
    <n v="27"/>
    <n v="12"/>
    <m/>
    <m/>
    <n v="8"/>
    <s v="https://www.tg.ch/news/fachdossier-coronavirus.html/10552"/>
  </r>
  <r>
    <x v="44"/>
    <m/>
    <x v="8"/>
    <m/>
    <n v="4682"/>
    <n v="303"/>
    <n v="61"/>
    <m/>
    <m/>
    <n v="230"/>
    <s v="https://www.vd.ch/toutes-les-actualites/hotline-et-informations-sur-le-coronavirus/point-de-situation-statistique-dans-le-canton-de-vaud/"/>
  </r>
  <r>
    <x v="44"/>
    <m/>
    <x v="9"/>
    <m/>
    <n v="1598"/>
    <n v="117"/>
    <n v="24"/>
    <n v="19"/>
    <n v="136"/>
    <n v="77"/>
    <s v="https://www.vs.ch/documents/6756452/7008787/2020%2004%2029%20Sit%20Epid%20-%20%C3%89tat%20Stand"/>
  </r>
  <r>
    <x v="44"/>
    <n v="0"/>
    <x v="18"/>
    <m/>
    <n v="282"/>
    <n v="23"/>
    <m/>
    <m/>
    <m/>
    <n v="5"/>
    <s v="https://corona.so.ch/index.php?id=27979"/>
  </r>
  <r>
    <x v="44"/>
    <n v="0.33333333333333331"/>
    <x v="17"/>
    <m/>
    <n v="74"/>
    <m/>
    <m/>
    <m/>
    <m/>
    <n v="3"/>
    <s v="https://www.ar.ch/verwaltung/departement-gesundheit-und-soziales/amt-fuer-gesundheit/informationsseite-coronavirus/"/>
  </r>
  <r>
    <x v="44"/>
    <n v="0.33333333333333331"/>
    <x v="6"/>
    <m/>
    <n v="1335"/>
    <n v="117"/>
    <n v="36"/>
    <n v="27"/>
    <m/>
    <n v="38"/>
    <s v="https://www.besondere-lage.sites.be.ch/besondere-lage_sites/de/index/corona/index.html"/>
  </r>
  <r>
    <x v="44"/>
    <n v="0.33333333333333331"/>
    <x v="1"/>
    <m/>
    <n v="2714"/>
    <n v="301"/>
    <n v="72"/>
    <n v="68"/>
    <n v="447"/>
    <n v="219"/>
    <s v="https://www4.ti.ch/area-media/comunicati/dettaglio-comunicato/?NEWS_ID=187601&amp;tx_tichareamedia_comunicazioni%5Baction%5D=show&amp;tx_tichareamedia_comunicazioni%5Bcontroller%5D=Comunicazioni&amp;cHash=a02f7a88b61d913138f4f86dbeeaa599"/>
  </r>
  <r>
    <x v="44"/>
    <n v="0.33333333333333331"/>
    <x v="11"/>
    <m/>
    <n v="165"/>
    <n v="13"/>
    <n v="9"/>
    <m/>
    <n v="69"/>
    <n v="3"/>
    <s v="https://www.zg.ch/behoerden/gesundheitsdirektion/statistikfachstelle/themen/gesundheit/corona"/>
  </r>
  <r>
    <x v="44"/>
    <n v="0.39583333333333331"/>
    <x v="21"/>
    <m/>
    <n v="52"/>
    <n v="17"/>
    <n v="2"/>
    <m/>
    <m/>
    <n v="1"/>
    <s v="https://sh.ch/CMS/get/file/c1688ab0-1c33-488a-8c2b-85b3bde7fe77"/>
  </r>
  <r>
    <x v="44"/>
    <n v="0.41666666666666669"/>
    <x v="5"/>
    <m/>
    <n v="841"/>
    <n v="93"/>
    <n v="13"/>
    <m/>
    <n v="572"/>
    <n v="33"/>
    <s v="https://www.gd.bs.ch//nm/2020-tagesbulletin-coronavirus-846-bestaetigte-faelle-im-kanton-basel-stadt-gd.html"/>
  </r>
  <r>
    <x v="44"/>
    <n v="0.45833333333333331"/>
    <x v="24"/>
    <m/>
    <n v="24"/>
    <m/>
    <m/>
    <m/>
    <m/>
    <m/>
    <s v="https://www.ai.ch/themen/gesundheit-alter-und-soziales/gesundheitsfoerderung-und-praevention/uebertragbare-krankheiten/coronavirus"/>
  </r>
  <r>
    <x v="44"/>
    <n v="0.54166666666666663"/>
    <x v="16"/>
    <m/>
    <n v="542"/>
    <n v="62"/>
    <n v="6"/>
    <m/>
    <m/>
    <n v="9"/>
    <s v="https://gesundheit.lu.ch/themen/Humanmedizin/Infektionskrankheiten/Coronavirus"/>
  </r>
  <r>
    <x v="44"/>
    <n v="0.58333333333333337"/>
    <x v="22"/>
    <m/>
    <n v="72"/>
    <n v="4"/>
    <m/>
    <m/>
    <n v="45"/>
    <n v="4"/>
    <s v="https://www.ur.ch/themen/2962"/>
  </r>
  <r>
    <x v="44"/>
    <n v="0.60416666666666663"/>
    <x v="4"/>
    <m/>
    <n v="2887"/>
    <n v="165"/>
    <m/>
    <n v="55"/>
    <m/>
    <n v="66"/>
    <s v="https://gd.zh.ch/internet/gesundheitsdirektion/de/themen/coronavirus.html"/>
  </r>
  <r>
    <x v="44"/>
    <n v="0.61458333333333337"/>
    <x v="10"/>
    <m/>
    <n v="822"/>
    <n v="87"/>
    <n v="22"/>
    <n v="21"/>
    <n v="250"/>
    <n v="17"/>
    <s v="https://www.ag.ch/media/kanton_aargau/themen_1/coronavirus_1/lagebulletins/200409_KFS_Coronavirus_Lagebulletin_30.pdf"/>
  </r>
  <r>
    <x v="44"/>
    <n v="0.625"/>
    <x v="23"/>
    <m/>
    <n v="62"/>
    <n v="1"/>
    <m/>
    <m/>
    <m/>
    <n v="0"/>
    <s v="https://www.ow.ch/de/verwaltung/dienstleistungen/?dienst_id=5962"/>
  </r>
  <r>
    <x v="45"/>
    <m/>
    <x v="7"/>
    <m/>
    <n v="722"/>
    <n v="54"/>
    <n v="17"/>
    <n v="15"/>
    <n v="502"/>
    <n v="22"/>
    <s v="https://www.baselland.ch/politik-und-behorden/direktionen/volkswirtschafts-und-gesundheitsdirektion/amt-fur-gesundheit/medizinische-dienste/kantonsarztlicher-dienst/aktuelles/covid-19-faelle-kanton-basel-landschaft"/>
  </r>
  <r>
    <x v="45"/>
    <m/>
    <x v="2"/>
    <m/>
    <n v="79"/>
    <m/>
    <m/>
    <m/>
    <m/>
    <n v="1"/>
    <s v="https://www.regierung.li/media/attachments/188-corona-keine-neuen-faelle-0410.pdf?t=637222261316868970"/>
  </r>
  <r>
    <x v="45"/>
    <m/>
    <x v="12"/>
    <m/>
    <n v="796"/>
    <n v="73"/>
    <n v="19"/>
    <m/>
    <n v="88"/>
    <n v="49"/>
    <s v="https://www.fr.ch/sites/default/files/2020-05/statistiques_situation_FR_0105.xlsx"/>
  </r>
  <r>
    <x v="45"/>
    <m/>
    <x v="0"/>
    <n v="18227"/>
    <n v="4194"/>
    <n v="379"/>
    <n v="47"/>
    <n v="47"/>
    <n v="448"/>
    <n v="170"/>
    <s v="https://www.ge.ch/document/covid-19-situation-epidemiologique-geneve/telecharger"/>
  </r>
  <r>
    <x v="45"/>
    <m/>
    <x v="19"/>
    <m/>
    <n v="76"/>
    <n v="2"/>
    <m/>
    <m/>
    <m/>
    <n v="2"/>
    <s v="https://www.gl.ch/public/upload/assets/27992/COVID-19_Fallzahlen_Kanton_Glarus.xlsx"/>
  </r>
  <r>
    <x v="45"/>
    <m/>
    <x v="26"/>
    <m/>
    <n v="730"/>
    <n v="35"/>
    <m/>
    <m/>
    <m/>
    <n v="36"/>
    <s v="https://www.gr.ch/DE/institutionen/verwaltung/djsg/ga/coronavirus/info/Seiten/Start.aspx"/>
  </r>
  <r>
    <x v="45"/>
    <m/>
    <x v="3"/>
    <m/>
    <n v="182"/>
    <n v="25"/>
    <n v="5"/>
    <m/>
    <m/>
    <n v="3"/>
    <s v="https://www.jura.ch/Htdocs/Files/v/34292.xlsx/Departements/CHA/SIC/Carrousel/Coronavirus/Cornavirus/Chiffres/donnees_30_04.xlsx?download=1"/>
  </r>
  <r>
    <x v="45"/>
    <m/>
    <x v="13"/>
    <m/>
    <n v="564"/>
    <n v="63"/>
    <n v="11"/>
    <n v="8"/>
    <m/>
    <n v="42"/>
    <s v="https://www.ne.ch/autorites/DFS/SCSP/medecin-cantonal/maladies-vaccinations/Documents/Covid-19-Statistiques/COVID19_PublicationInternet.xlsx"/>
  </r>
  <r>
    <x v="45"/>
    <m/>
    <x v="20"/>
    <m/>
    <n v="100"/>
    <n v="7"/>
    <n v="1"/>
    <m/>
    <m/>
    <m/>
    <s v="http://www.nw.ch/coronastatistik"/>
  </r>
  <r>
    <x v="45"/>
    <m/>
    <x v="14"/>
    <m/>
    <n v="632"/>
    <n v="60"/>
    <n v="11"/>
    <m/>
    <n v="93"/>
    <n v="17"/>
    <s v="https://www.sg.ch/tools/informationen-coronavirus.html"/>
  </r>
  <r>
    <x v="45"/>
    <m/>
    <x v="15"/>
    <m/>
    <n v="215"/>
    <m/>
    <m/>
    <m/>
    <n v="118"/>
    <n v="10"/>
    <s v="https://www.sz.ch/public/upload/assets/46403/COVID-19_Fallzahlen_Kanton_Schwyz.xlsx"/>
  </r>
  <r>
    <x v="45"/>
    <m/>
    <x v="25"/>
    <m/>
    <n v="265"/>
    <n v="32"/>
    <n v="13"/>
    <m/>
    <m/>
    <n v="8"/>
    <s v="https://www.tg.ch/news/fachdossier-coronavirus.html/10552"/>
  </r>
  <r>
    <x v="45"/>
    <m/>
    <x v="8"/>
    <m/>
    <n v="4731"/>
    <n v="294"/>
    <n v="63"/>
    <m/>
    <m/>
    <n v="237"/>
    <s v="https://www.vd.ch/toutes-les-actualites/hotline-et-informations-sur-le-coronavirus/point-de-situation-statistique-dans-le-canton-de-vaud/"/>
  </r>
  <r>
    <x v="45"/>
    <m/>
    <x v="9"/>
    <m/>
    <n v="1627"/>
    <n v="115"/>
    <n v="24"/>
    <n v="18"/>
    <n v="136"/>
    <n v="83"/>
    <s v="https://www.vs.ch/documents/6756452/7008787/2020%2004%2029%20Sit%20Epid%20-%20%C3%89tat%20Stand"/>
  </r>
  <r>
    <x v="45"/>
    <n v="0"/>
    <x v="18"/>
    <m/>
    <n v="294"/>
    <n v="22"/>
    <m/>
    <m/>
    <m/>
    <n v="5"/>
    <s v="https://corona.so.ch/index.php?id=27979"/>
  </r>
  <r>
    <x v="45"/>
    <n v="0.33333333333333331"/>
    <x v="17"/>
    <m/>
    <n v="77"/>
    <m/>
    <m/>
    <m/>
    <m/>
    <n v="3"/>
    <s v="https://www.ar.ch/verwaltung/departement-gesundheit-und-soziales/amt-fuer-gesundheit/informationsseite-coronavirus/"/>
  </r>
  <r>
    <x v="45"/>
    <n v="0.33333333333333331"/>
    <x v="6"/>
    <m/>
    <n v="1375"/>
    <n v="107"/>
    <n v="33"/>
    <n v="25"/>
    <m/>
    <n v="42"/>
    <s v="https://www.besondere-lage.sites.be.ch/besondere-lage_sites/de/index/corona/index.html"/>
  </r>
  <r>
    <x v="45"/>
    <n v="0.33333333333333331"/>
    <x v="1"/>
    <m/>
    <n v="2776"/>
    <n v="297"/>
    <n v="68"/>
    <n v="62"/>
    <n v="466"/>
    <n v="227"/>
    <s v="https://www4.ti.ch/area-media/comunicati/dettaglio-comunicato/?NEWS_ID=187607&amp;tx_tichareamedia_comunicazioni%5Baction%5D=show&amp;tx_tichareamedia_comunicazioni%5Bcontroller%5D=Comunicazioni&amp;cHash=e9c51debb7c11815ec53651f6c8c8d24"/>
  </r>
  <r>
    <x v="45"/>
    <n v="0.33333333333333331"/>
    <x v="11"/>
    <m/>
    <n v="168"/>
    <n v="15"/>
    <n v="9"/>
    <m/>
    <n v="76"/>
    <n v="3"/>
    <s v="https://www.zg.ch/behoerden/gesundheitsdirektion/statistikfachstelle/themen/gesundheit/corona"/>
  </r>
  <r>
    <x v="45"/>
    <n v="0.39583333333333331"/>
    <x v="21"/>
    <m/>
    <n v="53"/>
    <n v="13"/>
    <n v="2"/>
    <m/>
    <m/>
    <n v="1"/>
    <s v="https://sh.ch/CMS/get/file/c1688ab0-1c33-488a-8c2b-85b3bde7fe77"/>
  </r>
  <r>
    <x v="45"/>
    <n v="0.41666666666666669"/>
    <x v="5"/>
    <m/>
    <n v="854"/>
    <n v="87"/>
    <n v="13"/>
    <m/>
    <n v="593"/>
    <n v="33"/>
    <s v="https://www.gd.bs.ch//nm/2020-tagesbulletin-coronavirus-859-bestaetigte-faelle-im-kanton-basel-stadt-gd.html"/>
  </r>
  <r>
    <x v="45"/>
    <n v="0.54166666666666663"/>
    <x v="16"/>
    <m/>
    <n v="560"/>
    <n v="69"/>
    <n v="6"/>
    <m/>
    <m/>
    <n v="9"/>
    <s v="https://gesundheit.lu.ch/themen/Humanmedizin/Infektionskrankheiten/Coronavirus"/>
  </r>
  <r>
    <x v="45"/>
    <n v="0.60416666666666663"/>
    <x v="4"/>
    <m/>
    <n v="2927"/>
    <n v="152"/>
    <m/>
    <n v="50"/>
    <m/>
    <n v="71"/>
    <s v="https://gd.zh.ch/internet/gesundheitsdirektion/de/themen/coronavirus.html"/>
  </r>
  <r>
    <x v="45"/>
    <n v="0.61458333333333337"/>
    <x v="10"/>
    <m/>
    <n v="850"/>
    <m/>
    <m/>
    <m/>
    <m/>
    <n v="18"/>
    <s v="https://www.ag.ch/media/kanton_aargau/themen_1/coronavirus_1/lagebulletins/200411_KFS_Coronavirus_Lagebulletin_31.pdf"/>
  </r>
  <r>
    <x v="45"/>
    <n v="0.66666666666666663"/>
    <x v="22"/>
    <m/>
    <n v="74"/>
    <n v="4"/>
    <m/>
    <m/>
    <n v="49"/>
    <n v="4"/>
    <s v="https://www.ur.ch/themen/2962"/>
  </r>
  <r>
    <x v="46"/>
    <m/>
    <x v="7"/>
    <m/>
    <n v="736"/>
    <n v="50"/>
    <n v="16"/>
    <n v="15"/>
    <n v="527"/>
    <n v="22"/>
    <s v="https://www.baselland.ch/politik-und-behorden/direktionen/volkswirtschafts-und-gesundheitsdirektion/amt-fur-gesundheit/medizinische-dienste/kantonsarztlicher-dienst/aktuelles/covid-19-faelle-kanton-basel-landschaft"/>
  </r>
  <r>
    <x v="46"/>
    <m/>
    <x v="2"/>
    <m/>
    <n v="79"/>
    <m/>
    <m/>
    <m/>
    <m/>
    <n v="1"/>
    <s v="https://www.regierung.li/media/attachments/189-corona-keine-neuen-faelle-0411.pdf?t=637222261316868970"/>
  </r>
  <r>
    <x v="46"/>
    <m/>
    <x v="12"/>
    <m/>
    <n v="834"/>
    <n v="68"/>
    <n v="20"/>
    <m/>
    <n v="93"/>
    <n v="53"/>
    <s v="https://www.fr.ch/sites/default/files/2020-05/statistiques_situation_FR_0105.xlsx"/>
  </r>
  <r>
    <x v="46"/>
    <m/>
    <x v="0"/>
    <n v="18587"/>
    <n v="4243"/>
    <n v="364"/>
    <n v="48"/>
    <n v="44"/>
    <n v="463"/>
    <n v="178"/>
    <s v="https://www.ge.ch/document/covid-19-situation-epidemiologique-geneve/telecharger"/>
  </r>
  <r>
    <x v="46"/>
    <m/>
    <x v="19"/>
    <m/>
    <n v="91"/>
    <n v="2"/>
    <m/>
    <m/>
    <m/>
    <n v="2"/>
    <s v="https://www.gl.ch/public/upload/assets/27992/COVID-19_Fallzahlen_Kanton_Glarus.xlsx"/>
  </r>
  <r>
    <x v="46"/>
    <m/>
    <x v="26"/>
    <m/>
    <n v="743"/>
    <n v="35"/>
    <m/>
    <m/>
    <m/>
    <n v="36"/>
    <s v="https://www.gr.ch/DE/institutionen/verwaltung/djsg/ga/coronavirus/info/Seiten/Start.aspx"/>
  </r>
  <r>
    <x v="46"/>
    <m/>
    <x v="3"/>
    <m/>
    <n v="183"/>
    <n v="23"/>
    <n v="5"/>
    <m/>
    <m/>
    <n v="3"/>
    <s v="https://www.jura.ch/Htdocs/Files/v/34292.xlsx/Departements/CHA/SIC/Carrousel/Coronavirus/Cornavirus/Chiffres/donnees_30_04.xlsx?download=1"/>
  </r>
  <r>
    <x v="46"/>
    <m/>
    <x v="13"/>
    <m/>
    <n v="573"/>
    <n v="64"/>
    <n v="11"/>
    <n v="9"/>
    <m/>
    <n v="45"/>
    <s v="https://www.ne.ch/autorites/DFS/SCSP/medecin-cantonal/maladies-vaccinations/Documents/Covid-19-Statistiques/COVID19_PublicationInternet.xlsx"/>
  </r>
  <r>
    <x v="46"/>
    <m/>
    <x v="20"/>
    <m/>
    <n v="103"/>
    <n v="8"/>
    <n v="2"/>
    <m/>
    <m/>
    <n v="1"/>
    <s v="http://www.nw.ch/coronastatistik"/>
  </r>
  <r>
    <x v="46"/>
    <m/>
    <x v="14"/>
    <m/>
    <n v="641"/>
    <n v="60"/>
    <n v="11"/>
    <m/>
    <n v="102"/>
    <n v="18"/>
    <s v="https://www.sg.ch/tools/informationen-coronavirus.html"/>
  </r>
  <r>
    <x v="46"/>
    <m/>
    <x v="15"/>
    <m/>
    <n v="249"/>
    <m/>
    <m/>
    <m/>
    <n v="118"/>
    <n v="10"/>
    <s v="https://www.sz.ch/public/upload/assets/46403/COVID-19_Fallzahlen_Kanton_Schwyz.xlsx"/>
  </r>
  <r>
    <x v="46"/>
    <m/>
    <x v="25"/>
    <m/>
    <n v="275"/>
    <n v="32"/>
    <n v="14"/>
    <m/>
    <m/>
    <n v="8"/>
    <s v="https://www.tg.ch/news/fachdossier-coronavirus.html/10552"/>
  </r>
  <r>
    <x v="46"/>
    <m/>
    <x v="8"/>
    <m/>
    <n v="4771"/>
    <n v="280"/>
    <n v="63"/>
    <m/>
    <m/>
    <n v="243"/>
    <s v="https://www.vd.ch/toutes-les-actualites/hotline-et-informations-sur-le-coronavirus/point-de-situation-statistique-dans-le-canton-de-vaud/"/>
  </r>
  <r>
    <x v="46"/>
    <m/>
    <x v="9"/>
    <m/>
    <n v="1653"/>
    <n v="112"/>
    <n v="20"/>
    <n v="15"/>
    <n v="148"/>
    <n v="85"/>
    <s v="https://www.vs.ch/documents/6756452/7008787/2020%2004%2029%20Sit%20Epid%20-%20%C3%89tat%20Stand"/>
  </r>
  <r>
    <x v="46"/>
    <n v="0"/>
    <x v="18"/>
    <m/>
    <n v="306"/>
    <m/>
    <m/>
    <m/>
    <m/>
    <n v="6"/>
    <s v="https://corona.so.ch/index.php?id=27979"/>
  </r>
  <r>
    <x v="46"/>
    <n v="0.33333333333333331"/>
    <x v="6"/>
    <m/>
    <n v="1419"/>
    <n v="99"/>
    <n v="33"/>
    <n v="24"/>
    <m/>
    <n v="44"/>
    <s v="https://www.besondere-lage.sites.be.ch/besondere-lage_sites/de/index/corona/index.html"/>
  </r>
  <r>
    <x v="46"/>
    <n v="0.33333333333333331"/>
    <x v="1"/>
    <m/>
    <n v="2818"/>
    <n v="282"/>
    <n v="68"/>
    <n v="59"/>
    <n v="493"/>
    <n v="229"/>
    <s v="https://www4.ti.ch/area-media/comunicati/dettaglio-comunicato/?NEWS_ID=187611&amp;tx_tichareamedia_comunicazioni%5Baction%5D=show&amp;tx_tichareamedia_comunicazioni%5Bcontroller%5D=Comunicazioni&amp;cHash=6f94f1f1d5cf92bdf5a1e053e6602530"/>
  </r>
  <r>
    <x v="46"/>
    <n v="0.33333333333333331"/>
    <x v="11"/>
    <m/>
    <n v="168"/>
    <n v="14"/>
    <n v="9"/>
    <m/>
    <n v="79"/>
    <n v="4"/>
    <s v="https://www.zg.ch/behoerden/gesundheitsdirektion/statistikfachstelle/themen/gesundheit/corona"/>
  </r>
  <r>
    <x v="46"/>
    <n v="0.39583333333333331"/>
    <x v="5"/>
    <m/>
    <n v="861"/>
    <m/>
    <m/>
    <m/>
    <n v="612"/>
    <n v="33"/>
    <s v="https://www.gd.bs.ch//nm/2020-tagesbulletin-coronavirus-866-bestaetigte-faelle-im-kanton-basel-stadt-gd.html"/>
  </r>
  <r>
    <x v="46"/>
    <n v="0.39583333333333331"/>
    <x v="21"/>
    <m/>
    <n v="55"/>
    <n v="13"/>
    <n v="2"/>
    <m/>
    <m/>
    <n v="1"/>
    <s v="https://sh.ch/CMS/get/file/c1688ab0-1c33-488a-8c2b-85b3bde7fe77"/>
  </r>
  <r>
    <x v="46"/>
    <n v="0.41666666666666669"/>
    <x v="17"/>
    <m/>
    <n v="77"/>
    <m/>
    <m/>
    <m/>
    <m/>
    <n v="3"/>
    <s v="https://www.ar.ch/verwaltung/departement-gesundheit-und-soziales/amt-fuer-gesundheit/informationsseite-coronavirus/"/>
  </r>
  <r>
    <x v="46"/>
    <n v="0.45833333333333331"/>
    <x v="24"/>
    <m/>
    <n v="24"/>
    <m/>
    <m/>
    <m/>
    <m/>
    <m/>
    <s v="https://www.ai.ch/themen/gesundheit-alter-und-soziales/gesundheitsfoerderung-und-praevention/uebertragbare-krankheiten/coronavirus"/>
  </r>
  <r>
    <x v="46"/>
    <n v="0.45833333333333331"/>
    <x v="16"/>
    <m/>
    <n v="568"/>
    <m/>
    <m/>
    <m/>
    <m/>
    <n v="10"/>
    <s v="https://gesundheit.lu.ch/themen/Humanmedizin/Infektionskrankheiten/Coronavirus"/>
  </r>
  <r>
    <x v="46"/>
    <n v="0.60416666666666663"/>
    <x v="4"/>
    <m/>
    <n v="2985"/>
    <n v="149"/>
    <m/>
    <n v="50"/>
    <m/>
    <n v="77"/>
    <s v="https://gd.zh.ch/internet/gesundheitsdirektion/de/themen/coronavirus.html"/>
  </r>
  <r>
    <x v="46"/>
    <n v="0.66666666666666663"/>
    <x v="22"/>
    <m/>
    <n v="75"/>
    <n v="8"/>
    <m/>
    <m/>
    <n v="50"/>
    <n v="4"/>
    <s v="https://www.ur.ch/themen/2962"/>
  </r>
  <r>
    <x v="46"/>
    <n v="0.70833333333333337"/>
    <x v="10"/>
    <m/>
    <n v="878"/>
    <n v="76"/>
    <n v="23"/>
    <n v="21"/>
    <n v="300"/>
    <n v="18"/>
    <s v="https://www.ag.ch/media/kanton_aargau/themen_1/coronavirus_1/lagebulletins/200411_KFS_Coronavirus_Lagebulletin_31.pdf"/>
  </r>
  <r>
    <x v="47"/>
    <m/>
    <x v="7"/>
    <m/>
    <n v="740"/>
    <n v="48"/>
    <n v="17"/>
    <n v="14"/>
    <n v="554"/>
    <n v="23"/>
    <s v="https://www.baselland.ch/politik-und-behorden/direktionen/volkswirtschafts-und-gesundheitsdirektion/amt-fur-gesundheit/medizinische-dienste/kantonsarztlicher-dienst/aktuelles/covid-19-faelle-kanton-basel-landschaft"/>
  </r>
  <r>
    <x v="47"/>
    <m/>
    <x v="2"/>
    <m/>
    <n v="80"/>
    <m/>
    <m/>
    <m/>
    <m/>
    <n v="1"/>
    <s v="https://www.regierung.li/media/attachments/190-corona-zusaetzliche-person-0412.pdf?t=637223083991919653"/>
  </r>
  <r>
    <x v="47"/>
    <m/>
    <x v="12"/>
    <m/>
    <n v="846"/>
    <n v="65"/>
    <n v="19"/>
    <m/>
    <n v="97"/>
    <n v="54"/>
    <s v="https://www.fr.ch/sites/default/files/2020-05/statistiques_situation_FR_0105.xlsx"/>
  </r>
  <r>
    <x v="47"/>
    <m/>
    <x v="0"/>
    <n v="18762"/>
    <n v="4265"/>
    <n v="363"/>
    <n v="47"/>
    <n v="43"/>
    <n v="479"/>
    <n v="185"/>
    <s v="https://www.ge.ch/document/covid-19-situation-epidemiologique-geneve/telecharger"/>
  </r>
  <r>
    <x v="47"/>
    <m/>
    <x v="19"/>
    <m/>
    <n v="91"/>
    <n v="2"/>
    <m/>
    <m/>
    <m/>
    <n v="2"/>
    <s v="https://www.gl.ch/public/upload/assets/27992/COVID-19_Fallzahlen_Kanton_Glarus.xlsx"/>
  </r>
  <r>
    <x v="47"/>
    <m/>
    <x v="26"/>
    <m/>
    <n v="747"/>
    <n v="35"/>
    <m/>
    <m/>
    <m/>
    <n v="36"/>
    <s v="https://www.gr.ch/DE/institutionen/verwaltung/djsg/ga/coronavirus/info/Seiten/Start.aspx"/>
  </r>
  <r>
    <x v="47"/>
    <m/>
    <x v="3"/>
    <m/>
    <n v="183"/>
    <n v="22"/>
    <n v="5"/>
    <m/>
    <m/>
    <n v="3"/>
    <s v="https://www.jura.ch/Htdocs/Files/v/34292.xlsx/Departements/CHA/SIC/Carrousel/Coronavirus/Cornavirus/Chiffres/donnees_30_04.xlsx?download=1"/>
  </r>
  <r>
    <x v="47"/>
    <m/>
    <x v="13"/>
    <m/>
    <n v="583"/>
    <n v="67"/>
    <n v="10"/>
    <n v="10"/>
    <m/>
    <n v="50"/>
    <s v="https://www.ne.ch/autorites/DFS/SCSP/medecin-cantonal/maladies-vaccinations/Documents/Covid-19-Statistiques/COVID19_PublicationInternet.xlsx"/>
  </r>
  <r>
    <x v="47"/>
    <m/>
    <x v="20"/>
    <m/>
    <n v="104"/>
    <n v="7"/>
    <n v="2"/>
    <m/>
    <m/>
    <n v="1"/>
    <s v="http://www.nw.ch/coronastatistik"/>
  </r>
  <r>
    <x v="47"/>
    <m/>
    <x v="14"/>
    <m/>
    <n v="649"/>
    <n v="58"/>
    <n v="9"/>
    <m/>
    <n v="109"/>
    <n v="21"/>
    <s v="https://www.sg.ch/tools/informationen-coronavirus.html"/>
  </r>
  <r>
    <x v="47"/>
    <m/>
    <x v="15"/>
    <m/>
    <n v="251"/>
    <m/>
    <m/>
    <m/>
    <n v="119"/>
    <n v="11"/>
    <s v="https://www.sz.ch/public/upload/assets/46403/COVID-19_Fallzahlen_Kanton_Schwyz.xlsx"/>
  </r>
  <r>
    <x v="47"/>
    <m/>
    <x v="25"/>
    <m/>
    <n v="286"/>
    <n v="32"/>
    <n v="14"/>
    <m/>
    <m/>
    <n v="8"/>
    <s v="https://www.tg.ch/news/fachdossier-coronavirus.html/10552"/>
  </r>
  <r>
    <x v="47"/>
    <m/>
    <x v="8"/>
    <m/>
    <n v="4808"/>
    <n v="289"/>
    <n v="62"/>
    <m/>
    <m/>
    <n v="251"/>
    <s v="https://www.vd.ch/toutes-les-actualites/hotline-et-informations-sur-le-coronavirus/point-de-situation-statistique-dans-le-canton-de-vaud/"/>
  </r>
  <r>
    <x v="47"/>
    <m/>
    <x v="9"/>
    <m/>
    <n v="1666"/>
    <n v="110"/>
    <n v="22"/>
    <n v="14"/>
    <n v="157"/>
    <n v="91"/>
    <s v="https://www.vs.ch/documents/6756452/7008787/2020%2004%2029%20Sit%20Epid%20-%20%C3%89tat%20Stand"/>
  </r>
  <r>
    <x v="47"/>
    <n v="0"/>
    <x v="18"/>
    <m/>
    <n v="315"/>
    <n v="23"/>
    <m/>
    <m/>
    <m/>
    <n v="7"/>
    <s v="https://corona.so.ch/index.php?id=27979"/>
  </r>
  <r>
    <x v="47"/>
    <n v="0.33333333333333331"/>
    <x v="6"/>
    <m/>
    <n v="1441"/>
    <n v="95"/>
    <n v="33"/>
    <n v="22"/>
    <m/>
    <n v="49"/>
    <s v="https://www.besondere-lage.sites.be.ch/besondere-lage_sites/de/index/corona/index.html"/>
  </r>
  <r>
    <x v="47"/>
    <n v="0.33333333333333331"/>
    <x v="1"/>
    <m/>
    <n v="2869"/>
    <n v="269"/>
    <n v="63"/>
    <n v="56"/>
    <n v="511"/>
    <n v="244"/>
    <s v="https://www4.ti.ch/area-media/comunicati/dettaglio-comunicato/?NEWS_ID=187612&amp;tx_tichareamedia_comunicazioni%5Baction%5D=show&amp;tx_tichareamedia_comunicazioni%5Bcontroller%5D=Comunicazioni&amp;cHash=01ed3fadc99b1b00f0a8c4a0e41e7252"/>
  </r>
  <r>
    <x v="47"/>
    <n v="0.33333333333333331"/>
    <x v="11"/>
    <m/>
    <n v="168"/>
    <n v="13"/>
    <n v="9"/>
    <m/>
    <n v="80"/>
    <n v="5"/>
    <s v="https://www.zg.ch/behoerden/gesundheitsdirektion/statistikfachstelle/themen/gesundheit/corona"/>
  </r>
  <r>
    <x v="47"/>
    <n v="0.39583333333333331"/>
    <x v="21"/>
    <m/>
    <n v="57"/>
    <n v="16"/>
    <n v="2"/>
    <m/>
    <m/>
    <n v="1"/>
    <s v="https://sh.ch/CMS/get/file/c1688ab0-1c33-488a-8c2b-85b3bde7fe77"/>
  </r>
  <r>
    <x v="47"/>
    <n v="0.41666666666666669"/>
    <x v="5"/>
    <m/>
    <n v="877"/>
    <n v="86"/>
    <n v="12"/>
    <m/>
    <n v="629"/>
    <n v="33"/>
    <s v="https://www.gd.bs.ch//nm/2020-tagesbulletin-coronavirus-882-bestaetigte-faelle-im-kanton-basel-stadt-gd.html"/>
  </r>
  <r>
    <x v="47"/>
    <n v="0.45833333333333331"/>
    <x v="16"/>
    <m/>
    <n v="576"/>
    <n v="60"/>
    <n v="5"/>
    <m/>
    <m/>
    <n v="10"/>
    <s v="https://gesundheit.lu.ch/themen/Humanmedizin/Infektionskrankheiten/Coronavirus"/>
  </r>
  <r>
    <x v="47"/>
    <n v="0.60416666666666663"/>
    <x v="4"/>
    <m/>
    <n v="3002"/>
    <n v="153"/>
    <m/>
    <n v="49"/>
    <m/>
    <n v="79"/>
    <s v="https://gd.zh.ch/internet/gesundheitsdirektion/de/themen/coronavirus.html"/>
  </r>
  <r>
    <x v="47"/>
    <n v="0.61458333333333337"/>
    <x v="10"/>
    <m/>
    <n v="899"/>
    <m/>
    <m/>
    <m/>
    <m/>
    <n v="18"/>
    <s v="https://www.ag.ch/media/kanton_aargau/themen_1/coronavirus_1/lagebulletins/200414_KFS_Coronavirus_Lagebulletin_32.pdf"/>
  </r>
  <r>
    <x v="47"/>
    <n v="0.625"/>
    <x v="22"/>
    <m/>
    <n v="77"/>
    <n v="5"/>
    <m/>
    <m/>
    <n v="52"/>
    <n v="4"/>
    <s v="https://www.ur.ch/themen/2962"/>
  </r>
  <r>
    <x v="48"/>
    <m/>
    <x v="7"/>
    <m/>
    <n v="749"/>
    <n v="48"/>
    <n v="16"/>
    <n v="12"/>
    <n v="570"/>
    <n v="24"/>
    <s v="https://www.baselland.ch/politik-und-behorden/direktionen/volkswirtschafts-und-gesundheitsdirektion/amt-fur-gesundheit/medizinische-dienste/kantonsarztlicher-dienst/aktuelles/covid-19-faelle-kanton-basel-landschaft"/>
  </r>
  <r>
    <x v="48"/>
    <m/>
    <x v="2"/>
    <m/>
    <n v="80"/>
    <m/>
    <m/>
    <m/>
    <m/>
    <n v="1"/>
    <s v="https://www.regierung.li/media/attachments/191-corona-keine-neuen-faelle-0413.pdf?t=637224053004137202"/>
  </r>
  <r>
    <x v="48"/>
    <m/>
    <x v="12"/>
    <m/>
    <n v="859"/>
    <n v="68"/>
    <n v="17"/>
    <m/>
    <n v="97"/>
    <n v="55"/>
    <s v="https://www.fr.ch/sites/default/files/2020-05/statistiques_situation_FR_0105.xlsx"/>
  </r>
  <r>
    <x v="48"/>
    <m/>
    <x v="0"/>
    <n v="19067"/>
    <n v="4315"/>
    <n v="364"/>
    <n v="47"/>
    <n v="42"/>
    <n v="490"/>
    <n v="188"/>
    <s v="https://www.ge.ch/document/covid-19-situation-epidemiologique-geneve/telecharger"/>
  </r>
  <r>
    <x v="48"/>
    <m/>
    <x v="19"/>
    <m/>
    <n v="92"/>
    <n v="2"/>
    <m/>
    <m/>
    <m/>
    <n v="2"/>
    <s v="https://www.gl.ch/public/upload/assets/27992/COVID-19_Fallzahlen_Kanton_Glarus.xlsx"/>
  </r>
  <r>
    <x v="48"/>
    <m/>
    <x v="26"/>
    <m/>
    <n v="750"/>
    <n v="34"/>
    <m/>
    <m/>
    <m/>
    <n v="37"/>
    <s v="https://www.gr.ch/DE/institutionen/verwaltung/djsg/ga/coronavirus/info/Seiten/Start.aspx"/>
  </r>
  <r>
    <x v="48"/>
    <m/>
    <x v="3"/>
    <m/>
    <n v="184"/>
    <n v="24"/>
    <n v="5"/>
    <m/>
    <m/>
    <n v="3"/>
    <s v="https://www.jura.ch/Htdocs/Files/v/34292.xlsx/Departements/CHA/SIC/Carrousel/Coronavirus/Cornavirus/Chiffres/donnees_30_04.xlsx?download=1"/>
  </r>
  <r>
    <x v="48"/>
    <m/>
    <x v="13"/>
    <m/>
    <n v="588"/>
    <n v="67"/>
    <n v="10"/>
    <n v="10"/>
    <m/>
    <n v="52"/>
    <s v="https://www.ne.ch/autorites/DFS/SCSP/medecin-cantonal/maladies-vaccinations/Documents/Covid-19-Statistiques/COVID19_PublicationInternet.xlsx"/>
  </r>
  <r>
    <x v="48"/>
    <m/>
    <x v="20"/>
    <m/>
    <n v="104"/>
    <n v="7"/>
    <n v="2"/>
    <m/>
    <m/>
    <n v="1"/>
    <s v="http://www.nw.ch/coronastatistik"/>
  </r>
  <r>
    <x v="48"/>
    <m/>
    <x v="14"/>
    <m/>
    <n v="657"/>
    <n v="58"/>
    <n v="10"/>
    <m/>
    <n v="119"/>
    <n v="21"/>
    <s v="https://www.sg.ch/tools/informationen-coronavirus.html"/>
  </r>
  <r>
    <x v="48"/>
    <m/>
    <x v="15"/>
    <m/>
    <n v="251"/>
    <m/>
    <m/>
    <m/>
    <n v="128"/>
    <n v="12"/>
    <s v="https://www.sz.ch/public/upload/assets/46403/COVID-19_Fallzahlen_Kanton_Schwyz.xlsx"/>
  </r>
  <r>
    <x v="48"/>
    <m/>
    <x v="25"/>
    <m/>
    <n v="293"/>
    <n v="32"/>
    <n v="17"/>
    <m/>
    <m/>
    <n v="8"/>
    <s v="https://www.tg.ch/news/fachdossier-coronavirus.html/10552"/>
  </r>
  <r>
    <x v="48"/>
    <m/>
    <x v="8"/>
    <m/>
    <n v="4852"/>
    <n v="289"/>
    <n v="58"/>
    <m/>
    <m/>
    <n v="257"/>
    <s v="https://www.vd.ch/toutes-les-actualites/hotline-et-informations-sur-le-coronavirus/point-de-situation-statistique-dans-le-canton-de-vaud/"/>
  </r>
  <r>
    <x v="48"/>
    <m/>
    <x v="9"/>
    <m/>
    <n v="1680"/>
    <n v="106"/>
    <n v="21"/>
    <n v="12"/>
    <n v="157"/>
    <n v="93"/>
    <s v="https://www.vs.ch/documents/6756452/7008787/2020%2004%2029%20Sit%20Epid%20-%20%C3%89tat%20Stand"/>
  </r>
  <r>
    <x v="48"/>
    <n v="0"/>
    <x v="18"/>
    <m/>
    <n v="321"/>
    <n v="23"/>
    <m/>
    <m/>
    <m/>
    <n v="7"/>
    <s v="https://corona.so.ch/index.php?id=27979"/>
  </r>
  <r>
    <x v="48"/>
    <n v="0.33333333333333331"/>
    <x v="17"/>
    <m/>
    <n v="78"/>
    <m/>
    <m/>
    <m/>
    <m/>
    <n v="3"/>
    <s v="https://www.ar.ch/verwaltung/departement-gesundheit-und-soziales/amt-fuer-gesundheit/informationsseite-coronavirus/"/>
  </r>
  <r>
    <x v="48"/>
    <n v="0.33333333333333331"/>
    <x v="6"/>
    <m/>
    <n v="1456"/>
    <n v="92"/>
    <n v="32"/>
    <n v="21"/>
    <m/>
    <n v="49"/>
    <s v="https://www.besondere-lage.sites.be.ch/besondere-lage_sites/de/index/corona/index.html"/>
  </r>
  <r>
    <x v="48"/>
    <n v="0.33333333333333331"/>
    <x v="1"/>
    <m/>
    <n v="2900"/>
    <n v="274"/>
    <n v="63"/>
    <n v="55"/>
    <n v="517"/>
    <n v="251"/>
    <s v="https://www4.ti.ch/area-media/comunicati/dettaglio-comunicato/?NEWS_ID=187614&amp;tx_tichareamedia_comunicazioni%5Baction%5D=show&amp;tx_tichareamedia_comunicazioni%5Bcontroller%5D=Comunicazioni&amp;cHash=0464d89cb8c291fbc9c266e6b7008814"/>
  </r>
  <r>
    <x v="48"/>
    <n v="0.33333333333333331"/>
    <x v="11"/>
    <m/>
    <n v="170"/>
    <n v="13"/>
    <n v="9"/>
    <m/>
    <n v="84"/>
    <n v="5"/>
    <s v="https://www.zg.ch/behoerden/gesundheitsdirektion/statistikfachstelle/themen/gesundheit/corona"/>
  </r>
  <r>
    <x v="48"/>
    <n v="0.39583333333333331"/>
    <x v="21"/>
    <m/>
    <n v="57"/>
    <n v="16"/>
    <n v="2"/>
    <m/>
    <m/>
    <n v="1"/>
    <s v="https://sh.ch/CMS/get/file/c1688ab0-1c33-488a-8c2b-85b3bde7fe77"/>
  </r>
  <r>
    <x v="48"/>
    <n v="0.41666666666666669"/>
    <x v="5"/>
    <m/>
    <n v="888"/>
    <m/>
    <m/>
    <m/>
    <n v="653"/>
    <n v="34"/>
    <s v="https://www.gd.bs.ch//nm/2020-tagesbulletin-coronavirus-893-bestaetigte-faelle-im-kanton-basel-stadt-gd.html"/>
  </r>
  <r>
    <x v="48"/>
    <n v="0.45833333333333331"/>
    <x v="24"/>
    <m/>
    <n v="24"/>
    <m/>
    <m/>
    <m/>
    <m/>
    <m/>
    <s v="https://www.ai.ch/themen/gesundheit-alter-und-soziales/gesundheitsfoerderung-und-praevention/uebertragbare-krankheiten/coronavirus"/>
  </r>
  <r>
    <x v="48"/>
    <n v="0.45833333333333331"/>
    <x v="16"/>
    <m/>
    <n v="580"/>
    <n v="40"/>
    <n v="5"/>
    <m/>
    <m/>
    <n v="10"/>
    <s v="https://gesundheit.lu.ch/themen/Humanmedizin/Infektionskrankheiten/Coronavirus"/>
  </r>
  <r>
    <x v="48"/>
    <n v="0.58333333333333337"/>
    <x v="22"/>
    <m/>
    <n v="78"/>
    <n v="4"/>
    <m/>
    <m/>
    <n v="52"/>
    <n v="4"/>
    <s v="https://www.ur.ch/themen/2962"/>
  </r>
  <r>
    <x v="48"/>
    <n v="0.60416666666666663"/>
    <x v="4"/>
    <m/>
    <n v="3019"/>
    <n v="154"/>
    <m/>
    <n v="50"/>
    <m/>
    <n v="83"/>
    <s v="https://gd.zh.ch/internet/gesundheitsdirektion/de/themen/coronavirus.html"/>
  </r>
  <r>
    <x v="48"/>
    <n v="0.61458333333333337"/>
    <x v="10"/>
    <m/>
    <n v="906"/>
    <m/>
    <m/>
    <m/>
    <m/>
    <n v="19"/>
    <s v="https://www.ag.ch/media/kanton_aargau/themen_1/coronavirus_1/lagebulletins/200414_KFS_Coronavirus_Lagebulletin_32.pdf"/>
  </r>
  <r>
    <x v="49"/>
    <m/>
    <x v="7"/>
    <m/>
    <n v="755"/>
    <n v="48"/>
    <n v="14"/>
    <n v="8"/>
    <n v="597"/>
    <n v="25"/>
    <s v="https://www.baselland.ch/politik-und-behorden/direktionen/volkswirtschafts-und-gesundheitsdirektion/amt-fur-gesundheit/medizinische-dienste/kantonsarztlicher-dienst/aktuelles/covid-19-faelle-kanton-basel-landschaft"/>
  </r>
  <r>
    <x v="49"/>
    <m/>
    <x v="12"/>
    <m/>
    <n v="879"/>
    <n v="68"/>
    <n v="14"/>
    <m/>
    <n v="98"/>
    <n v="57"/>
    <s v="https://www.fr.ch/sites/default/files/2020-05/statistiques_situation_FR_0105.xlsx"/>
  </r>
  <r>
    <x v="49"/>
    <m/>
    <x v="0"/>
    <n v="19611"/>
    <n v="4368"/>
    <n v="365"/>
    <n v="46"/>
    <n v="41"/>
    <n v="490"/>
    <n v="193"/>
    <s v="https://www.ge.ch/document/covid-19-situation-epidemiologique-geneve/telecharger"/>
  </r>
  <r>
    <x v="49"/>
    <m/>
    <x v="19"/>
    <m/>
    <n v="105"/>
    <n v="2"/>
    <m/>
    <m/>
    <m/>
    <n v="2"/>
    <s v="https://www.gl.ch/public/upload/assets/27992/COVID-19_Fallzahlen_Kanton_Glarus.xlsx"/>
  </r>
  <r>
    <x v="49"/>
    <m/>
    <x v="26"/>
    <m/>
    <n v="753"/>
    <n v="34"/>
    <m/>
    <m/>
    <m/>
    <n v="37"/>
    <s v="https://www.gr.ch/DE/institutionen/verwaltung/djsg/ga/coronavirus/info/Seiten/Start.aspx"/>
  </r>
  <r>
    <x v="49"/>
    <m/>
    <x v="3"/>
    <m/>
    <n v="185"/>
    <n v="21"/>
    <n v="5"/>
    <m/>
    <m/>
    <n v="3"/>
    <s v="https://www.jura.ch/Htdocs/Files/v/34292.xlsx/Departements/CHA/SIC/Carrousel/Coronavirus/Cornavirus/Chiffres/donnees_30_04.xlsx?download=1"/>
  </r>
  <r>
    <x v="49"/>
    <m/>
    <x v="13"/>
    <m/>
    <n v="599"/>
    <n v="60"/>
    <n v="11"/>
    <n v="10"/>
    <m/>
    <n v="55"/>
    <s v="https://www.ne.ch/autorites/DFS/SCSP/medecin-cantonal/maladies-vaccinations/Documents/Covid-19-Statistiques/COVID19_PublicationInternet.xlsx"/>
  </r>
  <r>
    <x v="49"/>
    <m/>
    <x v="20"/>
    <m/>
    <n v="105"/>
    <n v="7"/>
    <n v="2"/>
    <m/>
    <m/>
    <n v="1"/>
    <s v="http://www.nw.ch/coronastatistik"/>
  </r>
  <r>
    <x v="49"/>
    <m/>
    <x v="14"/>
    <m/>
    <n v="664"/>
    <n v="59"/>
    <n v="9"/>
    <m/>
    <n v="120"/>
    <n v="21"/>
    <s v="https://www.sg.ch/tools/informationen-coronavirus.html"/>
  </r>
  <r>
    <x v="49"/>
    <m/>
    <x v="15"/>
    <m/>
    <n v="258"/>
    <m/>
    <m/>
    <m/>
    <n v="128"/>
    <n v="13"/>
    <s v="https://www.sz.ch/public/upload/assets/46403/COVID-19_Fallzahlen_Kanton_Schwyz.xlsx"/>
  </r>
  <r>
    <x v="49"/>
    <m/>
    <x v="25"/>
    <m/>
    <n v="297"/>
    <n v="35"/>
    <n v="16"/>
    <m/>
    <m/>
    <n v="10"/>
    <s v="https://www.tg.ch/news/fachdossier-coronavirus.html/10552"/>
  </r>
  <r>
    <x v="49"/>
    <m/>
    <x v="8"/>
    <m/>
    <n v="4919"/>
    <n v="272"/>
    <n v="57"/>
    <m/>
    <m/>
    <n v="267"/>
    <s v="https://www.vd.ch/toutes-les-actualites/hotline-et-informations-sur-le-coronavirus/point-de-situation-statistique-dans-le-canton-de-vaud/"/>
  </r>
  <r>
    <x v="49"/>
    <m/>
    <x v="9"/>
    <m/>
    <n v="1707"/>
    <n v="100"/>
    <n v="20"/>
    <n v="11"/>
    <n v="165"/>
    <n v="94"/>
    <s v="https://www.vs.ch/documents/6756452/7008787/2020%2004%2029%20Sit%20Epid%20-%20%C3%89tat%20Stand"/>
  </r>
  <r>
    <x v="49"/>
    <n v="0"/>
    <x v="18"/>
    <m/>
    <n v="325"/>
    <n v="22"/>
    <m/>
    <m/>
    <m/>
    <n v="8"/>
    <s v="https://corona.so.ch/index.php?id=27979"/>
  </r>
  <r>
    <x v="49"/>
    <n v="0.33333333333333331"/>
    <x v="17"/>
    <m/>
    <n v="79"/>
    <m/>
    <m/>
    <m/>
    <m/>
    <n v="3"/>
    <s v="https://www.ar.ch/verwaltung/departement-gesundheit-und-soziales/amt-fuer-gesundheit/informationsseite-coronavirus/"/>
  </r>
  <r>
    <x v="49"/>
    <n v="0.33333333333333331"/>
    <x v="6"/>
    <m/>
    <n v="1470"/>
    <n v="85"/>
    <n v="31"/>
    <n v="21"/>
    <m/>
    <n v="49"/>
    <s v="https://www.besondere-lage.sites.be.ch/besondere-lage_sites/de/index/corona/index.html"/>
  </r>
  <r>
    <x v="49"/>
    <n v="0.33333333333333331"/>
    <x v="1"/>
    <m/>
    <n v="2912"/>
    <n v="274"/>
    <n v="63"/>
    <n v="54"/>
    <n v="524"/>
    <n v="258"/>
    <s v="https://www4.ti.ch/area-media/comunicati/dettaglio-comunicato/?NEWS_ID=187617&amp;tx_tichareamedia_comunicazioni%5Baction%5D=show&amp;tx_tichareamedia_comunicazioni%5Bcontroller%5D=Comunicazioni&amp;cHash=64be59067038bfdaf603d60bfab0aa52"/>
  </r>
  <r>
    <x v="49"/>
    <n v="0.33333333333333331"/>
    <x v="11"/>
    <m/>
    <n v="171"/>
    <n v="13"/>
    <n v="9"/>
    <m/>
    <n v="88"/>
    <n v="5"/>
    <s v="https://www.zg.ch/behoerden/gesundheitsdirektion/statistikfachstelle/themen/gesundheit/corona"/>
  </r>
  <r>
    <x v="49"/>
    <n v="0.39583333333333331"/>
    <x v="21"/>
    <m/>
    <n v="57"/>
    <n v="10"/>
    <n v="2"/>
    <m/>
    <m/>
    <n v="1"/>
    <s v="https://sh.ch/CMS/get/file/c1688ab0-1c33-488a-8c2b-85b3bde7fe77"/>
  </r>
  <r>
    <x v="49"/>
    <n v="0.41666666666666669"/>
    <x v="5"/>
    <m/>
    <n v="894"/>
    <n v="86"/>
    <n v="9"/>
    <m/>
    <n v="663"/>
    <n v="34"/>
    <s v="https://www.gd.bs.ch//nm/2020-tagesbulletin-coronavirus-899-bestaetigte-faelle-im-kanton-basel-stadt-gd.html"/>
  </r>
  <r>
    <x v="49"/>
    <n v="0.45833333333333331"/>
    <x v="24"/>
    <m/>
    <n v="24"/>
    <m/>
    <m/>
    <m/>
    <m/>
    <m/>
    <s v="https://www.ai.ch/themen/gesundheit-alter-und-soziales/gesundheitsfoerderung-und-praevention/uebertragbare-krankheiten/coronavirus"/>
  </r>
  <r>
    <x v="49"/>
    <n v="0.45833333333333331"/>
    <x v="16"/>
    <m/>
    <n v="589"/>
    <n v="47"/>
    <n v="4"/>
    <m/>
    <m/>
    <n v="11"/>
    <s v="https://gesundheit.lu.ch/themen/Humanmedizin/Infektionskrankheiten/Coronavirus"/>
  </r>
  <r>
    <x v="49"/>
    <n v="0.58333333333333337"/>
    <x v="22"/>
    <m/>
    <n v="78"/>
    <n v="3"/>
    <m/>
    <m/>
    <n v="56"/>
    <n v="4"/>
    <s v="https://www.ur.ch/themen/2962"/>
  </r>
  <r>
    <x v="49"/>
    <n v="0.60416666666666663"/>
    <x v="4"/>
    <m/>
    <n v="3066"/>
    <n v="149"/>
    <m/>
    <n v="52"/>
    <m/>
    <n v="87"/>
    <s v="https://gd.zh.ch/internet/gesundheitsdirektion/de/themen/coronavirus.html"/>
  </r>
  <r>
    <x v="49"/>
    <n v="0.61458333333333337"/>
    <x v="10"/>
    <m/>
    <n v="912"/>
    <n v="78"/>
    <n v="22"/>
    <n v="22"/>
    <n v="400"/>
    <n v="19"/>
    <s v="https://www.ag.ch/media/kanton_aargau/themen_1/coronavirus_1/lagebulletins/200414_KFS_Coronavirus_Lagebulletin_32.pdf"/>
  </r>
  <r>
    <x v="49"/>
    <n v="0.65625"/>
    <x v="23"/>
    <m/>
    <n v="64"/>
    <n v="0"/>
    <m/>
    <m/>
    <m/>
    <n v="0"/>
    <s v="https://www.ow.ch/de/verwaltung/dienstleistungen/?dienst_id=5962"/>
  </r>
  <r>
    <x v="50"/>
    <m/>
    <x v="7"/>
    <m/>
    <n v="768"/>
    <n v="45"/>
    <n v="9"/>
    <n v="7"/>
    <n v="610"/>
    <n v="25"/>
    <s v="https://www.baselland.ch/politik-und-behorden/direktionen/volkswirtschafts-und-gesundheitsdirektion/amt-fur-gesundheit/medizinische-dienste/kantonsarztlicher-dienst/aktuelles/covid-19-faelle-kanton-basel-landschaft"/>
  </r>
  <r>
    <x v="50"/>
    <m/>
    <x v="2"/>
    <m/>
    <n v="80"/>
    <m/>
    <m/>
    <m/>
    <m/>
    <n v="1"/>
    <s v="https://www.regierung.li/media/attachments/194-corona-neue-wege-zur-messung-0415.pdf?t=637225709239139141"/>
  </r>
  <r>
    <x v="50"/>
    <m/>
    <x v="12"/>
    <m/>
    <n v="890"/>
    <n v="61"/>
    <n v="16"/>
    <m/>
    <n v="105"/>
    <n v="63"/>
    <s v="https://www.fr.ch/sites/default/files/2020-05/statistiques_situation_FR_0105.xlsx"/>
  </r>
  <r>
    <x v="50"/>
    <m/>
    <x v="0"/>
    <n v="20069"/>
    <n v="4432"/>
    <n v="352"/>
    <n v="41"/>
    <n v="37"/>
    <n v="502"/>
    <n v="198"/>
    <s v="https://www.ge.ch/document/covid-19-situation-epidemiologique-geneve/telecharger"/>
  </r>
  <r>
    <x v="50"/>
    <m/>
    <x v="19"/>
    <m/>
    <n v="105"/>
    <n v="2"/>
    <m/>
    <m/>
    <m/>
    <n v="2"/>
    <s v="https://www.gl.ch/public/upload/assets/27992/COVID-19_Fallzahlen_Kanton_Glarus.xlsx"/>
  </r>
  <r>
    <x v="50"/>
    <m/>
    <x v="26"/>
    <m/>
    <n v="759"/>
    <n v="36"/>
    <m/>
    <m/>
    <m/>
    <n v="38"/>
    <s v="https://www.gr.ch/DE/institutionen/verwaltung/djsg/ga/coronavirus/info/Seiten/Start.aspx"/>
  </r>
  <r>
    <x v="50"/>
    <m/>
    <x v="3"/>
    <m/>
    <n v="188"/>
    <n v="17"/>
    <n v="5"/>
    <m/>
    <m/>
    <n v="3"/>
    <s v="https://www.jura.ch/Htdocs/Files/v/34292.xlsx/Departements/CHA/SIC/Carrousel/Coronavirus/Cornavirus/Chiffres/donnees_30_04.xlsx?download=1"/>
  </r>
  <r>
    <x v="50"/>
    <m/>
    <x v="13"/>
    <m/>
    <n v="612"/>
    <n v="54"/>
    <n v="12"/>
    <n v="10"/>
    <m/>
    <n v="56"/>
    <s v="https://www.ne.ch/autorites/DFS/SCSP/medecin-cantonal/maladies-vaccinations/Documents/Covid-19-Statistiques/COVID19_PublicationInternet.xlsx"/>
  </r>
  <r>
    <x v="50"/>
    <m/>
    <x v="20"/>
    <m/>
    <n v="106"/>
    <n v="7"/>
    <n v="2"/>
    <m/>
    <m/>
    <n v="2"/>
    <s v="http://www.nw.ch/coronastatistik"/>
  </r>
  <r>
    <x v="50"/>
    <m/>
    <x v="14"/>
    <m/>
    <n v="676"/>
    <n v="47"/>
    <n v="9"/>
    <m/>
    <n v="123"/>
    <n v="23"/>
    <s v="https://www.sg.ch/tools/informationen-coronavirus.html"/>
  </r>
  <r>
    <x v="50"/>
    <m/>
    <x v="15"/>
    <m/>
    <n v="261"/>
    <m/>
    <m/>
    <m/>
    <n v="144"/>
    <n v="13"/>
    <s v="https://www.sz.ch/public/upload/assets/46403/COVID-19_Fallzahlen_Kanton_Schwyz.xlsx"/>
  </r>
  <r>
    <x v="50"/>
    <m/>
    <x v="25"/>
    <m/>
    <n v="303"/>
    <n v="28"/>
    <n v="14"/>
    <m/>
    <m/>
    <n v="11"/>
    <s v="https://www.tg.ch/news/fachdossier-coronavirus.html/10552"/>
  </r>
  <r>
    <x v="50"/>
    <m/>
    <x v="8"/>
    <m/>
    <n v="4968"/>
    <n v="245"/>
    <n v="53"/>
    <m/>
    <m/>
    <n v="284"/>
    <s v="https://www.vd.ch/toutes-les-actualites/hotline-et-informations-sur-le-coronavirus/point-de-situation-statistique-dans-le-canton-de-vaud/"/>
  </r>
  <r>
    <x v="50"/>
    <m/>
    <x v="9"/>
    <m/>
    <n v="1723"/>
    <n v="94"/>
    <n v="20"/>
    <n v="12"/>
    <n v="175"/>
    <n v="94"/>
    <s v="https://www.vs.ch/documents/6756452/7008787/2020%2004%2029%20Sit%20Epid%20-%20%C3%89tat%20Stand"/>
  </r>
  <r>
    <x v="50"/>
    <n v="0"/>
    <x v="18"/>
    <m/>
    <n v="329"/>
    <n v="22"/>
    <m/>
    <m/>
    <m/>
    <n v="8"/>
    <s v="https://corona.so.ch/index.php?id=27979"/>
  </r>
  <r>
    <x v="50"/>
    <n v="0.33333333333333331"/>
    <x v="17"/>
    <m/>
    <n v="79"/>
    <m/>
    <m/>
    <m/>
    <m/>
    <n v="3"/>
    <s v="https://www.ar.ch/verwaltung/departement-gesundheit-und-soziales/amt-fuer-gesundheit/informationsseite-coronavirus/"/>
  </r>
  <r>
    <x v="50"/>
    <n v="0.33333333333333331"/>
    <x v="6"/>
    <m/>
    <n v="1489"/>
    <n v="82"/>
    <n v="30"/>
    <n v="18"/>
    <m/>
    <n v="53"/>
    <s v="https://www.besondere-lage.sites.be.ch/besondere-lage_sites/de/index/corona/index.html"/>
  </r>
  <r>
    <x v="50"/>
    <n v="0.33333333333333331"/>
    <x v="1"/>
    <m/>
    <n v="2927"/>
    <n v="265"/>
    <n v="60"/>
    <n v="50"/>
    <n v="548"/>
    <n v="263"/>
    <s v="https://www4.ti.ch/area-media/comunicati/dettaglio-comunicato/?NEWS_ID=187624&amp;tx_tichareamedia_comunicazioni%5Baction%5D=show&amp;tx_tichareamedia_comunicazioni%5Bcontroller%5D=Comunicazioni&amp;cHash=c6ac05de202d47a4a41e41ec4d16b3b1"/>
  </r>
  <r>
    <x v="50"/>
    <n v="0.33333333333333331"/>
    <x v="11"/>
    <m/>
    <n v="171"/>
    <n v="13"/>
    <n v="9"/>
    <m/>
    <n v="92"/>
    <n v="5"/>
    <s v="https://www.zg.ch/behoerden/gesundheitsdirektion/statistikfachstelle/themen/gesundheit/corona"/>
  </r>
  <r>
    <x v="50"/>
    <n v="0.39583333333333331"/>
    <x v="21"/>
    <m/>
    <n v="59"/>
    <n v="11"/>
    <n v="2"/>
    <m/>
    <m/>
    <n v="1"/>
    <s v="https://sh.ch/CMS/get/file/c1688ab0-1c33-488a-8c2b-85b3bde7fe77"/>
  </r>
  <r>
    <x v="50"/>
    <n v="0.41666666666666669"/>
    <x v="5"/>
    <m/>
    <n v="904"/>
    <n v="80"/>
    <n v="7"/>
    <m/>
    <n v="682"/>
    <n v="36"/>
    <s v="https://www.gd.bs.ch//nm/2020-tagesbulletin-coronavirus-909-bestaetigte-faelle-im-kanton-basel-stadt-gd.html"/>
  </r>
  <r>
    <x v="50"/>
    <n v="0.45833333333333331"/>
    <x v="24"/>
    <m/>
    <n v="24"/>
    <m/>
    <m/>
    <m/>
    <m/>
    <m/>
    <s v="https://www.ai.ch/themen/gesundheit-alter-und-soziales/gesundheitsfoerderung-und-praevention/uebertragbare-krankheiten/coronavirus"/>
  </r>
  <r>
    <x v="50"/>
    <n v="0.45833333333333331"/>
    <x v="16"/>
    <m/>
    <n v="596"/>
    <n v="46"/>
    <n v="4"/>
    <m/>
    <m/>
    <n v="12"/>
    <s v="https://gesundheit.lu.ch/themen/Humanmedizin/Infektionskrankheiten/Coronavirus"/>
  </r>
  <r>
    <x v="50"/>
    <n v="0.60416666666666663"/>
    <x v="4"/>
    <m/>
    <n v="3113"/>
    <n v="136"/>
    <m/>
    <n v="50"/>
    <m/>
    <n v="91"/>
    <s v="https://gd.zh.ch/internet/gesundheitsdirektion/de/themen/coronavirus.html"/>
  </r>
  <r>
    <x v="50"/>
    <n v="0.61458333333333337"/>
    <x v="10"/>
    <m/>
    <n v="929"/>
    <n v="69"/>
    <n v="20"/>
    <n v="20"/>
    <n v="450"/>
    <n v="22"/>
    <s v="https://www.ag.ch/media/kanton_aargau/themen_1/coronavirus_1/lagebulletins/200415_KFS_Coronavirus_Lagebulletin_33.pdf"/>
  </r>
  <r>
    <x v="50"/>
    <n v="0.64236111111111116"/>
    <x v="23"/>
    <m/>
    <n v="64"/>
    <n v="0"/>
    <m/>
    <m/>
    <m/>
    <n v="0"/>
    <s v="https://www.ow.ch/de/verwaltung/dienstleistungen/?dienst_id=5962"/>
  </r>
  <r>
    <x v="50"/>
    <n v="0.66666666666666663"/>
    <x v="22"/>
    <m/>
    <n v="78"/>
    <n v="3"/>
    <m/>
    <m/>
    <n v="62"/>
    <n v="4"/>
    <s v="https://www.ur.ch/themen/2962"/>
  </r>
  <r>
    <x v="51"/>
    <m/>
    <x v="7"/>
    <m/>
    <n v="781"/>
    <n v="46"/>
    <n v="8"/>
    <n v="6"/>
    <n v="623"/>
    <n v="25"/>
    <s v="https://www.baselland.ch/politik-und-behorden/direktionen/volkswirtschafts-und-gesundheitsdirektion/amt-fur-gesundheit/medizinische-dienste/kantonsarztlicher-dienst/aktuelles/covid-19-faelle-kanton-basel-landschaft"/>
  </r>
  <r>
    <x v="51"/>
    <m/>
    <x v="2"/>
    <m/>
    <n v="80"/>
    <m/>
    <m/>
    <m/>
    <m/>
    <n v="1"/>
    <s v="https://www.regierung.li/media/attachments/196-corona-regierung-informiert-freitag-0416.pdf?t=637226573940474014"/>
  </r>
  <r>
    <x v="51"/>
    <m/>
    <x v="12"/>
    <m/>
    <n v="907"/>
    <n v="60"/>
    <n v="15"/>
    <m/>
    <n v="105"/>
    <n v="65"/>
    <s v="https://www.fr.ch/sites/default/files/2020-05/statistiques_situation_FR_0105.xlsx"/>
  </r>
  <r>
    <x v="51"/>
    <m/>
    <x v="0"/>
    <n v="20746"/>
    <n v="4497"/>
    <n v="350"/>
    <n v="38"/>
    <n v="33"/>
    <n v="520"/>
    <n v="204"/>
    <s v="https://www.ge.ch/document/covid-19-situation-epidemiologique-geneve/telecharger"/>
  </r>
  <r>
    <x v="51"/>
    <m/>
    <x v="19"/>
    <m/>
    <n v="106"/>
    <n v="4"/>
    <m/>
    <m/>
    <m/>
    <n v="3"/>
    <s v="https://www.gl.ch/public/upload/assets/27992/COVID-19_Fallzahlen_Kanton_Glarus.xlsx"/>
  </r>
  <r>
    <x v="51"/>
    <m/>
    <x v="26"/>
    <m/>
    <n v="764"/>
    <n v="37"/>
    <m/>
    <m/>
    <m/>
    <n v="39"/>
    <s v="https://www.gr.ch/DE/institutionen/verwaltung/djsg/ga/coronavirus/info/Seiten/Start.aspx"/>
  </r>
  <r>
    <x v="51"/>
    <m/>
    <x v="3"/>
    <m/>
    <n v="189"/>
    <n v="18"/>
    <n v="5"/>
    <m/>
    <m/>
    <n v="3"/>
    <s v="https://www.jura.ch/Htdocs/Files/v/34292.xlsx/Departements/CHA/SIC/Carrousel/Coronavirus/Cornavirus/Chiffres/donnees_30_04.xlsx?download=1"/>
  </r>
  <r>
    <x v="51"/>
    <m/>
    <x v="13"/>
    <m/>
    <n v="621"/>
    <n v="52"/>
    <n v="11"/>
    <n v="9"/>
    <m/>
    <n v="57"/>
    <s v="https://www.ne.ch/autorites/DFS/SCSP/medecin-cantonal/maladies-vaccinations/Documents/Covid-19-Statistiques/COVID19_PublicationInternet.xlsx"/>
  </r>
  <r>
    <x v="51"/>
    <m/>
    <x v="20"/>
    <m/>
    <n v="106"/>
    <n v="5"/>
    <n v="2"/>
    <m/>
    <m/>
    <n v="2"/>
    <s v="http://www.nw.ch/coronastatistik"/>
  </r>
  <r>
    <x v="51"/>
    <m/>
    <x v="14"/>
    <m/>
    <n v="680"/>
    <n v="56"/>
    <n v="7"/>
    <m/>
    <n v="138"/>
    <n v="25"/>
    <s v="https://www.sg.ch/tools/informationen-coronavirus.html"/>
  </r>
  <r>
    <x v="51"/>
    <m/>
    <x v="15"/>
    <m/>
    <n v="265"/>
    <m/>
    <m/>
    <m/>
    <n v="154"/>
    <n v="14"/>
    <s v="https://www.sz.ch/public/upload/assets/46403/COVID-19_Fallzahlen_Kanton_Schwyz.xlsx"/>
  </r>
  <r>
    <x v="51"/>
    <m/>
    <x v="25"/>
    <m/>
    <n v="309"/>
    <n v="28"/>
    <n v="14"/>
    <m/>
    <m/>
    <n v="11"/>
    <s v="https://www.tg.ch/news/fachdossier-coronavirus.html/10552"/>
  </r>
  <r>
    <x v="51"/>
    <m/>
    <x v="8"/>
    <m/>
    <n v="4997"/>
    <n v="236"/>
    <n v="52"/>
    <m/>
    <m/>
    <n v="297"/>
    <s v="https://www.vd.ch/toutes-les-actualites/hotline-et-informations-sur-le-coronavirus/point-de-situation-statistique-dans-le-canton-de-vaud/"/>
  </r>
  <r>
    <x v="51"/>
    <m/>
    <x v="9"/>
    <m/>
    <n v="1740"/>
    <n v="91"/>
    <n v="17"/>
    <n v="12"/>
    <n v="178"/>
    <n v="95"/>
    <s v="https://www.vs.ch/documents/6756452/7008787/2020%2004%2029%20Sit%20Epid%20-%20%C3%89tat%20Stand"/>
  </r>
  <r>
    <x v="51"/>
    <n v="0"/>
    <x v="18"/>
    <m/>
    <n v="343"/>
    <n v="22"/>
    <m/>
    <m/>
    <m/>
    <n v="8"/>
    <s v="https://corona.so.ch/index.php?id=27979"/>
  </r>
  <r>
    <x v="51"/>
    <n v="0.33333333333333331"/>
    <x v="17"/>
    <m/>
    <n v="79"/>
    <m/>
    <m/>
    <m/>
    <m/>
    <n v="3"/>
    <s v="https://www.ar.ch/verwaltung/departement-gesundheit-und-soziales/amt-fuer-gesundheit/informationsseite-coronavirus/"/>
  </r>
  <r>
    <x v="51"/>
    <n v="0.33333333333333331"/>
    <x v="6"/>
    <m/>
    <n v="1515"/>
    <n v="70"/>
    <n v="26"/>
    <n v="12"/>
    <m/>
    <n v="55"/>
    <s v="https://www.besondere-lage.sites.be.ch/besondere-lage_sites/de/index/corona/index.html"/>
  </r>
  <r>
    <x v="51"/>
    <n v="0.33333333333333331"/>
    <x v="1"/>
    <m/>
    <n v="2953"/>
    <n v="249"/>
    <n v="59"/>
    <n v="49"/>
    <n v="568"/>
    <n v="269"/>
    <s v="https://www4.ti.ch/area-media/comunicati/dettaglio-comunicato/?NEWS_ID=187632&amp;tx_tichareamedia_comunicazioni%5Baction%5D=show&amp;tx_tichareamedia_comunicazioni%5Bcontroller%5D=Comunicazioni&amp;cHash=65b441f9003d32defd9e1c4f2650c177"/>
  </r>
  <r>
    <x v="51"/>
    <n v="0.33333333333333331"/>
    <x v="11"/>
    <m/>
    <n v="171"/>
    <n v="9"/>
    <n v="7"/>
    <m/>
    <n v="94"/>
    <n v="6"/>
    <s v="https://www.zg.ch/behoerden/gesundheitsdirektion/statistikfachstelle/themen/gesundheit/corona"/>
  </r>
  <r>
    <x v="51"/>
    <n v="0.375"/>
    <x v="5"/>
    <m/>
    <n v="912"/>
    <n v="76"/>
    <n v="6"/>
    <m/>
    <n v="711"/>
    <n v="37"/>
    <s v="https://www.gd.bs.ch//nm/2020-tagesbulletin-coronavirus-917-bestaetigte-faelle-im-kanton-basel-stadt-gd.html"/>
  </r>
  <r>
    <x v="51"/>
    <n v="0.39583333333333331"/>
    <x v="21"/>
    <m/>
    <n v="60"/>
    <n v="10"/>
    <n v="2"/>
    <m/>
    <m/>
    <n v="1"/>
    <s v="https://sh.ch/CMS/get/file/c1688ab0-1c33-488a-8c2b-85b3bde7fe77"/>
  </r>
  <r>
    <x v="51"/>
    <n v="0.45833333333333331"/>
    <x v="24"/>
    <m/>
    <n v="24"/>
    <m/>
    <m/>
    <m/>
    <m/>
    <m/>
    <s v="https://www.ai.ch/themen/gesundheit-alter-und-soziales/gesundheitsfoerderung-und-praevention/uebertragbare-krankheiten/coronavirus"/>
  </r>
  <r>
    <x v="51"/>
    <n v="0.52083333333333337"/>
    <x v="16"/>
    <m/>
    <n v="599"/>
    <n v="40"/>
    <n v="3"/>
    <m/>
    <m/>
    <n v="13"/>
    <s v="https://gesundheit.lu.ch/themen/Humanmedizin/Infektionskrankheiten/Coronavirus"/>
  </r>
  <r>
    <x v="51"/>
    <n v="0.60416666666666663"/>
    <x v="4"/>
    <m/>
    <n v="3148"/>
    <n v="135"/>
    <m/>
    <n v="51"/>
    <m/>
    <n v="95"/>
    <s v="https://gd.zh.ch/internet/gesundheitsdirektion/de/themen/coronavirus.html"/>
  </r>
  <r>
    <x v="51"/>
    <n v="0.61458333333333337"/>
    <x v="10"/>
    <m/>
    <n v="943"/>
    <n v="61"/>
    <n v="20"/>
    <n v="20"/>
    <n v="500"/>
    <n v="23"/>
    <s v="https://www.ag.ch/media/kanton_aargau/themen_1/coronavirus_1/lagebulletins/200416_KFS_Coronavirus_Lagebulletin_34.pdf"/>
  </r>
  <r>
    <x v="51"/>
    <n v="0.625"/>
    <x v="22"/>
    <m/>
    <n v="78"/>
    <n v="2"/>
    <m/>
    <m/>
    <n v="62"/>
    <n v="5"/>
    <s v="https://www.ur.ch/themen/2962"/>
  </r>
  <r>
    <x v="51"/>
    <n v="0.64583333333333337"/>
    <x v="23"/>
    <m/>
    <n v="65"/>
    <n v="0"/>
    <m/>
    <m/>
    <m/>
    <n v="0"/>
    <s v="https://www.ow.ch/de/verwaltung/dienstleistungen/?dienst_id=5962"/>
  </r>
  <r>
    <x v="52"/>
    <m/>
    <x v="7"/>
    <m/>
    <n v="794"/>
    <n v="40"/>
    <n v="8"/>
    <n v="5"/>
    <n v="632"/>
    <n v="25"/>
    <s v="https://www.baselland.ch/politik-und-behorden/direktionen/volkswirtschafts-und-gesundheitsdirektion/amt-fur-gesundheit/medizinische-dienste/kantonsarztlicher-dienst/aktuelles/covid-19-faelle-kanton-basel-landschaft"/>
  </r>
  <r>
    <x v="52"/>
    <m/>
    <x v="2"/>
    <m/>
    <n v="81"/>
    <m/>
    <m/>
    <m/>
    <m/>
    <n v="1"/>
    <s v="https://www.regierung.li/media/attachments/197-corona-regierung-orientiert-ueber-vorgehen-0417.pdf?t=637227446845695629"/>
  </r>
  <r>
    <x v="52"/>
    <m/>
    <x v="12"/>
    <m/>
    <n v="930"/>
    <n v="66"/>
    <n v="13"/>
    <m/>
    <n v="106"/>
    <n v="67"/>
    <s v="https://www.fr.ch/sites/default/files/2020-05/statistiques_situation_FR_0105.xlsx"/>
  </r>
  <r>
    <x v="52"/>
    <m/>
    <x v="0"/>
    <n v="21185"/>
    <n v="4557"/>
    <n v="329"/>
    <n v="39"/>
    <n v="33"/>
    <n v="532"/>
    <n v="210"/>
    <s v="https://www.ge.ch/document/covid-19-situation-epidemiologique-geneve/telecharger"/>
  </r>
  <r>
    <x v="52"/>
    <m/>
    <x v="26"/>
    <m/>
    <n v="770"/>
    <n v="33"/>
    <m/>
    <m/>
    <m/>
    <n v="40"/>
    <s v="https://www.gr.ch/DE/institutionen/verwaltung/djsg/ga/coronavirus/info/Seiten/Start.aspx"/>
  </r>
  <r>
    <x v="52"/>
    <m/>
    <x v="3"/>
    <m/>
    <n v="191"/>
    <n v="18"/>
    <n v="5"/>
    <m/>
    <m/>
    <n v="3"/>
    <s v="https://www.jura.ch/Htdocs/Files/v/34292.xlsx/Departements/CHA/SIC/Carrousel/Coronavirus/Cornavirus/Chiffres/donnees_30_04.xlsx?download=1"/>
  </r>
  <r>
    <x v="52"/>
    <m/>
    <x v="13"/>
    <m/>
    <n v="630"/>
    <n v="44"/>
    <n v="10"/>
    <n v="8"/>
    <m/>
    <n v="60"/>
    <s v="https://www.ne.ch/autorites/DFS/SCSP/medecin-cantonal/maladies-vaccinations/Documents/Covid-19-Statistiques/COVID19_PublicationInternet.xlsx"/>
  </r>
  <r>
    <x v="52"/>
    <m/>
    <x v="20"/>
    <m/>
    <n v="107"/>
    <n v="4"/>
    <n v="2"/>
    <m/>
    <m/>
    <n v="3"/>
    <s v="http://www.nw.ch/coronastatistik"/>
  </r>
  <r>
    <x v="52"/>
    <m/>
    <x v="14"/>
    <m/>
    <n v="693"/>
    <n v="41"/>
    <n v="9"/>
    <m/>
    <n v="144"/>
    <n v="27"/>
    <s v="https://www.sg.ch/tools/informationen-coronavirus.html"/>
  </r>
  <r>
    <x v="52"/>
    <m/>
    <x v="15"/>
    <m/>
    <n v="266"/>
    <m/>
    <m/>
    <m/>
    <n v="161"/>
    <n v="14"/>
    <s v="https://www.sz.ch/public/upload/assets/46403/COVID-19_Fallzahlen_Kanton_Schwyz.xlsx"/>
  </r>
  <r>
    <x v="52"/>
    <m/>
    <x v="25"/>
    <m/>
    <n v="322"/>
    <n v="25"/>
    <n v="13"/>
    <m/>
    <m/>
    <n v="12"/>
    <s v="https://www.tg.ch/news/fachdossier-coronavirus.html/10552"/>
  </r>
  <r>
    <x v="52"/>
    <m/>
    <x v="8"/>
    <m/>
    <n v="5029"/>
    <n v="220"/>
    <n v="51"/>
    <m/>
    <m/>
    <n v="303"/>
    <s v="https://www.vd.ch/toutes-les-actualites/hotline-et-informations-sur-le-coronavirus/point-de-situation-statistique-dans-le-canton-de-vaud/"/>
  </r>
  <r>
    <x v="52"/>
    <m/>
    <x v="9"/>
    <m/>
    <n v="1759"/>
    <n v="84"/>
    <n v="16"/>
    <n v="10"/>
    <n v="184"/>
    <n v="99"/>
    <s v="https://www.vs.ch/documents/6756452/7008787/2020%2004%2029%20Sit%20Epid%20-%20%C3%89tat%20Stand"/>
  </r>
  <r>
    <x v="52"/>
    <n v="0"/>
    <x v="18"/>
    <m/>
    <n v="350"/>
    <n v="20"/>
    <m/>
    <m/>
    <m/>
    <n v="9"/>
    <s v="https://corona.so.ch/index.php?id=27979"/>
  </r>
  <r>
    <x v="52"/>
    <n v="0.33333333333333331"/>
    <x v="6"/>
    <m/>
    <n v="1553"/>
    <n v="69"/>
    <n v="25"/>
    <n v="13"/>
    <m/>
    <n v="67"/>
    <s v="https://www.besondere-lage.sites.be.ch/besondere-lage_sites/de/index/corona/index.html"/>
  </r>
  <r>
    <x v="52"/>
    <n v="0.33333333333333331"/>
    <x v="1"/>
    <m/>
    <n v="2977"/>
    <n v="254"/>
    <n v="57"/>
    <n v="44"/>
    <n v="580"/>
    <n v="270"/>
    <s v="https://www4.ti.ch/area-media/comunicati/dettaglio-comunicato/?NEWS_ID=187639&amp;tx_tichareamedia_comunicazioni%5Baction%5D=show&amp;tx_tichareamedia_comunicazioni%5Bcontroller%5D=Comunicazioni&amp;cHash=293da33bc5267650fbd8e590032cd6f3"/>
  </r>
  <r>
    <x v="52"/>
    <n v="0.33333333333333331"/>
    <x v="11"/>
    <m/>
    <n v="172"/>
    <n v="8"/>
    <n v="6"/>
    <m/>
    <n v="96"/>
    <n v="6"/>
    <s v="https://www.zg.ch/behoerden/gesundheitsdirektion/statistikfachstelle/themen/gesundheit/corona"/>
  </r>
  <r>
    <x v="52"/>
    <n v="0.375"/>
    <x v="5"/>
    <m/>
    <n v="918"/>
    <n v="68"/>
    <n v="7"/>
    <m/>
    <n v="720"/>
    <n v="37"/>
    <s v="https://www.gd.bs.ch//nm/2020-tagesbulletin-coronavirus-923-bestaetigte-faelle-im-kanton-basel-stadt-gd.html"/>
  </r>
  <r>
    <x v="52"/>
    <n v="0.39583333333333331"/>
    <x v="21"/>
    <m/>
    <n v="60"/>
    <n v="8"/>
    <n v="2"/>
    <m/>
    <m/>
    <n v="1"/>
    <s v="https://sh.ch/CMS/get/file/c1688ab0-1c33-488a-8c2b-85b3bde7fe77"/>
  </r>
  <r>
    <x v="52"/>
    <n v="0.45833333333333331"/>
    <x v="24"/>
    <m/>
    <n v="24"/>
    <m/>
    <m/>
    <m/>
    <m/>
    <m/>
    <s v="https://www.ai.ch/themen/gesundheit-alter-und-soziales/gesundheitsfoerderung-und-praevention/uebertragbare-krankheiten/coronavirus"/>
  </r>
  <r>
    <x v="52"/>
    <n v="0.45833333333333331"/>
    <x v="16"/>
    <m/>
    <n v="607"/>
    <n v="40"/>
    <n v="3"/>
    <m/>
    <m/>
    <n v="14"/>
    <s v="https://gesundheit.lu.ch/themen/Humanmedizin/Infektionskrankheiten/Coronavirus"/>
  </r>
  <r>
    <x v="52"/>
    <n v="0.5"/>
    <x v="17"/>
    <m/>
    <n v="82"/>
    <m/>
    <m/>
    <m/>
    <m/>
    <n v="3"/>
    <s v="https://www.ar.ch/verwaltung/departement-gesundheit-und-soziales/amt-fuer-gesundheit/informationsseite-coronavirus/"/>
  </r>
  <r>
    <x v="52"/>
    <n v="0.54166666666666663"/>
    <x v="19"/>
    <m/>
    <n v="108"/>
    <n v="4"/>
    <m/>
    <m/>
    <m/>
    <n v="3"/>
    <s v="https://www.gl.ch/public/upload/assets/27992/COVID-19_Fallzahlen_Kanton_Glarus.xlsx"/>
  </r>
  <r>
    <x v="52"/>
    <n v="0.58333333333333337"/>
    <x v="22"/>
    <m/>
    <n v="78"/>
    <n v="2"/>
    <m/>
    <m/>
    <n v="66"/>
    <n v="5"/>
    <s v="https://www.ur.ch/themen/2962"/>
  </r>
  <r>
    <x v="52"/>
    <n v="0.60416666666666663"/>
    <x v="4"/>
    <m/>
    <n v="3171"/>
    <n v="123"/>
    <m/>
    <n v="45"/>
    <m/>
    <n v="99"/>
    <s v="https://gd.zh.ch/internet/gesundheitsdirektion/de/themen/coronavirus.html"/>
  </r>
  <r>
    <x v="52"/>
    <n v="0.61458333333333337"/>
    <x v="10"/>
    <m/>
    <n v="960"/>
    <n v="58"/>
    <n v="20"/>
    <n v="20"/>
    <n v="540"/>
    <n v="24"/>
    <s v="https://www.ag.ch/media/kanton_aargau/themen_1/coronavirus_1/lagebulletins/200417_KFS_Coronavirus_Lagebulletin_35.pdf"/>
  </r>
  <r>
    <x v="52"/>
    <n v="0.66666666666666663"/>
    <x v="23"/>
    <m/>
    <n v="66"/>
    <n v="0"/>
    <m/>
    <m/>
    <m/>
    <n v="0"/>
    <s v="https://www.ow.ch/de/verwaltung/dienstleistungen/?dienst_id=5962"/>
  </r>
  <r>
    <x v="53"/>
    <m/>
    <x v="7"/>
    <m/>
    <n v="798"/>
    <n v="44"/>
    <n v="7"/>
    <n v="5"/>
    <n v="636"/>
    <n v="25"/>
    <s v="https://www.baselland.ch/politik-und-behorden/direktionen/volkswirtschafts-und-gesundheitsdirektion/amt-fur-gesundheit/medizinische-dienste/kantonsarztlicher-dienst/aktuelles/covid-19-faelle-kanton-basel-landschaft"/>
  </r>
  <r>
    <x v="53"/>
    <m/>
    <x v="2"/>
    <m/>
    <n v="81"/>
    <m/>
    <m/>
    <m/>
    <m/>
    <n v="1"/>
    <s v="https://www.regierung.li/media/attachments/198-corona-kein-zusaetzlicher-fall-0418.pdf?t=637228301134424983"/>
  </r>
  <r>
    <x v="53"/>
    <m/>
    <x v="12"/>
    <m/>
    <n v="956"/>
    <n v="64"/>
    <n v="11"/>
    <m/>
    <n v="109"/>
    <n v="69"/>
    <s v="https://www.fr.ch/sites/default/files/2020-05/statistiques_situation_FR_0105.xlsx"/>
  </r>
  <r>
    <x v="53"/>
    <m/>
    <x v="0"/>
    <n v="21626"/>
    <n v="4606"/>
    <n v="315"/>
    <n v="34"/>
    <n v="33"/>
    <n v="553"/>
    <n v="214"/>
    <s v="https://www.ge.ch/document/covid-19-situation-epidemiologique-geneve/telecharger"/>
  </r>
  <r>
    <x v="53"/>
    <m/>
    <x v="26"/>
    <m/>
    <n v="773"/>
    <n v="29"/>
    <m/>
    <m/>
    <m/>
    <n v="40"/>
    <s v="https://www.gr.ch/DE/institutionen/verwaltung/djsg/ga/coronavirus/info/Seiten/Start.aspx"/>
  </r>
  <r>
    <x v="53"/>
    <m/>
    <x v="3"/>
    <m/>
    <n v="192"/>
    <n v="17"/>
    <n v="5"/>
    <m/>
    <m/>
    <n v="3"/>
    <s v="https://www.jura.ch/Htdocs/Files/v/34292.xlsx/Departements/CHA/SIC/Carrousel/Coronavirus/Cornavirus/Chiffres/donnees_30_04.xlsx?download=1"/>
  </r>
  <r>
    <x v="53"/>
    <m/>
    <x v="13"/>
    <m/>
    <n v="633"/>
    <n v="44"/>
    <n v="10"/>
    <n v="8"/>
    <m/>
    <n v="60"/>
    <s v="https://www.ne.ch/autorites/DFS/SCSP/medecin-cantonal/maladies-vaccinations/Documents/Covid-19-Statistiques/COVID19_PublicationInternet.xlsx"/>
  </r>
  <r>
    <x v="53"/>
    <m/>
    <x v="20"/>
    <m/>
    <n v="108"/>
    <n v="4"/>
    <n v="2"/>
    <m/>
    <m/>
    <n v="3"/>
    <s v="http://www.nw.ch/coronastatistik"/>
  </r>
  <r>
    <x v="53"/>
    <m/>
    <x v="14"/>
    <m/>
    <n v="699"/>
    <n v="44"/>
    <n v="7"/>
    <m/>
    <n v="150"/>
    <n v="27"/>
    <s v="https://www.sg.ch/tools/informationen-coronavirus.html"/>
  </r>
  <r>
    <x v="53"/>
    <m/>
    <x v="15"/>
    <m/>
    <n v="266"/>
    <m/>
    <m/>
    <m/>
    <n v="176"/>
    <n v="14"/>
    <s v="https://www.sz.ch/public/upload/assets/46403/COVID-19_Fallzahlen_Kanton_Schwyz.xlsx"/>
  </r>
  <r>
    <x v="53"/>
    <m/>
    <x v="25"/>
    <m/>
    <n v="333"/>
    <n v="23"/>
    <n v="12"/>
    <m/>
    <m/>
    <n v="13"/>
    <s v="https://www.tg.ch/news/fachdossier-coronavirus.html/10552"/>
  </r>
  <r>
    <x v="53"/>
    <m/>
    <x v="8"/>
    <m/>
    <n v="5051"/>
    <n v="217"/>
    <n v="48"/>
    <m/>
    <m/>
    <n v="311"/>
    <s v="https://www.vd.ch/toutes-les-actualites/hotline-et-informations-sur-le-coronavirus/point-de-situation-statistique-dans-le-canton-de-vaud/"/>
  </r>
  <r>
    <x v="53"/>
    <m/>
    <x v="9"/>
    <m/>
    <n v="1768"/>
    <n v="83"/>
    <n v="18"/>
    <n v="10"/>
    <n v="185"/>
    <n v="104"/>
    <s v="https://www.vs.ch/documents/6756452/7008787/2020%2004%2029%20Sit%20Epid%20-%20%C3%89tat%20Stand"/>
  </r>
  <r>
    <x v="53"/>
    <n v="0"/>
    <x v="18"/>
    <m/>
    <n v="353"/>
    <n v="19"/>
    <m/>
    <m/>
    <m/>
    <n v="10"/>
    <s v="https://corona.so.ch/index.php?id=27979"/>
  </r>
  <r>
    <x v="53"/>
    <n v="0.33333333333333331"/>
    <x v="6"/>
    <m/>
    <n v="1586"/>
    <n v="71"/>
    <n v="22"/>
    <n v="12"/>
    <m/>
    <n v="69"/>
    <s v="https://www.besondere-lage.sites.be.ch/besondere-lage_sites/de/index/corona/index.html"/>
  </r>
  <r>
    <x v="53"/>
    <n v="0.33333333333333331"/>
    <x v="1"/>
    <m/>
    <n v="2994"/>
    <n v="244"/>
    <n v="56"/>
    <n v="42"/>
    <n v="606"/>
    <n v="277"/>
    <s v="https://www4.ti.ch/area-media/comunicati/dettaglio-comunicato/?NEWS_ID=187644&amp;tx_tichareamedia_comunicazioni%5Baction%5D=show&amp;tx_tichareamedia_comunicazioni%5Bcontroller%5D=Comunicazioni&amp;cHash=df3ace8d6228b4587b78db3bfa080a83"/>
  </r>
  <r>
    <x v="53"/>
    <n v="0.33333333333333331"/>
    <x v="11"/>
    <m/>
    <n v="174"/>
    <n v="6"/>
    <n v="6"/>
    <m/>
    <n v="99"/>
    <n v="7"/>
    <s v="https://www.zg.ch/behoerden/gesundheitsdirektion/statistikfachstelle/themen/gesundheit/corona"/>
  </r>
  <r>
    <x v="53"/>
    <n v="0.39583333333333331"/>
    <x v="21"/>
    <m/>
    <n v="61"/>
    <n v="11"/>
    <n v="4"/>
    <m/>
    <m/>
    <n v="1"/>
    <s v="https://sh.ch/CMS/get/file/c1688ab0-1c33-488a-8c2b-85b3bde7fe77"/>
  </r>
  <r>
    <x v="53"/>
    <n v="0.40625"/>
    <x v="5"/>
    <m/>
    <n v="924"/>
    <m/>
    <m/>
    <m/>
    <n v="753"/>
    <n v="40"/>
    <s v="https://www.gd.bs.ch//nm/2020-tagesbulletin-coronavirus-929-bestaetigte-faelle-im-kanton-basel-stadt-gd.html"/>
  </r>
  <r>
    <x v="53"/>
    <n v="0.52083333333333337"/>
    <x v="16"/>
    <m/>
    <n v="623"/>
    <n v="26"/>
    <n v="4"/>
    <m/>
    <m/>
    <n v="15"/>
    <s v="https://gesundheit.lu.ch/themen/Humanmedizin/Infektionskrankheiten/Coronavirus"/>
  </r>
  <r>
    <x v="53"/>
    <n v="0.54166666666666663"/>
    <x v="19"/>
    <m/>
    <n v="111"/>
    <n v="4"/>
    <m/>
    <m/>
    <m/>
    <n v="3"/>
    <s v="https://www.gl.ch/public/upload/assets/27992/COVID-19_Fallzahlen_Kanton_Glarus.xlsx"/>
  </r>
  <r>
    <x v="53"/>
    <n v="0.60416666666666663"/>
    <x v="4"/>
    <m/>
    <n v="3211"/>
    <n v="114"/>
    <m/>
    <n v="44"/>
    <m/>
    <n v="105"/>
    <s v="https://gd.zh.ch/internet/gesundheitsdirektion/de/themen/coronavirus.html"/>
  </r>
  <r>
    <x v="53"/>
    <n v="0.61458333333333337"/>
    <x v="10"/>
    <m/>
    <n v="987"/>
    <m/>
    <m/>
    <m/>
    <m/>
    <n v="25"/>
    <s v="https://www.ag.ch/media/kanton_aargau/themen_1/coronavirus_1/lagebulletins/200420_KFS_Coronavirus_Lagebulletin_36.pdf"/>
  </r>
  <r>
    <x v="53"/>
    <n v="0.625"/>
    <x v="22"/>
    <m/>
    <n v="78"/>
    <n v="2"/>
    <m/>
    <m/>
    <n v="69"/>
    <n v="5"/>
    <s v="https://www.ur.ch/themen/2962"/>
  </r>
  <r>
    <x v="54"/>
    <m/>
    <x v="7"/>
    <m/>
    <n v="803"/>
    <n v="40"/>
    <n v="7"/>
    <n v="5"/>
    <n v="653"/>
    <n v="25"/>
    <s v="https://www.baselland.ch/politik-und-behorden/direktionen/volkswirtschafts-und-gesundheitsdirektion/amt-fur-gesundheit/medizinische-dienste/kantonsarztlicher-dienst/aktuelles/covid-19-faelle-kanton-basel-landschaft"/>
  </r>
  <r>
    <x v="54"/>
    <m/>
    <x v="2"/>
    <m/>
    <n v="81"/>
    <m/>
    <m/>
    <m/>
    <m/>
    <n v="1"/>
    <s v="https://www.regierung.li/media/attachments/199-corona-keine-neuen-faelle-0419.pdf?t=637229165752237624"/>
  </r>
  <r>
    <x v="54"/>
    <m/>
    <x v="12"/>
    <m/>
    <n v="980"/>
    <n v="61"/>
    <n v="12"/>
    <m/>
    <n v="113"/>
    <n v="71"/>
    <s v="https://www.fr.ch/sites/default/files/2020-05/statistiques_situation_FR_0105.xlsx"/>
  </r>
  <r>
    <x v="54"/>
    <m/>
    <x v="0"/>
    <n v="21808"/>
    <n v="4617"/>
    <n v="315"/>
    <n v="35"/>
    <n v="33"/>
    <n v="558"/>
    <n v="217"/>
    <s v="https://www.ge.ch/document/covid-19-situation-epidemiologique-geneve/telecharger"/>
  </r>
  <r>
    <x v="54"/>
    <m/>
    <x v="26"/>
    <m/>
    <n v="778"/>
    <n v="28"/>
    <m/>
    <m/>
    <m/>
    <n v="41"/>
    <s v="https://www.gr.ch/DE/institutionen/verwaltung/djsg/ga/coronavirus/info/Seiten/Start.aspx"/>
  </r>
  <r>
    <x v="54"/>
    <m/>
    <x v="3"/>
    <m/>
    <n v="192"/>
    <n v="16"/>
    <n v="5"/>
    <m/>
    <m/>
    <n v="5"/>
    <s v="https://www.jura.ch/Htdocs/Files/v/34292.xlsx/Departements/CHA/SIC/Carrousel/Coronavirus/Cornavirus/Chiffres/donnees_30_04.xlsx?download=1"/>
  </r>
  <r>
    <x v="54"/>
    <m/>
    <x v="13"/>
    <m/>
    <n v="634"/>
    <n v="43"/>
    <n v="9"/>
    <n v="4"/>
    <m/>
    <n v="62"/>
    <s v="https://www.ne.ch/autorites/DFS/SCSP/medecin-cantonal/maladies-vaccinations/Documents/Covid-19-Statistiques/COVID19_PublicationInternet.xlsx"/>
  </r>
  <r>
    <x v="54"/>
    <m/>
    <x v="20"/>
    <m/>
    <n v="108"/>
    <n v="4"/>
    <n v="2"/>
    <m/>
    <m/>
    <n v="3"/>
    <s v="http://www.nw.ch/coronastatistik"/>
  </r>
  <r>
    <x v="54"/>
    <m/>
    <x v="14"/>
    <m/>
    <n v="705"/>
    <n v="45"/>
    <n v="7"/>
    <m/>
    <n v="150"/>
    <n v="27"/>
    <s v="https://www.sg.ch/tools/informationen-coronavirus.html"/>
  </r>
  <r>
    <x v="54"/>
    <m/>
    <x v="15"/>
    <m/>
    <n v="268"/>
    <m/>
    <m/>
    <m/>
    <n v="180"/>
    <n v="15"/>
    <s v="https://www.sz.ch/public/upload/assets/46403/COVID-19_Fallzahlen_Kanton_Schwyz.xlsx"/>
  </r>
  <r>
    <x v="54"/>
    <m/>
    <x v="25"/>
    <m/>
    <n v="334"/>
    <n v="23"/>
    <n v="12"/>
    <m/>
    <m/>
    <n v="13"/>
    <s v="https://www.tg.ch/news/fachdossier-coronavirus.html/10552"/>
  </r>
  <r>
    <x v="54"/>
    <m/>
    <x v="8"/>
    <m/>
    <n v="5062"/>
    <n v="218"/>
    <n v="47"/>
    <m/>
    <m/>
    <n v="316"/>
    <s v="https://www.vd.ch/toutes-les-actualites/hotline-et-informations-sur-le-coronavirus/point-de-situation-statistique-dans-le-canton-de-vaud/"/>
  </r>
  <r>
    <x v="54"/>
    <m/>
    <x v="9"/>
    <m/>
    <n v="1775"/>
    <n v="81"/>
    <n v="16"/>
    <n v="9"/>
    <n v="204"/>
    <n v="107"/>
    <s v="https://www.vs.ch/documents/6756452/7008787/2020%2004%2029%20Sit%20Epid%20-%20%C3%89tat%20Stand"/>
  </r>
  <r>
    <x v="54"/>
    <n v="0"/>
    <x v="18"/>
    <m/>
    <n v="355"/>
    <n v="19"/>
    <m/>
    <m/>
    <m/>
    <n v="11"/>
    <s v="https://corona.so.ch/index.php?id=27979"/>
  </r>
  <r>
    <x v="54"/>
    <n v="0.33333333333333331"/>
    <x v="6"/>
    <m/>
    <n v="1599"/>
    <n v="78"/>
    <n v="20"/>
    <n v="13"/>
    <m/>
    <n v="69"/>
    <s v="https://www.besondere-lage.sites.be.ch/besondere-lage_sites/de/index/corona/index.html"/>
  </r>
  <r>
    <x v="54"/>
    <n v="0.33333333333333331"/>
    <x v="1"/>
    <m/>
    <n v="3032"/>
    <n v="237"/>
    <n v="54"/>
    <n v="42"/>
    <n v="616"/>
    <n v="281"/>
    <s v="https://www4.ti.ch/area-media/comunicati/dettaglio-comunicato/?NEWS_ID=187645&amp;tx_tichareamedia_comunicazioni%5Baction%5D=show&amp;tx_tichareamedia_comunicazioni%5Bcontroller%5D=Comunicazioni&amp;cHash=7c0ead3ab8e681d79f11cb3d67995946"/>
  </r>
  <r>
    <x v="54"/>
    <n v="0.33333333333333331"/>
    <x v="11"/>
    <m/>
    <n v="175"/>
    <n v="11"/>
    <n v="6"/>
    <m/>
    <n v="99"/>
    <n v="7"/>
    <s v="https://www.zg.ch/behoerden/gesundheitsdirektion/statistikfachstelle/themen/gesundheit/corona"/>
  </r>
  <r>
    <x v="54"/>
    <n v="0.39583333333333331"/>
    <x v="21"/>
    <m/>
    <n v="62"/>
    <n v="6"/>
    <n v="2"/>
    <m/>
    <m/>
    <n v="1"/>
    <s v="https://sh.ch/CMS/get/file/c1688ab0-1c33-488a-8c2b-85b3bde7fe77"/>
  </r>
  <r>
    <x v="54"/>
    <n v="0.41666666666666669"/>
    <x v="5"/>
    <m/>
    <n v="927"/>
    <m/>
    <m/>
    <m/>
    <n v="764"/>
    <n v="40"/>
    <s v="https://www.gd.bs.ch//nm/2020-tagesbulletin-coronavirus-932-bestaetigte-faelle-im-kanton-basel-stadt-gd.html"/>
  </r>
  <r>
    <x v="54"/>
    <n v="0.45833333333333331"/>
    <x v="24"/>
    <m/>
    <n v="24"/>
    <m/>
    <m/>
    <m/>
    <m/>
    <m/>
    <s v="https://www.ai.ch/themen/gesundheit-alter-und-soziales/gesundheitsfoerderung-und-praevention/uebertragbare-krankheiten/coronavirus"/>
  </r>
  <r>
    <x v="54"/>
    <n v="0.45833333333333331"/>
    <x v="16"/>
    <m/>
    <n v="626"/>
    <n v="26"/>
    <n v="4"/>
    <m/>
    <m/>
    <n v="15"/>
    <s v="https://gesundheit.lu.ch/themen/Humanmedizin/Infektionskrankheiten/Coronavirus"/>
  </r>
  <r>
    <x v="54"/>
    <n v="0.54166666666666663"/>
    <x v="19"/>
    <m/>
    <n v="111"/>
    <n v="4"/>
    <m/>
    <m/>
    <m/>
    <n v="3"/>
    <s v="https://www.gl.ch/public/upload/assets/27992/COVID-19_Fallzahlen_Kanton_Glarus.xlsx"/>
  </r>
  <r>
    <x v="54"/>
    <n v="0.54166666666666663"/>
    <x v="22"/>
    <m/>
    <n v="78"/>
    <n v="2"/>
    <m/>
    <m/>
    <n v="69"/>
    <n v="5"/>
    <s v="https://www.ur.ch/themen/2962"/>
  </r>
  <r>
    <x v="54"/>
    <n v="0.60416666666666663"/>
    <x v="4"/>
    <m/>
    <n v="3238"/>
    <n v="116"/>
    <m/>
    <n v="43"/>
    <m/>
    <n v="105"/>
    <s v="https://gd.zh.ch/internet/gesundheitsdirektion/de/themen/coronavirus.html"/>
  </r>
  <r>
    <x v="54"/>
    <n v="0.61458333333333337"/>
    <x v="10"/>
    <m/>
    <n v="1003"/>
    <m/>
    <m/>
    <m/>
    <m/>
    <n v="25"/>
    <s v="https://www.ag.ch/media/kanton_aargau/themen_1/coronavirus_1/lagebulletins/200420_KFS_Coronavirus_Lagebulletin_36.pdf"/>
  </r>
  <r>
    <x v="55"/>
    <m/>
    <x v="7"/>
    <m/>
    <n v="806"/>
    <n v="40"/>
    <n v="6"/>
    <n v="3"/>
    <n v="664"/>
    <n v="25"/>
    <s v="https://www.baselland.ch/politik-und-behorden/direktionen/volkswirtschafts-und-gesundheitsdirektion/amt-fur-gesundheit/medizinische-dienste/kantonsarztlicher-dienst/aktuelles/covid-19-faelle-kanton-basel-landschaft"/>
  </r>
  <r>
    <x v="55"/>
    <m/>
    <x v="2"/>
    <m/>
    <n v="81"/>
    <m/>
    <m/>
    <m/>
    <m/>
    <n v="1"/>
    <s v="https://www.regierung.li/de/mitteilungen/223410/?typ=news"/>
  </r>
  <r>
    <x v="55"/>
    <m/>
    <x v="12"/>
    <m/>
    <n v="989"/>
    <n v="62"/>
    <n v="11"/>
    <m/>
    <n v="113"/>
    <n v="72"/>
    <s v="https://www.fr.ch/sites/default/files/2020-05/statistiques_situation_FR_0105.xlsx"/>
  </r>
  <r>
    <x v="55"/>
    <m/>
    <x v="0"/>
    <n v="22182"/>
    <n v="4644"/>
    <n v="321"/>
    <n v="34"/>
    <n v="29"/>
    <n v="561"/>
    <n v="219"/>
    <s v="https://www.ge.ch/document/covid-19-situation-epidemiologique-geneve/telecharger"/>
  </r>
  <r>
    <x v="55"/>
    <m/>
    <x v="26"/>
    <m/>
    <n v="785"/>
    <n v="29"/>
    <m/>
    <m/>
    <m/>
    <n v="42"/>
    <s v="https://www.gr.ch/DE/institutionen/verwaltung/djsg/ga/coronavirus/info/Seiten/Start.aspx"/>
  </r>
  <r>
    <x v="55"/>
    <m/>
    <x v="3"/>
    <m/>
    <n v="195"/>
    <n v="14"/>
    <n v="4"/>
    <m/>
    <m/>
    <n v="6"/>
    <s v="https://www.jura.ch/Htdocs/Files/v/34292.xlsx/Departements/CHA/SIC/Carrousel/Coronavirus/Cornavirus/Chiffres/donnees_30_04.xlsx?download=1"/>
  </r>
  <r>
    <x v="55"/>
    <m/>
    <x v="13"/>
    <m/>
    <n v="644"/>
    <n v="44"/>
    <n v="10"/>
    <n v="5"/>
    <m/>
    <n v="65"/>
    <s v="https://www.ne.ch/autorites/DFS/SCSP/medecin-cantonal/maladies-vaccinations/Documents/Covid-19-Statistiques/COVID19_PublicationInternet.xlsx"/>
  </r>
  <r>
    <x v="55"/>
    <m/>
    <x v="20"/>
    <m/>
    <n v="108"/>
    <n v="4"/>
    <n v="2"/>
    <m/>
    <m/>
    <n v="3"/>
    <s v="http://www.nw.ch/coronastatistik"/>
  </r>
  <r>
    <x v="55"/>
    <m/>
    <x v="14"/>
    <m/>
    <n v="711"/>
    <n v="42"/>
    <n v="7"/>
    <m/>
    <n v="159"/>
    <n v="27"/>
    <s v="https://www.sg.ch/tools/informationen-coronavirus.html"/>
  </r>
  <r>
    <x v="55"/>
    <m/>
    <x v="15"/>
    <m/>
    <n v="272"/>
    <m/>
    <m/>
    <m/>
    <n v="180"/>
    <n v="15"/>
    <s v="https://www.sz.ch/public/upload/assets/46403/COVID-19_Fallzahlen_Kanton_Schwyz.xlsx"/>
  </r>
  <r>
    <x v="55"/>
    <m/>
    <x v="25"/>
    <m/>
    <n v="336"/>
    <n v="24"/>
    <n v="12"/>
    <m/>
    <m/>
    <n v="13"/>
    <s v="https://www.tg.ch/news/fachdossier-coronavirus.html/10552"/>
  </r>
  <r>
    <x v="55"/>
    <m/>
    <x v="8"/>
    <m/>
    <n v="5094"/>
    <n v="201"/>
    <n v="41"/>
    <m/>
    <m/>
    <n v="327"/>
    <s v="https://www.vd.ch/toutes-les-actualites/hotline-et-informations-sur-le-coronavirus/point-de-situation-statistique-dans-le-canton-de-vaud/"/>
  </r>
  <r>
    <x v="55"/>
    <m/>
    <x v="9"/>
    <m/>
    <n v="1792"/>
    <n v="76"/>
    <n v="15"/>
    <n v="9"/>
    <n v="206"/>
    <n v="110"/>
    <s v="https://www.vs.ch/documents/6756452/7008787/2020%2004%2029%20Sit%20Epid%20-%20%C3%89tat%20Stand"/>
  </r>
  <r>
    <x v="55"/>
    <n v="0"/>
    <x v="18"/>
    <m/>
    <n v="355"/>
    <n v="19"/>
    <m/>
    <m/>
    <m/>
    <n v="11"/>
    <s v="https://corona.so.ch/index.php?id=27979"/>
  </r>
  <r>
    <x v="55"/>
    <n v="0.33333333333333331"/>
    <x v="6"/>
    <m/>
    <n v="1613"/>
    <n v="71"/>
    <n v="19"/>
    <n v="11"/>
    <m/>
    <n v="73"/>
    <s v="https://www.besondere-lage.sites.be.ch/besondere-lage_sites/de/index/corona/index.html"/>
  </r>
  <r>
    <x v="55"/>
    <n v="0.33333333333333331"/>
    <x v="1"/>
    <m/>
    <n v="3058"/>
    <n v="237"/>
    <n v="55"/>
    <n v="42"/>
    <n v="621"/>
    <n v="288"/>
    <s v="https://www4.ti.ch/area-media/comunicati/dettaglio-comunicato/?NEWS_ID=187648&amp;tx_tichareamedia_comunicazioni%5Baction%5D=show&amp;tx_tichareamedia_comunicazioni%5Bcontroller%5D=Comunicazioni&amp;cHash=8c7fb45c6eada1e8d97d120f23176eb1"/>
  </r>
  <r>
    <x v="55"/>
    <n v="0.33333333333333331"/>
    <x v="11"/>
    <m/>
    <n v="175"/>
    <n v="11"/>
    <n v="5"/>
    <m/>
    <n v="99"/>
    <n v="7"/>
    <s v="https://www.zg.ch/behoerden/gesundheitsdirektion/statistikfachstelle/themen/gesundheit/corona"/>
  </r>
  <r>
    <x v="55"/>
    <n v="0.39583333333333331"/>
    <x v="5"/>
    <m/>
    <n v="928"/>
    <m/>
    <m/>
    <m/>
    <n v="770"/>
    <n v="42"/>
    <s v="https://www.gd.bs.ch//nm/2020-tagesbulletin-coronavirus-933-bestaetigte-faelle-im-kanton-basel-stadt-gd.html"/>
  </r>
  <r>
    <x v="55"/>
    <n v="0.39583333333333331"/>
    <x v="21"/>
    <m/>
    <n v="63"/>
    <n v="6"/>
    <n v="2"/>
    <m/>
    <m/>
    <n v="1"/>
    <s v="https://sh.ch/CMS/get/file/c1688ab0-1c33-488a-8c2b-85b3bde7fe77"/>
  </r>
  <r>
    <x v="55"/>
    <n v="0.45833333333333331"/>
    <x v="24"/>
    <m/>
    <n v="24"/>
    <m/>
    <m/>
    <m/>
    <m/>
    <m/>
    <s v="https://www.ai.ch/themen/gesundheit-alter-und-soziales/gesundheitsfoerderung-und-praevention/uebertragbare-krankheiten/coronavirus"/>
  </r>
  <r>
    <x v="55"/>
    <n v="0.45833333333333331"/>
    <x v="16"/>
    <m/>
    <n v="633"/>
    <n v="33"/>
    <n v="5"/>
    <m/>
    <m/>
    <n v="15"/>
    <s v="https://gesundheit.lu.ch/themen/Humanmedizin/Infektionskrankheiten/Coronavirus"/>
  </r>
  <r>
    <x v="55"/>
    <n v="0.54166666666666663"/>
    <x v="17"/>
    <m/>
    <n v="86"/>
    <m/>
    <m/>
    <m/>
    <m/>
    <n v="3"/>
    <s v="https://www.ar.ch/verwaltung/departement-gesundheit-und-soziales/amt-fuer-gesundheit/informationsseite-coronavirus/"/>
  </r>
  <r>
    <x v="55"/>
    <n v="0.54166666666666663"/>
    <x v="19"/>
    <m/>
    <n v="114"/>
    <n v="5"/>
    <m/>
    <m/>
    <m/>
    <n v="5"/>
    <s v="https://www.gl.ch/public/upload/assets/27992/COVID-19_Fallzahlen_Kanton_Glarus.xlsx"/>
  </r>
  <r>
    <x v="55"/>
    <n v="0.58333333333333337"/>
    <x v="22"/>
    <m/>
    <n v="78"/>
    <n v="2"/>
    <m/>
    <m/>
    <n v="69"/>
    <n v="5"/>
    <s v="https://www.ur.ch/themen/2962"/>
  </r>
  <r>
    <x v="55"/>
    <n v="0.60416666666666663"/>
    <x v="4"/>
    <m/>
    <n v="3254"/>
    <n v="121"/>
    <m/>
    <n v="43"/>
    <m/>
    <n v="107"/>
    <s v="https://gd.zh.ch/internet/gesundheitsdirektion/de/themen/coronavirus.html"/>
  </r>
  <r>
    <x v="55"/>
    <n v="0.61458333333333337"/>
    <x v="10"/>
    <m/>
    <n v="1012"/>
    <n v="45"/>
    <n v="16"/>
    <n v="16"/>
    <n v="640"/>
    <n v="28"/>
    <s v="https://www.ag.ch/media/kanton_aargau/themen_1/coronavirus_1/lagebulletins/200420_KFS_Coronavirus_Lagebulletin_36.pdf"/>
  </r>
  <r>
    <x v="55"/>
    <n v="0.625"/>
    <x v="23"/>
    <m/>
    <n v="67"/>
    <n v="0"/>
    <m/>
    <m/>
    <m/>
    <n v="0"/>
    <s v="https://www.ow.ch/de/verwaltung/dienstleistungen/?dienst_id=5962"/>
  </r>
  <r>
    <x v="56"/>
    <m/>
    <x v="7"/>
    <m/>
    <n v="809"/>
    <n v="33"/>
    <n v="3"/>
    <n v="3"/>
    <n v="679"/>
    <n v="26"/>
    <s v="https://www.baselland.ch/politik-und-behorden/direktionen/volkswirtschafts-und-gesundheitsdirektion/amt-fur-gesundheit/medizinische-dienste/kantonsarztlicher-dienst/aktuelles/covid-19-faelle-kanton-basel-landschaft"/>
  </r>
  <r>
    <x v="56"/>
    <m/>
    <x v="2"/>
    <m/>
    <n v="81"/>
    <m/>
    <m/>
    <m/>
    <m/>
    <n v="1"/>
    <s v="https://www.regierung.li/media/attachments/207-corona-keine-neuen-Faelle-0421.pdf?t=637230900737305962"/>
  </r>
  <r>
    <x v="56"/>
    <m/>
    <x v="12"/>
    <m/>
    <n v="995"/>
    <n v="60"/>
    <n v="8"/>
    <m/>
    <n v="115"/>
    <n v="74"/>
    <s v="https://www.fr.ch/sites/default/files/2020-05/statistiques_situation_FR_0105.xlsx"/>
  </r>
  <r>
    <x v="56"/>
    <m/>
    <x v="0"/>
    <n v="22593"/>
    <n v="4670"/>
    <n v="304"/>
    <n v="32"/>
    <n v="29"/>
    <n v="581"/>
    <n v="224"/>
    <s v="https://www.ge.ch/document/covid-19-situation-epidemiologique-geneve/telecharger"/>
  </r>
  <r>
    <x v="56"/>
    <m/>
    <x v="26"/>
    <m/>
    <n v="787"/>
    <n v="27"/>
    <m/>
    <m/>
    <m/>
    <n v="43"/>
    <s v="https://www.gr.ch/DE/institutionen/verwaltung/djsg/ga/coronavirus/info/Seiten/Start.aspx"/>
  </r>
  <r>
    <x v="56"/>
    <m/>
    <x v="3"/>
    <m/>
    <n v="195"/>
    <n v="12"/>
    <n v="4"/>
    <m/>
    <m/>
    <n v="6"/>
    <s v="https://www.jura.ch/Htdocs/Files/v/34292.xlsx/Departements/CHA/SIC/Carrousel/Coronavirus/Cornavirus/Chiffres/donnees_30_04.xlsx?download=1"/>
  </r>
  <r>
    <x v="56"/>
    <m/>
    <x v="13"/>
    <m/>
    <n v="649"/>
    <n v="37"/>
    <n v="7"/>
    <n v="4"/>
    <m/>
    <n v="66"/>
    <s v="https://www.ne.ch/autorites/DFS/SCSP/medecin-cantonal/maladies-vaccinations/Documents/Covid-19-Statistiques/COVID19_PublicationInternet.xlsx"/>
  </r>
  <r>
    <x v="56"/>
    <m/>
    <x v="20"/>
    <m/>
    <n v="108"/>
    <n v="4"/>
    <n v="1"/>
    <m/>
    <m/>
    <n v="3"/>
    <s v="http://www.nw.ch/coronastatistik"/>
  </r>
  <r>
    <x v="56"/>
    <m/>
    <x v="14"/>
    <m/>
    <n v="718"/>
    <n v="48"/>
    <n v="8"/>
    <m/>
    <n v="159"/>
    <n v="29"/>
    <s v="https://www.sg.ch/tools/informationen-coronavirus.html"/>
  </r>
  <r>
    <x v="56"/>
    <m/>
    <x v="25"/>
    <m/>
    <n v="340"/>
    <n v="24"/>
    <n v="12"/>
    <m/>
    <m/>
    <n v="13"/>
    <s v="https://www.tg.ch/news/fachdossier-coronavirus.html/10552"/>
  </r>
  <r>
    <x v="56"/>
    <m/>
    <x v="8"/>
    <m/>
    <n v="5126"/>
    <n v="188"/>
    <n v="41"/>
    <m/>
    <m/>
    <n v="335"/>
    <s v="https://www.vd.ch/toutes-les-actualites/hotline-et-informations-sur-le-coronavirus/point-de-situation-statistique-dans-le-canton-de-vaud/"/>
  </r>
  <r>
    <x v="56"/>
    <m/>
    <x v="9"/>
    <m/>
    <n v="1799"/>
    <n v="73"/>
    <n v="14"/>
    <n v="11"/>
    <n v="210"/>
    <n v="115"/>
    <s v="https://www.vs.ch/documents/6756452/7008787/2020%2004%2029%20Sit%20Epid%20-%20%C3%89tat%20Stand"/>
  </r>
  <r>
    <x v="56"/>
    <n v="0"/>
    <x v="18"/>
    <m/>
    <n v="359"/>
    <n v="19"/>
    <m/>
    <m/>
    <m/>
    <n v="11"/>
    <s v="https://corona.so.ch/index.php?id=27979"/>
  </r>
  <r>
    <x v="56"/>
    <n v="0.33333333333333331"/>
    <x v="6"/>
    <m/>
    <n v="1622"/>
    <n v="66"/>
    <n v="17"/>
    <n v="11"/>
    <m/>
    <n v="77"/>
    <s v="https://www.besondere-lage.sites.be.ch/besondere-lage_sites/de/index/corona/index.html"/>
  </r>
  <r>
    <x v="56"/>
    <n v="0.33333333333333331"/>
    <x v="1"/>
    <m/>
    <n v="3065"/>
    <n v="236"/>
    <n v="54"/>
    <n v="36"/>
    <n v="639"/>
    <n v="291"/>
    <s v="https://www4.ti.ch/area-media/comunicati/dettaglio-comunicato/?NEWS_ID=187654&amp;tx_tichareamedia_comunicazioni%5Baction%5D=show&amp;tx_tichareamedia_comunicazioni%5Bcontroller%5D=Comunicazioni&amp;cHash=8ae7085e87cf92c2997d0e458baa17f9"/>
  </r>
  <r>
    <x v="56"/>
    <n v="0.33333333333333331"/>
    <x v="11"/>
    <m/>
    <n v="176"/>
    <n v="9"/>
    <n v="4"/>
    <m/>
    <n v="99"/>
    <n v="8"/>
    <s v="https://www.zg.ch/behoerden/gesundheitsdirektion/statistikfachstelle/themen/gesundheit/corona"/>
  </r>
  <r>
    <x v="56"/>
    <n v="0.38541666666666669"/>
    <x v="5"/>
    <m/>
    <n v="928"/>
    <n v="54"/>
    <n v="9"/>
    <m/>
    <n v="781"/>
    <n v="44"/>
    <s v="https://www.gd.bs.ch//nm/2020-tagesbulletin-coronavirus-933-bestaetigte-faelle-im-kanton-basel-stadt-gd-2.html"/>
  </r>
  <r>
    <x v="56"/>
    <n v="0.39583333333333331"/>
    <x v="21"/>
    <m/>
    <n v="63"/>
    <n v="10"/>
    <n v="2"/>
    <m/>
    <m/>
    <n v="2"/>
    <s v="https://sh.ch/CMS/get/file/c1688ab0-1c33-488a-8c2b-85b3bde7fe77"/>
  </r>
  <r>
    <x v="56"/>
    <n v="0.41666666666666669"/>
    <x v="15"/>
    <m/>
    <n v="276"/>
    <m/>
    <m/>
    <m/>
    <n v="192"/>
    <n v="16"/>
    <s v="https://www.sz.ch/public/upload/assets/46403/COVID-19_Fallzahlen_Kanton_Schwyz.xlsx"/>
  </r>
  <r>
    <x v="56"/>
    <n v="0.45833333333333331"/>
    <x v="24"/>
    <m/>
    <n v="24"/>
    <m/>
    <m/>
    <m/>
    <m/>
    <m/>
    <s v="https://www.ai.ch/themen/gesundheit-alter-und-soziales/gesundheitsfoerderung-und-praevention/uebertragbare-krankheiten/coronavirus"/>
  </r>
  <r>
    <x v="56"/>
    <n v="0.47916666666666669"/>
    <x v="23"/>
    <m/>
    <n v="67"/>
    <n v="0"/>
    <m/>
    <m/>
    <m/>
    <n v="0"/>
    <s v="https://www.ow.ch/de/verwaltung/dienstleistungen/?dienst_id=5962"/>
  </r>
  <r>
    <x v="56"/>
    <n v="0.5"/>
    <x v="16"/>
    <m/>
    <n v="643"/>
    <n v="35"/>
    <n v="5"/>
    <m/>
    <m/>
    <n v="15"/>
    <s v="https://gesundheit.lu.ch/themen/Humanmedizin/Infektionskrankheiten/Coronavirus"/>
  </r>
  <r>
    <x v="56"/>
    <n v="0.54166666666666663"/>
    <x v="17"/>
    <m/>
    <n v="86"/>
    <m/>
    <m/>
    <m/>
    <m/>
    <n v="3"/>
    <s v="https://www.ar.ch/verwaltung/departement-gesundheit-und-soziales/amt-fuer-gesundheit/informationsseite-coronavirus/"/>
  </r>
  <r>
    <x v="56"/>
    <n v="0.5625"/>
    <x v="19"/>
    <m/>
    <n v="115"/>
    <n v="3"/>
    <m/>
    <m/>
    <m/>
    <n v="6"/>
    <s v="https://www.gl.ch/public/upload/assets/27992/COVID-19_Fallzahlen_Kanton_Glarus.xlsx"/>
  </r>
  <r>
    <x v="56"/>
    <n v="0.60416666666666663"/>
    <x v="4"/>
    <m/>
    <n v="3280"/>
    <n v="110"/>
    <m/>
    <n v="41"/>
    <m/>
    <n v="109"/>
    <s v="https://gd.zh.ch/internet/gesundheitsdirektion/de/themen/coronavirus.html"/>
  </r>
  <r>
    <x v="56"/>
    <n v="0.61458333333333337"/>
    <x v="10"/>
    <m/>
    <n v="1017"/>
    <n v="43"/>
    <n v="18"/>
    <n v="18"/>
    <n v="680"/>
    <n v="29"/>
    <s v="https://www.ag.ch/media/kanton_aargau/themen_1/coronavirus_1/lagebulletins/200421_KFS_Coronavirus_Lagebulletin_37.pdf"/>
  </r>
  <r>
    <x v="56"/>
    <n v="0.70833333333333337"/>
    <x v="22"/>
    <m/>
    <n v="78"/>
    <n v="2"/>
    <m/>
    <m/>
    <n v="69"/>
    <n v="5"/>
    <s v="https://www.ur.ch/themen/2962"/>
  </r>
  <r>
    <x v="57"/>
    <m/>
    <x v="7"/>
    <m/>
    <n v="811"/>
    <n v="33"/>
    <n v="3"/>
    <n v="3"/>
    <n v="683"/>
    <n v="26"/>
    <s v="https://www.baselland.ch/politik-und-behorden/direktionen/volkswirtschafts-und-gesundheitsdirektion/amt-fur-gesundheit/medizinische-dienste/kantonsarztlicher-dienst/aktuelles/covid-19-faelle-kanton-basel-landschaft"/>
  </r>
  <r>
    <x v="57"/>
    <m/>
    <x v="2"/>
    <m/>
    <n v="81"/>
    <m/>
    <m/>
    <m/>
    <m/>
    <n v="1"/>
    <s v="https://www.regierung.li/de/mitteilungen/223419/?typ=news"/>
  </r>
  <r>
    <x v="57"/>
    <m/>
    <x v="12"/>
    <m/>
    <n v="1006"/>
    <n v="57"/>
    <n v="5"/>
    <m/>
    <n v="116"/>
    <n v="76"/>
    <s v="https://www.fr.ch/sites/default/files/2020-05/statistiques_situation_FR_0105.xlsx"/>
  </r>
  <r>
    <x v="57"/>
    <m/>
    <x v="0"/>
    <n v="22941"/>
    <n v="4691"/>
    <n v="288"/>
    <n v="30"/>
    <n v="27"/>
    <n v="589"/>
    <n v="229"/>
    <s v="https://www.ge.ch/document/covid-19-situation-epidemiologique-geneve/telecharger"/>
  </r>
  <r>
    <x v="57"/>
    <m/>
    <x v="26"/>
    <m/>
    <n v="791"/>
    <n v="26"/>
    <m/>
    <m/>
    <m/>
    <n v="43"/>
    <s v="https://www.gr.ch/DE/institutionen/verwaltung/djsg/ga/coronavirus/info/Seiten/Start.aspx"/>
  </r>
  <r>
    <x v="57"/>
    <m/>
    <x v="3"/>
    <m/>
    <n v="196"/>
    <n v="12"/>
    <n v="4"/>
    <m/>
    <m/>
    <n v="6"/>
    <s v="https://www.jura.ch/Htdocs/Files/v/34292.xlsx/Departements/CHA/SIC/Carrousel/Coronavirus/Cornavirus/Chiffres/donnees_30_04.xlsx?download=1"/>
  </r>
  <r>
    <x v="57"/>
    <m/>
    <x v="13"/>
    <m/>
    <n v="656"/>
    <n v="37"/>
    <n v="6"/>
    <n v="4"/>
    <m/>
    <n v="68"/>
    <s v="https://www.ne.ch/autorites/DFS/SCSP/medecin-cantonal/maladies-vaccinations/Documents/Covid-19-Statistiques/COVID19_PublicationInternet.xlsx"/>
  </r>
  <r>
    <x v="57"/>
    <m/>
    <x v="20"/>
    <m/>
    <n v="108"/>
    <n v="4"/>
    <n v="1"/>
    <m/>
    <m/>
    <n v="3"/>
    <s v="http://www.nw.ch/coronastatistik"/>
  </r>
  <r>
    <x v="57"/>
    <m/>
    <x v="14"/>
    <m/>
    <n v="724"/>
    <n v="52"/>
    <n v="6"/>
    <m/>
    <n v="162"/>
    <n v="29"/>
    <s v="https://www.sg.ch/tools/informationen-coronavirus.html"/>
  </r>
  <r>
    <x v="57"/>
    <m/>
    <x v="25"/>
    <m/>
    <n v="341"/>
    <n v="23"/>
    <n v="9"/>
    <m/>
    <m/>
    <n v="14"/>
    <s v="https://www.tg.ch/news/fachdossier-coronavirus.html/10552"/>
  </r>
  <r>
    <x v="57"/>
    <m/>
    <x v="8"/>
    <m/>
    <n v="5147"/>
    <n v="174"/>
    <n v="40"/>
    <m/>
    <m/>
    <n v="340"/>
    <s v="https://www.vd.ch/toutes-les-actualites/hotline-et-informations-sur-le-coronavirus/point-de-situation-statistique-dans-le-canton-de-vaud/"/>
  </r>
  <r>
    <x v="57"/>
    <m/>
    <x v="9"/>
    <m/>
    <n v="1805"/>
    <n v="74"/>
    <n v="13"/>
    <n v="11"/>
    <n v="210"/>
    <n v="118"/>
    <s v="https://www.vs.ch/documents/6756452/7008787/2020%2004%2029%20Sit%20Epid%20-%20%C3%89tat%20Stand"/>
  </r>
  <r>
    <x v="57"/>
    <n v="0"/>
    <x v="18"/>
    <m/>
    <n v="368"/>
    <n v="18"/>
    <m/>
    <m/>
    <m/>
    <n v="11"/>
    <s v="https://corona.so.ch/index.php?id=27979"/>
  </r>
  <r>
    <x v="57"/>
    <n v="0.33333333333333331"/>
    <x v="6"/>
    <m/>
    <n v="1643"/>
    <n v="67"/>
    <n v="14"/>
    <n v="10"/>
    <m/>
    <n v="77"/>
    <s v="https://www.besondere-lage.sites.be.ch/besondere-lage_sites/de/index/corona/index.html"/>
  </r>
  <r>
    <x v="57"/>
    <n v="0.33333333333333331"/>
    <x v="1"/>
    <m/>
    <n v="3089"/>
    <n v="213"/>
    <n v="42"/>
    <n v="32"/>
    <n v="661"/>
    <n v="295"/>
    <s v="https://www4.ti.ch/area-media/comunicati/dettaglio-comunicato/?NEWS_ID=187672&amp;cHash=73c20eed4b20c3cb714758f2678c3f15"/>
  </r>
  <r>
    <x v="57"/>
    <n v="0.33333333333333331"/>
    <x v="11"/>
    <m/>
    <n v="176"/>
    <n v="6"/>
    <n v="3"/>
    <m/>
    <n v="131"/>
    <n v="8"/>
    <s v="https://www.zg.ch/behoerden/gesundheitsdirektion/statistikfachstelle/themen/gesundheit/corona"/>
  </r>
  <r>
    <x v="57"/>
    <n v="0.39583333333333331"/>
    <x v="21"/>
    <m/>
    <n v="63"/>
    <n v="10"/>
    <n v="2"/>
    <m/>
    <m/>
    <n v="3"/>
    <s v="https://sh.ch/CMS/get/file/c1688ab0-1c33-488a-8c2b-85b3bde7fe77"/>
  </r>
  <r>
    <x v="57"/>
    <n v="0.40625"/>
    <x v="5"/>
    <m/>
    <n v="928"/>
    <n v="49"/>
    <n v="7"/>
    <m/>
    <n v="786"/>
    <n v="45"/>
    <s v="https://www.gd.bs.ch//nm/2020-tagesbulletin-coronavirus-933-bestaetigte-faelle-im-kanton-basel-stadt-gd-3.html"/>
  </r>
  <r>
    <x v="57"/>
    <n v="0.41666666666666669"/>
    <x v="15"/>
    <m/>
    <n v="282"/>
    <m/>
    <m/>
    <m/>
    <n v="194"/>
    <n v="16"/>
    <s v="https://www.sz.ch/public/upload/assets/46403/COVID-19_Fallzahlen_Kanton_Schwyz.xlsx"/>
  </r>
  <r>
    <x v="57"/>
    <n v="0.45833333333333331"/>
    <x v="24"/>
    <m/>
    <n v="24"/>
    <m/>
    <m/>
    <m/>
    <m/>
    <m/>
    <s v="https://www.ai.ch/themen/gesundheit-alter-und-soziales/gesundheitsfoerderung-und-praevention/uebertragbare-krankheiten/coronavirus"/>
  </r>
  <r>
    <x v="57"/>
    <n v="0.45833333333333331"/>
    <x v="16"/>
    <m/>
    <n v="648"/>
    <m/>
    <m/>
    <m/>
    <m/>
    <n v="15"/>
    <s v="https://gesundheit.lu.ch/themen/Humanmedizin/Infektionskrankheiten/Coronavirus"/>
  </r>
  <r>
    <x v="57"/>
    <n v="0.5625"/>
    <x v="19"/>
    <m/>
    <n v="117"/>
    <n v="3"/>
    <m/>
    <m/>
    <m/>
    <n v="6"/>
    <s v="https://www.gl.ch/public/upload/assets/27992/COVID-19_Fallzahlen_Kanton_Glarus.xlsx"/>
  </r>
  <r>
    <x v="57"/>
    <n v="0.60416666666666663"/>
    <x v="4"/>
    <m/>
    <n v="3320"/>
    <n v="110"/>
    <m/>
    <n v="44"/>
    <m/>
    <n v="110"/>
    <s v="https://gd.zh.ch/internet/gesundheitsdirektion/de/themen/coronavirus.html"/>
  </r>
  <r>
    <x v="57"/>
    <n v="0.61458333333333337"/>
    <x v="10"/>
    <m/>
    <n v="1026"/>
    <n v="37"/>
    <n v="15"/>
    <n v="15"/>
    <n v="710"/>
    <n v="31"/>
    <s v="https://www.ag.ch/media/kanton_aargau/themen_1/coronavirus_1/lagebulletins/200422_KFS_Coronavirus_Lagebulletin_38.pdf"/>
  </r>
  <r>
    <x v="57"/>
    <n v="0.625"/>
    <x v="22"/>
    <m/>
    <n v="78"/>
    <n v="3"/>
    <m/>
    <m/>
    <n v="69"/>
    <n v="5"/>
    <s v="https://www.ur.ch/themen/2962"/>
  </r>
  <r>
    <x v="57"/>
    <n v="0.66666666666666663"/>
    <x v="23"/>
    <m/>
    <n v="67"/>
    <n v="0"/>
    <m/>
    <m/>
    <m/>
    <n v="0"/>
    <s v="https://www.ow.ch/de/verwaltung/dienstleistungen/?dienst_id=5962"/>
  </r>
  <r>
    <x v="57"/>
    <n v="0.75"/>
    <x v="17"/>
    <m/>
    <n v="87"/>
    <m/>
    <m/>
    <m/>
    <m/>
    <n v="3"/>
    <s v="https://www.ar.ch/verwaltung/departement-gesundheit-und-soziales/amt-fuer-gesundheit/informationsseite-coronavirus/"/>
  </r>
  <r>
    <x v="58"/>
    <m/>
    <x v="7"/>
    <m/>
    <n v="811"/>
    <n v="32"/>
    <n v="3"/>
    <n v="2"/>
    <n v="692"/>
    <n v="26"/>
    <s v="https://www.baselland.ch/politik-und-behorden/direktionen/volkswirtschafts-und-gesundheitsdirektion/amt-fur-gesundheit/medizinische-dienste/kantonsarztlicher-dienst/aktuelles/covid-19-faelle-kanton-basel-landschaft"/>
  </r>
  <r>
    <x v="58"/>
    <m/>
    <x v="2"/>
    <m/>
    <n v="81"/>
    <m/>
    <m/>
    <m/>
    <m/>
    <n v="1"/>
    <s v="https://www.regierung.li/de/mitteilungen/223424/?typ=news"/>
  </r>
  <r>
    <x v="58"/>
    <m/>
    <x v="12"/>
    <m/>
    <n v="1014"/>
    <n v="57"/>
    <n v="5"/>
    <m/>
    <n v="118"/>
    <n v="76"/>
    <s v="https://www.fr.ch/sites/default/files/2020-05/statistiques_situation_FR_0105.xlsx"/>
  </r>
  <r>
    <x v="58"/>
    <m/>
    <x v="0"/>
    <n v="23403"/>
    <n v="4721"/>
    <n v="284"/>
    <n v="29"/>
    <n v="27"/>
    <n v="592"/>
    <n v="233"/>
    <s v="https://www.ge.ch/document/covid-19-situation-epidemiologique-geneve/telecharger"/>
  </r>
  <r>
    <x v="58"/>
    <m/>
    <x v="26"/>
    <m/>
    <n v="794"/>
    <n v="26"/>
    <m/>
    <m/>
    <m/>
    <n v="43"/>
    <s v="https://www.gr.ch/DE/institutionen/verwaltung/djsg/ga/coronavirus/info/Seiten/Start.aspx"/>
  </r>
  <r>
    <x v="58"/>
    <m/>
    <x v="3"/>
    <m/>
    <n v="196"/>
    <n v="11"/>
    <n v="4"/>
    <m/>
    <m/>
    <n v="6"/>
    <s v="https://www.jura.ch/Htdocs/Files/v/34292.xlsx/Departements/CHA/SIC/Carrousel/Coronavirus/Cornavirus/Chiffres/donnees_30_04.xlsx?download=1"/>
  </r>
  <r>
    <x v="58"/>
    <m/>
    <x v="13"/>
    <m/>
    <n v="663"/>
    <n v="35"/>
    <n v="6"/>
    <n v="4"/>
    <m/>
    <n v="68"/>
    <s v="https://www.ne.ch/autorites/DFS/SCSP/medecin-cantonal/maladies-vaccinations/Documents/Covid-19-Statistiques/COVID19_PublicationInternet.xlsx"/>
  </r>
  <r>
    <x v="58"/>
    <m/>
    <x v="20"/>
    <m/>
    <n v="108"/>
    <n v="4"/>
    <n v="1"/>
    <m/>
    <m/>
    <n v="3"/>
    <s v="http://www.nw.ch/coronastatistik"/>
  </r>
  <r>
    <x v="58"/>
    <m/>
    <x v="14"/>
    <m/>
    <n v="736"/>
    <n v="37"/>
    <n v="2"/>
    <m/>
    <n v="170"/>
    <n v="31"/>
    <s v="https://www.sg.ch/tools/informationen-coronavirus.html"/>
  </r>
  <r>
    <x v="58"/>
    <m/>
    <x v="25"/>
    <m/>
    <n v="354"/>
    <n v="21"/>
    <n v="9"/>
    <m/>
    <m/>
    <n v="14"/>
    <s v="https://www.tg.ch/news/fachdossier-coronavirus.html/10552"/>
  </r>
  <r>
    <x v="58"/>
    <m/>
    <x v="8"/>
    <m/>
    <n v="5180"/>
    <n v="174"/>
    <n v="38"/>
    <m/>
    <m/>
    <n v="350"/>
    <s v="https://www.vd.ch/toutes-les-actualites/hotline-et-informations-sur-le-coronavirus/point-de-situation-statistique-dans-le-canton-de-vaud/"/>
  </r>
  <r>
    <x v="58"/>
    <m/>
    <x v="9"/>
    <m/>
    <n v="1821"/>
    <n v="70"/>
    <n v="13"/>
    <n v="10"/>
    <n v="211"/>
    <n v="123"/>
    <s v="https://www.vs.ch/documents/6756452/7008787/2020%2004%2029%20Sit%20Epid%20-%20%C3%89tat%20Stand"/>
  </r>
  <r>
    <x v="58"/>
    <n v="0"/>
    <x v="18"/>
    <m/>
    <n v="375"/>
    <n v="15"/>
    <m/>
    <m/>
    <m/>
    <n v="12"/>
    <s v="https://corona.so.ch/index.php?id=27979"/>
  </r>
  <r>
    <x v="58"/>
    <n v="0.33333333333333331"/>
    <x v="6"/>
    <m/>
    <n v="1670"/>
    <n v="66"/>
    <n v="11"/>
    <n v="7"/>
    <m/>
    <n v="79"/>
    <s v="https://www.besondere-lage.sites.be.ch/besondere-lage_sites/de/index/corona/index.html"/>
  </r>
  <r>
    <x v="58"/>
    <n v="0.33333333333333331"/>
    <x v="1"/>
    <m/>
    <n v="3106"/>
    <n v="215"/>
    <n v="41"/>
    <n v="32"/>
    <n v="676"/>
    <n v="298"/>
    <s v="https://www4.ti.ch/area-media/comunicati/dettaglio-comunicato/?NEWS_ID=187678&amp;tx_tichareamedia_comunicazioni%5Baction%5D=show&amp;tx_tichareamedia_comunicazioni%5Bcontroller%5D=Comunicazioni&amp;cHash=c546dd2da307919487d6578b8c7353cd"/>
  </r>
  <r>
    <x v="58"/>
    <n v="0.33333333333333331"/>
    <x v="11"/>
    <m/>
    <n v="178"/>
    <n v="6"/>
    <n v="3"/>
    <m/>
    <n v="133"/>
    <n v="8"/>
    <s v="https://www.zg.ch/behoerden/gesundheitsdirektion/statistikfachstelle/themen/gesundheit/corona"/>
  </r>
  <r>
    <x v="58"/>
    <n v="0.375"/>
    <x v="5"/>
    <m/>
    <n v="931"/>
    <n v="42"/>
    <n v="7"/>
    <m/>
    <n v="793"/>
    <n v="45"/>
    <s v="https://www.gd.bs.ch//nm/2020-tagesbulletin-coronavirus-931-bestaetigte-faelle-im-kanton-basel-stadt-gd.html"/>
  </r>
  <r>
    <x v="58"/>
    <n v="0.39583333333333331"/>
    <x v="21"/>
    <m/>
    <n v="65"/>
    <n v="8"/>
    <n v="2"/>
    <m/>
    <m/>
    <n v="3"/>
    <s v="https://sh.ch/CMS/get/file/c1688ab0-1c33-488a-8c2b-85b3bde7fe77"/>
  </r>
  <r>
    <x v="58"/>
    <n v="0.41666666666666669"/>
    <x v="15"/>
    <m/>
    <n v="282"/>
    <m/>
    <m/>
    <m/>
    <n v="198"/>
    <n v="16"/>
    <s v="https://www.sz.ch/public/upload/assets/46403/COVID-19_Fallzahlen_Kanton_Schwyz.xlsx"/>
  </r>
  <r>
    <x v="58"/>
    <n v="0.45833333333333331"/>
    <x v="24"/>
    <m/>
    <n v="25"/>
    <m/>
    <m/>
    <m/>
    <m/>
    <m/>
    <s v="https://www.ai.ch/themen/gesundheit-alter-und-soziales/gesundheitsfoerderung-und-praevention/uebertragbare-krankheiten/coronavirus"/>
  </r>
  <r>
    <x v="58"/>
    <n v="0.45833333333333331"/>
    <x v="16"/>
    <m/>
    <n v="654"/>
    <n v="38"/>
    <n v="7"/>
    <m/>
    <m/>
    <n v="15"/>
    <s v="https://gesundheit.lu.ch/themen/Humanmedizin/Infektionskrankheiten/Coronavirus"/>
  </r>
  <r>
    <x v="58"/>
    <n v="0.54166666666666663"/>
    <x v="23"/>
    <m/>
    <n v="68"/>
    <n v="0"/>
    <m/>
    <m/>
    <m/>
    <n v="0"/>
    <s v="https://www.ow.ch/de/verwaltung/dienstleistungen/?dienst_id=5962"/>
  </r>
  <r>
    <x v="58"/>
    <n v="0.5625"/>
    <x v="19"/>
    <m/>
    <n v="117"/>
    <n v="3"/>
    <m/>
    <m/>
    <m/>
    <n v="6"/>
    <s v="https://www.gl.ch/public/upload/assets/27992/COVID-19_Fallzahlen_Kanton_Glarus.xlsx"/>
  </r>
  <r>
    <x v="58"/>
    <n v="0.58333333333333337"/>
    <x v="17"/>
    <m/>
    <n v="88"/>
    <n v="5"/>
    <n v="2"/>
    <m/>
    <m/>
    <n v="3"/>
    <s v="https://www.ar.ch/verwaltung/departement-gesundheit-und-soziales/amt-fuer-gesundheit/informationsseite-coronavirus/"/>
  </r>
  <r>
    <x v="58"/>
    <n v="0.60416666666666663"/>
    <x v="4"/>
    <m/>
    <n v="3337"/>
    <n v="96"/>
    <m/>
    <n v="44"/>
    <m/>
    <n v="113"/>
    <s v="https://gd.zh.ch/internet/gesundheitsdirektion/de/themen/coronavirus.html"/>
  </r>
  <r>
    <x v="58"/>
    <n v="0.61458333333333337"/>
    <x v="10"/>
    <m/>
    <n v="1037"/>
    <n v="35"/>
    <n v="14"/>
    <n v="14"/>
    <n v="750"/>
    <n v="31"/>
    <s v="https://www.ag.ch/media/kanton_aargau/themen_1/coronavirus_1/lagebulletins/200423_KFS_Coronavirus_Lagebulletin_39.pdf"/>
  </r>
  <r>
    <x v="58"/>
    <n v="0.625"/>
    <x v="22"/>
    <m/>
    <n v="78"/>
    <n v="4"/>
    <m/>
    <m/>
    <n v="69"/>
    <n v="5"/>
    <s v="https://www.ur.ch/themen/2962"/>
  </r>
  <r>
    <x v="59"/>
    <m/>
    <x v="7"/>
    <m/>
    <n v="813"/>
    <n v="24"/>
    <n v="2"/>
    <n v="1"/>
    <n v="698"/>
    <n v="30"/>
    <s v="https://www.baselland.ch/politik-und-behorden/direktionen/volkswirtschafts-und-gesundheitsdirektion/amt-fur-gesundheit/medizinische-dienste/kantonsarztlicher-dienst/aktuelles/covid-19-faelle-kanton-basel-landschaft"/>
  </r>
  <r>
    <x v="59"/>
    <m/>
    <x v="2"/>
    <m/>
    <n v="82"/>
    <m/>
    <m/>
    <m/>
    <m/>
    <n v="1"/>
    <s v="https://www.regierung.li/media/attachments/212-corona-massnahmen-und-wirtschaft.pdf?t=637233485133850178"/>
  </r>
  <r>
    <x v="59"/>
    <m/>
    <x v="12"/>
    <m/>
    <n v="1021"/>
    <n v="55"/>
    <n v="8"/>
    <m/>
    <n v="119"/>
    <n v="76"/>
    <s v="https://www.fr.ch/sites/default/files/2020-05/statistiques_situation_FR_0105.xlsx"/>
  </r>
  <r>
    <x v="59"/>
    <m/>
    <x v="0"/>
    <n v="23795"/>
    <n v="4741"/>
    <n v="278"/>
    <n v="26"/>
    <n v="25"/>
    <n v="600"/>
    <n v="238"/>
    <s v="https://www.ge.ch/document/covid-19-situation-epidemiologique-geneve/telecharger"/>
  </r>
  <r>
    <x v="59"/>
    <m/>
    <x v="26"/>
    <m/>
    <n v="799"/>
    <n v="29"/>
    <m/>
    <m/>
    <m/>
    <n v="44"/>
    <s v="https://www.gr.ch/DE/institutionen/verwaltung/djsg/ga/coronavirus/info/Seiten/Start.aspx"/>
  </r>
  <r>
    <x v="59"/>
    <m/>
    <x v="3"/>
    <m/>
    <n v="196"/>
    <n v="12"/>
    <n v="4"/>
    <m/>
    <m/>
    <n v="6"/>
    <s v="https://www.jura.ch/Htdocs/Files/v/34292.xlsx/Departements/CHA/SIC/Carrousel/Coronavirus/Cornavirus/Chiffres/donnees_30_04.xlsx?download=1"/>
  </r>
  <r>
    <x v="59"/>
    <m/>
    <x v="13"/>
    <m/>
    <n v="666"/>
    <n v="36"/>
    <n v="6"/>
    <n v="4"/>
    <m/>
    <n v="70"/>
    <s v="https://www.ne.ch/autorites/DFS/SCSP/medecin-cantonal/maladies-vaccinations/Documents/Covid-19-Statistiques/COVID19_PublicationInternet.xlsx"/>
  </r>
  <r>
    <x v="59"/>
    <m/>
    <x v="20"/>
    <m/>
    <n v="108"/>
    <n v="3"/>
    <n v="0"/>
    <m/>
    <m/>
    <n v="3"/>
    <s v="http://www.nw.ch/coronastatistik"/>
  </r>
  <r>
    <x v="59"/>
    <m/>
    <x v="14"/>
    <m/>
    <n v="745"/>
    <n v="43"/>
    <n v="4"/>
    <m/>
    <n v="175"/>
    <n v="31"/>
    <s v="https://www.sg.ch/tools/informationen-coronavirus.html"/>
  </r>
  <r>
    <x v="59"/>
    <m/>
    <x v="25"/>
    <m/>
    <n v="359"/>
    <n v="21"/>
    <n v="9"/>
    <m/>
    <m/>
    <n v="14"/>
    <s v="https://www.tg.ch/news/fachdossier-coronavirus.html/10552"/>
  </r>
  <r>
    <x v="59"/>
    <m/>
    <x v="8"/>
    <m/>
    <n v="5203"/>
    <n v="162"/>
    <n v="35"/>
    <m/>
    <m/>
    <n v="353"/>
    <s v="https://www.vd.ch/toutes-les-actualites/hotline-et-informations-sur-le-coronavirus/point-de-situation-statistique-dans-le-canton-de-vaud/"/>
  </r>
  <r>
    <x v="59"/>
    <m/>
    <x v="9"/>
    <m/>
    <n v="1830"/>
    <n v="66"/>
    <n v="14"/>
    <n v="10"/>
    <n v="218"/>
    <n v="127"/>
    <s v="https://www.vs.ch/documents/6756452/7008787/2020%2004%2029%20Sit%20Epid%20-%20%C3%89tat%20Stand"/>
  </r>
  <r>
    <x v="59"/>
    <n v="0"/>
    <x v="18"/>
    <m/>
    <n v="376"/>
    <n v="15"/>
    <m/>
    <m/>
    <m/>
    <n v="14"/>
    <s v="https://corona.so.ch/index.php?id=27979"/>
  </r>
  <r>
    <x v="59"/>
    <n v="0.33333333333333331"/>
    <x v="6"/>
    <m/>
    <n v="1694"/>
    <n v="60"/>
    <n v="11"/>
    <n v="8"/>
    <m/>
    <n v="82"/>
    <s v="https://www.besondere-lage.sites.be.ch/besondere-lage_sites/de/index/corona/index.html"/>
  </r>
  <r>
    <x v="59"/>
    <n v="0.33333333333333331"/>
    <x v="1"/>
    <m/>
    <n v="3121"/>
    <n v="214"/>
    <n v="42"/>
    <n v="33"/>
    <n v="682"/>
    <n v="299"/>
    <s v="https://www4.ti.ch/area-media/comunicati/dettaglio-comunicato/?NEWS_ID=187683&amp;tx_tichareamedia_comunicazioni%5Baction%5D=show&amp;tx_tichareamedia_comunicazioni%5Bcontroller%5D=Comunicazioni&amp;cHash=96a9e3da92c22f69b3a6ed9000584d1b"/>
  </r>
  <r>
    <x v="59"/>
    <n v="0.33333333333333331"/>
    <x v="11"/>
    <m/>
    <n v="180"/>
    <n v="6"/>
    <n v="3"/>
    <m/>
    <n v="133"/>
    <n v="8"/>
    <s v="https://www.zg.ch/behoerden/gesundheitsdirektion/statistikfachstelle/themen/gesundheit/corona"/>
  </r>
  <r>
    <x v="59"/>
    <n v="0.38541666666666669"/>
    <x v="5"/>
    <m/>
    <n v="936"/>
    <n v="40"/>
    <n v="7"/>
    <m/>
    <n v="800"/>
    <n v="46"/>
    <s v="https://www.gd.bs.ch//nm/2020-tagesbulletin-coronavirus-936-bestaetigte-faelle-im-kanton-basel-stadt-gd.html"/>
  </r>
  <r>
    <x v="59"/>
    <n v="0.39583333333333331"/>
    <x v="17"/>
    <m/>
    <n v="88"/>
    <n v="4"/>
    <n v="2"/>
    <m/>
    <m/>
    <n v="3"/>
    <s v="https://www.ar.ch/verwaltung/departement-gesundheit-und-soziales/amt-fuer-gesundheit/informationsseite-coronavirus/"/>
  </r>
  <r>
    <x v="59"/>
    <n v="0.39583333333333331"/>
    <x v="21"/>
    <m/>
    <n v="70"/>
    <n v="4"/>
    <n v="1"/>
    <m/>
    <m/>
    <n v="3"/>
    <s v="https://sh.ch/CMS/get/file/c1688ab0-1c33-488a-8c2b-85b3bde7fe77"/>
  </r>
  <r>
    <x v="59"/>
    <n v="0.41666666666666669"/>
    <x v="15"/>
    <m/>
    <n v="284"/>
    <m/>
    <m/>
    <m/>
    <n v="206"/>
    <n v="16"/>
    <s v="https://www.sz.ch/public/upload/assets/46403/COVID-19_Fallzahlen_Kanton_Schwyz.xlsx"/>
  </r>
  <r>
    <x v="59"/>
    <n v="0.45833333333333331"/>
    <x v="24"/>
    <m/>
    <n v="25"/>
    <m/>
    <m/>
    <m/>
    <m/>
    <m/>
    <s v="https://www.ai.ch/themen/gesundheit-alter-und-soziales/gesundheitsfoerderung-und-praevention/uebertragbare-krankheiten/coronavirus"/>
  </r>
  <r>
    <x v="59"/>
    <n v="0.45833333333333331"/>
    <x v="16"/>
    <m/>
    <n v="660"/>
    <m/>
    <m/>
    <m/>
    <m/>
    <n v="16"/>
    <s v="https://gesundheit.lu.ch/themen/Humanmedizin/Infektionskrankheiten/Coronavirus"/>
  </r>
  <r>
    <x v="59"/>
    <n v="0.54166666666666663"/>
    <x v="19"/>
    <m/>
    <n v="117"/>
    <n v="3"/>
    <m/>
    <m/>
    <m/>
    <n v="7"/>
    <s v="https://www.gl.ch/public/upload/assets/27992/COVID-19_Fallzahlen_Kanton_Glarus.xlsx"/>
  </r>
  <r>
    <x v="59"/>
    <n v="0.58333333333333337"/>
    <x v="22"/>
    <m/>
    <n v="78"/>
    <n v="3"/>
    <m/>
    <m/>
    <n v="69"/>
    <n v="5"/>
    <s v="https://www.ur.ch/themen/2962"/>
  </r>
  <r>
    <x v="59"/>
    <n v="0.60416666666666663"/>
    <x v="4"/>
    <m/>
    <n v="3366"/>
    <n v="83"/>
    <m/>
    <n v="42"/>
    <m/>
    <n v="114"/>
    <s v="https://gd.zh.ch/internet/gesundheitsdirektion/de/themen/coronavirus.html"/>
  </r>
  <r>
    <x v="59"/>
    <n v="0.61458333333333337"/>
    <x v="10"/>
    <m/>
    <n v="1052"/>
    <n v="40"/>
    <n v="14"/>
    <n v="14"/>
    <n v="780"/>
    <n v="31"/>
    <s v="https://www.ag.ch/media/kanton_aargau/themen_1/coronavirus_1/lagebulletins/200424_KFS_Coronavirus_Lagebulletin_40.pdf"/>
  </r>
  <r>
    <x v="59"/>
    <n v="0.70833333333333337"/>
    <x v="23"/>
    <m/>
    <n v="71"/>
    <n v="0"/>
    <m/>
    <m/>
    <m/>
    <n v="0"/>
    <s v="https://www.ow.ch/de/verwaltung/dienstleistungen/?dienst_id=5962"/>
  </r>
  <r>
    <x v="60"/>
    <m/>
    <x v="7"/>
    <m/>
    <n v="816"/>
    <n v="23"/>
    <n v="1"/>
    <n v="0"/>
    <n v="710"/>
    <n v="30"/>
    <s v="https://www.baselland.ch/politik-und-behorden/direktionen/volkswirtschafts-und-gesundheitsdirektion/amt-fur-gesundheit/medizinische-dienste/kantonsarztlicher-dienst/aktuelles/covid-19-faelle-kanton-basel-landschaft"/>
  </r>
  <r>
    <x v="60"/>
    <m/>
    <x v="2"/>
    <m/>
    <n v="82"/>
    <m/>
    <m/>
    <m/>
    <m/>
    <n v="1"/>
    <s v="https://www.regierung.li/de/mitteilungen/223427/?typ=news"/>
  </r>
  <r>
    <x v="60"/>
    <m/>
    <x v="12"/>
    <m/>
    <n v="1029"/>
    <n v="54"/>
    <n v="7"/>
    <m/>
    <n v="119"/>
    <n v="76"/>
    <s v="https://www.fr.ch/sites/default/files/2020-05/statistiques_situation_FR_0105.xlsx"/>
  </r>
  <r>
    <x v="60"/>
    <m/>
    <x v="0"/>
    <n v="24153"/>
    <n v="4754"/>
    <n v="271"/>
    <n v="27"/>
    <n v="26"/>
    <m/>
    <n v="239"/>
    <s v="https://www.ge.ch/document/covid-19-situation-epidemiologique-geneve/telecharger"/>
  </r>
  <r>
    <x v="60"/>
    <m/>
    <x v="26"/>
    <m/>
    <n v="800"/>
    <n v="28"/>
    <m/>
    <m/>
    <m/>
    <n v="44"/>
    <s v="https://www.gr.ch/DE/institutionen/verwaltung/djsg/ga/coronavirus/info/Seiten/Start.aspx"/>
  </r>
  <r>
    <x v="60"/>
    <m/>
    <x v="3"/>
    <m/>
    <n v="196"/>
    <n v="12"/>
    <n v="4"/>
    <m/>
    <m/>
    <n v="6"/>
    <s v="https://www.jura.ch/Htdocs/Files/v/34292.xlsx/Departements/CHA/SIC/Carrousel/Coronavirus/Cornavirus/Chiffres/donnees_30_04.xlsx?download=1"/>
  </r>
  <r>
    <x v="60"/>
    <m/>
    <x v="13"/>
    <m/>
    <n v="667"/>
    <n v="35"/>
    <n v="4"/>
    <n v="3"/>
    <m/>
    <n v="71"/>
    <s v="https://www.ne.ch/autorites/DFS/SCSP/medecin-cantonal/maladies-vaccinations/Documents/Covid-19-Statistiques/COVID19_PublicationInternet.xlsx"/>
  </r>
  <r>
    <x v="60"/>
    <m/>
    <x v="20"/>
    <m/>
    <n v="108"/>
    <n v="3"/>
    <n v="0"/>
    <m/>
    <m/>
    <n v="3"/>
    <s v="http://www.nw.ch/coronastatistik"/>
  </r>
  <r>
    <x v="60"/>
    <m/>
    <x v="14"/>
    <m/>
    <n v="753"/>
    <m/>
    <m/>
    <m/>
    <m/>
    <n v="31"/>
    <s v="https://www.sg.ch/tools/informationen-coronavirus.html"/>
  </r>
  <r>
    <x v="60"/>
    <m/>
    <x v="25"/>
    <m/>
    <n v="360"/>
    <n v="23"/>
    <n v="8"/>
    <m/>
    <m/>
    <n v="14"/>
    <s v="https://www.tg.ch/news/fachdossier-coronavirus.html/10552"/>
  </r>
  <r>
    <x v="60"/>
    <m/>
    <x v="8"/>
    <m/>
    <n v="5216"/>
    <n v="167"/>
    <n v="35"/>
    <m/>
    <m/>
    <n v="363"/>
    <s v="https://www.vd.ch/toutes-les-actualites/hotline-et-informations-sur-le-coronavirus/point-de-situation-statistique-dans-le-canton-de-vaud/"/>
  </r>
  <r>
    <x v="60"/>
    <m/>
    <x v="9"/>
    <m/>
    <n v="1835"/>
    <n v="68"/>
    <n v="14"/>
    <n v="10"/>
    <n v="218"/>
    <n v="129"/>
    <s v="https://www.vs.ch/documents/6756452/7008787/2020%2004%2029%20Sit%20Epid%20-%20%C3%89tat%20Stand"/>
  </r>
  <r>
    <x v="60"/>
    <n v="0"/>
    <x v="18"/>
    <m/>
    <n v="379"/>
    <n v="13"/>
    <m/>
    <m/>
    <m/>
    <n v="14"/>
    <s v="https://corona.so.ch/index.php?id=27979"/>
  </r>
  <r>
    <x v="60"/>
    <n v="6.9444444444444447E-4"/>
    <x v="15"/>
    <m/>
    <n v="287"/>
    <m/>
    <m/>
    <m/>
    <n v="215"/>
    <n v="17"/>
    <s v="https://www.sz.ch/public/upload/assets/46403/COVID-19_Fallzahlen_Kanton_Schwyz.xlsx"/>
  </r>
  <r>
    <x v="60"/>
    <n v="0.33333333333333331"/>
    <x v="6"/>
    <m/>
    <n v="1708"/>
    <n v="61"/>
    <n v="11"/>
    <n v="10"/>
    <m/>
    <n v="83"/>
    <s v="https://www.besondere-lage.sites.be.ch/besondere-lage_sites/de/index/corona/index.html"/>
  </r>
  <r>
    <x v="60"/>
    <n v="0.33333333333333331"/>
    <x v="1"/>
    <m/>
    <n v="3142"/>
    <n v="198"/>
    <n v="40"/>
    <n v="30"/>
    <n v="698"/>
    <n v="304"/>
    <s v="https://www4.ti.ch/area-media/comunicati/dettaglio-comunicato/?NEWS_ID=187687&amp;tx_tichareamedia_comunicazioni%5Baction%5D=show&amp;tx_tichareamedia_comunicazioni%5Bcontroller%5D=Comunicazioni&amp;cHash=4113a890fda2606d774861e2b936b052"/>
  </r>
  <r>
    <x v="60"/>
    <n v="0.33333333333333331"/>
    <x v="11"/>
    <m/>
    <n v="181"/>
    <n v="6"/>
    <n v="3"/>
    <m/>
    <n v="133"/>
    <n v="8"/>
    <s v="https://www.zg.ch/behoerden/gesundheitsdirektion/statistikfachstelle/themen/gesundheit/corona"/>
  </r>
  <r>
    <x v="60"/>
    <n v="0.39583333333333331"/>
    <x v="5"/>
    <m/>
    <n v="938"/>
    <m/>
    <m/>
    <m/>
    <m/>
    <n v="46"/>
    <s v="https://www.gd.bs.ch//nm/2020-tagesbulletin-coronavirus-941-bestaetigte-faelle-im-kanton-basel-stadt-gd.html"/>
  </r>
  <r>
    <x v="60"/>
    <n v="0.39583333333333331"/>
    <x v="21"/>
    <m/>
    <n v="71"/>
    <n v="6"/>
    <n v="1"/>
    <m/>
    <m/>
    <n v="5"/>
    <s v="https://sh.ch/CMS/get/file/c1688ab0-1c33-488a-8c2b-85b3bde7fe77"/>
  </r>
  <r>
    <x v="60"/>
    <n v="0.45833333333333331"/>
    <x v="24"/>
    <m/>
    <n v="25"/>
    <m/>
    <m/>
    <m/>
    <m/>
    <m/>
    <s v="https://www.ai.ch/themen/gesundheit-alter-und-soziales/gesundheitsfoerderung-und-praevention/uebertragbare-krankheiten/coronavirus"/>
  </r>
  <r>
    <x v="60"/>
    <n v="0.5"/>
    <x v="16"/>
    <m/>
    <n v="667"/>
    <n v="32"/>
    <n v="8"/>
    <m/>
    <m/>
    <n v="16"/>
    <s v="https://gesundheit.lu.ch/themen/Humanmedizin/Infektionskrankheiten/Coronavirus"/>
  </r>
  <r>
    <x v="60"/>
    <n v="0.5"/>
    <x v="22"/>
    <m/>
    <n v="78"/>
    <n v="3"/>
    <m/>
    <m/>
    <n v="69"/>
    <n v="5"/>
    <s v="https://www.ur.ch/themen/2962"/>
  </r>
  <r>
    <x v="60"/>
    <n v="0.54166666666666663"/>
    <x v="19"/>
    <m/>
    <n v="120"/>
    <n v="3"/>
    <m/>
    <m/>
    <m/>
    <n v="7"/>
    <s v="https://www.gl.ch/public/upload/assets/27992/COVID-19_Fallzahlen_Kanton_Glarus.xlsx"/>
  </r>
  <r>
    <x v="60"/>
    <n v="0.60416666666666663"/>
    <x v="4"/>
    <m/>
    <n v="3397"/>
    <n v="77"/>
    <m/>
    <n v="38"/>
    <m/>
    <n v="115"/>
    <s v="https://gd.zh.ch/internet/gesundheitsdirektion/de/themen/coronavirus.html"/>
  </r>
  <r>
    <x v="61"/>
    <m/>
    <x v="7"/>
    <m/>
    <n v="816"/>
    <n v="21"/>
    <n v="0"/>
    <n v="0"/>
    <n v="724"/>
    <n v="30"/>
    <s v="https://www.baselland.ch/politik-und-behorden/direktionen/volkswirtschafts-und-gesundheitsdirektion/amt-fur-gesundheit/medizinische-dienste/kantonsarztlicher-dienst/aktuelles/covid-19-faelle-kanton-basel-landschaft"/>
  </r>
  <r>
    <x v="61"/>
    <m/>
    <x v="2"/>
    <m/>
    <n v="82"/>
    <m/>
    <m/>
    <m/>
    <m/>
    <n v="1"/>
    <s v="https://www.regierung.li/de/mitteilungen/223428/?typ=news"/>
  </r>
  <r>
    <x v="61"/>
    <m/>
    <x v="12"/>
    <m/>
    <n v="1033"/>
    <n v="54"/>
    <n v="5"/>
    <m/>
    <n v="120"/>
    <n v="77"/>
    <s v="https://www.fr.ch/sites/default/files/2020-05/statistiques_situation_FR_0105.xlsx"/>
  </r>
  <r>
    <x v="61"/>
    <m/>
    <x v="0"/>
    <n v="24347"/>
    <n v="4760"/>
    <n v="271"/>
    <n v="25"/>
    <n v="24"/>
    <n v="610"/>
    <n v="241"/>
    <s v="https://www.ge.ch/document/covid-19-situation-epidemiologique-geneve/telecharger"/>
  </r>
  <r>
    <x v="61"/>
    <m/>
    <x v="26"/>
    <m/>
    <n v="802"/>
    <n v="28"/>
    <m/>
    <m/>
    <m/>
    <n v="44"/>
    <s v="https://www.gr.ch/DE/institutionen/verwaltung/djsg/ga/coronavirus/info/Seiten/Start.aspx"/>
  </r>
  <r>
    <x v="61"/>
    <m/>
    <x v="3"/>
    <m/>
    <n v="196"/>
    <n v="12"/>
    <n v="4"/>
    <m/>
    <m/>
    <n v="6"/>
    <s v="https://www.jura.ch/Htdocs/Files/v/34292.xlsx/Departements/CHA/SIC/Carrousel/Coronavirus/Cornavirus/Chiffres/donnees_30_04.xlsx?download=1"/>
  </r>
  <r>
    <x v="61"/>
    <m/>
    <x v="13"/>
    <m/>
    <n v="668"/>
    <n v="32"/>
    <n v="3"/>
    <n v="3"/>
    <m/>
    <n v="73"/>
    <s v="https://www.ne.ch/autorites/DFS/SCSP/medecin-cantonal/maladies-vaccinations/Documents/Covid-19-Statistiques/COVID19_PublicationInternet.xlsx"/>
  </r>
  <r>
    <x v="61"/>
    <m/>
    <x v="20"/>
    <m/>
    <n v="110"/>
    <n v="3"/>
    <n v="0"/>
    <m/>
    <m/>
    <n v="3"/>
    <s v="http://www.nw.ch/coronastatistik"/>
  </r>
  <r>
    <x v="61"/>
    <m/>
    <x v="14"/>
    <m/>
    <n v="761"/>
    <n v="38"/>
    <n v="4"/>
    <m/>
    <n v="176"/>
    <n v="31"/>
    <s v="https://www.sg.ch/tools/informationen-coronavirus.html"/>
  </r>
  <r>
    <x v="61"/>
    <m/>
    <x v="25"/>
    <m/>
    <n v="361"/>
    <n v="21"/>
    <n v="8"/>
    <m/>
    <m/>
    <n v="16"/>
    <s v="https://www.tg.ch/news/fachdossier-coronavirus.html/10552"/>
  </r>
  <r>
    <x v="61"/>
    <m/>
    <x v="8"/>
    <m/>
    <n v="5228"/>
    <n v="175"/>
    <n v="35"/>
    <m/>
    <m/>
    <n v="366"/>
    <s v="https://www.vd.ch/toutes-les-actualites/hotline-et-informations-sur-le-coronavirus/point-de-situation-statistique-dans-le-canton-de-vaud/"/>
  </r>
  <r>
    <x v="61"/>
    <m/>
    <x v="9"/>
    <m/>
    <n v="1837"/>
    <n v="70"/>
    <n v="15"/>
    <n v="9"/>
    <n v="218"/>
    <n v="131"/>
    <s v="https://www.vs.ch/documents/6756452/7008787/2020%2004%2029%20Sit%20Epid%20-%20%C3%89tat%20Stand"/>
  </r>
  <r>
    <x v="61"/>
    <n v="0"/>
    <x v="18"/>
    <m/>
    <n v="380"/>
    <n v="12"/>
    <m/>
    <m/>
    <m/>
    <n v="15"/>
    <s v="https://corona.so.ch/index.php?id=27979"/>
  </r>
  <r>
    <x v="61"/>
    <n v="6.9444444444444447E-4"/>
    <x v="15"/>
    <m/>
    <n v="293"/>
    <m/>
    <m/>
    <m/>
    <n v="216"/>
    <n v="18"/>
    <s v="https://www.sz.ch/public/upload/assets/46403/COVID-19_Fallzahlen_Kanton_Schwyz.xlsx"/>
  </r>
  <r>
    <x v="61"/>
    <n v="0.33333333333333331"/>
    <x v="6"/>
    <m/>
    <n v="1714"/>
    <n v="54"/>
    <n v="9"/>
    <n v="9"/>
    <m/>
    <n v="83"/>
    <s v="https://www.besondere-lage.sites.be.ch/besondere-lage_sites/de/index/corona/index.html"/>
  </r>
  <r>
    <x v="61"/>
    <n v="0.33333333333333331"/>
    <x v="1"/>
    <m/>
    <n v="3161"/>
    <n v="192"/>
    <n v="37"/>
    <n v="26"/>
    <n v="704"/>
    <n v="306"/>
    <s v="https://www4.ti.ch/area-media/comunicati/dettaglio-comunicato/?NEWS_ID=187688&amp;tx_tichareamedia_comunicazioni%5Baction%5D=show&amp;tx_tichareamedia_comunicazioni%5Bcontroller%5D=Comunicazioni&amp;cHash=88b9dbc8a11bbaf69e33668cf73a2501"/>
  </r>
  <r>
    <x v="61"/>
    <n v="0.33333333333333331"/>
    <x v="11"/>
    <m/>
    <n v="181"/>
    <n v="6"/>
    <n v="3"/>
    <m/>
    <n v="133"/>
    <n v="8"/>
    <s v="https://www.zg.ch/behoerden/gesundheitsdirektion/statistikfachstelle/themen/gesundheit/corona"/>
  </r>
  <r>
    <x v="61"/>
    <n v="0.39583333333333331"/>
    <x v="5"/>
    <m/>
    <n v="940"/>
    <m/>
    <m/>
    <m/>
    <m/>
    <n v="46"/>
    <s v="https://www.gd.bs.ch//nm/2020-tagesbulletin-coronavirus-941-bestaetigte-faelle-im-kanton-basel-stadt-gd.html"/>
  </r>
  <r>
    <x v="61"/>
    <n v="0.39583333333333331"/>
    <x v="21"/>
    <m/>
    <n v="72"/>
    <n v="9"/>
    <n v="2"/>
    <m/>
    <m/>
    <n v="5"/>
    <s v="https://sh.ch/CMS/get/file/c1688ab0-1c33-488a-8c2b-85b3bde7fe77"/>
  </r>
  <r>
    <x v="61"/>
    <n v="0.5"/>
    <x v="16"/>
    <m/>
    <n v="670"/>
    <n v="26"/>
    <n v="7"/>
    <m/>
    <m/>
    <n v="16"/>
    <s v="https://gesundheit.lu.ch/themen/Humanmedizin/Infektionskrankheiten/Coronavirus"/>
  </r>
  <r>
    <x v="61"/>
    <n v="0.5"/>
    <x v="22"/>
    <m/>
    <n v="80"/>
    <n v="3"/>
    <m/>
    <m/>
    <n v="69"/>
    <n v="5"/>
    <s v="https://www.ur.ch/themen/2962"/>
  </r>
  <r>
    <x v="61"/>
    <n v="0.54166666666666663"/>
    <x v="19"/>
    <m/>
    <n v="120"/>
    <n v="3"/>
    <m/>
    <m/>
    <m/>
    <n v="7"/>
    <s v="https://www.gl.ch/public/upload/assets/27992/COVID-19_Fallzahlen_Kanton_Glarus.xlsx"/>
  </r>
  <r>
    <x v="61"/>
    <n v="0.60416666666666663"/>
    <x v="4"/>
    <m/>
    <n v="3400"/>
    <n v="75"/>
    <m/>
    <n v="26"/>
    <m/>
    <n v="115"/>
    <s v="https://gd.zh.ch/internet/gesundheitsdirektion/de/themen/coronavirus.html"/>
  </r>
  <r>
    <x v="62"/>
    <m/>
    <x v="7"/>
    <m/>
    <n v="816"/>
    <n v="17"/>
    <n v="1"/>
    <n v="0"/>
    <n v="738"/>
    <n v="30"/>
    <s v="https://www.baselland.ch/politik-und-behorden/direktionen/volkswirtschafts-und-gesundheitsdirektion/amt-fur-gesundheit/medizinische-dienste/kantonsarztlicher-dienst/aktuelles/covid-19-faelle-kanton-basel-landschaft"/>
  </r>
  <r>
    <x v="62"/>
    <m/>
    <x v="2"/>
    <m/>
    <n v="82"/>
    <m/>
    <m/>
    <m/>
    <m/>
    <n v="1"/>
    <s v="https://www.regierung.li/de/mitteilungen/223429/?typ=content&amp;nid=11076"/>
  </r>
  <r>
    <x v="62"/>
    <m/>
    <x v="12"/>
    <m/>
    <n v="1040"/>
    <n v="55"/>
    <n v="5"/>
    <m/>
    <n v="120"/>
    <n v="78"/>
    <s v="https://www.fr.ch/sites/default/files/2020-05/statistiques_situation_FR_0105.xlsx"/>
  </r>
  <r>
    <x v="62"/>
    <m/>
    <x v="0"/>
    <n v="24620"/>
    <n v="4769"/>
    <n v="270"/>
    <n v="26"/>
    <n v="24"/>
    <n v="610"/>
    <n v="243"/>
    <s v="https://www.ge.ch/document/covid-19-situation-epidemiologique-geneve/telecharger"/>
  </r>
  <r>
    <x v="62"/>
    <m/>
    <x v="26"/>
    <m/>
    <n v="807"/>
    <n v="29"/>
    <m/>
    <m/>
    <m/>
    <n v="45"/>
    <s v="https://www.gr.ch/DE/institutionen/verwaltung/djsg/ga/coronavirus/info/Seiten/Start.aspx"/>
  </r>
  <r>
    <x v="62"/>
    <m/>
    <x v="3"/>
    <m/>
    <n v="196"/>
    <n v="10"/>
    <n v="4"/>
    <m/>
    <m/>
    <n v="7"/>
    <s v="https://www.jura.ch/Htdocs/Files/v/34292.xlsx/Departements/CHA/SIC/Carrousel/Coronavirus/Cornavirus/Chiffres/donnees_30_04.xlsx?download=1"/>
  </r>
  <r>
    <x v="62"/>
    <m/>
    <x v="13"/>
    <m/>
    <n v="673"/>
    <n v="28"/>
    <n v="3"/>
    <n v="3"/>
    <m/>
    <n v="73"/>
    <s v="https://www.ne.ch/autorites/DFS/SCSP/medecin-cantonal/maladies-vaccinations/Documents/Covid-19-Statistiques/COVID19_PublicationInternet.xlsx"/>
  </r>
  <r>
    <x v="62"/>
    <m/>
    <x v="20"/>
    <m/>
    <n v="110"/>
    <n v="2"/>
    <n v="0"/>
    <m/>
    <m/>
    <n v="3"/>
    <s v="http://www.nw.ch/coronastatistik"/>
  </r>
  <r>
    <x v="62"/>
    <m/>
    <x v="14"/>
    <m/>
    <n v="767"/>
    <n v="39"/>
    <n v="2"/>
    <m/>
    <n v="176"/>
    <n v="31"/>
    <s v="https://www.sg.ch/tools/informationen-coronavirus.html"/>
  </r>
  <r>
    <x v="62"/>
    <m/>
    <x v="25"/>
    <m/>
    <n v="361"/>
    <n v="21"/>
    <n v="8"/>
    <m/>
    <m/>
    <n v="17"/>
    <s v="https://www.tg.ch/news/fachdossier-coronavirus.html/10552"/>
  </r>
  <r>
    <x v="62"/>
    <m/>
    <x v="8"/>
    <m/>
    <n v="5252"/>
    <n v="166"/>
    <n v="33"/>
    <m/>
    <m/>
    <n v="370"/>
    <s v="https://www.vd.ch/toutes-les-actualites/hotline-et-informations-sur-le-coronavirus/point-de-situation-statistique-dans-le-canton-de-vaud/"/>
  </r>
  <r>
    <x v="62"/>
    <m/>
    <x v="9"/>
    <m/>
    <n v="1850"/>
    <n v="60"/>
    <n v="14"/>
    <n v="10"/>
    <n v="220"/>
    <n v="132"/>
    <s v="https://www.vs.ch/documents/6756452/7008787/2020%2004%2029%20Sit%20Epid%20-%20%C3%89tat%20Stand"/>
  </r>
  <r>
    <x v="62"/>
    <n v="0"/>
    <x v="18"/>
    <m/>
    <n v="382"/>
    <n v="13"/>
    <m/>
    <m/>
    <m/>
    <n v="15"/>
    <s v="https://corona.so.ch/index.php?id=27979"/>
  </r>
  <r>
    <x v="62"/>
    <n v="0.33333333333333331"/>
    <x v="6"/>
    <m/>
    <n v="1722"/>
    <n v="54"/>
    <n v="10"/>
    <n v="9"/>
    <m/>
    <n v="83"/>
    <s v="https://www.besondere-lage.sites.be.ch/besondere-lage_sites/de/index/corona/index.html"/>
  </r>
  <r>
    <x v="62"/>
    <n v="0.33333333333333331"/>
    <x v="1"/>
    <m/>
    <n v="3169"/>
    <n v="188"/>
    <n v="34"/>
    <n v="25"/>
    <n v="709"/>
    <n v="311"/>
    <s v="https://www4.ti.ch/area-media/comunicati/dettaglio-comunicato/?NEWS_ID=187690&amp;tx_tichareamedia_comunicazioni%5Baction%5D=show&amp;tx_tichareamedia_comunicazioni%5Bcontroller%5D=Comunicazioni&amp;cHash=b776cbdac6ff3c231bf4c3da4ce22b7f"/>
  </r>
  <r>
    <x v="62"/>
    <n v="0.33333333333333331"/>
    <x v="11"/>
    <m/>
    <n v="185"/>
    <n v="7"/>
    <n v="3"/>
    <m/>
    <n v="134"/>
    <n v="8"/>
    <s v="https://www.zg.ch/behoerden/gesundheitsdirektion/statistikfachstelle/themen/gesundheit/corona"/>
  </r>
  <r>
    <x v="62"/>
    <n v="0.39583333333333331"/>
    <x v="21"/>
    <m/>
    <n v="73"/>
    <n v="12"/>
    <n v="3"/>
    <m/>
    <m/>
    <n v="5"/>
    <s v="https://sh.ch/CMS/get/file/c1688ab0-1c33-488a-8c2b-85b3bde7fe77"/>
  </r>
  <r>
    <x v="62"/>
    <n v="0.41666666666666669"/>
    <x v="15"/>
    <m/>
    <n v="293"/>
    <m/>
    <m/>
    <m/>
    <n v="216"/>
    <n v="18"/>
    <s v="https://www.sz.ch/public/upload/assets/46403/COVID-19_Fallzahlen_Kanton_Schwyz.xlsx"/>
  </r>
  <r>
    <x v="62"/>
    <n v="0.42708333333333331"/>
    <x v="17"/>
    <m/>
    <n v="94"/>
    <n v="2"/>
    <n v="2"/>
    <m/>
    <m/>
    <n v="3"/>
    <s v="https://www.ar.ch/verwaltung/departement-gesundheit-und-soziales/amt-fuer-gesundheit/informationsseite-coronavirus/"/>
  </r>
  <r>
    <x v="62"/>
    <n v="0.4375"/>
    <x v="5"/>
    <m/>
    <n v="941"/>
    <m/>
    <m/>
    <m/>
    <m/>
    <n v="46"/>
    <s v="https://www.gd.bs.ch//nm/2020-tagesbulletin-coronavirus-941-bestaetigte-faelle-im-kanton-basel-stadt-gd.html"/>
  </r>
  <r>
    <x v="62"/>
    <n v="0.45833333333333331"/>
    <x v="24"/>
    <m/>
    <n v="25"/>
    <m/>
    <m/>
    <m/>
    <m/>
    <m/>
    <s v="https://www.ai.ch/themen/gesundheit-alter-und-soziales/gesundheitsfoerderung-und-praevention/uebertragbare-krankheiten/coronavirus"/>
  </r>
  <r>
    <x v="62"/>
    <n v="0.5"/>
    <x v="16"/>
    <m/>
    <n v="674"/>
    <n v="32"/>
    <n v="7"/>
    <m/>
    <m/>
    <n v="16"/>
    <s v="https://gesundheit.lu.ch/themen/Humanmedizin/Infektionskrankheiten/Coronavirus"/>
  </r>
  <r>
    <x v="62"/>
    <n v="0.5625"/>
    <x v="19"/>
    <m/>
    <n v="121"/>
    <n v="3"/>
    <m/>
    <m/>
    <m/>
    <n v="7"/>
    <s v="https://www.gl.ch/public/upload/assets/27992/COVID-19_Fallzahlen_Kanton_Glarus.xlsx"/>
  </r>
  <r>
    <x v="62"/>
    <n v="0.58333333333333337"/>
    <x v="22"/>
    <m/>
    <n v="83"/>
    <n v="4"/>
    <m/>
    <m/>
    <n v="69"/>
    <n v="5"/>
    <s v="https://www.ur.ch/themen/2962"/>
  </r>
  <r>
    <x v="62"/>
    <n v="0.60416666666666663"/>
    <x v="4"/>
    <m/>
    <n v="3418"/>
    <n v="73"/>
    <m/>
    <n v="24"/>
    <m/>
    <n v="119"/>
    <s v="https://gd.zh.ch/internet/gesundheitsdirektion/de/themen/coronavirus.html"/>
  </r>
  <r>
    <x v="62"/>
    <n v="0.61458333333333337"/>
    <x v="10"/>
    <m/>
    <n v="1088"/>
    <n v="42"/>
    <n v="15"/>
    <n v="14"/>
    <n v="830"/>
    <n v="33"/>
    <s v="https://www.ag.ch/media/kanton_aargau/themen_1/coronavirus_1/lagebulletins/200427_KFS_Coronavirus_Lagebulletin_41.pdf"/>
  </r>
  <r>
    <x v="62"/>
    <n v="0.64583333333333337"/>
    <x v="23"/>
    <m/>
    <n v="75"/>
    <n v="0"/>
    <m/>
    <m/>
    <m/>
    <n v="0"/>
    <s v="https://www.ow.ch/de/verwaltung/dienstleistungen/?dienst_id=5962"/>
  </r>
  <r>
    <x v="63"/>
    <m/>
    <x v="7"/>
    <m/>
    <n v="818"/>
    <n v="15"/>
    <n v="1"/>
    <n v="0"/>
    <n v="747"/>
    <n v="30"/>
    <s v="https://www.baselland.ch/politik-und-behorden/direktionen/volkswirtschafts-und-gesundheitsdirektion/amt-fur-gesundheit/medizinische-dienste/kantonsarztlicher-dienst/aktuelles/covid-19-faelle-kanton-basel-landschaft"/>
  </r>
  <r>
    <x v="63"/>
    <m/>
    <x v="2"/>
    <m/>
    <n v="82"/>
    <m/>
    <m/>
    <m/>
    <m/>
    <n v="1"/>
    <s v="https://www.regierung.li/de/mitteilungen/223435/?typ=content&amp;nid=11076"/>
  </r>
  <r>
    <x v="63"/>
    <m/>
    <x v="12"/>
    <m/>
    <n v="1044"/>
    <n v="49"/>
    <n v="5"/>
    <m/>
    <n v="121"/>
    <n v="78"/>
    <s v="https://www.fr.ch/sites/default/files/2020-05/statistiques_situation_FR_0105.xlsx"/>
  </r>
  <r>
    <x v="63"/>
    <m/>
    <x v="0"/>
    <n v="25000"/>
    <n v="4785"/>
    <n v="277"/>
    <n v="23"/>
    <n v="21"/>
    <n v="617"/>
    <n v="244"/>
    <s v="https://www.ge.ch/document/covid-19-situation-epidemiologique-geneve/telecharger"/>
  </r>
  <r>
    <x v="63"/>
    <m/>
    <x v="26"/>
    <m/>
    <n v="809"/>
    <n v="27"/>
    <m/>
    <m/>
    <m/>
    <n v="45"/>
    <s v="https://www.gr.ch/DE/institutionen/verwaltung/djsg/ga/coronavirus/info/Seiten/Start.aspx"/>
  </r>
  <r>
    <x v="63"/>
    <m/>
    <x v="3"/>
    <m/>
    <n v="197"/>
    <n v="10"/>
    <n v="5"/>
    <m/>
    <m/>
    <n v="7"/>
    <s v="https://www.jura.ch/Htdocs/Files/v/34292.xlsx/Departements/CHA/SIC/Carrousel/Coronavirus/Cornavirus/Chiffres/donnees_30_04.xlsx?download=1"/>
  </r>
  <r>
    <x v="63"/>
    <m/>
    <x v="16"/>
    <m/>
    <n v="677"/>
    <n v="29"/>
    <n v="7"/>
    <m/>
    <m/>
    <n v="17"/>
    <s v="https://gesundheit.lu.ch/themen/Humanmedizin/Infektionskrankheiten/Coronavirus"/>
  </r>
  <r>
    <x v="63"/>
    <m/>
    <x v="13"/>
    <m/>
    <n v="676"/>
    <n v="26"/>
    <n v="3"/>
    <n v="3"/>
    <m/>
    <n v="74"/>
    <s v="https://www.ne.ch/autorites/DFS/SCSP/medecin-cantonal/maladies-vaccinations/Documents/Covid-19-Statistiques/COVID19_PublicationInternet.xlsx"/>
  </r>
  <r>
    <x v="63"/>
    <m/>
    <x v="20"/>
    <m/>
    <n v="111"/>
    <n v="2"/>
    <n v="0"/>
    <m/>
    <m/>
    <n v="3"/>
    <s v="http://www.nw.ch/coronastatistik"/>
  </r>
  <r>
    <x v="63"/>
    <m/>
    <x v="14"/>
    <m/>
    <n v="775"/>
    <n v="44"/>
    <n v="3"/>
    <m/>
    <n v="176"/>
    <n v="33"/>
    <s v="https://www.sg.ch/tools/informationen-coronavirus.html"/>
  </r>
  <r>
    <x v="63"/>
    <m/>
    <x v="25"/>
    <m/>
    <n v="362"/>
    <n v="21"/>
    <n v="8"/>
    <m/>
    <m/>
    <n v="17"/>
    <s v="https://www.tg.ch/news/fachdossier-coronavirus.html/10552"/>
  </r>
  <r>
    <x v="63"/>
    <m/>
    <x v="8"/>
    <m/>
    <n v="5273"/>
    <n v="156"/>
    <n v="32"/>
    <m/>
    <m/>
    <n v="375"/>
    <s v="https://www.vd.ch/toutes-les-actualites/hotline-et-informations-sur-le-coronavirus/point-de-situation-statistique-dans-le-canton-de-vaud/"/>
  </r>
  <r>
    <x v="63"/>
    <m/>
    <x v="9"/>
    <m/>
    <n v="1852"/>
    <n v="56"/>
    <n v="13"/>
    <n v="9"/>
    <n v="233"/>
    <n v="135"/>
    <s v="https://www.vs.ch/documents/6756452/7008787/2020%2004%2029%20Sit%20Epid%20-%20%C3%89tat%20Stand"/>
  </r>
  <r>
    <x v="63"/>
    <n v="0"/>
    <x v="18"/>
    <m/>
    <n v="383"/>
    <n v="13"/>
    <m/>
    <m/>
    <m/>
    <n v="15"/>
    <s v="https://corona.so.ch/index.php?id=27979"/>
  </r>
  <r>
    <x v="63"/>
    <n v="0.33333333333333331"/>
    <x v="6"/>
    <m/>
    <n v="1733"/>
    <n v="47"/>
    <n v="7"/>
    <n v="7"/>
    <m/>
    <n v="83"/>
    <s v="https://www.besondere-lage.sites.be.ch/besondere-lage_sites/de/index/corona/index.html"/>
  </r>
  <r>
    <x v="63"/>
    <n v="0.33333333333333331"/>
    <x v="1"/>
    <m/>
    <n v="3176"/>
    <n v="186"/>
    <n v="30"/>
    <n v="22"/>
    <n v="712"/>
    <n v="316"/>
    <s v="https://www4.ti.ch/area-media/comunicati/dettaglio-comunicato/?NEWS_ID=187695&amp;cHash=3d4572a26df56761bd6605aea6d65b84"/>
  </r>
  <r>
    <x v="63"/>
    <n v="0.33333333333333331"/>
    <x v="11"/>
    <m/>
    <n v="185"/>
    <n v="7"/>
    <n v="3"/>
    <m/>
    <n v="134"/>
    <n v="8"/>
    <s v="https://www.zg.ch/behoerden/gesundheitsdirektion/statistikfachstelle/themen/gesundheit/corona"/>
  </r>
  <r>
    <x v="63"/>
    <n v="0.39583333333333331"/>
    <x v="5"/>
    <m/>
    <n v="943"/>
    <n v="28"/>
    <n v="7"/>
    <m/>
    <m/>
    <n v="49"/>
    <s v="https://www.gd.bs.ch//nm/2020-tagesbulletin-coronavirus-943-bestaetigte-faelle-im-kanton-basel-stadt-gd.html"/>
  </r>
  <r>
    <x v="63"/>
    <n v="0.39583333333333331"/>
    <x v="21"/>
    <m/>
    <n v="74"/>
    <n v="10"/>
    <n v="2"/>
    <m/>
    <m/>
    <n v="6"/>
    <s v="https://sh.ch/CMS/get/file/c1688ab0-1c33-488a-8c2b-85b3bde7fe77"/>
  </r>
  <r>
    <x v="63"/>
    <n v="0.40277777777777779"/>
    <x v="17"/>
    <m/>
    <n v="94"/>
    <n v="4"/>
    <n v="2"/>
    <m/>
    <m/>
    <n v="3"/>
    <s v="https://www.ar.ch/verwaltung/departement-gesundheit-und-soziales/amt-fuer-gesundheit/informationsseite-coronavirus/"/>
  </r>
  <r>
    <x v="63"/>
    <n v="0.41666666666666669"/>
    <x v="15"/>
    <m/>
    <n v="295"/>
    <m/>
    <m/>
    <m/>
    <n v="223"/>
    <n v="20"/>
    <s v="https://www.sz.ch/public/upload/assets/46403/COVID-19_Fallzahlen_Kanton_Schwyz.xlsx"/>
  </r>
  <r>
    <x v="63"/>
    <n v="0.45833333333333331"/>
    <x v="24"/>
    <m/>
    <n v="25"/>
    <m/>
    <m/>
    <m/>
    <m/>
    <m/>
    <s v="https://www.ai.ch/themen/gesundheit-alter-und-soziales/gesundheitsfoerderung-und-praevention/uebertragbare-krankheiten/coronavirus"/>
  </r>
  <r>
    <x v="63"/>
    <n v="0.5"/>
    <x v="22"/>
    <m/>
    <n v="85"/>
    <n v="5"/>
    <m/>
    <m/>
    <n v="71"/>
    <n v="5"/>
    <s v="https://www.ur.ch/themen/2962"/>
  </r>
  <r>
    <x v="63"/>
    <n v="0.5625"/>
    <x v="19"/>
    <m/>
    <n v="121"/>
    <n v="3"/>
    <m/>
    <m/>
    <m/>
    <n v="8"/>
    <s v="https://www.gl.ch/public/upload/assets/27992/COVID-19_Fallzahlen_Kanton_Glarus.xlsx"/>
  </r>
  <r>
    <x v="63"/>
    <n v="0.60416666666666663"/>
    <x v="4"/>
    <m/>
    <n v="3433"/>
    <n v="84"/>
    <m/>
    <n v="19"/>
    <m/>
    <n v="119"/>
    <s v="https://gd.zh.ch/internet/gesundheitsdirektion/de/themen/coronavirus.html"/>
  </r>
  <r>
    <x v="63"/>
    <n v="0.61458333333333337"/>
    <x v="10"/>
    <m/>
    <n v="1093"/>
    <n v="39"/>
    <n v="12"/>
    <n v="11"/>
    <n v="840"/>
    <n v="33"/>
    <s v="https://www.ag.ch/media/kanton_aargau/themen_1/coronavirus_1/lagebulletins/200428_KFS_Coronavirus_Lagebulletin_42.pdf"/>
  </r>
  <r>
    <x v="63"/>
    <n v="0.63541666666666663"/>
    <x v="23"/>
    <m/>
    <n v="78"/>
    <n v="1"/>
    <m/>
    <m/>
    <m/>
    <n v="0"/>
    <s v="https://www.ow.ch/de/verwaltung/dienstleistungen/?dienst_id=5962"/>
  </r>
  <r>
    <x v="64"/>
    <m/>
    <x v="7"/>
    <m/>
    <n v="822"/>
    <n v="12"/>
    <n v="1"/>
    <n v="1"/>
    <n v="752"/>
    <n v="30"/>
    <s v="https://www.baselland.ch/politik-und-behorden/direktionen/volkswirtschafts-und-gesundheitsdirektion/amt-fur-gesundheit/medizinische-dienste/kantonsarztlicher-dienst/aktuelles/covid-19-faelle-kanton-basel-landschaft"/>
  </r>
  <r>
    <x v="64"/>
    <m/>
    <x v="2"/>
    <m/>
    <n v="82"/>
    <m/>
    <m/>
    <m/>
    <m/>
    <m/>
    <s v="https://www.regierung.li/media/attachments/228-corona-information-lockerungen-0429.pdf?t=637237803125206694"/>
  </r>
  <r>
    <x v="64"/>
    <m/>
    <x v="12"/>
    <m/>
    <n v="1057"/>
    <n v="48"/>
    <n v="7"/>
    <m/>
    <n v="123"/>
    <n v="78"/>
    <s v="https://www.fr.ch/sites/default/files/2020-05/statistiques_situation_FR_0105.xlsx"/>
  </r>
  <r>
    <x v="64"/>
    <m/>
    <x v="26"/>
    <m/>
    <n v="811"/>
    <n v="23"/>
    <m/>
    <m/>
    <m/>
    <n v="45"/>
    <s v="https://www.gr.ch/DE/institutionen/verwaltung/djsg/ga/coronavirus/info/Seiten/Start.aspx"/>
  </r>
  <r>
    <x v="64"/>
    <m/>
    <x v="3"/>
    <m/>
    <n v="197"/>
    <n v="9"/>
    <n v="5"/>
    <m/>
    <m/>
    <n v="7"/>
    <s v="https://www.jura.ch/Htdocs/Files/v/34292.xlsx/Departements/CHA/SIC/Carrousel/Coronavirus/Cornavirus/Chiffres/donnees_30_04.xlsx?download=1"/>
  </r>
  <r>
    <x v="64"/>
    <m/>
    <x v="16"/>
    <m/>
    <n v="687"/>
    <n v="31"/>
    <n v="8"/>
    <m/>
    <m/>
    <n v="17"/>
    <s v="https://gesundheit.lu.ch/themen/Humanmedizin/Infektionskrankheiten/Coronavirus"/>
  </r>
  <r>
    <x v="64"/>
    <m/>
    <x v="13"/>
    <m/>
    <n v="677"/>
    <n v="26"/>
    <n v="4"/>
    <n v="4"/>
    <m/>
    <m/>
    <s v="https://www.ne.ch/autorites/DFS/SCSP/medecin-cantonal/maladies-vaccinations/Documents/Covid-19-Statistiques/COVID19_PublicationInternet.xlsx"/>
  </r>
  <r>
    <x v="64"/>
    <m/>
    <x v="20"/>
    <m/>
    <n v="111"/>
    <n v="2"/>
    <n v="0"/>
    <m/>
    <m/>
    <n v="3"/>
    <s v="http://www.nw.ch/coronastatistik"/>
  </r>
  <r>
    <x v="64"/>
    <m/>
    <x v="14"/>
    <m/>
    <n v="776"/>
    <n v="44"/>
    <n v="10"/>
    <m/>
    <n v="176"/>
    <n v="33"/>
    <s v="https://www.sg.ch/tools/informationen-coronavirus.html"/>
  </r>
  <r>
    <x v="64"/>
    <m/>
    <x v="25"/>
    <m/>
    <n v="363"/>
    <n v="15"/>
    <n v="7"/>
    <m/>
    <m/>
    <n v="17"/>
    <s v="https://www.tg.ch/news/fachdossier-coronavirus.html/10552"/>
  </r>
  <r>
    <x v="64"/>
    <m/>
    <x v="8"/>
    <m/>
    <n v="5283"/>
    <n v="146"/>
    <n v="31"/>
    <m/>
    <m/>
    <n v="376"/>
    <s v="https://www.vd.ch/toutes-les-actualites/hotline-et-informations-sur-le-coronavirus/point-de-situation-statistique-dans-le-canton-de-vaud/"/>
  </r>
  <r>
    <x v="64"/>
    <m/>
    <x v="9"/>
    <m/>
    <n v="1853"/>
    <n v="56"/>
    <n v="11"/>
    <n v="9"/>
    <n v="237"/>
    <n v="136"/>
    <s v="https://www.vs.ch/documents/6756452/7008787/2020%2004%2029%20Sit%20Epid%20-%20%C3%89tat%20Stand"/>
  </r>
  <r>
    <x v="64"/>
    <n v="0"/>
    <x v="18"/>
    <m/>
    <n v="384"/>
    <n v="12"/>
    <m/>
    <m/>
    <m/>
    <n v="15"/>
    <s v="https://corona.so.ch/index.php?id=27979"/>
  </r>
  <r>
    <x v="64"/>
    <n v="0.33333333333333331"/>
    <x v="6"/>
    <m/>
    <n v="1741"/>
    <n v="44"/>
    <n v="10"/>
    <n v="10"/>
    <m/>
    <n v="83"/>
    <s v="https://www.besondere-lage.sites.be.ch/besondere-lage_sites/de/index/corona/index.html"/>
  </r>
  <r>
    <x v="64"/>
    <n v="0.33333333333333331"/>
    <x v="1"/>
    <m/>
    <n v="3191"/>
    <n v="172"/>
    <n v="29"/>
    <n v="21"/>
    <n v="728"/>
    <n v="318"/>
    <s v="https://www4.ti.ch/area-media/comunicati/dettaglio-comunicato/?NEWS_ID=187697&amp;tx_tichareamedia_comunicazioni%5Baction%5D=show&amp;tx_tichareamedia_comunicazioni%5Bcontroller%5D=Comunicazioni&amp;cHash=b8bc11fad760b3058475d2ff66e64b4b"/>
  </r>
  <r>
    <x v="64"/>
    <n v="0.33333333333333331"/>
    <x v="11"/>
    <m/>
    <n v="185"/>
    <n v="6"/>
    <n v="3"/>
    <m/>
    <n v="135"/>
    <n v="8"/>
    <s v="https://www.zg.ch/behoerden/gesundheitsdirektion/statistikfachstelle/themen/gesundheit/corona"/>
  </r>
  <r>
    <x v="64"/>
    <n v="0.39583333333333331"/>
    <x v="21"/>
    <m/>
    <n v="74"/>
    <n v="12"/>
    <n v="2"/>
    <m/>
    <m/>
    <n v="6"/>
    <s v="https://sh.ch/CMS/get/file/c1688ab0-1c33-488a-8c2b-85b3bde7fe77"/>
  </r>
  <r>
    <x v="64"/>
    <n v="0.41666666666666669"/>
    <x v="15"/>
    <m/>
    <n v="295"/>
    <m/>
    <m/>
    <m/>
    <n v="224"/>
    <n v="20"/>
    <s v="https://www.sz.ch/public/upload/assets/46403/COVID-19_Fallzahlen_Kanton_Schwyz.xlsx"/>
  </r>
  <r>
    <x v="64"/>
    <n v="0.43055555555555558"/>
    <x v="17"/>
    <m/>
    <n v="94"/>
    <n v="2"/>
    <n v="2"/>
    <m/>
    <m/>
    <n v="3"/>
    <s v="https://www.ar.ch/verwaltung/departement-gesundheit-und-soziales/amt-fuer-gesundheit/informationsseite-coronavirus/"/>
  </r>
  <r>
    <x v="64"/>
    <n v="0.4375"/>
    <x v="5"/>
    <m/>
    <n v="946"/>
    <n v="26"/>
    <n v="7"/>
    <m/>
    <n v="810"/>
    <n v="49"/>
    <s v="https://www.gd.bs.ch//nm/2020-tagesbulletin-coronavirus-946-bestaetigte-faelle-im-kanton-basel-stadt-gd.html"/>
  </r>
  <r>
    <x v="64"/>
    <n v="0.45833333333333331"/>
    <x v="24"/>
    <m/>
    <n v="25"/>
    <m/>
    <m/>
    <m/>
    <m/>
    <m/>
    <s v="https://www.ai.ch/themen/gesundheit-alter-und-soziales/gesundheitsfoerderung-und-praevention/uebertragbare-krankheiten/coronavirus"/>
  </r>
  <r>
    <x v="64"/>
    <n v="0.5"/>
    <x v="0"/>
    <m/>
    <m/>
    <n v="254"/>
    <n v="21"/>
    <n v="19"/>
    <n v="634"/>
    <m/>
    <s v="https://www.ge.ch/document/20094/telecharger"/>
  </r>
  <r>
    <x v="64"/>
    <n v="0.5625"/>
    <x v="19"/>
    <m/>
    <n v="122"/>
    <n v="3"/>
    <m/>
    <m/>
    <m/>
    <n v="9"/>
    <s v="https://www.gl.ch/public/upload/assets/27992/COVID-19_Fallzahlen_Kanton_Glarus.xlsx"/>
  </r>
  <r>
    <x v="64"/>
    <n v="0.58333333333333337"/>
    <x v="22"/>
    <m/>
    <n v="85"/>
    <n v="5"/>
    <m/>
    <m/>
    <n v="71"/>
    <n v="5"/>
    <s v="https://www.ur.ch/themen/2962"/>
  </r>
  <r>
    <x v="64"/>
    <n v="0.60416666666666663"/>
    <x v="4"/>
    <m/>
    <n v="3462"/>
    <n v="82"/>
    <m/>
    <n v="19"/>
    <m/>
    <n v="121"/>
    <s v="https://gd.zh.ch/internet/gesundheitsdirektion/de/themen/coronavirus.html"/>
  </r>
  <r>
    <x v="64"/>
    <n v="0.61458333333333337"/>
    <x v="10"/>
    <m/>
    <n v="1099"/>
    <n v="38"/>
    <n v="10"/>
    <n v="9"/>
    <n v="850"/>
    <n v="33"/>
    <s v="https://www.ag.ch/media/kanton_aargau/themen_1/coronavirus_1/lagebulletins/200429_KFS_Coronavirus_Lagebulletin_43.pdf"/>
  </r>
  <r>
    <x v="64"/>
    <n v="0.63541666666666663"/>
    <x v="23"/>
    <m/>
    <n v="78"/>
    <n v="2"/>
    <m/>
    <m/>
    <m/>
    <n v="0"/>
    <s v="https://www.ow.ch/de/verwaltung/dienstleistungen/?dienst_id=5962"/>
  </r>
  <r>
    <x v="65"/>
    <m/>
    <x v="7"/>
    <m/>
    <n v="824"/>
    <n v="9"/>
    <n v="1"/>
    <n v="1"/>
    <n v="756"/>
    <n v="30"/>
    <s v="https://www.baselland.ch/politik-und-behorden/direktionen/volkswirtschafts-und-gesundheitsdirektion/amt-fur-gesundheit/medizinische-dienste/kantonsarztlicher-dienst/aktuelles/covid-19-faelle-kanton-basel-landschaft"/>
  </r>
  <r>
    <x v="65"/>
    <m/>
    <x v="2"/>
    <m/>
    <n v="82"/>
    <m/>
    <m/>
    <m/>
    <m/>
    <m/>
    <s v="https://www.regierung.li/media/attachments/229-corona-massnahmen-0430.pdf?t=637238673125266621"/>
  </r>
  <r>
    <x v="65"/>
    <m/>
    <x v="12"/>
    <m/>
    <n v="1070"/>
    <n v="46"/>
    <n v="6"/>
    <m/>
    <n v="123"/>
    <n v="78"/>
    <s v="https://www.fr.ch/sites/default/files/2020-05/statistiques_situation_FR_0105.xlsx"/>
  </r>
  <r>
    <x v="65"/>
    <m/>
    <x v="26"/>
    <m/>
    <n v="813"/>
    <n v="21"/>
    <m/>
    <m/>
    <m/>
    <n v="45"/>
    <s v="https://www.gr.ch/DE/institutionen/verwaltung/djsg/ga/coronavirus/info/Seiten/Start.aspx"/>
  </r>
  <r>
    <x v="65"/>
    <m/>
    <x v="3"/>
    <m/>
    <n v="198"/>
    <n v="8"/>
    <n v="5"/>
    <m/>
    <m/>
    <n v="7"/>
    <s v="https://www.jura.ch/Htdocs/Files/v/34292.xlsx/Departements/CHA/SIC/Carrousel/Coronavirus/Cornavirus/Chiffres/donnees_30_04.xlsx?download=1"/>
  </r>
  <r>
    <x v="65"/>
    <m/>
    <x v="16"/>
    <m/>
    <n v="694"/>
    <n v="31"/>
    <n v="8"/>
    <m/>
    <m/>
    <n v="17"/>
    <s v="https://gesundheit.lu.ch/themen/Humanmedizin/Infektionskrankheiten/Coronavirus"/>
  </r>
  <r>
    <x v="65"/>
    <m/>
    <x v="13"/>
    <m/>
    <m/>
    <n v="25"/>
    <n v="5"/>
    <n v="4"/>
    <m/>
    <m/>
    <s v="https://www.ne.ch/autorites/DFS/SCSP/medecin-cantonal/maladies-vaccinations/Documents/Covid-19-Statistiques/COVID19_PublicationInternet.xlsx"/>
  </r>
  <r>
    <x v="65"/>
    <m/>
    <x v="20"/>
    <m/>
    <n v="113"/>
    <n v="1"/>
    <n v="0"/>
    <m/>
    <m/>
    <n v="3"/>
    <s v="http://www.nw.ch/coronastatistik"/>
  </r>
  <r>
    <x v="65"/>
    <m/>
    <x v="14"/>
    <m/>
    <n v="780"/>
    <n v="37"/>
    <n v="3"/>
    <m/>
    <n v="184"/>
    <n v="33"/>
    <s v="https://www.sg.ch/tools/informationen-coronavirus.html"/>
  </r>
  <r>
    <x v="65"/>
    <m/>
    <x v="25"/>
    <m/>
    <n v="365"/>
    <n v="14"/>
    <n v="7"/>
    <m/>
    <m/>
    <n v="17"/>
    <s v="https://www.tg.ch/news/fachdossier-coronavirus.html/10552"/>
  </r>
  <r>
    <x v="65"/>
    <m/>
    <x v="8"/>
    <m/>
    <n v="5284"/>
    <n v="142"/>
    <n v="27"/>
    <m/>
    <m/>
    <n v="377"/>
    <s v="https://www.vd.ch/toutes-les-actualites/hotline-et-informations-sur-le-coronavirus/point-de-situation-statistique-dans-le-canton-de-vaud/"/>
  </r>
  <r>
    <x v="65"/>
    <n v="0"/>
    <x v="18"/>
    <m/>
    <n v="388"/>
    <n v="12"/>
    <m/>
    <m/>
    <m/>
    <n v="15"/>
    <s v="https://corona.so.ch/index.php?id=27979"/>
  </r>
  <r>
    <x v="65"/>
    <n v="0.33333333333333331"/>
    <x v="6"/>
    <m/>
    <n v="1757"/>
    <n v="39"/>
    <n v="9"/>
    <n v="9"/>
    <m/>
    <n v="85"/>
    <s v="https://www.besondere-lage.sites.be.ch/besondere-lage_sites/de/index/corona/index.html"/>
  </r>
  <r>
    <x v="65"/>
    <n v="0.33333333333333331"/>
    <x v="1"/>
    <m/>
    <n v="3210"/>
    <n v="162"/>
    <n v="30"/>
    <n v="23"/>
    <n v="739"/>
    <n v="321"/>
    <s v="https://www4.ti.ch/area-media/comunicati/dettaglio-comunicato/?NEWS_ID=187705&amp;tx_tichareamedia_comunicazioni%5Baction%5D=show&amp;tx_tichareamedia_comunicazioni%5Bcontroller%5D=Comunicazioni&amp;cHash=784ddfcb642aacdda332f314cb6089b4"/>
  </r>
  <r>
    <x v="65"/>
    <n v="0.33333333333333331"/>
    <x v="11"/>
    <m/>
    <n v="189"/>
    <n v="6"/>
    <n v="3"/>
    <m/>
    <n v="135"/>
    <n v="8"/>
    <s v="https://www.zg.ch/behoerden/gesundheitsdirektion/statistikfachstelle/themen/gesundheit/corona"/>
  </r>
  <r>
    <x v="65"/>
    <n v="0.375"/>
    <x v="5"/>
    <m/>
    <n v="951"/>
    <n v="24"/>
    <n v="8"/>
    <m/>
    <n v="828"/>
    <n v="50"/>
    <s v="https://www.gd.bs.ch//nm/2020-tagesbulletin-coronavirus-951-bestaetigte-faelle-im-kanton-basel-stadt-gd.html"/>
  </r>
  <r>
    <x v="65"/>
    <n v="0.39583333333333331"/>
    <x v="21"/>
    <m/>
    <n v="75"/>
    <n v="8"/>
    <n v="2"/>
    <m/>
    <m/>
    <n v="6"/>
    <s v="https://sh.ch/CMS/get/file/c1688ab0-1c33-488a-8c2b-85b3bde7fe77"/>
  </r>
  <r>
    <x v="65"/>
    <n v="0.41666666666666669"/>
    <x v="15"/>
    <m/>
    <n v="302"/>
    <m/>
    <m/>
    <m/>
    <n v="239"/>
    <n v="20"/>
    <s v="https://www.sz.ch/public/upload/assets/46403/COVID-19_Fallzahlen_Kanton_Schwyz.xlsx"/>
  </r>
  <r>
    <x v="65"/>
    <n v="0.45833333333333331"/>
    <x v="24"/>
    <m/>
    <n v="25"/>
    <m/>
    <m/>
    <m/>
    <m/>
    <m/>
    <s v="https://www.ai.ch/themen/gesundheit-alter-und-soziales/gesundheitsfoerderung-und-praevention/uebertragbare-krankheiten/coronavirus"/>
  </r>
  <r>
    <x v="65"/>
    <n v="0.54166666666666663"/>
    <x v="19"/>
    <m/>
    <n v="122"/>
    <n v="2"/>
    <m/>
    <m/>
    <m/>
    <n v="10"/>
    <s v="https://www.gl.ch/public/upload/assets/27992/COVID-19_Fallzahlen_Kanton_Glarus.xlsx"/>
  </r>
  <r>
    <x v="65"/>
    <n v="0.5625"/>
    <x v="17"/>
    <m/>
    <n v="95"/>
    <n v="2"/>
    <n v="2"/>
    <m/>
    <m/>
    <n v="3"/>
    <s v="https://www.ar.ch/verwaltung/departement-gesundheit-und-soziales/amt-fuer-gesundheit/informationsseite-coronavirus/"/>
  </r>
  <r>
    <x v="65"/>
    <n v="0.60416666666666663"/>
    <x v="4"/>
    <m/>
    <n v="3473"/>
    <n v="61"/>
    <m/>
    <n v="15"/>
    <m/>
    <n v="122"/>
    <s v="https://gd.zh.ch/internet/gesundheitsdirektion/de/themen/coronavirus.html"/>
  </r>
  <r>
    <x v="65"/>
    <n v="0.61458333333333337"/>
    <x v="10"/>
    <m/>
    <n v="1108"/>
    <n v="33"/>
    <n v="9"/>
    <n v="8"/>
    <n v="870"/>
    <n v="33"/>
    <s v="https://www.ag.ch/media/kanton_aargau/themen_1/coronavirus_1/lagebulletins/200430_KFS_Coronavirus_Lagebulletin_44.pdf"/>
  </r>
  <r>
    <x v="65"/>
    <n v="0.625"/>
    <x v="9"/>
    <m/>
    <n v="1866"/>
    <n v="55"/>
    <n v="11"/>
    <n v="9"/>
    <n v="238"/>
    <n v="137"/>
    <s v="https://www.vs.ch/documents/6756452/7008787/2020%2004%2030%20Sit%20Epid%20-%20%C3%89tat%20Stand"/>
  </r>
  <r>
    <x v="65"/>
    <n v="0.66666666666666663"/>
    <x v="23"/>
    <m/>
    <n v="78"/>
    <n v="0"/>
    <m/>
    <m/>
    <m/>
    <n v="0"/>
    <s v="https://www.ow.ch/de/verwaltung/dienstleistungen/?dienst_id=5962"/>
  </r>
  <r>
    <x v="65"/>
    <n v="0.66666666666666663"/>
    <x v="22"/>
    <m/>
    <n v="86"/>
    <n v="4"/>
    <m/>
    <m/>
    <n v="71"/>
    <n v="5"/>
    <s v="https://www.ur.ch/themen/2962"/>
  </r>
  <r>
    <x v="66"/>
    <m/>
    <x v="12"/>
    <m/>
    <n v="1078"/>
    <n v="43"/>
    <n v="5"/>
    <m/>
    <n v="123"/>
    <n v="78"/>
    <s v="https://www.fr.ch/sites/default/files/2020-05/statistiques_situation_FR_0105.xlsx"/>
  </r>
  <r>
    <x v="66"/>
    <m/>
    <x v="14"/>
    <m/>
    <n v="788"/>
    <n v="36"/>
    <n v="3"/>
    <m/>
    <n v="187"/>
    <n v="33"/>
    <s v="https://www.sg.ch/tools/informationen-coronavirus.html"/>
  </r>
  <r>
    <x v="66"/>
    <m/>
    <x v="25"/>
    <m/>
    <n v="367"/>
    <n v="14"/>
    <n v="7"/>
    <m/>
    <m/>
    <n v="17"/>
    <s v="https://www.tg.ch/news/fachdossier-coronavirus.html/10552"/>
  </r>
  <r>
    <x v="66"/>
    <n v="0"/>
    <x v="18"/>
    <m/>
    <n v="390"/>
    <n v="12"/>
    <m/>
    <m/>
    <m/>
    <n v="15"/>
    <s v="https://corona.so.ch/index.php?id=27979"/>
  </r>
  <r>
    <x v="66"/>
    <n v="0.33333333333333331"/>
    <x v="6"/>
    <m/>
    <n v="1767"/>
    <n v="40"/>
    <n v="9"/>
    <n v="7"/>
    <m/>
    <n v="86"/>
    <s v="https://www.besondere-lage.sites.be.ch/besondere-lage_sites/de/index/corona/index.html"/>
  </r>
  <r>
    <x v="66"/>
    <n v="0.33333333333333331"/>
    <x v="1"/>
    <m/>
    <n v="3218"/>
    <n v="162"/>
    <n v="30"/>
    <n v="23"/>
    <n v="739"/>
    <n v="322"/>
    <s v="https://www4.ti.ch/area-media/comunicati/dettaglio-comunicato/?NEWS_ID=187705&amp;tx_tichareamedia_comunicazioni%5Baction%5D=show&amp;tx_tichareamedia_comunicazioni%5Bcontroller%5D=Comunicazioni&amp;cHash=784ddfcb642aacdda332f314cb6089b4"/>
  </r>
  <r>
    <x v="66"/>
    <n v="0.33333333333333331"/>
    <x v="11"/>
    <m/>
    <n v="189"/>
    <n v="4"/>
    <n v="1"/>
    <m/>
    <n v="136"/>
    <n v="8"/>
    <s v="https://www.zg.ch/behoerden/gesundheitsdirektion/statistikfachstelle/themen/gesundheit/corona"/>
  </r>
  <r>
    <x v="66"/>
    <n v="0.39583333333333331"/>
    <x v="21"/>
    <m/>
    <n v="75"/>
    <n v="7"/>
    <n v="2"/>
    <m/>
    <m/>
    <n v="6"/>
    <s v="https://sh.ch/CMS/get/file/c1688ab0-1c33-488a-8c2b-85b3bde7fe77"/>
  </r>
  <r>
    <x v="66"/>
    <n v="0.41666666666666669"/>
    <x v="15"/>
    <m/>
    <n v="303"/>
    <m/>
    <m/>
    <m/>
    <n v="242"/>
    <n v="21"/>
    <s v="https://www.sz.ch/public/upload/assets/46403/COVID-19_Fallzahlen_Kanton_Schwyz.xlsx"/>
  </r>
  <r>
    <x v="66"/>
    <n v="0.45833333333333331"/>
    <x v="24"/>
    <m/>
    <n v="25"/>
    <m/>
    <m/>
    <m/>
    <m/>
    <m/>
    <s v="https://www.ai.ch/themen/gesundheit-alter-und-soziales/gesundheitsfoerderung-und-praevention/uebertragbare-krankheiten/coronavirus"/>
  </r>
  <r>
    <x v="67"/>
    <m/>
    <x v="27"/>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
  <r>
    <d v="2020-01-05T00:00:00"/>
    <x v="0"/>
    <x v="0"/>
    <n v="139"/>
    <n v="173"/>
    <n v="207"/>
    <n v="146"/>
  </r>
  <r>
    <d v="2020-01-05T00:00:00"/>
    <x v="1"/>
    <x v="0"/>
    <n v="1161"/>
    <n v="1252"/>
    <n v="1343"/>
    <n v="1151"/>
  </r>
  <r>
    <d v="2020-01-12T00:00:00"/>
    <x v="0"/>
    <x v="1"/>
    <n v="138"/>
    <n v="172"/>
    <n v="206"/>
    <n v="163"/>
  </r>
  <r>
    <d v="2020-01-12T00:00:00"/>
    <x v="1"/>
    <x v="1"/>
    <n v="1166"/>
    <n v="1257"/>
    <n v="1348"/>
    <n v="1180"/>
  </r>
  <r>
    <d v="2020-01-19T00:00:00"/>
    <x v="0"/>
    <x v="2"/>
    <n v="138"/>
    <n v="172"/>
    <n v="206"/>
    <n v="181"/>
  </r>
  <r>
    <d v="2020-01-19T00:00:00"/>
    <x v="1"/>
    <x v="2"/>
    <n v="1171"/>
    <n v="1262"/>
    <n v="1354"/>
    <n v="1204"/>
  </r>
  <r>
    <d v="2020-01-26T00:00:00"/>
    <x v="0"/>
    <x v="3"/>
    <n v="138"/>
    <n v="172"/>
    <n v="205"/>
    <n v="176"/>
  </r>
  <r>
    <d v="2020-01-26T00:00:00"/>
    <x v="1"/>
    <x v="3"/>
    <n v="1176"/>
    <n v="1267"/>
    <n v="1359"/>
    <n v="1215"/>
  </r>
  <r>
    <d v="2020-02-02T00:00:00"/>
    <x v="0"/>
    <x v="4"/>
    <n v="137"/>
    <n v="171"/>
    <n v="205"/>
    <n v="159"/>
  </r>
  <r>
    <d v="2020-02-02T00:00:00"/>
    <x v="1"/>
    <x v="4"/>
    <n v="1180"/>
    <n v="1272"/>
    <n v="1364"/>
    <n v="1245"/>
  </r>
  <r>
    <d v="2020-02-09T00:00:00"/>
    <x v="0"/>
    <x v="5"/>
    <n v="137"/>
    <n v="171"/>
    <n v="204"/>
    <n v="182"/>
  </r>
  <r>
    <d v="2020-02-09T00:00:00"/>
    <x v="1"/>
    <x v="5"/>
    <n v="1185"/>
    <n v="1277"/>
    <n v="1369"/>
    <n v="1177"/>
  </r>
  <r>
    <d v="2020-02-16T00:00:00"/>
    <x v="0"/>
    <x v="6"/>
    <n v="137"/>
    <n v="170"/>
    <n v="204"/>
    <n v="161"/>
  </r>
  <r>
    <d v="2020-02-16T00:00:00"/>
    <x v="1"/>
    <x v="6"/>
    <n v="1187"/>
    <n v="1279"/>
    <n v="1371"/>
    <n v="1195"/>
  </r>
  <r>
    <d v="2020-02-23T00:00:00"/>
    <x v="0"/>
    <x v="7"/>
    <n v="136"/>
    <n v="170"/>
    <n v="204"/>
    <n v="177"/>
  </r>
  <r>
    <d v="2020-02-23T00:00:00"/>
    <x v="1"/>
    <x v="7"/>
    <n v="1179"/>
    <n v="1271"/>
    <n v="1363"/>
    <n v="1154"/>
  </r>
  <r>
    <d v="2020-03-01T00:00:00"/>
    <x v="0"/>
    <x v="8"/>
    <n v="136"/>
    <n v="170"/>
    <n v="203"/>
    <n v="166"/>
  </r>
  <r>
    <d v="2020-03-01T00:00:00"/>
    <x v="1"/>
    <x v="8"/>
    <n v="1172"/>
    <n v="1263"/>
    <n v="1355"/>
    <n v="1141"/>
  </r>
  <r>
    <d v="2020-03-08T00:00:00"/>
    <x v="0"/>
    <x v="9"/>
    <n v="135"/>
    <n v="169"/>
    <n v="202"/>
    <n v="159"/>
  </r>
  <r>
    <d v="2020-03-08T00:00:00"/>
    <x v="1"/>
    <x v="9"/>
    <n v="1153"/>
    <n v="1243"/>
    <n v="1334"/>
    <n v="1159"/>
  </r>
  <r>
    <d v="2020-03-15T00:00:00"/>
    <x v="0"/>
    <x v="10"/>
    <n v="135"/>
    <n v="168"/>
    <n v="201"/>
    <n v="146"/>
  </r>
  <r>
    <d v="2020-03-15T00:00:00"/>
    <x v="1"/>
    <x v="10"/>
    <n v="1134"/>
    <n v="1224"/>
    <n v="1314"/>
    <n v="1205"/>
  </r>
  <r>
    <d v="2020-03-22T00:00:00"/>
    <x v="0"/>
    <x v="11"/>
    <n v="134"/>
    <n v="167"/>
    <n v="200"/>
    <n v="173.9"/>
  </r>
  <r>
    <d v="2020-03-22T00:00:00"/>
    <x v="1"/>
    <x v="11"/>
    <n v="1110"/>
    <n v="1199"/>
    <n v="1289"/>
    <n v="1323.6"/>
  </r>
  <r>
    <d v="2020-03-29T00:00:00"/>
    <x v="0"/>
    <x v="12"/>
    <n v="132"/>
    <n v="166"/>
    <n v="199"/>
    <n v="204.9"/>
  </r>
  <r>
    <d v="2020-03-29T00:00:00"/>
    <x v="1"/>
    <x v="12"/>
    <n v="1086"/>
    <n v="1175"/>
    <n v="1263"/>
    <n v="1412.2"/>
  </r>
  <r>
    <d v="2020-04-05T00:00:00"/>
    <x v="0"/>
    <x v="13"/>
    <n v="131"/>
    <n v="165"/>
    <n v="198"/>
    <n v="180.2"/>
  </r>
  <r>
    <d v="2020-04-05T00:00:00"/>
    <x v="1"/>
    <x v="13"/>
    <n v="1065"/>
    <n v="1153"/>
    <n v="1240"/>
    <n v="1679.7"/>
  </r>
  <r>
    <d v="2020-04-12T00:00:00"/>
    <x v="0"/>
    <x v="14"/>
    <n v="130"/>
    <n v="163"/>
    <n v="196"/>
    <n v="179.3"/>
  </r>
  <r>
    <d v="2020-04-12T00:00:00"/>
    <x v="1"/>
    <x v="14"/>
    <n v="1046"/>
    <n v="1133"/>
    <n v="1219"/>
    <n v="1473.8"/>
  </r>
  <r>
    <d v="2020-04-19T00:00:00"/>
    <x v="0"/>
    <x v="15"/>
    <n v="129"/>
    <n v="162"/>
    <n v="195"/>
    <n v="187.7"/>
  </r>
  <r>
    <d v="2020-04-19T00:00:00"/>
    <x v="1"/>
    <x v="15"/>
    <n v="1026"/>
    <n v="1112"/>
    <n v="1198"/>
    <n v="1438.2"/>
  </r>
  <r>
    <d v="2020-04-26T00:00:00"/>
    <x v="0"/>
    <x v="16"/>
    <n v="128"/>
    <n v="161"/>
    <n v="194"/>
    <m/>
  </r>
  <r>
    <d v="2020-04-26T00:00:00"/>
    <x v="1"/>
    <x v="16"/>
    <n v="1010"/>
    <n v="1095"/>
    <n v="1180"/>
    <m/>
  </r>
  <r>
    <d v="2020-05-03T00:00:00"/>
    <x v="0"/>
    <x v="17"/>
    <n v="127"/>
    <n v="160"/>
    <n v="193"/>
    <m/>
  </r>
  <r>
    <d v="2020-05-03T00:00:00"/>
    <x v="1"/>
    <x v="17"/>
    <n v="994"/>
    <n v="1078"/>
    <n v="1163"/>
    <m/>
  </r>
  <r>
    <d v="2020-05-10T00:00:00"/>
    <x v="0"/>
    <x v="18"/>
    <n v="127"/>
    <n v="159"/>
    <n v="192"/>
    <m/>
  </r>
  <r>
    <d v="2020-05-10T00:00:00"/>
    <x v="1"/>
    <x v="18"/>
    <n v="981"/>
    <n v="1065"/>
    <n v="1149"/>
    <m/>
  </r>
  <r>
    <d v="2020-05-17T00:00:00"/>
    <x v="0"/>
    <x v="19"/>
    <n v="126"/>
    <n v="158"/>
    <n v="191"/>
    <m/>
  </r>
  <r>
    <d v="2020-05-17T00:00:00"/>
    <x v="1"/>
    <x v="19"/>
    <n v="969"/>
    <n v="1052"/>
    <n v="1136"/>
    <m/>
  </r>
  <r>
    <d v="2020-05-24T00:00:00"/>
    <x v="0"/>
    <x v="20"/>
    <n v="125"/>
    <n v="157"/>
    <n v="190"/>
    <m/>
  </r>
  <r>
    <d v="2020-05-24T00:00:00"/>
    <x v="1"/>
    <x v="20"/>
    <n v="959"/>
    <n v="1042"/>
    <n v="1126"/>
    <m/>
  </r>
  <r>
    <d v="2020-05-31T00:00:00"/>
    <x v="0"/>
    <x v="21"/>
    <n v="125"/>
    <n v="157"/>
    <n v="189"/>
    <m/>
  </r>
  <r>
    <d v="2020-05-31T00:00:00"/>
    <x v="1"/>
    <x v="21"/>
    <n v="956"/>
    <n v="1039"/>
    <n v="1122"/>
    <m/>
  </r>
  <r>
    <d v="2020-06-07T00:00:00"/>
    <x v="0"/>
    <x v="22"/>
    <n v="125"/>
    <n v="157"/>
    <n v="189"/>
    <m/>
  </r>
  <r>
    <d v="2020-06-07T00:00:00"/>
    <x v="1"/>
    <x v="22"/>
    <n v="952"/>
    <n v="1035"/>
    <n v="1118"/>
    <m/>
  </r>
  <r>
    <d v="2020-06-14T00:00:00"/>
    <x v="0"/>
    <x v="23"/>
    <n v="125"/>
    <n v="157"/>
    <n v="189"/>
    <m/>
  </r>
  <r>
    <d v="2020-06-14T00:00:00"/>
    <x v="1"/>
    <x v="23"/>
    <n v="950"/>
    <n v="1033"/>
    <n v="1115"/>
    <m/>
  </r>
  <r>
    <d v="2020-06-21T00:00:00"/>
    <x v="0"/>
    <x v="24"/>
    <n v="124"/>
    <n v="157"/>
    <n v="189"/>
    <m/>
  </r>
  <r>
    <d v="2020-06-21T00:00:00"/>
    <x v="1"/>
    <x v="24"/>
    <n v="952"/>
    <n v="1035"/>
    <n v="1117"/>
    <m/>
  </r>
  <r>
    <d v="2020-06-28T00:00:00"/>
    <x v="0"/>
    <x v="25"/>
    <n v="124"/>
    <n v="157"/>
    <n v="189"/>
    <m/>
  </r>
  <r>
    <d v="2020-06-28T00:00:00"/>
    <x v="1"/>
    <x v="25"/>
    <n v="953"/>
    <n v="1036"/>
    <n v="1119"/>
    <m/>
  </r>
  <r>
    <d v="2020-07-05T00:00:00"/>
    <x v="0"/>
    <x v="26"/>
    <n v="124"/>
    <n v="157"/>
    <n v="189"/>
    <m/>
  </r>
  <r>
    <d v="2020-07-05T00:00:00"/>
    <x v="1"/>
    <x v="26"/>
    <n v="956"/>
    <n v="1039"/>
    <n v="1122"/>
    <m/>
  </r>
  <r>
    <d v="2020-07-12T00:00:00"/>
    <x v="0"/>
    <x v="27"/>
    <n v="124"/>
    <n v="157"/>
    <n v="189"/>
    <m/>
  </r>
  <r>
    <d v="2020-07-12T00:00:00"/>
    <x v="1"/>
    <x v="27"/>
    <n v="956"/>
    <n v="1039"/>
    <n v="1122"/>
    <m/>
  </r>
  <r>
    <d v="2020-07-19T00:00:00"/>
    <x v="0"/>
    <x v="28"/>
    <n v="124"/>
    <n v="157"/>
    <n v="189"/>
    <m/>
  </r>
  <r>
    <d v="2020-07-19T00:00:00"/>
    <x v="1"/>
    <x v="28"/>
    <n v="956"/>
    <n v="1039"/>
    <n v="1122"/>
    <m/>
  </r>
  <r>
    <d v="2020-07-26T00:00:00"/>
    <x v="0"/>
    <x v="29"/>
    <n v="124"/>
    <n v="156"/>
    <n v="188"/>
    <m/>
  </r>
  <r>
    <d v="2020-07-26T00:00:00"/>
    <x v="1"/>
    <x v="29"/>
    <n v="955"/>
    <n v="1038"/>
    <n v="1121"/>
    <m/>
  </r>
  <r>
    <d v="2020-08-02T00:00:00"/>
    <x v="0"/>
    <x v="30"/>
    <n v="124"/>
    <n v="156"/>
    <n v="188"/>
    <m/>
  </r>
  <r>
    <d v="2020-08-02T00:00:00"/>
    <x v="1"/>
    <x v="30"/>
    <n v="954"/>
    <n v="1037"/>
    <n v="1120"/>
    <m/>
  </r>
  <r>
    <d v="2020-08-09T00:00:00"/>
    <x v="0"/>
    <x v="31"/>
    <n v="123"/>
    <n v="156"/>
    <n v="188"/>
    <m/>
  </r>
  <r>
    <d v="2020-08-09T00:00:00"/>
    <x v="1"/>
    <x v="31"/>
    <n v="953"/>
    <n v="1036"/>
    <n v="1119"/>
    <m/>
  </r>
  <r>
    <d v="2020-08-16T00:00:00"/>
    <x v="0"/>
    <x v="32"/>
    <n v="123"/>
    <n v="155"/>
    <n v="187"/>
    <m/>
  </r>
  <r>
    <d v="2020-08-16T00:00:00"/>
    <x v="1"/>
    <x v="32"/>
    <n v="952"/>
    <n v="1035"/>
    <n v="1118"/>
    <m/>
  </r>
  <r>
    <d v="2020-08-23T00:00:00"/>
    <x v="0"/>
    <x v="33"/>
    <n v="123"/>
    <n v="155"/>
    <n v="187"/>
    <m/>
  </r>
  <r>
    <d v="2020-08-23T00:00:00"/>
    <x v="1"/>
    <x v="33"/>
    <n v="953"/>
    <n v="1036"/>
    <n v="1119"/>
    <m/>
  </r>
  <r>
    <d v="2020-08-30T00:00:00"/>
    <x v="0"/>
    <x v="34"/>
    <n v="123"/>
    <n v="155"/>
    <n v="188"/>
    <m/>
  </r>
  <r>
    <d v="2020-08-30T00:00:00"/>
    <x v="1"/>
    <x v="34"/>
    <n v="959"/>
    <n v="1042"/>
    <n v="1126"/>
    <m/>
  </r>
  <r>
    <d v="2020-09-06T00:00:00"/>
    <x v="0"/>
    <x v="35"/>
    <n v="124"/>
    <n v="156"/>
    <n v="188"/>
    <m/>
  </r>
  <r>
    <d v="2020-09-06T00:00:00"/>
    <x v="1"/>
    <x v="35"/>
    <n v="965"/>
    <n v="1048"/>
    <n v="1132"/>
    <m/>
  </r>
  <r>
    <d v="2020-09-13T00:00:00"/>
    <x v="0"/>
    <x v="36"/>
    <n v="124"/>
    <n v="156"/>
    <n v="188"/>
    <m/>
  </r>
  <r>
    <d v="2020-09-13T00:00:00"/>
    <x v="1"/>
    <x v="36"/>
    <n v="973"/>
    <n v="1056"/>
    <n v="1140"/>
    <m/>
  </r>
  <r>
    <d v="2020-09-20T00:00:00"/>
    <x v="0"/>
    <x v="37"/>
    <n v="124"/>
    <n v="156"/>
    <n v="189"/>
    <m/>
  </r>
  <r>
    <d v="2020-09-20T00:00:00"/>
    <x v="1"/>
    <x v="37"/>
    <n v="982"/>
    <n v="1067"/>
    <n v="1151"/>
    <m/>
  </r>
  <r>
    <d v="2020-09-27T00:00:00"/>
    <x v="0"/>
    <x v="38"/>
    <n v="125"/>
    <n v="157"/>
    <n v="189"/>
    <m/>
  </r>
  <r>
    <d v="2020-09-27T00:00:00"/>
    <x v="1"/>
    <x v="38"/>
    <n v="992"/>
    <n v="1077"/>
    <n v="1161"/>
    <m/>
  </r>
  <r>
    <d v="2020-10-04T00:00:00"/>
    <x v="0"/>
    <x v="39"/>
    <n v="125"/>
    <n v="157"/>
    <n v="190"/>
    <m/>
  </r>
  <r>
    <d v="2020-10-04T00:00:00"/>
    <x v="1"/>
    <x v="39"/>
    <n v="1002"/>
    <n v="1087"/>
    <n v="1172"/>
    <m/>
  </r>
  <r>
    <d v="2020-10-11T00:00:00"/>
    <x v="0"/>
    <x v="40"/>
    <n v="125"/>
    <n v="158"/>
    <n v="190"/>
    <m/>
  </r>
  <r>
    <d v="2020-10-11T00:00:00"/>
    <x v="1"/>
    <x v="40"/>
    <n v="1011"/>
    <n v="1097"/>
    <n v="1182"/>
    <m/>
  </r>
  <r>
    <d v="2020-10-18T00:00:00"/>
    <x v="0"/>
    <x v="41"/>
    <n v="126"/>
    <n v="158"/>
    <n v="190"/>
    <m/>
  </r>
  <r>
    <d v="2020-10-18T00:00:00"/>
    <x v="1"/>
    <x v="41"/>
    <n v="1021"/>
    <n v="1107"/>
    <n v="1192"/>
    <m/>
  </r>
  <r>
    <d v="2020-10-25T00:00:00"/>
    <x v="0"/>
    <x v="42"/>
    <n v="126"/>
    <n v="158"/>
    <n v="191"/>
    <m/>
  </r>
  <r>
    <d v="2020-10-25T00:00:00"/>
    <x v="1"/>
    <x v="42"/>
    <n v="1029"/>
    <n v="1115"/>
    <n v="1201"/>
    <m/>
  </r>
  <r>
    <d v="2020-11-01T00:00:00"/>
    <x v="0"/>
    <x v="43"/>
    <n v="126"/>
    <n v="158"/>
    <n v="191"/>
    <m/>
  </r>
  <r>
    <d v="2020-11-01T00:00:00"/>
    <x v="1"/>
    <x v="43"/>
    <n v="1037"/>
    <n v="1124"/>
    <n v="1210"/>
    <m/>
  </r>
  <r>
    <d v="2020-11-08T00:00:00"/>
    <x v="0"/>
    <x v="44"/>
    <n v="126"/>
    <n v="159"/>
    <n v="191"/>
    <m/>
  </r>
  <r>
    <d v="2020-11-08T00:00:00"/>
    <x v="1"/>
    <x v="44"/>
    <n v="1049"/>
    <n v="1136"/>
    <n v="1223"/>
    <m/>
  </r>
  <r>
    <d v="2020-11-15T00:00:00"/>
    <x v="0"/>
    <x v="45"/>
    <n v="126"/>
    <n v="159"/>
    <n v="191"/>
    <m/>
  </r>
  <r>
    <d v="2020-11-15T00:00:00"/>
    <x v="1"/>
    <x v="45"/>
    <n v="1061"/>
    <n v="1148"/>
    <n v="1235"/>
    <m/>
  </r>
  <r>
    <d v="2020-11-22T00:00:00"/>
    <x v="0"/>
    <x v="46"/>
    <n v="127"/>
    <n v="159"/>
    <n v="192"/>
    <m/>
  </r>
  <r>
    <d v="2020-11-22T00:00:00"/>
    <x v="1"/>
    <x v="46"/>
    <n v="1073"/>
    <n v="1161"/>
    <n v="1248"/>
    <m/>
  </r>
  <r>
    <d v="2020-11-29T00:00:00"/>
    <x v="0"/>
    <x v="47"/>
    <n v="127"/>
    <n v="160"/>
    <n v="192"/>
    <m/>
  </r>
  <r>
    <d v="2020-11-29T00:00:00"/>
    <x v="1"/>
    <x v="47"/>
    <n v="1084"/>
    <n v="1172"/>
    <n v="1261"/>
    <m/>
  </r>
  <r>
    <d v="2020-12-06T00:00:00"/>
    <x v="0"/>
    <x v="48"/>
    <n v="128"/>
    <n v="160"/>
    <n v="193"/>
    <m/>
  </r>
  <r>
    <d v="2020-12-06T00:00:00"/>
    <x v="1"/>
    <x v="48"/>
    <n v="1096"/>
    <n v="1184"/>
    <n v="1273"/>
    <m/>
  </r>
  <r>
    <d v="2020-12-13T00:00:00"/>
    <x v="0"/>
    <x v="49"/>
    <n v="128"/>
    <n v="161"/>
    <n v="193"/>
    <m/>
  </r>
  <r>
    <d v="2020-12-13T00:00:00"/>
    <x v="1"/>
    <x v="49"/>
    <n v="1105"/>
    <n v="1194"/>
    <n v="1283"/>
    <m/>
  </r>
  <r>
    <d v="2020-12-20T00:00:00"/>
    <x v="0"/>
    <x v="50"/>
    <n v="128"/>
    <n v="161"/>
    <n v="194"/>
    <m/>
  </r>
  <r>
    <d v="2020-12-20T00:00:00"/>
    <x v="1"/>
    <x v="50"/>
    <n v="1114"/>
    <n v="1203"/>
    <n v="1292"/>
    <m/>
  </r>
  <r>
    <d v="2020-12-27T00:00:00"/>
    <x v="0"/>
    <x v="51"/>
    <n v="129"/>
    <n v="162"/>
    <n v="194"/>
    <m/>
  </r>
  <r>
    <d v="2020-12-27T00:00:00"/>
    <x v="1"/>
    <x v="51"/>
    <n v="1122"/>
    <n v="1212"/>
    <n v="1302"/>
    <m/>
  </r>
  <r>
    <d v="2021-01-03T00:00:00"/>
    <x v="0"/>
    <x v="52"/>
    <n v="129"/>
    <n v="162"/>
    <n v="195"/>
    <m/>
  </r>
  <r>
    <d v="2021-01-03T00:00:00"/>
    <x v="1"/>
    <x v="52"/>
    <n v="1131"/>
    <n v="1221"/>
    <n v="1311"/>
    <m/>
  </r>
  <r>
    <m/>
    <x v="2"/>
    <x v="53"/>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B00E404-A6A0-49A8-962D-55F92D301C3F}" name="PivotTable1" cacheId="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5">
  <location ref="A3:G527" firstHeaderRow="1" firstDataRow="3" firstDataCol="1"/>
  <pivotFields count="9">
    <pivotField showAll="0"/>
    <pivotField showAll="0"/>
    <pivotField axis="axisRow" showAll="0">
      <items count="5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t="default"/>
      </items>
    </pivotField>
    <pivotField axis="axisCol" showAll="0">
      <items count="5">
        <item h="1" x="2"/>
        <item x="0"/>
        <item x="1"/>
        <item h="1" x="3"/>
        <item t="default"/>
      </items>
    </pivotField>
    <pivotField dataField="1" showAll="0"/>
    <pivotField dataField="1" showAll="0"/>
    <pivotField showAll="0"/>
    <pivotField showAll="0"/>
    <pivotField showAll="0"/>
  </pivotFields>
  <rowFields count="1">
    <field x="2"/>
  </rowFields>
  <rowItems count="5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t="grand">
      <x/>
    </i>
  </rowItems>
  <colFields count="2">
    <field x="-2"/>
    <field x="3"/>
  </colFields>
  <colItems count="6">
    <i>
      <x/>
      <x v="1"/>
    </i>
    <i r="1">
      <x v="2"/>
    </i>
    <i i="1">
      <x v="1"/>
      <x v="1"/>
    </i>
    <i r="1" i="1">
      <x v="2"/>
    </i>
    <i t="grand">
      <x/>
    </i>
    <i t="grand" i="1">
      <x/>
    </i>
  </colItems>
  <dataFields count="2">
    <dataField name="Todesfalle" fld="4" baseField="2" baseItem="106"/>
    <dataField name="Erwartungen" fld="5" baseField="2" baseItem="106"/>
  </dataFields>
  <chartFormats count="16">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1"/>
          </reference>
          <reference field="3" count="1" selected="0">
            <x v="0"/>
          </reference>
        </references>
      </pivotArea>
    </chartFormat>
    <chartFormat chart="0" format="5" series="1">
      <pivotArea type="data" outline="0" fieldPosition="0">
        <references count="2">
          <reference field="4294967294" count="1" selected="0">
            <x v="1"/>
          </reference>
          <reference field="3" count="1" selected="0">
            <x v="1"/>
          </reference>
        </references>
      </pivotArea>
    </chartFormat>
    <chartFormat chart="0" format="6" series="1">
      <pivotArea type="data" outline="0" fieldPosition="0">
        <references count="2">
          <reference field="4294967294" count="1" selected="0">
            <x v="1"/>
          </reference>
          <reference field="3" count="1" selected="0">
            <x v="2"/>
          </reference>
        </references>
      </pivotArea>
    </chartFormat>
    <chartFormat chart="0" format="7" series="1">
      <pivotArea type="data" outline="0" fieldPosition="0">
        <references count="2">
          <reference field="4294967294" count="1" selected="0">
            <x v="1"/>
          </reference>
          <reference field="3" count="1" selected="0">
            <x v="3"/>
          </reference>
        </references>
      </pivotArea>
    </chartFormat>
    <chartFormat chart="4" format="28" series="1">
      <pivotArea type="data" outline="0" fieldPosition="0">
        <references count="2">
          <reference field="4294967294" count="1" selected="0">
            <x v="0"/>
          </reference>
          <reference field="3" count="1" selected="0">
            <x v="0"/>
          </reference>
        </references>
      </pivotArea>
    </chartFormat>
    <chartFormat chart="4" format="29" series="1">
      <pivotArea type="data" outline="0" fieldPosition="0">
        <references count="2">
          <reference field="4294967294" count="1" selected="0">
            <x v="0"/>
          </reference>
          <reference field="3" count="1" selected="0">
            <x v="1"/>
          </reference>
        </references>
      </pivotArea>
    </chartFormat>
    <chartFormat chart="4" format="30" series="1">
      <pivotArea type="data" outline="0" fieldPosition="0">
        <references count="2">
          <reference field="4294967294" count="1" selected="0">
            <x v="0"/>
          </reference>
          <reference field="3" count="1" selected="0">
            <x v="2"/>
          </reference>
        </references>
      </pivotArea>
    </chartFormat>
    <chartFormat chart="4" format="31" series="1">
      <pivotArea type="data" outline="0" fieldPosition="0">
        <references count="2">
          <reference field="4294967294" count="1" selected="0">
            <x v="0"/>
          </reference>
          <reference field="3" count="1" selected="0">
            <x v="3"/>
          </reference>
        </references>
      </pivotArea>
    </chartFormat>
    <chartFormat chart="4" format="32" series="1">
      <pivotArea type="data" outline="0" fieldPosition="0">
        <references count="2">
          <reference field="4294967294" count="1" selected="0">
            <x v="1"/>
          </reference>
          <reference field="3" count="1" selected="0">
            <x v="0"/>
          </reference>
        </references>
      </pivotArea>
    </chartFormat>
    <chartFormat chart="4" format="33" series="1">
      <pivotArea type="data" outline="0" fieldPosition="0">
        <references count="2">
          <reference field="4294967294" count="1" selected="0">
            <x v="1"/>
          </reference>
          <reference field="3" count="1" selected="0">
            <x v="1"/>
          </reference>
        </references>
      </pivotArea>
    </chartFormat>
    <chartFormat chart="4" format="34" series="1">
      <pivotArea type="data" outline="0" fieldPosition="0">
        <references count="2">
          <reference field="4294967294" count="1" selected="0">
            <x v="1"/>
          </reference>
          <reference field="3" count="1" selected="0">
            <x v="2"/>
          </reference>
        </references>
      </pivotArea>
    </chartFormat>
    <chartFormat chart="4" format="35" series="1">
      <pivotArea type="data" outline="0" fieldPosition="0">
        <references count="2">
          <reference field="4294967294" count="1" selected="0">
            <x v="1"/>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BB321AA-59E0-4490-896F-B94EEFEE6043}" name="PivotTable1" cacheId="1"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3:D72" firstHeaderRow="0" firstDataRow="1" firstDataCol="1"/>
  <pivotFields count="11">
    <pivotField axis="axisRow" showAll="0">
      <items count="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7"/>
        <item x="64"/>
        <item x="65"/>
        <item x="66"/>
        <item t="default"/>
      </items>
    </pivotField>
    <pivotField showAll="0"/>
    <pivotField showAll="0"/>
    <pivotField showAll="0"/>
    <pivotField dataField="1" showAll="0"/>
    <pivotField showAll="0"/>
    <pivotField showAll="0"/>
    <pivotField showAll="0"/>
    <pivotField dataField="1" showAll="0"/>
    <pivotField dataField="1" showAll="0"/>
    <pivotField showAll="0"/>
  </pivotFields>
  <rowFields count="1">
    <field x="0"/>
  </rowFields>
  <rowItems count="6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t="grand">
      <x/>
    </i>
  </rowItems>
  <colFields count="1">
    <field x="-2"/>
  </colFields>
  <colItems count="3">
    <i>
      <x/>
    </i>
    <i i="1">
      <x v="1"/>
    </i>
    <i i="2">
      <x v="2"/>
    </i>
  </colItems>
  <dataFields count="3">
    <dataField name="Summe von ncumul_conf" fld="4" baseField="0" baseItem="0"/>
    <dataField name="Summe von ncumul_released" fld="8" baseField="0" baseItem="0"/>
    <dataField name="Summe von ncumul_deceased"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822A137-66DA-477D-B984-D915DF0193F4}" name="PivotTable1" cacheId="1"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5">
  <location ref="A3:AC71" firstHeaderRow="1" firstDataRow="2" firstDataCol="1"/>
  <pivotFields count="11">
    <pivotField axis="axisRow" showAll="0">
      <items count="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h="1" x="67"/>
        <item x="64"/>
        <item x="65"/>
        <item h="1" x="66"/>
        <item t="default"/>
      </items>
    </pivotField>
    <pivotField showAll="0"/>
    <pivotField axis="axisCol" showAll="0">
      <items count="29">
        <item x="12"/>
        <item x="18"/>
        <item x="10"/>
        <item x="24"/>
        <item x="17"/>
        <item x="6"/>
        <item x="7"/>
        <item x="5"/>
        <item x="2"/>
        <item x="0"/>
        <item x="19"/>
        <item x="26"/>
        <item x="3"/>
        <item x="16"/>
        <item x="13"/>
        <item x="20"/>
        <item x="23"/>
        <item x="14"/>
        <item x="21"/>
        <item x="15"/>
        <item x="25"/>
        <item x="1"/>
        <item x="22"/>
        <item x="8"/>
        <item x="9"/>
        <item x="11"/>
        <item x="4"/>
        <item x="27"/>
        <item t="default"/>
      </items>
    </pivotField>
    <pivotField showAll="0"/>
    <pivotField showAll="0"/>
    <pivotField showAll="0"/>
    <pivotField dataField="1" showAll="0"/>
    <pivotField showAll="0"/>
    <pivotField showAll="0"/>
    <pivotField showAll="0"/>
    <pivotField showAll="0"/>
  </pivotFields>
  <rowFields count="1">
    <field x="0"/>
  </rowFields>
  <rowItems count="6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5"/>
    </i>
    <i>
      <x v="66"/>
    </i>
    <i t="grand">
      <x/>
    </i>
  </rowItems>
  <colFields count="1">
    <field x="2"/>
  </colFields>
  <col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colItems>
  <dataFields count="1">
    <dataField name="Summe von ncumul_ICU" fld="6" baseField="0" baseItem="0"/>
  </dataFields>
  <chartFormats count="135">
    <chartFormat chart="0" format="166" series="1">
      <pivotArea type="data" outline="0" fieldPosition="0">
        <references count="1">
          <reference field="2" count="1" selected="0">
            <x v="0"/>
          </reference>
        </references>
      </pivotArea>
    </chartFormat>
    <chartFormat chart="0" format="167" series="1">
      <pivotArea type="data" outline="0" fieldPosition="0">
        <references count="1">
          <reference field="2" count="1" selected="0">
            <x v="1"/>
          </reference>
        </references>
      </pivotArea>
    </chartFormat>
    <chartFormat chart="0" format="168" series="1">
      <pivotArea type="data" outline="0" fieldPosition="0">
        <references count="1">
          <reference field="2" count="1" selected="0">
            <x v="2"/>
          </reference>
        </references>
      </pivotArea>
    </chartFormat>
    <chartFormat chart="0" format="169" series="1">
      <pivotArea type="data" outline="0" fieldPosition="0">
        <references count="1">
          <reference field="2" count="1" selected="0">
            <x v="3"/>
          </reference>
        </references>
      </pivotArea>
    </chartFormat>
    <chartFormat chart="0" format="170" series="1">
      <pivotArea type="data" outline="0" fieldPosition="0">
        <references count="1">
          <reference field="2" count="1" selected="0">
            <x v="4"/>
          </reference>
        </references>
      </pivotArea>
    </chartFormat>
    <chartFormat chart="0" format="171" series="1">
      <pivotArea type="data" outline="0" fieldPosition="0">
        <references count="1">
          <reference field="2" count="1" selected="0">
            <x v="5"/>
          </reference>
        </references>
      </pivotArea>
    </chartFormat>
    <chartFormat chart="0" format="172" series="1">
      <pivotArea type="data" outline="0" fieldPosition="0">
        <references count="1">
          <reference field="2" count="1" selected="0">
            <x v="6"/>
          </reference>
        </references>
      </pivotArea>
    </chartFormat>
    <chartFormat chart="0" format="173" series="1">
      <pivotArea type="data" outline="0" fieldPosition="0">
        <references count="1">
          <reference field="2" count="1" selected="0">
            <x v="7"/>
          </reference>
        </references>
      </pivotArea>
    </chartFormat>
    <chartFormat chart="0" format="174" series="1">
      <pivotArea type="data" outline="0" fieldPosition="0">
        <references count="1">
          <reference field="2" count="1" selected="0">
            <x v="8"/>
          </reference>
        </references>
      </pivotArea>
    </chartFormat>
    <chartFormat chart="0" format="175" series="1">
      <pivotArea type="data" outline="0" fieldPosition="0">
        <references count="1">
          <reference field="2" count="1" selected="0">
            <x v="9"/>
          </reference>
        </references>
      </pivotArea>
    </chartFormat>
    <chartFormat chart="0" format="176" series="1">
      <pivotArea type="data" outline="0" fieldPosition="0">
        <references count="1">
          <reference field="2" count="1" selected="0">
            <x v="10"/>
          </reference>
        </references>
      </pivotArea>
    </chartFormat>
    <chartFormat chart="0" format="177" series="1">
      <pivotArea type="data" outline="0" fieldPosition="0">
        <references count="1">
          <reference field="2" count="1" selected="0">
            <x v="11"/>
          </reference>
        </references>
      </pivotArea>
    </chartFormat>
    <chartFormat chart="0" format="178" series="1">
      <pivotArea type="data" outline="0" fieldPosition="0">
        <references count="1">
          <reference field="2" count="1" selected="0">
            <x v="12"/>
          </reference>
        </references>
      </pivotArea>
    </chartFormat>
    <chartFormat chart="0" format="179" series="1">
      <pivotArea type="data" outline="0" fieldPosition="0">
        <references count="1">
          <reference field="2" count="1" selected="0">
            <x v="13"/>
          </reference>
        </references>
      </pivotArea>
    </chartFormat>
    <chartFormat chart="0" format="180" series="1">
      <pivotArea type="data" outline="0" fieldPosition="0">
        <references count="1">
          <reference field="2" count="1" selected="0">
            <x v="14"/>
          </reference>
        </references>
      </pivotArea>
    </chartFormat>
    <chartFormat chart="0" format="181" series="1">
      <pivotArea type="data" outline="0" fieldPosition="0">
        <references count="1">
          <reference field="2" count="1" selected="0">
            <x v="15"/>
          </reference>
        </references>
      </pivotArea>
    </chartFormat>
    <chartFormat chart="0" format="182" series="1">
      <pivotArea type="data" outline="0" fieldPosition="0">
        <references count="1">
          <reference field="2" count="1" selected="0">
            <x v="16"/>
          </reference>
        </references>
      </pivotArea>
    </chartFormat>
    <chartFormat chart="0" format="183" series="1">
      <pivotArea type="data" outline="0" fieldPosition="0">
        <references count="1">
          <reference field="2" count="1" selected="0">
            <x v="17"/>
          </reference>
        </references>
      </pivotArea>
    </chartFormat>
    <chartFormat chart="0" format="184" series="1">
      <pivotArea type="data" outline="0" fieldPosition="0">
        <references count="1">
          <reference field="2" count="1" selected="0">
            <x v="18"/>
          </reference>
        </references>
      </pivotArea>
    </chartFormat>
    <chartFormat chart="0" format="185" series="1">
      <pivotArea type="data" outline="0" fieldPosition="0">
        <references count="1">
          <reference field="2" count="1" selected="0">
            <x v="19"/>
          </reference>
        </references>
      </pivotArea>
    </chartFormat>
    <chartFormat chart="0" format="186" series="1">
      <pivotArea type="data" outline="0" fieldPosition="0">
        <references count="1">
          <reference field="2" count="1" selected="0">
            <x v="20"/>
          </reference>
        </references>
      </pivotArea>
    </chartFormat>
    <chartFormat chart="0" format="187" series="1">
      <pivotArea type="data" outline="0" fieldPosition="0">
        <references count="1">
          <reference field="2" count="1" selected="0">
            <x v="21"/>
          </reference>
        </references>
      </pivotArea>
    </chartFormat>
    <chartFormat chart="0" format="188" series="1">
      <pivotArea type="data" outline="0" fieldPosition="0">
        <references count="1">
          <reference field="2" count="1" selected="0">
            <x v="22"/>
          </reference>
        </references>
      </pivotArea>
    </chartFormat>
    <chartFormat chart="0" format="189" series="1">
      <pivotArea type="data" outline="0" fieldPosition="0">
        <references count="1">
          <reference field="2" count="1" selected="0">
            <x v="23"/>
          </reference>
        </references>
      </pivotArea>
    </chartFormat>
    <chartFormat chart="0" format="190" series="1">
      <pivotArea type="data" outline="0" fieldPosition="0">
        <references count="1">
          <reference field="2" count="1" selected="0">
            <x v="24"/>
          </reference>
        </references>
      </pivotArea>
    </chartFormat>
    <chartFormat chart="0" format="191" series="1">
      <pivotArea type="data" outline="0" fieldPosition="0">
        <references count="1">
          <reference field="2" count="1" selected="0">
            <x v="25"/>
          </reference>
        </references>
      </pivotArea>
    </chartFormat>
    <chartFormat chart="0" format="192" series="1">
      <pivotArea type="data" outline="0" fieldPosition="0">
        <references count="1">
          <reference field="2" count="1" selected="0">
            <x v="26"/>
          </reference>
        </references>
      </pivotArea>
    </chartFormat>
    <chartFormat chart="0" format="193" series="1">
      <pivotArea type="data" outline="0" fieldPosition="0">
        <references count="2">
          <reference field="4294967294" count="1" selected="0">
            <x v="0"/>
          </reference>
          <reference field="2" count="1" selected="0">
            <x v="0"/>
          </reference>
        </references>
      </pivotArea>
    </chartFormat>
    <chartFormat chart="0" format="194" series="1">
      <pivotArea type="data" outline="0" fieldPosition="0">
        <references count="2">
          <reference field="4294967294" count="1" selected="0">
            <x v="0"/>
          </reference>
          <reference field="2" count="1" selected="0">
            <x v="1"/>
          </reference>
        </references>
      </pivotArea>
    </chartFormat>
    <chartFormat chart="0" format="195" series="1">
      <pivotArea type="data" outline="0" fieldPosition="0">
        <references count="2">
          <reference field="4294967294" count="1" selected="0">
            <x v="0"/>
          </reference>
          <reference field="2" count="1" selected="0">
            <x v="2"/>
          </reference>
        </references>
      </pivotArea>
    </chartFormat>
    <chartFormat chart="0" format="196" series="1">
      <pivotArea type="data" outline="0" fieldPosition="0">
        <references count="2">
          <reference field="4294967294" count="1" selected="0">
            <x v="0"/>
          </reference>
          <reference field="2" count="1" selected="0">
            <x v="3"/>
          </reference>
        </references>
      </pivotArea>
    </chartFormat>
    <chartFormat chart="0" format="197" series="1">
      <pivotArea type="data" outline="0" fieldPosition="0">
        <references count="2">
          <reference field="4294967294" count="1" selected="0">
            <x v="0"/>
          </reference>
          <reference field="2" count="1" selected="0">
            <x v="4"/>
          </reference>
        </references>
      </pivotArea>
    </chartFormat>
    <chartFormat chart="0" format="198" series="1">
      <pivotArea type="data" outline="0" fieldPosition="0">
        <references count="2">
          <reference field="4294967294" count="1" selected="0">
            <x v="0"/>
          </reference>
          <reference field="2" count="1" selected="0">
            <x v="5"/>
          </reference>
        </references>
      </pivotArea>
    </chartFormat>
    <chartFormat chart="0" format="199" series="1">
      <pivotArea type="data" outline="0" fieldPosition="0">
        <references count="2">
          <reference field="4294967294" count="1" selected="0">
            <x v="0"/>
          </reference>
          <reference field="2" count="1" selected="0">
            <x v="6"/>
          </reference>
        </references>
      </pivotArea>
    </chartFormat>
    <chartFormat chart="0" format="200" series="1">
      <pivotArea type="data" outline="0" fieldPosition="0">
        <references count="2">
          <reference field="4294967294" count="1" selected="0">
            <x v="0"/>
          </reference>
          <reference field="2" count="1" selected="0">
            <x v="7"/>
          </reference>
        </references>
      </pivotArea>
    </chartFormat>
    <chartFormat chart="0" format="201" series="1">
      <pivotArea type="data" outline="0" fieldPosition="0">
        <references count="2">
          <reference field="4294967294" count="1" selected="0">
            <x v="0"/>
          </reference>
          <reference field="2" count="1" selected="0">
            <x v="8"/>
          </reference>
        </references>
      </pivotArea>
    </chartFormat>
    <chartFormat chart="0" format="202" series="1">
      <pivotArea type="data" outline="0" fieldPosition="0">
        <references count="2">
          <reference field="4294967294" count="1" selected="0">
            <x v="0"/>
          </reference>
          <reference field="2" count="1" selected="0">
            <x v="9"/>
          </reference>
        </references>
      </pivotArea>
    </chartFormat>
    <chartFormat chart="0" format="203" series="1">
      <pivotArea type="data" outline="0" fieldPosition="0">
        <references count="2">
          <reference field="4294967294" count="1" selected="0">
            <x v="0"/>
          </reference>
          <reference field="2" count="1" selected="0">
            <x v="10"/>
          </reference>
        </references>
      </pivotArea>
    </chartFormat>
    <chartFormat chart="0" format="204" series="1">
      <pivotArea type="data" outline="0" fieldPosition="0">
        <references count="2">
          <reference field="4294967294" count="1" selected="0">
            <x v="0"/>
          </reference>
          <reference field="2" count="1" selected="0">
            <x v="11"/>
          </reference>
        </references>
      </pivotArea>
    </chartFormat>
    <chartFormat chart="0" format="205" series="1">
      <pivotArea type="data" outline="0" fieldPosition="0">
        <references count="2">
          <reference field="4294967294" count="1" selected="0">
            <x v="0"/>
          </reference>
          <reference field="2" count="1" selected="0">
            <x v="12"/>
          </reference>
        </references>
      </pivotArea>
    </chartFormat>
    <chartFormat chart="0" format="206" series="1">
      <pivotArea type="data" outline="0" fieldPosition="0">
        <references count="2">
          <reference field="4294967294" count="1" selected="0">
            <x v="0"/>
          </reference>
          <reference field="2" count="1" selected="0">
            <x v="13"/>
          </reference>
        </references>
      </pivotArea>
    </chartFormat>
    <chartFormat chart="0" format="207" series="1">
      <pivotArea type="data" outline="0" fieldPosition="0">
        <references count="2">
          <reference field="4294967294" count="1" selected="0">
            <x v="0"/>
          </reference>
          <reference field="2" count="1" selected="0">
            <x v="14"/>
          </reference>
        </references>
      </pivotArea>
    </chartFormat>
    <chartFormat chart="0" format="208" series="1">
      <pivotArea type="data" outline="0" fieldPosition="0">
        <references count="2">
          <reference field="4294967294" count="1" selected="0">
            <x v="0"/>
          </reference>
          <reference field="2" count="1" selected="0">
            <x v="15"/>
          </reference>
        </references>
      </pivotArea>
    </chartFormat>
    <chartFormat chart="0" format="209" series="1">
      <pivotArea type="data" outline="0" fieldPosition="0">
        <references count="2">
          <reference field="4294967294" count="1" selected="0">
            <x v="0"/>
          </reference>
          <reference field="2" count="1" selected="0">
            <x v="16"/>
          </reference>
        </references>
      </pivotArea>
    </chartFormat>
    <chartFormat chart="0" format="210" series="1">
      <pivotArea type="data" outline="0" fieldPosition="0">
        <references count="2">
          <reference field="4294967294" count="1" selected="0">
            <x v="0"/>
          </reference>
          <reference field="2" count="1" selected="0">
            <x v="17"/>
          </reference>
        </references>
      </pivotArea>
    </chartFormat>
    <chartFormat chart="0" format="211" series="1">
      <pivotArea type="data" outline="0" fieldPosition="0">
        <references count="2">
          <reference field="4294967294" count="1" selected="0">
            <x v="0"/>
          </reference>
          <reference field="2" count="1" selected="0">
            <x v="18"/>
          </reference>
        </references>
      </pivotArea>
    </chartFormat>
    <chartFormat chart="0" format="212" series="1">
      <pivotArea type="data" outline="0" fieldPosition="0">
        <references count="2">
          <reference field="4294967294" count="1" selected="0">
            <x v="0"/>
          </reference>
          <reference field="2" count="1" selected="0">
            <x v="19"/>
          </reference>
        </references>
      </pivotArea>
    </chartFormat>
    <chartFormat chart="0" format="213" series="1">
      <pivotArea type="data" outline="0" fieldPosition="0">
        <references count="2">
          <reference field="4294967294" count="1" selected="0">
            <x v="0"/>
          </reference>
          <reference field="2" count="1" selected="0">
            <x v="20"/>
          </reference>
        </references>
      </pivotArea>
    </chartFormat>
    <chartFormat chart="0" format="214" series="1">
      <pivotArea type="data" outline="0" fieldPosition="0">
        <references count="2">
          <reference field="4294967294" count="1" selected="0">
            <x v="0"/>
          </reference>
          <reference field="2" count="1" selected="0">
            <x v="21"/>
          </reference>
        </references>
      </pivotArea>
    </chartFormat>
    <chartFormat chart="0" format="215" series="1">
      <pivotArea type="data" outline="0" fieldPosition="0">
        <references count="2">
          <reference field="4294967294" count="1" selected="0">
            <x v="0"/>
          </reference>
          <reference field="2" count="1" selected="0">
            <x v="22"/>
          </reference>
        </references>
      </pivotArea>
    </chartFormat>
    <chartFormat chart="0" format="216" series="1">
      <pivotArea type="data" outline="0" fieldPosition="0">
        <references count="2">
          <reference field="4294967294" count="1" selected="0">
            <x v="0"/>
          </reference>
          <reference field="2" count="1" selected="0">
            <x v="23"/>
          </reference>
        </references>
      </pivotArea>
    </chartFormat>
    <chartFormat chart="0" format="217" series="1">
      <pivotArea type="data" outline="0" fieldPosition="0">
        <references count="2">
          <reference field="4294967294" count="1" selected="0">
            <x v="0"/>
          </reference>
          <reference field="2" count="1" selected="0">
            <x v="24"/>
          </reference>
        </references>
      </pivotArea>
    </chartFormat>
    <chartFormat chart="0" format="218" series="1">
      <pivotArea type="data" outline="0" fieldPosition="0">
        <references count="2">
          <reference field="4294967294" count="1" selected="0">
            <x v="0"/>
          </reference>
          <reference field="2" count="1" selected="0">
            <x v="25"/>
          </reference>
        </references>
      </pivotArea>
    </chartFormat>
    <chartFormat chart="0" format="219" series="1">
      <pivotArea type="data" outline="0" fieldPosition="0">
        <references count="2">
          <reference field="4294967294" count="1" selected="0">
            <x v="0"/>
          </reference>
          <reference field="2" count="1" selected="0">
            <x v="26"/>
          </reference>
        </references>
      </pivotArea>
    </chartFormat>
    <chartFormat chart="2" format="247" series="1">
      <pivotArea type="data" outline="0" fieldPosition="0">
        <references count="2">
          <reference field="4294967294" count="1" selected="0">
            <x v="0"/>
          </reference>
          <reference field="2" count="1" selected="0">
            <x v="0"/>
          </reference>
        </references>
      </pivotArea>
    </chartFormat>
    <chartFormat chart="2" format="248" series="1">
      <pivotArea type="data" outline="0" fieldPosition="0">
        <references count="2">
          <reference field="4294967294" count="1" selected="0">
            <x v="0"/>
          </reference>
          <reference field="2" count="1" selected="0">
            <x v="1"/>
          </reference>
        </references>
      </pivotArea>
    </chartFormat>
    <chartFormat chart="2" format="249" series="1">
      <pivotArea type="data" outline="0" fieldPosition="0">
        <references count="2">
          <reference field="4294967294" count="1" selected="0">
            <x v="0"/>
          </reference>
          <reference field="2" count="1" selected="0">
            <x v="2"/>
          </reference>
        </references>
      </pivotArea>
    </chartFormat>
    <chartFormat chart="2" format="250" series="1">
      <pivotArea type="data" outline="0" fieldPosition="0">
        <references count="2">
          <reference field="4294967294" count="1" selected="0">
            <x v="0"/>
          </reference>
          <reference field="2" count="1" selected="0">
            <x v="3"/>
          </reference>
        </references>
      </pivotArea>
    </chartFormat>
    <chartFormat chart="2" format="251" series="1">
      <pivotArea type="data" outline="0" fieldPosition="0">
        <references count="2">
          <reference field="4294967294" count="1" selected="0">
            <x v="0"/>
          </reference>
          <reference field="2" count="1" selected="0">
            <x v="4"/>
          </reference>
        </references>
      </pivotArea>
    </chartFormat>
    <chartFormat chart="2" format="252" series="1">
      <pivotArea type="data" outline="0" fieldPosition="0">
        <references count="2">
          <reference field="4294967294" count="1" selected="0">
            <x v="0"/>
          </reference>
          <reference field="2" count="1" selected="0">
            <x v="5"/>
          </reference>
        </references>
      </pivotArea>
    </chartFormat>
    <chartFormat chart="2" format="253" series="1">
      <pivotArea type="data" outline="0" fieldPosition="0">
        <references count="2">
          <reference field="4294967294" count="1" selected="0">
            <x v="0"/>
          </reference>
          <reference field="2" count="1" selected="0">
            <x v="6"/>
          </reference>
        </references>
      </pivotArea>
    </chartFormat>
    <chartFormat chart="2" format="254" series="1">
      <pivotArea type="data" outline="0" fieldPosition="0">
        <references count="2">
          <reference field="4294967294" count="1" selected="0">
            <x v="0"/>
          </reference>
          <reference field="2" count="1" selected="0">
            <x v="7"/>
          </reference>
        </references>
      </pivotArea>
    </chartFormat>
    <chartFormat chart="2" format="255" series="1">
      <pivotArea type="data" outline="0" fieldPosition="0">
        <references count="2">
          <reference field="4294967294" count="1" selected="0">
            <x v="0"/>
          </reference>
          <reference field="2" count="1" selected="0">
            <x v="8"/>
          </reference>
        </references>
      </pivotArea>
    </chartFormat>
    <chartFormat chart="2" format="256" series="1">
      <pivotArea type="data" outline="0" fieldPosition="0">
        <references count="2">
          <reference field="4294967294" count="1" selected="0">
            <x v="0"/>
          </reference>
          <reference field="2" count="1" selected="0">
            <x v="9"/>
          </reference>
        </references>
      </pivotArea>
    </chartFormat>
    <chartFormat chart="2" format="257" series="1">
      <pivotArea type="data" outline="0" fieldPosition="0">
        <references count="2">
          <reference field="4294967294" count="1" selected="0">
            <x v="0"/>
          </reference>
          <reference field="2" count="1" selected="0">
            <x v="10"/>
          </reference>
        </references>
      </pivotArea>
    </chartFormat>
    <chartFormat chart="2" format="258" series="1">
      <pivotArea type="data" outline="0" fieldPosition="0">
        <references count="2">
          <reference field="4294967294" count="1" selected="0">
            <x v="0"/>
          </reference>
          <reference field="2" count="1" selected="0">
            <x v="11"/>
          </reference>
        </references>
      </pivotArea>
    </chartFormat>
    <chartFormat chart="2" format="259" series="1">
      <pivotArea type="data" outline="0" fieldPosition="0">
        <references count="2">
          <reference field="4294967294" count="1" selected="0">
            <x v="0"/>
          </reference>
          <reference field="2" count="1" selected="0">
            <x v="12"/>
          </reference>
        </references>
      </pivotArea>
    </chartFormat>
    <chartFormat chart="2" format="260" series="1">
      <pivotArea type="data" outline="0" fieldPosition="0">
        <references count="2">
          <reference field="4294967294" count="1" selected="0">
            <x v="0"/>
          </reference>
          <reference field="2" count="1" selected="0">
            <x v="13"/>
          </reference>
        </references>
      </pivotArea>
    </chartFormat>
    <chartFormat chart="2" format="261" series="1">
      <pivotArea type="data" outline="0" fieldPosition="0">
        <references count="2">
          <reference field="4294967294" count="1" selected="0">
            <x v="0"/>
          </reference>
          <reference field="2" count="1" selected="0">
            <x v="14"/>
          </reference>
        </references>
      </pivotArea>
    </chartFormat>
    <chartFormat chart="2" format="262" series="1">
      <pivotArea type="data" outline="0" fieldPosition="0">
        <references count="2">
          <reference field="4294967294" count="1" selected="0">
            <x v="0"/>
          </reference>
          <reference field="2" count="1" selected="0">
            <x v="15"/>
          </reference>
        </references>
      </pivotArea>
    </chartFormat>
    <chartFormat chart="2" format="263" series="1">
      <pivotArea type="data" outline="0" fieldPosition="0">
        <references count="2">
          <reference field="4294967294" count="1" selected="0">
            <x v="0"/>
          </reference>
          <reference field="2" count="1" selected="0">
            <x v="16"/>
          </reference>
        </references>
      </pivotArea>
    </chartFormat>
    <chartFormat chart="2" format="264" series="1">
      <pivotArea type="data" outline="0" fieldPosition="0">
        <references count="2">
          <reference field="4294967294" count="1" selected="0">
            <x v="0"/>
          </reference>
          <reference field="2" count="1" selected="0">
            <x v="17"/>
          </reference>
        </references>
      </pivotArea>
    </chartFormat>
    <chartFormat chart="2" format="265" series="1">
      <pivotArea type="data" outline="0" fieldPosition="0">
        <references count="2">
          <reference field="4294967294" count="1" selected="0">
            <x v="0"/>
          </reference>
          <reference field="2" count="1" selected="0">
            <x v="18"/>
          </reference>
        </references>
      </pivotArea>
    </chartFormat>
    <chartFormat chart="2" format="266" series="1">
      <pivotArea type="data" outline="0" fieldPosition="0">
        <references count="2">
          <reference field="4294967294" count="1" selected="0">
            <x v="0"/>
          </reference>
          <reference field="2" count="1" selected="0">
            <x v="19"/>
          </reference>
        </references>
      </pivotArea>
    </chartFormat>
    <chartFormat chart="2" format="267" series="1">
      <pivotArea type="data" outline="0" fieldPosition="0">
        <references count="2">
          <reference field="4294967294" count="1" selected="0">
            <x v="0"/>
          </reference>
          <reference field="2" count="1" selected="0">
            <x v="20"/>
          </reference>
        </references>
      </pivotArea>
    </chartFormat>
    <chartFormat chart="2" format="268" series="1">
      <pivotArea type="data" outline="0" fieldPosition="0">
        <references count="2">
          <reference field="4294967294" count="1" selected="0">
            <x v="0"/>
          </reference>
          <reference field="2" count="1" selected="0">
            <x v="21"/>
          </reference>
        </references>
      </pivotArea>
    </chartFormat>
    <chartFormat chart="2" format="269" series="1">
      <pivotArea type="data" outline="0" fieldPosition="0">
        <references count="2">
          <reference field="4294967294" count="1" selected="0">
            <x v="0"/>
          </reference>
          <reference field="2" count="1" selected="0">
            <x v="22"/>
          </reference>
        </references>
      </pivotArea>
    </chartFormat>
    <chartFormat chart="2" format="270" series="1">
      <pivotArea type="data" outline="0" fieldPosition="0">
        <references count="2">
          <reference field="4294967294" count="1" selected="0">
            <x v="0"/>
          </reference>
          <reference field="2" count="1" selected="0">
            <x v="23"/>
          </reference>
        </references>
      </pivotArea>
    </chartFormat>
    <chartFormat chart="2" format="271" series="1">
      <pivotArea type="data" outline="0" fieldPosition="0">
        <references count="2">
          <reference field="4294967294" count="1" selected="0">
            <x v="0"/>
          </reference>
          <reference field="2" count="1" selected="0">
            <x v="24"/>
          </reference>
        </references>
      </pivotArea>
    </chartFormat>
    <chartFormat chart="2" format="272" series="1">
      <pivotArea type="data" outline="0" fieldPosition="0">
        <references count="2">
          <reference field="4294967294" count="1" selected="0">
            <x v="0"/>
          </reference>
          <reference field="2" count="1" selected="0">
            <x v="25"/>
          </reference>
        </references>
      </pivotArea>
    </chartFormat>
    <chartFormat chart="2" format="273" series="1">
      <pivotArea type="data" outline="0" fieldPosition="0">
        <references count="2">
          <reference field="4294967294" count="1" selected="0">
            <x v="0"/>
          </reference>
          <reference field="2" count="1" selected="0">
            <x v="26"/>
          </reference>
        </references>
      </pivotArea>
    </chartFormat>
    <chartFormat chart="3" format="274" series="1">
      <pivotArea type="data" outline="0" fieldPosition="0">
        <references count="2">
          <reference field="4294967294" count="1" selected="0">
            <x v="0"/>
          </reference>
          <reference field="2" count="1" selected="0">
            <x v="0"/>
          </reference>
        </references>
      </pivotArea>
    </chartFormat>
    <chartFormat chart="3" format="275" series="1">
      <pivotArea type="data" outline="0" fieldPosition="0">
        <references count="2">
          <reference field="4294967294" count="1" selected="0">
            <x v="0"/>
          </reference>
          <reference field="2" count="1" selected="0">
            <x v="1"/>
          </reference>
        </references>
      </pivotArea>
    </chartFormat>
    <chartFormat chart="3" format="276" series="1">
      <pivotArea type="data" outline="0" fieldPosition="0">
        <references count="2">
          <reference field="4294967294" count="1" selected="0">
            <x v="0"/>
          </reference>
          <reference field="2" count="1" selected="0">
            <x v="2"/>
          </reference>
        </references>
      </pivotArea>
    </chartFormat>
    <chartFormat chart="3" format="277" series="1">
      <pivotArea type="data" outline="0" fieldPosition="0">
        <references count="2">
          <reference field="4294967294" count="1" selected="0">
            <x v="0"/>
          </reference>
          <reference field="2" count="1" selected="0">
            <x v="3"/>
          </reference>
        </references>
      </pivotArea>
    </chartFormat>
    <chartFormat chart="3" format="278" series="1">
      <pivotArea type="data" outline="0" fieldPosition="0">
        <references count="2">
          <reference field="4294967294" count="1" selected="0">
            <x v="0"/>
          </reference>
          <reference field="2" count="1" selected="0">
            <x v="4"/>
          </reference>
        </references>
      </pivotArea>
    </chartFormat>
    <chartFormat chart="3" format="279" series="1">
      <pivotArea type="data" outline="0" fieldPosition="0">
        <references count="2">
          <reference field="4294967294" count="1" selected="0">
            <x v="0"/>
          </reference>
          <reference field="2" count="1" selected="0">
            <x v="5"/>
          </reference>
        </references>
      </pivotArea>
    </chartFormat>
    <chartFormat chart="3" format="280" series="1">
      <pivotArea type="data" outline="0" fieldPosition="0">
        <references count="2">
          <reference field="4294967294" count="1" selected="0">
            <x v="0"/>
          </reference>
          <reference field="2" count="1" selected="0">
            <x v="6"/>
          </reference>
        </references>
      </pivotArea>
    </chartFormat>
    <chartFormat chart="3" format="281" series="1">
      <pivotArea type="data" outline="0" fieldPosition="0">
        <references count="2">
          <reference field="4294967294" count="1" selected="0">
            <x v="0"/>
          </reference>
          <reference field="2" count="1" selected="0">
            <x v="7"/>
          </reference>
        </references>
      </pivotArea>
    </chartFormat>
    <chartFormat chart="3" format="282" series="1">
      <pivotArea type="data" outline="0" fieldPosition="0">
        <references count="2">
          <reference field="4294967294" count="1" selected="0">
            <x v="0"/>
          </reference>
          <reference field="2" count="1" selected="0">
            <x v="8"/>
          </reference>
        </references>
      </pivotArea>
    </chartFormat>
    <chartFormat chart="3" format="283" series="1">
      <pivotArea type="data" outline="0" fieldPosition="0">
        <references count="2">
          <reference field="4294967294" count="1" selected="0">
            <x v="0"/>
          </reference>
          <reference field="2" count="1" selected="0">
            <x v="9"/>
          </reference>
        </references>
      </pivotArea>
    </chartFormat>
    <chartFormat chart="3" format="284" series="1">
      <pivotArea type="data" outline="0" fieldPosition="0">
        <references count="2">
          <reference field="4294967294" count="1" selected="0">
            <x v="0"/>
          </reference>
          <reference field="2" count="1" selected="0">
            <x v="10"/>
          </reference>
        </references>
      </pivotArea>
    </chartFormat>
    <chartFormat chart="3" format="285" series="1">
      <pivotArea type="data" outline="0" fieldPosition="0">
        <references count="2">
          <reference field="4294967294" count="1" selected="0">
            <x v="0"/>
          </reference>
          <reference field="2" count="1" selected="0">
            <x v="11"/>
          </reference>
        </references>
      </pivotArea>
    </chartFormat>
    <chartFormat chart="3" format="286" series="1">
      <pivotArea type="data" outline="0" fieldPosition="0">
        <references count="2">
          <reference field="4294967294" count="1" selected="0">
            <x v="0"/>
          </reference>
          <reference field="2" count="1" selected="0">
            <x v="12"/>
          </reference>
        </references>
      </pivotArea>
    </chartFormat>
    <chartFormat chart="3" format="287" series="1">
      <pivotArea type="data" outline="0" fieldPosition="0">
        <references count="2">
          <reference field="4294967294" count="1" selected="0">
            <x v="0"/>
          </reference>
          <reference field="2" count="1" selected="0">
            <x v="13"/>
          </reference>
        </references>
      </pivotArea>
    </chartFormat>
    <chartFormat chart="3" format="288" series="1">
      <pivotArea type="data" outline="0" fieldPosition="0">
        <references count="2">
          <reference field="4294967294" count="1" selected="0">
            <x v="0"/>
          </reference>
          <reference field="2" count="1" selected="0">
            <x v="14"/>
          </reference>
        </references>
      </pivotArea>
    </chartFormat>
    <chartFormat chart="3" format="289" series="1">
      <pivotArea type="data" outline="0" fieldPosition="0">
        <references count="2">
          <reference field="4294967294" count="1" selected="0">
            <x v="0"/>
          </reference>
          <reference field="2" count="1" selected="0">
            <x v="15"/>
          </reference>
        </references>
      </pivotArea>
    </chartFormat>
    <chartFormat chart="3" format="290" series="1">
      <pivotArea type="data" outline="0" fieldPosition="0">
        <references count="2">
          <reference field="4294967294" count="1" selected="0">
            <x v="0"/>
          </reference>
          <reference field="2" count="1" selected="0">
            <x v="16"/>
          </reference>
        </references>
      </pivotArea>
    </chartFormat>
    <chartFormat chart="3" format="291" series="1">
      <pivotArea type="data" outline="0" fieldPosition="0">
        <references count="2">
          <reference field="4294967294" count="1" selected="0">
            <x v="0"/>
          </reference>
          <reference field="2" count="1" selected="0">
            <x v="17"/>
          </reference>
        </references>
      </pivotArea>
    </chartFormat>
    <chartFormat chart="3" format="292" series="1">
      <pivotArea type="data" outline="0" fieldPosition="0">
        <references count="2">
          <reference field="4294967294" count="1" selected="0">
            <x v="0"/>
          </reference>
          <reference field="2" count="1" selected="0">
            <x v="18"/>
          </reference>
        </references>
      </pivotArea>
    </chartFormat>
    <chartFormat chart="3" format="293" series="1">
      <pivotArea type="data" outline="0" fieldPosition="0">
        <references count="2">
          <reference field="4294967294" count="1" selected="0">
            <x v="0"/>
          </reference>
          <reference field="2" count="1" selected="0">
            <x v="19"/>
          </reference>
        </references>
      </pivotArea>
    </chartFormat>
    <chartFormat chart="3" format="294" series="1">
      <pivotArea type="data" outline="0" fieldPosition="0">
        <references count="2">
          <reference field="4294967294" count="1" selected="0">
            <x v="0"/>
          </reference>
          <reference field="2" count="1" selected="0">
            <x v="20"/>
          </reference>
        </references>
      </pivotArea>
    </chartFormat>
    <chartFormat chart="3" format="295" series="1">
      <pivotArea type="data" outline="0" fieldPosition="0">
        <references count="2">
          <reference field="4294967294" count="1" selected="0">
            <x v="0"/>
          </reference>
          <reference field="2" count="1" selected="0">
            <x v="21"/>
          </reference>
        </references>
      </pivotArea>
    </chartFormat>
    <chartFormat chart="3" format="296" series="1">
      <pivotArea type="data" outline="0" fieldPosition="0">
        <references count="2">
          <reference field="4294967294" count="1" selected="0">
            <x v="0"/>
          </reference>
          <reference field="2" count="1" selected="0">
            <x v="22"/>
          </reference>
        </references>
      </pivotArea>
    </chartFormat>
    <chartFormat chart="3" format="297" series="1">
      <pivotArea type="data" outline="0" fieldPosition="0">
        <references count="2">
          <reference field="4294967294" count="1" selected="0">
            <x v="0"/>
          </reference>
          <reference field="2" count="1" selected="0">
            <x v="23"/>
          </reference>
        </references>
      </pivotArea>
    </chartFormat>
    <chartFormat chart="3" format="298" series="1">
      <pivotArea type="data" outline="0" fieldPosition="0">
        <references count="2">
          <reference field="4294967294" count="1" selected="0">
            <x v="0"/>
          </reference>
          <reference field="2" count="1" selected="0">
            <x v="24"/>
          </reference>
        </references>
      </pivotArea>
    </chartFormat>
    <chartFormat chart="3" format="299" series="1">
      <pivotArea type="data" outline="0" fieldPosition="0">
        <references count="2">
          <reference field="4294967294" count="1" selected="0">
            <x v="0"/>
          </reference>
          <reference field="2" count="1" selected="0">
            <x v="25"/>
          </reference>
        </references>
      </pivotArea>
    </chartFormat>
    <chartFormat chart="3" format="300" series="1">
      <pivotArea type="data" outline="0" fieldPosition="0">
        <references count="2">
          <reference field="4294967294" count="1" selected="0">
            <x v="0"/>
          </reference>
          <reference field="2" count="1" selected="0">
            <x v="26"/>
          </reference>
        </references>
      </pivotArea>
    </chartFormat>
    <chartFormat chart="4" format="301" series="1">
      <pivotArea type="data" outline="0" fieldPosition="0">
        <references count="2">
          <reference field="4294967294" count="1" selected="0">
            <x v="0"/>
          </reference>
          <reference field="2" count="1" selected="0">
            <x v="0"/>
          </reference>
        </references>
      </pivotArea>
    </chartFormat>
    <chartFormat chart="4" format="302" series="1">
      <pivotArea type="data" outline="0" fieldPosition="0">
        <references count="2">
          <reference field="4294967294" count="1" selected="0">
            <x v="0"/>
          </reference>
          <reference field="2" count="1" selected="0">
            <x v="1"/>
          </reference>
        </references>
      </pivotArea>
    </chartFormat>
    <chartFormat chart="4" format="303" series="1">
      <pivotArea type="data" outline="0" fieldPosition="0">
        <references count="2">
          <reference field="4294967294" count="1" selected="0">
            <x v="0"/>
          </reference>
          <reference field="2" count="1" selected="0">
            <x v="2"/>
          </reference>
        </references>
      </pivotArea>
    </chartFormat>
    <chartFormat chart="4" format="304" series="1">
      <pivotArea type="data" outline="0" fieldPosition="0">
        <references count="2">
          <reference field="4294967294" count="1" selected="0">
            <x v="0"/>
          </reference>
          <reference field="2" count="1" selected="0">
            <x v="3"/>
          </reference>
        </references>
      </pivotArea>
    </chartFormat>
    <chartFormat chart="4" format="305" series="1">
      <pivotArea type="data" outline="0" fieldPosition="0">
        <references count="2">
          <reference field="4294967294" count="1" selected="0">
            <x v="0"/>
          </reference>
          <reference field="2" count="1" selected="0">
            <x v="4"/>
          </reference>
        </references>
      </pivotArea>
    </chartFormat>
    <chartFormat chart="4" format="306" series="1">
      <pivotArea type="data" outline="0" fieldPosition="0">
        <references count="2">
          <reference field="4294967294" count="1" selected="0">
            <x v="0"/>
          </reference>
          <reference field="2" count="1" selected="0">
            <x v="5"/>
          </reference>
        </references>
      </pivotArea>
    </chartFormat>
    <chartFormat chart="4" format="307" series="1">
      <pivotArea type="data" outline="0" fieldPosition="0">
        <references count="2">
          <reference field="4294967294" count="1" selected="0">
            <x v="0"/>
          </reference>
          <reference field="2" count="1" selected="0">
            <x v="6"/>
          </reference>
        </references>
      </pivotArea>
    </chartFormat>
    <chartFormat chart="4" format="308" series="1">
      <pivotArea type="data" outline="0" fieldPosition="0">
        <references count="2">
          <reference field="4294967294" count="1" selected="0">
            <x v="0"/>
          </reference>
          <reference field="2" count="1" selected="0">
            <x v="7"/>
          </reference>
        </references>
      </pivotArea>
    </chartFormat>
    <chartFormat chart="4" format="309" series="1">
      <pivotArea type="data" outline="0" fieldPosition="0">
        <references count="2">
          <reference field="4294967294" count="1" selected="0">
            <x v="0"/>
          </reference>
          <reference field="2" count="1" selected="0">
            <x v="8"/>
          </reference>
        </references>
      </pivotArea>
    </chartFormat>
    <chartFormat chart="4" format="310" series="1">
      <pivotArea type="data" outline="0" fieldPosition="0">
        <references count="2">
          <reference field="4294967294" count="1" selected="0">
            <x v="0"/>
          </reference>
          <reference field="2" count="1" selected="0">
            <x v="9"/>
          </reference>
        </references>
      </pivotArea>
    </chartFormat>
    <chartFormat chart="4" format="311" series="1">
      <pivotArea type="data" outline="0" fieldPosition="0">
        <references count="2">
          <reference field="4294967294" count="1" selected="0">
            <x v="0"/>
          </reference>
          <reference field="2" count="1" selected="0">
            <x v="10"/>
          </reference>
        </references>
      </pivotArea>
    </chartFormat>
    <chartFormat chart="4" format="312" series="1">
      <pivotArea type="data" outline="0" fieldPosition="0">
        <references count="2">
          <reference field="4294967294" count="1" selected="0">
            <x v="0"/>
          </reference>
          <reference field="2" count="1" selected="0">
            <x v="11"/>
          </reference>
        </references>
      </pivotArea>
    </chartFormat>
    <chartFormat chart="4" format="313" series="1">
      <pivotArea type="data" outline="0" fieldPosition="0">
        <references count="2">
          <reference field="4294967294" count="1" selected="0">
            <x v="0"/>
          </reference>
          <reference field="2" count="1" selected="0">
            <x v="12"/>
          </reference>
        </references>
      </pivotArea>
    </chartFormat>
    <chartFormat chart="4" format="314" series="1">
      <pivotArea type="data" outline="0" fieldPosition="0">
        <references count="2">
          <reference field="4294967294" count="1" selected="0">
            <x v="0"/>
          </reference>
          <reference field="2" count="1" selected="0">
            <x v="13"/>
          </reference>
        </references>
      </pivotArea>
    </chartFormat>
    <chartFormat chart="4" format="315" series="1">
      <pivotArea type="data" outline="0" fieldPosition="0">
        <references count="2">
          <reference field="4294967294" count="1" selected="0">
            <x v="0"/>
          </reference>
          <reference field="2" count="1" selected="0">
            <x v="14"/>
          </reference>
        </references>
      </pivotArea>
    </chartFormat>
    <chartFormat chart="4" format="316" series="1">
      <pivotArea type="data" outline="0" fieldPosition="0">
        <references count="2">
          <reference field="4294967294" count="1" selected="0">
            <x v="0"/>
          </reference>
          <reference field="2" count="1" selected="0">
            <x v="15"/>
          </reference>
        </references>
      </pivotArea>
    </chartFormat>
    <chartFormat chart="4" format="317" series="1">
      <pivotArea type="data" outline="0" fieldPosition="0">
        <references count="2">
          <reference field="4294967294" count="1" selected="0">
            <x v="0"/>
          </reference>
          <reference field="2" count="1" selected="0">
            <x v="16"/>
          </reference>
        </references>
      </pivotArea>
    </chartFormat>
    <chartFormat chart="4" format="318" series="1">
      <pivotArea type="data" outline="0" fieldPosition="0">
        <references count="2">
          <reference field="4294967294" count="1" selected="0">
            <x v="0"/>
          </reference>
          <reference field="2" count="1" selected="0">
            <x v="17"/>
          </reference>
        </references>
      </pivotArea>
    </chartFormat>
    <chartFormat chart="4" format="319" series="1">
      <pivotArea type="data" outline="0" fieldPosition="0">
        <references count="2">
          <reference field="4294967294" count="1" selected="0">
            <x v="0"/>
          </reference>
          <reference field="2" count="1" selected="0">
            <x v="18"/>
          </reference>
        </references>
      </pivotArea>
    </chartFormat>
    <chartFormat chart="4" format="320" series="1">
      <pivotArea type="data" outline="0" fieldPosition="0">
        <references count="2">
          <reference field="4294967294" count="1" selected="0">
            <x v="0"/>
          </reference>
          <reference field="2" count="1" selected="0">
            <x v="19"/>
          </reference>
        </references>
      </pivotArea>
    </chartFormat>
    <chartFormat chart="4" format="321" series="1">
      <pivotArea type="data" outline="0" fieldPosition="0">
        <references count="2">
          <reference field="4294967294" count="1" selected="0">
            <x v="0"/>
          </reference>
          <reference field="2" count="1" selected="0">
            <x v="20"/>
          </reference>
        </references>
      </pivotArea>
    </chartFormat>
    <chartFormat chart="4" format="322" series="1">
      <pivotArea type="data" outline="0" fieldPosition="0">
        <references count="2">
          <reference field="4294967294" count="1" selected="0">
            <x v="0"/>
          </reference>
          <reference field="2" count="1" selected="0">
            <x v="21"/>
          </reference>
        </references>
      </pivotArea>
    </chartFormat>
    <chartFormat chart="4" format="323" series="1">
      <pivotArea type="data" outline="0" fieldPosition="0">
        <references count="2">
          <reference field="4294967294" count="1" selected="0">
            <x v="0"/>
          </reference>
          <reference field="2" count="1" selected="0">
            <x v="22"/>
          </reference>
        </references>
      </pivotArea>
    </chartFormat>
    <chartFormat chart="4" format="324" series="1">
      <pivotArea type="data" outline="0" fieldPosition="0">
        <references count="2">
          <reference field="4294967294" count="1" selected="0">
            <x v="0"/>
          </reference>
          <reference field="2" count="1" selected="0">
            <x v="23"/>
          </reference>
        </references>
      </pivotArea>
    </chartFormat>
    <chartFormat chart="4" format="325" series="1">
      <pivotArea type="data" outline="0" fieldPosition="0">
        <references count="2">
          <reference field="4294967294" count="1" selected="0">
            <x v="0"/>
          </reference>
          <reference field="2" count="1" selected="0">
            <x v="24"/>
          </reference>
        </references>
      </pivotArea>
    </chartFormat>
    <chartFormat chart="4" format="326" series="1">
      <pivotArea type="data" outline="0" fieldPosition="0">
        <references count="2">
          <reference field="4294967294" count="1" selected="0">
            <x v="0"/>
          </reference>
          <reference field="2" count="1" selected="0">
            <x v="25"/>
          </reference>
        </references>
      </pivotArea>
    </chartFormat>
    <chartFormat chart="4" format="327" series="1">
      <pivotArea type="data" outline="0" fieldPosition="0">
        <references count="2">
          <reference field="4294967294" count="1" selected="0">
            <x v="0"/>
          </reference>
          <reference field="2" count="1" selected="0">
            <x v="2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CA14FE5-590C-4DFD-B380-9F82BCC0B3B2}" name="PivotTable1" cacheId="2" applyNumberFormats="0" applyBorderFormats="0" applyFontFormats="0" applyPatternFormats="0" applyAlignmentFormats="0" applyWidthHeightFormats="1" dataCaption="Werte" updatedVersion="6" minRefreshableVersion="3" useAutoFormatting="1" rowGrandTotals="0" colGrandTotals="0" itemPrintTitles="1" createdVersion="6" indent="0" outline="1" outlineData="1" multipleFieldFilters="0" chartFormat="4">
  <location ref="A3:I58" firstHeaderRow="1" firstDataRow="3" firstDataCol="1"/>
  <pivotFields count="7">
    <pivotField showAll="0"/>
    <pivotField axis="axisCol" showAll="0">
      <items count="4">
        <item x="0"/>
        <item x="1"/>
        <item h="1" x="2"/>
        <item t="default"/>
      </items>
    </pivotField>
    <pivotField axis="axisRow" showAll="0">
      <items count="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dataField="1" showAll="0"/>
    <pivotField dataField="1" showAll="0"/>
    <pivotField dataField="1" showAll="0"/>
    <pivotField dataField="1" showAll="0"/>
  </pivotFields>
  <rowFields count="1">
    <field x="2"/>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rowItems>
  <colFields count="2">
    <field x="-2"/>
    <field x="1"/>
  </colFields>
  <colItems count="8">
    <i>
      <x/>
      <x/>
    </i>
    <i r="1">
      <x v="1"/>
    </i>
    <i i="1">
      <x v="1"/>
      <x/>
    </i>
    <i r="1" i="1">
      <x v="1"/>
    </i>
    <i i="2">
      <x v="2"/>
      <x/>
    </i>
    <i r="1" i="2">
      <x v="1"/>
    </i>
    <i i="3">
      <x v="3"/>
      <x/>
    </i>
    <i r="1" i="3">
      <x v="1"/>
    </i>
  </colItems>
  <dataFields count="4">
    <dataField name="Untere Grenze" fld="3" baseField="2" baseItem="0"/>
    <dataField name="Erwartungen" fld="4" baseField="2" baseItem="0"/>
    <dataField name="Obere Grenze" fld="5" baseField="2" baseItem="0"/>
    <dataField name="Hochrechnungen" fld="6" baseField="2" baseItem="0"/>
  </dataFields>
  <chartFormats count="35">
    <chartFormat chart="0" format="33" series="1">
      <pivotArea type="data" outline="0" fieldPosition="0">
        <references count="1">
          <reference field="1" count="1" selected="0">
            <x v="0"/>
          </reference>
        </references>
      </pivotArea>
    </chartFormat>
    <chartFormat chart="0" format="34" series="1">
      <pivotArea type="data" outline="0" fieldPosition="0">
        <references count="1">
          <reference field="1" count="1" selected="0">
            <x v="1"/>
          </reference>
        </references>
      </pivotArea>
    </chartFormat>
    <chartFormat chart="0" format="35" series="1">
      <pivotArea type="data" outline="0" fieldPosition="0">
        <references count="1">
          <reference field="1" count="1" selected="0">
            <x v="2"/>
          </reference>
        </references>
      </pivotArea>
    </chartFormat>
    <chartFormat chart="0" format="232" series="1">
      <pivotArea type="data" outline="0" fieldPosition="0">
        <references count="1">
          <reference field="4294967294" count="1" selected="0">
            <x v="0"/>
          </reference>
        </references>
      </pivotArea>
    </chartFormat>
    <chartFormat chart="0" format="233" series="1">
      <pivotArea type="data" outline="0" fieldPosition="0">
        <references count="1">
          <reference field="4294967294" count="1" selected="0">
            <x v="1"/>
          </reference>
        </references>
      </pivotArea>
    </chartFormat>
    <chartFormat chart="0" format="234" series="1">
      <pivotArea type="data" outline="0" fieldPosition="0">
        <references count="1">
          <reference field="4294967294" count="1" selected="0">
            <x v="2"/>
          </reference>
        </references>
      </pivotArea>
    </chartFormat>
    <chartFormat chart="0" format="235" series="1">
      <pivotArea type="data" outline="0" fieldPosition="0">
        <references count="1">
          <reference field="4294967294" count="1" selected="0">
            <x v="3"/>
          </reference>
        </references>
      </pivotArea>
    </chartFormat>
    <chartFormat chart="0" format="236" series="1">
      <pivotArea type="data" outline="0" fieldPosition="0">
        <references count="2">
          <reference field="4294967294" count="1" selected="0">
            <x v="1"/>
          </reference>
          <reference field="1" count="1" selected="0">
            <x v="1"/>
          </reference>
        </references>
      </pivotArea>
    </chartFormat>
    <chartFormat chart="0" format="237" series="1">
      <pivotArea type="data" outline="0" fieldPosition="0">
        <references count="2">
          <reference field="4294967294" count="1" selected="0">
            <x v="1"/>
          </reference>
          <reference field="1" count="1" selected="0">
            <x v="2"/>
          </reference>
        </references>
      </pivotArea>
    </chartFormat>
    <chartFormat chart="0" format="238" series="1">
      <pivotArea type="data" outline="0" fieldPosition="0">
        <references count="2">
          <reference field="4294967294" count="1" selected="0">
            <x v="2"/>
          </reference>
          <reference field="1" count="1" selected="0">
            <x v="0"/>
          </reference>
        </references>
      </pivotArea>
    </chartFormat>
    <chartFormat chart="0" format="239" series="1">
      <pivotArea type="data" outline="0" fieldPosition="0">
        <references count="2">
          <reference field="4294967294" count="1" selected="0">
            <x v="2"/>
          </reference>
          <reference field="1" count="1" selected="0">
            <x v="1"/>
          </reference>
        </references>
      </pivotArea>
    </chartFormat>
    <chartFormat chart="0" format="240" series="1">
      <pivotArea type="data" outline="0" fieldPosition="0">
        <references count="2">
          <reference field="4294967294" count="1" selected="0">
            <x v="2"/>
          </reference>
          <reference field="1" count="1" selected="0">
            <x v="2"/>
          </reference>
        </references>
      </pivotArea>
    </chartFormat>
    <chartFormat chart="0" format="241" series="1">
      <pivotArea type="data" outline="0" fieldPosition="0">
        <references count="2">
          <reference field="4294967294" count="1" selected="0">
            <x v="3"/>
          </reference>
          <reference field="1" count="1" selected="0">
            <x v="0"/>
          </reference>
        </references>
      </pivotArea>
    </chartFormat>
    <chartFormat chart="0" format="242" series="1">
      <pivotArea type="data" outline="0" fieldPosition="0">
        <references count="2">
          <reference field="4294967294" count="1" selected="0">
            <x v="3"/>
          </reference>
          <reference field="1" count="1" selected="0">
            <x v="1"/>
          </reference>
        </references>
      </pivotArea>
    </chartFormat>
    <chartFormat chart="0" format="243" series="1">
      <pivotArea type="data" outline="0" fieldPosition="0">
        <references count="2">
          <reference field="4294967294" count="1" selected="0">
            <x v="3"/>
          </reference>
          <reference field="1" count="1" selected="0">
            <x v="2"/>
          </reference>
        </references>
      </pivotArea>
    </chartFormat>
    <chartFormat chart="0" format="244" series="1">
      <pivotArea type="data" outline="0" fieldPosition="0">
        <references count="2">
          <reference field="4294967294" count="1" selected="0">
            <x v="0"/>
          </reference>
          <reference field="1" count="1" selected="0">
            <x v="0"/>
          </reference>
        </references>
      </pivotArea>
    </chartFormat>
    <chartFormat chart="0" format="245" series="1">
      <pivotArea type="data" outline="0" fieldPosition="0">
        <references count="2">
          <reference field="4294967294" count="1" selected="0">
            <x v="0"/>
          </reference>
          <reference field="1" count="1" selected="0">
            <x v="1"/>
          </reference>
        </references>
      </pivotArea>
    </chartFormat>
    <chartFormat chart="0" format="246" series="1">
      <pivotArea type="data" outline="0" fieldPosition="0">
        <references count="2">
          <reference field="4294967294" count="1" selected="0">
            <x v="0"/>
          </reference>
          <reference field="1" count="1" selected="0">
            <x v="2"/>
          </reference>
        </references>
      </pivotArea>
    </chartFormat>
    <chartFormat chart="0" format="247" series="1">
      <pivotArea type="data" outline="0" fieldPosition="0">
        <references count="2">
          <reference field="4294967294" count="1" selected="0">
            <x v="1"/>
          </reference>
          <reference field="1" count="1" selected="0">
            <x v="0"/>
          </reference>
        </references>
      </pivotArea>
    </chartFormat>
    <chartFormat chart="2" format="248" series="1">
      <pivotArea type="data" outline="0" fieldPosition="0">
        <references count="2">
          <reference field="4294967294" count="1" selected="0">
            <x v="0"/>
          </reference>
          <reference field="1" count="1" selected="0">
            <x v="1"/>
          </reference>
        </references>
      </pivotArea>
    </chartFormat>
    <chartFormat chart="2" format="249" series="1">
      <pivotArea type="data" outline="0" fieldPosition="0">
        <references count="2">
          <reference field="4294967294" count="1" selected="0">
            <x v="1"/>
          </reference>
          <reference field="1" count="1" selected="0">
            <x v="0"/>
          </reference>
        </references>
      </pivotArea>
    </chartFormat>
    <chartFormat chart="2" format="250" series="1">
      <pivotArea type="data" outline="0" fieldPosition="0">
        <references count="2">
          <reference field="4294967294" count="1" selected="0">
            <x v="2"/>
          </reference>
          <reference field="1" count="1" selected="0">
            <x v="0"/>
          </reference>
        </references>
      </pivotArea>
    </chartFormat>
    <chartFormat chart="2" format="251" series="1">
      <pivotArea type="data" outline="0" fieldPosition="0">
        <references count="2">
          <reference field="4294967294" count="1" selected="0">
            <x v="2"/>
          </reference>
          <reference field="1" count="1" selected="0">
            <x v="1"/>
          </reference>
        </references>
      </pivotArea>
    </chartFormat>
    <chartFormat chart="2" format="252" series="1">
      <pivotArea type="data" outline="0" fieldPosition="0">
        <references count="2">
          <reference field="4294967294" count="1" selected="0">
            <x v="3"/>
          </reference>
          <reference field="1" count="1" selected="0">
            <x v="1"/>
          </reference>
        </references>
      </pivotArea>
    </chartFormat>
    <chartFormat chart="2" format="253" series="1">
      <pivotArea type="data" outline="0" fieldPosition="0">
        <references count="2">
          <reference field="4294967294" count="1" selected="0">
            <x v="0"/>
          </reference>
          <reference field="1" count="1" selected="0">
            <x v="0"/>
          </reference>
        </references>
      </pivotArea>
    </chartFormat>
    <chartFormat chart="2" format="254" series="1">
      <pivotArea type="data" outline="0" fieldPosition="0">
        <references count="2">
          <reference field="4294967294" count="1" selected="0">
            <x v="1"/>
          </reference>
          <reference field="1" count="1" selected="0">
            <x v="1"/>
          </reference>
        </references>
      </pivotArea>
    </chartFormat>
    <chartFormat chart="2" format="255" series="1">
      <pivotArea type="data" outline="0" fieldPosition="0">
        <references count="2">
          <reference field="4294967294" count="1" selected="0">
            <x v="3"/>
          </reference>
          <reference field="1" count="1" selected="0">
            <x v="0"/>
          </reference>
        </references>
      </pivotArea>
    </chartFormat>
    <chartFormat chart="3" format="256" series="1">
      <pivotArea type="data" outline="0" fieldPosition="0">
        <references count="2">
          <reference field="4294967294" count="1" selected="0">
            <x v="0"/>
          </reference>
          <reference field="1" count="1" selected="0">
            <x v="1"/>
          </reference>
        </references>
      </pivotArea>
    </chartFormat>
    <chartFormat chart="3" format="257" series="1">
      <pivotArea type="data" outline="0" fieldPosition="0">
        <references count="2">
          <reference field="4294967294" count="1" selected="0">
            <x v="1"/>
          </reference>
          <reference field="1" count="1" selected="0">
            <x v="0"/>
          </reference>
        </references>
      </pivotArea>
    </chartFormat>
    <chartFormat chart="3" format="258" series="1">
      <pivotArea type="data" outline="0" fieldPosition="0">
        <references count="2">
          <reference field="4294967294" count="1" selected="0">
            <x v="2"/>
          </reference>
          <reference field="1" count="1" selected="0">
            <x v="0"/>
          </reference>
        </references>
      </pivotArea>
    </chartFormat>
    <chartFormat chart="3" format="259" series="1">
      <pivotArea type="data" outline="0" fieldPosition="0">
        <references count="2">
          <reference field="4294967294" count="1" selected="0">
            <x v="2"/>
          </reference>
          <reference field="1" count="1" selected="0">
            <x v="1"/>
          </reference>
        </references>
      </pivotArea>
    </chartFormat>
    <chartFormat chart="3" format="260" series="1">
      <pivotArea type="data" outline="0" fieldPosition="0">
        <references count="2">
          <reference field="4294967294" count="1" selected="0">
            <x v="3"/>
          </reference>
          <reference field="1" count="1" selected="0">
            <x v="1"/>
          </reference>
        </references>
      </pivotArea>
    </chartFormat>
    <chartFormat chart="3" format="261" series="1">
      <pivotArea type="data" outline="0" fieldPosition="0">
        <references count="2">
          <reference field="4294967294" count="1" selected="0">
            <x v="0"/>
          </reference>
          <reference field="1" count="1" selected="0">
            <x v="0"/>
          </reference>
        </references>
      </pivotArea>
    </chartFormat>
    <chartFormat chart="3" format="262" series="1">
      <pivotArea type="data" outline="0" fieldPosition="0">
        <references count="2">
          <reference field="4294967294" count="1" selected="0">
            <x v="1"/>
          </reference>
          <reference field="1" count="1" selected="0">
            <x v="1"/>
          </reference>
        </references>
      </pivotArea>
    </chartFormat>
    <chartFormat chart="3" format="263" series="1">
      <pivotArea type="data" outline="0" fieldPosition="0">
        <references count="2">
          <reference field="4294967294" count="1" selected="0">
            <x v="3"/>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5" xr16:uid="{34D7C93D-BA1C-4C66-ACD4-3B12E3A5002D}" autoFormatId="16" applyNumberFormats="0" applyBorderFormats="0" applyFontFormats="0" applyPatternFormats="0" applyAlignmentFormats="0" applyWidthHeightFormats="0">
  <queryTableRefresh nextId="10">
    <queryTableFields count="9">
      <queryTableField id="1" name="KJ" tableColumnId="1"/>
      <queryTableField id="2" name="Kalenderwoche" tableColumnId="2"/>
      <queryTableField id="3" name="Endend" tableColumnId="3"/>
      <queryTableField id="4" name="Alter" tableColumnId="4"/>
      <queryTableField id="5" name="Anzahl_Todesfalle" tableColumnId="5"/>
      <queryTableField id="6" name="Erwartung" tableColumnId="6"/>
      <queryTableField id="7" name="untGrenze" tableColumnId="7"/>
      <queryTableField id="8" name="obeGrenze" tableColumnId="8"/>
      <queryTableField id="9" name="Exzess"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3" xr16:uid="{2EC84AB0-A35E-474C-B0F5-27003FCCA62D}" autoFormatId="16" applyNumberFormats="0" applyBorderFormats="0" applyFontFormats="0" applyPatternFormats="0" applyAlignmentFormats="0" applyWidthHeightFormats="0">
  <queryTableRefresh nextId="19">
    <queryTableFields count="18">
      <queryTableField id="1" name="date" tableColumnId="1"/>
      <queryTableField id="2" name="last_update" tableColumnId="2"/>
      <queryTableField id="3" name="country" tableColumnId="3"/>
      <queryTableField id="4" name="intensive_care" tableColumnId="4"/>
      <queryTableField id="5" name="total_hospitalized" tableColumnId="5"/>
      <queryTableField id="6" name="total_currently_positive" tableColumnId="6"/>
      <queryTableField id="7" name="total_positive" tableColumnId="7"/>
      <queryTableField id="8" name="tests_performed" tableColumnId="8"/>
      <queryTableField id="9" name="released" tableColumnId="9"/>
      <queryTableField id="10" name="deaths" tableColumnId="10"/>
      <queryTableField id="11" name="home_confinment" tableColumnId="11"/>
      <queryTableField id="12" name="new_positive" tableColumnId="12"/>
      <queryTableField id="13" name="old_positive" tableColumnId="13"/>
      <queryTableField id="14" name="hospitalized_with_symptoms" tableColumnId="14"/>
      <queryTableField id="15" name="new_deaths" tableColumnId="15"/>
      <queryTableField id="16" name="old_deaths" tableColumnId="16"/>
      <queryTableField id="17" name="doubling_time_total_positive" tableColumnId="17"/>
      <queryTableField id="18" name="doubling_time_fatalities" tableColumnId="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2" xr16:uid="{A18A4422-D724-446D-AEAE-B397FF0A4D52}" autoFormatId="16" applyNumberFormats="0" applyBorderFormats="0" applyFontFormats="0" applyPatternFormats="0" applyAlignmentFormats="0" applyWidthHeightFormats="0">
  <queryTableRefresh nextId="187">
    <queryTableFields count="32">
      <queryTableField id="126" name="last_update" tableColumnId="81"/>
      <queryTableField id="127" name="timestamp" tableColumnId="82"/>
      <queryTableField id="128" name="country" tableColumnId="83"/>
      <queryTableField id="129" name="abbreviation_canton" tableColumnId="84"/>
      <queryTableField id="130" name="name_canton" tableColumnId="85"/>
      <queryTableField id="131" name="number_canton" tableColumnId="86"/>
      <queryTableField id="132" name="lat" tableColumnId="87"/>
      <queryTableField id="133" name="long" tableColumnId="88"/>
      <queryTableField id="134" name="tests_performed" tableColumnId="89"/>
      <queryTableField id="135" name="total_currently_positive_cases" tableColumnId="90"/>
      <queryTableField id="136" name="total_positive_cases" tableColumnId="91"/>
      <queryTableField id="137" name="new_hosp" tableColumnId="92"/>
      <queryTableField id="138" name="total_hospitalized" tableColumnId="93"/>
      <queryTableField id="139" name="total_currently_positive_per_100k" tableColumnId="94"/>
      <queryTableField id="140" name="deaths_per_100k" tableColumnId="95"/>
      <queryTableField id="141" name="released" tableColumnId="96"/>
      <queryTableField id="142" name="ncumul_ICU_intub" tableColumnId="97"/>
      <queryTableField id="143" name="deaths" tableColumnId="98"/>
      <queryTableField id="144" name="intensive_care" tableColumnId="99"/>
      <queryTableField id="145" name="ncumul_vent" tableColumnId="100"/>
      <queryTableField id="146" name="ncumul_confirmed_non_resident" tableColumnId="101"/>
      <queryTableField id="147" name="current_hosp_non_resident" tableColumnId="102"/>
      <queryTableField id="148" name="TotalPosTests1" tableColumnId="103"/>
      <queryTableField id="149" name="ninst_ICU_intub" tableColumnId="104"/>
      <queryTableField id="150" name="ncumul_ICF" tableColumnId="105"/>
      <queryTableField id="151" name="new_positive_cases" tableColumnId="106"/>
      <queryTableField id="152" name="new_deaths" tableColumnId="107"/>
      <queryTableField id="153" name="doubling_time_total_positive" tableColumnId="108"/>
      <queryTableField id="154" name="doubling_time_fatalities" tableColumnId="109"/>
      <queryTableField id="155" name="source" tableColumnId="110"/>
      <queryTableField id="9" name="Column1" tableColumnId="9"/>
      <queryTableField id="156" name="_1" tableColumnId="11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3" refreshOnLoad="1" connectionId="1" xr16:uid="{AC1EAA3D-4C8D-499A-AE89-A9F308A45198}" autoFormatId="16" applyNumberFormats="0" applyBorderFormats="0" applyFontFormats="0" applyPatternFormats="0" applyAlignmentFormats="0" applyWidthHeightFormats="0">
  <queryTableRefresh nextId="12">
    <queryTableFields count="11">
      <queryTableField id="1" name="date" tableColumnId="1"/>
      <queryTableField id="2" name="time" tableColumnId="2"/>
      <queryTableField id="3" name="abbreviation_canton_and_fl" tableColumnId="3"/>
      <queryTableField id="4" name="ncumul_tested" tableColumnId="4"/>
      <queryTableField id="5" name="ncumul_conf" tableColumnId="5"/>
      <queryTableField id="6" name="ncumul_hosp" tableColumnId="6"/>
      <queryTableField id="7" name="ncumul_ICU" tableColumnId="7"/>
      <queryTableField id="8" name="ncumul_vent" tableColumnId="8"/>
      <queryTableField id="9" name="ncumul_released" tableColumnId="9"/>
      <queryTableField id="10" name="ncumul_deceased" tableColumnId="10"/>
      <queryTableField id="11" name="source" tableColumnId="1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4" xr16:uid="{59A04FB0-21F1-4750-9FFE-084FE7DF9E3B}" autoFormatId="16" applyNumberFormats="0" applyBorderFormats="0" applyFontFormats="0" applyPatternFormats="0" applyAlignmentFormats="0" applyWidthHeightFormats="0">
  <queryTableRefresh nextId="8">
    <queryTableFields count="7">
      <queryTableField id="1" name="Endend" tableColumnId="1"/>
      <queryTableField id="2" name="Alter" tableColumnId="2"/>
      <queryTableField id="3" name="Woche" tableColumnId="3"/>
      <queryTableField id="4" name="untGrenze" tableColumnId="4"/>
      <queryTableField id="5" name="Erwartung" tableColumnId="5"/>
      <queryTableField id="6" name="obeGrenze" tableColumnId="6"/>
      <queryTableField id="7" name="hochrechnung"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0104BF4-AF1A-4088-8616-ECF3A819CB56}" name="master__2" displayName="master__2" ref="A1:I1054" tableType="queryTable" totalsRowShown="0">
  <autoFilter ref="A1:I1054" xr:uid="{C91773D1-83DF-4A74-AF79-1F2BF42111A7}"/>
  <tableColumns count="9">
    <tableColumn id="1" xr3:uid="{F084DB40-EF2E-4372-85FC-53E2C0F4E4A6}" uniqueName="1" name="KJ" queryTableFieldId="1"/>
    <tableColumn id="2" xr3:uid="{BA56C985-257D-406B-BD4E-D2D46D569893}" uniqueName="2" name="Kalenderwoche" queryTableFieldId="2"/>
    <tableColumn id="3" xr3:uid="{EFB07E10-FFB3-41CF-AD44-339E2B6BCA45}" uniqueName="3" name="Endend" queryTableFieldId="3" dataDxfId="53"/>
    <tableColumn id="4" xr3:uid="{96CA9658-62DE-40DB-B098-F836BDB22CBB}" uniqueName="4" name="Alter" queryTableFieldId="4" dataDxfId="52"/>
    <tableColumn id="5" xr3:uid="{354AE252-44EA-4BC0-AFBA-7C4D94C14D26}" uniqueName="5" name="Anzahl_Todesfalle" queryTableFieldId="5"/>
    <tableColumn id="6" xr3:uid="{312B05F5-6E09-46D1-937B-A5B80E88681E}" uniqueName="6" name="Erwartung" queryTableFieldId="6"/>
    <tableColumn id="7" xr3:uid="{AA1BC19A-B16C-4995-8F4E-98028D22B390}" uniqueName="7" name="untGrenze" queryTableFieldId="7"/>
    <tableColumn id="8" xr3:uid="{0E766FFE-C342-4A86-BE70-0AD9D8DF15D0}" uniqueName="8" name="obeGrenze" queryTableFieldId="8"/>
    <tableColumn id="9" xr3:uid="{48EEEA8C-4A37-4203-9CB2-13BEDFB593A8}" uniqueName="9" name="Exzess" queryTableFieldId="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882C33-FAD2-430F-868D-2C92D3ED5D09}" name="dd_covid19_openzh_switzerland_latest" displayName="dd_covid19_openzh_switzerland_latest" ref="A1:R68" tableType="queryTable" totalsRowShown="0">
  <autoFilter ref="A1:R68" xr:uid="{6F225EC8-7A7D-4B80-86A4-6825D487A60A}"/>
  <tableColumns count="18">
    <tableColumn id="1" xr3:uid="{6A0F9E37-4397-4ADD-8579-65A87BF278C6}" uniqueName="1" name="date" queryTableFieldId="1" dataDxfId="47"/>
    <tableColumn id="2" xr3:uid="{78ED2279-E7E4-4383-97AD-DD81455353CB}" uniqueName="2" name="last_update" queryTableFieldId="2" dataDxfId="46"/>
    <tableColumn id="3" xr3:uid="{7330173D-7C78-4290-B0C6-D6DF398A317F}" uniqueName="3" name="country" queryTableFieldId="3" dataDxfId="45"/>
    <tableColumn id="4" xr3:uid="{65EE738C-5483-4B69-B874-72F1C792909F}" uniqueName="4" name="intensive_care" queryTableFieldId="4"/>
    <tableColumn id="5" xr3:uid="{E85055BB-8DC4-4122-A8D6-678E0DF46381}" uniqueName="5" name="total_hospitalized" queryTableFieldId="5"/>
    <tableColumn id="6" xr3:uid="{F28B9E35-6CBB-4856-9FE5-9E1EE2E5A5DF}" uniqueName="6" name="total_currently_positive" queryTableFieldId="6"/>
    <tableColumn id="7" xr3:uid="{9822154C-FBDD-48C8-9E55-A1ED6BCF3FDE}" uniqueName="7" name="total_positive" queryTableFieldId="7"/>
    <tableColumn id="8" xr3:uid="{8099F923-302D-471D-91F1-B84EC5D10EFD}" uniqueName="8" name="tests_performed" queryTableFieldId="8"/>
    <tableColumn id="9" xr3:uid="{5D6DFCAF-B0B0-4BA5-A431-87E623F0D502}" uniqueName="9" name="released" queryTableFieldId="9"/>
    <tableColumn id="10" xr3:uid="{12870F4D-C81E-4917-BBA5-C836CEA08DCB}" uniqueName="10" name="deaths" queryTableFieldId="10"/>
    <tableColumn id="11" xr3:uid="{DED131D7-F154-419D-8ABA-D92225E873A1}" uniqueName="11" name="home_confinment" queryTableFieldId="11"/>
    <tableColumn id="12" xr3:uid="{4B032FCD-B91A-4DD1-A09E-E9D6111B560B}" uniqueName="12" name="new_positive" queryTableFieldId="12"/>
    <tableColumn id="13" xr3:uid="{B66CE066-035E-41EC-9268-2A380BD56CDF}" uniqueName="13" name="old_positive" queryTableFieldId="13"/>
    <tableColumn id="14" xr3:uid="{726933BE-EDE9-4F94-8888-164DCFF0C153}" uniqueName="14" name="hospitalized_with_symptoms" queryTableFieldId="14"/>
    <tableColumn id="15" xr3:uid="{280259FB-A44C-493B-827A-B68AABDD4BFA}" uniqueName="15" name="new_deaths" queryTableFieldId="15"/>
    <tableColumn id="16" xr3:uid="{52E76B6F-A8F7-41E3-94DF-6C07AA5CAA27}" uniqueName="16" name="old_deaths" queryTableFieldId="16"/>
    <tableColumn id="17" xr3:uid="{F4693FD1-D18C-480B-9D33-06EA268931A4}" uniqueName="17" name="doubling_time_total_positive" queryTableFieldId="17"/>
    <tableColumn id="18" xr3:uid="{FCB445B2-F893-437A-B1E2-729C98EC9BA1}" uniqueName="18" name="doubling_time_fatalities" queryTableFieldId="1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9D276E7-8478-4C20-BB6E-1453F0C8D54E}" name="dd_covid19_openzh_cantons_latest" displayName="dd_covid19_openzh_cantons_latest" ref="A1:AF28" tableType="queryTable" totalsRowShown="0" headerRowDxfId="51" dataDxfId="50">
  <autoFilter ref="A1:AF28" xr:uid="{89752692-E394-464C-BA07-8219685F2E97}"/>
  <tableColumns count="32">
    <tableColumn id="81" xr3:uid="{BD7551A6-2E54-4A0A-A512-844547126CE6}" uniqueName="81" name="last_update" queryTableFieldId="126" dataDxfId="44"/>
    <tableColumn id="82" xr3:uid="{169E8657-81D9-4121-B1E0-967EF19D08C7}" uniqueName="82" name="timestamp" queryTableFieldId="127" dataDxfId="43"/>
    <tableColumn id="83" xr3:uid="{C2548048-DA88-48AB-8D0C-7E1C32ECCEA0}" uniqueName="83" name="country" queryTableFieldId="128" dataDxfId="42"/>
    <tableColumn id="84" xr3:uid="{1962423F-2331-4CF9-B64C-90C443B6F96B}" uniqueName="84" name="abbreviation_canton" queryTableFieldId="129" dataDxfId="41"/>
    <tableColumn id="85" xr3:uid="{D933CDEF-19CE-425E-875D-93AB1A918087}" uniqueName="85" name="name_canton" queryTableFieldId="130" dataDxfId="40"/>
    <tableColumn id="86" xr3:uid="{3F8251B9-8DA4-4339-A941-C54073E55C29}" uniqueName="86" name="number_canton" queryTableFieldId="131" dataDxfId="39"/>
    <tableColumn id="87" xr3:uid="{3ABD4B2E-2F3B-497F-8B32-AE24848FA5D9}" uniqueName="87" name="lat" queryTableFieldId="132" dataDxfId="38"/>
    <tableColumn id="88" xr3:uid="{AC4B13B1-9F39-4494-B9A6-BCE5C12DD752}" uniqueName="88" name="long" queryTableFieldId="133" dataDxfId="37"/>
    <tableColumn id="89" xr3:uid="{C6538C4F-E9E4-486A-94C3-8204FABD9475}" uniqueName="89" name="tests_performed" queryTableFieldId="134" dataDxfId="36"/>
    <tableColumn id="90" xr3:uid="{41D81CB9-DE21-43F8-8FE7-2F8E7B4C26AD}" uniqueName="90" name="total_currently_positive_cases" queryTableFieldId="135" dataDxfId="35"/>
    <tableColumn id="91" xr3:uid="{57E80A67-2982-48CF-A984-DDE62E123930}" uniqueName="91" name="total_positive_cases" queryTableFieldId="136" dataDxfId="34"/>
    <tableColumn id="92" xr3:uid="{7681BB1C-A4EB-47B3-9393-ECAA0CAE0226}" uniqueName="92" name="new_hosp" queryTableFieldId="137" dataDxfId="33"/>
    <tableColumn id="93" xr3:uid="{E9FF1802-B294-4852-80AD-8993F68F207C}" uniqueName="93" name="total_hospitalized" queryTableFieldId="138" dataDxfId="32"/>
    <tableColumn id="94" xr3:uid="{C6CFE750-D3F4-4E46-BD1F-8270F8DC268D}" uniqueName="94" name="total_currently_positive_per_100k" queryTableFieldId="139" dataDxfId="31"/>
    <tableColumn id="95" xr3:uid="{174B2500-501F-45F7-97B5-A65E8C5957C7}" uniqueName="95" name="deaths_per_100k" queryTableFieldId="140" dataDxfId="30"/>
    <tableColumn id="96" xr3:uid="{514D0DAA-4C02-43C5-AB8C-78045220FD81}" uniqueName="96" name="released" queryTableFieldId="141" dataDxfId="29"/>
    <tableColumn id="97" xr3:uid="{1A57C2DC-422E-4B27-8FFF-CB40EB8A7C7F}" uniqueName="97" name="ncumul_ICU_intub" queryTableFieldId="142" dataDxfId="28"/>
    <tableColumn id="98" xr3:uid="{4D1F1B4F-CBE7-45DA-9DA6-3E03DCAE8958}" uniqueName="98" name="deaths" queryTableFieldId="143" dataDxfId="27"/>
    <tableColumn id="99" xr3:uid="{0DB3B02E-03CE-40F4-96B7-14B5202719A0}" uniqueName="99" name="intensive_care" queryTableFieldId="144" dataDxfId="26"/>
    <tableColumn id="100" xr3:uid="{E838FFB4-C39A-4EB6-B048-62D97341CDBE}" uniqueName="100" name="ncumul_vent" queryTableFieldId="145" dataDxfId="25"/>
    <tableColumn id="101" xr3:uid="{F167F275-63C7-4B9F-8F53-129518ED56DD}" uniqueName="101" name="ncumul_confirmed_non_resident" queryTableFieldId="146" dataDxfId="24"/>
    <tableColumn id="102" xr3:uid="{E39886E8-7831-4D4F-9D9A-816746CBFE29}" uniqueName="102" name="current_hosp_non_resident" queryTableFieldId="147" dataDxfId="23"/>
    <tableColumn id="103" xr3:uid="{959026E0-3966-43F3-B12C-F463827AF110}" uniqueName="103" name="TotalPosTests1" queryTableFieldId="148" dataDxfId="22"/>
    <tableColumn id="104" xr3:uid="{20F3D390-DEC6-4518-AF37-2055E2F0F4D3}" uniqueName="104" name="ninst_ICU_intub" queryTableFieldId="149" dataDxfId="21"/>
    <tableColumn id="105" xr3:uid="{1000ABBF-DE10-4DD7-B34D-251727F2D5F5}" uniqueName="105" name="ncumul_ICF" queryTableFieldId="150" dataDxfId="20"/>
    <tableColumn id="106" xr3:uid="{CDA89904-DA80-4895-9355-59E3A0C7C8C4}" uniqueName="106" name="new_positive_cases" queryTableFieldId="151" dataDxfId="19"/>
    <tableColumn id="107" xr3:uid="{4B673FF3-FE26-46F3-B81E-4FDC30571B56}" uniqueName="107" name="new_deaths" queryTableFieldId="152" dataDxfId="18"/>
    <tableColumn id="108" xr3:uid="{B961F8C0-6F21-404B-B0DB-738E91415198}" uniqueName="108" name="doubling_time_total_positive" queryTableFieldId="153" dataDxfId="17"/>
    <tableColumn id="109" xr3:uid="{102C069A-210A-4B72-9DFA-5CF96304D642}" uniqueName="109" name="doubling_time_fatalities" queryTableFieldId="154" dataDxfId="16"/>
    <tableColumn id="110" xr3:uid="{94416B9E-E748-470D-A329-63CC8F663B4E}" uniqueName="110" name="source" queryTableFieldId="155" dataDxfId="15"/>
    <tableColumn id="9" xr3:uid="{3900AD70-572C-48F7-9B7A-CF71ACE86FE6}" uniqueName="9" name="Column1" queryTableFieldId="9" dataDxfId="14"/>
    <tableColumn id="111" xr3:uid="{CE08C0AD-B8FD-4809-A2F5-942C6B821EA9}" uniqueName="111" name="_1" queryTableFieldId="156" dataDxfId="1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0EF7269-3ACA-4825-91EE-60142703CE2A}" name="COVID19_Fallzahlen_CH_total" displayName="COVID19_Fallzahlen_CH_total" ref="A1:K1430" tableType="queryTable" totalsRowShown="0" headerRowDxfId="49" dataDxfId="48">
  <autoFilter ref="A1:K1430" xr:uid="{A5098CA2-967B-441C-9EBC-5C26E6F395B9}"/>
  <sortState xmlns:xlrd2="http://schemas.microsoft.com/office/spreadsheetml/2017/richdata2" ref="A2:K1430">
    <sortCondition ref="A1:A1430"/>
  </sortState>
  <tableColumns count="11">
    <tableColumn id="1" xr3:uid="{57B39077-80BD-49E0-86C0-9242464DEFFD}" uniqueName="1" name="date" queryTableFieldId="1" dataDxfId="12"/>
    <tableColumn id="2" xr3:uid="{BA3D136C-8AFA-4319-B6DD-BCCE1BD1CBD2}" uniqueName="2" name="time" queryTableFieldId="2" dataDxfId="11"/>
    <tableColumn id="3" xr3:uid="{BBB9F675-2771-422C-9642-4C61E4DE5CCF}" uniqueName="3" name="abbreviation_canton_and_fl" queryTableFieldId="3" dataDxfId="10"/>
    <tableColumn id="4" xr3:uid="{1E010AD2-8812-4614-8A81-1F6970C8DAAD}" uniqueName="4" name="ncumul_tested" queryTableFieldId="4" dataDxfId="9"/>
    <tableColumn id="5" xr3:uid="{E39472B2-A399-4842-943C-9420DEFF0ABE}" uniqueName="5" name="ncumul_conf" queryTableFieldId="5" dataDxfId="8"/>
    <tableColumn id="6" xr3:uid="{6505E105-FC90-4BB3-8DCD-01B96CE3D305}" uniqueName="6" name="ncumul_hosp" queryTableFieldId="6" dataDxfId="7"/>
    <tableColumn id="7" xr3:uid="{C01CB3EE-BB7C-4BE9-B4C9-D6A006A22116}" uniqueName="7" name="ncumul_ICU" queryTableFieldId="7" dataDxfId="6"/>
    <tableColumn id="8" xr3:uid="{6EE9CB04-706D-4177-85EB-40C540BC6343}" uniqueName="8" name="ncumul_vent" queryTableFieldId="8" dataDxfId="5"/>
    <tableColumn id="9" xr3:uid="{846085B2-E34F-45C4-8B31-B0391C2CEB5B}" uniqueName="9" name="ncumul_released" queryTableFieldId="9" dataDxfId="4"/>
    <tableColumn id="10" xr3:uid="{1B4F757D-8DCD-4E74-97D5-428B1D870722}" uniqueName="10" name="ncumul_deceased" queryTableFieldId="10" dataDxfId="3"/>
    <tableColumn id="11" xr3:uid="{8BCC6226-31A8-4A2B-BC80-FC261295931D}" uniqueName="11" name="source" queryTableFieldId="11" dataDxf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A980F3-4376-40A5-A5C5-A1DAA1BE5481}" name="master" displayName="master" ref="A1:G107" tableType="queryTable" totalsRowShown="0">
  <autoFilter ref="A1:G107" xr:uid="{33DF6ACE-6FC7-4BF9-B123-011B85125891}"/>
  <sortState xmlns:xlrd2="http://schemas.microsoft.com/office/spreadsheetml/2017/richdata2" ref="A2:G107">
    <sortCondition ref="A1:A107"/>
  </sortState>
  <tableColumns count="7">
    <tableColumn id="1" xr3:uid="{E1621A8B-12BF-4AC0-AB6B-83A3F63675E0}" uniqueName="1" name="Endend" queryTableFieldId="1" dataDxfId="1"/>
    <tableColumn id="2" xr3:uid="{2113284A-AA9B-4C12-9E80-FA7214EA333F}" uniqueName="2" name="Alter" queryTableFieldId="2" dataDxfId="0"/>
    <tableColumn id="3" xr3:uid="{52C733E4-4A38-44C4-9832-C18BD2B0BDCA}" uniqueName="3" name="Woche" queryTableFieldId="3"/>
    <tableColumn id="4" xr3:uid="{6C8055EC-B2C1-4CD2-94B6-0C26654CCB2D}" uniqueName="4" name="untGrenze" queryTableFieldId="4"/>
    <tableColumn id="5" xr3:uid="{37CF45BB-BB77-489D-936F-080D4459908B}" uniqueName="5" name="Erwartung" queryTableFieldId="5"/>
    <tableColumn id="6" xr3:uid="{9A5A4F7B-80D2-416D-B11D-4F05289871B9}" uniqueName="6" name="obeGrenze" queryTableFieldId="6"/>
    <tableColumn id="7" xr3:uid="{371E3BDF-1EDD-468B-82D6-DCAC3466CFA0}" uniqueName="7" name="hochrechnung" queryTableFieldId="7"/>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Benutzerdefiniert 2">
      <a:dk1>
        <a:sysClr val="windowText" lastClr="000000"/>
      </a:dk1>
      <a:lt1>
        <a:sysClr val="window" lastClr="FFFFFF"/>
      </a:lt1>
      <a:dk2>
        <a:srgbClr val="44546A"/>
      </a:dk2>
      <a:lt2>
        <a:srgbClr val="E7E6E6"/>
      </a:lt2>
      <a:accent1>
        <a:srgbClr val="FF0000"/>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6AB85-7394-43B2-8543-C513F365324D}">
  <dimension ref="A3:G527"/>
  <sheetViews>
    <sheetView workbookViewId="0">
      <selection activeCell="B47" sqref="B47"/>
    </sheetView>
  </sheetViews>
  <sheetFormatPr baseColWidth="10" defaultRowHeight="14.5"/>
  <cols>
    <col min="1" max="1" width="20.7265625" bestFit="1" customWidth="1"/>
    <col min="2" max="2" width="22" bestFit="1" customWidth="1"/>
    <col min="3" max="3" width="6.81640625" bestFit="1" customWidth="1"/>
    <col min="4" max="4" width="11.6328125" bestFit="1" customWidth="1"/>
    <col min="5" max="5" width="6.81640625" bestFit="1" customWidth="1"/>
    <col min="6" max="6" width="16.90625" bestFit="1" customWidth="1"/>
    <col min="7" max="7" width="19.1796875" bestFit="1" customWidth="1"/>
    <col min="8" max="8" width="6.81640625" bestFit="1" customWidth="1"/>
    <col min="9" max="9" width="5.6328125" bestFit="1" customWidth="1"/>
    <col min="10" max="10" width="16.90625" bestFit="1" customWidth="1"/>
    <col min="11" max="11" width="19.1796875" bestFit="1" customWidth="1"/>
    <col min="12" max="12" width="5.81640625" bestFit="1" customWidth="1"/>
    <col min="13" max="13" width="5.6328125" bestFit="1" customWidth="1"/>
    <col min="14" max="14" width="34.08984375" bestFit="1" customWidth="1"/>
    <col min="15" max="15" width="27.54296875" bestFit="1" customWidth="1"/>
    <col min="16" max="16" width="24.08984375" bestFit="1" customWidth="1"/>
    <col min="17" max="17" width="5.6328125" bestFit="1" customWidth="1"/>
    <col min="18" max="18" width="34.08984375" bestFit="1" customWidth="1"/>
    <col min="19" max="19" width="27.54296875" bestFit="1" customWidth="1"/>
    <col min="20" max="20" width="27.90625" bestFit="1" customWidth="1"/>
    <col min="21" max="21" width="24.08984375" bestFit="1" customWidth="1"/>
    <col min="22" max="22" width="34.08984375" bestFit="1" customWidth="1"/>
    <col min="23" max="23" width="27.54296875" bestFit="1" customWidth="1"/>
    <col min="24" max="24" width="27.6328125" bestFit="1" customWidth="1"/>
    <col min="25" max="25" width="27.90625" bestFit="1" customWidth="1"/>
    <col min="26" max="26" width="24.08984375" bestFit="1" customWidth="1"/>
  </cols>
  <sheetData>
    <row r="3" spans="1:7">
      <c r="B3" s="16" t="s">
        <v>321</v>
      </c>
    </row>
    <row r="4" spans="1:7">
      <c r="B4" t="s">
        <v>656</v>
      </c>
      <c r="D4" t="s">
        <v>637</v>
      </c>
      <c r="F4" t="s">
        <v>657</v>
      </c>
      <c r="G4" t="s">
        <v>658</v>
      </c>
    </row>
    <row r="5" spans="1:7">
      <c r="A5" s="16" t="s">
        <v>319</v>
      </c>
      <c r="B5" t="s">
        <v>444</v>
      </c>
      <c r="C5" t="s">
        <v>445</v>
      </c>
      <c r="D5" t="s">
        <v>444</v>
      </c>
      <c r="E5" t="s">
        <v>445</v>
      </c>
    </row>
    <row r="6" spans="1:7">
      <c r="A6" s="46">
        <v>40188</v>
      </c>
      <c r="B6" s="1">
        <v>193</v>
      </c>
      <c r="C6" s="1">
        <v>1100</v>
      </c>
      <c r="D6" s="1">
        <v>195</v>
      </c>
      <c r="E6" s="1">
        <v>1156</v>
      </c>
      <c r="F6" s="1">
        <v>1293</v>
      </c>
      <c r="G6" s="1">
        <v>1351</v>
      </c>
    </row>
    <row r="7" spans="1:7">
      <c r="A7" s="46">
        <v>40195</v>
      </c>
      <c r="B7" s="1">
        <v>198</v>
      </c>
      <c r="C7" s="1">
        <v>1071</v>
      </c>
      <c r="D7" s="1">
        <v>195</v>
      </c>
      <c r="E7" s="1">
        <v>1149</v>
      </c>
      <c r="F7" s="1">
        <v>1269</v>
      </c>
      <c r="G7" s="1">
        <v>1344</v>
      </c>
    </row>
    <row r="8" spans="1:7">
      <c r="A8" s="46">
        <v>40202</v>
      </c>
      <c r="B8" s="1">
        <v>191</v>
      </c>
      <c r="C8" s="1">
        <v>1005</v>
      </c>
      <c r="D8" s="1">
        <v>194</v>
      </c>
      <c r="E8" s="1">
        <v>1141</v>
      </c>
      <c r="F8" s="1">
        <v>1196</v>
      </c>
      <c r="G8" s="1">
        <v>1335</v>
      </c>
    </row>
    <row r="9" spans="1:7">
      <c r="A9" s="46">
        <v>40209</v>
      </c>
      <c r="B9" s="1">
        <v>207</v>
      </c>
      <c r="C9" s="1">
        <v>1039</v>
      </c>
      <c r="D9" s="1">
        <v>194</v>
      </c>
      <c r="E9" s="1">
        <v>1133</v>
      </c>
      <c r="F9" s="1">
        <v>1246</v>
      </c>
      <c r="G9" s="1">
        <v>1327</v>
      </c>
    </row>
    <row r="10" spans="1:7">
      <c r="A10" s="46">
        <v>40216</v>
      </c>
      <c r="B10" s="1">
        <v>175</v>
      </c>
      <c r="C10" s="1">
        <v>1110</v>
      </c>
      <c r="D10" s="1">
        <v>193</v>
      </c>
      <c r="E10" s="1">
        <v>1125</v>
      </c>
      <c r="F10" s="1">
        <v>1285</v>
      </c>
      <c r="G10" s="1">
        <v>1318</v>
      </c>
    </row>
    <row r="11" spans="1:7">
      <c r="A11" s="46">
        <v>40223</v>
      </c>
      <c r="B11" s="1">
        <v>179</v>
      </c>
      <c r="C11" s="1">
        <v>1057</v>
      </c>
      <c r="D11" s="1">
        <v>192</v>
      </c>
      <c r="E11" s="1">
        <v>1117</v>
      </c>
      <c r="F11" s="1">
        <v>1236</v>
      </c>
      <c r="G11" s="1">
        <v>1309</v>
      </c>
    </row>
    <row r="12" spans="1:7">
      <c r="A12" s="46">
        <v>40230</v>
      </c>
      <c r="B12" s="1">
        <v>218</v>
      </c>
      <c r="C12" s="1">
        <v>1203</v>
      </c>
      <c r="D12" s="1">
        <v>192</v>
      </c>
      <c r="E12" s="1">
        <v>1109</v>
      </c>
      <c r="F12" s="1">
        <v>1421</v>
      </c>
      <c r="G12" s="1">
        <v>1301</v>
      </c>
    </row>
    <row r="13" spans="1:7">
      <c r="A13" s="46">
        <v>40237</v>
      </c>
      <c r="B13" s="1">
        <v>184</v>
      </c>
      <c r="C13" s="1">
        <v>1131</v>
      </c>
      <c r="D13" s="1">
        <v>191</v>
      </c>
      <c r="E13" s="1">
        <v>1095</v>
      </c>
      <c r="F13" s="1">
        <v>1315</v>
      </c>
      <c r="G13" s="1">
        <v>1286</v>
      </c>
    </row>
    <row r="14" spans="1:7">
      <c r="A14" s="46">
        <v>40244</v>
      </c>
      <c r="B14" s="1">
        <v>179</v>
      </c>
      <c r="C14" s="1">
        <v>1119</v>
      </c>
      <c r="D14" s="1">
        <v>190</v>
      </c>
      <c r="E14" s="1">
        <v>1082</v>
      </c>
      <c r="F14" s="1">
        <v>1298</v>
      </c>
      <c r="G14" s="1">
        <v>1272</v>
      </c>
    </row>
    <row r="15" spans="1:7">
      <c r="A15" s="46">
        <v>40251</v>
      </c>
      <c r="B15" s="1">
        <v>221</v>
      </c>
      <c r="C15" s="1">
        <v>1131</v>
      </c>
      <c r="D15" s="1">
        <v>190</v>
      </c>
      <c r="E15" s="1">
        <v>1065</v>
      </c>
      <c r="F15" s="1">
        <v>1352</v>
      </c>
      <c r="G15" s="1">
        <v>1255</v>
      </c>
    </row>
    <row r="16" spans="1:7">
      <c r="A16" s="46">
        <v>40258</v>
      </c>
      <c r="B16" s="1">
        <v>196</v>
      </c>
      <c r="C16" s="1">
        <v>1114</v>
      </c>
      <c r="D16" s="1">
        <v>189</v>
      </c>
      <c r="E16" s="1">
        <v>1049</v>
      </c>
      <c r="F16" s="1">
        <v>1310</v>
      </c>
      <c r="G16" s="1">
        <v>1238</v>
      </c>
    </row>
    <row r="17" spans="1:7">
      <c r="A17" s="46">
        <v>40265</v>
      </c>
      <c r="B17" s="1">
        <v>200</v>
      </c>
      <c r="C17" s="1">
        <v>1048</v>
      </c>
      <c r="D17" s="1">
        <v>189</v>
      </c>
      <c r="E17" s="1">
        <v>1033</v>
      </c>
      <c r="F17" s="1">
        <v>1248</v>
      </c>
      <c r="G17" s="1">
        <v>1222</v>
      </c>
    </row>
    <row r="18" spans="1:7">
      <c r="A18" s="46">
        <v>40272</v>
      </c>
      <c r="B18" s="1">
        <v>162</v>
      </c>
      <c r="C18" s="1">
        <v>1049</v>
      </c>
      <c r="D18" s="1">
        <v>188</v>
      </c>
      <c r="E18" s="1">
        <v>1017</v>
      </c>
      <c r="F18" s="1">
        <v>1211</v>
      </c>
      <c r="G18" s="1">
        <v>1205</v>
      </c>
    </row>
    <row r="19" spans="1:7">
      <c r="A19" s="46">
        <v>40279</v>
      </c>
      <c r="B19" s="1">
        <v>180</v>
      </c>
      <c r="C19" s="1">
        <v>970</v>
      </c>
      <c r="D19" s="1">
        <v>187</v>
      </c>
      <c r="E19" s="1">
        <v>1002</v>
      </c>
      <c r="F19" s="1">
        <v>1150</v>
      </c>
      <c r="G19" s="1">
        <v>1189</v>
      </c>
    </row>
    <row r="20" spans="1:7">
      <c r="A20" s="46">
        <v>40286</v>
      </c>
      <c r="B20" s="1">
        <v>158</v>
      </c>
      <c r="C20" s="1">
        <v>987</v>
      </c>
      <c r="D20" s="1">
        <v>187</v>
      </c>
      <c r="E20" s="1">
        <v>988</v>
      </c>
      <c r="F20" s="1">
        <v>1145</v>
      </c>
      <c r="G20" s="1">
        <v>1175</v>
      </c>
    </row>
    <row r="21" spans="1:7">
      <c r="A21" s="46">
        <v>40293</v>
      </c>
      <c r="B21" s="1">
        <v>226</v>
      </c>
      <c r="C21" s="1">
        <v>971</v>
      </c>
      <c r="D21" s="1">
        <v>186</v>
      </c>
      <c r="E21" s="1">
        <v>975</v>
      </c>
      <c r="F21" s="1">
        <v>1197</v>
      </c>
      <c r="G21" s="1">
        <v>1161</v>
      </c>
    </row>
    <row r="22" spans="1:7">
      <c r="A22" s="46">
        <v>40300</v>
      </c>
      <c r="B22" s="1">
        <v>176</v>
      </c>
      <c r="C22" s="1">
        <v>964</v>
      </c>
      <c r="D22" s="1">
        <v>185</v>
      </c>
      <c r="E22" s="1">
        <v>965</v>
      </c>
      <c r="F22" s="1">
        <v>1140</v>
      </c>
      <c r="G22" s="1">
        <v>1150</v>
      </c>
    </row>
    <row r="23" spans="1:7">
      <c r="A23" s="46">
        <v>40307</v>
      </c>
      <c r="B23" s="1">
        <v>161</v>
      </c>
      <c r="C23" s="1">
        <v>976</v>
      </c>
      <c r="D23" s="1">
        <v>185</v>
      </c>
      <c r="E23" s="1">
        <v>954</v>
      </c>
      <c r="F23" s="1">
        <v>1137</v>
      </c>
      <c r="G23" s="1">
        <v>1139</v>
      </c>
    </row>
    <row r="24" spans="1:7">
      <c r="A24" s="46">
        <v>40314</v>
      </c>
      <c r="B24" s="1">
        <v>190</v>
      </c>
      <c r="C24" s="1">
        <v>974</v>
      </c>
      <c r="D24" s="1">
        <v>184</v>
      </c>
      <c r="E24" s="1">
        <v>947</v>
      </c>
      <c r="F24" s="1">
        <v>1164</v>
      </c>
      <c r="G24" s="1">
        <v>1131</v>
      </c>
    </row>
    <row r="25" spans="1:7">
      <c r="A25" s="46">
        <v>40321</v>
      </c>
      <c r="B25" s="1">
        <v>193</v>
      </c>
      <c r="C25" s="1">
        <v>985</v>
      </c>
      <c r="D25" s="1">
        <v>183</v>
      </c>
      <c r="E25" s="1">
        <v>939</v>
      </c>
      <c r="F25" s="1">
        <v>1178</v>
      </c>
      <c r="G25" s="1">
        <v>1122</v>
      </c>
    </row>
    <row r="26" spans="1:7">
      <c r="A26" s="46">
        <v>40328</v>
      </c>
      <c r="B26" s="1">
        <v>191</v>
      </c>
      <c r="C26" s="1">
        <v>961</v>
      </c>
      <c r="D26" s="1">
        <v>183</v>
      </c>
      <c r="E26" s="1">
        <v>934</v>
      </c>
      <c r="F26" s="1">
        <v>1152</v>
      </c>
      <c r="G26" s="1">
        <v>1117</v>
      </c>
    </row>
    <row r="27" spans="1:7">
      <c r="A27" s="46">
        <v>40335</v>
      </c>
      <c r="B27" s="1">
        <v>202</v>
      </c>
      <c r="C27" s="1">
        <v>898</v>
      </c>
      <c r="D27" s="1">
        <v>182</v>
      </c>
      <c r="E27" s="1">
        <v>930</v>
      </c>
      <c r="F27" s="1">
        <v>1100</v>
      </c>
      <c r="G27" s="1">
        <v>1112</v>
      </c>
    </row>
    <row r="28" spans="1:7">
      <c r="A28" s="46">
        <v>40342</v>
      </c>
      <c r="B28" s="1">
        <v>189</v>
      </c>
      <c r="C28" s="1">
        <v>946</v>
      </c>
      <c r="D28" s="1">
        <v>182</v>
      </c>
      <c r="E28" s="1">
        <v>926</v>
      </c>
      <c r="F28" s="1">
        <v>1135</v>
      </c>
      <c r="G28" s="1">
        <v>1108</v>
      </c>
    </row>
    <row r="29" spans="1:7">
      <c r="A29" s="46">
        <v>40349</v>
      </c>
      <c r="B29" s="1">
        <v>192</v>
      </c>
      <c r="C29" s="1">
        <v>887</v>
      </c>
      <c r="D29" s="1">
        <v>182</v>
      </c>
      <c r="E29" s="1">
        <v>922</v>
      </c>
      <c r="F29" s="1">
        <v>1079</v>
      </c>
      <c r="G29" s="1">
        <v>1104</v>
      </c>
    </row>
    <row r="30" spans="1:7">
      <c r="A30" s="46">
        <v>40356</v>
      </c>
      <c r="B30" s="1">
        <v>168</v>
      </c>
      <c r="C30" s="1">
        <v>907</v>
      </c>
      <c r="D30" s="1">
        <v>182</v>
      </c>
      <c r="E30" s="1">
        <v>919</v>
      </c>
      <c r="F30" s="1">
        <v>1075</v>
      </c>
      <c r="G30" s="1">
        <v>1101</v>
      </c>
    </row>
    <row r="31" spans="1:7">
      <c r="A31" s="46">
        <v>40363</v>
      </c>
      <c r="B31" s="1">
        <v>189</v>
      </c>
      <c r="C31" s="1">
        <v>956</v>
      </c>
      <c r="D31" s="1">
        <v>181</v>
      </c>
      <c r="E31" s="1">
        <v>915</v>
      </c>
      <c r="F31" s="1">
        <v>1145</v>
      </c>
      <c r="G31" s="1">
        <v>1096</v>
      </c>
    </row>
    <row r="32" spans="1:7">
      <c r="A32" s="46">
        <v>40370</v>
      </c>
      <c r="B32" s="1">
        <v>187</v>
      </c>
      <c r="C32" s="1">
        <v>918</v>
      </c>
      <c r="D32" s="1">
        <v>181</v>
      </c>
      <c r="E32" s="1">
        <v>912</v>
      </c>
      <c r="F32" s="1">
        <v>1105</v>
      </c>
      <c r="G32" s="1">
        <v>1093</v>
      </c>
    </row>
    <row r="33" spans="1:7">
      <c r="A33" s="46">
        <v>40377</v>
      </c>
      <c r="B33" s="1">
        <v>184</v>
      </c>
      <c r="C33" s="1">
        <v>936</v>
      </c>
      <c r="D33" s="1">
        <v>181</v>
      </c>
      <c r="E33" s="1">
        <v>910</v>
      </c>
      <c r="F33" s="1">
        <v>1120</v>
      </c>
      <c r="G33" s="1">
        <v>1091</v>
      </c>
    </row>
    <row r="34" spans="1:7">
      <c r="A34" s="46">
        <v>40384</v>
      </c>
      <c r="B34" s="1">
        <v>170</v>
      </c>
      <c r="C34" s="1">
        <v>870</v>
      </c>
      <c r="D34" s="1">
        <v>181</v>
      </c>
      <c r="E34" s="1">
        <v>907</v>
      </c>
      <c r="F34" s="1">
        <v>1040</v>
      </c>
      <c r="G34" s="1">
        <v>1088</v>
      </c>
    </row>
    <row r="35" spans="1:7">
      <c r="A35" s="46">
        <v>40391</v>
      </c>
      <c r="B35" s="1">
        <v>177</v>
      </c>
      <c r="C35" s="1">
        <v>922</v>
      </c>
      <c r="D35" s="1">
        <v>181</v>
      </c>
      <c r="E35" s="1">
        <v>905</v>
      </c>
      <c r="F35" s="1">
        <v>1099</v>
      </c>
      <c r="G35" s="1">
        <v>1086</v>
      </c>
    </row>
    <row r="36" spans="1:7">
      <c r="A36" s="46">
        <v>40398</v>
      </c>
      <c r="B36" s="1">
        <v>187</v>
      </c>
      <c r="C36" s="1">
        <v>914</v>
      </c>
      <c r="D36" s="1">
        <v>181</v>
      </c>
      <c r="E36" s="1">
        <v>902</v>
      </c>
      <c r="F36" s="1">
        <v>1101</v>
      </c>
      <c r="G36" s="1">
        <v>1083</v>
      </c>
    </row>
    <row r="37" spans="1:7">
      <c r="A37" s="46">
        <v>40405</v>
      </c>
      <c r="B37" s="1">
        <v>172</v>
      </c>
      <c r="C37" s="1">
        <v>911</v>
      </c>
      <c r="D37" s="1">
        <v>181</v>
      </c>
      <c r="E37" s="1">
        <v>903</v>
      </c>
      <c r="F37" s="1">
        <v>1083</v>
      </c>
      <c r="G37" s="1">
        <v>1084</v>
      </c>
    </row>
    <row r="38" spans="1:7">
      <c r="A38" s="46">
        <v>40412</v>
      </c>
      <c r="B38" s="1">
        <v>171</v>
      </c>
      <c r="C38" s="1">
        <v>882</v>
      </c>
      <c r="D38" s="1">
        <v>181</v>
      </c>
      <c r="E38" s="1">
        <v>904</v>
      </c>
      <c r="F38" s="1">
        <v>1053</v>
      </c>
      <c r="G38" s="1">
        <v>1085</v>
      </c>
    </row>
    <row r="39" spans="1:7">
      <c r="A39" s="46">
        <v>40419</v>
      </c>
      <c r="B39" s="1">
        <v>169</v>
      </c>
      <c r="C39" s="1">
        <v>938</v>
      </c>
      <c r="D39" s="1">
        <v>182</v>
      </c>
      <c r="E39" s="1">
        <v>909</v>
      </c>
      <c r="F39" s="1">
        <v>1107</v>
      </c>
      <c r="G39" s="1">
        <v>1091</v>
      </c>
    </row>
    <row r="40" spans="1:7">
      <c r="A40" s="46">
        <v>40426</v>
      </c>
      <c r="B40" s="1">
        <v>176</v>
      </c>
      <c r="C40" s="1">
        <v>938</v>
      </c>
      <c r="D40" s="1">
        <v>182</v>
      </c>
      <c r="E40" s="1">
        <v>915</v>
      </c>
      <c r="F40" s="1">
        <v>1114</v>
      </c>
      <c r="G40" s="1">
        <v>1097</v>
      </c>
    </row>
    <row r="41" spans="1:7">
      <c r="A41" s="46">
        <v>40433</v>
      </c>
      <c r="B41" s="1">
        <v>197</v>
      </c>
      <c r="C41" s="1">
        <v>993</v>
      </c>
      <c r="D41" s="1">
        <v>182</v>
      </c>
      <c r="E41" s="1">
        <v>920</v>
      </c>
      <c r="F41" s="1">
        <v>1190</v>
      </c>
      <c r="G41" s="1">
        <v>1102</v>
      </c>
    </row>
    <row r="42" spans="1:7">
      <c r="A42" s="46">
        <v>40440</v>
      </c>
      <c r="B42" s="1">
        <v>176</v>
      </c>
      <c r="C42" s="1">
        <v>945</v>
      </c>
      <c r="D42" s="1">
        <v>182</v>
      </c>
      <c r="E42" s="1">
        <v>927</v>
      </c>
      <c r="F42" s="1">
        <v>1121</v>
      </c>
      <c r="G42" s="1">
        <v>1109</v>
      </c>
    </row>
    <row r="43" spans="1:7">
      <c r="A43" s="46">
        <v>40447</v>
      </c>
      <c r="B43" s="1">
        <v>186</v>
      </c>
      <c r="C43" s="1">
        <v>996</v>
      </c>
      <c r="D43" s="1">
        <v>182</v>
      </c>
      <c r="E43" s="1">
        <v>934</v>
      </c>
      <c r="F43" s="1">
        <v>1182</v>
      </c>
      <c r="G43" s="1">
        <v>1116</v>
      </c>
    </row>
    <row r="44" spans="1:7">
      <c r="A44" s="46">
        <v>40454</v>
      </c>
      <c r="B44" s="1">
        <v>185</v>
      </c>
      <c r="C44" s="1">
        <v>1035</v>
      </c>
      <c r="D44" s="1">
        <v>182</v>
      </c>
      <c r="E44" s="1">
        <v>942</v>
      </c>
      <c r="F44" s="1">
        <v>1220</v>
      </c>
      <c r="G44" s="1">
        <v>1124</v>
      </c>
    </row>
    <row r="45" spans="1:7">
      <c r="A45" s="46">
        <v>40461</v>
      </c>
      <c r="B45" s="1">
        <v>192</v>
      </c>
      <c r="C45" s="1">
        <v>1018</v>
      </c>
      <c r="D45" s="1">
        <v>183</v>
      </c>
      <c r="E45" s="1">
        <v>950</v>
      </c>
      <c r="F45" s="1">
        <v>1210</v>
      </c>
      <c r="G45" s="1">
        <v>1133</v>
      </c>
    </row>
    <row r="46" spans="1:7">
      <c r="A46" s="46">
        <v>40468</v>
      </c>
      <c r="B46" s="1">
        <v>189</v>
      </c>
      <c r="C46" s="1">
        <v>1060</v>
      </c>
      <c r="D46" s="1">
        <v>183</v>
      </c>
      <c r="E46" s="1">
        <v>959</v>
      </c>
      <c r="F46" s="1">
        <v>1249</v>
      </c>
      <c r="G46" s="1">
        <v>1142</v>
      </c>
    </row>
    <row r="47" spans="1:7">
      <c r="A47" s="46">
        <v>40475</v>
      </c>
      <c r="B47" s="1">
        <v>183</v>
      </c>
      <c r="C47" s="1">
        <v>976</v>
      </c>
      <c r="D47" s="1">
        <v>183</v>
      </c>
      <c r="E47" s="1">
        <v>967</v>
      </c>
      <c r="F47" s="1">
        <v>1159</v>
      </c>
      <c r="G47" s="1">
        <v>1150</v>
      </c>
    </row>
    <row r="48" spans="1:7">
      <c r="A48" s="46">
        <v>40482</v>
      </c>
      <c r="B48" s="1">
        <v>181</v>
      </c>
      <c r="C48" s="1">
        <v>1036</v>
      </c>
      <c r="D48" s="1">
        <v>183</v>
      </c>
      <c r="E48" s="1">
        <v>978</v>
      </c>
      <c r="F48" s="1">
        <v>1217</v>
      </c>
      <c r="G48" s="1">
        <v>1161</v>
      </c>
    </row>
    <row r="49" spans="1:7">
      <c r="A49" s="46">
        <v>40489</v>
      </c>
      <c r="B49" s="1">
        <v>178</v>
      </c>
      <c r="C49" s="1">
        <v>1059</v>
      </c>
      <c r="D49" s="1">
        <v>183</v>
      </c>
      <c r="E49" s="1">
        <v>988</v>
      </c>
      <c r="F49" s="1">
        <v>1237</v>
      </c>
      <c r="G49" s="1">
        <v>1171</v>
      </c>
    </row>
    <row r="50" spans="1:7">
      <c r="A50" s="46">
        <v>40496</v>
      </c>
      <c r="B50" s="1">
        <v>169</v>
      </c>
      <c r="C50" s="1">
        <v>1054</v>
      </c>
      <c r="D50" s="1">
        <v>183</v>
      </c>
      <c r="E50" s="1">
        <v>999</v>
      </c>
      <c r="F50" s="1">
        <v>1223</v>
      </c>
      <c r="G50" s="1">
        <v>1182</v>
      </c>
    </row>
    <row r="51" spans="1:7">
      <c r="A51" s="46">
        <v>40503</v>
      </c>
      <c r="B51" s="1">
        <v>182</v>
      </c>
      <c r="C51" s="1">
        <v>993</v>
      </c>
      <c r="D51" s="1">
        <v>183</v>
      </c>
      <c r="E51" s="1">
        <v>1011</v>
      </c>
      <c r="F51" s="1">
        <v>1175</v>
      </c>
      <c r="G51" s="1">
        <v>1194</v>
      </c>
    </row>
    <row r="52" spans="1:7">
      <c r="A52" s="46">
        <v>40510</v>
      </c>
      <c r="B52" s="1">
        <v>180</v>
      </c>
      <c r="C52" s="1">
        <v>1017</v>
      </c>
      <c r="D52" s="1">
        <v>183</v>
      </c>
      <c r="E52" s="1">
        <v>1025</v>
      </c>
      <c r="F52" s="1">
        <v>1197</v>
      </c>
      <c r="G52" s="1">
        <v>1208</v>
      </c>
    </row>
    <row r="53" spans="1:7">
      <c r="A53" s="46">
        <v>40517</v>
      </c>
      <c r="B53" s="1">
        <v>185</v>
      </c>
      <c r="C53" s="1">
        <v>1030</v>
      </c>
      <c r="D53" s="1">
        <v>183</v>
      </c>
      <c r="E53" s="1">
        <v>1041</v>
      </c>
      <c r="F53" s="1">
        <v>1215</v>
      </c>
      <c r="G53" s="1">
        <v>1224</v>
      </c>
    </row>
    <row r="54" spans="1:7">
      <c r="A54" s="46">
        <v>40524</v>
      </c>
      <c r="B54" s="1">
        <v>188</v>
      </c>
      <c r="C54" s="1">
        <v>1085</v>
      </c>
      <c r="D54" s="1">
        <v>184</v>
      </c>
      <c r="E54" s="1">
        <v>1057</v>
      </c>
      <c r="F54" s="1">
        <v>1273</v>
      </c>
      <c r="G54" s="1">
        <v>1241</v>
      </c>
    </row>
    <row r="55" spans="1:7">
      <c r="A55" s="46">
        <v>40531</v>
      </c>
      <c r="B55" s="1">
        <v>191</v>
      </c>
      <c r="C55" s="1">
        <v>1092</v>
      </c>
      <c r="D55" s="1">
        <v>184</v>
      </c>
      <c r="E55" s="1">
        <v>1073</v>
      </c>
      <c r="F55" s="1">
        <v>1283</v>
      </c>
      <c r="G55" s="1">
        <v>1257</v>
      </c>
    </row>
    <row r="56" spans="1:7">
      <c r="A56" s="46">
        <v>40538</v>
      </c>
      <c r="B56" s="1">
        <v>209</v>
      </c>
      <c r="C56" s="1">
        <v>1060</v>
      </c>
      <c r="D56" s="1">
        <v>184</v>
      </c>
      <c r="E56" s="1">
        <v>1089</v>
      </c>
      <c r="F56" s="1">
        <v>1269</v>
      </c>
      <c r="G56" s="1">
        <v>1273</v>
      </c>
    </row>
    <row r="57" spans="1:7">
      <c r="A57" s="46">
        <v>40545</v>
      </c>
      <c r="B57" s="1">
        <v>197</v>
      </c>
      <c r="C57" s="1">
        <v>1122</v>
      </c>
      <c r="D57" s="1">
        <v>184</v>
      </c>
      <c r="E57" s="1">
        <v>1105</v>
      </c>
      <c r="F57" s="1">
        <v>1319</v>
      </c>
      <c r="G57" s="1">
        <v>1289</v>
      </c>
    </row>
    <row r="58" spans="1:7">
      <c r="A58" s="46">
        <v>40552</v>
      </c>
      <c r="B58" s="1">
        <v>199</v>
      </c>
      <c r="C58" s="1">
        <v>1155</v>
      </c>
      <c r="D58" s="1">
        <v>193</v>
      </c>
      <c r="E58" s="1">
        <v>1153</v>
      </c>
      <c r="F58" s="1">
        <v>1354</v>
      </c>
      <c r="G58" s="1">
        <v>1346</v>
      </c>
    </row>
    <row r="59" spans="1:7">
      <c r="A59" s="46">
        <v>40559</v>
      </c>
      <c r="B59" s="1">
        <v>172</v>
      </c>
      <c r="C59" s="1">
        <v>1118</v>
      </c>
      <c r="D59" s="1">
        <v>193</v>
      </c>
      <c r="E59" s="1">
        <v>1150</v>
      </c>
      <c r="F59" s="1">
        <v>1290</v>
      </c>
      <c r="G59" s="1">
        <v>1343</v>
      </c>
    </row>
    <row r="60" spans="1:7">
      <c r="A60" s="46">
        <v>40566</v>
      </c>
      <c r="B60" s="1">
        <v>213</v>
      </c>
      <c r="C60" s="1">
        <v>1033</v>
      </c>
      <c r="D60" s="1">
        <v>192</v>
      </c>
      <c r="E60" s="1">
        <v>1146</v>
      </c>
      <c r="F60" s="1">
        <v>1246</v>
      </c>
      <c r="G60" s="1">
        <v>1338</v>
      </c>
    </row>
    <row r="61" spans="1:7">
      <c r="A61" s="46">
        <v>40573</v>
      </c>
      <c r="B61" s="1">
        <v>188</v>
      </c>
      <c r="C61" s="1">
        <v>1106</v>
      </c>
      <c r="D61" s="1">
        <v>191</v>
      </c>
      <c r="E61" s="1">
        <v>1142</v>
      </c>
      <c r="F61" s="1">
        <v>1294</v>
      </c>
      <c r="G61" s="1">
        <v>1333</v>
      </c>
    </row>
    <row r="62" spans="1:7">
      <c r="A62" s="46">
        <v>40580</v>
      </c>
      <c r="B62" s="1">
        <v>219</v>
      </c>
      <c r="C62" s="1">
        <v>1049</v>
      </c>
      <c r="D62" s="1">
        <v>191</v>
      </c>
      <c r="E62" s="1">
        <v>1138</v>
      </c>
      <c r="F62" s="1">
        <v>1268</v>
      </c>
      <c r="G62" s="1">
        <v>1329</v>
      </c>
    </row>
    <row r="63" spans="1:7">
      <c r="A63" s="46">
        <v>40587</v>
      </c>
      <c r="B63" s="1">
        <v>188</v>
      </c>
      <c r="C63" s="1">
        <v>1059</v>
      </c>
      <c r="D63" s="1">
        <v>190</v>
      </c>
      <c r="E63" s="1">
        <v>1134</v>
      </c>
      <c r="F63" s="1">
        <v>1247</v>
      </c>
      <c r="G63" s="1">
        <v>1324</v>
      </c>
    </row>
    <row r="64" spans="1:7">
      <c r="A64" s="46">
        <v>40594</v>
      </c>
      <c r="B64" s="1">
        <v>167</v>
      </c>
      <c r="C64" s="1">
        <v>1094</v>
      </c>
      <c r="D64" s="1">
        <v>190</v>
      </c>
      <c r="E64" s="1">
        <v>1130</v>
      </c>
      <c r="F64" s="1">
        <v>1261</v>
      </c>
      <c r="G64" s="1">
        <v>1320</v>
      </c>
    </row>
    <row r="65" spans="1:7">
      <c r="A65" s="46">
        <v>40601</v>
      </c>
      <c r="B65" s="1">
        <v>199</v>
      </c>
      <c r="C65" s="1">
        <v>1074</v>
      </c>
      <c r="D65" s="1">
        <v>189</v>
      </c>
      <c r="E65" s="1">
        <v>1119</v>
      </c>
      <c r="F65" s="1">
        <v>1273</v>
      </c>
      <c r="G65" s="1">
        <v>1308</v>
      </c>
    </row>
    <row r="66" spans="1:7">
      <c r="A66" s="46">
        <v>40608</v>
      </c>
      <c r="B66" s="1">
        <v>196</v>
      </c>
      <c r="C66" s="1">
        <v>1050</v>
      </c>
      <c r="D66" s="1">
        <v>189</v>
      </c>
      <c r="E66" s="1">
        <v>1108</v>
      </c>
      <c r="F66" s="1">
        <v>1246</v>
      </c>
      <c r="G66" s="1">
        <v>1297</v>
      </c>
    </row>
    <row r="67" spans="1:7">
      <c r="A67" s="46">
        <v>40615</v>
      </c>
      <c r="B67" s="1">
        <v>174</v>
      </c>
      <c r="C67" s="1">
        <v>1109</v>
      </c>
      <c r="D67" s="1">
        <v>188</v>
      </c>
      <c r="E67" s="1">
        <v>1092</v>
      </c>
      <c r="F67" s="1">
        <v>1283</v>
      </c>
      <c r="G67" s="1">
        <v>1280</v>
      </c>
    </row>
    <row r="68" spans="1:7">
      <c r="A68" s="46">
        <v>40622</v>
      </c>
      <c r="B68" s="1">
        <v>180</v>
      </c>
      <c r="C68" s="1">
        <v>1065</v>
      </c>
      <c r="D68" s="1">
        <v>187</v>
      </c>
      <c r="E68" s="1">
        <v>1076</v>
      </c>
      <c r="F68" s="1">
        <v>1245</v>
      </c>
      <c r="G68" s="1">
        <v>1263</v>
      </c>
    </row>
    <row r="69" spans="1:7">
      <c r="A69" s="46">
        <v>40629</v>
      </c>
      <c r="B69" s="1">
        <v>165</v>
      </c>
      <c r="C69" s="1">
        <v>1017</v>
      </c>
      <c r="D69" s="1">
        <v>187</v>
      </c>
      <c r="E69" s="1">
        <v>1057</v>
      </c>
      <c r="F69" s="1">
        <v>1182</v>
      </c>
      <c r="G69" s="1">
        <v>1244</v>
      </c>
    </row>
    <row r="70" spans="1:7">
      <c r="A70" s="46">
        <v>40636</v>
      </c>
      <c r="B70" s="1">
        <v>192</v>
      </c>
      <c r="C70" s="1">
        <v>1084</v>
      </c>
      <c r="D70" s="1">
        <v>186</v>
      </c>
      <c r="E70" s="1">
        <v>1038</v>
      </c>
      <c r="F70" s="1">
        <v>1276</v>
      </c>
      <c r="G70" s="1">
        <v>1224</v>
      </c>
    </row>
    <row r="71" spans="1:7">
      <c r="A71" s="46">
        <v>40643</v>
      </c>
      <c r="B71" s="1">
        <v>170</v>
      </c>
      <c r="C71" s="1">
        <v>1049</v>
      </c>
      <c r="D71" s="1">
        <v>186</v>
      </c>
      <c r="E71" s="1">
        <v>1021</v>
      </c>
      <c r="F71" s="1">
        <v>1219</v>
      </c>
      <c r="G71" s="1">
        <v>1207</v>
      </c>
    </row>
    <row r="72" spans="1:7">
      <c r="A72" s="46">
        <v>40650</v>
      </c>
      <c r="B72" s="1">
        <v>173</v>
      </c>
      <c r="C72" s="1">
        <v>895</v>
      </c>
      <c r="D72" s="1">
        <v>185</v>
      </c>
      <c r="E72" s="1">
        <v>1008</v>
      </c>
      <c r="F72" s="1">
        <v>1068</v>
      </c>
      <c r="G72" s="1">
        <v>1193</v>
      </c>
    </row>
    <row r="73" spans="1:7">
      <c r="A73" s="46">
        <v>40657</v>
      </c>
      <c r="B73" s="1">
        <v>164</v>
      </c>
      <c r="C73" s="1">
        <v>1027</v>
      </c>
      <c r="D73" s="1">
        <v>184</v>
      </c>
      <c r="E73" s="1">
        <v>995</v>
      </c>
      <c r="F73" s="1">
        <v>1191</v>
      </c>
      <c r="G73" s="1">
        <v>1179</v>
      </c>
    </row>
    <row r="74" spans="1:7">
      <c r="A74" s="46">
        <v>40664</v>
      </c>
      <c r="B74" s="1">
        <v>166</v>
      </c>
      <c r="C74" s="1">
        <v>992</v>
      </c>
      <c r="D74" s="1">
        <v>184</v>
      </c>
      <c r="E74" s="1">
        <v>985</v>
      </c>
      <c r="F74" s="1">
        <v>1158</v>
      </c>
      <c r="G74" s="1">
        <v>1169</v>
      </c>
    </row>
    <row r="75" spans="1:7">
      <c r="A75" s="46">
        <v>40671</v>
      </c>
      <c r="B75" s="1">
        <v>180</v>
      </c>
      <c r="C75" s="1">
        <v>1011</v>
      </c>
      <c r="D75" s="1">
        <v>183</v>
      </c>
      <c r="E75" s="1">
        <v>974</v>
      </c>
      <c r="F75" s="1">
        <v>1191</v>
      </c>
      <c r="G75" s="1">
        <v>1157</v>
      </c>
    </row>
    <row r="76" spans="1:7">
      <c r="A76" s="46">
        <v>40678</v>
      </c>
      <c r="B76" s="1">
        <v>182</v>
      </c>
      <c r="C76" s="1">
        <v>923</v>
      </c>
      <c r="D76" s="1">
        <v>182</v>
      </c>
      <c r="E76" s="1">
        <v>965</v>
      </c>
      <c r="F76" s="1">
        <v>1105</v>
      </c>
      <c r="G76" s="1">
        <v>1147</v>
      </c>
    </row>
    <row r="77" spans="1:7">
      <c r="A77" s="46">
        <v>40685</v>
      </c>
      <c r="B77" s="1">
        <v>187</v>
      </c>
      <c r="C77" s="1">
        <v>920</v>
      </c>
      <c r="D77" s="1">
        <v>181</v>
      </c>
      <c r="E77" s="1">
        <v>956</v>
      </c>
      <c r="F77" s="1">
        <v>1107</v>
      </c>
      <c r="G77" s="1">
        <v>1137</v>
      </c>
    </row>
    <row r="78" spans="1:7">
      <c r="A78" s="46">
        <v>40692</v>
      </c>
      <c r="B78" s="1">
        <v>175</v>
      </c>
      <c r="C78" s="1">
        <v>901</v>
      </c>
      <c r="D78" s="1">
        <v>181</v>
      </c>
      <c r="E78" s="1">
        <v>949</v>
      </c>
      <c r="F78" s="1">
        <v>1076</v>
      </c>
      <c r="G78" s="1">
        <v>1130</v>
      </c>
    </row>
    <row r="79" spans="1:7">
      <c r="A79" s="46">
        <v>40699</v>
      </c>
      <c r="B79" s="1">
        <v>178</v>
      </c>
      <c r="C79" s="1">
        <v>927</v>
      </c>
      <c r="D79" s="1">
        <v>180</v>
      </c>
      <c r="E79" s="1">
        <v>946</v>
      </c>
      <c r="F79" s="1">
        <v>1105</v>
      </c>
      <c r="G79" s="1">
        <v>1126</v>
      </c>
    </row>
    <row r="80" spans="1:7">
      <c r="A80" s="46">
        <v>40706</v>
      </c>
      <c r="B80" s="1">
        <v>160</v>
      </c>
      <c r="C80" s="1">
        <v>906</v>
      </c>
      <c r="D80" s="1">
        <v>180</v>
      </c>
      <c r="E80" s="1">
        <v>943</v>
      </c>
      <c r="F80" s="1">
        <v>1066</v>
      </c>
      <c r="G80" s="1">
        <v>1123</v>
      </c>
    </row>
    <row r="81" spans="1:7">
      <c r="A81" s="46">
        <v>40713</v>
      </c>
      <c r="B81" s="1">
        <v>170</v>
      </c>
      <c r="C81" s="1">
        <v>928</v>
      </c>
      <c r="D81" s="1">
        <v>179</v>
      </c>
      <c r="E81" s="1">
        <v>941</v>
      </c>
      <c r="F81" s="1">
        <v>1098</v>
      </c>
      <c r="G81" s="1">
        <v>1120</v>
      </c>
    </row>
    <row r="82" spans="1:7">
      <c r="A82" s="46">
        <v>40720</v>
      </c>
      <c r="B82" s="1">
        <v>170</v>
      </c>
      <c r="C82" s="1">
        <v>926</v>
      </c>
      <c r="D82" s="1">
        <v>179</v>
      </c>
      <c r="E82" s="1">
        <v>938</v>
      </c>
      <c r="F82" s="1">
        <v>1096</v>
      </c>
      <c r="G82" s="1">
        <v>1117</v>
      </c>
    </row>
    <row r="83" spans="1:7">
      <c r="A83" s="46">
        <v>40727</v>
      </c>
      <c r="B83" s="1">
        <v>186</v>
      </c>
      <c r="C83" s="1">
        <v>955</v>
      </c>
      <c r="D83" s="1">
        <v>179</v>
      </c>
      <c r="E83" s="1">
        <v>934</v>
      </c>
      <c r="F83" s="1">
        <v>1141</v>
      </c>
      <c r="G83" s="1">
        <v>1113</v>
      </c>
    </row>
    <row r="84" spans="1:7">
      <c r="A84" s="46">
        <v>40734</v>
      </c>
      <c r="B84" s="1">
        <v>172</v>
      </c>
      <c r="C84" s="1">
        <v>929</v>
      </c>
      <c r="D84" s="1">
        <v>178</v>
      </c>
      <c r="E84" s="1">
        <v>931</v>
      </c>
      <c r="F84" s="1">
        <v>1101</v>
      </c>
      <c r="G84" s="1">
        <v>1109</v>
      </c>
    </row>
    <row r="85" spans="1:7">
      <c r="A85" s="46">
        <v>40741</v>
      </c>
      <c r="B85" s="1">
        <v>172</v>
      </c>
      <c r="C85" s="1">
        <v>938</v>
      </c>
      <c r="D85" s="1">
        <v>178</v>
      </c>
      <c r="E85" s="1">
        <v>928</v>
      </c>
      <c r="F85" s="1">
        <v>1110</v>
      </c>
      <c r="G85" s="1">
        <v>1106</v>
      </c>
    </row>
    <row r="86" spans="1:7">
      <c r="A86" s="46">
        <v>40748</v>
      </c>
      <c r="B86" s="1">
        <v>179</v>
      </c>
      <c r="C86" s="1">
        <v>908</v>
      </c>
      <c r="D86" s="1">
        <v>178</v>
      </c>
      <c r="E86" s="1">
        <v>924</v>
      </c>
      <c r="F86" s="1">
        <v>1087</v>
      </c>
      <c r="G86" s="1">
        <v>1102</v>
      </c>
    </row>
    <row r="87" spans="1:7">
      <c r="A87" s="46">
        <v>40755</v>
      </c>
      <c r="B87" s="1">
        <v>157</v>
      </c>
      <c r="C87" s="1">
        <v>989</v>
      </c>
      <c r="D87" s="1">
        <v>178</v>
      </c>
      <c r="E87" s="1">
        <v>921</v>
      </c>
      <c r="F87" s="1">
        <v>1146</v>
      </c>
      <c r="G87" s="1">
        <v>1099</v>
      </c>
    </row>
    <row r="88" spans="1:7">
      <c r="A88" s="46">
        <v>40762</v>
      </c>
      <c r="B88" s="1">
        <v>154</v>
      </c>
      <c r="C88" s="1">
        <v>955</v>
      </c>
      <c r="D88" s="1">
        <v>178</v>
      </c>
      <c r="E88" s="1">
        <v>917</v>
      </c>
      <c r="F88" s="1">
        <v>1109</v>
      </c>
      <c r="G88" s="1">
        <v>1095</v>
      </c>
    </row>
    <row r="89" spans="1:7">
      <c r="A89" s="46">
        <v>40769</v>
      </c>
      <c r="B89" s="1">
        <v>191</v>
      </c>
      <c r="C89" s="1">
        <v>892</v>
      </c>
      <c r="D89" s="1">
        <v>178</v>
      </c>
      <c r="E89" s="1">
        <v>919</v>
      </c>
      <c r="F89" s="1">
        <v>1083</v>
      </c>
      <c r="G89" s="1">
        <v>1097</v>
      </c>
    </row>
    <row r="90" spans="1:7">
      <c r="A90" s="46">
        <v>40776</v>
      </c>
      <c r="B90" s="1">
        <v>182</v>
      </c>
      <c r="C90" s="1">
        <v>968</v>
      </c>
      <c r="D90" s="1">
        <v>178</v>
      </c>
      <c r="E90" s="1">
        <v>921</v>
      </c>
      <c r="F90" s="1">
        <v>1150</v>
      </c>
      <c r="G90" s="1">
        <v>1099</v>
      </c>
    </row>
    <row r="91" spans="1:7">
      <c r="A91" s="46">
        <v>40783</v>
      </c>
      <c r="B91" s="1">
        <v>181</v>
      </c>
      <c r="C91" s="1">
        <v>1024</v>
      </c>
      <c r="D91" s="1">
        <v>178</v>
      </c>
      <c r="E91" s="1">
        <v>925</v>
      </c>
      <c r="F91" s="1">
        <v>1205</v>
      </c>
      <c r="G91" s="1">
        <v>1103</v>
      </c>
    </row>
    <row r="92" spans="1:7">
      <c r="A92" s="46">
        <v>40790</v>
      </c>
      <c r="B92" s="1">
        <v>192</v>
      </c>
      <c r="C92" s="1">
        <v>933</v>
      </c>
      <c r="D92" s="1">
        <v>178</v>
      </c>
      <c r="E92" s="1">
        <v>931</v>
      </c>
      <c r="F92" s="1">
        <v>1125</v>
      </c>
      <c r="G92" s="1">
        <v>1109</v>
      </c>
    </row>
    <row r="93" spans="1:7">
      <c r="A93" s="46">
        <v>40797</v>
      </c>
      <c r="B93" s="1">
        <v>181</v>
      </c>
      <c r="C93" s="1">
        <v>930</v>
      </c>
      <c r="D93" s="1">
        <v>179</v>
      </c>
      <c r="E93" s="1">
        <v>936</v>
      </c>
      <c r="F93" s="1">
        <v>1111</v>
      </c>
      <c r="G93" s="1">
        <v>1115</v>
      </c>
    </row>
    <row r="94" spans="1:7">
      <c r="A94" s="46">
        <v>40804</v>
      </c>
      <c r="B94" s="1">
        <v>161</v>
      </c>
      <c r="C94" s="1">
        <v>924</v>
      </c>
      <c r="D94" s="1">
        <v>179</v>
      </c>
      <c r="E94" s="1">
        <v>943</v>
      </c>
      <c r="F94" s="1">
        <v>1085</v>
      </c>
      <c r="G94" s="1">
        <v>1122</v>
      </c>
    </row>
    <row r="95" spans="1:7">
      <c r="A95" s="46">
        <v>40811</v>
      </c>
      <c r="B95" s="1">
        <v>182</v>
      </c>
      <c r="C95" s="1">
        <v>931</v>
      </c>
      <c r="D95" s="1">
        <v>179</v>
      </c>
      <c r="E95" s="1">
        <v>951</v>
      </c>
      <c r="F95" s="1">
        <v>1113</v>
      </c>
      <c r="G95" s="1">
        <v>1130</v>
      </c>
    </row>
    <row r="96" spans="1:7">
      <c r="A96" s="46">
        <v>40818</v>
      </c>
      <c r="B96" s="1">
        <v>179</v>
      </c>
      <c r="C96" s="1">
        <v>953</v>
      </c>
      <c r="D96" s="1">
        <v>179</v>
      </c>
      <c r="E96" s="1">
        <v>958</v>
      </c>
      <c r="F96" s="1">
        <v>1132</v>
      </c>
      <c r="G96" s="1">
        <v>1137</v>
      </c>
    </row>
    <row r="97" spans="1:7">
      <c r="A97" s="46">
        <v>40825</v>
      </c>
      <c r="B97" s="1">
        <v>171</v>
      </c>
      <c r="C97" s="1">
        <v>970</v>
      </c>
      <c r="D97" s="1">
        <v>180</v>
      </c>
      <c r="E97" s="1">
        <v>966</v>
      </c>
      <c r="F97" s="1">
        <v>1141</v>
      </c>
      <c r="G97" s="1">
        <v>1146</v>
      </c>
    </row>
    <row r="98" spans="1:7">
      <c r="A98" s="46">
        <v>40832</v>
      </c>
      <c r="B98" s="1">
        <v>191</v>
      </c>
      <c r="C98" s="1">
        <v>1005</v>
      </c>
      <c r="D98" s="1">
        <v>180</v>
      </c>
      <c r="E98" s="1">
        <v>974</v>
      </c>
      <c r="F98" s="1">
        <v>1196</v>
      </c>
      <c r="G98" s="1">
        <v>1154</v>
      </c>
    </row>
    <row r="99" spans="1:7">
      <c r="A99" s="46">
        <v>40839</v>
      </c>
      <c r="B99" s="1">
        <v>177</v>
      </c>
      <c r="C99" s="1">
        <v>939</v>
      </c>
      <c r="D99" s="1">
        <v>180</v>
      </c>
      <c r="E99" s="1">
        <v>981</v>
      </c>
      <c r="F99" s="1">
        <v>1116</v>
      </c>
      <c r="G99" s="1">
        <v>1161</v>
      </c>
    </row>
    <row r="100" spans="1:7">
      <c r="A100" s="46">
        <v>40846</v>
      </c>
      <c r="B100" s="1">
        <v>194</v>
      </c>
      <c r="C100" s="1">
        <v>1060</v>
      </c>
      <c r="D100" s="1">
        <v>180</v>
      </c>
      <c r="E100" s="1">
        <v>991</v>
      </c>
      <c r="F100" s="1">
        <v>1254</v>
      </c>
      <c r="G100" s="1">
        <v>1171</v>
      </c>
    </row>
    <row r="101" spans="1:7">
      <c r="A101" s="46">
        <v>40853</v>
      </c>
      <c r="B101" s="1">
        <v>156</v>
      </c>
      <c r="C101" s="1">
        <v>1030</v>
      </c>
      <c r="D101" s="1">
        <v>181</v>
      </c>
      <c r="E101" s="1">
        <v>1001</v>
      </c>
      <c r="F101" s="1">
        <v>1186</v>
      </c>
      <c r="G101" s="1">
        <v>1182</v>
      </c>
    </row>
    <row r="102" spans="1:7">
      <c r="A102" s="46">
        <v>40860</v>
      </c>
      <c r="B102" s="1">
        <v>177</v>
      </c>
      <c r="C102" s="1">
        <v>991</v>
      </c>
      <c r="D102" s="1">
        <v>181</v>
      </c>
      <c r="E102" s="1">
        <v>1013</v>
      </c>
      <c r="F102" s="1">
        <v>1168</v>
      </c>
      <c r="G102" s="1">
        <v>1194</v>
      </c>
    </row>
    <row r="103" spans="1:7">
      <c r="A103" s="46">
        <v>40867</v>
      </c>
      <c r="B103" s="1">
        <v>195</v>
      </c>
      <c r="C103" s="1">
        <v>1004</v>
      </c>
      <c r="D103" s="1">
        <v>181</v>
      </c>
      <c r="E103" s="1">
        <v>1024</v>
      </c>
      <c r="F103" s="1">
        <v>1199</v>
      </c>
      <c r="G103" s="1">
        <v>1205</v>
      </c>
    </row>
    <row r="104" spans="1:7">
      <c r="A104" s="46">
        <v>40874</v>
      </c>
      <c r="B104" s="1">
        <v>175</v>
      </c>
      <c r="C104" s="1">
        <v>1048</v>
      </c>
      <c r="D104" s="1">
        <v>181</v>
      </c>
      <c r="E104" s="1">
        <v>1039</v>
      </c>
      <c r="F104" s="1">
        <v>1223</v>
      </c>
      <c r="G104" s="1">
        <v>1220</v>
      </c>
    </row>
    <row r="105" spans="1:7">
      <c r="A105" s="46">
        <v>40881</v>
      </c>
      <c r="B105" s="1">
        <v>168</v>
      </c>
      <c r="C105" s="1">
        <v>1087</v>
      </c>
      <c r="D105" s="1">
        <v>182</v>
      </c>
      <c r="E105" s="1">
        <v>1057</v>
      </c>
      <c r="F105" s="1">
        <v>1255</v>
      </c>
      <c r="G105" s="1">
        <v>1239</v>
      </c>
    </row>
    <row r="106" spans="1:7">
      <c r="A106" s="46">
        <v>40888</v>
      </c>
      <c r="B106" s="1">
        <v>184</v>
      </c>
      <c r="C106" s="1">
        <v>1057</v>
      </c>
      <c r="D106" s="1">
        <v>182</v>
      </c>
      <c r="E106" s="1">
        <v>1075</v>
      </c>
      <c r="F106" s="1">
        <v>1241</v>
      </c>
      <c r="G106" s="1">
        <v>1257</v>
      </c>
    </row>
    <row r="107" spans="1:7">
      <c r="A107" s="46">
        <v>40895</v>
      </c>
      <c r="B107" s="1">
        <v>191</v>
      </c>
      <c r="C107" s="1">
        <v>1090</v>
      </c>
      <c r="D107" s="1">
        <v>182</v>
      </c>
      <c r="E107" s="1">
        <v>1092</v>
      </c>
      <c r="F107" s="1">
        <v>1281</v>
      </c>
      <c r="G107" s="1">
        <v>1274</v>
      </c>
    </row>
    <row r="108" spans="1:7">
      <c r="A108" s="46">
        <v>40902</v>
      </c>
      <c r="B108" s="1">
        <v>197</v>
      </c>
      <c r="C108" s="1">
        <v>1084</v>
      </c>
      <c r="D108" s="1">
        <v>182</v>
      </c>
      <c r="E108" s="1">
        <v>1109</v>
      </c>
      <c r="F108" s="1">
        <v>1281</v>
      </c>
      <c r="G108" s="1">
        <v>1291</v>
      </c>
    </row>
    <row r="109" spans="1:7">
      <c r="A109" s="46">
        <v>40909</v>
      </c>
      <c r="B109" s="1">
        <v>171</v>
      </c>
      <c r="C109" s="1">
        <v>1065</v>
      </c>
      <c r="D109" s="1">
        <v>182</v>
      </c>
      <c r="E109" s="1">
        <v>1126</v>
      </c>
      <c r="F109" s="1">
        <v>1236</v>
      </c>
      <c r="G109" s="1">
        <v>1308</v>
      </c>
    </row>
    <row r="110" spans="1:7">
      <c r="A110" s="46">
        <v>40916</v>
      </c>
      <c r="B110" s="1">
        <v>175</v>
      </c>
      <c r="C110" s="1">
        <v>1174</v>
      </c>
      <c r="D110" s="1">
        <v>188</v>
      </c>
      <c r="E110" s="1">
        <v>1156</v>
      </c>
      <c r="F110" s="1">
        <v>1349</v>
      </c>
      <c r="G110" s="1">
        <v>1344</v>
      </c>
    </row>
    <row r="111" spans="1:7">
      <c r="A111" s="46">
        <v>40923</v>
      </c>
      <c r="B111" s="1">
        <v>198</v>
      </c>
      <c r="C111" s="1">
        <v>1153</v>
      </c>
      <c r="D111" s="1">
        <v>187</v>
      </c>
      <c r="E111" s="1">
        <v>1153</v>
      </c>
      <c r="F111" s="1">
        <v>1351</v>
      </c>
      <c r="G111" s="1">
        <v>1340</v>
      </c>
    </row>
    <row r="112" spans="1:7">
      <c r="A112" s="46">
        <v>40930</v>
      </c>
      <c r="B112" s="1">
        <v>163</v>
      </c>
      <c r="C112" s="1">
        <v>1181</v>
      </c>
      <c r="D112" s="1">
        <v>186</v>
      </c>
      <c r="E112" s="1">
        <v>1149</v>
      </c>
      <c r="F112" s="1">
        <v>1344</v>
      </c>
      <c r="G112" s="1">
        <v>1335</v>
      </c>
    </row>
    <row r="113" spans="1:7">
      <c r="A113" s="46">
        <v>40937</v>
      </c>
      <c r="B113" s="1">
        <v>189</v>
      </c>
      <c r="C113" s="1">
        <v>1148</v>
      </c>
      <c r="D113" s="1">
        <v>186</v>
      </c>
      <c r="E113" s="1">
        <v>1146</v>
      </c>
      <c r="F113" s="1">
        <v>1337</v>
      </c>
      <c r="G113" s="1">
        <v>1332</v>
      </c>
    </row>
    <row r="114" spans="1:7">
      <c r="A114" s="46">
        <v>40944</v>
      </c>
      <c r="B114" s="1">
        <v>199</v>
      </c>
      <c r="C114" s="1">
        <v>1137</v>
      </c>
      <c r="D114" s="1">
        <v>185</v>
      </c>
      <c r="E114" s="1">
        <v>1142</v>
      </c>
      <c r="F114" s="1">
        <v>1336</v>
      </c>
      <c r="G114" s="1">
        <v>1327</v>
      </c>
    </row>
    <row r="115" spans="1:7">
      <c r="A115" s="46">
        <v>40951</v>
      </c>
      <c r="B115" s="1">
        <v>218</v>
      </c>
      <c r="C115" s="1">
        <v>1197</v>
      </c>
      <c r="D115" s="1">
        <v>185</v>
      </c>
      <c r="E115" s="1">
        <v>1138</v>
      </c>
      <c r="F115" s="1">
        <v>1415</v>
      </c>
      <c r="G115" s="1">
        <v>1323</v>
      </c>
    </row>
    <row r="116" spans="1:7">
      <c r="A116" s="46">
        <v>40958</v>
      </c>
      <c r="B116" s="1">
        <v>206</v>
      </c>
      <c r="C116" s="1">
        <v>1218</v>
      </c>
      <c r="D116" s="1">
        <v>184</v>
      </c>
      <c r="E116" s="1">
        <v>1135</v>
      </c>
      <c r="F116" s="1">
        <v>1424</v>
      </c>
      <c r="G116" s="1">
        <v>1319</v>
      </c>
    </row>
    <row r="117" spans="1:7">
      <c r="A117" s="46">
        <v>40965</v>
      </c>
      <c r="B117" s="1">
        <v>181</v>
      </c>
      <c r="C117" s="1">
        <v>1216</v>
      </c>
      <c r="D117" s="1">
        <v>184</v>
      </c>
      <c r="E117" s="1">
        <v>1125</v>
      </c>
      <c r="F117" s="1">
        <v>1397</v>
      </c>
      <c r="G117" s="1">
        <v>1309</v>
      </c>
    </row>
    <row r="118" spans="1:7">
      <c r="A118" s="46">
        <v>40972</v>
      </c>
      <c r="B118" s="1">
        <v>198</v>
      </c>
      <c r="C118" s="1">
        <v>1209</v>
      </c>
      <c r="D118" s="1">
        <v>183</v>
      </c>
      <c r="E118" s="1">
        <v>1115</v>
      </c>
      <c r="F118" s="1">
        <v>1407</v>
      </c>
      <c r="G118" s="1">
        <v>1298</v>
      </c>
    </row>
    <row r="119" spans="1:7">
      <c r="A119" s="46">
        <v>40979</v>
      </c>
      <c r="B119" s="1">
        <v>181</v>
      </c>
      <c r="C119" s="1">
        <v>1146</v>
      </c>
      <c r="D119" s="1">
        <v>182</v>
      </c>
      <c r="E119" s="1">
        <v>1099</v>
      </c>
      <c r="F119" s="1">
        <v>1327</v>
      </c>
      <c r="G119" s="1">
        <v>1281</v>
      </c>
    </row>
    <row r="120" spans="1:7">
      <c r="A120" s="46">
        <v>40986</v>
      </c>
      <c r="B120" s="1">
        <v>210</v>
      </c>
      <c r="C120" s="1">
        <v>1182</v>
      </c>
      <c r="D120" s="1">
        <v>182</v>
      </c>
      <c r="E120" s="1">
        <v>1082</v>
      </c>
      <c r="F120" s="1">
        <v>1392</v>
      </c>
      <c r="G120" s="1">
        <v>1264</v>
      </c>
    </row>
    <row r="121" spans="1:7">
      <c r="A121" s="46">
        <v>40993</v>
      </c>
      <c r="B121" s="1">
        <v>180</v>
      </c>
      <c r="C121" s="1">
        <v>1048</v>
      </c>
      <c r="D121" s="1">
        <v>181</v>
      </c>
      <c r="E121" s="1">
        <v>1062</v>
      </c>
      <c r="F121" s="1">
        <v>1228</v>
      </c>
      <c r="G121" s="1">
        <v>1243</v>
      </c>
    </row>
    <row r="122" spans="1:7">
      <c r="A122" s="46">
        <v>41000</v>
      </c>
      <c r="B122" s="1">
        <v>187</v>
      </c>
      <c r="C122" s="1">
        <v>1121</v>
      </c>
      <c r="D122" s="1">
        <v>181</v>
      </c>
      <c r="E122" s="1">
        <v>1042</v>
      </c>
      <c r="F122" s="1">
        <v>1308</v>
      </c>
      <c r="G122" s="1">
        <v>1223</v>
      </c>
    </row>
    <row r="123" spans="1:7">
      <c r="A123" s="46">
        <v>41007</v>
      </c>
      <c r="B123" s="1">
        <v>202</v>
      </c>
      <c r="C123" s="1">
        <v>1082</v>
      </c>
      <c r="D123" s="1">
        <v>180</v>
      </c>
      <c r="E123" s="1">
        <v>1025</v>
      </c>
      <c r="F123" s="1">
        <v>1284</v>
      </c>
      <c r="G123" s="1">
        <v>1205</v>
      </c>
    </row>
    <row r="124" spans="1:7">
      <c r="A124" s="46">
        <v>41014</v>
      </c>
      <c r="B124" s="1">
        <v>182</v>
      </c>
      <c r="C124" s="1">
        <v>1092</v>
      </c>
      <c r="D124" s="1">
        <v>179</v>
      </c>
      <c r="E124" s="1">
        <v>1010</v>
      </c>
      <c r="F124" s="1">
        <v>1274</v>
      </c>
      <c r="G124" s="1">
        <v>1189</v>
      </c>
    </row>
    <row r="125" spans="1:7">
      <c r="A125" s="46">
        <v>41021</v>
      </c>
      <c r="B125" s="1">
        <v>189</v>
      </c>
      <c r="C125" s="1">
        <v>1018</v>
      </c>
      <c r="D125" s="1">
        <v>179</v>
      </c>
      <c r="E125" s="1">
        <v>996</v>
      </c>
      <c r="F125" s="1">
        <v>1207</v>
      </c>
      <c r="G125" s="1">
        <v>1175</v>
      </c>
    </row>
    <row r="126" spans="1:7">
      <c r="A126" s="46">
        <v>41028</v>
      </c>
      <c r="B126" s="1">
        <v>207</v>
      </c>
      <c r="C126" s="1">
        <v>1088</v>
      </c>
      <c r="D126" s="1">
        <v>178</v>
      </c>
      <c r="E126" s="1">
        <v>985</v>
      </c>
      <c r="F126" s="1">
        <v>1295</v>
      </c>
      <c r="G126" s="1">
        <v>1163</v>
      </c>
    </row>
    <row r="127" spans="1:7">
      <c r="A127" s="46">
        <v>41035</v>
      </c>
      <c r="B127" s="1">
        <v>167</v>
      </c>
      <c r="C127" s="1">
        <v>987</v>
      </c>
      <c r="D127" s="1">
        <v>178</v>
      </c>
      <c r="E127" s="1">
        <v>974</v>
      </c>
      <c r="F127" s="1">
        <v>1154</v>
      </c>
      <c r="G127" s="1">
        <v>1152</v>
      </c>
    </row>
    <row r="128" spans="1:7">
      <c r="A128" s="46">
        <v>41042</v>
      </c>
      <c r="B128" s="1">
        <v>195</v>
      </c>
      <c r="C128" s="1">
        <v>979</v>
      </c>
      <c r="D128" s="1">
        <v>177</v>
      </c>
      <c r="E128" s="1">
        <v>966</v>
      </c>
      <c r="F128" s="1">
        <v>1174</v>
      </c>
      <c r="G128" s="1">
        <v>1143</v>
      </c>
    </row>
    <row r="129" spans="1:7">
      <c r="A129" s="46">
        <v>41049</v>
      </c>
      <c r="B129" s="1">
        <v>161</v>
      </c>
      <c r="C129" s="1">
        <v>941</v>
      </c>
      <c r="D129" s="1">
        <v>176</v>
      </c>
      <c r="E129" s="1">
        <v>957</v>
      </c>
      <c r="F129" s="1">
        <v>1102</v>
      </c>
      <c r="G129" s="1">
        <v>1133</v>
      </c>
    </row>
    <row r="130" spans="1:7">
      <c r="A130" s="46">
        <v>41056</v>
      </c>
      <c r="B130" s="1">
        <v>175</v>
      </c>
      <c r="C130" s="1">
        <v>921</v>
      </c>
      <c r="D130" s="1">
        <v>176</v>
      </c>
      <c r="E130" s="1">
        <v>950</v>
      </c>
      <c r="F130" s="1">
        <v>1096</v>
      </c>
      <c r="G130" s="1">
        <v>1126</v>
      </c>
    </row>
    <row r="131" spans="1:7">
      <c r="A131" s="46">
        <v>41063</v>
      </c>
      <c r="B131" s="1">
        <v>177</v>
      </c>
      <c r="C131" s="1">
        <v>951</v>
      </c>
      <c r="D131" s="1">
        <v>175</v>
      </c>
      <c r="E131" s="1">
        <v>947</v>
      </c>
      <c r="F131" s="1">
        <v>1128</v>
      </c>
      <c r="G131" s="1">
        <v>1122</v>
      </c>
    </row>
    <row r="132" spans="1:7">
      <c r="A132" s="46">
        <v>41070</v>
      </c>
      <c r="B132" s="1">
        <v>162</v>
      </c>
      <c r="C132" s="1">
        <v>873</v>
      </c>
      <c r="D132" s="1">
        <v>175</v>
      </c>
      <c r="E132" s="1">
        <v>944</v>
      </c>
      <c r="F132" s="1">
        <v>1035</v>
      </c>
      <c r="G132" s="1">
        <v>1119</v>
      </c>
    </row>
    <row r="133" spans="1:7">
      <c r="A133" s="46">
        <v>41077</v>
      </c>
      <c r="B133" s="1">
        <v>183</v>
      </c>
      <c r="C133" s="1">
        <v>985</v>
      </c>
      <c r="D133" s="1">
        <v>175</v>
      </c>
      <c r="E133" s="1">
        <v>941</v>
      </c>
      <c r="F133" s="1">
        <v>1168</v>
      </c>
      <c r="G133" s="1">
        <v>1116</v>
      </c>
    </row>
    <row r="134" spans="1:7">
      <c r="A134" s="46">
        <v>41084</v>
      </c>
      <c r="B134" s="1">
        <v>185</v>
      </c>
      <c r="C134" s="1">
        <v>956</v>
      </c>
      <c r="D134" s="1">
        <v>174</v>
      </c>
      <c r="E134" s="1">
        <v>937</v>
      </c>
      <c r="F134" s="1">
        <v>1141</v>
      </c>
      <c r="G134" s="1">
        <v>1111</v>
      </c>
    </row>
    <row r="135" spans="1:7">
      <c r="A135" s="46">
        <v>41091</v>
      </c>
      <c r="B135" s="1">
        <v>190</v>
      </c>
      <c r="C135" s="1">
        <v>945</v>
      </c>
      <c r="D135" s="1">
        <v>174</v>
      </c>
      <c r="E135" s="1">
        <v>933</v>
      </c>
      <c r="F135" s="1">
        <v>1135</v>
      </c>
      <c r="G135" s="1">
        <v>1107</v>
      </c>
    </row>
    <row r="136" spans="1:7">
      <c r="A136" s="46">
        <v>41098</v>
      </c>
      <c r="B136" s="1">
        <v>194</v>
      </c>
      <c r="C136" s="1">
        <v>903</v>
      </c>
      <c r="D136" s="1">
        <v>174</v>
      </c>
      <c r="E136" s="1">
        <v>929</v>
      </c>
      <c r="F136" s="1">
        <v>1097</v>
      </c>
      <c r="G136" s="1">
        <v>1103</v>
      </c>
    </row>
    <row r="137" spans="1:7">
      <c r="A137" s="46">
        <v>41105</v>
      </c>
      <c r="B137" s="1">
        <v>178</v>
      </c>
      <c r="C137" s="1">
        <v>925</v>
      </c>
      <c r="D137" s="1">
        <v>174</v>
      </c>
      <c r="E137" s="1">
        <v>925</v>
      </c>
      <c r="F137" s="1">
        <v>1103</v>
      </c>
      <c r="G137" s="1">
        <v>1099</v>
      </c>
    </row>
    <row r="138" spans="1:7">
      <c r="A138" s="46">
        <v>41112</v>
      </c>
      <c r="B138" s="1">
        <v>140</v>
      </c>
      <c r="C138" s="1">
        <v>933</v>
      </c>
      <c r="D138" s="1">
        <v>173</v>
      </c>
      <c r="E138" s="1">
        <v>921</v>
      </c>
      <c r="F138" s="1">
        <v>1073</v>
      </c>
      <c r="G138" s="1">
        <v>1094</v>
      </c>
    </row>
    <row r="139" spans="1:7">
      <c r="A139" s="46">
        <v>41119</v>
      </c>
      <c r="B139" s="1">
        <v>185</v>
      </c>
      <c r="C139" s="1">
        <v>957</v>
      </c>
      <c r="D139" s="1">
        <v>173</v>
      </c>
      <c r="E139" s="1">
        <v>920</v>
      </c>
      <c r="F139" s="1">
        <v>1142</v>
      </c>
      <c r="G139" s="1">
        <v>1093</v>
      </c>
    </row>
    <row r="140" spans="1:7">
      <c r="A140" s="46">
        <v>41126</v>
      </c>
      <c r="B140" s="1">
        <v>177</v>
      </c>
      <c r="C140" s="1">
        <v>945</v>
      </c>
      <c r="D140" s="1">
        <v>173</v>
      </c>
      <c r="E140" s="1">
        <v>918</v>
      </c>
      <c r="F140" s="1">
        <v>1122</v>
      </c>
      <c r="G140" s="1">
        <v>1091</v>
      </c>
    </row>
    <row r="141" spans="1:7">
      <c r="A141" s="46">
        <v>41133</v>
      </c>
      <c r="B141" s="1">
        <v>166</v>
      </c>
      <c r="C141" s="1">
        <v>858</v>
      </c>
      <c r="D141" s="1">
        <v>173</v>
      </c>
      <c r="E141" s="1">
        <v>921</v>
      </c>
      <c r="F141" s="1">
        <v>1024</v>
      </c>
      <c r="G141" s="1">
        <v>1094</v>
      </c>
    </row>
    <row r="142" spans="1:7">
      <c r="A142" s="46">
        <v>41140</v>
      </c>
      <c r="B142" s="1">
        <v>169</v>
      </c>
      <c r="C142" s="1">
        <v>949</v>
      </c>
      <c r="D142" s="1">
        <v>173</v>
      </c>
      <c r="E142" s="1">
        <v>924</v>
      </c>
      <c r="F142" s="1">
        <v>1118</v>
      </c>
      <c r="G142" s="1">
        <v>1097</v>
      </c>
    </row>
    <row r="143" spans="1:7">
      <c r="A143" s="46">
        <v>41147</v>
      </c>
      <c r="B143" s="1">
        <v>201</v>
      </c>
      <c r="C143" s="1">
        <v>979</v>
      </c>
      <c r="D143" s="1">
        <v>173</v>
      </c>
      <c r="E143" s="1">
        <v>928</v>
      </c>
      <c r="F143" s="1">
        <v>1180</v>
      </c>
      <c r="G143" s="1">
        <v>1101</v>
      </c>
    </row>
    <row r="144" spans="1:7">
      <c r="A144" s="46">
        <v>41154</v>
      </c>
      <c r="B144" s="1">
        <v>167</v>
      </c>
      <c r="C144" s="1">
        <v>914</v>
      </c>
      <c r="D144" s="1">
        <v>174</v>
      </c>
      <c r="E144" s="1">
        <v>934</v>
      </c>
      <c r="F144" s="1">
        <v>1081</v>
      </c>
      <c r="G144" s="1">
        <v>1108</v>
      </c>
    </row>
    <row r="145" spans="1:7">
      <c r="A145" s="46">
        <v>41161</v>
      </c>
      <c r="B145" s="1">
        <v>172</v>
      </c>
      <c r="C145" s="1">
        <v>955</v>
      </c>
      <c r="D145" s="1">
        <v>174</v>
      </c>
      <c r="E145" s="1">
        <v>939</v>
      </c>
      <c r="F145" s="1">
        <v>1127</v>
      </c>
      <c r="G145" s="1">
        <v>1113</v>
      </c>
    </row>
    <row r="146" spans="1:7">
      <c r="A146" s="46">
        <v>41168</v>
      </c>
      <c r="B146" s="1">
        <v>189</v>
      </c>
      <c r="C146" s="1">
        <v>970</v>
      </c>
      <c r="D146" s="1">
        <v>174</v>
      </c>
      <c r="E146" s="1">
        <v>944</v>
      </c>
      <c r="F146" s="1">
        <v>1159</v>
      </c>
      <c r="G146" s="1">
        <v>1118</v>
      </c>
    </row>
    <row r="147" spans="1:7">
      <c r="A147" s="46">
        <v>41175</v>
      </c>
      <c r="B147" s="1">
        <v>180</v>
      </c>
      <c r="C147" s="1">
        <v>993</v>
      </c>
      <c r="D147" s="1">
        <v>174</v>
      </c>
      <c r="E147" s="1">
        <v>950</v>
      </c>
      <c r="F147" s="1">
        <v>1173</v>
      </c>
      <c r="G147" s="1">
        <v>1124</v>
      </c>
    </row>
    <row r="148" spans="1:7">
      <c r="A148" s="46">
        <v>41182</v>
      </c>
      <c r="B148" s="1">
        <v>176</v>
      </c>
      <c r="C148" s="1">
        <v>979</v>
      </c>
      <c r="D148" s="1">
        <v>175</v>
      </c>
      <c r="E148" s="1">
        <v>957</v>
      </c>
      <c r="F148" s="1">
        <v>1155</v>
      </c>
      <c r="G148" s="1">
        <v>1132</v>
      </c>
    </row>
    <row r="149" spans="1:7">
      <c r="A149" s="46">
        <v>41189</v>
      </c>
      <c r="B149" s="1">
        <v>180</v>
      </c>
      <c r="C149" s="1">
        <v>1057</v>
      </c>
      <c r="D149" s="1">
        <v>175</v>
      </c>
      <c r="E149" s="1">
        <v>965</v>
      </c>
      <c r="F149" s="1">
        <v>1237</v>
      </c>
      <c r="G149" s="1">
        <v>1140</v>
      </c>
    </row>
    <row r="150" spans="1:7">
      <c r="A150" s="46">
        <v>41196</v>
      </c>
      <c r="B150" s="1">
        <v>162</v>
      </c>
      <c r="C150" s="1">
        <v>1018</v>
      </c>
      <c r="D150" s="1">
        <v>175</v>
      </c>
      <c r="E150" s="1">
        <v>972</v>
      </c>
      <c r="F150" s="1">
        <v>1180</v>
      </c>
      <c r="G150" s="1">
        <v>1147</v>
      </c>
    </row>
    <row r="151" spans="1:7">
      <c r="A151" s="46">
        <v>41203</v>
      </c>
      <c r="B151" s="1">
        <v>149</v>
      </c>
      <c r="C151" s="1">
        <v>993</v>
      </c>
      <c r="D151" s="1">
        <v>175</v>
      </c>
      <c r="E151" s="1">
        <v>980</v>
      </c>
      <c r="F151" s="1">
        <v>1142</v>
      </c>
      <c r="G151" s="1">
        <v>1155</v>
      </c>
    </row>
    <row r="152" spans="1:7">
      <c r="A152" s="46">
        <v>41210</v>
      </c>
      <c r="B152" s="1">
        <v>181</v>
      </c>
      <c r="C152" s="1">
        <v>1064</v>
      </c>
      <c r="D152" s="1">
        <v>176</v>
      </c>
      <c r="E152" s="1">
        <v>991</v>
      </c>
      <c r="F152" s="1">
        <v>1245</v>
      </c>
      <c r="G152" s="1">
        <v>1167</v>
      </c>
    </row>
    <row r="153" spans="1:7">
      <c r="A153" s="46">
        <v>41217</v>
      </c>
      <c r="B153" s="1">
        <v>187</v>
      </c>
      <c r="C153" s="1">
        <v>986</v>
      </c>
      <c r="D153" s="1">
        <v>176</v>
      </c>
      <c r="E153" s="1">
        <v>1002</v>
      </c>
      <c r="F153" s="1">
        <v>1173</v>
      </c>
      <c r="G153" s="1">
        <v>1178</v>
      </c>
    </row>
    <row r="154" spans="1:7">
      <c r="A154" s="46">
        <v>41224</v>
      </c>
      <c r="B154" s="1">
        <v>190</v>
      </c>
      <c r="C154" s="1">
        <v>994</v>
      </c>
      <c r="D154" s="1">
        <v>176</v>
      </c>
      <c r="E154" s="1">
        <v>1015</v>
      </c>
      <c r="F154" s="1">
        <v>1184</v>
      </c>
      <c r="G154" s="1">
        <v>1191</v>
      </c>
    </row>
    <row r="155" spans="1:7">
      <c r="A155" s="46">
        <v>41231</v>
      </c>
      <c r="B155" s="1">
        <v>183</v>
      </c>
      <c r="C155" s="1">
        <v>1024</v>
      </c>
      <c r="D155" s="1">
        <v>177</v>
      </c>
      <c r="E155" s="1">
        <v>1028</v>
      </c>
      <c r="F155" s="1">
        <v>1207</v>
      </c>
      <c r="G155" s="1">
        <v>1205</v>
      </c>
    </row>
    <row r="156" spans="1:7">
      <c r="A156" s="46">
        <v>41238</v>
      </c>
      <c r="B156" s="1">
        <v>192</v>
      </c>
      <c r="C156" s="1">
        <v>1073</v>
      </c>
      <c r="D156" s="1">
        <v>177</v>
      </c>
      <c r="E156" s="1">
        <v>1043</v>
      </c>
      <c r="F156" s="1">
        <v>1265</v>
      </c>
      <c r="G156" s="1">
        <v>1220</v>
      </c>
    </row>
    <row r="157" spans="1:7">
      <c r="A157" s="46">
        <v>41245</v>
      </c>
      <c r="B157" s="1">
        <v>143</v>
      </c>
      <c r="C157" s="1">
        <v>1067</v>
      </c>
      <c r="D157" s="1">
        <v>177</v>
      </c>
      <c r="E157" s="1">
        <v>1059</v>
      </c>
      <c r="F157" s="1">
        <v>1210</v>
      </c>
      <c r="G157" s="1">
        <v>1236</v>
      </c>
    </row>
    <row r="158" spans="1:7">
      <c r="A158" s="46">
        <v>41252</v>
      </c>
      <c r="B158" s="1">
        <v>168</v>
      </c>
      <c r="C158" s="1">
        <v>1095</v>
      </c>
      <c r="D158" s="1">
        <v>177</v>
      </c>
      <c r="E158" s="1">
        <v>1075</v>
      </c>
      <c r="F158" s="1">
        <v>1263</v>
      </c>
      <c r="G158" s="1">
        <v>1252</v>
      </c>
    </row>
    <row r="159" spans="1:7">
      <c r="A159" s="46">
        <v>41259</v>
      </c>
      <c r="B159" s="1">
        <v>163</v>
      </c>
      <c r="C159" s="1">
        <v>1103</v>
      </c>
      <c r="D159" s="1">
        <v>178</v>
      </c>
      <c r="E159" s="1">
        <v>1091</v>
      </c>
      <c r="F159" s="1">
        <v>1266</v>
      </c>
      <c r="G159" s="1">
        <v>1269</v>
      </c>
    </row>
    <row r="160" spans="1:7">
      <c r="A160" s="46">
        <v>41266</v>
      </c>
      <c r="B160" s="1">
        <v>178</v>
      </c>
      <c r="C160" s="1">
        <v>1094</v>
      </c>
      <c r="D160" s="1">
        <v>178</v>
      </c>
      <c r="E160" s="1">
        <v>1107</v>
      </c>
      <c r="F160" s="1">
        <v>1272</v>
      </c>
      <c r="G160" s="1">
        <v>1285</v>
      </c>
    </row>
    <row r="161" spans="1:7">
      <c r="A161" s="46">
        <v>41273</v>
      </c>
      <c r="B161" s="1">
        <v>202</v>
      </c>
      <c r="C161" s="1">
        <v>1140</v>
      </c>
      <c r="D161" s="1">
        <v>178</v>
      </c>
      <c r="E161" s="1">
        <v>1123</v>
      </c>
      <c r="F161" s="1">
        <v>1342</v>
      </c>
      <c r="G161" s="1">
        <v>1301</v>
      </c>
    </row>
    <row r="162" spans="1:7">
      <c r="A162" s="46">
        <v>41280</v>
      </c>
      <c r="B162" s="1">
        <v>194</v>
      </c>
      <c r="C162" s="1">
        <v>1093</v>
      </c>
      <c r="D162" s="1">
        <v>185</v>
      </c>
      <c r="E162" s="1">
        <v>1184</v>
      </c>
      <c r="F162" s="1">
        <v>1287</v>
      </c>
      <c r="G162" s="1">
        <v>1369</v>
      </c>
    </row>
    <row r="163" spans="1:7">
      <c r="A163" s="46">
        <v>41287</v>
      </c>
      <c r="B163" s="1">
        <v>174</v>
      </c>
      <c r="C163" s="1">
        <v>1238</v>
      </c>
      <c r="D163" s="1">
        <v>185</v>
      </c>
      <c r="E163" s="1">
        <v>1182</v>
      </c>
      <c r="F163" s="1">
        <v>1412</v>
      </c>
      <c r="G163" s="1">
        <v>1367</v>
      </c>
    </row>
    <row r="164" spans="1:7">
      <c r="A164" s="46">
        <v>41294</v>
      </c>
      <c r="B164" s="1">
        <v>204</v>
      </c>
      <c r="C164" s="1">
        <v>1191</v>
      </c>
      <c r="D164" s="1">
        <v>184</v>
      </c>
      <c r="E164" s="1">
        <v>1180</v>
      </c>
      <c r="F164" s="1">
        <v>1395</v>
      </c>
      <c r="G164" s="1">
        <v>1364</v>
      </c>
    </row>
    <row r="165" spans="1:7">
      <c r="A165" s="46">
        <v>41301</v>
      </c>
      <c r="B165" s="1">
        <v>192</v>
      </c>
      <c r="C165" s="1">
        <v>1212</v>
      </c>
      <c r="D165" s="1">
        <v>184</v>
      </c>
      <c r="E165" s="1">
        <v>1178</v>
      </c>
      <c r="F165" s="1">
        <v>1404</v>
      </c>
      <c r="G165" s="1">
        <v>1362</v>
      </c>
    </row>
    <row r="166" spans="1:7">
      <c r="A166" s="46">
        <v>41308</v>
      </c>
      <c r="B166" s="1">
        <v>207</v>
      </c>
      <c r="C166" s="1">
        <v>1223</v>
      </c>
      <c r="D166" s="1">
        <v>183</v>
      </c>
      <c r="E166" s="1">
        <v>1176</v>
      </c>
      <c r="F166" s="1">
        <v>1430</v>
      </c>
      <c r="G166" s="1">
        <v>1359</v>
      </c>
    </row>
    <row r="167" spans="1:7">
      <c r="A167" s="46">
        <v>41315</v>
      </c>
      <c r="B167" s="1">
        <v>195</v>
      </c>
      <c r="C167" s="1">
        <v>1256</v>
      </c>
      <c r="D167" s="1">
        <v>182</v>
      </c>
      <c r="E167" s="1">
        <v>1173</v>
      </c>
      <c r="F167" s="1">
        <v>1451</v>
      </c>
      <c r="G167" s="1">
        <v>1355</v>
      </c>
    </row>
    <row r="168" spans="1:7">
      <c r="A168" s="46">
        <v>41322</v>
      </c>
      <c r="B168" s="1">
        <v>232</v>
      </c>
      <c r="C168" s="1">
        <v>1264</v>
      </c>
      <c r="D168" s="1">
        <v>182</v>
      </c>
      <c r="E168" s="1">
        <v>1171</v>
      </c>
      <c r="F168" s="1">
        <v>1496</v>
      </c>
      <c r="G168" s="1">
        <v>1353</v>
      </c>
    </row>
    <row r="169" spans="1:7">
      <c r="A169" s="46">
        <v>41329</v>
      </c>
      <c r="B169" s="1">
        <v>193</v>
      </c>
      <c r="C169" s="1">
        <v>1230</v>
      </c>
      <c r="D169" s="1">
        <v>181</v>
      </c>
      <c r="E169" s="1">
        <v>1162</v>
      </c>
      <c r="F169" s="1">
        <v>1423</v>
      </c>
      <c r="G169" s="1">
        <v>1343</v>
      </c>
    </row>
    <row r="170" spans="1:7">
      <c r="A170" s="46">
        <v>41336</v>
      </c>
      <c r="B170" s="1">
        <v>206</v>
      </c>
      <c r="C170" s="1">
        <v>1255</v>
      </c>
      <c r="D170" s="1">
        <v>181</v>
      </c>
      <c r="E170" s="1">
        <v>1152</v>
      </c>
      <c r="F170" s="1">
        <v>1461</v>
      </c>
      <c r="G170" s="1">
        <v>1333</v>
      </c>
    </row>
    <row r="171" spans="1:7">
      <c r="A171" s="46">
        <v>41343</v>
      </c>
      <c r="B171" s="1">
        <v>151</v>
      </c>
      <c r="C171" s="1">
        <v>1305</v>
      </c>
      <c r="D171" s="1">
        <v>180</v>
      </c>
      <c r="E171" s="1">
        <v>1136</v>
      </c>
      <c r="F171" s="1">
        <v>1456</v>
      </c>
      <c r="G171" s="1">
        <v>1316</v>
      </c>
    </row>
    <row r="172" spans="1:7">
      <c r="A172" s="46">
        <v>41350</v>
      </c>
      <c r="B172" s="1">
        <v>192</v>
      </c>
      <c r="C172" s="1">
        <v>1227</v>
      </c>
      <c r="D172" s="1">
        <v>180</v>
      </c>
      <c r="E172" s="1">
        <v>1119</v>
      </c>
      <c r="F172" s="1">
        <v>1419</v>
      </c>
      <c r="G172" s="1">
        <v>1299</v>
      </c>
    </row>
    <row r="173" spans="1:7">
      <c r="A173" s="46">
        <v>41357</v>
      </c>
      <c r="B173" s="1">
        <v>203</v>
      </c>
      <c r="C173" s="1">
        <v>1146</v>
      </c>
      <c r="D173" s="1">
        <v>179</v>
      </c>
      <c r="E173" s="1">
        <v>1098</v>
      </c>
      <c r="F173" s="1">
        <v>1349</v>
      </c>
      <c r="G173" s="1">
        <v>1277</v>
      </c>
    </row>
    <row r="174" spans="1:7">
      <c r="A174" s="46">
        <v>41364</v>
      </c>
      <c r="B174" s="1">
        <v>182</v>
      </c>
      <c r="C174" s="1">
        <v>1170</v>
      </c>
      <c r="D174" s="1">
        <v>178</v>
      </c>
      <c r="E174" s="1">
        <v>1077</v>
      </c>
      <c r="F174" s="1">
        <v>1352</v>
      </c>
      <c r="G174" s="1">
        <v>1255</v>
      </c>
    </row>
    <row r="175" spans="1:7">
      <c r="A175" s="46">
        <v>41371</v>
      </c>
      <c r="B175" s="1">
        <v>185</v>
      </c>
      <c r="C175" s="1">
        <v>1132</v>
      </c>
      <c r="D175" s="1">
        <v>178</v>
      </c>
      <c r="E175" s="1">
        <v>1059</v>
      </c>
      <c r="F175" s="1">
        <v>1317</v>
      </c>
      <c r="G175" s="1">
        <v>1237</v>
      </c>
    </row>
    <row r="176" spans="1:7">
      <c r="A176" s="46">
        <v>41378</v>
      </c>
      <c r="B176" s="1">
        <v>161</v>
      </c>
      <c r="C176" s="1">
        <v>1107</v>
      </c>
      <c r="D176" s="1">
        <v>177</v>
      </c>
      <c r="E176" s="1">
        <v>1043</v>
      </c>
      <c r="F176" s="1">
        <v>1268</v>
      </c>
      <c r="G176" s="1">
        <v>1220</v>
      </c>
    </row>
    <row r="177" spans="1:7">
      <c r="A177" s="46">
        <v>41385</v>
      </c>
      <c r="B177" s="1">
        <v>170</v>
      </c>
      <c r="C177" s="1">
        <v>1043</v>
      </c>
      <c r="D177" s="1">
        <v>177</v>
      </c>
      <c r="E177" s="1">
        <v>1028</v>
      </c>
      <c r="F177" s="1">
        <v>1213</v>
      </c>
      <c r="G177" s="1">
        <v>1205</v>
      </c>
    </row>
    <row r="178" spans="1:7">
      <c r="A178" s="46">
        <v>41392</v>
      </c>
      <c r="B178" s="1">
        <v>191</v>
      </c>
      <c r="C178" s="1">
        <v>1054</v>
      </c>
      <c r="D178" s="1">
        <v>176</v>
      </c>
      <c r="E178" s="1">
        <v>1016</v>
      </c>
      <c r="F178" s="1">
        <v>1245</v>
      </c>
      <c r="G178" s="1">
        <v>1192</v>
      </c>
    </row>
    <row r="179" spans="1:7">
      <c r="A179" s="46">
        <v>41399</v>
      </c>
      <c r="B179" s="1">
        <v>184</v>
      </c>
      <c r="C179" s="1">
        <v>968</v>
      </c>
      <c r="D179" s="1">
        <v>175</v>
      </c>
      <c r="E179" s="1">
        <v>1003</v>
      </c>
      <c r="F179" s="1">
        <v>1152</v>
      </c>
      <c r="G179" s="1">
        <v>1178</v>
      </c>
    </row>
    <row r="180" spans="1:7">
      <c r="A180" s="46">
        <v>41406</v>
      </c>
      <c r="B180" s="1">
        <v>170</v>
      </c>
      <c r="C180" s="1">
        <v>935</v>
      </c>
      <c r="D180" s="1">
        <v>175</v>
      </c>
      <c r="E180" s="1">
        <v>992</v>
      </c>
      <c r="F180" s="1">
        <v>1105</v>
      </c>
      <c r="G180" s="1">
        <v>1167</v>
      </c>
    </row>
    <row r="181" spans="1:7">
      <c r="A181" s="46">
        <v>41413</v>
      </c>
      <c r="B181" s="1">
        <v>173</v>
      </c>
      <c r="C181" s="1">
        <v>981</v>
      </c>
      <c r="D181" s="1">
        <v>174</v>
      </c>
      <c r="E181" s="1">
        <v>981</v>
      </c>
      <c r="F181" s="1">
        <v>1154</v>
      </c>
      <c r="G181" s="1">
        <v>1155</v>
      </c>
    </row>
    <row r="182" spans="1:7">
      <c r="A182" s="46">
        <v>41420</v>
      </c>
      <c r="B182" s="1">
        <v>164</v>
      </c>
      <c r="C182" s="1">
        <v>937</v>
      </c>
      <c r="D182" s="1">
        <v>173</v>
      </c>
      <c r="E182" s="1">
        <v>971</v>
      </c>
      <c r="F182" s="1">
        <v>1101</v>
      </c>
      <c r="G182" s="1">
        <v>1144</v>
      </c>
    </row>
    <row r="183" spans="1:7">
      <c r="A183" s="46">
        <v>41427</v>
      </c>
      <c r="B183" s="1">
        <v>184</v>
      </c>
      <c r="C183" s="1">
        <v>935</v>
      </c>
      <c r="D183" s="1">
        <v>173</v>
      </c>
      <c r="E183" s="1">
        <v>966</v>
      </c>
      <c r="F183" s="1">
        <v>1119</v>
      </c>
      <c r="G183" s="1">
        <v>1139</v>
      </c>
    </row>
    <row r="184" spans="1:7">
      <c r="A184" s="46">
        <v>41434</v>
      </c>
      <c r="B184" s="1">
        <v>153</v>
      </c>
      <c r="C184" s="1">
        <v>986</v>
      </c>
      <c r="D184" s="1">
        <v>173</v>
      </c>
      <c r="E184" s="1">
        <v>961</v>
      </c>
      <c r="F184" s="1">
        <v>1139</v>
      </c>
      <c r="G184" s="1">
        <v>1134</v>
      </c>
    </row>
    <row r="185" spans="1:7">
      <c r="A185" s="46">
        <v>41441</v>
      </c>
      <c r="B185" s="1">
        <v>182</v>
      </c>
      <c r="C185" s="1">
        <v>992</v>
      </c>
      <c r="D185" s="1">
        <v>172</v>
      </c>
      <c r="E185" s="1">
        <v>958</v>
      </c>
      <c r="F185" s="1">
        <v>1174</v>
      </c>
      <c r="G185" s="1">
        <v>1130</v>
      </c>
    </row>
    <row r="186" spans="1:7">
      <c r="A186" s="46">
        <v>41448</v>
      </c>
      <c r="B186" s="1">
        <v>169</v>
      </c>
      <c r="C186" s="1">
        <v>1002</v>
      </c>
      <c r="D186" s="1">
        <v>172</v>
      </c>
      <c r="E186" s="1">
        <v>956</v>
      </c>
      <c r="F186" s="1">
        <v>1171</v>
      </c>
      <c r="G186" s="1">
        <v>1128</v>
      </c>
    </row>
    <row r="187" spans="1:7">
      <c r="A187" s="46">
        <v>41455</v>
      </c>
      <c r="B187" s="1">
        <v>191</v>
      </c>
      <c r="C187" s="1">
        <v>909</v>
      </c>
      <c r="D187" s="1">
        <v>172</v>
      </c>
      <c r="E187" s="1">
        <v>953</v>
      </c>
      <c r="F187" s="1">
        <v>1100</v>
      </c>
      <c r="G187" s="1">
        <v>1125</v>
      </c>
    </row>
    <row r="188" spans="1:7">
      <c r="A188" s="46">
        <v>41462</v>
      </c>
      <c r="B188" s="1">
        <v>174</v>
      </c>
      <c r="C188" s="1">
        <v>991</v>
      </c>
      <c r="D188" s="1">
        <v>171</v>
      </c>
      <c r="E188" s="1">
        <v>952</v>
      </c>
      <c r="F188" s="1">
        <v>1165</v>
      </c>
      <c r="G188" s="1">
        <v>1123</v>
      </c>
    </row>
    <row r="189" spans="1:7">
      <c r="A189" s="46">
        <v>41469</v>
      </c>
      <c r="B189" s="1">
        <v>175</v>
      </c>
      <c r="C189" s="1">
        <v>924</v>
      </c>
      <c r="D189" s="1">
        <v>171</v>
      </c>
      <c r="E189" s="1">
        <v>950</v>
      </c>
      <c r="F189" s="1">
        <v>1099</v>
      </c>
      <c r="G189" s="1">
        <v>1121</v>
      </c>
    </row>
    <row r="190" spans="1:7">
      <c r="A190" s="46">
        <v>41476</v>
      </c>
      <c r="B190" s="1">
        <v>161</v>
      </c>
      <c r="C190" s="1">
        <v>1012</v>
      </c>
      <c r="D190" s="1">
        <v>171</v>
      </c>
      <c r="E190" s="1">
        <v>948</v>
      </c>
      <c r="F190" s="1">
        <v>1173</v>
      </c>
      <c r="G190" s="1">
        <v>1119</v>
      </c>
    </row>
    <row r="191" spans="1:7">
      <c r="A191" s="46">
        <v>41483</v>
      </c>
      <c r="B191" s="1">
        <v>176</v>
      </c>
      <c r="C191" s="1">
        <v>1020</v>
      </c>
      <c r="D191" s="1">
        <v>171</v>
      </c>
      <c r="E191" s="1">
        <v>947</v>
      </c>
      <c r="F191" s="1">
        <v>1196</v>
      </c>
      <c r="G191" s="1">
        <v>1118</v>
      </c>
    </row>
    <row r="192" spans="1:7">
      <c r="A192" s="46">
        <v>41490</v>
      </c>
      <c r="B192" s="1">
        <v>174</v>
      </c>
      <c r="C192" s="1">
        <v>967</v>
      </c>
      <c r="D192" s="1">
        <v>171</v>
      </c>
      <c r="E192" s="1">
        <v>946</v>
      </c>
      <c r="F192" s="1">
        <v>1141</v>
      </c>
      <c r="G192" s="1">
        <v>1117</v>
      </c>
    </row>
    <row r="193" spans="1:7">
      <c r="A193" s="46">
        <v>41497</v>
      </c>
      <c r="B193" s="1">
        <v>174</v>
      </c>
      <c r="C193" s="1">
        <v>910</v>
      </c>
      <c r="D193" s="1">
        <v>171</v>
      </c>
      <c r="E193" s="1">
        <v>948</v>
      </c>
      <c r="F193" s="1">
        <v>1084</v>
      </c>
      <c r="G193" s="1">
        <v>1119</v>
      </c>
    </row>
    <row r="194" spans="1:7">
      <c r="A194" s="46">
        <v>41504</v>
      </c>
      <c r="B194" s="1">
        <v>185</v>
      </c>
      <c r="C194" s="1">
        <v>993</v>
      </c>
      <c r="D194" s="1">
        <v>171</v>
      </c>
      <c r="E194" s="1">
        <v>951</v>
      </c>
      <c r="F194" s="1">
        <v>1178</v>
      </c>
      <c r="G194" s="1">
        <v>1122</v>
      </c>
    </row>
    <row r="195" spans="1:7">
      <c r="A195" s="46">
        <v>41511</v>
      </c>
      <c r="B195" s="1">
        <v>176</v>
      </c>
      <c r="C195" s="1">
        <v>948</v>
      </c>
      <c r="D195" s="1">
        <v>171</v>
      </c>
      <c r="E195" s="1">
        <v>955</v>
      </c>
      <c r="F195" s="1">
        <v>1124</v>
      </c>
      <c r="G195" s="1">
        <v>1126</v>
      </c>
    </row>
    <row r="196" spans="1:7">
      <c r="A196" s="46">
        <v>41518</v>
      </c>
      <c r="B196" s="1">
        <v>188</v>
      </c>
      <c r="C196" s="1">
        <v>975</v>
      </c>
      <c r="D196" s="1">
        <v>172</v>
      </c>
      <c r="E196" s="1">
        <v>960</v>
      </c>
      <c r="F196" s="1">
        <v>1163</v>
      </c>
      <c r="G196" s="1">
        <v>1132</v>
      </c>
    </row>
    <row r="197" spans="1:7">
      <c r="A197" s="46">
        <v>41525</v>
      </c>
      <c r="B197" s="1">
        <v>162</v>
      </c>
      <c r="C197" s="1">
        <v>996</v>
      </c>
      <c r="D197" s="1">
        <v>172</v>
      </c>
      <c r="E197" s="1">
        <v>965</v>
      </c>
      <c r="F197" s="1">
        <v>1158</v>
      </c>
      <c r="G197" s="1">
        <v>1137</v>
      </c>
    </row>
    <row r="198" spans="1:7">
      <c r="A198" s="46">
        <v>41532</v>
      </c>
      <c r="B198" s="1">
        <v>164</v>
      </c>
      <c r="C198" s="1">
        <v>942</v>
      </c>
      <c r="D198" s="1">
        <v>172</v>
      </c>
      <c r="E198" s="1">
        <v>970</v>
      </c>
      <c r="F198" s="1">
        <v>1106</v>
      </c>
      <c r="G198" s="1">
        <v>1142</v>
      </c>
    </row>
    <row r="199" spans="1:7">
      <c r="A199" s="46">
        <v>41539</v>
      </c>
      <c r="B199" s="1">
        <v>168</v>
      </c>
      <c r="C199" s="1">
        <v>992</v>
      </c>
      <c r="D199" s="1">
        <v>173</v>
      </c>
      <c r="E199" s="1">
        <v>975</v>
      </c>
      <c r="F199" s="1">
        <v>1160</v>
      </c>
      <c r="G199" s="1">
        <v>1148</v>
      </c>
    </row>
    <row r="200" spans="1:7">
      <c r="A200" s="46">
        <v>41546</v>
      </c>
      <c r="B200" s="1">
        <v>179</v>
      </c>
      <c r="C200" s="1">
        <v>989</v>
      </c>
      <c r="D200" s="1">
        <v>173</v>
      </c>
      <c r="E200" s="1">
        <v>980</v>
      </c>
      <c r="F200" s="1">
        <v>1168</v>
      </c>
      <c r="G200" s="1">
        <v>1153</v>
      </c>
    </row>
    <row r="201" spans="1:7">
      <c r="A201" s="46">
        <v>41553</v>
      </c>
      <c r="B201" s="1">
        <v>195</v>
      </c>
      <c r="C201" s="1">
        <v>920</v>
      </c>
      <c r="D201" s="1">
        <v>173</v>
      </c>
      <c r="E201" s="1">
        <v>987</v>
      </c>
      <c r="F201" s="1">
        <v>1115</v>
      </c>
      <c r="G201" s="1">
        <v>1160</v>
      </c>
    </row>
    <row r="202" spans="1:7">
      <c r="A202" s="46">
        <v>41560</v>
      </c>
      <c r="B202" s="1">
        <v>165</v>
      </c>
      <c r="C202" s="1">
        <v>980</v>
      </c>
      <c r="D202" s="1">
        <v>174</v>
      </c>
      <c r="E202" s="1">
        <v>995</v>
      </c>
      <c r="F202" s="1">
        <v>1145</v>
      </c>
      <c r="G202" s="1">
        <v>1169</v>
      </c>
    </row>
    <row r="203" spans="1:7">
      <c r="A203" s="46">
        <v>41567</v>
      </c>
      <c r="B203" s="1">
        <v>158</v>
      </c>
      <c r="C203" s="1">
        <v>984</v>
      </c>
      <c r="D203" s="1">
        <v>174</v>
      </c>
      <c r="E203" s="1">
        <v>1003</v>
      </c>
      <c r="F203" s="1">
        <v>1142</v>
      </c>
      <c r="G203" s="1">
        <v>1177</v>
      </c>
    </row>
    <row r="204" spans="1:7">
      <c r="A204" s="46">
        <v>41574</v>
      </c>
      <c r="B204" s="1">
        <v>181</v>
      </c>
      <c r="C204" s="1">
        <v>1024</v>
      </c>
      <c r="D204" s="1">
        <v>174</v>
      </c>
      <c r="E204" s="1">
        <v>1015</v>
      </c>
      <c r="F204" s="1">
        <v>1205</v>
      </c>
      <c r="G204" s="1">
        <v>1189</v>
      </c>
    </row>
    <row r="205" spans="1:7">
      <c r="A205" s="46">
        <v>41581</v>
      </c>
      <c r="B205" s="1">
        <v>166</v>
      </c>
      <c r="C205" s="1">
        <v>1030</v>
      </c>
      <c r="D205" s="1">
        <v>175</v>
      </c>
      <c r="E205" s="1">
        <v>1027</v>
      </c>
      <c r="F205" s="1">
        <v>1196</v>
      </c>
      <c r="G205" s="1">
        <v>1202</v>
      </c>
    </row>
    <row r="206" spans="1:7">
      <c r="A206" s="46">
        <v>41588</v>
      </c>
      <c r="B206" s="1">
        <v>168</v>
      </c>
      <c r="C206" s="1">
        <v>1035</v>
      </c>
      <c r="D206" s="1">
        <v>175</v>
      </c>
      <c r="E206" s="1">
        <v>1042</v>
      </c>
      <c r="F206" s="1">
        <v>1203</v>
      </c>
      <c r="G206" s="1">
        <v>1217</v>
      </c>
    </row>
    <row r="207" spans="1:7">
      <c r="A207" s="46">
        <v>41595</v>
      </c>
      <c r="B207" s="1">
        <v>161</v>
      </c>
      <c r="C207" s="1">
        <v>1007</v>
      </c>
      <c r="D207" s="1">
        <v>176</v>
      </c>
      <c r="E207" s="1">
        <v>1057</v>
      </c>
      <c r="F207" s="1">
        <v>1168</v>
      </c>
      <c r="G207" s="1">
        <v>1233</v>
      </c>
    </row>
    <row r="208" spans="1:7">
      <c r="A208" s="46">
        <v>41602</v>
      </c>
      <c r="B208" s="1">
        <v>179</v>
      </c>
      <c r="C208" s="1">
        <v>1061</v>
      </c>
      <c r="D208" s="1">
        <v>176</v>
      </c>
      <c r="E208" s="1">
        <v>1073</v>
      </c>
      <c r="F208" s="1">
        <v>1240</v>
      </c>
      <c r="G208" s="1">
        <v>1249</v>
      </c>
    </row>
    <row r="209" spans="1:7">
      <c r="A209" s="46">
        <v>41609</v>
      </c>
      <c r="B209" s="1">
        <v>165</v>
      </c>
      <c r="C209" s="1">
        <v>1049</v>
      </c>
      <c r="D209" s="1">
        <v>176</v>
      </c>
      <c r="E209" s="1">
        <v>1088</v>
      </c>
      <c r="F209" s="1">
        <v>1214</v>
      </c>
      <c r="G209" s="1">
        <v>1264</v>
      </c>
    </row>
    <row r="210" spans="1:7">
      <c r="A210" s="46">
        <v>41616</v>
      </c>
      <c r="B210" s="1">
        <v>201</v>
      </c>
      <c r="C210" s="1">
        <v>1128</v>
      </c>
      <c r="D210" s="1">
        <v>177</v>
      </c>
      <c r="E210" s="1">
        <v>1103</v>
      </c>
      <c r="F210" s="1">
        <v>1329</v>
      </c>
      <c r="G210" s="1">
        <v>1280</v>
      </c>
    </row>
    <row r="211" spans="1:7">
      <c r="A211" s="46">
        <v>41623</v>
      </c>
      <c r="B211" s="1">
        <v>180</v>
      </c>
      <c r="C211" s="1">
        <v>1076</v>
      </c>
      <c r="D211" s="1">
        <v>177</v>
      </c>
      <c r="E211" s="1">
        <v>1118</v>
      </c>
      <c r="F211" s="1">
        <v>1256</v>
      </c>
      <c r="G211" s="1">
        <v>1295</v>
      </c>
    </row>
    <row r="212" spans="1:7">
      <c r="A212" s="46">
        <v>41630</v>
      </c>
      <c r="B212" s="1">
        <v>190</v>
      </c>
      <c r="C212" s="1">
        <v>1031</v>
      </c>
      <c r="D212" s="1">
        <v>178</v>
      </c>
      <c r="E212" s="1">
        <v>1132</v>
      </c>
      <c r="F212" s="1">
        <v>1221</v>
      </c>
      <c r="G212" s="1">
        <v>1310</v>
      </c>
    </row>
    <row r="213" spans="1:7">
      <c r="A213" s="46">
        <v>41637</v>
      </c>
      <c r="B213" s="1">
        <v>169</v>
      </c>
      <c r="C213" s="1">
        <v>1106</v>
      </c>
      <c r="D213" s="1">
        <v>178</v>
      </c>
      <c r="E213" s="1">
        <v>1147</v>
      </c>
      <c r="F213" s="1">
        <v>1275</v>
      </c>
      <c r="G213" s="1">
        <v>1325</v>
      </c>
    </row>
    <row r="214" spans="1:7">
      <c r="A214" s="46">
        <v>41644</v>
      </c>
      <c r="B214" s="1">
        <v>166</v>
      </c>
      <c r="C214" s="1">
        <v>1143</v>
      </c>
      <c r="D214" s="1">
        <v>185</v>
      </c>
      <c r="E214" s="1">
        <v>1216</v>
      </c>
      <c r="F214" s="1">
        <v>1309</v>
      </c>
      <c r="G214" s="1">
        <v>1401</v>
      </c>
    </row>
    <row r="215" spans="1:7">
      <c r="A215" s="46">
        <v>41651</v>
      </c>
      <c r="B215" s="1">
        <v>160</v>
      </c>
      <c r="C215" s="1">
        <v>1126</v>
      </c>
      <c r="D215" s="1">
        <v>185</v>
      </c>
      <c r="E215" s="1">
        <v>1215</v>
      </c>
      <c r="F215" s="1">
        <v>1286</v>
      </c>
      <c r="G215" s="1">
        <v>1400</v>
      </c>
    </row>
    <row r="216" spans="1:7">
      <c r="A216" s="46">
        <v>41658</v>
      </c>
      <c r="B216" s="1">
        <v>215</v>
      </c>
      <c r="C216" s="1">
        <v>1097</v>
      </c>
      <c r="D216" s="1">
        <v>184</v>
      </c>
      <c r="E216" s="1">
        <v>1216</v>
      </c>
      <c r="F216" s="1">
        <v>1312</v>
      </c>
      <c r="G216" s="1">
        <v>1400</v>
      </c>
    </row>
    <row r="217" spans="1:7">
      <c r="A217" s="46">
        <v>41665</v>
      </c>
      <c r="B217" s="1">
        <v>184</v>
      </c>
      <c r="C217" s="1">
        <v>1131</v>
      </c>
      <c r="D217" s="1">
        <v>183</v>
      </c>
      <c r="E217" s="1">
        <v>1216</v>
      </c>
      <c r="F217" s="1">
        <v>1315</v>
      </c>
      <c r="G217" s="1">
        <v>1399</v>
      </c>
    </row>
    <row r="218" spans="1:7">
      <c r="A218" s="46">
        <v>41672</v>
      </c>
      <c r="B218" s="1">
        <v>149</v>
      </c>
      <c r="C218" s="1">
        <v>1164</v>
      </c>
      <c r="D218" s="1">
        <v>182</v>
      </c>
      <c r="E218" s="1">
        <v>1217</v>
      </c>
      <c r="F218" s="1">
        <v>1313</v>
      </c>
      <c r="G218" s="1">
        <v>1399</v>
      </c>
    </row>
    <row r="219" spans="1:7">
      <c r="A219" s="46">
        <v>41679</v>
      </c>
      <c r="B219" s="1">
        <v>167</v>
      </c>
      <c r="C219" s="1">
        <v>1108</v>
      </c>
      <c r="D219" s="1">
        <v>182</v>
      </c>
      <c r="E219" s="1">
        <v>1218</v>
      </c>
      <c r="F219" s="1">
        <v>1275</v>
      </c>
      <c r="G219" s="1">
        <v>1400</v>
      </c>
    </row>
    <row r="220" spans="1:7">
      <c r="A220" s="46">
        <v>41686</v>
      </c>
      <c r="B220" s="1">
        <v>205</v>
      </c>
      <c r="C220" s="1">
        <v>1095</v>
      </c>
      <c r="D220" s="1">
        <v>181</v>
      </c>
      <c r="E220" s="1">
        <v>1215</v>
      </c>
      <c r="F220" s="1">
        <v>1300</v>
      </c>
      <c r="G220" s="1">
        <v>1396</v>
      </c>
    </row>
    <row r="221" spans="1:7">
      <c r="A221" s="46">
        <v>41693</v>
      </c>
      <c r="B221" s="1">
        <v>191</v>
      </c>
      <c r="C221" s="1">
        <v>1158</v>
      </c>
      <c r="D221" s="1">
        <v>180</v>
      </c>
      <c r="E221" s="1">
        <v>1204</v>
      </c>
      <c r="F221" s="1">
        <v>1349</v>
      </c>
      <c r="G221" s="1">
        <v>1384</v>
      </c>
    </row>
    <row r="222" spans="1:7">
      <c r="A222" s="46">
        <v>41700</v>
      </c>
      <c r="B222" s="1">
        <v>198</v>
      </c>
      <c r="C222" s="1">
        <v>1160</v>
      </c>
      <c r="D222" s="1">
        <v>180</v>
      </c>
      <c r="E222" s="1">
        <v>1193</v>
      </c>
      <c r="F222" s="1">
        <v>1358</v>
      </c>
      <c r="G222" s="1">
        <v>1373</v>
      </c>
    </row>
    <row r="223" spans="1:7">
      <c r="A223" s="46">
        <v>41707</v>
      </c>
      <c r="B223" s="1">
        <v>184</v>
      </c>
      <c r="C223" s="1">
        <v>1151</v>
      </c>
      <c r="D223" s="1">
        <v>179</v>
      </c>
      <c r="E223" s="1">
        <v>1170</v>
      </c>
      <c r="F223" s="1">
        <v>1335</v>
      </c>
      <c r="G223" s="1">
        <v>1349</v>
      </c>
    </row>
    <row r="224" spans="1:7">
      <c r="A224" s="46">
        <v>41714</v>
      </c>
      <c r="B224" s="1">
        <v>178</v>
      </c>
      <c r="C224" s="1">
        <v>1114</v>
      </c>
      <c r="D224" s="1">
        <v>178</v>
      </c>
      <c r="E224" s="1">
        <v>1146</v>
      </c>
      <c r="F224" s="1">
        <v>1292</v>
      </c>
      <c r="G224" s="1">
        <v>1324</v>
      </c>
    </row>
    <row r="225" spans="1:7">
      <c r="A225" s="46">
        <v>41721</v>
      </c>
      <c r="B225" s="1">
        <v>172</v>
      </c>
      <c r="C225" s="1">
        <v>1114</v>
      </c>
      <c r="D225" s="1">
        <v>178</v>
      </c>
      <c r="E225" s="1">
        <v>1121</v>
      </c>
      <c r="F225" s="1">
        <v>1286</v>
      </c>
      <c r="G225" s="1">
        <v>1299</v>
      </c>
    </row>
    <row r="226" spans="1:7">
      <c r="A226" s="46">
        <v>41728</v>
      </c>
      <c r="B226" s="1">
        <v>183</v>
      </c>
      <c r="C226" s="1">
        <v>1026</v>
      </c>
      <c r="D226" s="1">
        <v>177</v>
      </c>
      <c r="E226" s="1">
        <v>1095</v>
      </c>
      <c r="F226" s="1">
        <v>1209</v>
      </c>
      <c r="G226" s="1">
        <v>1272</v>
      </c>
    </row>
    <row r="227" spans="1:7">
      <c r="A227" s="46">
        <v>41735</v>
      </c>
      <c r="B227" s="1">
        <v>188</v>
      </c>
      <c r="C227" s="1">
        <v>1036</v>
      </c>
      <c r="D227" s="1">
        <v>176</v>
      </c>
      <c r="E227" s="1">
        <v>1077</v>
      </c>
      <c r="F227" s="1">
        <v>1224</v>
      </c>
      <c r="G227" s="1">
        <v>1253</v>
      </c>
    </row>
    <row r="228" spans="1:7">
      <c r="A228" s="46">
        <v>41742</v>
      </c>
      <c r="B228" s="1">
        <v>177</v>
      </c>
      <c r="C228" s="1">
        <v>1035</v>
      </c>
      <c r="D228" s="1">
        <v>176</v>
      </c>
      <c r="E228" s="1">
        <v>1063</v>
      </c>
      <c r="F228" s="1">
        <v>1212</v>
      </c>
      <c r="G228" s="1">
        <v>1239</v>
      </c>
    </row>
    <row r="229" spans="1:7">
      <c r="A229" s="46">
        <v>41749</v>
      </c>
      <c r="B229" s="1">
        <v>170</v>
      </c>
      <c r="C229" s="1">
        <v>1020</v>
      </c>
      <c r="D229" s="1">
        <v>175</v>
      </c>
      <c r="E229" s="1">
        <v>1049</v>
      </c>
      <c r="F229" s="1">
        <v>1190</v>
      </c>
      <c r="G229" s="1">
        <v>1224</v>
      </c>
    </row>
    <row r="230" spans="1:7">
      <c r="A230" s="46">
        <v>41756</v>
      </c>
      <c r="B230" s="1">
        <v>156</v>
      </c>
      <c r="C230" s="1">
        <v>980</v>
      </c>
      <c r="D230" s="1">
        <v>174</v>
      </c>
      <c r="E230" s="1">
        <v>1036</v>
      </c>
      <c r="F230" s="1">
        <v>1136</v>
      </c>
      <c r="G230" s="1">
        <v>1210</v>
      </c>
    </row>
    <row r="231" spans="1:7">
      <c r="A231" s="46">
        <v>41763</v>
      </c>
      <c r="B231" s="1">
        <v>141</v>
      </c>
      <c r="C231" s="1">
        <v>1047</v>
      </c>
      <c r="D231" s="1">
        <v>173</v>
      </c>
      <c r="E231" s="1">
        <v>1024</v>
      </c>
      <c r="F231" s="1">
        <v>1188</v>
      </c>
      <c r="G231" s="1">
        <v>1197</v>
      </c>
    </row>
    <row r="232" spans="1:7">
      <c r="A232" s="46">
        <v>41770</v>
      </c>
      <c r="B232" s="1">
        <v>208</v>
      </c>
      <c r="C232" s="1">
        <v>1001</v>
      </c>
      <c r="D232" s="1">
        <v>173</v>
      </c>
      <c r="E232" s="1">
        <v>1012</v>
      </c>
      <c r="F232" s="1">
        <v>1209</v>
      </c>
      <c r="G232" s="1">
        <v>1185</v>
      </c>
    </row>
    <row r="233" spans="1:7">
      <c r="A233" s="46">
        <v>41777</v>
      </c>
      <c r="B233" s="1">
        <v>165</v>
      </c>
      <c r="C233" s="1">
        <v>970</v>
      </c>
      <c r="D233" s="1">
        <v>172</v>
      </c>
      <c r="E233" s="1">
        <v>999</v>
      </c>
      <c r="F233" s="1">
        <v>1135</v>
      </c>
      <c r="G233" s="1">
        <v>1171</v>
      </c>
    </row>
    <row r="234" spans="1:7">
      <c r="A234" s="46">
        <v>41784</v>
      </c>
      <c r="B234" s="1">
        <v>170</v>
      </c>
      <c r="C234" s="1">
        <v>983</v>
      </c>
      <c r="D234" s="1">
        <v>171</v>
      </c>
      <c r="E234" s="1">
        <v>988</v>
      </c>
      <c r="F234" s="1">
        <v>1153</v>
      </c>
      <c r="G234" s="1">
        <v>1159</v>
      </c>
    </row>
    <row r="235" spans="1:7">
      <c r="A235" s="46">
        <v>41791</v>
      </c>
      <c r="B235" s="1">
        <v>176</v>
      </c>
      <c r="C235" s="1">
        <v>948</v>
      </c>
      <c r="D235" s="1">
        <v>171</v>
      </c>
      <c r="E235" s="1">
        <v>984</v>
      </c>
      <c r="F235" s="1">
        <v>1124</v>
      </c>
      <c r="G235" s="1">
        <v>1155</v>
      </c>
    </row>
    <row r="236" spans="1:7">
      <c r="A236" s="46">
        <v>41798</v>
      </c>
      <c r="B236" s="1">
        <v>163</v>
      </c>
      <c r="C236" s="1">
        <v>934</v>
      </c>
      <c r="D236" s="1">
        <v>170</v>
      </c>
      <c r="E236" s="1">
        <v>979</v>
      </c>
      <c r="F236" s="1">
        <v>1097</v>
      </c>
      <c r="G236" s="1">
        <v>1149</v>
      </c>
    </row>
    <row r="237" spans="1:7">
      <c r="A237" s="46">
        <v>41805</v>
      </c>
      <c r="B237" s="1">
        <v>158</v>
      </c>
      <c r="C237" s="1">
        <v>1057</v>
      </c>
      <c r="D237" s="1">
        <v>170</v>
      </c>
      <c r="E237" s="1">
        <v>978</v>
      </c>
      <c r="F237" s="1">
        <v>1215</v>
      </c>
      <c r="G237" s="1">
        <v>1148</v>
      </c>
    </row>
    <row r="238" spans="1:7">
      <c r="A238" s="46">
        <v>41812</v>
      </c>
      <c r="B238" s="1">
        <v>159</v>
      </c>
      <c r="C238" s="1">
        <v>921</v>
      </c>
      <c r="D238" s="1">
        <v>169</v>
      </c>
      <c r="E238" s="1">
        <v>976</v>
      </c>
      <c r="F238" s="1">
        <v>1080</v>
      </c>
      <c r="G238" s="1">
        <v>1145</v>
      </c>
    </row>
    <row r="239" spans="1:7">
      <c r="A239" s="46">
        <v>41819</v>
      </c>
      <c r="B239" s="1">
        <v>163</v>
      </c>
      <c r="C239" s="1">
        <v>916</v>
      </c>
      <c r="D239" s="1">
        <v>169</v>
      </c>
      <c r="E239" s="1">
        <v>975</v>
      </c>
      <c r="F239" s="1">
        <v>1079</v>
      </c>
      <c r="G239" s="1">
        <v>1144</v>
      </c>
    </row>
    <row r="240" spans="1:7">
      <c r="A240" s="46">
        <v>41826</v>
      </c>
      <c r="B240" s="1">
        <v>163</v>
      </c>
      <c r="C240" s="1">
        <v>993</v>
      </c>
      <c r="D240" s="1">
        <v>169</v>
      </c>
      <c r="E240" s="1">
        <v>975</v>
      </c>
      <c r="F240" s="1">
        <v>1156</v>
      </c>
      <c r="G240" s="1">
        <v>1144</v>
      </c>
    </row>
    <row r="241" spans="1:7">
      <c r="A241" s="46">
        <v>41833</v>
      </c>
      <c r="B241" s="1">
        <v>150</v>
      </c>
      <c r="C241" s="1">
        <v>927</v>
      </c>
      <c r="D241" s="1">
        <v>169</v>
      </c>
      <c r="E241" s="1">
        <v>971</v>
      </c>
      <c r="F241" s="1">
        <v>1077</v>
      </c>
      <c r="G241" s="1">
        <v>1140</v>
      </c>
    </row>
    <row r="242" spans="1:7">
      <c r="A242" s="46">
        <v>41840</v>
      </c>
      <c r="B242" s="1">
        <v>167</v>
      </c>
      <c r="C242" s="1">
        <v>1014</v>
      </c>
      <c r="D242" s="1">
        <v>168</v>
      </c>
      <c r="E242" s="1">
        <v>968</v>
      </c>
      <c r="F242" s="1">
        <v>1181</v>
      </c>
      <c r="G242" s="1">
        <v>1136</v>
      </c>
    </row>
    <row r="243" spans="1:7">
      <c r="A243" s="46">
        <v>41847</v>
      </c>
      <c r="B243" s="1">
        <v>165</v>
      </c>
      <c r="C243" s="1">
        <v>971</v>
      </c>
      <c r="D243" s="1">
        <v>168</v>
      </c>
      <c r="E243" s="1">
        <v>967</v>
      </c>
      <c r="F243" s="1">
        <v>1136</v>
      </c>
      <c r="G243" s="1">
        <v>1135</v>
      </c>
    </row>
    <row r="244" spans="1:7">
      <c r="A244" s="46">
        <v>41854</v>
      </c>
      <c r="B244" s="1">
        <v>159</v>
      </c>
      <c r="C244" s="1">
        <v>1002</v>
      </c>
      <c r="D244" s="1">
        <v>168</v>
      </c>
      <c r="E244" s="1">
        <v>967</v>
      </c>
      <c r="F244" s="1">
        <v>1161</v>
      </c>
      <c r="G244" s="1">
        <v>1135</v>
      </c>
    </row>
    <row r="245" spans="1:7">
      <c r="A245" s="46">
        <v>41861</v>
      </c>
      <c r="B245" s="1">
        <v>154</v>
      </c>
      <c r="C245" s="1">
        <v>900</v>
      </c>
      <c r="D245" s="1">
        <v>168</v>
      </c>
      <c r="E245" s="1">
        <v>970</v>
      </c>
      <c r="F245" s="1">
        <v>1054</v>
      </c>
      <c r="G245" s="1">
        <v>1138</v>
      </c>
    </row>
    <row r="246" spans="1:7">
      <c r="A246" s="46">
        <v>41868</v>
      </c>
      <c r="B246" s="1">
        <v>142</v>
      </c>
      <c r="C246" s="1">
        <v>965</v>
      </c>
      <c r="D246" s="1">
        <v>168</v>
      </c>
      <c r="E246" s="1">
        <v>974</v>
      </c>
      <c r="F246" s="1">
        <v>1107</v>
      </c>
      <c r="G246" s="1">
        <v>1142</v>
      </c>
    </row>
    <row r="247" spans="1:7">
      <c r="A247" s="46">
        <v>41875</v>
      </c>
      <c r="B247" s="1">
        <v>160</v>
      </c>
      <c r="C247" s="1">
        <v>943</v>
      </c>
      <c r="D247" s="1">
        <v>168</v>
      </c>
      <c r="E247" s="1">
        <v>980</v>
      </c>
      <c r="F247" s="1">
        <v>1103</v>
      </c>
      <c r="G247" s="1">
        <v>1148</v>
      </c>
    </row>
    <row r="248" spans="1:7">
      <c r="A248" s="46">
        <v>41882</v>
      </c>
      <c r="B248" s="1">
        <v>163</v>
      </c>
      <c r="C248" s="1">
        <v>1014</v>
      </c>
      <c r="D248" s="1">
        <v>169</v>
      </c>
      <c r="E248" s="1">
        <v>987</v>
      </c>
      <c r="F248" s="1">
        <v>1177</v>
      </c>
      <c r="G248" s="1">
        <v>1156</v>
      </c>
    </row>
    <row r="249" spans="1:7">
      <c r="A249" s="46">
        <v>41889</v>
      </c>
      <c r="B249" s="1">
        <v>188</v>
      </c>
      <c r="C249" s="1">
        <v>963</v>
      </c>
      <c r="D249" s="1">
        <v>169</v>
      </c>
      <c r="E249" s="1">
        <v>994</v>
      </c>
      <c r="F249" s="1">
        <v>1151</v>
      </c>
      <c r="G249" s="1">
        <v>1163</v>
      </c>
    </row>
    <row r="250" spans="1:7">
      <c r="A250" s="46">
        <v>41896</v>
      </c>
      <c r="B250" s="1">
        <v>141</v>
      </c>
      <c r="C250" s="1">
        <v>991</v>
      </c>
      <c r="D250" s="1">
        <v>169</v>
      </c>
      <c r="E250" s="1">
        <v>999</v>
      </c>
      <c r="F250" s="1">
        <v>1132</v>
      </c>
      <c r="G250" s="1">
        <v>1168</v>
      </c>
    </row>
    <row r="251" spans="1:7">
      <c r="A251" s="46">
        <v>41903</v>
      </c>
      <c r="B251" s="1">
        <v>157</v>
      </c>
      <c r="C251" s="1">
        <v>958</v>
      </c>
      <c r="D251" s="1">
        <v>170</v>
      </c>
      <c r="E251" s="1">
        <v>1003</v>
      </c>
      <c r="F251" s="1">
        <v>1115</v>
      </c>
      <c r="G251" s="1">
        <v>1173</v>
      </c>
    </row>
    <row r="252" spans="1:7">
      <c r="A252" s="46">
        <v>41910</v>
      </c>
      <c r="B252" s="1">
        <v>169</v>
      </c>
      <c r="C252" s="1">
        <v>966</v>
      </c>
      <c r="D252" s="1">
        <v>170</v>
      </c>
      <c r="E252" s="1">
        <v>1008</v>
      </c>
      <c r="F252" s="1">
        <v>1135</v>
      </c>
      <c r="G252" s="1">
        <v>1178</v>
      </c>
    </row>
    <row r="253" spans="1:7">
      <c r="A253" s="46">
        <v>41917</v>
      </c>
      <c r="B253" s="1">
        <v>167</v>
      </c>
      <c r="C253" s="1">
        <v>1022</v>
      </c>
      <c r="D253" s="1">
        <v>170</v>
      </c>
      <c r="E253" s="1">
        <v>1015</v>
      </c>
      <c r="F253" s="1">
        <v>1189</v>
      </c>
      <c r="G253" s="1">
        <v>1185</v>
      </c>
    </row>
    <row r="254" spans="1:7">
      <c r="A254" s="46">
        <v>41924</v>
      </c>
      <c r="B254" s="1">
        <v>188</v>
      </c>
      <c r="C254" s="1">
        <v>1020</v>
      </c>
      <c r="D254" s="1">
        <v>171</v>
      </c>
      <c r="E254" s="1">
        <v>1024</v>
      </c>
      <c r="F254" s="1">
        <v>1208</v>
      </c>
      <c r="G254" s="1">
        <v>1195</v>
      </c>
    </row>
    <row r="255" spans="1:7">
      <c r="A255" s="46">
        <v>41931</v>
      </c>
      <c r="B255" s="1">
        <v>149</v>
      </c>
      <c r="C255" s="1">
        <v>1020</v>
      </c>
      <c r="D255" s="1">
        <v>172</v>
      </c>
      <c r="E255" s="1">
        <v>1033</v>
      </c>
      <c r="F255" s="1">
        <v>1169</v>
      </c>
      <c r="G255" s="1">
        <v>1205</v>
      </c>
    </row>
    <row r="256" spans="1:7">
      <c r="A256" s="46">
        <v>41938</v>
      </c>
      <c r="B256" s="1">
        <v>158</v>
      </c>
      <c r="C256" s="1">
        <v>1086</v>
      </c>
      <c r="D256" s="1">
        <v>172</v>
      </c>
      <c r="E256" s="1">
        <v>1045</v>
      </c>
      <c r="F256" s="1">
        <v>1244</v>
      </c>
      <c r="G256" s="1">
        <v>1217</v>
      </c>
    </row>
    <row r="257" spans="1:7">
      <c r="A257" s="46">
        <v>41945</v>
      </c>
      <c r="B257" s="1">
        <v>182</v>
      </c>
      <c r="C257" s="1">
        <v>1036</v>
      </c>
      <c r="D257" s="1">
        <v>173</v>
      </c>
      <c r="E257" s="1">
        <v>1057</v>
      </c>
      <c r="F257" s="1">
        <v>1218</v>
      </c>
      <c r="G257" s="1">
        <v>1230</v>
      </c>
    </row>
    <row r="258" spans="1:7">
      <c r="A258" s="46">
        <v>41952</v>
      </c>
      <c r="B258" s="1">
        <v>181</v>
      </c>
      <c r="C258" s="1">
        <v>1085</v>
      </c>
      <c r="D258" s="1">
        <v>173</v>
      </c>
      <c r="E258" s="1">
        <v>1074</v>
      </c>
      <c r="F258" s="1">
        <v>1266</v>
      </c>
      <c r="G258" s="1">
        <v>1247</v>
      </c>
    </row>
    <row r="259" spans="1:7">
      <c r="A259" s="46">
        <v>41959</v>
      </c>
      <c r="B259" s="1">
        <v>207</v>
      </c>
      <c r="C259" s="1">
        <v>1092</v>
      </c>
      <c r="D259" s="1">
        <v>174</v>
      </c>
      <c r="E259" s="1">
        <v>1090</v>
      </c>
      <c r="F259" s="1">
        <v>1299</v>
      </c>
      <c r="G259" s="1">
        <v>1264</v>
      </c>
    </row>
    <row r="260" spans="1:7">
      <c r="A260" s="46">
        <v>41966</v>
      </c>
      <c r="B260" s="1">
        <v>181</v>
      </c>
      <c r="C260" s="1">
        <v>1112</v>
      </c>
      <c r="D260" s="1">
        <v>174</v>
      </c>
      <c r="E260" s="1">
        <v>1106</v>
      </c>
      <c r="F260" s="1">
        <v>1293</v>
      </c>
      <c r="G260" s="1">
        <v>1280</v>
      </c>
    </row>
    <row r="261" spans="1:7">
      <c r="A261" s="46">
        <v>41973</v>
      </c>
      <c r="B261" s="1">
        <v>158</v>
      </c>
      <c r="C261" s="1">
        <v>1125</v>
      </c>
      <c r="D261" s="1">
        <v>175</v>
      </c>
      <c r="E261" s="1">
        <v>1123</v>
      </c>
      <c r="F261" s="1">
        <v>1283</v>
      </c>
      <c r="G261" s="1">
        <v>1298</v>
      </c>
    </row>
    <row r="262" spans="1:7">
      <c r="A262" s="46">
        <v>41980</v>
      </c>
      <c r="B262" s="1">
        <v>194</v>
      </c>
      <c r="C262" s="1">
        <v>1100</v>
      </c>
      <c r="D262" s="1">
        <v>176</v>
      </c>
      <c r="E262" s="1">
        <v>1140</v>
      </c>
      <c r="F262" s="1">
        <v>1294</v>
      </c>
      <c r="G262" s="1">
        <v>1316</v>
      </c>
    </row>
    <row r="263" spans="1:7">
      <c r="A263" s="46">
        <v>41987</v>
      </c>
      <c r="B263" s="1">
        <v>171</v>
      </c>
      <c r="C263" s="1">
        <v>1080</v>
      </c>
      <c r="D263" s="1">
        <v>176</v>
      </c>
      <c r="E263" s="1">
        <v>1149</v>
      </c>
      <c r="F263" s="1">
        <v>1251</v>
      </c>
      <c r="G263" s="1">
        <v>1325</v>
      </c>
    </row>
    <row r="264" spans="1:7">
      <c r="A264" s="46">
        <v>41994</v>
      </c>
      <c r="B264" s="1">
        <v>173</v>
      </c>
      <c r="C264" s="1">
        <v>1160</v>
      </c>
      <c r="D264" s="1">
        <v>177</v>
      </c>
      <c r="E264" s="1">
        <v>1158</v>
      </c>
      <c r="F264" s="1">
        <v>1333</v>
      </c>
      <c r="G264" s="1">
        <v>1335</v>
      </c>
    </row>
    <row r="265" spans="1:7">
      <c r="A265" s="46">
        <v>42001</v>
      </c>
      <c r="B265" s="1">
        <v>177</v>
      </c>
      <c r="C265" s="1">
        <v>1155</v>
      </c>
      <c r="D265" s="1">
        <v>178</v>
      </c>
      <c r="E265" s="1">
        <v>1167</v>
      </c>
      <c r="F265" s="1">
        <v>1332</v>
      </c>
      <c r="G265" s="1">
        <v>1345</v>
      </c>
    </row>
    <row r="266" spans="1:7">
      <c r="A266" s="46">
        <v>42008</v>
      </c>
      <c r="B266" s="1">
        <v>192</v>
      </c>
      <c r="C266" s="1">
        <v>1210</v>
      </c>
      <c r="D266" s="1">
        <v>177</v>
      </c>
      <c r="E266" s="1">
        <v>1188</v>
      </c>
      <c r="F266" s="1">
        <v>1402</v>
      </c>
      <c r="G266" s="1">
        <v>1365</v>
      </c>
    </row>
    <row r="267" spans="1:7">
      <c r="A267" s="46">
        <v>42015</v>
      </c>
      <c r="B267" s="1">
        <v>190</v>
      </c>
      <c r="C267" s="1">
        <v>1293</v>
      </c>
      <c r="D267" s="1">
        <v>177</v>
      </c>
      <c r="E267" s="1">
        <v>1190</v>
      </c>
      <c r="F267" s="1">
        <v>1483</v>
      </c>
      <c r="G267" s="1">
        <v>1367</v>
      </c>
    </row>
    <row r="268" spans="1:7">
      <c r="A268" s="46">
        <v>42022</v>
      </c>
      <c r="B268" s="1">
        <v>197</v>
      </c>
      <c r="C268" s="1">
        <v>1313</v>
      </c>
      <c r="D268" s="1">
        <v>178</v>
      </c>
      <c r="E268" s="1">
        <v>1192</v>
      </c>
      <c r="F268" s="1">
        <v>1510</v>
      </c>
      <c r="G268" s="1">
        <v>1370</v>
      </c>
    </row>
    <row r="269" spans="1:7">
      <c r="A269" s="46">
        <v>42029</v>
      </c>
      <c r="B269" s="1">
        <v>174</v>
      </c>
      <c r="C269" s="1">
        <v>1299</v>
      </c>
      <c r="D269" s="1">
        <v>178</v>
      </c>
      <c r="E269" s="1">
        <v>1195</v>
      </c>
      <c r="F269" s="1">
        <v>1473</v>
      </c>
      <c r="G269" s="1">
        <v>1373</v>
      </c>
    </row>
    <row r="270" spans="1:7">
      <c r="A270" s="46">
        <v>42036</v>
      </c>
      <c r="B270" s="1">
        <v>203</v>
      </c>
      <c r="C270" s="1">
        <v>1378</v>
      </c>
      <c r="D270" s="1">
        <v>179</v>
      </c>
      <c r="E270" s="1">
        <v>1199</v>
      </c>
      <c r="F270" s="1">
        <v>1581</v>
      </c>
      <c r="G270" s="1">
        <v>1378</v>
      </c>
    </row>
    <row r="271" spans="1:7">
      <c r="A271" s="46">
        <v>42043</v>
      </c>
      <c r="B271" s="1">
        <v>178</v>
      </c>
      <c r="C271" s="1">
        <v>1468</v>
      </c>
      <c r="D271" s="1">
        <v>179</v>
      </c>
      <c r="E271" s="1">
        <v>1209</v>
      </c>
      <c r="F271" s="1">
        <v>1646</v>
      </c>
      <c r="G271" s="1">
        <v>1388</v>
      </c>
    </row>
    <row r="272" spans="1:7">
      <c r="A272" s="46">
        <v>42050</v>
      </c>
      <c r="B272" s="1">
        <v>223</v>
      </c>
      <c r="C272" s="1">
        <v>1572</v>
      </c>
      <c r="D272" s="1">
        <v>179</v>
      </c>
      <c r="E272" s="1">
        <v>1213</v>
      </c>
      <c r="F272" s="1">
        <v>1795</v>
      </c>
      <c r="G272" s="1">
        <v>1392</v>
      </c>
    </row>
    <row r="273" spans="1:7">
      <c r="A273" s="46">
        <v>42057</v>
      </c>
      <c r="B273" s="1">
        <v>208</v>
      </c>
      <c r="C273" s="1">
        <v>1548</v>
      </c>
      <c r="D273" s="1">
        <v>178</v>
      </c>
      <c r="E273" s="1">
        <v>1212</v>
      </c>
      <c r="F273" s="1">
        <v>1756</v>
      </c>
      <c r="G273" s="1">
        <v>1390</v>
      </c>
    </row>
    <row r="274" spans="1:7">
      <c r="A274" s="46">
        <v>42064</v>
      </c>
      <c r="B274" s="1">
        <v>188</v>
      </c>
      <c r="C274" s="1">
        <v>1527</v>
      </c>
      <c r="D274" s="1">
        <v>177</v>
      </c>
      <c r="E274" s="1">
        <v>1201</v>
      </c>
      <c r="F274" s="1">
        <v>1715</v>
      </c>
      <c r="G274" s="1">
        <v>1378</v>
      </c>
    </row>
    <row r="275" spans="1:7">
      <c r="A275" s="46">
        <v>42071</v>
      </c>
      <c r="B275" s="1">
        <v>184</v>
      </c>
      <c r="C275" s="1">
        <v>1359</v>
      </c>
      <c r="D275" s="1">
        <v>175</v>
      </c>
      <c r="E275" s="1">
        <v>1176</v>
      </c>
      <c r="F275" s="1">
        <v>1543</v>
      </c>
      <c r="G275" s="1">
        <v>1351</v>
      </c>
    </row>
    <row r="276" spans="1:7">
      <c r="A276" s="46">
        <v>42078</v>
      </c>
      <c r="B276" s="1">
        <v>171</v>
      </c>
      <c r="C276" s="1">
        <v>1359</v>
      </c>
      <c r="D276" s="1">
        <v>174</v>
      </c>
      <c r="E276" s="1">
        <v>1147</v>
      </c>
      <c r="F276" s="1">
        <v>1530</v>
      </c>
      <c r="G276" s="1">
        <v>1321</v>
      </c>
    </row>
    <row r="277" spans="1:7">
      <c r="A277" s="46">
        <v>42085</v>
      </c>
      <c r="B277" s="1">
        <v>187</v>
      </c>
      <c r="C277" s="1">
        <v>1237</v>
      </c>
      <c r="D277" s="1">
        <v>172</v>
      </c>
      <c r="E277" s="1">
        <v>1119</v>
      </c>
      <c r="F277" s="1">
        <v>1424</v>
      </c>
      <c r="G277" s="1">
        <v>1291</v>
      </c>
    </row>
    <row r="278" spans="1:7">
      <c r="A278" s="46">
        <v>42092</v>
      </c>
      <c r="B278" s="1">
        <v>170</v>
      </c>
      <c r="C278" s="1">
        <v>1112</v>
      </c>
      <c r="D278" s="1">
        <v>171</v>
      </c>
      <c r="E278" s="1">
        <v>1092</v>
      </c>
      <c r="F278" s="1">
        <v>1282</v>
      </c>
      <c r="G278" s="1">
        <v>1263</v>
      </c>
    </row>
    <row r="279" spans="1:7">
      <c r="A279" s="46">
        <v>42099</v>
      </c>
      <c r="B279" s="1">
        <v>186</v>
      </c>
      <c r="C279" s="1">
        <v>1104</v>
      </c>
      <c r="D279" s="1">
        <v>170</v>
      </c>
      <c r="E279" s="1">
        <v>1071</v>
      </c>
      <c r="F279" s="1">
        <v>1290</v>
      </c>
      <c r="G279" s="1">
        <v>1241</v>
      </c>
    </row>
    <row r="280" spans="1:7">
      <c r="A280" s="46">
        <v>42106</v>
      </c>
      <c r="B280" s="1">
        <v>161</v>
      </c>
      <c r="C280" s="1">
        <v>1059</v>
      </c>
      <c r="D280" s="1">
        <v>169</v>
      </c>
      <c r="E280" s="1">
        <v>1058</v>
      </c>
      <c r="F280" s="1">
        <v>1220</v>
      </c>
      <c r="G280" s="1">
        <v>1227</v>
      </c>
    </row>
    <row r="281" spans="1:7">
      <c r="A281" s="46">
        <v>42113</v>
      </c>
      <c r="B281" s="1">
        <v>171</v>
      </c>
      <c r="C281" s="1">
        <v>1106</v>
      </c>
      <c r="D281" s="1">
        <v>169</v>
      </c>
      <c r="E281" s="1">
        <v>1045</v>
      </c>
      <c r="F281" s="1">
        <v>1277</v>
      </c>
      <c r="G281" s="1">
        <v>1214</v>
      </c>
    </row>
    <row r="282" spans="1:7">
      <c r="A282" s="46">
        <v>42120</v>
      </c>
      <c r="B282" s="1">
        <v>163</v>
      </c>
      <c r="C282" s="1">
        <v>1043</v>
      </c>
      <c r="D282" s="1">
        <v>169</v>
      </c>
      <c r="E282" s="1">
        <v>1032</v>
      </c>
      <c r="F282" s="1">
        <v>1206</v>
      </c>
      <c r="G282" s="1">
        <v>1201</v>
      </c>
    </row>
    <row r="283" spans="1:7">
      <c r="A283" s="46">
        <v>42127</v>
      </c>
      <c r="B283" s="1">
        <v>159</v>
      </c>
      <c r="C283" s="1">
        <v>1105</v>
      </c>
      <c r="D283" s="1">
        <v>168</v>
      </c>
      <c r="E283" s="1">
        <v>1019</v>
      </c>
      <c r="F283" s="1">
        <v>1264</v>
      </c>
      <c r="G283" s="1">
        <v>1187</v>
      </c>
    </row>
    <row r="284" spans="1:7">
      <c r="A284" s="46">
        <v>42134</v>
      </c>
      <c r="B284" s="1">
        <v>180</v>
      </c>
      <c r="C284" s="1">
        <v>970</v>
      </c>
      <c r="D284" s="1">
        <v>168</v>
      </c>
      <c r="E284" s="1">
        <v>1006</v>
      </c>
      <c r="F284" s="1">
        <v>1150</v>
      </c>
      <c r="G284" s="1">
        <v>1174</v>
      </c>
    </row>
    <row r="285" spans="1:7">
      <c r="A285" s="46">
        <v>42141</v>
      </c>
      <c r="B285" s="1">
        <v>184</v>
      </c>
      <c r="C285" s="1">
        <v>957</v>
      </c>
      <c r="D285" s="1">
        <v>167</v>
      </c>
      <c r="E285" s="1">
        <v>993</v>
      </c>
      <c r="F285" s="1">
        <v>1141</v>
      </c>
      <c r="G285" s="1">
        <v>1160</v>
      </c>
    </row>
    <row r="286" spans="1:7">
      <c r="A286" s="46">
        <v>42148</v>
      </c>
      <c r="B286" s="1">
        <v>166</v>
      </c>
      <c r="C286" s="1">
        <v>950</v>
      </c>
      <c r="D286" s="1">
        <v>167</v>
      </c>
      <c r="E286" s="1">
        <v>981</v>
      </c>
      <c r="F286" s="1">
        <v>1116</v>
      </c>
      <c r="G286" s="1">
        <v>1148</v>
      </c>
    </row>
    <row r="287" spans="1:7">
      <c r="A287" s="46">
        <v>42155</v>
      </c>
      <c r="B287" s="1">
        <v>164</v>
      </c>
      <c r="C287" s="1">
        <v>921</v>
      </c>
      <c r="D287" s="1">
        <v>166</v>
      </c>
      <c r="E287" s="1">
        <v>975</v>
      </c>
      <c r="F287" s="1">
        <v>1085</v>
      </c>
      <c r="G287" s="1">
        <v>1141</v>
      </c>
    </row>
    <row r="288" spans="1:7">
      <c r="A288" s="46">
        <v>42162</v>
      </c>
      <c r="B288" s="1">
        <v>164</v>
      </c>
      <c r="C288" s="1">
        <v>994</v>
      </c>
      <c r="D288" s="1">
        <v>166</v>
      </c>
      <c r="E288" s="1">
        <v>974</v>
      </c>
      <c r="F288" s="1">
        <v>1158</v>
      </c>
      <c r="G288" s="1">
        <v>1140</v>
      </c>
    </row>
    <row r="289" spans="1:7">
      <c r="A289" s="46">
        <v>42169</v>
      </c>
      <c r="B289" s="1">
        <v>175</v>
      </c>
      <c r="C289" s="1">
        <v>982</v>
      </c>
      <c r="D289" s="1">
        <v>166</v>
      </c>
      <c r="E289" s="1">
        <v>975</v>
      </c>
      <c r="F289" s="1">
        <v>1157</v>
      </c>
      <c r="G289" s="1">
        <v>1141</v>
      </c>
    </row>
    <row r="290" spans="1:7">
      <c r="A290" s="46">
        <v>42176</v>
      </c>
      <c r="B290" s="1">
        <v>166</v>
      </c>
      <c r="C290" s="1">
        <v>923</v>
      </c>
      <c r="D290" s="1">
        <v>165</v>
      </c>
      <c r="E290" s="1">
        <v>976</v>
      </c>
      <c r="F290" s="1">
        <v>1089</v>
      </c>
      <c r="G290" s="1">
        <v>1141</v>
      </c>
    </row>
    <row r="291" spans="1:7">
      <c r="A291" s="46">
        <v>42183</v>
      </c>
      <c r="B291" s="1">
        <v>202</v>
      </c>
      <c r="C291" s="1">
        <v>983</v>
      </c>
      <c r="D291" s="1">
        <v>165</v>
      </c>
      <c r="E291" s="1">
        <v>980</v>
      </c>
      <c r="F291" s="1">
        <v>1185</v>
      </c>
      <c r="G291" s="1">
        <v>1145</v>
      </c>
    </row>
    <row r="292" spans="1:7">
      <c r="A292" s="46">
        <v>42190</v>
      </c>
      <c r="B292" s="1">
        <v>179</v>
      </c>
      <c r="C292" s="1">
        <v>1098</v>
      </c>
      <c r="D292" s="1">
        <v>164</v>
      </c>
      <c r="E292" s="1">
        <v>983</v>
      </c>
      <c r="F292" s="1">
        <v>1277</v>
      </c>
      <c r="G292" s="1">
        <v>1147</v>
      </c>
    </row>
    <row r="293" spans="1:7">
      <c r="A293" s="46">
        <v>42197</v>
      </c>
      <c r="B293" s="1">
        <v>181</v>
      </c>
      <c r="C293" s="1">
        <v>1157</v>
      </c>
      <c r="D293" s="1">
        <v>163</v>
      </c>
      <c r="E293" s="1">
        <v>984</v>
      </c>
      <c r="F293" s="1">
        <v>1338</v>
      </c>
      <c r="G293" s="1">
        <v>1147</v>
      </c>
    </row>
    <row r="294" spans="1:7">
      <c r="A294" s="46">
        <v>42204</v>
      </c>
      <c r="B294" s="1">
        <v>203</v>
      </c>
      <c r="C294" s="1">
        <v>1077</v>
      </c>
      <c r="D294" s="1">
        <v>162</v>
      </c>
      <c r="E294" s="1">
        <v>981</v>
      </c>
      <c r="F294" s="1">
        <v>1280</v>
      </c>
      <c r="G294" s="1">
        <v>1143</v>
      </c>
    </row>
    <row r="295" spans="1:7">
      <c r="A295" s="46">
        <v>42211</v>
      </c>
      <c r="B295" s="1">
        <v>157</v>
      </c>
      <c r="C295" s="1">
        <v>994</v>
      </c>
      <c r="D295" s="1">
        <v>161</v>
      </c>
      <c r="E295" s="1">
        <v>977</v>
      </c>
      <c r="F295" s="1">
        <v>1151</v>
      </c>
      <c r="G295" s="1">
        <v>1138</v>
      </c>
    </row>
    <row r="296" spans="1:7">
      <c r="A296" s="46">
        <v>42218</v>
      </c>
      <c r="B296" s="1">
        <v>164</v>
      </c>
      <c r="C296" s="1">
        <v>957</v>
      </c>
      <c r="D296" s="1">
        <v>161</v>
      </c>
      <c r="E296" s="1">
        <v>973</v>
      </c>
      <c r="F296" s="1">
        <v>1121</v>
      </c>
      <c r="G296" s="1">
        <v>1134</v>
      </c>
    </row>
    <row r="297" spans="1:7">
      <c r="A297" s="46">
        <v>42225</v>
      </c>
      <c r="B297" s="1">
        <v>180</v>
      </c>
      <c r="C297" s="1">
        <v>1018</v>
      </c>
      <c r="D297" s="1">
        <v>161</v>
      </c>
      <c r="E297" s="1">
        <v>972</v>
      </c>
      <c r="F297" s="1">
        <v>1198</v>
      </c>
      <c r="G297" s="1">
        <v>1133</v>
      </c>
    </row>
    <row r="298" spans="1:7">
      <c r="A298" s="46">
        <v>42232</v>
      </c>
      <c r="B298" s="1">
        <v>165</v>
      </c>
      <c r="C298" s="1">
        <v>1015</v>
      </c>
      <c r="D298" s="1">
        <v>162</v>
      </c>
      <c r="E298" s="1">
        <v>972</v>
      </c>
      <c r="F298" s="1">
        <v>1180</v>
      </c>
      <c r="G298" s="1">
        <v>1134</v>
      </c>
    </row>
    <row r="299" spans="1:7">
      <c r="A299" s="46">
        <v>42239</v>
      </c>
      <c r="B299" s="1">
        <v>163</v>
      </c>
      <c r="C299" s="1">
        <v>967</v>
      </c>
      <c r="D299" s="1">
        <v>162</v>
      </c>
      <c r="E299" s="1">
        <v>978</v>
      </c>
      <c r="F299" s="1">
        <v>1130</v>
      </c>
      <c r="G299" s="1">
        <v>1140</v>
      </c>
    </row>
    <row r="300" spans="1:7">
      <c r="A300" s="46">
        <v>42246</v>
      </c>
      <c r="B300" s="1">
        <v>176</v>
      </c>
      <c r="C300" s="1">
        <v>990</v>
      </c>
      <c r="D300" s="1">
        <v>163</v>
      </c>
      <c r="E300" s="1">
        <v>988</v>
      </c>
      <c r="F300" s="1">
        <v>1166</v>
      </c>
      <c r="G300" s="1">
        <v>1151</v>
      </c>
    </row>
    <row r="301" spans="1:7">
      <c r="A301" s="46">
        <v>42253</v>
      </c>
      <c r="B301" s="1">
        <v>162</v>
      </c>
      <c r="C301" s="1">
        <v>980</v>
      </c>
      <c r="D301" s="1">
        <v>164</v>
      </c>
      <c r="E301" s="1">
        <v>995</v>
      </c>
      <c r="F301" s="1">
        <v>1142</v>
      </c>
      <c r="G301" s="1">
        <v>1159</v>
      </c>
    </row>
    <row r="302" spans="1:7">
      <c r="A302" s="46">
        <v>42260</v>
      </c>
      <c r="B302" s="1">
        <v>186</v>
      </c>
      <c r="C302" s="1">
        <v>991</v>
      </c>
      <c r="D302" s="1">
        <v>165</v>
      </c>
      <c r="E302" s="1">
        <v>999</v>
      </c>
      <c r="F302" s="1">
        <v>1177</v>
      </c>
      <c r="G302" s="1">
        <v>1164</v>
      </c>
    </row>
    <row r="303" spans="1:7">
      <c r="A303" s="46">
        <v>42267</v>
      </c>
      <c r="B303" s="1">
        <v>169</v>
      </c>
      <c r="C303" s="1">
        <v>952</v>
      </c>
      <c r="D303" s="1">
        <v>166</v>
      </c>
      <c r="E303" s="1">
        <v>1005</v>
      </c>
      <c r="F303" s="1">
        <v>1121</v>
      </c>
      <c r="G303" s="1">
        <v>1171</v>
      </c>
    </row>
    <row r="304" spans="1:7">
      <c r="A304" s="46">
        <v>42274</v>
      </c>
      <c r="B304" s="1">
        <v>146</v>
      </c>
      <c r="C304" s="1">
        <v>1027</v>
      </c>
      <c r="D304" s="1">
        <v>166</v>
      </c>
      <c r="E304" s="1">
        <v>1012</v>
      </c>
      <c r="F304" s="1">
        <v>1173</v>
      </c>
      <c r="G304" s="1">
        <v>1178</v>
      </c>
    </row>
    <row r="305" spans="1:7">
      <c r="A305" s="46">
        <v>42281</v>
      </c>
      <c r="B305" s="1">
        <v>185</v>
      </c>
      <c r="C305" s="1">
        <v>1031</v>
      </c>
      <c r="D305" s="1">
        <v>166</v>
      </c>
      <c r="E305" s="1">
        <v>1021</v>
      </c>
      <c r="F305" s="1">
        <v>1216</v>
      </c>
      <c r="G305" s="1">
        <v>1187</v>
      </c>
    </row>
    <row r="306" spans="1:7">
      <c r="A306" s="46">
        <v>42288</v>
      </c>
      <c r="B306" s="1">
        <v>159</v>
      </c>
      <c r="C306" s="1">
        <v>999</v>
      </c>
      <c r="D306" s="1">
        <v>167</v>
      </c>
      <c r="E306" s="1">
        <v>1034</v>
      </c>
      <c r="F306" s="1">
        <v>1158</v>
      </c>
      <c r="G306" s="1">
        <v>1201</v>
      </c>
    </row>
    <row r="307" spans="1:7">
      <c r="A307" s="46">
        <v>42295</v>
      </c>
      <c r="B307" s="1">
        <v>171</v>
      </c>
      <c r="C307" s="1">
        <v>1039</v>
      </c>
      <c r="D307" s="1">
        <v>167</v>
      </c>
      <c r="E307" s="1">
        <v>1045</v>
      </c>
      <c r="F307" s="1">
        <v>1210</v>
      </c>
      <c r="G307" s="1">
        <v>1212</v>
      </c>
    </row>
    <row r="308" spans="1:7">
      <c r="A308" s="46">
        <v>42302</v>
      </c>
      <c r="B308" s="1">
        <v>170</v>
      </c>
      <c r="C308" s="1">
        <v>1026</v>
      </c>
      <c r="D308" s="1">
        <v>167</v>
      </c>
      <c r="E308" s="1">
        <v>1053</v>
      </c>
      <c r="F308" s="1">
        <v>1196</v>
      </c>
      <c r="G308" s="1">
        <v>1220</v>
      </c>
    </row>
    <row r="309" spans="1:7">
      <c r="A309" s="46">
        <v>42309</v>
      </c>
      <c r="B309" s="1">
        <v>177</v>
      </c>
      <c r="C309" s="1">
        <v>1093</v>
      </c>
      <c r="D309" s="1">
        <v>166</v>
      </c>
      <c r="E309" s="1">
        <v>1061</v>
      </c>
      <c r="F309" s="1">
        <v>1270</v>
      </c>
      <c r="G309" s="1">
        <v>1227</v>
      </c>
    </row>
    <row r="310" spans="1:7">
      <c r="A310" s="46">
        <v>42316</v>
      </c>
      <c r="B310" s="1">
        <v>167</v>
      </c>
      <c r="C310" s="1">
        <v>994</v>
      </c>
      <c r="D310" s="1">
        <v>167</v>
      </c>
      <c r="E310" s="1">
        <v>1073</v>
      </c>
      <c r="F310" s="1">
        <v>1161</v>
      </c>
      <c r="G310" s="1">
        <v>1240</v>
      </c>
    </row>
    <row r="311" spans="1:7">
      <c r="A311" s="46">
        <v>42323</v>
      </c>
      <c r="B311" s="1">
        <v>181</v>
      </c>
      <c r="C311" s="1">
        <v>1007</v>
      </c>
      <c r="D311" s="1">
        <v>167</v>
      </c>
      <c r="E311" s="1">
        <v>1084</v>
      </c>
      <c r="F311" s="1">
        <v>1188</v>
      </c>
      <c r="G311" s="1">
        <v>1251</v>
      </c>
    </row>
    <row r="312" spans="1:7">
      <c r="A312" s="46">
        <v>42330</v>
      </c>
      <c r="B312" s="1">
        <v>178</v>
      </c>
      <c r="C312" s="1">
        <v>1066</v>
      </c>
      <c r="D312" s="1">
        <v>169</v>
      </c>
      <c r="E312" s="1">
        <v>1101</v>
      </c>
      <c r="F312" s="1">
        <v>1244</v>
      </c>
      <c r="G312" s="1">
        <v>1270</v>
      </c>
    </row>
    <row r="313" spans="1:7">
      <c r="A313" s="46">
        <v>42337</v>
      </c>
      <c r="B313" s="1">
        <v>159</v>
      </c>
      <c r="C313" s="1">
        <v>1084</v>
      </c>
      <c r="D313" s="1">
        <v>171</v>
      </c>
      <c r="E313" s="1">
        <v>1121</v>
      </c>
      <c r="F313" s="1">
        <v>1243</v>
      </c>
      <c r="G313" s="1">
        <v>1292</v>
      </c>
    </row>
    <row r="314" spans="1:7">
      <c r="A314" s="46">
        <v>42344</v>
      </c>
      <c r="B314" s="1">
        <v>179</v>
      </c>
      <c r="C314" s="1">
        <v>1111</v>
      </c>
      <c r="D314" s="1">
        <v>173</v>
      </c>
      <c r="E314" s="1">
        <v>1138</v>
      </c>
      <c r="F314" s="1">
        <v>1290</v>
      </c>
      <c r="G314" s="1">
        <v>1311</v>
      </c>
    </row>
    <row r="315" spans="1:7">
      <c r="A315" s="46">
        <v>42351</v>
      </c>
      <c r="B315" s="1">
        <v>180</v>
      </c>
      <c r="C315" s="1">
        <v>1034</v>
      </c>
      <c r="D315" s="1">
        <v>175</v>
      </c>
      <c r="E315" s="1">
        <v>1149</v>
      </c>
      <c r="F315" s="1">
        <v>1214</v>
      </c>
      <c r="G315" s="1">
        <v>1324</v>
      </c>
    </row>
    <row r="316" spans="1:7">
      <c r="A316" s="46">
        <v>42358</v>
      </c>
      <c r="B316" s="1">
        <v>162</v>
      </c>
      <c r="C316" s="1">
        <v>1022</v>
      </c>
      <c r="D316" s="1">
        <v>177</v>
      </c>
      <c r="E316" s="1">
        <v>1159</v>
      </c>
      <c r="F316" s="1">
        <v>1184</v>
      </c>
      <c r="G316" s="1">
        <v>1336</v>
      </c>
    </row>
    <row r="317" spans="1:7">
      <c r="A317" s="46">
        <v>42365</v>
      </c>
      <c r="B317" s="1">
        <v>169</v>
      </c>
      <c r="C317" s="1">
        <v>1099</v>
      </c>
      <c r="D317" s="1">
        <v>179</v>
      </c>
      <c r="E317" s="1">
        <v>1168</v>
      </c>
      <c r="F317" s="1">
        <v>1268</v>
      </c>
      <c r="G317" s="1">
        <v>1347</v>
      </c>
    </row>
    <row r="318" spans="1:7">
      <c r="A318" s="46">
        <v>42372</v>
      </c>
      <c r="B318" s="1">
        <v>165</v>
      </c>
      <c r="C318" s="1">
        <v>1126</v>
      </c>
      <c r="D318" s="1">
        <v>181</v>
      </c>
      <c r="E318" s="1">
        <v>1177</v>
      </c>
      <c r="F318" s="1">
        <v>1291</v>
      </c>
      <c r="G318" s="1">
        <v>1358</v>
      </c>
    </row>
    <row r="319" spans="1:7">
      <c r="A319" s="46">
        <v>42379</v>
      </c>
      <c r="B319" s="1">
        <v>183</v>
      </c>
      <c r="C319" s="1">
        <v>1146</v>
      </c>
      <c r="D319" s="1">
        <v>181</v>
      </c>
      <c r="E319" s="1">
        <v>1237</v>
      </c>
      <c r="F319" s="1">
        <v>1329</v>
      </c>
      <c r="G319" s="1">
        <v>1418</v>
      </c>
    </row>
    <row r="320" spans="1:7">
      <c r="A320" s="46">
        <v>42386</v>
      </c>
      <c r="B320" s="1">
        <v>149</v>
      </c>
      <c r="C320" s="1">
        <v>1090</v>
      </c>
      <c r="D320" s="1">
        <v>181</v>
      </c>
      <c r="E320" s="1">
        <v>1236</v>
      </c>
      <c r="F320" s="1">
        <v>1239</v>
      </c>
      <c r="G320" s="1">
        <v>1417</v>
      </c>
    </row>
    <row r="321" spans="1:7">
      <c r="A321" s="46">
        <v>42393</v>
      </c>
      <c r="B321" s="1">
        <v>183</v>
      </c>
      <c r="C321" s="1">
        <v>1134</v>
      </c>
      <c r="D321" s="1">
        <v>180</v>
      </c>
      <c r="E321" s="1">
        <v>1236</v>
      </c>
      <c r="F321" s="1">
        <v>1317</v>
      </c>
      <c r="G321" s="1">
        <v>1416</v>
      </c>
    </row>
    <row r="322" spans="1:7">
      <c r="A322" s="46">
        <v>42400</v>
      </c>
      <c r="B322" s="1">
        <v>194</v>
      </c>
      <c r="C322" s="1">
        <v>1151</v>
      </c>
      <c r="D322" s="1">
        <v>179</v>
      </c>
      <c r="E322" s="1">
        <v>1235</v>
      </c>
      <c r="F322" s="1">
        <v>1345</v>
      </c>
      <c r="G322" s="1">
        <v>1414</v>
      </c>
    </row>
    <row r="323" spans="1:7">
      <c r="A323" s="46">
        <v>42407</v>
      </c>
      <c r="B323" s="1">
        <v>190</v>
      </c>
      <c r="C323" s="1">
        <v>1138</v>
      </c>
      <c r="D323" s="1">
        <v>178</v>
      </c>
      <c r="E323" s="1">
        <v>1234</v>
      </c>
      <c r="F323" s="1">
        <v>1328</v>
      </c>
      <c r="G323" s="1">
        <v>1412</v>
      </c>
    </row>
    <row r="324" spans="1:7">
      <c r="A324" s="46">
        <v>42414</v>
      </c>
      <c r="B324" s="1">
        <v>187</v>
      </c>
      <c r="C324" s="1">
        <v>1145</v>
      </c>
      <c r="D324" s="1">
        <v>177</v>
      </c>
      <c r="E324" s="1">
        <v>1233</v>
      </c>
      <c r="F324" s="1">
        <v>1332</v>
      </c>
      <c r="G324" s="1">
        <v>1410</v>
      </c>
    </row>
    <row r="325" spans="1:7">
      <c r="A325" s="46">
        <v>42421</v>
      </c>
      <c r="B325" s="1">
        <v>179</v>
      </c>
      <c r="C325" s="1">
        <v>1124</v>
      </c>
      <c r="D325" s="1">
        <v>177</v>
      </c>
      <c r="E325" s="1">
        <v>1231</v>
      </c>
      <c r="F325" s="1">
        <v>1303</v>
      </c>
      <c r="G325" s="1">
        <v>1408</v>
      </c>
    </row>
    <row r="326" spans="1:7">
      <c r="A326" s="46">
        <v>42428</v>
      </c>
      <c r="B326" s="1">
        <v>194</v>
      </c>
      <c r="C326" s="1">
        <v>1181</v>
      </c>
      <c r="D326" s="1">
        <v>176</v>
      </c>
      <c r="E326" s="1">
        <v>1223</v>
      </c>
      <c r="F326" s="1">
        <v>1375</v>
      </c>
      <c r="G326" s="1">
        <v>1399</v>
      </c>
    </row>
    <row r="327" spans="1:7">
      <c r="A327" s="46">
        <v>42435</v>
      </c>
      <c r="B327" s="1">
        <v>181</v>
      </c>
      <c r="C327" s="1">
        <v>1137</v>
      </c>
      <c r="D327" s="1">
        <v>175</v>
      </c>
      <c r="E327" s="1">
        <v>1215</v>
      </c>
      <c r="F327" s="1">
        <v>1318</v>
      </c>
      <c r="G327" s="1">
        <v>1390</v>
      </c>
    </row>
    <row r="328" spans="1:7">
      <c r="A328" s="46">
        <v>42442</v>
      </c>
      <c r="B328" s="1">
        <v>191</v>
      </c>
      <c r="C328" s="1">
        <v>1151</v>
      </c>
      <c r="D328" s="1">
        <v>174</v>
      </c>
      <c r="E328" s="1">
        <v>1200</v>
      </c>
      <c r="F328" s="1">
        <v>1342</v>
      </c>
      <c r="G328" s="1">
        <v>1374</v>
      </c>
    </row>
    <row r="329" spans="1:7">
      <c r="A329" s="46">
        <v>42449</v>
      </c>
      <c r="B329" s="1">
        <v>168</v>
      </c>
      <c r="C329" s="1">
        <v>1102</v>
      </c>
      <c r="D329" s="1">
        <v>174</v>
      </c>
      <c r="E329" s="1">
        <v>1184</v>
      </c>
      <c r="F329" s="1">
        <v>1270</v>
      </c>
      <c r="G329" s="1">
        <v>1358</v>
      </c>
    </row>
    <row r="330" spans="1:7">
      <c r="A330" s="46">
        <v>42456</v>
      </c>
      <c r="B330" s="1">
        <v>183</v>
      </c>
      <c r="C330" s="1">
        <v>1100</v>
      </c>
      <c r="D330" s="1">
        <v>173</v>
      </c>
      <c r="E330" s="1">
        <v>1163</v>
      </c>
      <c r="F330" s="1">
        <v>1283</v>
      </c>
      <c r="G330" s="1">
        <v>1336</v>
      </c>
    </row>
    <row r="331" spans="1:7">
      <c r="A331" s="46">
        <v>42463</v>
      </c>
      <c r="B331" s="1">
        <v>167</v>
      </c>
      <c r="C331" s="1">
        <v>1093</v>
      </c>
      <c r="D331" s="1">
        <v>172</v>
      </c>
      <c r="E331" s="1">
        <v>1143</v>
      </c>
      <c r="F331" s="1">
        <v>1260</v>
      </c>
      <c r="G331" s="1">
        <v>1315</v>
      </c>
    </row>
    <row r="332" spans="1:7">
      <c r="A332" s="46">
        <v>42470</v>
      </c>
      <c r="B332" s="1">
        <v>143</v>
      </c>
      <c r="C332" s="1">
        <v>1091</v>
      </c>
      <c r="D332" s="1">
        <v>171</v>
      </c>
      <c r="E332" s="1">
        <v>1123</v>
      </c>
      <c r="F332" s="1">
        <v>1234</v>
      </c>
      <c r="G332" s="1">
        <v>1294</v>
      </c>
    </row>
    <row r="333" spans="1:7">
      <c r="A333" s="46">
        <v>42477</v>
      </c>
      <c r="B333" s="1">
        <v>159</v>
      </c>
      <c r="C333" s="1">
        <v>1059</v>
      </c>
      <c r="D333" s="1">
        <v>170</v>
      </c>
      <c r="E333" s="1">
        <v>1106</v>
      </c>
      <c r="F333" s="1">
        <v>1218</v>
      </c>
      <c r="G333" s="1">
        <v>1276</v>
      </c>
    </row>
    <row r="334" spans="1:7">
      <c r="A334" s="46">
        <v>42484</v>
      </c>
      <c r="B334" s="1">
        <v>168</v>
      </c>
      <c r="C334" s="1">
        <v>962</v>
      </c>
      <c r="D334" s="1">
        <v>170</v>
      </c>
      <c r="E334" s="1">
        <v>1088</v>
      </c>
      <c r="F334" s="1">
        <v>1130</v>
      </c>
      <c r="G334" s="1">
        <v>1258</v>
      </c>
    </row>
    <row r="335" spans="1:7">
      <c r="A335" s="46">
        <v>42491</v>
      </c>
      <c r="B335" s="1">
        <v>152</v>
      </c>
      <c r="C335" s="1">
        <v>1013</v>
      </c>
      <c r="D335" s="1">
        <v>169</v>
      </c>
      <c r="E335" s="1">
        <v>1073</v>
      </c>
      <c r="F335" s="1">
        <v>1165</v>
      </c>
      <c r="G335" s="1">
        <v>1242</v>
      </c>
    </row>
    <row r="336" spans="1:7">
      <c r="A336" s="46">
        <v>42498</v>
      </c>
      <c r="B336" s="1">
        <v>169</v>
      </c>
      <c r="C336" s="1">
        <v>987</v>
      </c>
      <c r="D336" s="1">
        <v>168</v>
      </c>
      <c r="E336" s="1">
        <v>1057</v>
      </c>
      <c r="F336" s="1">
        <v>1156</v>
      </c>
      <c r="G336" s="1">
        <v>1225</v>
      </c>
    </row>
    <row r="337" spans="1:7">
      <c r="A337" s="46">
        <v>42505</v>
      </c>
      <c r="B337" s="1">
        <v>177</v>
      </c>
      <c r="C337" s="1">
        <v>964</v>
      </c>
      <c r="D337" s="1">
        <v>167</v>
      </c>
      <c r="E337" s="1">
        <v>1045</v>
      </c>
      <c r="F337" s="1">
        <v>1141</v>
      </c>
      <c r="G337" s="1">
        <v>1212</v>
      </c>
    </row>
    <row r="338" spans="1:7">
      <c r="A338" s="46">
        <v>42512</v>
      </c>
      <c r="B338" s="1">
        <v>165</v>
      </c>
      <c r="C338" s="1">
        <v>1003</v>
      </c>
      <c r="D338" s="1">
        <v>166</v>
      </c>
      <c r="E338" s="1">
        <v>1032</v>
      </c>
      <c r="F338" s="1">
        <v>1168</v>
      </c>
      <c r="G338" s="1">
        <v>1198</v>
      </c>
    </row>
    <row r="339" spans="1:7">
      <c r="A339" s="46">
        <v>42519</v>
      </c>
      <c r="B339" s="1">
        <v>146</v>
      </c>
      <c r="C339" s="1">
        <v>1071</v>
      </c>
      <c r="D339" s="1">
        <v>166</v>
      </c>
      <c r="E339" s="1">
        <v>1024</v>
      </c>
      <c r="F339" s="1">
        <v>1217</v>
      </c>
      <c r="G339" s="1">
        <v>1190</v>
      </c>
    </row>
    <row r="340" spans="1:7">
      <c r="A340" s="46">
        <v>42526</v>
      </c>
      <c r="B340" s="1">
        <v>151</v>
      </c>
      <c r="C340" s="1">
        <v>989</v>
      </c>
      <c r="D340" s="1">
        <v>165</v>
      </c>
      <c r="E340" s="1">
        <v>1019</v>
      </c>
      <c r="F340" s="1">
        <v>1140</v>
      </c>
      <c r="G340" s="1">
        <v>1184</v>
      </c>
    </row>
    <row r="341" spans="1:7">
      <c r="A341" s="46">
        <v>42533</v>
      </c>
      <c r="B341" s="1">
        <v>165</v>
      </c>
      <c r="C341" s="1">
        <v>928</v>
      </c>
      <c r="D341" s="1">
        <v>165</v>
      </c>
      <c r="E341" s="1">
        <v>1013</v>
      </c>
      <c r="F341" s="1">
        <v>1093</v>
      </c>
      <c r="G341" s="1">
        <v>1178</v>
      </c>
    </row>
    <row r="342" spans="1:7">
      <c r="A342" s="46">
        <v>42540</v>
      </c>
      <c r="B342" s="1">
        <v>173</v>
      </c>
      <c r="C342" s="1">
        <v>929</v>
      </c>
      <c r="D342" s="1">
        <v>164</v>
      </c>
      <c r="E342" s="1">
        <v>1011</v>
      </c>
      <c r="F342" s="1">
        <v>1102</v>
      </c>
      <c r="G342" s="1">
        <v>1175</v>
      </c>
    </row>
    <row r="343" spans="1:7">
      <c r="A343" s="46">
        <v>42547</v>
      </c>
      <c r="B343" s="1">
        <v>163</v>
      </c>
      <c r="C343" s="1">
        <v>1057</v>
      </c>
      <c r="D343" s="1">
        <v>164</v>
      </c>
      <c r="E343" s="1">
        <v>1012</v>
      </c>
      <c r="F343" s="1">
        <v>1220</v>
      </c>
      <c r="G343" s="1">
        <v>1176</v>
      </c>
    </row>
    <row r="344" spans="1:7">
      <c r="A344" s="46">
        <v>42554</v>
      </c>
      <c r="B344" s="1">
        <v>169</v>
      </c>
      <c r="C344" s="1">
        <v>990</v>
      </c>
      <c r="D344" s="1">
        <v>164</v>
      </c>
      <c r="E344" s="1">
        <v>1012</v>
      </c>
      <c r="F344" s="1">
        <v>1159</v>
      </c>
      <c r="G344" s="1">
        <v>1176</v>
      </c>
    </row>
    <row r="345" spans="1:7">
      <c r="A345" s="46">
        <v>42561</v>
      </c>
      <c r="B345" s="1">
        <v>154</v>
      </c>
      <c r="C345" s="1">
        <v>928</v>
      </c>
      <c r="D345" s="1">
        <v>163</v>
      </c>
      <c r="E345" s="1">
        <v>1015</v>
      </c>
      <c r="F345" s="1">
        <v>1082</v>
      </c>
      <c r="G345" s="1">
        <v>1178</v>
      </c>
    </row>
    <row r="346" spans="1:7">
      <c r="A346" s="46">
        <v>42568</v>
      </c>
      <c r="B346" s="1">
        <v>155</v>
      </c>
      <c r="C346" s="1">
        <v>985</v>
      </c>
      <c r="D346" s="1">
        <v>163</v>
      </c>
      <c r="E346" s="1">
        <v>1014</v>
      </c>
      <c r="F346" s="1">
        <v>1140</v>
      </c>
      <c r="G346" s="1">
        <v>1177</v>
      </c>
    </row>
    <row r="347" spans="1:7">
      <c r="A347" s="46">
        <v>42575</v>
      </c>
      <c r="B347" s="1">
        <v>166</v>
      </c>
      <c r="C347" s="1">
        <v>1053</v>
      </c>
      <c r="D347" s="1">
        <v>163</v>
      </c>
      <c r="E347" s="1">
        <v>1013</v>
      </c>
      <c r="F347" s="1">
        <v>1219</v>
      </c>
      <c r="G347" s="1">
        <v>1176</v>
      </c>
    </row>
    <row r="348" spans="1:7">
      <c r="A348" s="46">
        <v>42582</v>
      </c>
      <c r="B348" s="1">
        <v>160</v>
      </c>
      <c r="C348" s="1">
        <v>999</v>
      </c>
      <c r="D348" s="1">
        <v>163</v>
      </c>
      <c r="E348" s="1">
        <v>1014</v>
      </c>
      <c r="F348" s="1">
        <v>1159</v>
      </c>
      <c r="G348" s="1">
        <v>1177</v>
      </c>
    </row>
    <row r="349" spans="1:7">
      <c r="A349" s="46">
        <v>42589</v>
      </c>
      <c r="B349" s="1">
        <v>195</v>
      </c>
      <c r="C349" s="1">
        <v>902</v>
      </c>
      <c r="D349" s="1">
        <v>163</v>
      </c>
      <c r="E349" s="1">
        <v>1014</v>
      </c>
      <c r="F349" s="1">
        <v>1097</v>
      </c>
      <c r="G349" s="1">
        <v>1177</v>
      </c>
    </row>
    <row r="350" spans="1:7">
      <c r="A350" s="46">
        <v>42596</v>
      </c>
      <c r="B350" s="1">
        <v>187</v>
      </c>
      <c r="C350" s="1">
        <v>959</v>
      </c>
      <c r="D350" s="1">
        <v>163</v>
      </c>
      <c r="E350" s="1">
        <v>1015</v>
      </c>
      <c r="F350" s="1">
        <v>1146</v>
      </c>
      <c r="G350" s="1">
        <v>1178</v>
      </c>
    </row>
    <row r="351" spans="1:7">
      <c r="A351" s="46">
        <v>42603</v>
      </c>
      <c r="B351" s="1">
        <v>151</v>
      </c>
      <c r="C351" s="1">
        <v>1006</v>
      </c>
      <c r="D351" s="1">
        <v>163</v>
      </c>
      <c r="E351" s="1">
        <v>1016</v>
      </c>
      <c r="F351" s="1">
        <v>1157</v>
      </c>
      <c r="G351" s="1">
        <v>1179</v>
      </c>
    </row>
    <row r="352" spans="1:7">
      <c r="A352" s="46">
        <v>42610</v>
      </c>
      <c r="B352" s="1">
        <v>139</v>
      </c>
      <c r="C352" s="1">
        <v>979</v>
      </c>
      <c r="D352" s="1">
        <v>163</v>
      </c>
      <c r="E352" s="1">
        <v>1018</v>
      </c>
      <c r="F352" s="1">
        <v>1118</v>
      </c>
      <c r="G352" s="1">
        <v>1181</v>
      </c>
    </row>
    <row r="353" spans="1:7">
      <c r="A353" s="46">
        <v>42617</v>
      </c>
      <c r="B353" s="1">
        <v>169</v>
      </c>
      <c r="C353" s="1">
        <v>958</v>
      </c>
      <c r="D353" s="1">
        <v>164</v>
      </c>
      <c r="E353" s="1">
        <v>1022</v>
      </c>
      <c r="F353" s="1">
        <v>1127</v>
      </c>
      <c r="G353" s="1">
        <v>1186</v>
      </c>
    </row>
    <row r="354" spans="1:7">
      <c r="A354" s="46">
        <v>42624</v>
      </c>
      <c r="B354" s="1">
        <v>182</v>
      </c>
      <c r="C354" s="1">
        <v>987</v>
      </c>
      <c r="D354" s="1">
        <v>164</v>
      </c>
      <c r="E354" s="1">
        <v>1027</v>
      </c>
      <c r="F354" s="1">
        <v>1169</v>
      </c>
      <c r="G354" s="1">
        <v>1191</v>
      </c>
    </row>
    <row r="355" spans="1:7">
      <c r="A355" s="46">
        <v>42631</v>
      </c>
      <c r="B355" s="1">
        <v>150</v>
      </c>
      <c r="C355" s="1">
        <v>943</v>
      </c>
      <c r="D355" s="1">
        <v>164</v>
      </c>
      <c r="E355" s="1">
        <v>1034</v>
      </c>
      <c r="F355" s="1">
        <v>1093</v>
      </c>
      <c r="G355" s="1">
        <v>1198</v>
      </c>
    </row>
    <row r="356" spans="1:7">
      <c r="A356" s="46">
        <v>42638</v>
      </c>
      <c r="B356" s="1">
        <v>171</v>
      </c>
      <c r="C356" s="1">
        <v>998</v>
      </c>
      <c r="D356" s="1">
        <v>165</v>
      </c>
      <c r="E356" s="1">
        <v>1042</v>
      </c>
      <c r="F356" s="1">
        <v>1169</v>
      </c>
      <c r="G356" s="1">
        <v>1207</v>
      </c>
    </row>
    <row r="357" spans="1:7">
      <c r="A357" s="46">
        <v>42645</v>
      </c>
      <c r="B357" s="1">
        <v>172</v>
      </c>
      <c r="C357" s="1">
        <v>1024</v>
      </c>
      <c r="D357" s="1">
        <v>165</v>
      </c>
      <c r="E357" s="1">
        <v>1051</v>
      </c>
      <c r="F357" s="1">
        <v>1196</v>
      </c>
      <c r="G357" s="1">
        <v>1216</v>
      </c>
    </row>
    <row r="358" spans="1:7">
      <c r="A358" s="46">
        <v>42652</v>
      </c>
      <c r="B358" s="1">
        <v>185</v>
      </c>
      <c r="C358" s="1">
        <v>1082</v>
      </c>
      <c r="D358" s="1">
        <v>165</v>
      </c>
      <c r="E358" s="1">
        <v>1060</v>
      </c>
      <c r="F358" s="1">
        <v>1267</v>
      </c>
      <c r="G358" s="1">
        <v>1225</v>
      </c>
    </row>
    <row r="359" spans="1:7">
      <c r="A359" s="46">
        <v>42659</v>
      </c>
      <c r="B359" s="1">
        <v>172</v>
      </c>
      <c r="C359" s="1">
        <v>1085</v>
      </c>
      <c r="D359" s="1">
        <v>166</v>
      </c>
      <c r="E359" s="1">
        <v>1069</v>
      </c>
      <c r="F359" s="1">
        <v>1257</v>
      </c>
      <c r="G359" s="1">
        <v>1235</v>
      </c>
    </row>
    <row r="360" spans="1:7">
      <c r="A360" s="46">
        <v>42666</v>
      </c>
      <c r="B360" s="1">
        <v>163</v>
      </c>
      <c r="C360" s="1">
        <v>1109</v>
      </c>
      <c r="D360" s="1">
        <v>167</v>
      </c>
      <c r="E360" s="1">
        <v>1078</v>
      </c>
      <c r="F360" s="1">
        <v>1272</v>
      </c>
      <c r="G360" s="1">
        <v>1245</v>
      </c>
    </row>
    <row r="361" spans="1:7">
      <c r="A361" s="46">
        <v>42673</v>
      </c>
      <c r="B361" s="1">
        <v>168</v>
      </c>
      <c r="C361" s="1">
        <v>1054</v>
      </c>
      <c r="D361" s="1">
        <v>167</v>
      </c>
      <c r="E361" s="1">
        <v>1088</v>
      </c>
      <c r="F361" s="1">
        <v>1222</v>
      </c>
      <c r="G361" s="1">
        <v>1255</v>
      </c>
    </row>
    <row r="362" spans="1:7">
      <c r="A362" s="46">
        <v>42680</v>
      </c>
      <c r="B362" s="1">
        <v>176</v>
      </c>
      <c r="C362" s="1">
        <v>1124</v>
      </c>
      <c r="D362" s="1">
        <v>168</v>
      </c>
      <c r="E362" s="1">
        <v>1098</v>
      </c>
      <c r="F362" s="1">
        <v>1300</v>
      </c>
      <c r="G362" s="1">
        <v>1266</v>
      </c>
    </row>
    <row r="363" spans="1:7">
      <c r="A363" s="46">
        <v>42687</v>
      </c>
      <c r="B363" s="1">
        <v>172</v>
      </c>
      <c r="C363" s="1">
        <v>1108</v>
      </c>
      <c r="D363" s="1">
        <v>168</v>
      </c>
      <c r="E363" s="1">
        <v>1109</v>
      </c>
      <c r="F363" s="1">
        <v>1280</v>
      </c>
      <c r="G363" s="1">
        <v>1277</v>
      </c>
    </row>
    <row r="364" spans="1:7">
      <c r="A364" s="46">
        <v>42694</v>
      </c>
      <c r="B364" s="1">
        <v>170</v>
      </c>
      <c r="C364" s="1">
        <v>1176</v>
      </c>
      <c r="D364" s="1">
        <v>169</v>
      </c>
      <c r="E364" s="1">
        <v>1121</v>
      </c>
      <c r="F364" s="1">
        <v>1346</v>
      </c>
      <c r="G364" s="1">
        <v>1290</v>
      </c>
    </row>
    <row r="365" spans="1:7">
      <c r="A365" s="46">
        <v>42701</v>
      </c>
      <c r="B365" s="1">
        <v>134</v>
      </c>
      <c r="C365" s="1">
        <v>1050</v>
      </c>
      <c r="D365" s="1">
        <v>169</v>
      </c>
      <c r="E365" s="1">
        <v>1133</v>
      </c>
      <c r="F365" s="1">
        <v>1184</v>
      </c>
      <c r="G365" s="1">
        <v>1302</v>
      </c>
    </row>
    <row r="366" spans="1:7">
      <c r="A366" s="46">
        <v>42708</v>
      </c>
      <c r="B366" s="1">
        <v>179</v>
      </c>
      <c r="C366" s="1">
        <v>1144</v>
      </c>
      <c r="D366" s="1">
        <v>170</v>
      </c>
      <c r="E366" s="1">
        <v>1146</v>
      </c>
      <c r="F366" s="1">
        <v>1323</v>
      </c>
      <c r="G366" s="1">
        <v>1316</v>
      </c>
    </row>
    <row r="367" spans="1:7">
      <c r="A367" s="46">
        <v>42715</v>
      </c>
      <c r="B367" s="1">
        <v>159</v>
      </c>
      <c r="C367" s="1">
        <v>1125</v>
      </c>
      <c r="D367" s="1">
        <v>170</v>
      </c>
      <c r="E367" s="1">
        <v>1159</v>
      </c>
      <c r="F367" s="1">
        <v>1284</v>
      </c>
      <c r="G367" s="1">
        <v>1329</v>
      </c>
    </row>
    <row r="368" spans="1:7">
      <c r="A368" s="46">
        <v>42722</v>
      </c>
      <c r="B368" s="1">
        <v>163</v>
      </c>
      <c r="C368" s="1">
        <v>1129</v>
      </c>
      <c r="D368" s="1">
        <v>171</v>
      </c>
      <c r="E368" s="1">
        <v>1172</v>
      </c>
      <c r="F368" s="1">
        <v>1292</v>
      </c>
      <c r="G368" s="1">
        <v>1343</v>
      </c>
    </row>
    <row r="369" spans="1:7">
      <c r="A369" s="46">
        <v>42729</v>
      </c>
      <c r="B369" s="1">
        <v>187</v>
      </c>
      <c r="C369" s="1">
        <v>1247</v>
      </c>
      <c r="D369" s="1">
        <v>171</v>
      </c>
      <c r="E369" s="1">
        <v>1186</v>
      </c>
      <c r="F369" s="1">
        <v>1434</v>
      </c>
      <c r="G369" s="1">
        <v>1357</v>
      </c>
    </row>
    <row r="370" spans="1:7">
      <c r="A370" s="46">
        <v>42736</v>
      </c>
      <c r="B370" s="1">
        <v>168</v>
      </c>
      <c r="C370" s="1">
        <v>1404</v>
      </c>
      <c r="D370" s="1">
        <v>172</v>
      </c>
      <c r="E370" s="1">
        <v>1199</v>
      </c>
      <c r="F370" s="1">
        <v>1572</v>
      </c>
      <c r="G370" s="1">
        <v>1371</v>
      </c>
    </row>
    <row r="371" spans="1:7">
      <c r="A371" s="46">
        <v>42743</v>
      </c>
      <c r="B371" s="1">
        <v>170</v>
      </c>
      <c r="C371" s="1">
        <v>1499</v>
      </c>
      <c r="D371" s="1">
        <v>176</v>
      </c>
      <c r="E371" s="1">
        <v>1228</v>
      </c>
      <c r="F371" s="1">
        <v>1669</v>
      </c>
      <c r="G371" s="1">
        <v>1404</v>
      </c>
    </row>
    <row r="372" spans="1:7">
      <c r="A372" s="46">
        <v>42750</v>
      </c>
      <c r="B372" s="1">
        <v>181</v>
      </c>
      <c r="C372" s="1">
        <v>1537</v>
      </c>
      <c r="D372" s="1">
        <v>176</v>
      </c>
      <c r="E372" s="1">
        <v>1228</v>
      </c>
      <c r="F372" s="1">
        <v>1718</v>
      </c>
      <c r="G372" s="1">
        <v>1404</v>
      </c>
    </row>
    <row r="373" spans="1:7">
      <c r="A373" s="46">
        <v>42757</v>
      </c>
      <c r="B373" s="1">
        <v>189</v>
      </c>
      <c r="C373" s="1">
        <v>1549</v>
      </c>
      <c r="D373" s="1">
        <v>176</v>
      </c>
      <c r="E373" s="1">
        <v>1229</v>
      </c>
      <c r="F373" s="1">
        <v>1738</v>
      </c>
      <c r="G373" s="1">
        <v>1405</v>
      </c>
    </row>
    <row r="374" spans="1:7">
      <c r="A374" s="46">
        <v>42764</v>
      </c>
      <c r="B374" s="1">
        <v>170</v>
      </c>
      <c r="C374" s="1">
        <v>1472</v>
      </c>
      <c r="D374" s="1">
        <v>177</v>
      </c>
      <c r="E374" s="1">
        <v>1229</v>
      </c>
      <c r="F374" s="1">
        <v>1642</v>
      </c>
      <c r="G374" s="1">
        <v>1406</v>
      </c>
    </row>
    <row r="375" spans="1:7">
      <c r="A375" s="46">
        <v>42771</v>
      </c>
      <c r="B375" s="1">
        <v>181</v>
      </c>
      <c r="C375" s="1">
        <v>1377</v>
      </c>
      <c r="D375" s="1">
        <v>177</v>
      </c>
      <c r="E375" s="1">
        <v>1229</v>
      </c>
      <c r="F375" s="1">
        <v>1558</v>
      </c>
      <c r="G375" s="1">
        <v>1406</v>
      </c>
    </row>
    <row r="376" spans="1:7">
      <c r="A376" s="46">
        <v>42778</v>
      </c>
      <c r="B376" s="1">
        <v>180</v>
      </c>
      <c r="C376" s="1">
        <v>1405</v>
      </c>
      <c r="D376" s="1">
        <v>177</v>
      </c>
      <c r="E376" s="1">
        <v>1228</v>
      </c>
      <c r="F376" s="1">
        <v>1585</v>
      </c>
      <c r="G376" s="1">
        <v>1405</v>
      </c>
    </row>
    <row r="377" spans="1:7">
      <c r="A377" s="46">
        <v>42785</v>
      </c>
      <c r="B377" s="1">
        <v>174</v>
      </c>
      <c r="C377" s="1">
        <v>1222</v>
      </c>
      <c r="D377" s="1">
        <v>176</v>
      </c>
      <c r="E377" s="1">
        <v>1228</v>
      </c>
      <c r="F377" s="1">
        <v>1396</v>
      </c>
      <c r="G377" s="1">
        <v>1404</v>
      </c>
    </row>
    <row r="378" spans="1:7">
      <c r="A378" s="46">
        <v>42792</v>
      </c>
      <c r="B378" s="1">
        <v>176</v>
      </c>
      <c r="C378" s="1">
        <v>1199</v>
      </c>
      <c r="D378" s="1">
        <v>176</v>
      </c>
      <c r="E378" s="1">
        <v>1220</v>
      </c>
      <c r="F378" s="1">
        <v>1375</v>
      </c>
      <c r="G378" s="1">
        <v>1396</v>
      </c>
    </row>
    <row r="379" spans="1:7">
      <c r="A379" s="46">
        <v>42799</v>
      </c>
      <c r="B379" s="1">
        <v>171</v>
      </c>
      <c r="C379" s="1">
        <v>1204</v>
      </c>
      <c r="D379" s="1">
        <v>175</v>
      </c>
      <c r="E379" s="1">
        <v>1213</v>
      </c>
      <c r="F379" s="1">
        <v>1375</v>
      </c>
      <c r="G379" s="1">
        <v>1388</v>
      </c>
    </row>
    <row r="380" spans="1:7">
      <c r="A380" s="46">
        <v>42806</v>
      </c>
      <c r="B380" s="1">
        <v>194</v>
      </c>
      <c r="C380" s="1">
        <v>1136</v>
      </c>
      <c r="D380" s="1">
        <v>174</v>
      </c>
      <c r="E380" s="1">
        <v>1199</v>
      </c>
      <c r="F380" s="1">
        <v>1330</v>
      </c>
      <c r="G380" s="1">
        <v>1373</v>
      </c>
    </row>
    <row r="381" spans="1:7">
      <c r="A381" s="46">
        <v>42813</v>
      </c>
      <c r="B381" s="1">
        <v>169</v>
      </c>
      <c r="C381" s="1">
        <v>1070</v>
      </c>
      <c r="D381" s="1">
        <v>172</v>
      </c>
      <c r="E381" s="1">
        <v>1185</v>
      </c>
      <c r="F381" s="1">
        <v>1239</v>
      </c>
      <c r="G381" s="1">
        <v>1357</v>
      </c>
    </row>
    <row r="382" spans="1:7">
      <c r="A382" s="46">
        <v>42820</v>
      </c>
      <c r="B382" s="1">
        <v>174</v>
      </c>
      <c r="C382" s="1">
        <v>1061</v>
      </c>
      <c r="D382" s="1">
        <v>171</v>
      </c>
      <c r="E382" s="1">
        <v>1165</v>
      </c>
      <c r="F382" s="1">
        <v>1235</v>
      </c>
      <c r="G382" s="1">
        <v>1336</v>
      </c>
    </row>
    <row r="383" spans="1:7">
      <c r="A383" s="46">
        <v>42827</v>
      </c>
      <c r="B383" s="1">
        <v>169</v>
      </c>
      <c r="C383" s="1">
        <v>1002</v>
      </c>
      <c r="D383" s="1">
        <v>169</v>
      </c>
      <c r="E383" s="1">
        <v>1146</v>
      </c>
      <c r="F383" s="1">
        <v>1171</v>
      </c>
      <c r="G383" s="1">
        <v>1315</v>
      </c>
    </row>
    <row r="384" spans="1:7">
      <c r="A384" s="46">
        <v>42834</v>
      </c>
      <c r="B384" s="1">
        <v>169</v>
      </c>
      <c r="C384" s="1">
        <v>1055</v>
      </c>
      <c r="D384" s="1">
        <v>167</v>
      </c>
      <c r="E384" s="1">
        <v>1125</v>
      </c>
      <c r="F384" s="1">
        <v>1224</v>
      </c>
      <c r="G384" s="1">
        <v>1292</v>
      </c>
    </row>
    <row r="385" spans="1:7">
      <c r="A385" s="46">
        <v>42841</v>
      </c>
      <c r="B385" s="1">
        <v>163</v>
      </c>
      <c r="C385" s="1">
        <v>1022</v>
      </c>
      <c r="D385" s="1">
        <v>166</v>
      </c>
      <c r="E385" s="1">
        <v>1107</v>
      </c>
      <c r="F385" s="1">
        <v>1185</v>
      </c>
      <c r="G385" s="1">
        <v>1273</v>
      </c>
    </row>
    <row r="386" spans="1:7">
      <c r="A386" s="46">
        <v>42848</v>
      </c>
      <c r="B386" s="1">
        <v>159</v>
      </c>
      <c r="C386" s="1">
        <v>1005</v>
      </c>
      <c r="D386" s="1">
        <v>165</v>
      </c>
      <c r="E386" s="1">
        <v>1089</v>
      </c>
      <c r="F386" s="1">
        <v>1164</v>
      </c>
      <c r="G386" s="1">
        <v>1254</v>
      </c>
    </row>
    <row r="387" spans="1:7">
      <c r="A387" s="46">
        <v>42855</v>
      </c>
      <c r="B387" s="1">
        <v>159</v>
      </c>
      <c r="C387" s="1">
        <v>1052</v>
      </c>
      <c r="D387" s="1">
        <v>164</v>
      </c>
      <c r="E387" s="1">
        <v>1072</v>
      </c>
      <c r="F387" s="1">
        <v>1211</v>
      </c>
      <c r="G387" s="1">
        <v>1236</v>
      </c>
    </row>
    <row r="388" spans="1:7">
      <c r="A388" s="46">
        <v>42862</v>
      </c>
      <c r="B388" s="1">
        <v>162</v>
      </c>
      <c r="C388" s="1">
        <v>1035</v>
      </c>
      <c r="D388" s="1">
        <v>163</v>
      </c>
      <c r="E388" s="1">
        <v>1055</v>
      </c>
      <c r="F388" s="1">
        <v>1197</v>
      </c>
      <c r="G388" s="1">
        <v>1218</v>
      </c>
    </row>
    <row r="389" spans="1:7">
      <c r="A389" s="46">
        <v>42869</v>
      </c>
      <c r="B389" s="1">
        <v>164</v>
      </c>
      <c r="C389" s="1">
        <v>1023</v>
      </c>
      <c r="D389" s="1">
        <v>162</v>
      </c>
      <c r="E389" s="1">
        <v>1041</v>
      </c>
      <c r="F389" s="1">
        <v>1187</v>
      </c>
      <c r="G389" s="1">
        <v>1203</v>
      </c>
    </row>
    <row r="390" spans="1:7">
      <c r="A390" s="46">
        <v>42876</v>
      </c>
      <c r="B390" s="1">
        <v>169</v>
      </c>
      <c r="C390" s="1">
        <v>1029</v>
      </c>
      <c r="D390" s="1">
        <v>162</v>
      </c>
      <c r="E390" s="1">
        <v>1027</v>
      </c>
      <c r="F390" s="1">
        <v>1198</v>
      </c>
      <c r="G390" s="1">
        <v>1189</v>
      </c>
    </row>
    <row r="391" spans="1:7">
      <c r="A391" s="46">
        <v>42883</v>
      </c>
      <c r="B391" s="1">
        <v>159</v>
      </c>
      <c r="C391" s="1">
        <v>1012</v>
      </c>
      <c r="D391" s="1">
        <v>162</v>
      </c>
      <c r="E391" s="1">
        <v>1017</v>
      </c>
      <c r="F391" s="1">
        <v>1171</v>
      </c>
      <c r="G391" s="1">
        <v>1179</v>
      </c>
    </row>
    <row r="392" spans="1:7">
      <c r="A392" s="46">
        <v>42890</v>
      </c>
      <c r="B392" s="1">
        <v>159</v>
      </c>
      <c r="C392" s="1">
        <v>951</v>
      </c>
      <c r="D392" s="1">
        <v>162</v>
      </c>
      <c r="E392" s="1">
        <v>1011</v>
      </c>
      <c r="F392" s="1">
        <v>1110</v>
      </c>
      <c r="G392" s="1">
        <v>1173</v>
      </c>
    </row>
    <row r="393" spans="1:7">
      <c r="A393" s="46">
        <v>42897</v>
      </c>
      <c r="B393" s="1">
        <v>175</v>
      </c>
      <c r="C393" s="1">
        <v>920</v>
      </c>
      <c r="D393" s="1">
        <v>162</v>
      </c>
      <c r="E393" s="1">
        <v>1005</v>
      </c>
      <c r="F393" s="1">
        <v>1095</v>
      </c>
      <c r="G393" s="1">
        <v>1167</v>
      </c>
    </row>
    <row r="394" spans="1:7">
      <c r="A394" s="46">
        <v>42904</v>
      </c>
      <c r="B394" s="1">
        <v>149</v>
      </c>
      <c r="C394" s="1">
        <v>960</v>
      </c>
      <c r="D394" s="1">
        <v>162</v>
      </c>
      <c r="E394" s="1">
        <v>1002</v>
      </c>
      <c r="F394" s="1">
        <v>1109</v>
      </c>
      <c r="G394" s="1">
        <v>1164</v>
      </c>
    </row>
    <row r="395" spans="1:7">
      <c r="A395" s="46">
        <v>42911</v>
      </c>
      <c r="B395" s="1">
        <v>154</v>
      </c>
      <c r="C395" s="1">
        <v>1028</v>
      </c>
      <c r="D395" s="1">
        <v>161</v>
      </c>
      <c r="E395" s="1">
        <v>1002</v>
      </c>
      <c r="F395" s="1">
        <v>1182</v>
      </c>
      <c r="G395" s="1">
        <v>1163</v>
      </c>
    </row>
    <row r="396" spans="1:7">
      <c r="A396" s="46">
        <v>42918</v>
      </c>
      <c r="B396" s="1">
        <v>166</v>
      </c>
      <c r="C396" s="1">
        <v>991</v>
      </c>
      <c r="D396" s="1">
        <v>161</v>
      </c>
      <c r="E396" s="1">
        <v>1002</v>
      </c>
      <c r="F396" s="1">
        <v>1157</v>
      </c>
      <c r="G396" s="1">
        <v>1163</v>
      </c>
    </row>
    <row r="397" spans="1:7">
      <c r="A397" s="46">
        <v>42925</v>
      </c>
      <c r="B397" s="1">
        <v>146</v>
      </c>
      <c r="C397" s="1">
        <v>993</v>
      </c>
      <c r="D397" s="1">
        <v>161</v>
      </c>
      <c r="E397" s="1">
        <v>1004</v>
      </c>
      <c r="F397" s="1">
        <v>1139</v>
      </c>
      <c r="G397" s="1">
        <v>1165</v>
      </c>
    </row>
    <row r="398" spans="1:7">
      <c r="A398" s="46">
        <v>42932</v>
      </c>
      <c r="B398" s="1">
        <v>150</v>
      </c>
      <c r="C398" s="1">
        <v>922</v>
      </c>
      <c r="D398" s="1">
        <v>161</v>
      </c>
      <c r="E398" s="1">
        <v>1004</v>
      </c>
      <c r="F398" s="1">
        <v>1072</v>
      </c>
      <c r="G398" s="1">
        <v>1165</v>
      </c>
    </row>
    <row r="399" spans="1:7">
      <c r="A399" s="46">
        <v>42939</v>
      </c>
      <c r="B399" s="1">
        <v>167</v>
      </c>
      <c r="C399" s="1">
        <v>968</v>
      </c>
      <c r="D399" s="1">
        <v>161</v>
      </c>
      <c r="E399" s="1">
        <v>1005</v>
      </c>
      <c r="F399" s="1">
        <v>1135</v>
      </c>
      <c r="G399" s="1">
        <v>1166</v>
      </c>
    </row>
    <row r="400" spans="1:7">
      <c r="A400" s="46">
        <v>42946</v>
      </c>
      <c r="B400" s="1">
        <v>153</v>
      </c>
      <c r="C400" s="1">
        <v>947</v>
      </c>
      <c r="D400" s="1">
        <v>161</v>
      </c>
      <c r="E400" s="1">
        <v>1006</v>
      </c>
      <c r="F400" s="1">
        <v>1100</v>
      </c>
      <c r="G400" s="1">
        <v>1167</v>
      </c>
    </row>
    <row r="401" spans="1:7">
      <c r="A401" s="46">
        <v>42953</v>
      </c>
      <c r="B401" s="1">
        <v>170</v>
      </c>
      <c r="C401" s="1">
        <v>1011</v>
      </c>
      <c r="D401" s="1">
        <v>161</v>
      </c>
      <c r="E401" s="1">
        <v>1007</v>
      </c>
      <c r="F401" s="1">
        <v>1181</v>
      </c>
      <c r="G401" s="1">
        <v>1168</v>
      </c>
    </row>
    <row r="402" spans="1:7">
      <c r="A402" s="46">
        <v>42960</v>
      </c>
      <c r="B402" s="1">
        <v>141</v>
      </c>
      <c r="C402" s="1">
        <v>944</v>
      </c>
      <c r="D402" s="1">
        <v>161</v>
      </c>
      <c r="E402" s="1">
        <v>1009</v>
      </c>
      <c r="F402" s="1">
        <v>1085</v>
      </c>
      <c r="G402" s="1">
        <v>1170</v>
      </c>
    </row>
    <row r="403" spans="1:7">
      <c r="A403" s="46">
        <v>42967</v>
      </c>
      <c r="B403" s="1">
        <v>139</v>
      </c>
      <c r="C403" s="1">
        <v>972</v>
      </c>
      <c r="D403" s="1">
        <v>161</v>
      </c>
      <c r="E403" s="1">
        <v>1011</v>
      </c>
      <c r="F403" s="1">
        <v>1111</v>
      </c>
      <c r="G403" s="1">
        <v>1172</v>
      </c>
    </row>
    <row r="404" spans="1:7">
      <c r="A404" s="46">
        <v>42974</v>
      </c>
      <c r="B404" s="1">
        <v>201</v>
      </c>
      <c r="C404" s="1">
        <v>990</v>
      </c>
      <c r="D404" s="1">
        <v>161</v>
      </c>
      <c r="E404" s="1">
        <v>1012</v>
      </c>
      <c r="F404" s="1">
        <v>1191</v>
      </c>
      <c r="G404" s="1">
        <v>1173</v>
      </c>
    </row>
    <row r="405" spans="1:7">
      <c r="A405" s="46">
        <v>42981</v>
      </c>
      <c r="B405" s="1">
        <v>166</v>
      </c>
      <c r="C405" s="1">
        <v>984</v>
      </c>
      <c r="D405" s="1">
        <v>161</v>
      </c>
      <c r="E405" s="1">
        <v>1018</v>
      </c>
      <c r="F405" s="1">
        <v>1150</v>
      </c>
      <c r="G405" s="1">
        <v>1179</v>
      </c>
    </row>
    <row r="406" spans="1:7">
      <c r="A406" s="46">
        <v>42988</v>
      </c>
      <c r="B406" s="1">
        <v>177</v>
      </c>
      <c r="C406" s="1">
        <v>960</v>
      </c>
      <c r="D406" s="1">
        <v>162</v>
      </c>
      <c r="E406" s="1">
        <v>1023</v>
      </c>
      <c r="F406" s="1">
        <v>1137</v>
      </c>
      <c r="G406" s="1">
        <v>1185</v>
      </c>
    </row>
    <row r="407" spans="1:7">
      <c r="A407" s="46">
        <v>42995</v>
      </c>
      <c r="B407" s="1">
        <v>184</v>
      </c>
      <c r="C407" s="1">
        <v>989</v>
      </c>
      <c r="D407" s="1">
        <v>162</v>
      </c>
      <c r="E407" s="1">
        <v>1031</v>
      </c>
      <c r="F407" s="1">
        <v>1173</v>
      </c>
      <c r="G407" s="1">
        <v>1193</v>
      </c>
    </row>
    <row r="408" spans="1:7">
      <c r="A408" s="46">
        <v>43002</v>
      </c>
      <c r="B408" s="1">
        <v>186</v>
      </c>
      <c r="C408" s="1">
        <v>1072</v>
      </c>
      <c r="D408" s="1">
        <v>163</v>
      </c>
      <c r="E408" s="1">
        <v>1040</v>
      </c>
      <c r="F408" s="1">
        <v>1258</v>
      </c>
      <c r="G408" s="1">
        <v>1203</v>
      </c>
    </row>
    <row r="409" spans="1:7">
      <c r="A409" s="46">
        <v>43009</v>
      </c>
      <c r="B409" s="1">
        <v>166</v>
      </c>
      <c r="C409" s="1">
        <v>1059</v>
      </c>
      <c r="D409" s="1">
        <v>163</v>
      </c>
      <c r="E409" s="1">
        <v>1049</v>
      </c>
      <c r="F409" s="1">
        <v>1225</v>
      </c>
      <c r="G409" s="1">
        <v>1212</v>
      </c>
    </row>
    <row r="410" spans="1:7">
      <c r="A410" s="46">
        <v>43016</v>
      </c>
      <c r="B410" s="1">
        <v>171</v>
      </c>
      <c r="C410" s="1">
        <v>1104</v>
      </c>
      <c r="D410" s="1">
        <v>163</v>
      </c>
      <c r="E410" s="1">
        <v>1060</v>
      </c>
      <c r="F410" s="1">
        <v>1275</v>
      </c>
      <c r="G410" s="1">
        <v>1223</v>
      </c>
    </row>
    <row r="411" spans="1:7">
      <c r="A411" s="46">
        <v>43023</v>
      </c>
      <c r="B411" s="1">
        <v>170</v>
      </c>
      <c r="C411" s="1">
        <v>1087</v>
      </c>
      <c r="D411" s="1">
        <v>163</v>
      </c>
      <c r="E411" s="1">
        <v>1069</v>
      </c>
      <c r="F411" s="1">
        <v>1257</v>
      </c>
      <c r="G411" s="1">
        <v>1232</v>
      </c>
    </row>
    <row r="412" spans="1:7">
      <c r="A412" s="46">
        <v>43030</v>
      </c>
      <c r="B412" s="1">
        <v>165</v>
      </c>
      <c r="C412" s="1">
        <v>1023</v>
      </c>
      <c r="D412" s="1">
        <v>164</v>
      </c>
      <c r="E412" s="1">
        <v>1078</v>
      </c>
      <c r="F412" s="1">
        <v>1188</v>
      </c>
      <c r="G412" s="1">
        <v>1242</v>
      </c>
    </row>
    <row r="413" spans="1:7">
      <c r="A413" s="46">
        <v>43037</v>
      </c>
      <c r="B413" s="1">
        <v>151</v>
      </c>
      <c r="C413" s="1">
        <v>1050</v>
      </c>
      <c r="D413" s="1">
        <v>164</v>
      </c>
      <c r="E413" s="1">
        <v>1086</v>
      </c>
      <c r="F413" s="1">
        <v>1201</v>
      </c>
      <c r="G413" s="1">
        <v>1250</v>
      </c>
    </row>
    <row r="414" spans="1:7">
      <c r="A414" s="46">
        <v>43044</v>
      </c>
      <c r="B414" s="1">
        <v>176</v>
      </c>
      <c r="C414" s="1">
        <v>967</v>
      </c>
      <c r="D414" s="1">
        <v>164</v>
      </c>
      <c r="E414" s="1">
        <v>1094</v>
      </c>
      <c r="F414" s="1">
        <v>1143</v>
      </c>
      <c r="G414" s="1">
        <v>1258</v>
      </c>
    </row>
    <row r="415" spans="1:7">
      <c r="A415" s="46">
        <v>43051</v>
      </c>
      <c r="B415" s="1">
        <v>198</v>
      </c>
      <c r="C415" s="1">
        <v>1100</v>
      </c>
      <c r="D415" s="1">
        <v>164</v>
      </c>
      <c r="E415" s="1">
        <v>1104</v>
      </c>
      <c r="F415" s="1">
        <v>1298</v>
      </c>
      <c r="G415" s="1">
        <v>1268</v>
      </c>
    </row>
    <row r="416" spans="1:7">
      <c r="A416" s="46">
        <v>43058</v>
      </c>
      <c r="B416" s="1">
        <v>180</v>
      </c>
      <c r="C416" s="1">
        <v>1055</v>
      </c>
      <c r="D416" s="1">
        <v>165</v>
      </c>
      <c r="E416" s="1">
        <v>1114</v>
      </c>
      <c r="F416" s="1">
        <v>1235</v>
      </c>
      <c r="G416" s="1">
        <v>1279</v>
      </c>
    </row>
    <row r="417" spans="1:7">
      <c r="A417" s="46">
        <v>43065</v>
      </c>
      <c r="B417" s="1">
        <v>161</v>
      </c>
      <c r="C417" s="1">
        <v>1139</v>
      </c>
      <c r="D417" s="1">
        <v>166</v>
      </c>
      <c r="E417" s="1">
        <v>1126</v>
      </c>
      <c r="F417" s="1">
        <v>1300</v>
      </c>
      <c r="G417" s="1">
        <v>1292</v>
      </c>
    </row>
    <row r="418" spans="1:7">
      <c r="A418" s="46">
        <v>43072</v>
      </c>
      <c r="B418" s="1">
        <v>188</v>
      </c>
      <c r="C418" s="1">
        <v>1177</v>
      </c>
      <c r="D418" s="1">
        <v>167</v>
      </c>
      <c r="E418" s="1">
        <v>1140</v>
      </c>
      <c r="F418" s="1">
        <v>1365</v>
      </c>
      <c r="G418" s="1">
        <v>1307</v>
      </c>
    </row>
    <row r="419" spans="1:7">
      <c r="A419" s="46">
        <v>43079</v>
      </c>
      <c r="B419" s="1">
        <v>166</v>
      </c>
      <c r="C419" s="1">
        <v>1196</v>
      </c>
      <c r="D419" s="1">
        <v>168</v>
      </c>
      <c r="E419" s="1">
        <v>1154</v>
      </c>
      <c r="F419" s="1">
        <v>1362</v>
      </c>
      <c r="G419" s="1">
        <v>1322</v>
      </c>
    </row>
    <row r="420" spans="1:7">
      <c r="A420" s="46">
        <v>43086</v>
      </c>
      <c r="B420" s="1">
        <v>164</v>
      </c>
      <c r="C420" s="1">
        <v>1165</v>
      </c>
      <c r="D420" s="1">
        <v>169</v>
      </c>
      <c r="E420" s="1">
        <v>1168</v>
      </c>
      <c r="F420" s="1">
        <v>1329</v>
      </c>
      <c r="G420" s="1">
        <v>1337</v>
      </c>
    </row>
    <row r="421" spans="1:7">
      <c r="A421" s="46">
        <v>43093</v>
      </c>
      <c r="B421" s="1">
        <v>156</v>
      </c>
      <c r="C421" s="1">
        <v>1270</v>
      </c>
      <c r="D421" s="1">
        <v>170</v>
      </c>
      <c r="E421" s="1">
        <v>1182</v>
      </c>
      <c r="F421" s="1">
        <v>1426</v>
      </c>
      <c r="G421" s="1">
        <v>1352</v>
      </c>
    </row>
    <row r="422" spans="1:7">
      <c r="A422" s="46">
        <v>43100</v>
      </c>
      <c r="B422" s="1">
        <v>171</v>
      </c>
      <c r="C422" s="1">
        <v>1159</v>
      </c>
      <c r="D422" s="1">
        <v>171</v>
      </c>
      <c r="E422" s="1">
        <v>1197</v>
      </c>
      <c r="F422" s="1">
        <v>1330</v>
      </c>
      <c r="G422" s="1">
        <v>1368</v>
      </c>
    </row>
    <row r="423" spans="1:7">
      <c r="A423" s="46">
        <v>43107</v>
      </c>
      <c r="B423" s="1">
        <v>179</v>
      </c>
      <c r="C423" s="1">
        <v>1355</v>
      </c>
      <c r="D423" s="1">
        <v>174</v>
      </c>
      <c r="E423" s="1">
        <v>1251</v>
      </c>
      <c r="F423" s="1">
        <v>1534</v>
      </c>
      <c r="G423" s="1">
        <v>1425</v>
      </c>
    </row>
    <row r="424" spans="1:7">
      <c r="A424" s="46">
        <v>43114</v>
      </c>
      <c r="B424" s="1">
        <v>174</v>
      </c>
      <c r="C424" s="1">
        <v>1352</v>
      </c>
      <c r="D424" s="1">
        <v>175</v>
      </c>
      <c r="E424" s="1">
        <v>1251</v>
      </c>
      <c r="F424" s="1">
        <v>1526</v>
      </c>
      <c r="G424" s="1">
        <v>1426</v>
      </c>
    </row>
    <row r="425" spans="1:7">
      <c r="A425" s="46">
        <v>43121</v>
      </c>
      <c r="B425" s="1">
        <v>187</v>
      </c>
      <c r="C425" s="1">
        <v>1300</v>
      </c>
      <c r="D425" s="1">
        <v>176</v>
      </c>
      <c r="E425" s="1">
        <v>1250</v>
      </c>
      <c r="F425" s="1">
        <v>1487</v>
      </c>
      <c r="G425" s="1">
        <v>1426</v>
      </c>
    </row>
    <row r="426" spans="1:7">
      <c r="A426" s="46">
        <v>43128</v>
      </c>
      <c r="B426" s="1">
        <v>189</v>
      </c>
      <c r="C426" s="1">
        <v>1189</v>
      </c>
      <c r="D426" s="1">
        <v>176</v>
      </c>
      <c r="E426" s="1">
        <v>1250</v>
      </c>
      <c r="F426" s="1">
        <v>1378</v>
      </c>
      <c r="G426" s="1">
        <v>1426</v>
      </c>
    </row>
    <row r="427" spans="1:7">
      <c r="A427" s="46">
        <v>43135</v>
      </c>
      <c r="B427" s="1">
        <v>152</v>
      </c>
      <c r="C427" s="1">
        <v>1231</v>
      </c>
      <c r="D427" s="1">
        <v>177</v>
      </c>
      <c r="E427" s="1">
        <v>1248</v>
      </c>
      <c r="F427" s="1">
        <v>1383</v>
      </c>
      <c r="G427" s="1">
        <v>1425</v>
      </c>
    </row>
    <row r="428" spans="1:7">
      <c r="A428" s="46">
        <v>43142</v>
      </c>
      <c r="B428" s="1">
        <v>191</v>
      </c>
      <c r="C428" s="1">
        <v>1241</v>
      </c>
      <c r="D428" s="1">
        <v>177</v>
      </c>
      <c r="E428" s="1">
        <v>1247</v>
      </c>
      <c r="F428" s="1">
        <v>1432</v>
      </c>
      <c r="G428" s="1">
        <v>1424</v>
      </c>
    </row>
    <row r="429" spans="1:7">
      <c r="A429" s="46">
        <v>43149</v>
      </c>
      <c r="B429" s="1">
        <v>195</v>
      </c>
      <c r="C429" s="1">
        <v>1254</v>
      </c>
      <c r="D429" s="1">
        <v>177</v>
      </c>
      <c r="E429" s="1">
        <v>1245</v>
      </c>
      <c r="F429" s="1">
        <v>1449</v>
      </c>
      <c r="G429" s="1">
        <v>1422</v>
      </c>
    </row>
    <row r="430" spans="1:7">
      <c r="A430" s="46">
        <v>43156</v>
      </c>
      <c r="B430" s="1">
        <v>190</v>
      </c>
      <c r="C430" s="1">
        <v>1275</v>
      </c>
      <c r="D430" s="1">
        <v>176</v>
      </c>
      <c r="E430" s="1">
        <v>1235</v>
      </c>
      <c r="F430" s="1">
        <v>1465</v>
      </c>
      <c r="G430" s="1">
        <v>1411</v>
      </c>
    </row>
    <row r="431" spans="1:7">
      <c r="A431" s="46">
        <v>43163</v>
      </c>
      <c r="B431" s="1">
        <v>213</v>
      </c>
      <c r="C431" s="1">
        <v>1412</v>
      </c>
      <c r="D431" s="1">
        <v>175</v>
      </c>
      <c r="E431" s="1">
        <v>1225</v>
      </c>
      <c r="F431" s="1">
        <v>1625</v>
      </c>
      <c r="G431" s="1">
        <v>1400</v>
      </c>
    </row>
    <row r="432" spans="1:7">
      <c r="A432" s="46">
        <v>43170</v>
      </c>
      <c r="B432" s="1">
        <v>202</v>
      </c>
      <c r="C432" s="1">
        <v>1322</v>
      </c>
      <c r="D432" s="1">
        <v>173</v>
      </c>
      <c r="E432" s="1">
        <v>1209</v>
      </c>
      <c r="F432" s="1">
        <v>1524</v>
      </c>
      <c r="G432" s="1">
        <v>1382</v>
      </c>
    </row>
    <row r="433" spans="1:7">
      <c r="A433" s="46">
        <v>43177</v>
      </c>
      <c r="B433" s="1">
        <v>175</v>
      </c>
      <c r="C433" s="1">
        <v>1302</v>
      </c>
      <c r="D433" s="1">
        <v>171</v>
      </c>
      <c r="E433" s="1">
        <v>1192</v>
      </c>
      <c r="F433" s="1">
        <v>1477</v>
      </c>
      <c r="G433" s="1">
        <v>1363</v>
      </c>
    </row>
    <row r="434" spans="1:7">
      <c r="A434" s="46">
        <v>43184</v>
      </c>
      <c r="B434" s="1">
        <v>160</v>
      </c>
      <c r="C434" s="1">
        <v>1211</v>
      </c>
      <c r="D434" s="1">
        <v>168</v>
      </c>
      <c r="E434" s="1">
        <v>1172</v>
      </c>
      <c r="F434" s="1">
        <v>1371</v>
      </c>
      <c r="G434" s="1">
        <v>1340</v>
      </c>
    </row>
    <row r="435" spans="1:7">
      <c r="A435" s="46">
        <v>43191</v>
      </c>
      <c r="B435" s="1">
        <v>171</v>
      </c>
      <c r="C435" s="1">
        <v>1168</v>
      </c>
      <c r="D435" s="1">
        <v>166</v>
      </c>
      <c r="E435" s="1">
        <v>1151</v>
      </c>
      <c r="F435" s="1">
        <v>1339</v>
      </c>
      <c r="G435" s="1">
        <v>1317</v>
      </c>
    </row>
    <row r="436" spans="1:7">
      <c r="A436" s="46">
        <v>43198</v>
      </c>
      <c r="B436" s="1">
        <v>171</v>
      </c>
      <c r="C436" s="1">
        <v>1163</v>
      </c>
      <c r="D436" s="1">
        <v>163</v>
      </c>
      <c r="E436" s="1">
        <v>1131</v>
      </c>
      <c r="F436" s="1">
        <v>1334</v>
      </c>
      <c r="G436" s="1">
        <v>1294</v>
      </c>
    </row>
    <row r="437" spans="1:7">
      <c r="A437" s="46">
        <v>43205</v>
      </c>
      <c r="B437" s="1">
        <v>170</v>
      </c>
      <c r="C437" s="1">
        <v>1118</v>
      </c>
      <c r="D437" s="1">
        <v>162</v>
      </c>
      <c r="E437" s="1">
        <v>1114</v>
      </c>
      <c r="F437" s="1">
        <v>1288</v>
      </c>
      <c r="G437" s="1">
        <v>1276</v>
      </c>
    </row>
    <row r="438" spans="1:7">
      <c r="A438" s="46">
        <v>43212</v>
      </c>
      <c r="B438" s="1">
        <v>182</v>
      </c>
      <c r="C438" s="1">
        <v>1033</v>
      </c>
      <c r="D438" s="1">
        <v>160</v>
      </c>
      <c r="E438" s="1">
        <v>1096</v>
      </c>
      <c r="F438" s="1">
        <v>1215</v>
      </c>
      <c r="G438" s="1">
        <v>1256</v>
      </c>
    </row>
    <row r="439" spans="1:7">
      <c r="A439" s="46">
        <v>43219</v>
      </c>
      <c r="B439" s="1">
        <v>163</v>
      </c>
      <c r="C439" s="1">
        <v>967</v>
      </c>
      <c r="D439" s="1">
        <v>160</v>
      </c>
      <c r="E439" s="1">
        <v>1079</v>
      </c>
      <c r="F439" s="1">
        <v>1130</v>
      </c>
      <c r="G439" s="1">
        <v>1239</v>
      </c>
    </row>
    <row r="440" spans="1:7">
      <c r="A440" s="46">
        <v>43226</v>
      </c>
      <c r="B440" s="1">
        <v>151</v>
      </c>
      <c r="C440" s="1">
        <v>1064</v>
      </c>
      <c r="D440" s="1">
        <v>159</v>
      </c>
      <c r="E440" s="1">
        <v>1063</v>
      </c>
      <c r="F440" s="1">
        <v>1215</v>
      </c>
      <c r="G440" s="1">
        <v>1222</v>
      </c>
    </row>
    <row r="441" spans="1:7">
      <c r="A441" s="46">
        <v>43233</v>
      </c>
      <c r="B441" s="1">
        <v>162</v>
      </c>
      <c r="C441" s="1">
        <v>1022</v>
      </c>
      <c r="D441" s="1">
        <v>159</v>
      </c>
      <c r="E441" s="1">
        <v>1048</v>
      </c>
      <c r="F441" s="1">
        <v>1184</v>
      </c>
      <c r="G441" s="1">
        <v>1207</v>
      </c>
    </row>
    <row r="442" spans="1:7">
      <c r="A442" s="46">
        <v>43240</v>
      </c>
      <c r="B442" s="1">
        <v>167</v>
      </c>
      <c r="C442" s="1">
        <v>932</v>
      </c>
      <c r="D442" s="1">
        <v>159</v>
      </c>
      <c r="E442" s="1">
        <v>1034</v>
      </c>
      <c r="F442" s="1">
        <v>1099</v>
      </c>
      <c r="G442" s="1">
        <v>1193</v>
      </c>
    </row>
    <row r="443" spans="1:7">
      <c r="A443" s="46">
        <v>43247</v>
      </c>
      <c r="B443" s="1">
        <v>172</v>
      </c>
      <c r="C443" s="1">
        <v>1044</v>
      </c>
      <c r="D443" s="1">
        <v>159</v>
      </c>
      <c r="E443" s="1">
        <v>1024</v>
      </c>
      <c r="F443" s="1">
        <v>1216</v>
      </c>
      <c r="G443" s="1">
        <v>1183</v>
      </c>
    </row>
    <row r="444" spans="1:7">
      <c r="A444" s="46">
        <v>43254</v>
      </c>
      <c r="B444" s="1">
        <v>156</v>
      </c>
      <c r="C444" s="1">
        <v>989</v>
      </c>
      <c r="D444" s="1">
        <v>159</v>
      </c>
      <c r="E444" s="1">
        <v>1018</v>
      </c>
      <c r="F444" s="1">
        <v>1145</v>
      </c>
      <c r="G444" s="1">
        <v>1177</v>
      </c>
    </row>
    <row r="445" spans="1:7">
      <c r="A445" s="46">
        <v>43261</v>
      </c>
      <c r="B445" s="1">
        <v>171</v>
      </c>
      <c r="C445" s="1">
        <v>984</v>
      </c>
      <c r="D445" s="1">
        <v>160</v>
      </c>
      <c r="E445" s="1">
        <v>1012</v>
      </c>
      <c r="F445" s="1">
        <v>1155</v>
      </c>
      <c r="G445" s="1">
        <v>1172</v>
      </c>
    </row>
    <row r="446" spans="1:7">
      <c r="A446" s="46">
        <v>43268</v>
      </c>
      <c r="B446" s="1">
        <v>149</v>
      </c>
      <c r="C446" s="1">
        <v>962</v>
      </c>
      <c r="D446" s="1">
        <v>160</v>
      </c>
      <c r="E446" s="1">
        <v>1008</v>
      </c>
      <c r="F446" s="1">
        <v>1111</v>
      </c>
      <c r="G446" s="1">
        <v>1168</v>
      </c>
    </row>
    <row r="447" spans="1:7">
      <c r="A447" s="46">
        <v>43275</v>
      </c>
      <c r="B447" s="1">
        <v>174</v>
      </c>
      <c r="C447" s="1">
        <v>938</v>
      </c>
      <c r="D447" s="1">
        <v>160</v>
      </c>
      <c r="E447" s="1">
        <v>1008</v>
      </c>
      <c r="F447" s="1">
        <v>1112</v>
      </c>
      <c r="G447" s="1">
        <v>1168</v>
      </c>
    </row>
    <row r="448" spans="1:7">
      <c r="A448" s="46">
        <v>43282</v>
      </c>
      <c r="B448" s="1">
        <v>150</v>
      </c>
      <c r="C448" s="1">
        <v>1018</v>
      </c>
      <c r="D448" s="1">
        <v>160</v>
      </c>
      <c r="E448" s="1">
        <v>1009</v>
      </c>
      <c r="F448" s="1">
        <v>1168</v>
      </c>
      <c r="G448" s="1">
        <v>1169</v>
      </c>
    </row>
    <row r="449" spans="1:7">
      <c r="A449" s="46">
        <v>43289</v>
      </c>
      <c r="B449" s="1">
        <v>155</v>
      </c>
      <c r="C449" s="1">
        <v>973</v>
      </c>
      <c r="D449" s="1">
        <v>160</v>
      </c>
      <c r="E449" s="1">
        <v>1011</v>
      </c>
      <c r="F449" s="1">
        <v>1128</v>
      </c>
      <c r="G449" s="1">
        <v>1171</v>
      </c>
    </row>
    <row r="450" spans="1:7">
      <c r="A450" s="46">
        <v>43296</v>
      </c>
      <c r="B450" s="1">
        <v>146</v>
      </c>
      <c r="C450" s="1">
        <v>918</v>
      </c>
      <c r="D450" s="1">
        <v>160</v>
      </c>
      <c r="E450" s="1">
        <v>1012</v>
      </c>
      <c r="F450" s="1">
        <v>1064</v>
      </c>
      <c r="G450" s="1">
        <v>1172</v>
      </c>
    </row>
    <row r="451" spans="1:7">
      <c r="A451" s="46">
        <v>43303</v>
      </c>
      <c r="B451" s="1">
        <v>159</v>
      </c>
      <c r="C451" s="1">
        <v>1045</v>
      </c>
      <c r="D451" s="1">
        <v>160</v>
      </c>
      <c r="E451" s="1">
        <v>1013</v>
      </c>
      <c r="F451" s="1">
        <v>1204</v>
      </c>
      <c r="G451" s="1">
        <v>1173</v>
      </c>
    </row>
    <row r="452" spans="1:7">
      <c r="A452" s="46">
        <v>43310</v>
      </c>
      <c r="B452" s="1">
        <v>170</v>
      </c>
      <c r="C452" s="1">
        <v>1029</v>
      </c>
      <c r="D452" s="1">
        <v>159</v>
      </c>
      <c r="E452" s="1">
        <v>1014</v>
      </c>
      <c r="F452" s="1">
        <v>1199</v>
      </c>
      <c r="G452" s="1">
        <v>1173</v>
      </c>
    </row>
    <row r="453" spans="1:7">
      <c r="A453" s="46">
        <v>43317</v>
      </c>
      <c r="B453" s="1">
        <v>188</v>
      </c>
      <c r="C453" s="1">
        <v>1056</v>
      </c>
      <c r="D453" s="1">
        <v>159</v>
      </c>
      <c r="E453" s="1">
        <v>1016</v>
      </c>
      <c r="F453" s="1">
        <v>1244</v>
      </c>
      <c r="G453" s="1">
        <v>1175</v>
      </c>
    </row>
    <row r="454" spans="1:7">
      <c r="A454" s="46">
        <v>43324</v>
      </c>
      <c r="B454" s="1">
        <v>153</v>
      </c>
      <c r="C454" s="1">
        <v>1053</v>
      </c>
      <c r="D454" s="1">
        <v>159</v>
      </c>
      <c r="E454" s="1">
        <v>1018</v>
      </c>
      <c r="F454" s="1">
        <v>1206</v>
      </c>
      <c r="G454" s="1">
        <v>1177</v>
      </c>
    </row>
    <row r="455" spans="1:7">
      <c r="A455" s="46">
        <v>43331</v>
      </c>
      <c r="B455" s="1">
        <v>162</v>
      </c>
      <c r="C455" s="1">
        <v>1006</v>
      </c>
      <c r="D455" s="1">
        <v>159</v>
      </c>
      <c r="E455" s="1">
        <v>1020</v>
      </c>
      <c r="F455" s="1">
        <v>1168</v>
      </c>
      <c r="G455" s="1">
        <v>1179</v>
      </c>
    </row>
    <row r="456" spans="1:7">
      <c r="A456" s="46">
        <v>43338</v>
      </c>
      <c r="B456" s="1">
        <v>152</v>
      </c>
      <c r="C456" s="1">
        <v>985</v>
      </c>
      <c r="D456" s="1">
        <v>160</v>
      </c>
      <c r="E456" s="1">
        <v>1022</v>
      </c>
      <c r="F456" s="1">
        <v>1137</v>
      </c>
      <c r="G456" s="1">
        <v>1182</v>
      </c>
    </row>
    <row r="457" spans="1:7">
      <c r="A457" s="46">
        <v>43345</v>
      </c>
      <c r="B457" s="1">
        <v>168</v>
      </c>
      <c r="C457" s="1">
        <v>1024</v>
      </c>
      <c r="D457" s="1">
        <v>161</v>
      </c>
      <c r="E457" s="1">
        <v>1028</v>
      </c>
      <c r="F457" s="1">
        <v>1192</v>
      </c>
      <c r="G457" s="1">
        <v>1189</v>
      </c>
    </row>
    <row r="458" spans="1:7">
      <c r="A458" s="46">
        <v>43352</v>
      </c>
      <c r="B458" s="1">
        <v>177</v>
      </c>
      <c r="C458" s="1">
        <v>986</v>
      </c>
      <c r="D458" s="1">
        <v>161</v>
      </c>
      <c r="E458" s="1">
        <v>1034</v>
      </c>
      <c r="F458" s="1">
        <v>1163</v>
      </c>
      <c r="G458" s="1">
        <v>1195</v>
      </c>
    </row>
    <row r="459" spans="1:7">
      <c r="A459" s="46">
        <v>43359</v>
      </c>
      <c r="B459" s="1">
        <v>159</v>
      </c>
      <c r="C459" s="1">
        <v>1052</v>
      </c>
      <c r="D459" s="1">
        <v>162</v>
      </c>
      <c r="E459" s="1">
        <v>1043</v>
      </c>
      <c r="F459" s="1">
        <v>1211</v>
      </c>
      <c r="G459" s="1">
        <v>1205</v>
      </c>
    </row>
    <row r="460" spans="1:7">
      <c r="A460" s="46">
        <v>43366</v>
      </c>
      <c r="B460" s="1">
        <v>172</v>
      </c>
      <c r="C460" s="1">
        <v>989</v>
      </c>
      <c r="D460" s="1">
        <v>162</v>
      </c>
      <c r="E460" s="1">
        <v>1052</v>
      </c>
      <c r="F460" s="1">
        <v>1161</v>
      </c>
      <c r="G460" s="1">
        <v>1214</v>
      </c>
    </row>
    <row r="461" spans="1:7">
      <c r="A461" s="46">
        <v>43373</v>
      </c>
      <c r="B461" s="1">
        <v>166</v>
      </c>
      <c r="C461" s="1">
        <v>1021</v>
      </c>
      <c r="D461" s="1">
        <v>162</v>
      </c>
      <c r="E461" s="1">
        <v>1061</v>
      </c>
      <c r="F461" s="1">
        <v>1187</v>
      </c>
      <c r="G461" s="1">
        <v>1223</v>
      </c>
    </row>
    <row r="462" spans="1:7">
      <c r="A462" s="46">
        <v>43380</v>
      </c>
      <c r="B462" s="1">
        <v>171</v>
      </c>
      <c r="C462" s="1">
        <v>1042</v>
      </c>
      <c r="D462" s="1">
        <v>163</v>
      </c>
      <c r="E462" s="1">
        <v>1072</v>
      </c>
      <c r="F462" s="1">
        <v>1213</v>
      </c>
      <c r="G462" s="1">
        <v>1235</v>
      </c>
    </row>
    <row r="463" spans="1:7">
      <c r="A463" s="46">
        <v>43387</v>
      </c>
      <c r="B463" s="1">
        <v>162</v>
      </c>
      <c r="C463" s="1">
        <v>1046</v>
      </c>
      <c r="D463" s="1">
        <v>163</v>
      </c>
      <c r="E463" s="1">
        <v>1081</v>
      </c>
      <c r="F463" s="1">
        <v>1208</v>
      </c>
      <c r="G463" s="1">
        <v>1244</v>
      </c>
    </row>
    <row r="464" spans="1:7">
      <c r="A464" s="46">
        <v>43394</v>
      </c>
      <c r="B464" s="1">
        <v>149</v>
      </c>
      <c r="C464" s="1">
        <v>1050</v>
      </c>
      <c r="D464" s="1">
        <v>163</v>
      </c>
      <c r="E464" s="1">
        <v>1089</v>
      </c>
      <c r="F464" s="1">
        <v>1199</v>
      </c>
      <c r="G464" s="1">
        <v>1252</v>
      </c>
    </row>
    <row r="465" spans="1:7">
      <c r="A465" s="46">
        <v>43401</v>
      </c>
      <c r="B465" s="1">
        <v>134</v>
      </c>
      <c r="C465" s="1">
        <v>1083</v>
      </c>
      <c r="D465" s="1">
        <v>163</v>
      </c>
      <c r="E465" s="1">
        <v>1096</v>
      </c>
      <c r="F465" s="1">
        <v>1217</v>
      </c>
      <c r="G465" s="1">
        <v>1259</v>
      </c>
    </row>
    <row r="466" spans="1:7">
      <c r="A466" s="46">
        <v>43408</v>
      </c>
      <c r="B466" s="1">
        <v>149</v>
      </c>
      <c r="C466" s="1">
        <v>1106</v>
      </c>
      <c r="D466" s="1">
        <v>163</v>
      </c>
      <c r="E466" s="1">
        <v>1103</v>
      </c>
      <c r="F466" s="1">
        <v>1255</v>
      </c>
      <c r="G466" s="1">
        <v>1266</v>
      </c>
    </row>
    <row r="467" spans="1:7">
      <c r="A467" s="46">
        <v>43415</v>
      </c>
      <c r="B467" s="1">
        <v>169</v>
      </c>
      <c r="C467" s="1">
        <v>1084</v>
      </c>
      <c r="D467" s="1">
        <v>163</v>
      </c>
      <c r="E467" s="1">
        <v>1113</v>
      </c>
      <c r="F467" s="1">
        <v>1253</v>
      </c>
      <c r="G467" s="1">
        <v>1276</v>
      </c>
    </row>
    <row r="468" spans="1:7">
      <c r="A468" s="46">
        <v>43422</v>
      </c>
      <c r="B468" s="1">
        <v>186</v>
      </c>
      <c r="C468" s="1">
        <v>1037</v>
      </c>
      <c r="D468" s="1">
        <v>163</v>
      </c>
      <c r="E468" s="1">
        <v>1122</v>
      </c>
      <c r="F468" s="1">
        <v>1223</v>
      </c>
      <c r="G468" s="1">
        <v>1285</v>
      </c>
    </row>
    <row r="469" spans="1:7">
      <c r="A469" s="46">
        <v>43429</v>
      </c>
      <c r="B469" s="1">
        <v>164</v>
      </c>
      <c r="C469" s="1">
        <v>1103</v>
      </c>
      <c r="D469" s="1">
        <v>164</v>
      </c>
      <c r="E469" s="1">
        <v>1133</v>
      </c>
      <c r="F469" s="1">
        <v>1267</v>
      </c>
      <c r="G469" s="1">
        <v>1297</v>
      </c>
    </row>
    <row r="470" spans="1:7">
      <c r="A470" s="46">
        <v>43436</v>
      </c>
      <c r="B470" s="1">
        <v>181</v>
      </c>
      <c r="C470" s="1">
        <v>1125</v>
      </c>
      <c r="D470" s="1">
        <v>165</v>
      </c>
      <c r="E470" s="1">
        <v>1146</v>
      </c>
      <c r="F470" s="1">
        <v>1306</v>
      </c>
      <c r="G470" s="1">
        <v>1311</v>
      </c>
    </row>
    <row r="471" spans="1:7">
      <c r="A471" s="46">
        <v>43443</v>
      </c>
      <c r="B471" s="1">
        <v>198</v>
      </c>
      <c r="C471" s="1">
        <v>1172</v>
      </c>
      <c r="D471" s="1">
        <v>166</v>
      </c>
      <c r="E471" s="1">
        <v>1159</v>
      </c>
      <c r="F471" s="1">
        <v>1370</v>
      </c>
      <c r="G471" s="1">
        <v>1325</v>
      </c>
    </row>
    <row r="472" spans="1:7">
      <c r="A472" s="46">
        <v>43450</v>
      </c>
      <c r="B472" s="1">
        <v>161</v>
      </c>
      <c r="C472" s="1">
        <v>1166</v>
      </c>
      <c r="D472" s="1">
        <v>166</v>
      </c>
      <c r="E472" s="1">
        <v>1172</v>
      </c>
      <c r="F472" s="1">
        <v>1327</v>
      </c>
      <c r="G472" s="1">
        <v>1338</v>
      </c>
    </row>
    <row r="473" spans="1:7">
      <c r="A473" s="46">
        <v>43457</v>
      </c>
      <c r="B473" s="1">
        <v>177</v>
      </c>
      <c r="C473" s="1">
        <v>1122</v>
      </c>
      <c r="D473" s="1">
        <v>167</v>
      </c>
      <c r="E473" s="1">
        <v>1185</v>
      </c>
      <c r="F473" s="1">
        <v>1299</v>
      </c>
      <c r="G473" s="1">
        <v>1352</v>
      </c>
    </row>
    <row r="474" spans="1:7">
      <c r="A474" s="46">
        <v>43464</v>
      </c>
      <c r="B474" s="1">
        <v>154</v>
      </c>
      <c r="C474" s="1">
        <v>1152</v>
      </c>
      <c r="D474" s="1">
        <v>168</v>
      </c>
      <c r="E474" s="1">
        <v>1198</v>
      </c>
      <c r="F474" s="1">
        <v>1306</v>
      </c>
      <c r="G474" s="1">
        <v>1366</v>
      </c>
    </row>
    <row r="475" spans="1:7">
      <c r="A475" s="46">
        <v>43471</v>
      </c>
      <c r="B475" s="1">
        <v>156</v>
      </c>
      <c r="C475" s="1">
        <v>1174</v>
      </c>
      <c r="D475" s="1">
        <v>174</v>
      </c>
      <c r="E475" s="1">
        <v>1247</v>
      </c>
      <c r="F475" s="1">
        <v>1330</v>
      </c>
      <c r="G475" s="1">
        <v>1421</v>
      </c>
    </row>
    <row r="476" spans="1:7">
      <c r="A476" s="46">
        <v>43478</v>
      </c>
      <c r="B476" s="1">
        <v>171</v>
      </c>
      <c r="C476" s="1">
        <v>1199</v>
      </c>
      <c r="D476" s="1">
        <v>174</v>
      </c>
      <c r="E476" s="1">
        <v>1253</v>
      </c>
      <c r="F476" s="1">
        <v>1370</v>
      </c>
      <c r="G476" s="1">
        <v>1427</v>
      </c>
    </row>
    <row r="477" spans="1:7">
      <c r="A477" s="46">
        <v>43485</v>
      </c>
      <c r="B477" s="1">
        <v>177</v>
      </c>
      <c r="C477" s="1">
        <v>1170</v>
      </c>
      <c r="D477" s="1">
        <v>175</v>
      </c>
      <c r="E477" s="1">
        <v>1258</v>
      </c>
      <c r="F477" s="1">
        <v>1347</v>
      </c>
      <c r="G477" s="1">
        <v>1433</v>
      </c>
    </row>
    <row r="478" spans="1:7">
      <c r="A478" s="46">
        <v>43492</v>
      </c>
      <c r="B478" s="1">
        <v>172</v>
      </c>
      <c r="C478" s="1">
        <v>1219</v>
      </c>
      <c r="D478" s="1">
        <v>176</v>
      </c>
      <c r="E478" s="1">
        <v>1263</v>
      </c>
      <c r="F478" s="1">
        <v>1391</v>
      </c>
      <c r="G478" s="1">
        <v>1439</v>
      </c>
    </row>
    <row r="479" spans="1:7">
      <c r="A479" s="46">
        <v>43499</v>
      </c>
      <c r="B479" s="1">
        <v>170</v>
      </c>
      <c r="C479" s="1">
        <v>1255</v>
      </c>
      <c r="D479" s="1">
        <v>176</v>
      </c>
      <c r="E479" s="1">
        <v>1267</v>
      </c>
      <c r="F479" s="1">
        <v>1425</v>
      </c>
      <c r="G479" s="1">
        <v>1443</v>
      </c>
    </row>
    <row r="480" spans="1:7">
      <c r="A480" s="46">
        <v>43506</v>
      </c>
      <c r="B480" s="1">
        <v>162</v>
      </c>
      <c r="C480" s="1">
        <v>1308</v>
      </c>
      <c r="D480" s="1">
        <v>177</v>
      </c>
      <c r="E480" s="1">
        <v>1272</v>
      </c>
      <c r="F480" s="1">
        <v>1470</v>
      </c>
      <c r="G480" s="1">
        <v>1449</v>
      </c>
    </row>
    <row r="481" spans="1:7">
      <c r="A481" s="46">
        <v>43513</v>
      </c>
      <c r="B481" s="1">
        <v>175</v>
      </c>
      <c r="C481" s="1">
        <v>1373</v>
      </c>
      <c r="D481" s="1">
        <v>177</v>
      </c>
      <c r="E481" s="1">
        <v>1268</v>
      </c>
      <c r="F481" s="1">
        <v>1548</v>
      </c>
      <c r="G481" s="1">
        <v>1445</v>
      </c>
    </row>
    <row r="482" spans="1:7">
      <c r="A482" s="46">
        <v>43520</v>
      </c>
      <c r="B482" s="1">
        <v>159</v>
      </c>
      <c r="C482" s="1">
        <v>1354</v>
      </c>
      <c r="D482" s="1">
        <v>176</v>
      </c>
      <c r="E482" s="1">
        <v>1255</v>
      </c>
      <c r="F482" s="1">
        <v>1513</v>
      </c>
      <c r="G482" s="1">
        <v>1431</v>
      </c>
    </row>
    <row r="483" spans="1:7">
      <c r="A483" s="46">
        <v>43527</v>
      </c>
      <c r="B483" s="1">
        <v>184</v>
      </c>
      <c r="C483" s="1">
        <v>1334</v>
      </c>
      <c r="D483" s="1">
        <v>174</v>
      </c>
      <c r="E483" s="1">
        <v>1241</v>
      </c>
      <c r="F483" s="1">
        <v>1518</v>
      </c>
      <c r="G483" s="1">
        <v>1415</v>
      </c>
    </row>
    <row r="484" spans="1:7">
      <c r="A484" s="46">
        <v>43534</v>
      </c>
      <c r="B484" s="1">
        <v>178</v>
      </c>
      <c r="C484" s="1">
        <v>1269</v>
      </c>
      <c r="D484" s="1">
        <v>172</v>
      </c>
      <c r="E484" s="1">
        <v>1219</v>
      </c>
      <c r="F484" s="1">
        <v>1447</v>
      </c>
      <c r="G484" s="1">
        <v>1391</v>
      </c>
    </row>
    <row r="485" spans="1:7">
      <c r="A485" s="46">
        <v>43541</v>
      </c>
      <c r="B485" s="1">
        <v>147</v>
      </c>
      <c r="C485" s="1">
        <v>1223</v>
      </c>
      <c r="D485" s="1">
        <v>170</v>
      </c>
      <c r="E485" s="1">
        <v>1196</v>
      </c>
      <c r="F485" s="1">
        <v>1370</v>
      </c>
      <c r="G485" s="1">
        <v>1366</v>
      </c>
    </row>
    <row r="486" spans="1:7">
      <c r="A486" s="46">
        <v>43548</v>
      </c>
      <c r="B486" s="1">
        <v>180</v>
      </c>
      <c r="C486" s="1">
        <v>1159</v>
      </c>
      <c r="D486" s="1">
        <v>167</v>
      </c>
      <c r="E486" s="1">
        <v>1173</v>
      </c>
      <c r="F486" s="1">
        <v>1339</v>
      </c>
      <c r="G486" s="1">
        <v>1340</v>
      </c>
    </row>
    <row r="487" spans="1:7">
      <c r="A487" s="46">
        <v>43555</v>
      </c>
      <c r="B487" s="1">
        <v>182</v>
      </c>
      <c r="C487" s="1">
        <v>1124</v>
      </c>
      <c r="D487" s="1">
        <v>165</v>
      </c>
      <c r="E487" s="1">
        <v>1150</v>
      </c>
      <c r="F487" s="1">
        <v>1306</v>
      </c>
      <c r="G487" s="1">
        <v>1315</v>
      </c>
    </row>
    <row r="488" spans="1:7">
      <c r="A488" s="46">
        <v>43562</v>
      </c>
      <c r="B488" s="1">
        <v>175</v>
      </c>
      <c r="C488" s="1">
        <v>1199</v>
      </c>
      <c r="D488" s="1">
        <v>162</v>
      </c>
      <c r="E488" s="1">
        <v>1130</v>
      </c>
      <c r="F488" s="1">
        <v>1374</v>
      </c>
      <c r="G488" s="1">
        <v>1292</v>
      </c>
    </row>
    <row r="489" spans="1:7">
      <c r="A489" s="46">
        <v>43569</v>
      </c>
      <c r="B489" s="1">
        <v>143</v>
      </c>
      <c r="C489" s="1">
        <v>1070</v>
      </c>
      <c r="D489" s="1">
        <v>161</v>
      </c>
      <c r="E489" s="1">
        <v>1111</v>
      </c>
      <c r="F489" s="1">
        <v>1213</v>
      </c>
      <c r="G489" s="1">
        <v>1272</v>
      </c>
    </row>
    <row r="490" spans="1:7">
      <c r="A490" s="46">
        <v>43576</v>
      </c>
      <c r="B490" s="1">
        <v>172</v>
      </c>
      <c r="C490" s="1">
        <v>1121</v>
      </c>
      <c r="D490" s="1">
        <v>159</v>
      </c>
      <c r="E490" s="1">
        <v>1093</v>
      </c>
      <c r="F490" s="1">
        <v>1293</v>
      </c>
      <c r="G490" s="1">
        <v>1252</v>
      </c>
    </row>
    <row r="491" spans="1:7">
      <c r="A491" s="46">
        <v>43583</v>
      </c>
      <c r="B491" s="1">
        <v>151</v>
      </c>
      <c r="C491" s="1">
        <v>1076</v>
      </c>
      <c r="D491" s="1">
        <v>159</v>
      </c>
      <c r="E491" s="1">
        <v>1076</v>
      </c>
      <c r="F491" s="1">
        <v>1227</v>
      </c>
      <c r="G491" s="1">
        <v>1235</v>
      </c>
    </row>
    <row r="492" spans="1:7">
      <c r="A492" s="46">
        <v>43590</v>
      </c>
      <c r="B492" s="1">
        <v>146</v>
      </c>
      <c r="C492" s="1">
        <v>1103</v>
      </c>
      <c r="D492" s="1">
        <v>158</v>
      </c>
      <c r="E492" s="1">
        <v>1058</v>
      </c>
      <c r="F492" s="1">
        <v>1249</v>
      </c>
      <c r="G492" s="1">
        <v>1216</v>
      </c>
    </row>
    <row r="493" spans="1:7">
      <c r="A493" s="46">
        <v>43597</v>
      </c>
      <c r="B493" s="1">
        <v>197</v>
      </c>
      <c r="C493" s="1">
        <v>1060</v>
      </c>
      <c r="D493" s="1">
        <v>158</v>
      </c>
      <c r="E493" s="1">
        <v>1044</v>
      </c>
      <c r="F493" s="1">
        <v>1257</v>
      </c>
      <c r="G493" s="1">
        <v>1202</v>
      </c>
    </row>
    <row r="494" spans="1:7">
      <c r="A494" s="46">
        <v>43604</v>
      </c>
      <c r="B494" s="1">
        <v>164</v>
      </c>
      <c r="C494" s="1">
        <v>1038</v>
      </c>
      <c r="D494" s="1">
        <v>158</v>
      </c>
      <c r="E494" s="1">
        <v>1030</v>
      </c>
      <c r="F494" s="1">
        <v>1202</v>
      </c>
      <c r="G494" s="1">
        <v>1188</v>
      </c>
    </row>
    <row r="495" spans="1:7">
      <c r="A495" s="46">
        <v>43611</v>
      </c>
      <c r="B495" s="1">
        <v>180</v>
      </c>
      <c r="C495" s="1">
        <v>1080</v>
      </c>
      <c r="D495" s="1">
        <v>159</v>
      </c>
      <c r="E495" s="1">
        <v>1021</v>
      </c>
      <c r="F495" s="1">
        <v>1260</v>
      </c>
      <c r="G495" s="1">
        <v>1180</v>
      </c>
    </row>
    <row r="496" spans="1:7">
      <c r="A496" s="46">
        <v>43618</v>
      </c>
      <c r="B496" s="1">
        <v>158</v>
      </c>
      <c r="C496" s="1">
        <v>1073</v>
      </c>
      <c r="D496" s="1">
        <v>159</v>
      </c>
      <c r="E496" s="1">
        <v>1015</v>
      </c>
      <c r="F496" s="1">
        <v>1231</v>
      </c>
      <c r="G496" s="1">
        <v>1174</v>
      </c>
    </row>
    <row r="497" spans="1:7">
      <c r="A497" s="46">
        <v>43625</v>
      </c>
      <c r="B497" s="1">
        <v>154</v>
      </c>
      <c r="C497" s="1">
        <v>1077</v>
      </c>
      <c r="D497" s="1">
        <v>160</v>
      </c>
      <c r="E497" s="1">
        <v>1009</v>
      </c>
      <c r="F497" s="1">
        <v>1231</v>
      </c>
      <c r="G497" s="1">
        <v>1169</v>
      </c>
    </row>
    <row r="498" spans="1:7">
      <c r="A498" s="46">
        <v>43632</v>
      </c>
      <c r="B498" s="1">
        <v>177</v>
      </c>
      <c r="C498" s="1">
        <v>984</v>
      </c>
      <c r="D498" s="1">
        <v>160</v>
      </c>
      <c r="E498" s="1">
        <v>1007</v>
      </c>
      <c r="F498" s="1">
        <v>1161</v>
      </c>
      <c r="G498" s="1">
        <v>1167</v>
      </c>
    </row>
    <row r="499" spans="1:7">
      <c r="A499" s="46">
        <v>43639</v>
      </c>
      <c r="B499" s="1">
        <v>179</v>
      </c>
      <c r="C499" s="1">
        <v>1020</v>
      </c>
      <c r="D499" s="1">
        <v>159</v>
      </c>
      <c r="E499" s="1">
        <v>1009</v>
      </c>
      <c r="F499" s="1">
        <v>1199</v>
      </c>
      <c r="G499" s="1">
        <v>1168</v>
      </c>
    </row>
    <row r="500" spans="1:7">
      <c r="A500" s="46">
        <v>43646</v>
      </c>
      <c r="B500" s="1">
        <v>161</v>
      </c>
      <c r="C500" s="1">
        <v>1069</v>
      </c>
      <c r="D500" s="1">
        <v>159</v>
      </c>
      <c r="E500" s="1">
        <v>1010</v>
      </c>
      <c r="F500" s="1">
        <v>1230</v>
      </c>
      <c r="G500" s="1">
        <v>1169</v>
      </c>
    </row>
    <row r="501" spans="1:7">
      <c r="A501" s="46">
        <v>43653</v>
      </c>
      <c r="B501" s="1">
        <v>177</v>
      </c>
      <c r="C501" s="1">
        <v>1071</v>
      </c>
      <c r="D501" s="1">
        <v>159</v>
      </c>
      <c r="E501" s="1">
        <v>1016</v>
      </c>
      <c r="F501" s="1">
        <v>1248</v>
      </c>
      <c r="G501" s="1">
        <v>1175</v>
      </c>
    </row>
    <row r="502" spans="1:7">
      <c r="A502" s="46">
        <v>43660</v>
      </c>
      <c r="B502" s="1">
        <v>166</v>
      </c>
      <c r="C502" s="1">
        <v>1052</v>
      </c>
      <c r="D502" s="1">
        <v>159</v>
      </c>
      <c r="E502" s="1">
        <v>1017</v>
      </c>
      <c r="F502" s="1">
        <v>1218</v>
      </c>
      <c r="G502" s="1">
        <v>1176</v>
      </c>
    </row>
    <row r="503" spans="1:7">
      <c r="A503" s="46">
        <v>43667</v>
      </c>
      <c r="B503" s="1">
        <v>163</v>
      </c>
      <c r="C503" s="1">
        <v>1033</v>
      </c>
      <c r="D503" s="1">
        <v>159</v>
      </c>
      <c r="E503" s="1">
        <v>1019</v>
      </c>
      <c r="F503" s="1">
        <v>1196</v>
      </c>
      <c r="G503" s="1">
        <v>1178</v>
      </c>
    </row>
    <row r="504" spans="1:7">
      <c r="A504" s="46">
        <v>43674</v>
      </c>
      <c r="B504" s="1">
        <v>138</v>
      </c>
      <c r="C504" s="1">
        <v>1101</v>
      </c>
      <c r="D504" s="1">
        <v>158</v>
      </c>
      <c r="E504" s="1">
        <v>1020</v>
      </c>
      <c r="F504" s="1">
        <v>1239</v>
      </c>
      <c r="G504" s="1">
        <v>1178</v>
      </c>
    </row>
    <row r="505" spans="1:7">
      <c r="A505" s="46">
        <v>43681</v>
      </c>
      <c r="B505" s="1">
        <v>147</v>
      </c>
      <c r="C505" s="1">
        <v>972</v>
      </c>
      <c r="D505" s="1">
        <v>158</v>
      </c>
      <c r="E505" s="1">
        <v>1021</v>
      </c>
      <c r="F505" s="1">
        <v>1119</v>
      </c>
      <c r="G505" s="1">
        <v>1179</v>
      </c>
    </row>
    <row r="506" spans="1:7">
      <c r="A506" s="46">
        <v>43688</v>
      </c>
      <c r="B506" s="1">
        <v>154</v>
      </c>
      <c r="C506" s="1">
        <v>971</v>
      </c>
      <c r="D506" s="1">
        <v>158</v>
      </c>
      <c r="E506" s="1">
        <v>1021</v>
      </c>
      <c r="F506" s="1">
        <v>1125</v>
      </c>
      <c r="G506" s="1">
        <v>1179</v>
      </c>
    </row>
    <row r="507" spans="1:7">
      <c r="A507" s="46">
        <v>43695</v>
      </c>
      <c r="B507" s="1">
        <v>148</v>
      </c>
      <c r="C507" s="1">
        <v>988</v>
      </c>
      <c r="D507" s="1">
        <v>158</v>
      </c>
      <c r="E507" s="1">
        <v>1022</v>
      </c>
      <c r="F507" s="1">
        <v>1136</v>
      </c>
      <c r="G507" s="1">
        <v>1180</v>
      </c>
    </row>
    <row r="508" spans="1:7">
      <c r="A508" s="46">
        <v>43702</v>
      </c>
      <c r="B508" s="1">
        <v>167</v>
      </c>
      <c r="C508" s="1">
        <v>1069</v>
      </c>
      <c r="D508" s="1">
        <v>159</v>
      </c>
      <c r="E508" s="1">
        <v>1023</v>
      </c>
      <c r="F508" s="1">
        <v>1236</v>
      </c>
      <c r="G508" s="1">
        <v>1182</v>
      </c>
    </row>
    <row r="509" spans="1:7">
      <c r="A509" s="46">
        <v>43709</v>
      </c>
      <c r="B509" s="1">
        <v>137</v>
      </c>
      <c r="C509" s="1">
        <v>1001</v>
      </c>
      <c r="D509" s="1">
        <v>160</v>
      </c>
      <c r="E509" s="1">
        <v>1030</v>
      </c>
      <c r="F509" s="1">
        <v>1138</v>
      </c>
      <c r="G509" s="1">
        <v>1190</v>
      </c>
    </row>
    <row r="510" spans="1:7">
      <c r="A510" s="46">
        <v>43716</v>
      </c>
      <c r="B510" s="1">
        <v>141</v>
      </c>
      <c r="C510" s="1">
        <v>1018</v>
      </c>
      <c r="D510" s="1">
        <v>160</v>
      </c>
      <c r="E510" s="1">
        <v>1037</v>
      </c>
      <c r="F510" s="1">
        <v>1159</v>
      </c>
      <c r="G510" s="1">
        <v>1197</v>
      </c>
    </row>
    <row r="511" spans="1:7">
      <c r="A511" s="46">
        <v>43723</v>
      </c>
      <c r="B511" s="1">
        <v>164</v>
      </c>
      <c r="C511" s="1">
        <v>1066</v>
      </c>
      <c r="D511" s="1">
        <v>161</v>
      </c>
      <c r="E511" s="1">
        <v>1046</v>
      </c>
      <c r="F511" s="1">
        <v>1230</v>
      </c>
      <c r="G511" s="1">
        <v>1207</v>
      </c>
    </row>
    <row r="512" spans="1:7">
      <c r="A512" s="46">
        <v>43730</v>
      </c>
      <c r="B512" s="1">
        <v>174</v>
      </c>
      <c r="C512" s="1">
        <v>1100</v>
      </c>
      <c r="D512" s="1">
        <v>161</v>
      </c>
      <c r="E512" s="1">
        <v>1055</v>
      </c>
      <c r="F512" s="1">
        <v>1274</v>
      </c>
      <c r="G512" s="1">
        <v>1216</v>
      </c>
    </row>
    <row r="513" spans="1:7">
      <c r="A513" s="46">
        <v>43737</v>
      </c>
      <c r="B513" s="1">
        <v>163</v>
      </c>
      <c r="C513" s="1">
        <v>1062</v>
      </c>
      <c r="D513" s="1">
        <v>161</v>
      </c>
      <c r="E513" s="1">
        <v>1065</v>
      </c>
      <c r="F513" s="1">
        <v>1225</v>
      </c>
      <c r="G513" s="1">
        <v>1226</v>
      </c>
    </row>
    <row r="514" spans="1:7">
      <c r="A514" s="46">
        <v>43744</v>
      </c>
      <c r="B514" s="1">
        <v>166</v>
      </c>
      <c r="C514" s="1">
        <v>1050</v>
      </c>
      <c r="D514" s="1">
        <v>161</v>
      </c>
      <c r="E514" s="1">
        <v>1076</v>
      </c>
      <c r="F514" s="1">
        <v>1216</v>
      </c>
      <c r="G514" s="1">
        <v>1237</v>
      </c>
    </row>
    <row r="515" spans="1:7">
      <c r="A515" s="46">
        <v>43751</v>
      </c>
      <c r="B515" s="1">
        <v>176</v>
      </c>
      <c r="C515" s="1">
        <v>1088</v>
      </c>
      <c r="D515" s="1">
        <v>162</v>
      </c>
      <c r="E515" s="1">
        <v>1085</v>
      </c>
      <c r="F515" s="1">
        <v>1264</v>
      </c>
      <c r="G515" s="1">
        <v>1247</v>
      </c>
    </row>
    <row r="516" spans="1:7">
      <c r="A516" s="46">
        <v>43758</v>
      </c>
      <c r="B516" s="1">
        <v>174</v>
      </c>
      <c r="C516" s="1">
        <v>1108</v>
      </c>
      <c r="D516" s="1">
        <v>162</v>
      </c>
      <c r="E516" s="1">
        <v>1094</v>
      </c>
      <c r="F516" s="1">
        <v>1282</v>
      </c>
      <c r="G516" s="1">
        <v>1256</v>
      </c>
    </row>
    <row r="517" spans="1:7">
      <c r="A517" s="46">
        <v>43765</v>
      </c>
      <c r="B517" s="1">
        <v>160</v>
      </c>
      <c r="C517" s="1">
        <v>1133</v>
      </c>
      <c r="D517" s="1">
        <v>162</v>
      </c>
      <c r="E517" s="1">
        <v>1099</v>
      </c>
      <c r="F517" s="1">
        <v>1293</v>
      </c>
      <c r="G517" s="1">
        <v>1261</v>
      </c>
    </row>
    <row r="518" spans="1:7">
      <c r="A518" s="46">
        <v>43772</v>
      </c>
      <c r="B518" s="1">
        <v>152</v>
      </c>
      <c r="C518" s="1">
        <v>1060</v>
      </c>
      <c r="D518" s="1">
        <v>163</v>
      </c>
      <c r="E518" s="1">
        <v>1103</v>
      </c>
      <c r="F518" s="1">
        <v>1212</v>
      </c>
      <c r="G518" s="1">
        <v>1266</v>
      </c>
    </row>
    <row r="519" spans="1:7">
      <c r="A519" s="46">
        <v>43779</v>
      </c>
      <c r="B519" s="1">
        <v>130</v>
      </c>
      <c r="C519" s="1">
        <v>1118</v>
      </c>
      <c r="D519" s="1">
        <v>163</v>
      </c>
      <c r="E519" s="1">
        <v>1113</v>
      </c>
      <c r="F519" s="1">
        <v>1248</v>
      </c>
      <c r="G519" s="1">
        <v>1276</v>
      </c>
    </row>
    <row r="520" spans="1:7">
      <c r="A520" s="46">
        <v>43786</v>
      </c>
      <c r="B520" s="1">
        <v>155</v>
      </c>
      <c r="C520" s="1">
        <v>1192</v>
      </c>
      <c r="D520" s="1">
        <v>164</v>
      </c>
      <c r="E520" s="1">
        <v>1123</v>
      </c>
      <c r="F520" s="1">
        <v>1347</v>
      </c>
      <c r="G520" s="1">
        <v>1287</v>
      </c>
    </row>
    <row r="521" spans="1:7">
      <c r="A521" s="46">
        <v>43793</v>
      </c>
      <c r="B521" s="1">
        <v>156</v>
      </c>
      <c r="C521" s="1">
        <v>1168</v>
      </c>
      <c r="D521" s="1">
        <v>165</v>
      </c>
      <c r="E521" s="1">
        <v>1133</v>
      </c>
      <c r="F521" s="1">
        <v>1324</v>
      </c>
      <c r="G521" s="1">
        <v>1298</v>
      </c>
    </row>
    <row r="522" spans="1:7">
      <c r="A522" s="46">
        <v>43800</v>
      </c>
      <c r="B522" s="1">
        <v>171</v>
      </c>
      <c r="C522" s="1">
        <v>1183</v>
      </c>
      <c r="D522" s="1">
        <v>165</v>
      </c>
      <c r="E522" s="1">
        <v>1146</v>
      </c>
      <c r="F522" s="1">
        <v>1354</v>
      </c>
      <c r="G522" s="1">
        <v>1311</v>
      </c>
    </row>
    <row r="523" spans="1:7">
      <c r="A523" s="46">
        <v>43807</v>
      </c>
      <c r="B523" s="1">
        <v>138</v>
      </c>
      <c r="C523" s="1">
        <v>1057</v>
      </c>
      <c r="D523" s="1">
        <v>166</v>
      </c>
      <c r="E523" s="1">
        <v>1158</v>
      </c>
      <c r="F523" s="1">
        <v>1195</v>
      </c>
      <c r="G523" s="1">
        <v>1324</v>
      </c>
    </row>
    <row r="524" spans="1:7">
      <c r="A524" s="46">
        <v>43814</v>
      </c>
      <c r="B524" s="1">
        <v>163</v>
      </c>
      <c r="C524" s="1">
        <v>1189</v>
      </c>
      <c r="D524" s="1">
        <v>167</v>
      </c>
      <c r="E524" s="1">
        <v>1170</v>
      </c>
      <c r="F524" s="1">
        <v>1352</v>
      </c>
      <c r="G524" s="1">
        <v>1337</v>
      </c>
    </row>
    <row r="525" spans="1:7">
      <c r="A525" s="46">
        <v>43821</v>
      </c>
      <c r="B525" s="1">
        <v>175</v>
      </c>
      <c r="C525" s="1">
        <v>1200</v>
      </c>
      <c r="D525" s="1">
        <v>167</v>
      </c>
      <c r="E525" s="1">
        <v>1181</v>
      </c>
      <c r="F525" s="1">
        <v>1375</v>
      </c>
      <c r="G525" s="1">
        <v>1348</v>
      </c>
    </row>
    <row r="526" spans="1:7">
      <c r="A526" s="46">
        <v>43828</v>
      </c>
      <c r="B526" s="1">
        <v>147</v>
      </c>
      <c r="C526" s="1">
        <v>1157</v>
      </c>
      <c r="D526" s="1">
        <v>168</v>
      </c>
      <c r="E526" s="1">
        <v>1193</v>
      </c>
      <c r="F526" s="1">
        <v>1304</v>
      </c>
      <c r="G526" s="1">
        <v>1361</v>
      </c>
    </row>
    <row r="527" spans="1:7">
      <c r="A527" s="17" t="s">
        <v>320</v>
      </c>
      <c r="B527" s="1">
        <v>90873</v>
      </c>
      <c r="C527" s="1">
        <v>554115</v>
      </c>
      <c r="D527" s="1">
        <v>90063</v>
      </c>
      <c r="E527" s="1">
        <v>552931</v>
      </c>
      <c r="F527" s="1">
        <v>644988</v>
      </c>
      <c r="G527" s="1">
        <v>642994</v>
      </c>
    </row>
  </sheetData>
  <pageMargins left="0.7" right="0.7" top="0.78740157499999996" bottom="0.78740157499999996"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94B6C-8142-4060-A089-15D9E51BC130}">
  <dimension ref="A1:I1054"/>
  <sheetViews>
    <sheetView workbookViewId="0">
      <selection sqref="A1:I1054"/>
    </sheetView>
  </sheetViews>
  <sheetFormatPr baseColWidth="10" defaultRowHeight="14.5"/>
  <cols>
    <col min="1" max="1" width="4.81640625" bestFit="1" customWidth="1"/>
    <col min="2" max="2" width="16" bestFit="1" customWidth="1"/>
    <col min="3" max="3" width="9.90625" bestFit="1" customWidth="1"/>
    <col min="4" max="4" width="7.1796875" bestFit="1" customWidth="1"/>
    <col min="5" max="5" width="18.36328125" bestFit="1" customWidth="1"/>
    <col min="6" max="6" width="11.81640625" bestFit="1" customWidth="1"/>
    <col min="7" max="7" width="11.90625" bestFit="1" customWidth="1"/>
    <col min="8" max="8" width="12.1796875" bestFit="1" customWidth="1"/>
    <col min="9" max="9" width="8.453125" bestFit="1" customWidth="1"/>
  </cols>
  <sheetData>
    <row r="1" spans="1:9">
      <c r="A1" t="s">
        <v>652</v>
      </c>
      <c r="B1" t="s">
        <v>653</v>
      </c>
      <c r="C1" t="s">
        <v>437</v>
      </c>
      <c r="D1" t="s">
        <v>438</v>
      </c>
      <c r="E1" t="s">
        <v>654</v>
      </c>
      <c r="F1" t="s">
        <v>441</v>
      </c>
      <c r="G1" t="s">
        <v>440</v>
      </c>
      <c r="H1" t="s">
        <v>442</v>
      </c>
      <c r="I1" t="s">
        <v>655</v>
      </c>
    </row>
    <row r="2" spans="1:9">
      <c r="A2">
        <v>2010</v>
      </c>
      <c r="B2">
        <v>1</v>
      </c>
      <c r="C2" s="2">
        <v>40188</v>
      </c>
      <c r="D2" s="1" t="s">
        <v>444</v>
      </c>
      <c r="E2">
        <v>193</v>
      </c>
      <c r="F2">
        <v>195</v>
      </c>
      <c r="G2">
        <v>159</v>
      </c>
      <c r="H2">
        <v>231</v>
      </c>
    </row>
    <row r="3" spans="1:9">
      <c r="A3">
        <v>2010</v>
      </c>
      <c r="B3">
        <v>2</v>
      </c>
      <c r="C3" s="2">
        <v>40195</v>
      </c>
      <c r="D3" s="1" t="s">
        <v>444</v>
      </c>
      <c r="E3">
        <v>198</v>
      </c>
      <c r="F3">
        <v>195</v>
      </c>
      <c r="G3">
        <v>159</v>
      </c>
      <c r="H3">
        <v>231</v>
      </c>
    </row>
    <row r="4" spans="1:9">
      <c r="A4">
        <v>2010</v>
      </c>
      <c r="B4">
        <v>3</v>
      </c>
      <c r="C4" s="2">
        <v>40202</v>
      </c>
      <c r="D4" s="1" t="s">
        <v>444</v>
      </c>
      <c r="E4">
        <v>191</v>
      </c>
      <c r="F4">
        <v>194</v>
      </c>
      <c r="G4">
        <v>158</v>
      </c>
      <c r="H4">
        <v>230</v>
      </c>
    </row>
    <row r="5" spans="1:9">
      <c r="A5">
        <v>2010</v>
      </c>
      <c r="B5">
        <v>4</v>
      </c>
      <c r="C5" s="2">
        <v>40209</v>
      </c>
      <c r="D5" s="1" t="s">
        <v>444</v>
      </c>
      <c r="E5">
        <v>207</v>
      </c>
      <c r="F5">
        <v>194</v>
      </c>
      <c r="G5">
        <v>158</v>
      </c>
      <c r="H5">
        <v>229</v>
      </c>
    </row>
    <row r="6" spans="1:9">
      <c r="A6">
        <v>2010</v>
      </c>
      <c r="B6">
        <v>5</v>
      </c>
      <c r="C6" s="2">
        <v>40216</v>
      </c>
      <c r="D6" s="1" t="s">
        <v>444</v>
      </c>
      <c r="E6">
        <v>175</v>
      </c>
      <c r="F6">
        <v>193</v>
      </c>
      <c r="G6">
        <v>157</v>
      </c>
      <c r="H6">
        <v>229</v>
      </c>
    </row>
    <row r="7" spans="1:9">
      <c r="A7">
        <v>2010</v>
      </c>
      <c r="B7">
        <v>6</v>
      </c>
      <c r="C7" s="2">
        <v>40223</v>
      </c>
      <c r="D7" s="1" t="s">
        <v>444</v>
      </c>
      <c r="E7">
        <v>179</v>
      </c>
      <c r="F7">
        <v>192</v>
      </c>
      <c r="G7">
        <v>157</v>
      </c>
      <c r="H7">
        <v>228</v>
      </c>
    </row>
    <row r="8" spans="1:9">
      <c r="A8">
        <v>2010</v>
      </c>
      <c r="B8">
        <v>7</v>
      </c>
      <c r="C8" s="2">
        <v>40230</v>
      </c>
      <c r="D8" s="1" t="s">
        <v>444</v>
      </c>
      <c r="E8">
        <v>218</v>
      </c>
      <c r="F8">
        <v>192</v>
      </c>
      <c r="G8">
        <v>156</v>
      </c>
      <c r="H8">
        <v>227</v>
      </c>
    </row>
    <row r="9" spans="1:9">
      <c r="A9">
        <v>2010</v>
      </c>
      <c r="B9">
        <v>8</v>
      </c>
      <c r="C9" s="2">
        <v>40237</v>
      </c>
      <c r="D9" s="1" t="s">
        <v>444</v>
      </c>
      <c r="E9">
        <v>184</v>
      </c>
      <c r="F9">
        <v>191</v>
      </c>
      <c r="G9">
        <v>155</v>
      </c>
      <c r="H9">
        <v>227</v>
      </c>
    </row>
    <row r="10" spans="1:9">
      <c r="A10">
        <v>2010</v>
      </c>
      <c r="B10">
        <v>9</v>
      </c>
      <c r="C10" s="2">
        <v>40244</v>
      </c>
      <c r="D10" s="1" t="s">
        <v>444</v>
      </c>
      <c r="E10">
        <v>179</v>
      </c>
      <c r="F10">
        <v>190</v>
      </c>
      <c r="G10">
        <v>155</v>
      </c>
      <c r="H10">
        <v>226</v>
      </c>
    </row>
    <row r="11" spans="1:9">
      <c r="A11">
        <v>2010</v>
      </c>
      <c r="B11">
        <v>10</v>
      </c>
      <c r="C11" s="2">
        <v>40251</v>
      </c>
      <c r="D11" s="1" t="s">
        <v>444</v>
      </c>
      <c r="E11">
        <v>221</v>
      </c>
      <c r="F11">
        <v>190</v>
      </c>
      <c r="G11">
        <v>154</v>
      </c>
      <c r="H11">
        <v>225</v>
      </c>
    </row>
    <row r="12" spans="1:9">
      <c r="A12">
        <v>2010</v>
      </c>
      <c r="B12">
        <v>11</v>
      </c>
      <c r="C12" s="2">
        <v>40258</v>
      </c>
      <c r="D12" s="1" t="s">
        <v>444</v>
      </c>
      <c r="E12">
        <v>196</v>
      </c>
      <c r="F12">
        <v>189</v>
      </c>
      <c r="G12">
        <v>154</v>
      </c>
      <c r="H12">
        <v>225</v>
      </c>
    </row>
    <row r="13" spans="1:9">
      <c r="A13">
        <v>2010</v>
      </c>
      <c r="B13">
        <v>12</v>
      </c>
      <c r="C13" s="2">
        <v>40265</v>
      </c>
      <c r="D13" s="1" t="s">
        <v>444</v>
      </c>
      <c r="E13">
        <v>200</v>
      </c>
      <c r="F13">
        <v>189</v>
      </c>
      <c r="G13">
        <v>153</v>
      </c>
      <c r="H13">
        <v>224</v>
      </c>
    </row>
    <row r="14" spans="1:9">
      <c r="A14">
        <v>2010</v>
      </c>
      <c r="B14">
        <v>13</v>
      </c>
      <c r="C14" s="2">
        <v>40272</v>
      </c>
      <c r="D14" s="1" t="s">
        <v>444</v>
      </c>
      <c r="E14">
        <v>162</v>
      </c>
      <c r="F14">
        <v>188</v>
      </c>
      <c r="G14">
        <v>153</v>
      </c>
      <c r="H14">
        <v>223</v>
      </c>
    </row>
    <row r="15" spans="1:9">
      <c r="A15">
        <v>2010</v>
      </c>
      <c r="B15">
        <v>14</v>
      </c>
      <c r="C15" s="2">
        <v>40279</v>
      </c>
      <c r="D15" s="1" t="s">
        <v>444</v>
      </c>
      <c r="E15">
        <v>180</v>
      </c>
      <c r="F15">
        <v>187</v>
      </c>
      <c r="G15">
        <v>152</v>
      </c>
      <c r="H15">
        <v>223</v>
      </c>
    </row>
    <row r="16" spans="1:9">
      <c r="A16">
        <v>2010</v>
      </c>
      <c r="B16">
        <v>15</v>
      </c>
      <c r="C16" s="2">
        <v>40286</v>
      </c>
      <c r="D16" s="1" t="s">
        <v>444</v>
      </c>
      <c r="E16">
        <v>158</v>
      </c>
      <c r="F16">
        <v>187</v>
      </c>
      <c r="G16">
        <v>152</v>
      </c>
      <c r="H16">
        <v>222</v>
      </c>
    </row>
    <row r="17" spans="1:9">
      <c r="A17">
        <v>2010</v>
      </c>
      <c r="B17">
        <v>16</v>
      </c>
      <c r="C17" s="2">
        <v>40293</v>
      </c>
      <c r="D17" s="1" t="s">
        <v>444</v>
      </c>
      <c r="E17">
        <v>226</v>
      </c>
      <c r="F17">
        <v>186</v>
      </c>
      <c r="G17">
        <v>151</v>
      </c>
      <c r="H17">
        <v>221</v>
      </c>
      <c r="I17">
        <v>226</v>
      </c>
    </row>
    <row r="18" spans="1:9">
      <c r="A18">
        <v>2010</v>
      </c>
      <c r="B18">
        <v>17</v>
      </c>
      <c r="C18" s="2">
        <v>40300</v>
      </c>
      <c r="D18" s="1" t="s">
        <v>444</v>
      </c>
      <c r="E18">
        <v>176</v>
      </c>
      <c r="F18">
        <v>185</v>
      </c>
      <c r="G18">
        <v>150</v>
      </c>
      <c r="H18">
        <v>221</v>
      </c>
    </row>
    <row r="19" spans="1:9">
      <c r="A19">
        <v>2010</v>
      </c>
      <c r="B19">
        <v>18</v>
      </c>
      <c r="C19" s="2">
        <v>40307</v>
      </c>
      <c r="D19" s="1" t="s">
        <v>444</v>
      </c>
      <c r="E19">
        <v>161</v>
      </c>
      <c r="F19">
        <v>185</v>
      </c>
      <c r="G19">
        <v>150</v>
      </c>
      <c r="H19">
        <v>220</v>
      </c>
    </row>
    <row r="20" spans="1:9">
      <c r="A20">
        <v>2010</v>
      </c>
      <c r="B20">
        <v>19</v>
      </c>
      <c r="C20" s="2">
        <v>40314</v>
      </c>
      <c r="D20" s="1" t="s">
        <v>444</v>
      </c>
      <c r="E20">
        <v>190</v>
      </c>
      <c r="F20">
        <v>184</v>
      </c>
      <c r="G20">
        <v>149</v>
      </c>
      <c r="H20">
        <v>219</v>
      </c>
    </row>
    <row r="21" spans="1:9">
      <c r="A21">
        <v>2010</v>
      </c>
      <c r="B21">
        <v>20</v>
      </c>
      <c r="C21" s="2">
        <v>40321</v>
      </c>
      <c r="D21" s="1" t="s">
        <v>444</v>
      </c>
      <c r="E21">
        <v>193</v>
      </c>
      <c r="F21">
        <v>183</v>
      </c>
      <c r="G21">
        <v>149</v>
      </c>
      <c r="H21">
        <v>218</v>
      </c>
    </row>
    <row r="22" spans="1:9">
      <c r="A22">
        <v>2010</v>
      </c>
      <c r="B22">
        <v>21</v>
      </c>
      <c r="C22" s="2">
        <v>40328</v>
      </c>
      <c r="D22" s="1" t="s">
        <v>444</v>
      </c>
      <c r="E22">
        <v>191</v>
      </c>
      <c r="F22">
        <v>183</v>
      </c>
      <c r="G22">
        <v>148</v>
      </c>
      <c r="H22">
        <v>218</v>
      </c>
    </row>
    <row r="23" spans="1:9">
      <c r="A23">
        <v>2010</v>
      </c>
      <c r="B23">
        <v>22</v>
      </c>
      <c r="C23" s="2">
        <v>40335</v>
      </c>
      <c r="D23" s="1" t="s">
        <v>444</v>
      </c>
      <c r="E23">
        <v>202</v>
      </c>
      <c r="F23">
        <v>182</v>
      </c>
      <c r="G23">
        <v>148</v>
      </c>
      <c r="H23">
        <v>217</v>
      </c>
    </row>
    <row r="24" spans="1:9">
      <c r="A24">
        <v>2010</v>
      </c>
      <c r="B24">
        <v>23</v>
      </c>
      <c r="C24" s="2">
        <v>40342</v>
      </c>
      <c r="D24" s="1" t="s">
        <v>444</v>
      </c>
      <c r="E24">
        <v>189</v>
      </c>
      <c r="F24">
        <v>182</v>
      </c>
      <c r="G24">
        <v>147</v>
      </c>
      <c r="H24">
        <v>217</v>
      </c>
    </row>
    <row r="25" spans="1:9">
      <c r="A25">
        <v>2010</v>
      </c>
      <c r="B25">
        <v>24</v>
      </c>
      <c r="C25" s="2">
        <v>40349</v>
      </c>
      <c r="D25" s="1" t="s">
        <v>444</v>
      </c>
      <c r="E25">
        <v>192</v>
      </c>
      <c r="F25">
        <v>182</v>
      </c>
      <c r="G25">
        <v>147</v>
      </c>
      <c r="H25">
        <v>217</v>
      </c>
    </row>
    <row r="26" spans="1:9">
      <c r="A26">
        <v>2010</v>
      </c>
      <c r="B26">
        <v>25</v>
      </c>
      <c r="C26" s="2">
        <v>40356</v>
      </c>
      <c r="D26" s="1" t="s">
        <v>444</v>
      </c>
      <c r="E26">
        <v>168</v>
      </c>
      <c r="F26">
        <v>182</v>
      </c>
      <c r="G26">
        <v>147</v>
      </c>
      <c r="H26">
        <v>216</v>
      </c>
    </row>
    <row r="27" spans="1:9">
      <c r="A27">
        <v>2010</v>
      </c>
      <c r="B27">
        <v>26</v>
      </c>
      <c r="C27" s="2">
        <v>40363</v>
      </c>
      <c r="D27" s="1" t="s">
        <v>444</v>
      </c>
      <c r="E27">
        <v>189</v>
      </c>
      <c r="F27">
        <v>181</v>
      </c>
      <c r="G27">
        <v>147</v>
      </c>
      <c r="H27">
        <v>216</v>
      </c>
    </row>
    <row r="28" spans="1:9">
      <c r="A28">
        <v>2010</v>
      </c>
      <c r="B28">
        <v>27</v>
      </c>
      <c r="C28" s="2">
        <v>40370</v>
      </c>
      <c r="D28" s="1" t="s">
        <v>444</v>
      </c>
      <c r="E28">
        <v>187</v>
      </c>
      <c r="F28">
        <v>181</v>
      </c>
      <c r="G28">
        <v>146</v>
      </c>
      <c r="H28">
        <v>216</v>
      </c>
    </row>
    <row r="29" spans="1:9">
      <c r="A29">
        <v>2010</v>
      </c>
      <c r="B29">
        <v>28</v>
      </c>
      <c r="C29" s="2">
        <v>40377</v>
      </c>
      <c r="D29" s="1" t="s">
        <v>444</v>
      </c>
      <c r="E29">
        <v>184</v>
      </c>
      <c r="F29">
        <v>181</v>
      </c>
      <c r="G29">
        <v>146</v>
      </c>
      <c r="H29">
        <v>216</v>
      </c>
    </row>
    <row r="30" spans="1:9">
      <c r="A30">
        <v>2010</v>
      </c>
      <c r="B30">
        <v>29</v>
      </c>
      <c r="C30" s="2">
        <v>40384</v>
      </c>
      <c r="D30" s="1" t="s">
        <v>444</v>
      </c>
      <c r="E30">
        <v>170</v>
      </c>
      <c r="F30">
        <v>181</v>
      </c>
      <c r="G30">
        <v>146</v>
      </c>
      <c r="H30">
        <v>216</v>
      </c>
    </row>
    <row r="31" spans="1:9">
      <c r="A31">
        <v>2010</v>
      </c>
      <c r="B31">
        <v>30</v>
      </c>
      <c r="C31" s="2">
        <v>40391</v>
      </c>
      <c r="D31" s="1" t="s">
        <v>444</v>
      </c>
      <c r="E31">
        <v>177</v>
      </c>
      <c r="F31">
        <v>181</v>
      </c>
      <c r="G31">
        <v>146</v>
      </c>
      <c r="H31">
        <v>216</v>
      </c>
    </row>
    <row r="32" spans="1:9">
      <c r="A32">
        <v>2010</v>
      </c>
      <c r="B32">
        <v>31</v>
      </c>
      <c r="C32" s="2">
        <v>40398</v>
      </c>
      <c r="D32" s="1" t="s">
        <v>444</v>
      </c>
      <c r="E32">
        <v>187</v>
      </c>
      <c r="F32">
        <v>181</v>
      </c>
      <c r="G32">
        <v>146</v>
      </c>
      <c r="H32">
        <v>216</v>
      </c>
    </row>
    <row r="33" spans="1:8">
      <c r="A33">
        <v>2010</v>
      </c>
      <c r="B33">
        <v>32</v>
      </c>
      <c r="C33" s="2">
        <v>40405</v>
      </c>
      <c r="D33" s="1" t="s">
        <v>444</v>
      </c>
      <c r="E33">
        <v>172</v>
      </c>
      <c r="F33">
        <v>181</v>
      </c>
      <c r="G33">
        <v>147</v>
      </c>
      <c r="H33">
        <v>216</v>
      </c>
    </row>
    <row r="34" spans="1:8">
      <c r="A34">
        <v>2010</v>
      </c>
      <c r="B34">
        <v>33</v>
      </c>
      <c r="C34" s="2">
        <v>40412</v>
      </c>
      <c r="D34" s="1" t="s">
        <v>444</v>
      </c>
      <c r="E34">
        <v>171</v>
      </c>
      <c r="F34">
        <v>181</v>
      </c>
      <c r="G34">
        <v>147</v>
      </c>
      <c r="H34">
        <v>216</v>
      </c>
    </row>
    <row r="35" spans="1:8">
      <c r="A35">
        <v>2010</v>
      </c>
      <c r="B35">
        <v>34</v>
      </c>
      <c r="C35" s="2">
        <v>40419</v>
      </c>
      <c r="D35" s="1" t="s">
        <v>444</v>
      </c>
      <c r="E35">
        <v>169</v>
      </c>
      <c r="F35">
        <v>182</v>
      </c>
      <c r="G35">
        <v>147</v>
      </c>
      <c r="H35">
        <v>216</v>
      </c>
    </row>
    <row r="36" spans="1:8">
      <c r="A36">
        <v>2010</v>
      </c>
      <c r="B36">
        <v>35</v>
      </c>
      <c r="C36" s="2">
        <v>40426</v>
      </c>
      <c r="D36" s="1" t="s">
        <v>444</v>
      </c>
      <c r="E36">
        <v>176</v>
      </c>
      <c r="F36">
        <v>182</v>
      </c>
      <c r="G36">
        <v>147</v>
      </c>
      <c r="H36">
        <v>216</v>
      </c>
    </row>
    <row r="37" spans="1:8">
      <c r="A37">
        <v>2010</v>
      </c>
      <c r="B37">
        <v>36</v>
      </c>
      <c r="C37" s="2">
        <v>40433</v>
      </c>
      <c r="D37" s="1" t="s">
        <v>444</v>
      </c>
      <c r="E37">
        <v>197</v>
      </c>
      <c r="F37">
        <v>182</v>
      </c>
      <c r="G37">
        <v>147</v>
      </c>
      <c r="H37">
        <v>217</v>
      </c>
    </row>
    <row r="38" spans="1:8">
      <c r="A38">
        <v>2010</v>
      </c>
      <c r="B38">
        <v>37</v>
      </c>
      <c r="C38" s="2">
        <v>40440</v>
      </c>
      <c r="D38" s="1" t="s">
        <v>444</v>
      </c>
      <c r="E38">
        <v>176</v>
      </c>
      <c r="F38">
        <v>182</v>
      </c>
      <c r="G38">
        <v>147</v>
      </c>
      <c r="H38">
        <v>217</v>
      </c>
    </row>
    <row r="39" spans="1:8">
      <c r="A39">
        <v>2010</v>
      </c>
      <c r="B39">
        <v>38</v>
      </c>
      <c r="C39" s="2">
        <v>40447</v>
      </c>
      <c r="D39" s="1" t="s">
        <v>444</v>
      </c>
      <c r="E39">
        <v>186</v>
      </c>
      <c r="F39">
        <v>182</v>
      </c>
      <c r="G39">
        <v>147</v>
      </c>
      <c r="H39">
        <v>217</v>
      </c>
    </row>
    <row r="40" spans="1:8">
      <c r="A40">
        <v>2010</v>
      </c>
      <c r="B40">
        <v>39</v>
      </c>
      <c r="C40" s="2">
        <v>40454</v>
      </c>
      <c r="D40" s="1" t="s">
        <v>444</v>
      </c>
      <c r="E40">
        <v>185</v>
      </c>
      <c r="F40">
        <v>182</v>
      </c>
      <c r="G40">
        <v>148</v>
      </c>
      <c r="H40">
        <v>217</v>
      </c>
    </row>
    <row r="41" spans="1:8">
      <c r="A41">
        <v>2010</v>
      </c>
      <c r="B41">
        <v>40</v>
      </c>
      <c r="C41" s="2">
        <v>40461</v>
      </c>
      <c r="D41" s="1" t="s">
        <v>444</v>
      </c>
      <c r="E41">
        <v>192</v>
      </c>
      <c r="F41">
        <v>183</v>
      </c>
      <c r="G41">
        <v>148</v>
      </c>
      <c r="H41">
        <v>217</v>
      </c>
    </row>
    <row r="42" spans="1:8">
      <c r="A42">
        <v>2010</v>
      </c>
      <c r="B42">
        <v>41</v>
      </c>
      <c r="C42" s="2">
        <v>40468</v>
      </c>
      <c r="D42" s="1" t="s">
        <v>444</v>
      </c>
      <c r="E42">
        <v>189</v>
      </c>
      <c r="F42">
        <v>183</v>
      </c>
      <c r="G42">
        <v>148</v>
      </c>
      <c r="H42">
        <v>218</v>
      </c>
    </row>
    <row r="43" spans="1:8">
      <c r="A43">
        <v>2010</v>
      </c>
      <c r="B43">
        <v>42</v>
      </c>
      <c r="C43" s="2">
        <v>40475</v>
      </c>
      <c r="D43" s="1" t="s">
        <v>444</v>
      </c>
      <c r="E43">
        <v>183</v>
      </c>
      <c r="F43">
        <v>183</v>
      </c>
      <c r="G43">
        <v>148</v>
      </c>
      <c r="H43">
        <v>218</v>
      </c>
    </row>
    <row r="44" spans="1:8">
      <c r="A44">
        <v>2010</v>
      </c>
      <c r="B44">
        <v>43</v>
      </c>
      <c r="C44" s="2">
        <v>40482</v>
      </c>
      <c r="D44" s="1" t="s">
        <v>444</v>
      </c>
      <c r="E44">
        <v>181</v>
      </c>
      <c r="F44">
        <v>183</v>
      </c>
      <c r="G44">
        <v>148</v>
      </c>
      <c r="H44">
        <v>218</v>
      </c>
    </row>
    <row r="45" spans="1:8">
      <c r="A45">
        <v>2010</v>
      </c>
      <c r="B45">
        <v>44</v>
      </c>
      <c r="C45" s="2">
        <v>40489</v>
      </c>
      <c r="D45" s="1" t="s">
        <v>444</v>
      </c>
      <c r="E45">
        <v>178</v>
      </c>
      <c r="F45">
        <v>183</v>
      </c>
      <c r="G45">
        <v>148</v>
      </c>
      <c r="H45">
        <v>218</v>
      </c>
    </row>
    <row r="46" spans="1:8">
      <c r="A46">
        <v>2010</v>
      </c>
      <c r="B46">
        <v>45</v>
      </c>
      <c r="C46" s="2">
        <v>40496</v>
      </c>
      <c r="D46" s="1" t="s">
        <v>444</v>
      </c>
      <c r="E46">
        <v>169</v>
      </c>
      <c r="F46">
        <v>183</v>
      </c>
      <c r="G46">
        <v>148</v>
      </c>
      <c r="H46">
        <v>218</v>
      </c>
    </row>
    <row r="47" spans="1:8">
      <c r="A47">
        <v>2010</v>
      </c>
      <c r="B47">
        <v>46</v>
      </c>
      <c r="C47" s="2">
        <v>40503</v>
      </c>
      <c r="D47" s="1" t="s">
        <v>444</v>
      </c>
      <c r="E47">
        <v>182</v>
      </c>
      <c r="F47">
        <v>183</v>
      </c>
      <c r="G47">
        <v>148</v>
      </c>
      <c r="H47">
        <v>218</v>
      </c>
    </row>
    <row r="48" spans="1:8">
      <c r="A48">
        <v>2010</v>
      </c>
      <c r="B48">
        <v>47</v>
      </c>
      <c r="C48" s="2">
        <v>40510</v>
      </c>
      <c r="D48" s="1" t="s">
        <v>444</v>
      </c>
      <c r="E48">
        <v>180</v>
      </c>
      <c r="F48">
        <v>183</v>
      </c>
      <c r="G48">
        <v>148</v>
      </c>
      <c r="H48">
        <v>218</v>
      </c>
    </row>
    <row r="49" spans="1:9">
      <c r="A49">
        <v>2010</v>
      </c>
      <c r="B49">
        <v>48</v>
      </c>
      <c r="C49" s="2">
        <v>40517</v>
      </c>
      <c r="D49" s="1" t="s">
        <v>444</v>
      </c>
      <c r="E49">
        <v>185</v>
      </c>
      <c r="F49">
        <v>183</v>
      </c>
      <c r="G49">
        <v>149</v>
      </c>
      <c r="H49">
        <v>218</v>
      </c>
    </row>
    <row r="50" spans="1:9">
      <c r="A50">
        <v>2010</v>
      </c>
      <c r="B50">
        <v>49</v>
      </c>
      <c r="C50" s="2">
        <v>40524</v>
      </c>
      <c r="D50" s="1" t="s">
        <v>444</v>
      </c>
      <c r="E50">
        <v>188</v>
      </c>
      <c r="F50">
        <v>184</v>
      </c>
      <c r="G50">
        <v>149</v>
      </c>
      <c r="H50">
        <v>218</v>
      </c>
    </row>
    <row r="51" spans="1:9">
      <c r="A51">
        <v>2010</v>
      </c>
      <c r="B51">
        <v>50</v>
      </c>
      <c r="C51" s="2">
        <v>40531</v>
      </c>
      <c r="D51" s="1" t="s">
        <v>444</v>
      </c>
      <c r="E51">
        <v>191</v>
      </c>
      <c r="F51">
        <v>184</v>
      </c>
      <c r="G51">
        <v>149</v>
      </c>
      <c r="H51">
        <v>219</v>
      </c>
    </row>
    <row r="52" spans="1:9">
      <c r="A52">
        <v>2010</v>
      </c>
      <c r="B52">
        <v>51</v>
      </c>
      <c r="C52" s="2">
        <v>40538</v>
      </c>
      <c r="D52" s="1" t="s">
        <v>444</v>
      </c>
      <c r="E52">
        <v>209</v>
      </c>
      <c r="F52">
        <v>184</v>
      </c>
      <c r="G52">
        <v>149</v>
      </c>
      <c r="H52">
        <v>219</v>
      </c>
    </row>
    <row r="53" spans="1:9">
      <c r="A53">
        <v>2010</v>
      </c>
      <c r="B53">
        <v>52</v>
      </c>
      <c r="C53" s="2">
        <v>40545</v>
      </c>
      <c r="D53" s="1" t="s">
        <v>444</v>
      </c>
      <c r="E53">
        <v>197</v>
      </c>
      <c r="F53">
        <v>184</v>
      </c>
      <c r="G53">
        <v>149</v>
      </c>
      <c r="H53">
        <v>219</v>
      </c>
    </row>
    <row r="54" spans="1:9">
      <c r="A54">
        <v>2010</v>
      </c>
      <c r="B54">
        <v>1</v>
      </c>
      <c r="C54" s="2">
        <v>40188</v>
      </c>
      <c r="D54" s="1" t="s">
        <v>445</v>
      </c>
      <c r="E54">
        <v>1100</v>
      </c>
      <c r="F54">
        <v>1156</v>
      </c>
      <c r="G54">
        <v>1068</v>
      </c>
      <c r="H54">
        <v>1243</v>
      </c>
    </row>
    <row r="55" spans="1:9">
      <c r="A55">
        <v>2010</v>
      </c>
      <c r="B55">
        <v>2</v>
      </c>
      <c r="C55" s="2">
        <v>40195</v>
      </c>
      <c r="D55" s="1" t="s">
        <v>445</v>
      </c>
      <c r="E55">
        <v>1071</v>
      </c>
      <c r="F55">
        <v>1149</v>
      </c>
      <c r="G55">
        <v>1061</v>
      </c>
      <c r="H55">
        <v>1236</v>
      </c>
    </row>
    <row r="56" spans="1:9">
      <c r="A56">
        <v>2010</v>
      </c>
      <c r="B56">
        <v>3</v>
      </c>
      <c r="C56" s="2">
        <v>40202</v>
      </c>
      <c r="D56" s="1" t="s">
        <v>445</v>
      </c>
      <c r="E56">
        <v>1005</v>
      </c>
      <c r="F56">
        <v>1141</v>
      </c>
      <c r="G56">
        <v>1054</v>
      </c>
      <c r="H56">
        <v>1228</v>
      </c>
    </row>
    <row r="57" spans="1:9">
      <c r="A57">
        <v>2010</v>
      </c>
      <c r="B57">
        <v>4</v>
      </c>
      <c r="C57" s="2">
        <v>40209</v>
      </c>
      <c r="D57" s="1" t="s">
        <v>445</v>
      </c>
      <c r="E57">
        <v>1039</v>
      </c>
      <c r="F57">
        <v>1133</v>
      </c>
      <c r="G57">
        <v>1047</v>
      </c>
      <c r="H57">
        <v>1220</v>
      </c>
    </row>
    <row r="58" spans="1:9">
      <c r="A58">
        <v>2010</v>
      </c>
      <c r="B58">
        <v>5</v>
      </c>
      <c r="C58" s="2">
        <v>40216</v>
      </c>
      <c r="D58" s="1" t="s">
        <v>445</v>
      </c>
      <c r="E58">
        <v>1110</v>
      </c>
      <c r="F58">
        <v>1125</v>
      </c>
      <c r="G58">
        <v>1039</v>
      </c>
      <c r="H58">
        <v>1211</v>
      </c>
    </row>
    <row r="59" spans="1:9">
      <c r="A59">
        <v>2010</v>
      </c>
      <c r="B59">
        <v>6</v>
      </c>
      <c r="C59" s="2">
        <v>40223</v>
      </c>
      <c r="D59" s="1" t="s">
        <v>445</v>
      </c>
      <c r="E59">
        <v>1057</v>
      </c>
      <c r="F59">
        <v>1117</v>
      </c>
      <c r="G59">
        <v>1031</v>
      </c>
      <c r="H59">
        <v>1203</v>
      </c>
    </row>
    <row r="60" spans="1:9">
      <c r="A60">
        <v>2010</v>
      </c>
      <c r="B60">
        <v>7</v>
      </c>
      <c r="C60" s="2">
        <v>40230</v>
      </c>
      <c r="D60" s="1" t="s">
        <v>445</v>
      </c>
      <c r="E60">
        <v>1203</v>
      </c>
      <c r="F60">
        <v>1109</v>
      </c>
      <c r="G60">
        <v>1023</v>
      </c>
      <c r="H60">
        <v>1194</v>
      </c>
      <c r="I60">
        <v>1203</v>
      </c>
    </row>
    <row r="61" spans="1:9">
      <c r="A61">
        <v>2010</v>
      </c>
      <c r="B61">
        <v>8</v>
      </c>
      <c r="C61" s="2">
        <v>40237</v>
      </c>
      <c r="D61" s="1" t="s">
        <v>445</v>
      </c>
      <c r="E61">
        <v>1131</v>
      </c>
      <c r="F61">
        <v>1095</v>
      </c>
      <c r="G61">
        <v>1010</v>
      </c>
      <c r="H61">
        <v>1180</v>
      </c>
    </row>
    <row r="62" spans="1:9">
      <c r="A62">
        <v>2010</v>
      </c>
      <c r="B62">
        <v>9</v>
      </c>
      <c r="C62" s="2">
        <v>40244</v>
      </c>
      <c r="D62" s="1" t="s">
        <v>445</v>
      </c>
      <c r="E62">
        <v>1119</v>
      </c>
      <c r="F62">
        <v>1082</v>
      </c>
      <c r="G62">
        <v>997</v>
      </c>
      <c r="H62">
        <v>1166</v>
      </c>
    </row>
    <row r="63" spans="1:9">
      <c r="A63">
        <v>2010</v>
      </c>
      <c r="B63">
        <v>10</v>
      </c>
      <c r="C63" s="2">
        <v>40251</v>
      </c>
      <c r="D63" s="1" t="s">
        <v>445</v>
      </c>
      <c r="E63">
        <v>1131</v>
      </c>
      <c r="F63">
        <v>1065</v>
      </c>
      <c r="G63">
        <v>981</v>
      </c>
      <c r="H63">
        <v>1149</v>
      </c>
    </row>
    <row r="64" spans="1:9">
      <c r="A64">
        <v>2010</v>
      </c>
      <c r="B64">
        <v>11</v>
      </c>
      <c r="C64" s="2">
        <v>40258</v>
      </c>
      <c r="D64" s="1" t="s">
        <v>445</v>
      </c>
      <c r="E64">
        <v>1114</v>
      </c>
      <c r="F64">
        <v>1049</v>
      </c>
      <c r="G64">
        <v>965</v>
      </c>
      <c r="H64">
        <v>1132</v>
      </c>
    </row>
    <row r="65" spans="1:8">
      <c r="A65">
        <v>2010</v>
      </c>
      <c r="B65">
        <v>12</v>
      </c>
      <c r="C65" s="2">
        <v>40265</v>
      </c>
      <c r="D65" s="1" t="s">
        <v>445</v>
      </c>
      <c r="E65">
        <v>1048</v>
      </c>
      <c r="F65">
        <v>1033</v>
      </c>
      <c r="G65">
        <v>950</v>
      </c>
      <c r="H65">
        <v>1115</v>
      </c>
    </row>
    <row r="66" spans="1:8">
      <c r="A66">
        <v>2010</v>
      </c>
      <c r="B66">
        <v>13</v>
      </c>
      <c r="C66" s="2">
        <v>40272</v>
      </c>
      <c r="D66" s="1" t="s">
        <v>445</v>
      </c>
      <c r="E66">
        <v>1049</v>
      </c>
      <c r="F66">
        <v>1017</v>
      </c>
      <c r="G66">
        <v>934</v>
      </c>
      <c r="H66">
        <v>1099</v>
      </c>
    </row>
    <row r="67" spans="1:8">
      <c r="A67">
        <v>2010</v>
      </c>
      <c r="B67">
        <v>14</v>
      </c>
      <c r="C67" s="2">
        <v>40279</v>
      </c>
      <c r="D67" s="1" t="s">
        <v>445</v>
      </c>
      <c r="E67">
        <v>970</v>
      </c>
      <c r="F67">
        <v>1002</v>
      </c>
      <c r="G67">
        <v>920</v>
      </c>
      <c r="H67">
        <v>1083</v>
      </c>
    </row>
    <row r="68" spans="1:8">
      <c r="A68">
        <v>2010</v>
      </c>
      <c r="B68">
        <v>15</v>
      </c>
      <c r="C68" s="2">
        <v>40286</v>
      </c>
      <c r="D68" s="1" t="s">
        <v>445</v>
      </c>
      <c r="E68">
        <v>987</v>
      </c>
      <c r="F68">
        <v>988</v>
      </c>
      <c r="G68">
        <v>907</v>
      </c>
      <c r="H68">
        <v>1069</v>
      </c>
    </row>
    <row r="69" spans="1:8">
      <c r="A69">
        <v>2010</v>
      </c>
      <c r="B69">
        <v>16</v>
      </c>
      <c r="C69" s="2">
        <v>40293</v>
      </c>
      <c r="D69" s="1" t="s">
        <v>445</v>
      </c>
      <c r="E69">
        <v>971</v>
      </c>
      <c r="F69">
        <v>975</v>
      </c>
      <c r="G69">
        <v>895</v>
      </c>
      <c r="H69">
        <v>1056</v>
      </c>
    </row>
    <row r="70" spans="1:8">
      <c r="A70">
        <v>2010</v>
      </c>
      <c r="B70">
        <v>17</v>
      </c>
      <c r="C70" s="2">
        <v>40300</v>
      </c>
      <c r="D70" s="1" t="s">
        <v>445</v>
      </c>
      <c r="E70">
        <v>964</v>
      </c>
      <c r="F70">
        <v>965</v>
      </c>
      <c r="G70">
        <v>885</v>
      </c>
      <c r="H70">
        <v>1045</v>
      </c>
    </row>
    <row r="71" spans="1:8">
      <c r="A71">
        <v>2010</v>
      </c>
      <c r="B71">
        <v>18</v>
      </c>
      <c r="C71" s="2">
        <v>40307</v>
      </c>
      <c r="D71" s="1" t="s">
        <v>445</v>
      </c>
      <c r="E71">
        <v>976</v>
      </c>
      <c r="F71">
        <v>954</v>
      </c>
      <c r="G71">
        <v>875</v>
      </c>
      <c r="H71">
        <v>1034</v>
      </c>
    </row>
    <row r="72" spans="1:8">
      <c r="A72">
        <v>2010</v>
      </c>
      <c r="B72">
        <v>19</v>
      </c>
      <c r="C72" s="2">
        <v>40314</v>
      </c>
      <c r="D72" s="1" t="s">
        <v>445</v>
      </c>
      <c r="E72">
        <v>974</v>
      </c>
      <c r="F72">
        <v>947</v>
      </c>
      <c r="G72">
        <v>868</v>
      </c>
      <c r="H72">
        <v>1026</v>
      </c>
    </row>
    <row r="73" spans="1:8">
      <c r="A73">
        <v>2010</v>
      </c>
      <c r="B73">
        <v>20</v>
      </c>
      <c r="C73" s="2">
        <v>40321</v>
      </c>
      <c r="D73" s="1" t="s">
        <v>445</v>
      </c>
      <c r="E73">
        <v>985</v>
      </c>
      <c r="F73">
        <v>939</v>
      </c>
      <c r="G73">
        <v>860</v>
      </c>
      <c r="H73">
        <v>1018</v>
      </c>
    </row>
    <row r="74" spans="1:8">
      <c r="A74">
        <v>2010</v>
      </c>
      <c r="B74">
        <v>21</v>
      </c>
      <c r="C74" s="2">
        <v>40328</v>
      </c>
      <c r="D74" s="1" t="s">
        <v>445</v>
      </c>
      <c r="E74">
        <v>961</v>
      </c>
      <c r="F74">
        <v>934</v>
      </c>
      <c r="G74">
        <v>855</v>
      </c>
      <c r="H74">
        <v>1013</v>
      </c>
    </row>
    <row r="75" spans="1:8">
      <c r="A75">
        <v>2010</v>
      </c>
      <c r="B75">
        <v>22</v>
      </c>
      <c r="C75" s="2">
        <v>40335</v>
      </c>
      <c r="D75" s="1" t="s">
        <v>445</v>
      </c>
      <c r="E75">
        <v>898</v>
      </c>
      <c r="F75">
        <v>930</v>
      </c>
      <c r="G75">
        <v>851</v>
      </c>
      <c r="H75">
        <v>1008</v>
      </c>
    </row>
    <row r="76" spans="1:8">
      <c r="A76">
        <v>2010</v>
      </c>
      <c r="B76">
        <v>23</v>
      </c>
      <c r="C76" s="2">
        <v>40342</v>
      </c>
      <c r="D76" s="1" t="s">
        <v>445</v>
      </c>
      <c r="E76">
        <v>946</v>
      </c>
      <c r="F76">
        <v>926</v>
      </c>
      <c r="G76">
        <v>847</v>
      </c>
      <c r="H76">
        <v>1004</v>
      </c>
    </row>
    <row r="77" spans="1:8">
      <c r="A77">
        <v>2010</v>
      </c>
      <c r="B77">
        <v>24</v>
      </c>
      <c r="C77" s="2">
        <v>40349</v>
      </c>
      <c r="D77" s="1" t="s">
        <v>445</v>
      </c>
      <c r="E77">
        <v>887</v>
      </c>
      <c r="F77">
        <v>922</v>
      </c>
      <c r="G77">
        <v>844</v>
      </c>
      <c r="H77">
        <v>1000</v>
      </c>
    </row>
    <row r="78" spans="1:8">
      <c r="A78">
        <v>2010</v>
      </c>
      <c r="B78">
        <v>25</v>
      </c>
      <c r="C78" s="2">
        <v>40356</v>
      </c>
      <c r="D78" s="1" t="s">
        <v>445</v>
      </c>
      <c r="E78">
        <v>907</v>
      </c>
      <c r="F78">
        <v>919</v>
      </c>
      <c r="G78">
        <v>841</v>
      </c>
      <c r="H78">
        <v>997</v>
      </c>
    </row>
    <row r="79" spans="1:8">
      <c r="A79">
        <v>2010</v>
      </c>
      <c r="B79">
        <v>26</v>
      </c>
      <c r="C79" s="2">
        <v>40363</v>
      </c>
      <c r="D79" s="1" t="s">
        <v>445</v>
      </c>
      <c r="E79">
        <v>956</v>
      </c>
      <c r="F79">
        <v>915</v>
      </c>
      <c r="G79">
        <v>837</v>
      </c>
      <c r="H79">
        <v>993</v>
      </c>
    </row>
    <row r="80" spans="1:8">
      <c r="A80">
        <v>2010</v>
      </c>
      <c r="B80">
        <v>27</v>
      </c>
      <c r="C80" s="2">
        <v>40370</v>
      </c>
      <c r="D80" s="1" t="s">
        <v>445</v>
      </c>
      <c r="E80">
        <v>918</v>
      </c>
      <c r="F80">
        <v>912</v>
      </c>
      <c r="G80">
        <v>835</v>
      </c>
      <c r="H80">
        <v>990</v>
      </c>
    </row>
    <row r="81" spans="1:9">
      <c r="A81">
        <v>2010</v>
      </c>
      <c r="B81">
        <v>28</v>
      </c>
      <c r="C81" s="2">
        <v>40377</v>
      </c>
      <c r="D81" s="1" t="s">
        <v>445</v>
      </c>
      <c r="E81">
        <v>936</v>
      </c>
      <c r="F81">
        <v>910</v>
      </c>
      <c r="G81">
        <v>832</v>
      </c>
      <c r="H81">
        <v>988</v>
      </c>
    </row>
    <row r="82" spans="1:9">
      <c r="A82">
        <v>2010</v>
      </c>
      <c r="B82">
        <v>29</v>
      </c>
      <c r="C82" s="2">
        <v>40384</v>
      </c>
      <c r="D82" s="1" t="s">
        <v>445</v>
      </c>
      <c r="E82">
        <v>870</v>
      </c>
      <c r="F82">
        <v>907</v>
      </c>
      <c r="G82">
        <v>830</v>
      </c>
      <c r="H82">
        <v>985</v>
      </c>
    </row>
    <row r="83" spans="1:9">
      <c r="A83">
        <v>2010</v>
      </c>
      <c r="B83">
        <v>30</v>
      </c>
      <c r="C83" s="2">
        <v>40391</v>
      </c>
      <c r="D83" s="1" t="s">
        <v>445</v>
      </c>
      <c r="E83">
        <v>922</v>
      </c>
      <c r="F83">
        <v>905</v>
      </c>
      <c r="G83">
        <v>827</v>
      </c>
      <c r="H83">
        <v>982</v>
      </c>
    </row>
    <row r="84" spans="1:9">
      <c r="A84">
        <v>2010</v>
      </c>
      <c r="B84">
        <v>31</v>
      </c>
      <c r="C84" s="2">
        <v>40398</v>
      </c>
      <c r="D84" s="1" t="s">
        <v>445</v>
      </c>
      <c r="E84">
        <v>914</v>
      </c>
      <c r="F84">
        <v>902</v>
      </c>
      <c r="G84">
        <v>825</v>
      </c>
      <c r="H84">
        <v>980</v>
      </c>
    </row>
    <row r="85" spans="1:9">
      <c r="A85">
        <v>2010</v>
      </c>
      <c r="B85">
        <v>32</v>
      </c>
      <c r="C85" s="2">
        <v>40405</v>
      </c>
      <c r="D85" s="1" t="s">
        <v>445</v>
      </c>
      <c r="E85">
        <v>911</v>
      </c>
      <c r="F85">
        <v>903</v>
      </c>
      <c r="G85">
        <v>826</v>
      </c>
      <c r="H85">
        <v>981</v>
      </c>
    </row>
    <row r="86" spans="1:9">
      <c r="A86">
        <v>2010</v>
      </c>
      <c r="B86">
        <v>33</v>
      </c>
      <c r="C86" s="2">
        <v>40412</v>
      </c>
      <c r="D86" s="1" t="s">
        <v>445</v>
      </c>
      <c r="E86">
        <v>882</v>
      </c>
      <c r="F86">
        <v>904</v>
      </c>
      <c r="G86">
        <v>827</v>
      </c>
      <c r="H86">
        <v>982</v>
      </c>
    </row>
    <row r="87" spans="1:9">
      <c r="A87">
        <v>2010</v>
      </c>
      <c r="B87">
        <v>34</v>
      </c>
      <c r="C87" s="2">
        <v>40419</v>
      </c>
      <c r="D87" s="1" t="s">
        <v>445</v>
      </c>
      <c r="E87">
        <v>938</v>
      </c>
      <c r="F87">
        <v>909</v>
      </c>
      <c r="G87">
        <v>831</v>
      </c>
      <c r="H87">
        <v>987</v>
      </c>
    </row>
    <row r="88" spans="1:9">
      <c r="A88">
        <v>2010</v>
      </c>
      <c r="B88">
        <v>35</v>
      </c>
      <c r="C88" s="2">
        <v>40426</v>
      </c>
      <c r="D88" s="1" t="s">
        <v>445</v>
      </c>
      <c r="E88">
        <v>938</v>
      </c>
      <c r="F88">
        <v>915</v>
      </c>
      <c r="G88">
        <v>837</v>
      </c>
      <c r="H88">
        <v>993</v>
      </c>
    </row>
    <row r="89" spans="1:9">
      <c r="A89">
        <v>2010</v>
      </c>
      <c r="B89">
        <v>36</v>
      </c>
      <c r="C89" s="2">
        <v>40433</v>
      </c>
      <c r="D89" s="1" t="s">
        <v>445</v>
      </c>
      <c r="E89">
        <v>993</v>
      </c>
      <c r="F89">
        <v>920</v>
      </c>
      <c r="G89">
        <v>842</v>
      </c>
      <c r="H89">
        <v>999</v>
      </c>
    </row>
    <row r="90" spans="1:9">
      <c r="A90">
        <v>2010</v>
      </c>
      <c r="B90">
        <v>37</v>
      </c>
      <c r="C90" s="2">
        <v>40440</v>
      </c>
      <c r="D90" s="1" t="s">
        <v>445</v>
      </c>
      <c r="E90">
        <v>945</v>
      </c>
      <c r="F90">
        <v>927</v>
      </c>
      <c r="G90">
        <v>849</v>
      </c>
      <c r="H90">
        <v>1005</v>
      </c>
    </row>
    <row r="91" spans="1:9">
      <c r="A91">
        <v>2010</v>
      </c>
      <c r="B91">
        <v>38</v>
      </c>
      <c r="C91" s="2">
        <v>40447</v>
      </c>
      <c r="D91" s="1" t="s">
        <v>445</v>
      </c>
      <c r="E91">
        <v>996</v>
      </c>
      <c r="F91">
        <v>934</v>
      </c>
      <c r="G91">
        <v>856</v>
      </c>
      <c r="H91">
        <v>1013</v>
      </c>
    </row>
    <row r="92" spans="1:9">
      <c r="A92">
        <v>2010</v>
      </c>
      <c r="B92">
        <v>39</v>
      </c>
      <c r="C92" s="2">
        <v>40454</v>
      </c>
      <c r="D92" s="1" t="s">
        <v>445</v>
      </c>
      <c r="E92">
        <v>1035</v>
      </c>
      <c r="F92">
        <v>942</v>
      </c>
      <c r="G92">
        <v>863</v>
      </c>
      <c r="H92">
        <v>1021</v>
      </c>
      <c r="I92">
        <v>1035</v>
      </c>
    </row>
    <row r="93" spans="1:9">
      <c r="A93">
        <v>2010</v>
      </c>
      <c r="B93">
        <v>40</v>
      </c>
      <c r="C93" s="2">
        <v>40461</v>
      </c>
      <c r="D93" s="1" t="s">
        <v>445</v>
      </c>
      <c r="E93">
        <v>1018</v>
      </c>
      <c r="F93">
        <v>950</v>
      </c>
      <c r="G93">
        <v>871</v>
      </c>
      <c r="H93">
        <v>1029</v>
      </c>
    </row>
    <row r="94" spans="1:9">
      <c r="A94">
        <v>2010</v>
      </c>
      <c r="B94">
        <v>41</v>
      </c>
      <c r="C94" s="2">
        <v>40468</v>
      </c>
      <c r="D94" s="1" t="s">
        <v>445</v>
      </c>
      <c r="E94">
        <v>1060</v>
      </c>
      <c r="F94">
        <v>959</v>
      </c>
      <c r="G94">
        <v>879</v>
      </c>
      <c r="H94">
        <v>1038</v>
      </c>
      <c r="I94">
        <v>1060</v>
      </c>
    </row>
    <row r="95" spans="1:9">
      <c r="A95">
        <v>2010</v>
      </c>
      <c r="B95">
        <v>42</v>
      </c>
      <c r="C95" s="2">
        <v>40475</v>
      </c>
      <c r="D95" s="1" t="s">
        <v>445</v>
      </c>
      <c r="E95">
        <v>976</v>
      </c>
      <c r="F95">
        <v>967</v>
      </c>
      <c r="G95">
        <v>887</v>
      </c>
      <c r="H95">
        <v>1048</v>
      </c>
    </row>
    <row r="96" spans="1:9">
      <c r="A96">
        <v>2010</v>
      </c>
      <c r="B96">
        <v>43</v>
      </c>
      <c r="C96" s="2">
        <v>40482</v>
      </c>
      <c r="D96" s="1" t="s">
        <v>445</v>
      </c>
      <c r="E96">
        <v>1036</v>
      </c>
      <c r="F96">
        <v>978</v>
      </c>
      <c r="G96">
        <v>897</v>
      </c>
      <c r="H96">
        <v>1058</v>
      </c>
    </row>
    <row r="97" spans="1:8">
      <c r="A97">
        <v>2010</v>
      </c>
      <c r="B97">
        <v>44</v>
      </c>
      <c r="C97" s="2">
        <v>40489</v>
      </c>
      <c r="D97" s="1" t="s">
        <v>445</v>
      </c>
      <c r="E97">
        <v>1059</v>
      </c>
      <c r="F97">
        <v>988</v>
      </c>
      <c r="G97">
        <v>907</v>
      </c>
      <c r="H97">
        <v>1069</v>
      </c>
    </row>
    <row r="98" spans="1:8">
      <c r="A98">
        <v>2010</v>
      </c>
      <c r="B98">
        <v>45</v>
      </c>
      <c r="C98" s="2">
        <v>40496</v>
      </c>
      <c r="D98" s="1" t="s">
        <v>445</v>
      </c>
      <c r="E98">
        <v>1054</v>
      </c>
      <c r="F98">
        <v>999</v>
      </c>
      <c r="G98">
        <v>918</v>
      </c>
      <c r="H98">
        <v>1081</v>
      </c>
    </row>
    <row r="99" spans="1:8">
      <c r="A99">
        <v>2010</v>
      </c>
      <c r="B99">
        <v>46</v>
      </c>
      <c r="C99" s="2">
        <v>40503</v>
      </c>
      <c r="D99" s="1" t="s">
        <v>445</v>
      </c>
      <c r="E99">
        <v>993</v>
      </c>
      <c r="F99">
        <v>1011</v>
      </c>
      <c r="G99">
        <v>929</v>
      </c>
      <c r="H99">
        <v>1093</v>
      </c>
    </row>
    <row r="100" spans="1:8">
      <c r="A100">
        <v>2010</v>
      </c>
      <c r="B100">
        <v>47</v>
      </c>
      <c r="C100" s="2">
        <v>40510</v>
      </c>
      <c r="D100" s="1" t="s">
        <v>445</v>
      </c>
      <c r="E100">
        <v>1017</v>
      </c>
      <c r="F100">
        <v>1025</v>
      </c>
      <c r="G100">
        <v>943</v>
      </c>
      <c r="H100">
        <v>1108</v>
      </c>
    </row>
    <row r="101" spans="1:8">
      <c r="A101">
        <v>2010</v>
      </c>
      <c r="B101">
        <v>48</v>
      </c>
      <c r="C101" s="2">
        <v>40517</v>
      </c>
      <c r="D101" s="1" t="s">
        <v>445</v>
      </c>
      <c r="E101">
        <v>1030</v>
      </c>
      <c r="F101">
        <v>1041</v>
      </c>
      <c r="G101">
        <v>958</v>
      </c>
      <c r="H101">
        <v>1124</v>
      </c>
    </row>
    <row r="102" spans="1:8">
      <c r="A102">
        <v>2010</v>
      </c>
      <c r="B102">
        <v>49</v>
      </c>
      <c r="C102" s="2">
        <v>40524</v>
      </c>
      <c r="D102" s="1" t="s">
        <v>445</v>
      </c>
      <c r="E102">
        <v>1085</v>
      </c>
      <c r="F102">
        <v>1057</v>
      </c>
      <c r="G102">
        <v>974</v>
      </c>
      <c r="H102">
        <v>1141</v>
      </c>
    </row>
    <row r="103" spans="1:8">
      <c r="A103">
        <v>2010</v>
      </c>
      <c r="B103">
        <v>50</v>
      </c>
      <c r="C103" s="2">
        <v>40531</v>
      </c>
      <c r="D103" s="1" t="s">
        <v>445</v>
      </c>
      <c r="E103">
        <v>1092</v>
      </c>
      <c r="F103">
        <v>1073</v>
      </c>
      <c r="G103">
        <v>989</v>
      </c>
      <c r="H103">
        <v>1158</v>
      </c>
    </row>
    <row r="104" spans="1:8">
      <c r="A104">
        <v>2010</v>
      </c>
      <c r="B104">
        <v>51</v>
      </c>
      <c r="C104" s="2">
        <v>40538</v>
      </c>
      <c r="D104" s="1" t="s">
        <v>445</v>
      </c>
      <c r="E104">
        <v>1060</v>
      </c>
      <c r="F104">
        <v>1089</v>
      </c>
      <c r="G104">
        <v>1004</v>
      </c>
      <c r="H104">
        <v>1174</v>
      </c>
    </row>
    <row r="105" spans="1:8">
      <c r="A105">
        <v>2010</v>
      </c>
      <c r="B105">
        <v>52</v>
      </c>
      <c r="C105" s="2">
        <v>40545</v>
      </c>
      <c r="D105" s="1" t="s">
        <v>445</v>
      </c>
      <c r="E105">
        <v>1122</v>
      </c>
      <c r="F105">
        <v>1105</v>
      </c>
      <c r="G105">
        <v>1019</v>
      </c>
      <c r="H105">
        <v>1190</v>
      </c>
    </row>
    <row r="106" spans="1:8">
      <c r="A106">
        <v>2011</v>
      </c>
      <c r="B106">
        <v>1</v>
      </c>
      <c r="C106" s="2">
        <v>40552</v>
      </c>
      <c r="D106" s="1" t="s">
        <v>444</v>
      </c>
      <c r="E106">
        <v>199</v>
      </c>
      <c r="F106">
        <v>193</v>
      </c>
      <c r="G106">
        <v>157</v>
      </c>
      <c r="H106">
        <v>229</v>
      </c>
    </row>
    <row r="107" spans="1:8">
      <c r="A107">
        <v>2011</v>
      </c>
      <c r="B107">
        <v>2</v>
      </c>
      <c r="C107" s="2">
        <v>40559</v>
      </c>
      <c r="D107" s="1" t="s">
        <v>444</v>
      </c>
      <c r="E107">
        <v>172</v>
      </c>
      <c r="F107">
        <v>193</v>
      </c>
      <c r="G107">
        <v>157</v>
      </c>
      <c r="H107">
        <v>228</v>
      </c>
    </row>
    <row r="108" spans="1:8">
      <c r="A108">
        <v>2011</v>
      </c>
      <c r="B108">
        <v>3</v>
      </c>
      <c r="C108" s="2">
        <v>40566</v>
      </c>
      <c r="D108" s="1" t="s">
        <v>444</v>
      </c>
      <c r="E108">
        <v>213</v>
      </c>
      <c r="F108">
        <v>192</v>
      </c>
      <c r="G108">
        <v>156</v>
      </c>
      <c r="H108">
        <v>228</v>
      </c>
    </row>
    <row r="109" spans="1:8">
      <c r="A109">
        <v>2011</v>
      </c>
      <c r="B109">
        <v>4</v>
      </c>
      <c r="C109" s="2">
        <v>40573</v>
      </c>
      <c r="D109" s="1" t="s">
        <v>444</v>
      </c>
      <c r="E109">
        <v>188</v>
      </c>
      <c r="F109">
        <v>191</v>
      </c>
      <c r="G109">
        <v>156</v>
      </c>
      <c r="H109">
        <v>227</v>
      </c>
    </row>
    <row r="110" spans="1:8">
      <c r="A110">
        <v>2011</v>
      </c>
      <c r="B110">
        <v>5</v>
      </c>
      <c r="C110" s="2">
        <v>40580</v>
      </c>
      <c r="D110" s="1" t="s">
        <v>444</v>
      </c>
      <c r="E110">
        <v>219</v>
      </c>
      <c r="F110">
        <v>191</v>
      </c>
      <c r="G110">
        <v>155</v>
      </c>
      <c r="H110">
        <v>226</v>
      </c>
    </row>
    <row r="111" spans="1:8">
      <c r="A111">
        <v>2011</v>
      </c>
      <c r="B111">
        <v>6</v>
      </c>
      <c r="C111" s="2">
        <v>40587</v>
      </c>
      <c r="D111" s="1" t="s">
        <v>444</v>
      </c>
      <c r="E111">
        <v>188</v>
      </c>
      <c r="F111">
        <v>190</v>
      </c>
      <c r="G111">
        <v>155</v>
      </c>
      <c r="H111">
        <v>226</v>
      </c>
    </row>
    <row r="112" spans="1:8">
      <c r="A112">
        <v>2011</v>
      </c>
      <c r="B112">
        <v>7</v>
      </c>
      <c r="C112" s="2">
        <v>40594</v>
      </c>
      <c r="D112" s="1" t="s">
        <v>444</v>
      </c>
      <c r="E112">
        <v>167</v>
      </c>
      <c r="F112">
        <v>190</v>
      </c>
      <c r="G112">
        <v>154</v>
      </c>
      <c r="H112">
        <v>225</v>
      </c>
    </row>
    <row r="113" spans="1:8">
      <c r="A113">
        <v>2011</v>
      </c>
      <c r="B113">
        <v>8</v>
      </c>
      <c r="C113" s="2">
        <v>40601</v>
      </c>
      <c r="D113" s="1" t="s">
        <v>444</v>
      </c>
      <c r="E113">
        <v>199</v>
      </c>
      <c r="F113">
        <v>189</v>
      </c>
      <c r="G113">
        <v>154</v>
      </c>
      <c r="H113">
        <v>225</v>
      </c>
    </row>
    <row r="114" spans="1:8">
      <c r="A114">
        <v>2011</v>
      </c>
      <c r="B114">
        <v>9</v>
      </c>
      <c r="C114" s="2">
        <v>40608</v>
      </c>
      <c r="D114" s="1" t="s">
        <v>444</v>
      </c>
      <c r="E114">
        <v>196</v>
      </c>
      <c r="F114">
        <v>189</v>
      </c>
      <c r="G114">
        <v>153</v>
      </c>
      <c r="H114">
        <v>224</v>
      </c>
    </row>
    <row r="115" spans="1:8">
      <c r="A115">
        <v>2011</v>
      </c>
      <c r="B115">
        <v>10</v>
      </c>
      <c r="C115" s="2">
        <v>40615</v>
      </c>
      <c r="D115" s="1" t="s">
        <v>444</v>
      </c>
      <c r="E115">
        <v>174</v>
      </c>
      <c r="F115">
        <v>188</v>
      </c>
      <c r="G115">
        <v>153</v>
      </c>
      <c r="H115">
        <v>223</v>
      </c>
    </row>
    <row r="116" spans="1:8">
      <c r="A116">
        <v>2011</v>
      </c>
      <c r="B116">
        <v>11</v>
      </c>
      <c r="C116" s="2">
        <v>40622</v>
      </c>
      <c r="D116" s="1" t="s">
        <v>444</v>
      </c>
      <c r="E116">
        <v>180</v>
      </c>
      <c r="F116">
        <v>187</v>
      </c>
      <c r="G116">
        <v>152</v>
      </c>
      <c r="H116">
        <v>223</v>
      </c>
    </row>
    <row r="117" spans="1:8">
      <c r="A117">
        <v>2011</v>
      </c>
      <c r="B117">
        <v>12</v>
      </c>
      <c r="C117" s="2">
        <v>40629</v>
      </c>
      <c r="D117" s="1" t="s">
        <v>444</v>
      </c>
      <c r="E117">
        <v>165</v>
      </c>
      <c r="F117">
        <v>187</v>
      </c>
      <c r="G117">
        <v>152</v>
      </c>
      <c r="H117">
        <v>222</v>
      </c>
    </row>
    <row r="118" spans="1:8">
      <c r="A118">
        <v>2011</v>
      </c>
      <c r="B118">
        <v>13</v>
      </c>
      <c r="C118" s="2">
        <v>40636</v>
      </c>
      <c r="D118" s="1" t="s">
        <v>444</v>
      </c>
      <c r="E118">
        <v>192</v>
      </c>
      <c r="F118">
        <v>186</v>
      </c>
      <c r="G118">
        <v>151</v>
      </c>
      <c r="H118">
        <v>221</v>
      </c>
    </row>
    <row r="119" spans="1:8">
      <c r="A119">
        <v>2011</v>
      </c>
      <c r="B119">
        <v>14</v>
      </c>
      <c r="C119" s="2">
        <v>40643</v>
      </c>
      <c r="D119" s="1" t="s">
        <v>444</v>
      </c>
      <c r="E119">
        <v>170</v>
      </c>
      <c r="F119">
        <v>186</v>
      </c>
      <c r="G119">
        <v>151</v>
      </c>
      <c r="H119">
        <v>221</v>
      </c>
    </row>
    <row r="120" spans="1:8">
      <c r="A120">
        <v>2011</v>
      </c>
      <c r="B120">
        <v>15</v>
      </c>
      <c r="C120" s="2">
        <v>40650</v>
      </c>
      <c r="D120" s="1" t="s">
        <v>444</v>
      </c>
      <c r="E120">
        <v>173</v>
      </c>
      <c r="F120">
        <v>185</v>
      </c>
      <c r="G120">
        <v>150</v>
      </c>
      <c r="H120">
        <v>220</v>
      </c>
    </row>
    <row r="121" spans="1:8">
      <c r="A121">
        <v>2011</v>
      </c>
      <c r="B121">
        <v>16</v>
      </c>
      <c r="C121" s="2">
        <v>40657</v>
      </c>
      <c r="D121" s="1" t="s">
        <v>444</v>
      </c>
      <c r="E121">
        <v>164</v>
      </c>
      <c r="F121">
        <v>184</v>
      </c>
      <c r="G121">
        <v>149</v>
      </c>
      <c r="H121">
        <v>219</v>
      </c>
    </row>
    <row r="122" spans="1:8">
      <c r="A122">
        <v>2011</v>
      </c>
      <c r="B122">
        <v>17</v>
      </c>
      <c r="C122" s="2">
        <v>40664</v>
      </c>
      <c r="D122" s="1" t="s">
        <v>444</v>
      </c>
      <c r="E122">
        <v>166</v>
      </c>
      <c r="F122">
        <v>184</v>
      </c>
      <c r="G122">
        <v>149</v>
      </c>
      <c r="H122">
        <v>219</v>
      </c>
    </row>
    <row r="123" spans="1:8">
      <c r="A123">
        <v>2011</v>
      </c>
      <c r="B123">
        <v>18</v>
      </c>
      <c r="C123" s="2">
        <v>40671</v>
      </c>
      <c r="D123" s="1" t="s">
        <v>444</v>
      </c>
      <c r="E123">
        <v>180</v>
      </c>
      <c r="F123">
        <v>183</v>
      </c>
      <c r="G123">
        <v>148</v>
      </c>
      <c r="H123">
        <v>218</v>
      </c>
    </row>
    <row r="124" spans="1:8">
      <c r="A124">
        <v>2011</v>
      </c>
      <c r="B124">
        <v>19</v>
      </c>
      <c r="C124" s="2">
        <v>40678</v>
      </c>
      <c r="D124" s="1" t="s">
        <v>444</v>
      </c>
      <c r="E124">
        <v>182</v>
      </c>
      <c r="F124">
        <v>182</v>
      </c>
      <c r="G124">
        <v>148</v>
      </c>
      <c r="H124">
        <v>217</v>
      </c>
    </row>
    <row r="125" spans="1:8">
      <c r="A125">
        <v>2011</v>
      </c>
      <c r="B125">
        <v>20</v>
      </c>
      <c r="C125" s="2">
        <v>40685</v>
      </c>
      <c r="D125" s="1" t="s">
        <v>444</v>
      </c>
      <c r="E125">
        <v>187</v>
      </c>
      <c r="F125">
        <v>181</v>
      </c>
      <c r="G125">
        <v>147</v>
      </c>
      <c r="H125">
        <v>216</v>
      </c>
    </row>
    <row r="126" spans="1:8">
      <c r="A126">
        <v>2011</v>
      </c>
      <c r="B126">
        <v>21</v>
      </c>
      <c r="C126" s="2">
        <v>40692</v>
      </c>
      <c r="D126" s="1" t="s">
        <v>444</v>
      </c>
      <c r="E126">
        <v>175</v>
      </c>
      <c r="F126">
        <v>181</v>
      </c>
      <c r="G126">
        <v>146</v>
      </c>
      <c r="H126">
        <v>215</v>
      </c>
    </row>
    <row r="127" spans="1:8">
      <c r="A127">
        <v>2011</v>
      </c>
      <c r="B127">
        <v>22</v>
      </c>
      <c r="C127" s="2">
        <v>40699</v>
      </c>
      <c r="D127" s="1" t="s">
        <v>444</v>
      </c>
      <c r="E127">
        <v>178</v>
      </c>
      <c r="F127">
        <v>180</v>
      </c>
      <c r="G127">
        <v>146</v>
      </c>
      <c r="H127">
        <v>215</v>
      </c>
    </row>
    <row r="128" spans="1:8">
      <c r="A128">
        <v>2011</v>
      </c>
      <c r="B128">
        <v>23</v>
      </c>
      <c r="C128" s="2">
        <v>40706</v>
      </c>
      <c r="D128" s="1" t="s">
        <v>444</v>
      </c>
      <c r="E128">
        <v>160</v>
      </c>
      <c r="F128">
        <v>180</v>
      </c>
      <c r="G128">
        <v>145</v>
      </c>
      <c r="H128">
        <v>214</v>
      </c>
    </row>
    <row r="129" spans="1:8">
      <c r="A129">
        <v>2011</v>
      </c>
      <c r="B129">
        <v>24</v>
      </c>
      <c r="C129" s="2">
        <v>40713</v>
      </c>
      <c r="D129" s="1" t="s">
        <v>444</v>
      </c>
      <c r="E129">
        <v>170</v>
      </c>
      <c r="F129">
        <v>179</v>
      </c>
      <c r="G129">
        <v>145</v>
      </c>
      <c r="H129">
        <v>214</v>
      </c>
    </row>
    <row r="130" spans="1:8">
      <c r="A130">
        <v>2011</v>
      </c>
      <c r="B130">
        <v>25</v>
      </c>
      <c r="C130" s="2">
        <v>40720</v>
      </c>
      <c r="D130" s="1" t="s">
        <v>444</v>
      </c>
      <c r="E130">
        <v>170</v>
      </c>
      <c r="F130">
        <v>179</v>
      </c>
      <c r="G130">
        <v>145</v>
      </c>
      <c r="H130">
        <v>213</v>
      </c>
    </row>
    <row r="131" spans="1:8">
      <c r="A131">
        <v>2011</v>
      </c>
      <c r="B131">
        <v>26</v>
      </c>
      <c r="C131" s="2">
        <v>40727</v>
      </c>
      <c r="D131" s="1" t="s">
        <v>444</v>
      </c>
      <c r="E131">
        <v>186</v>
      </c>
      <c r="F131">
        <v>179</v>
      </c>
      <c r="G131">
        <v>144</v>
      </c>
      <c r="H131">
        <v>213</v>
      </c>
    </row>
    <row r="132" spans="1:8">
      <c r="A132">
        <v>2011</v>
      </c>
      <c r="B132">
        <v>27</v>
      </c>
      <c r="C132" s="2">
        <v>40734</v>
      </c>
      <c r="D132" s="1" t="s">
        <v>444</v>
      </c>
      <c r="E132">
        <v>172</v>
      </c>
      <c r="F132">
        <v>178</v>
      </c>
      <c r="G132">
        <v>144</v>
      </c>
      <c r="H132">
        <v>213</v>
      </c>
    </row>
    <row r="133" spans="1:8">
      <c r="A133">
        <v>2011</v>
      </c>
      <c r="B133">
        <v>28</v>
      </c>
      <c r="C133" s="2">
        <v>40741</v>
      </c>
      <c r="D133" s="1" t="s">
        <v>444</v>
      </c>
      <c r="E133">
        <v>172</v>
      </c>
      <c r="F133">
        <v>178</v>
      </c>
      <c r="G133">
        <v>144</v>
      </c>
      <c r="H133">
        <v>213</v>
      </c>
    </row>
    <row r="134" spans="1:8">
      <c r="A134">
        <v>2011</v>
      </c>
      <c r="B134">
        <v>29</v>
      </c>
      <c r="C134" s="2">
        <v>40748</v>
      </c>
      <c r="D134" s="1" t="s">
        <v>444</v>
      </c>
      <c r="E134">
        <v>179</v>
      </c>
      <c r="F134">
        <v>178</v>
      </c>
      <c r="G134">
        <v>144</v>
      </c>
      <c r="H134">
        <v>212</v>
      </c>
    </row>
    <row r="135" spans="1:8">
      <c r="A135">
        <v>2011</v>
      </c>
      <c r="B135">
        <v>30</v>
      </c>
      <c r="C135" s="2">
        <v>40755</v>
      </c>
      <c r="D135" s="1" t="s">
        <v>444</v>
      </c>
      <c r="E135">
        <v>157</v>
      </c>
      <c r="F135">
        <v>178</v>
      </c>
      <c r="G135">
        <v>144</v>
      </c>
      <c r="H135">
        <v>212</v>
      </c>
    </row>
    <row r="136" spans="1:8">
      <c r="A136">
        <v>2011</v>
      </c>
      <c r="B136">
        <v>31</v>
      </c>
      <c r="C136" s="2">
        <v>40762</v>
      </c>
      <c r="D136" s="1" t="s">
        <v>444</v>
      </c>
      <c r="E136">
        <v>154</v>
      </c>
      <c r="F136">
        <v>178</v>
      </c>
      <c r="G136">
        <v>144</v>
      </c>
      <c r="H136">
        <v>212</v>
      </c>
    </row>
    <row r="137" spans="1:8">
      <c r="A137">
        <v>2011</v>
      </c>
      <c r="B137">
        <v>32</v>
      </c>
      <c r="C137" s="2">
        <v>40769</v>
      </c>
      <c r="D137" s="1" t="s">
        <v>444</v>
      </c>
      <c r="E137">
        <v>191</v>
      </c>
      <c r="F137">
        <v>178</v>
      </c>
      <c r="G137">
        <v>144</v>
      </c>
      <c r="H137">
        <v>212</v>
      </c>
    </row>
    <row r="138" spans="1:8">
      <c r="A138">
        <v>2011</v>
      </c>
      <c r="B138">
        <v>33</v>
      </c>
      <c r="C138" s="2">
        <v>40776</v>
      </c>
      <c r="D138" s="1" t="s">
        <v>444</v>
      </c>
      <c r="E138">
        <v>182</v>
      </c>
      <c r="F138">
        <v>178</v>
      </c>
      <c r="G138">
        <v>144</v>
      </c>
      <c r="H138">
        <v>212</v>
      </c>
    </row>
    <row r="139" spans="1:8">
      <c r="A139">
        <v>2011</v>
      </c>
      <c r="B139">
        <v>34</v>
      </c>
      <c r="C139" s="2">
        <v>40783</v>
      </c>
      <c r="D139" s="1" t="s">
        <v>444</v>
      </c>
      <c r="E139">
        <v>181</v>
      </c>
      <c r="F139">
        <v>178</v>
      </c>
      <c r="G139">
        <v>144</v>
      </c>
      <c r="H139">
        <v>212</v>
      </c>
    </row>
    <row r="140" spans="1:8">
      <c r="A140">
        <v>2011</v>
      </c>
      <c r="B140">
        <v>35</v>
      </c>
      <c r="C140" s="2">
        <v>40790</v>
      </c>
      <c r="D140" s="1" t="s">
        <v>444</v>
      </c>
      <c r="E140">
        <v>192</v>
      </c>
      <c r="F140">
        <v>178</v>
      </c>
      <c r="G140">
        <v>144</v>
      </c>
      <c r="H140">
        <v>213</v>
      </c>
    </row>
    <row r="141" spans="1:8">
      <c r="A141">
        <v>2011</v>
      </c>
      <c r="B141">
        <v>36</v>
      </c>
      <c r="C141" s="2">
        <v>40797</v>
      </c>
      <c r="D141" s="1" t="s">
        <v>444</v>
      </c>
      <c r="E141">
        <v>181</v>
      </c>
      <c r="F141">
        <v>179</v>
      </c>
      <c r="G141">
        <v>144</v>
      </c>
      <c r="H141">
        <v>213</v>
      </c>
    </row>
    <row r="142" spans="1:8">
      <c r="A142">
        <v>2011</v>
      </c>
      <c r="B142">
        <v>37</v>
      </c>
      <c r="C142" s="2">
        <v>40804</v>
      </c>
      <c r="D142" s="1" t="s">
        <v>444</v>
      </c>
      <c r="E142">
        <v>161</v>
      </c>
      <c r="F142">
        <v>179</v>
      </c>
      <c r="G142">
        <v>144</v>
      </c>
      <c r="H142">
        <v>213</v>
      </c>
    </row>
    <row r="143" spans="1:8">
      <c r="A143">
        <v>2011</v>
      </c>
      <c r="B143">
        <v>38</v>
      </c>
      <c r="C143" s="2">
        <v>40811</v>
      </c>
      <c r="D143" s="1" t="s">
        <v>444</v>
      </c>
      <c r="E143">
        <v>182</v>
      </c>
      <c r="F143">
        <v>179</v>
      </c>
      <c r="G143">
        <v>145</v>
      </c>
      <c r="H143">
        <v>214</v>
      </c>
    </row>
    <row r="144" spans="1:8">
      <c r="A144">
        <v>2011</v>
      </c>
      <c r="B144">
        <v>39</v>
      </c>
      <c r="C144" s="2">
        <v>40818</v>
      </c>
      <c r="D144" s="1" t="s">
        <v>444</v>
      </c>
      <c r="E144">
        <v>179</v>
      </c>
      <c r="F144">
        <v>179</v>
      </c>
      <c r="G144">
        <v>145</v>
      </c>
      <c r="H144">
        <v>214</v>
      </c>
    </row>
    <row r="145" spans="1:8">
      <c r="A145">
        <v>2011</v>
      </c>
      <c r="B145">
        <v>40</v>
      </c>
      <c r="C145" s="2">
        <v>40825</v>
      </c>
      <c r="D145" s="1" t="s">
        <v>444</v>
      </c>
      <c r="E145">
        <v>171</v>
      </c>
      <c r="F145">
        <v>180</v>
      </c>
      <c r="G145">
        <v>145</v>
      </c>
      <c r="H145">
        <v>214</v>
      </c>
    </row>
    <row r="146" spans="1:8">
      <c r="A146">
        <v>2011</v>
      </c>
      <c r="B146">
        <v>41</v>
      </c>
      <c r="C146" s="2">
        <v>40832</v>
      </c>
      <c r="D146" s="1" t="s">
        <v>444</v>
      </c>
      <c r="E146">
        <v>191</v>
      </c>
      <c r="F146">
        <v>180</v>
      </c>
      <c r="G146">
        <v>145</v>
      </c>
      <c r="H146">
        <v>214</v>
      </c>
    </row>
    <row r="147" spans="1:8">
      <c r="A147">
        <v>2011</v>
      </c>
      <c r="B147">
        <v>42</v>
      </c>
      <c r="C147" s="2">
        <v>40839</v>
      </c>
      <c r="D147" s="1" t="s">
        <v>444</v>
      </c>
      <c r="E147">
        <v>177</v>
      </c>
      <c r="F147">
        <v>180</v>
      </c>
      <c r="G147">
        <v>146</v>
      </c>
      <c r="H147">
        <v>215</v>
      </c>
    </row>
    <row r="148" spans="1:8">
      <c r="A148">
        <v>2011</v>
      </c>
      <c r="B148">
        <v>43</v>
      </c>
      <c r="C148" s="2">
        <v>40846</v>
      </c>
      <c r="D148" s="1" t="s">
        <v>444</v>
      </c>
      <c r="E148">
        <v>194</v>
      </c>
      <c r="F148">
        <v>180</v>
      </c>
      <c r="G148">
        <v>146</v>
      </c>
      <c r="H148">
        <v>215</v>
      </c>
    </row>
    <row r="149" spans="1:8">
      <c r="A149">
        <v>2011</v>
      </c>
      <c r="B149">
        <v>44</v>
      </c>
      <c r="C149" s="2">
        <v>40853</v>
      </c>
      <c r="D149" s="1" t="s">
        <v>444</v>
      </c>
      <c r="E149">
        <v>156</v>
      </c>
      <c r="F149">
        <v>181</v>
      </c>
      <c r="G149">
        <v>146</v>
      </c>
      <c r="H149">
        <v>215</v>
      </c>
    </row>
    <row r="150" spans="1:8">
      <c r="A150">
        <v>2011</v>
      </c>
      <c r="B150">
        <v>45</v>
      </c>
      <c r="C150" s="2">
        <v>40860</v>
      </c>
      <c r="D150" s="1" t="s">
        <v>444</v>
      </c>
      <c r="E150">
        <v>177</v>
      </c>
      <c r="F150">
        <v>181</v>
      </c>
      <c r="G150">
        <v>146</v>
      </c>
      <c r="H150">
        <v>215</v>
      </c>
    </row>
    <row r="151" spans="1:8">
      <c r="A151">
        <v>2011</v>
      </c>
      <c r="B151">
        <v>46</v>
      </c>
      <c r="C151" s="2">
        <v>40867</v>
      </c>
      <c r="D151" s="1" t="s">
        <v>444</v>
      </c>
      <c r="E151">
        <v>195</v>
      </c>
      <c r="F151">
        <v>181</v>
      </c>
      <c r="G151">
        <v>146</v>
      </c>
      <c r="H151">
        <v>216</v>
      </c>
    </row>
    <row r="152" spans="1:8">
      <c r="A152">
        <v>2011</v>
      </c>
      <c r="B152">
        <v>47</v>
      </c>
      <c r="C152" s="2">
        <v>40874</v>
      </c>
      <c r="D152" s="1" t="s">
        <v>444</v>
      </c>
      <c r="E152">
        <v>175</v>
      </c>
      <c r="F152">
        <v>181</v>
      </c>
      <c r="G152">
        <v>147</v>
      </c>
      <c r="H152">
        <v>216</v>
      </c>
    </row>
    <row r="153" spans="1:8">
      <c r="A153">
        <v>2011</v>
      </c>
      <c r="B153">
        <v>48</v>
      </c>
      <c r="C153" s="2">
        <v>40881</v>
      </c>
      <c r="D153" s="1" t="s">
        <v>444</v>
      </c>
      <c r="E153">
        <v>168</v>
      </c>
      <c r="F153">
        <v>182</v>
      </c>
      <c r="G153">
        <v>147</v>
      </c>
      <c r="H153">
        <v>216</v>
      </c>
    </row>
    <row r="154" spans="1:8">
      <c r="A154">
        <v>2011</v>
      </c>
      <c r="B154">
        <v>49</v>
      </c>
      <c r="C154" s="2">
        <v>40888</v>
      </c>
      <c r="D154" s="1" t="s">
        <v>444</v>
      </c>
      <c r="E154">
        <v>184</v>
      </c>
      <c r="F154">
        <v>182</v>
      </c>
      <c r="G154">
        <v>147</v>
      </c>
      <c r="H154">
        <v>216</v>
      </c>
    </row>
    <row r="155" spans="1:8">
      <c r="A155">
        <v>2011</v>
      </c>
      <c r="B155">
        <v>50</v>
      </c>
      <c r="C155" s="2">
        <v>40895</v>
      </c>
      <c r="D155" s="1" t="s">
        <v>444</v>
      </c>
      <c r="E155">
        <v>191</v>
      </c>
      <c r="F155">
        <v>182</v>
      </c>
      <c r="G155">
        <v>147</v>
      </c>
      <c r="H155">
        <v>217</v>
      </c>
    </row>
    <row r="156" spans="1:8">
      <c r="A156">
        <v>2011</v>
      </c>
      <c r="B156">
        <v>51</v>
      </c>
      <c r="C156" s="2">
        <v>40902</v>
      </c>
      <c r="D156" s="1" t="s">
        <v>444</v>
      </c>
      <c r="E156">
        <v>197</v>
      </c>
      <c r="F156">
        <v>182</v>
      </c>
      <c r="G156">
        <v>147</v>
      </c>
      <c r="H156">
        <v>217</v>
      </c>
    </row>
    <row r="157" spans="1:8">
      <c r="A157">
        <v>2011</v>
      </c>
      <c r="B157">
        <v>52</v>
      </c>
      <c r="C157" s="2">
        <v>40909</v>
      </c>
      <c r="D157" s="1" t="s">
        <v>444</v>
      </c>
      <c r="E157">
        <v>171</v>
      </c>
      <c r="F157">
        <v>182</v>
      </c>
      <c r="G157">
        <v>148</v>
      </c>
      <c r="H157">
        <v>217</v>
      </c>
    </row>
    <row r="158" spans="1:8">
      <c r="A158">
        <v>2011</v>
      </c>
      <c r="B158">
        <v>1</v>
      </c>
      <c r="C158" s="2">
        <v>40552</v>
      </c>
      <c r="D158" s="1" t="s">
        <v>445</v>
      </c>
      <c r="E158">
        <v>1155</v>
      </c>
      <c r="F158">
        <v>1153</v>
      </c>
      <c r="G158">
        <v>1066</v>
      </c>
      <c r="H158">
        <v>1241</v>
      </c>
    </row>
    <row r="159" spans="1:8">
      <c r="A159">
        <v>2011</v>
      </c>
      <c r="B159">
        <v>2</v>
      </c>
      <c r="C159" s="2">
        <v>40559</v>
      </c>
      <c r="D159" s="1" t="s">
        <v>445</v>
      </c>
      <c r="E159">
        <v>1118</v>
      </c>
      <c r="F159">
        <v>1150</v>
      </c>
      <c r="G159">
        <v>1062</v>
      </c>
      <c r="H159">
        <v>1237</v>
      </c>
    </row>
    <row r="160" spans="1:8">
      <c r="A160">
        <v>2011</v>
      </c>
      <c r="B160">
        <v>3</v>
      </c>
      <c r="C160" s="2">
        <v>40566</v>
      </c>
      <c r="D160" s="1" t="s">
        <v>445</v>
      </c>
      <c r="E160">
        <v>1033</v>
      </c>
      <c r="F160">
        <v>1146</v>
      </c>
      <c r="G160">
        <v>1059</v>
      </c>
      <c r="H160">
        <v>1233</v>
      </c>
    </row>
    <row r="161" spans="1:8">
      <c r="A161">
        <v>2011</v>
      </c>
      <c r="B161">
        <v>4</v>
      </c>
      <c r="C161" s="2">
        <v>40573</v>
      </c>
      <c r="D161" s="1" t="s">
        <v>445</v>
      </c>
      <c r="E161">
        <v>1106</v>
      </c>
      <c r="F161">
        <v>1142</v>
      </c>
      <c r="G161">
        <v>1055</v>
      </c>
      <c r="H161">
        <v>1229</v>
      </c>
    </row>
    <row r="162" spans="1:8">
      <c r="A162">
        <v>2011</v>
      </c>
      <c r="B162">
        <v>5</v>
      </c>
      <c r="C162" s="2">
        <v>40580</v>
      </c>
      <c r="D162" s="1" t="s">
        <v>445</v>
      </c>
      <c r="E162">
        <v>1049</v>
      </c>
      <c r="F162">
        <v>1138</v>
      </c>
      <c r="G162">
        <v>1051</v>
      </c>
      <c r="H162">
        <v>1225</v>
      </c>
    </row>
    <row r="163" spans="1:8">
      <c r="A163">
        <v>2011</v>
      </c>
      <c r="B163">
        <v>6</v>
      </c>
      <c r="C163" s="2">
        <v>40587</v>
      </c>
      <c r="D163" s="1" t="s">
        <v>445</v>
      </c>
      <c r="E163">
        <v>1059</v>
      </c>
      <c r="F163">
        <v>1134</v>
      </c>
      <c r="G163">
        <v>1048</v>
      </c>
      <c r="H163">
        <v>1221</v>
      </c>
    </row>
    <row r="164" spans="1:8">
      <c r="A164">
        <v>2011</v>
      </c>
      <c r="B164">
        <v>7</v>
      </c>
      <c r="C164" s="2">
        <v>40594</v>
      </c>
      <c r="D164" s="1" t="s">
        <v>445</v>
      </c>
      <c r="E164">
        <v>1094</v>
      </c>
      <c r="F164">
        <v>1130</v>
      </c>
      <c r="G164">
        <v>1043</v>
      </c>
      <c r="H164">
        <v>1217</v>
      </c>
    </row>
    <row r="165" spans="1:8">
      <c r="A165">
        <v>2011</v>
      </c>
      <c r="B165">
        <v>8</v>
      </c>
      <c r="C165" s="2">
        <v>40601</v>
      </c>
      <c r="D165" s="1" t="s">
        <v>445</v>
      </c>
      <c r="E165">
        <v>1074</v>
      </c>
      <c r="F165">
        <v>1119</v>
      </c>
      <c r="G165">
        <v>1033</v>
      </c>
      <c r="H165">
        <v>1205</v>
      </c>
    </row>
    <row r="166" spans="1:8">
      <c r="A166">
        <v>2011</v>
      </c>
      <c r="B166">
        <v>9</v>
      </c>
      <c r="C166" s="2">
        <v>40608</v>
      </c>
      <c r="D166" s="1" t="s">
        <v>445</v>
      </c>
      <c r="E166">
        <v>1050</v>
      </c>
      <c r="F166">
        <v>1108</v>
      </c>
      <c r="G166">
        <v>1022</v>
      </c>
      <c r="H166">
        <v>1193</v>
      </c>
    </row>
    <row r="167" spans="1:8">
      <c r="A167">
        <v>2011</v>
      </c>
      <c r="B167">
        <v>10</v>
      </c>
      <c r="C167" s="2">
        <v>40615</v>
      </c>
      <c r="D167" s="1" t="s">
        <v>445</v>
      </c>
      <c r="E167">
        <v>1109</v>
      </c>
      <c r="F167">
        <v>1092</v>
      </c>
      <c r="G167">
        <v>1007</v>
      </c>
      <c r="H167">
        <v>1177</v>
      </c>
    </row>
    <row r="168" spans="1:8">
      <c r="A168">
        <v>2011</v>
      </c>
      <c r="B168">
        <v>11</v>
      </c>
      <c r="C168" s="2">
        <v>40622</v>
      </c>
      <c r="D168" s="1" t="s">
        <v>445</v>
      </c>
      <c r="E168">
        <v>1065</v>
      </c>
      <c r="F168">
        <v>1076</v>
      </c>
      <c r="G168">
        <v>991</v>
      </c>
      <c r="H168">
        <v>1160</v>
      </c>
    </row>
    <row r="169" spans="1:8">
      <c r="A169">
        <v>2011</v>
      </c>
      <c r="B169">
        <v>12</v>
      </c>
      <c r="C169" s="2">
        <v>40629</v>
      </c>
      <c r="D169" s="1" t="s">
        <v>445</v>
      </c>
      <c r="E169">
        <v>1017</v>
      </c>
      <c r="F169">
        <v>1057</v>
      </c>
      <c r="G169">
        <v>973</v>
      </c>
      <c r="H169">
        <v>1140</v>
      </c>
    </row>
    <row r="170" spans="1:8">
      <c r="A170">
        <v>2011</v>
      </c>
      <c r="B170">
        <v>13</v>
      </c>
      <c r="C170" s="2">
        <v>40636</v>
      </c>
      <c r="D170" s="1" t="s">
        <v>445</v>
      </c>
      <c r="E170">
        <v>1084</v>
      </c>
      <c r="F170">
        <v>1038</v>
      </c>
      <c r="G170">
        <v>955</v>
      </c>
      <c r="H170">
        <v>1121</v>
      </c>
    </row>
    <row r="171" spans="1:8">
      <c r="A171">
        <v>2011</v>
      </c>
      <c r="B171">
        <v>14</v>
      </c>
      <c r="C171" s="2">
        <v>40643</v>
      </c>
      <c r="D171" s="1" t="s">
        <v>445</v>
      </c>
      <c r="E171">
        <v>1049</v>
      </c>
      <c r="F171">
        <v>1021</v>
      </c>
      <c r="G171">
        <v>939</v>
      </c>
      <c r="H171">
        <v>1104</v>
      </c>
    </row>
    <row r="172" spans="1:8">
      <c r="A172">
        <v>2011</v>
      </c>
      <c r="B172">
        <v>15</v>
      </c>
      <c r="C172" s="2">
        <v>40650</v>
      </c>
      <c r="D172" s="1" t="s">
        <v>445</v>
      </c>
      <c r="E172">
        <v>895</v>
      </c>
      <c r="F172">
        <v>1008</v>
      </c>
      <c r="G172">
        <v>926</v>
      </c>
      <c r="H172">
        <v>1090</v>
      </c>
    </row>
    <row r="173" spans="1:8">
      <c r="A173">
        <v>2011</v>
      </c>
      <c r="B173">
        <v>16</v>
      </c>
      <c r="C173" s="2">
        <v>40657</v>
      </c>
      <c r="D173" s="1" t="s">
        <v>445</v>
      </c>
      <c r="E173">
        <v>1027</v>
      </c>
      <c r="F173">
        <v>995</v>
      </c>
      <c r="G173">
        <v>914</v>
      </c>
      <c r="H173">
        <v>1076</v>
      </c>
    </row>
    <row r="174" spans="1:8">
      <c r="A174">
        <v>2011</v>
      </c>
      <c r="B174">
        <v>17</v>
      </c>
      <c r="C174" s="2">
        <v>40664</v>
      </c>
      <c r="D174" s="1" t="s">
        <v>445</v>
      </c>
      <c r="E174">
        <v>992</v>
      </c>
      <c r="F174">
        <v>985</v>
      </c>
      <c r="G174">
        <v>904</v>
      </c>
      <c r="H174">
        <v>1065</v>
      </c>
    </row>
    <row r="175" spans="1:8">
      <c r="A175">
        <v>2011</v>
      </c>
      <c r="B175">
        <v>18</v>
      </c>
      <c r="C175" s="2">
        <v>40671</v>
      </c>
      <c r="D175" s="1" t="s">
        <v>445</v>
      </c>
      <c r="E175">
        <v>1011</v>
      </c>
      <c r="F175">
        <v>974</v>
      </c>
      <c r="G175">
        <v>894</v>
      </c>
      <c r="H175">
        <v>1055</v>
      </c>
    </row>
    <row r="176" spans="1:8">
      <c r="A176">
        <v>2011</v>
      </c>
      <c r="B176">
        <v>19</v>
      </c>
      <c r="C176" s="2">
        <v>40678</v>
      </c>
      <c r="D176" s="1" t="s">
        <v>445</v>
      </c>
      <c r="E176">
        <v>923</v>
      </c>
      <c r="F176">
        <v>965</v>
      </c>
      <c r="G176">
        <v>885</v>
      </c>
      <c r="H176">
        <v>1045</v>
      </c>
    </row>
    <row r="177" spans="1:9">
      <c r="A177">
        <v>2011</v>
      </c>
      <c r="B177">
        <v>20</v>
      </c>
      <c r="C177" s="2">
        <v>40685</v>
      </c>
      <c r="D177" s="1" t="s">
        <v>445</v>
      </c>
      <c r="E177">
        <v>920</v>
      </c>
      <c r="F177">
        <v>956</v>
      </c>
      <c r="G177">
        <v>877</v>
      </c>
      <c r="H177">
        <v>1036</v>
      </c>
    </row>
    <row r="178" spans="1:9">
      <c r="A178">
        <v>2011</v>
      </c>
      <c r="B178">
        <v>21</v>
      </c>
      <c r="C178" s="2">
        <v>40692</v>
      </c>
      <c r="D178" s="1" t="s">
        <v>445</v>
      </c>
      <c r="E178">
        <v>901</v>
      </c>
      <c r="F178">
        <v>949</v>
      </c>
      <c r="G178">
        <v>870</v>
      </c>
      <c r="H178">
        <v>1029</v>
      </c>
    </row>
    <row r="179" spans="1:9">
      <c r="A179">
        <v>2011</v>
      </c>
      <c r="B179">
        <v>22</v>
      </c>
      <c r="C179" s="2">
        <v>40699</v>
      </c>
      <c r="D179" s="1" t="s">
        <v>445</v>
      </c>
      <c r="E179">
        <v>927</v>
      </c>
      <c r="F179">
        <v>946</v>
      </c>
      <c r="G179">
        <v>867</v>
      </c>
      <c r="H179">
        <v>1025</v>
      </c>
    </row>
    <row r="180" spans="1:9">
      <c r="A180">
        <v>2011</v>
      </c>
      <c r="B180">
        <v>23</v>
      </c>
      <c r="C180" s="2">
        <v>40706</v>
      </c>
      <c r="D180" s="1" t="s">
        <v>445</v>
      </c>
      <c r="E180">
        <v>906</v>
      </c>
      <c r="F180">
        <v>943</v>
      </c>
      <c r="G180">
        <v>864</v>
      </c>
      <c r="H180">
        <v>1022</v>
      </c>
    </row>
    <row r="181" spans="1:9">
      <c r="A181">
        <v>2011</v>
      </c>
      <c r="B181">
        <v>24</v>
      </c>
      <c r="C181" s="2">
        <v>40713</v>
      </c>
      <c r="D181" s="1" t="s">
        <v>445</v>
      </c>
      <c r="E181">
        <v>928</v>
      </c>
      <c r="F181">
        <v>941</v>
      </c>
      <c r="G181">
        <v>862</v>
      </c>
      <c r="H181">
        <v>1020</v>
      </c>
    </row>
    <row r="182" spans="1:9">
      <c r="A182">
        <v>2011</v>
      </c>
      <c r="B182">
        <v>25</v>
      </c>
      <c r="C182" s="2">
        <v>40720</v>
      </c>
      <c r="D182" s="1" t="s">
        <v>445</v>
      </c>
      <c r="E182">
        <v>926</v>
      </c>
      <c r="F182">
        <v>938</v>
      </c>
      <c r="G182">
        <v>859</v>
      </c>
      <c r="H182">
        <v>1016</v>
      </c>
    </row>
    <row r="183" spans="1:9">
      <c r="A183">
        <v>2011</v>
      </c>
      <c r="B183">
        <v>26</v>
      </c>
      <c r="C183" s="2">
        <v>40727</v>
      </c>
      <c r="D183" s="1" t="s">
        <v>445</v>
      </c>
      <c r="E183">
        <v>955</v>
      </c>
      <c r="F183">
        <v>934</v>
      </c>
      <c r="G183">
        <v>855</v>
      </c>
      <c r="H183">
        <v>1013</v>
      </c>
    </row>
    <row r="184" spans="1:9">
      <c r="A184">
        <v>2011</v>
      </c>
      <c r="B184">
        <v>27</v>
      </c>
      <c r="C184" s="2">
        <v>40734</v>
      </c>
      <c r="D184" s="1" t="s">
        <v>445</v>
      </c>
      <c r="E184">
        <v>929</v>
      </c>
      <c r="F184">
        <v>931</v>
      </c>
      <c r="G184">
        <v>853</v>
      </c>
      <c r="H184">
        <v>1010</v>
      </c>
    </row>
    <row r="185" spans="1:9">
      <c r="A185">
        <v>2011</v>
      </c>
      <c r="B185">
        <v>28</v>
      </c>
      <c r="C185" s="2">
        <v>40741</v>
      </c>
      <c r="D185" s="1" t="s">
        <v>445</v>
      </c>
      <c r="E185">
        <v>938</v>
      </c>
      <c r="F185">
        <v>928</v>
      </c>
      <c r="G185">
        <v>849</v>
      </c>
      <c r="H185">
        <v>1006</v>
      </c>
    </row>
    <row r="186" spans="1:9">
      <c r="A186">
        <v>2011</v>
      </c>
      <c r="B186">
        <v>29</v>
      </c>
      <c r="C186" s="2">
        <v>40748</v>
      </c>
      <c r="D186" s="1" t="s">
        <v>445</v>
      </c>
      <c r="E186">
        <v>908</v>
      </c>
      <c r="F186">
        <v>924</v>
      </c>
      <c r="G186">
        <v>846</v>
      </c>
      <c r="H186">
        <v>1002</v>
      </c>
    </row>
    <row r="187" spans="1:9">
      <c r="A187">
        <v>2011</v>
      </c>
      <c r="B187">
        <v>30</v>
      </c>
      <c r="C187" s="2">
        <v>40755</v>
      </c>
      <c r="D187" s="1" t="s">
        <v>445</v>
      </c>
      <c r="E187">
        <v>989</v>
      </c>
      <c r="F187">
        <v>921</v>
      </c>
      <c r="G187">
        <v>842</v>
      </c>
      <c r="H187">
        <v>999</v>
      </c>
    </row>
    <row r="188" spans="1:9">
      <c r="A188">
        <v>2011</v>
      </c>
      <c r="B188">
        <v>31</v>
      </c>
      <c r="C188" s="2">
        <v>40762</v>
      </c>
      <c r="D188" s="1" t="s">
        <v>445</v>
      </c>
      <c r="E188">
        <v>955</v>
      </c>
      <c r="F188">
        <v>917</v>
      </c>
      <c r="G188">
        <v>839</v>
      </c>
      <c r="H188">
        <v>995</v>
      </c>
    </row>
    <row r="189" spans="1:9">
      <c r="A189">
        <v>2011</v>
      </c>
      <c r="B189">
        <v>32</v>
      </c>
      <c r="C189" s="2">
        <v>40769</v>
      </c>
      <c r="D189" s="1" t="s">
        <v>445</v>
      </c>
      <c r="E189">
        <v>892</v>
      </c>
      <c r="F189">
        <v>919</v>
      </c>
      <c r="G189">
        <v>841</v>
      </c>
      <c r="H189">
        <v>997</v>
      </c>
    </row>
    <row r="190" spans="1:9">
      <c r="A190">
        <v>2011</v>
      </c>
      <c r="B190">
        <v>33</v>
      </c>
      <c r="C190" s="2">
        <v>40776</v>
      </c>
      <c r="D190" s="1" t="s">
        <v>445</v>
      </c>
      <c r="E190">
        <v>968</v>
      </c>
      <c r="F190">
        <v>921</v>
      </c>
      <c r="G190">
        <v>843</v>
      </c>
      <c r="H190">
        <v>999</v>
      </c>
    </row>
    <row r="191" spans="1:9">
      <c r="A191">
        <v>2011</v>
      </c>
      <c r="B191">
        <v>34</v>
      </c>
      <c r="C191" s="2">
        <v>40783</v>
      </c>
      <c r="D191" s="1" t="s">
        <v>445</v>
      </c>
      <c r="E191">
        <v>1024</v>
      </c>
      <c r="F191">
        <v>925</v>
      </c>
      <c r="G191">
        <v>847</v>
      </c>
      <c r="H191">
        <v>1003</v>
      </c>
      <c r="I191">
        <v>1024</v>
      </c>
    </row>
    <row r="192" spans="1:9">
      <c r="A192">
        <v>2011</v>
      </c>
      <c r="B192">
        <v>35</v>
      </c>
      <c r="C192" s="2">
        <v>40790</v>
      </c>
      <c r="D192" s="1" t="s">
        <v>445</v>
      </c>
      <c r="E192">
        <v>933</v>
      </c>
      <c r="F192">
        <v>931</v>
      </c>
      <c r="G192">
        <v>852</v>
      </c>
      <c r="H192">
        <v>1009</v>
      </c>
    </row>
    <row r="193" spans="1:8">
      <c r="A193">
        <v>2011</v>
      </c>
      <c r="B193">
        <v>36</v>
      </c>
      <c r="C193" s="2">
        <v>40797</v>
      </c>
      <c r="D193" s="1" t="s">
        <v>445</v>
      </c>
      <c r="E193">
        <v>930</v>
      </c>
      <c r="F193">
        <v>936</v>
      </c>
      <c r="G193">
        <v>857</v>
      </c>
      <c r="H193">
        <v>1015</v>
      </c>
    </row>
    <row r="194" spans="1:8">
      <c r="A194">
        <v>2011</v>
      </c>
      <c r="B194">
        <v>37</v>
      </c>
      <c r="C194" s="2">
        <v>40804</v>
      </c>
      <c r="D194" s="1" t="s">
        <v>445</v>
      </c>
      <c r="E194">
        <v>924</v>
      </c>
      <c r="F194">
        <v>943</v>
      </c>
      <c r="G194">
        <v>864</v>
      </c>
      <c r="H194">
        <v>1022</v>
      </c>
    </row>
    <row r="195" spans="1:8">
      <c r="A195">
        <v>2011</v>
      </c>
      <c r="B195">
        <v>38</v>
      </c>
      <c r="C195" s="2">
        <v>40811</v>
      </c>
      <c r="D195" s="1" t="s">
        <v>445</v>
      </c>
      <c r="E195">
        <v>931</v>
      </c>
      <c r="F195">
        <v>951</v>
      </c>
      <c r="G195">
        <v>871</v>
      </c>
      <c r="H195">
        <v>1030</v>
      </c>
    </row>
    <row r="196" spans="1:8">
      <c r="A196">
        <v>2011</v>
      </c>
      <c r="B196">
        <v>39</v>
      </c>
      <c r="C196" s="2">
        <v>40818</v>
      </c>
      <c r="D196" s="1" t="s">
        <v>445</v>
      </c>
      <c r="E196">
        <v>953</v>
      </c>
      <c r="F196">
        <v>958</v>
      </c>
      <c r="G196">
        <v>879</v>
      </c>
      <c r="H196">
        <v>1038</v>
      </c>
    </row>
    <row r="197" spans="1:8">
      <c r="A197">
        <v>2011</v>
      </c>
      <c r="B197">
        <v>40</v>
      </c>
      <c r="C197" s="2">
        <v>40825</v>
      </c>
      <c r="D197" s="1" t="s">
        <v>445</v>
      </c>
      <c r="E197">
        <v>970</v>
      </c>
      <c r="F197">
        <v>966</v>
      </c>
      <c r="G197">
        <v>886</v>
      </c>
      <c r="H197">
        <v>1046</v>
      </c>
    </row>
    <row r="198" spans="1:8">
      <c r="A198">
        <v>2011</v>
      </c>
      <c r="B198">
        <v>41</v>
      </c>
      <c r="C198" s="2">
        <v>40832</v>
      </c>
      <c r="D198" s="1" t="s">
        <v>445</v>
      </c>
      <c r="E198">
        <v>1005</v>
      </c>
      <c r="F198">
        <v>974</v>
      </c>
      <c r="G198">
        <v>893</v>
      </c>
      <c r="H198">
        <v>1054</v>
      </c>
    </row>
    <row r="199" spans="1:8">
      <c r="A199">
        <v>2011</v>
      </c>
      <c r="B199">
        <v>42</v>
      </c>
      <c r="C199" s="2">
        <v>40839</v>
      </c>
      <c r="D199" s="1" t="s">
        <v>445</v>
      </c>
      <c r="E199">
        <v>939</v>
      </c>
      <c r="F199">
        <v>981</v>
      </c>
      <c r="G199">
        <v>900</v>
      </c>
      <c r="H199">
        <v>1062</v>
      </c>
    </row>
    <row r="200" spans="1:8">
      <c r="A200">
        <v>2011</v>
      </c>
      <c r="B200">
        <v>43</v>
      </c>
      <c r="C200" s="2">
        <v>40846</v>
      </c>
      <c r="D200" s="1" t="s">
        <v>445</v>
      </c>
      <c r="E200">
        <v>1060</v>
      </c>
      <c r="F200">
        <v>991</v>
      </c>
      <c r="G200">
        <v>910</v>
      </c>
      <c r="H200">
        <v>1072</v>
      </c>
    </row>
    <row r="201" spans="1:8">
      <c r="A201">
        <v>2011</v>
      </c>
      <c r="B201">
        <v>44</v>
      </c>
      <c r="C201" s="2">
        <v>40853</v>
      </c>
      <c r="D201" s="1" t="s">
        <v>445</v>
      </c>
      <c r="E201">
        <v>1030</v>
      </c>
      <c r="F201">
        <v>1001</v>
      </c>
      <c r="G201">
        <v>919</v>
      </c>
      <c r="H201">
        <v>1082</v>
      </c>
    </row>
    <row r="202" spans="1:8">
      <c r="A202">
        <v>2011</v>
      </c>
      <c r="B202">
        <v>45</v>
      </c>
      <c r="C202" s="2">
        <v>40860</v>
      </c>
      <c r="D202" s="1" t="s">
        <v>445</v>
      </c>
      <c r="E202">
        <v>991</v>
      </c>
      <c r="F202">
        <v>1013</v>
      </c>
      <c r="G202">
        <v>931</v>
      </c>
      <c r="H202">
        <v>1095</v>
      </c>
    </row>
    <row r="203" spans="1:8">
      <c r="A203">
        <v>2011</v>
      </c>
      <c r="B203">
        <v>46</v>
      </c>
      <c r="C203" s="2">
        <v>40867</v>
      </c>
      <c r="D203" s="1" t="s">
        <v>445</v>
      </c>
      <c r="E203">
        <v>1004</v>
      </c>
      <c r="F203">
        <v>1024</v>
      </c>
      <c r="G203">
        <v>942</v>
      </c>
      <c r="H203">
        <v>1107</v>
      </c>
    </row>
    <row r="204" spans="1:8">
      <c r="A204">
        <v>2011</v>
      </c>
      <c r="B204">
        <v>47</v>
      </c>
      <c r="C204" s="2">
        <v>40874</v>
      </c>
      <c r="D204" s="1" t="s">
        <v>445</v>
      </c>
      <c r="E204">
        <v>1048</v>
      </c>
      <c r="F204">
        <v>1039</v>
      </c>
      <c r="G204">
        <v>956</v>
      </c>
      <c r="H204">
        <v>1122</v>
      </c>
    </row>
    <row r="205" spans="1:8">
      <c r="A205">
        <v>2011</v>
      </c>
      <c r="B205">
        <v>48</v>
      </c>
      <c r="C205" s="2">
        <v>40881</v>
      </c>
      <c r="D205" s="1" t="s">
        <v>445</v>
      </c>
      <c r="E205">
        <v>1087</v>
      </c>
      <c r="F205">
        <v>1057</v>
      </c>
      <c r="G205">
        <v>973</v>
      </c>
      <c r="H205">
        <v>1141</v>
      </c>
    </row>
    <row r="206" spans="1:8">
      <c r="A206">
        <v>2011</v>
      </c>
      <c r="B206">
        <v>49</v>
      </c>
      <c r="C206" s="2">
        <v>40888</v>
      </c>
      <c r="D206" s="1" t="s">
        <v>445</v>
      </c>
      <c r="E206">
        <v>1057</v>
      </c>
      <c r="F206">
        <v>1075</v>
      </c>
      <c r="G206">
        <v>990</v>
      </c>
      <c r="H206">
        <v>1159</v>
      </c>
    </row>
    <row r="207" spans="1:8">
      <c r="A207">
        <v>2011</v>
      </c>
      <c r="B207">
        <v>50</v>
      </c>
      <c r="C207" s="2">
        <v>40895</v>
      </c>
      <c r="D207" s="1" t="s">
        <v>445</v>
      </c>
      <c r="E207">
        <v>1090</v>
      </c>
      <c r="F207">
        <v>1092</v>
      </c>
      <c r="G207">
        <v>1007</v>
      </c>
      <c r="H207">
        <v>1177</v>
      </c>
    </row>
    <row r="208" spans="1:8">
      <c r="A208">
        <v>2011</v>
      </c>
      <c r="B208">
        <v>51</v>
      </c>
      <c r="C208" s="2">
        <v>40902</v>
      </c>
      <c r="D208" s="1" t="s">
        <v>445</v>
      </c>
      <c r="E208">
        <v>1084</v>
      </c>
      <c r="F208">
        <v>1109</v>
      </c>
      <c r="G208">
        <v>1023</v>
      </c>
      <c r="H208">
        <v>1195</v>
      </c>
    </row>
    <row r="209" spans="1:8">
      <c r="A209">
        <v>2011</v>
      </c>
      <c r="B209">
        <v>52</v>
      </c>
      <c r="C209" s="2">
        <v>40909</v>
      </c>
      <c r="D209" s="1" t="s">
        <v>445</v>
      </c>
      <c r="E209">
        <v>1065</v>
      </c>
      <c r="F209">
        <v>1126</v>
      </c>
      <c r="G209">
        <v>1040</v>
      </c>
      <c r="H209">
        <v>1213</v>
      </c>
    </row>
    <row r="210" spans="1:8">
      <c r="A210">
        <v>2012</v>
      </c>
      <c r="B210">
        <v>1</v>
      </c>
      <c r="C210" s="2">
        <v>40916</v>
      </c>
      <c r="D210" s="1" t="s">
        <v>444</v>
      </c>
      <c r="E210">
        <v>175</v>
      </c>
      <c r="F210">
        <v>188</v>
      </c>
      <c r="G210">
        <v>152</v>
      </c>
      <c r="H210">
        <v>223</v>
      </c>
    </row>
    <row r="211" spans="1:8">
      <c r="A211">
        <v>2012</v>
      </c>
      <c r="B211">
        <v>2</v>
      </c>
      <c r="C211" s="2">
        <v>40923</v>
      </c>
      <c r="D211" s="1" t="s">
        <v>444</v>
      </c>
      <c r="E211">
        <v>198</v>
      </c>
      <c r="F211">
        <v>187</v>
      </c>
      <c r="G211">
        <v>152</v>
      </c>
      <c r="H211">
        <v>222</v>
      </c>
    </row>
    <row r="212" spans="1:8">
      <c r="A212">
        <v>2012</v>
      </c>
      <c r="B212">
        <v>3</v>
      </c>
      <c r="C212" s="2">
        <v>40930</v>
      </c>
      <c r="D212" s="1" t="s">
        <v>444</v>
      </c>
      <c r="E212">
        <v>163</v>
      </c>
      <c r="F212">
        <v>186</v>
      </c>
      <c r="G212">
        <v>151</v>
      </c>
      <c r="H212">
        <v>222</v>
      </c>
    </row>
    <row r="213" spans="1:8">
      <c r="A213">
        <v>2012</v>
      </c>
      <c r="B213">
        <v>4</v>
      </c>
      <c r="C213" s="2">
        <v>40937</v>
      </c>
      <c r="D213" s="1" t="s">
        <v>444</v>
      </c>
      <c r="E213">
        <v>189</v>
      </c>
      <c r="F213">
        <v>186</v>
      </c>
      <c r="G213">
        <v>151</v>
      </c>
      <c r="H213">
        <v>221</v>
      </c>
    </row>
    <row r="214" spans="1:8">
      <c r="A214">
        <v>2012</v>
      </c>
      <c r="B214">
        <v>5</v>
      </c>
      <c r="C214" s="2">
        <v>40944</v>
      </c>
      <c r="D214" s="1" t="s">
        <v>444</v>
      </c>
      <c r="E214">
        <v>199</v>
      </c>
      <c r="F214">
        <v>185</v>
      </c>
      <c r="G214">
        <v>150</v>
      </c>
      <c r="H214">
        <v>220</v>
      </c>
    </row>
    <row r="215" spans="1:8">
      <c r="A215">
        <v>2012</v>
      </c>
      <c r="B215">
        <v>6</v>
      </c>
      <c r="C215" s="2">
        <v>40951</v>
      </c>
      <c r="D215" s="1" t="s">
        <v>444</v>
      </c>
      <c r="E215">
        <v>218</v>
      </c>
      <c r="F215">
        <v>185</v>
      </c>
      <c r="G215">
        <v>150</v>
      </c>
      <c r="H215">
        <v>220</v>
      </c>
    </row>
    <row r="216" spans="1:8">
      <c r="A216">
        <v>2012</v>
      </c>
      <c r="B216">
        <v>7</v>
      </c>
      <c r="C216" s="2">
        <v>40958</v>
      </c>
      <c r="D216" s="1" t="s">
        <v>444</v>
      </c>
      <c r="E216">
        <v>206</v>
      </c>
      <c r="F216">
        <v>184</v>
      </c>
      <c r="G216">
        <v>149</v>
      </c>
      <c r="H216">
        <v>219</v>
      </c>
    </row>
    <row r="217" spans="1:8">
      <c r="A217">
        <v>2012</v>
      </c>
      <c r="B217">
        <v>8</v>
      </c>
      <c r="C217" s="2">
        <v>40965</v>
      </c>
      <c r="D217" s="1" t="s">
        <v>444</v>
      </c>
      <c r="E217">
        <v>181</v>
      </c>
      <c r="F217">
        <v>184</v>
      </c>
      <c r="G217">
        <v>149</v>
      </c>
      <c r="H217">
        <v>218</v>
      </c>
    </row>
    <row r="218" spans="1:8">
      <c r="A218">
        <v>2012</v>
      </c>
      <c r="B218">
        <v>9</v>
      </c>
      <c r="C218" s="2">
        <v>40972</v>
      </c>
      <c r="D218" s="1" t="s">
        <v>444</v>
      </c>
      <c r="E218">
        <v>198</v>
      </c>
      <c r="F218">
        <v>183</v>
      </c>
      <c r="G218">
        <v>148</v>
      </c>
      <c r="H218">
        <v>218</v>
      </c>
    </row>
    <row r="219" spans="1:8">
      <c r="A219">
        <v>2012</v>
      </c>
      <c r="B219">
        <v>10</v>
      </c>
      <c r="C219" s="2">
        <v>40979</v>
      </c>
      <c r="D219" s="1" t="s">
        <v>444</v>
      </c>
      <c r="E219">
        <v>181</v>
      </c>
      <c r="F219">
        <v>182</v>
      </c>
      <c r="G219">
        <v>148</v>
      </c>
      <c r="H219">
        <v>217</v>
      </c>
    </row>
    <row r="220" spans="1:8">
      <c r="A220">
        <v>2012</v>
      </c>
      <c r="B220">
        <v>11</v>
      </c>
      <c r="C220" s="2">
        <v>40986</v>
      </c>
      <c r="D220" s="1" t="s">
        <v>444</v>
      </c>
      <c r="E220">
        <v>210</v>
      </c>
      <c r="F220">
        <v>182</v>
      </c>
      <c r="G220">
        <v>147</v>
      </c>
      <c r="H220">
        <v>217</v>
      </c>
    </row>
    <row r="221" spans="1:8">
      <c r="A221">
        <v>2012</v>
      </c>
      <c r="B221">
        <v>12</v>
      </c>
      <c r="C221" s="2">
        <v>40993</v>
      </c>
      <c r="D221" s="1" t="s">
        <v>444</v>
      </c>
      <c r="E221">
        <v>180</v>
      </c>
      <c r="F221">
        <v>181</v>
      </c>
      <c r="G221">
        <v>147</v>
      </c>
      <c r="H221">
        <v>216</v>
      </c>
    </row>
    <row r="222" spans="1:8">
      <c r="A222">
        <v>2012</v>
      </c>
      <c r="B222">
        <v>13</v>
      </c>
      <c r="C222" s="2">
        <v>41000</v>
      </c>
      <c r="D222" s="1" t="s">
        <v>444</v>
      </c>
      <c r="E222">
        <v>187</v>
      </c>
      <c r="F222">
        <v>181</v>
      </c>
      <c r="G222">
        <v>146</v>
      </c>
      <c r="H222">
        <v>215</v>
      </c>
    </row>
    <row r="223" spans="1:8">
      <c r="A223">
        <v>2012</v>
      </c>
      <c r="B223">
        <v>14</v>
      </c>
      <c r="C223" s="2">
        <v>41007</v>
      </c>
      <c r="D223" s="1" t="s">
        <v>444</v>
      </c>
      <c r="E223">
        <v>202</v>
      </c>
      <c r="F223">
        <v>180</v>
      </c>
      <c r="G223">
        <v>146</v>
      </c>
      <c r="H223">
        <v>215</v>
      </c>
    </row>
    <row r="224" spans="1:8">
      <c r="A224">
        <v>2012</v>
      </c>
      <c r="B224">
        <v>15</v>
      </c>
      <c r="C224" s="2">
        <v>41014</v>
      </c>
      <c r="D224" s="1" t="s">
        <v>444</v>
      </c>
      <c r="E224">
        <v>182</v>
      </c>
      <c r="F224">
        <v>179</v>
      </c>
      <c r="G224">
        <v>145</v>
      </c>
      <c r="H224">
        <v>214</v>
      </c>
    </row>
    <row r="225" spans="1:8">
      <c r="A225">
        <v>2012</v>
      </c>
      <c r="B225">
        <v>16</v>
      </c>
      <c r="C225" s="2">
        <v>41021</v>
      </c>
      <c r="D225" s="1" t="s">
        <v>444</v>
      </c>
      <c r="E225">
        <v>189</v>
      </c>
      <c r="F225">
        <v>179</v>
      </c>
      <c r="G225">
        <v>144</v>
      </c>
      <c r="H225">
        <v>213</v>
      </c>
    </row>
    <row r="226" spans="1:8">
      <c r="A226">
        <v>2012</v>
      </c>
      <c r="B226">
        <v>17</v>
      </c>
      <c r="C226" s="2">
        <v>41028</v>
      </c>
      <c r="D226" s="1" t="s">
        <v>444</v>
      </c>
      <c r="E226">
        <v>207</v>
      </c>
      <c r="F226">
        <v>178</v>
      </c>
      <c r="G226">
        <v>144</v>
      </c>
      <c r="H226">
        <v>213</v>
      </c>
    </row>
    <row r="227" spans="1:8">
      <c r="A227">
        <v>2012</v>
      </c>
      <c r="B227">
        <v>18</v>
      </c>
      <c r="C227" s="2">
        <v>41035</v>
      </c>
      <c r="D227" s="1" t="s">
        <v>444</v>
      </c>
      <c r="E227">
        <v>167</v>
      </c>
      <c r="F227">
        <v>178</v>
      </c>
      <c r="G227">
        <v>143</v>
      </c>
      <c r="H227">
        <v>212</v>
      </c>
    </row>
    <row r="228" spans="1:8">
      <c r="A228">
        <v>2012</v>
      </c>
      <c r="B228">
        <v>19</v>
      </c>
      <c r="C228" s="2">
        <v>41042</v>
      </c>
      <c r="D228" s="1" t="s">
        <v>444</v>
      </c>
      <c r="E228">
        <v>195</v>
      </c>
      <c r="F228">
        <v>177</v>
      </c>
      <c r="G228">
        <v>143</v>
      </c>
      <c r="H228">
        <v>211</v>
      </c>
    </row>
    <row r="229" spans="1:8">
      <c r="A229">
        <v>2012</v>
      </c>
      <c r="B229">
        <v>20</v>
      </c>
      <c r="C229" s="2">
        <v>41049</v>
      </c>
      <c r="D229" s="1" t="s">
        <v>444</v>
      </c>
      <c r="E229">
        <v>161</v>
      </c>
      <c r="F229">
        <v>176</v>
      </c>
      <c r="G229">
        <v>142</v>
      </c>
      <c r="H229">
        <v>211</v>
      </c>
    </row>
    <row r="230" spans="1:8">
      <c r="A230">
        <v>2012</v>
      </c>
      <c r="B230">
        <v>21</v>
      </c>
      <c r="C230" s="2">
        <v>41056</v>
      </c>
      <c r="D230" s="1" t="s">
        <v>444</v>
      </c>
      <c r="E230">
        <v>175</v>
      </c>
      <c r="F230">
        <v>176</v>
      </c>
      <c r="G230">
        <v>142</v>
      </c>
      <c r="H230">
        <v>210</v>
      </c>
    </row>
    <row r="231" spans="1:8">
      <c r="A231">
        <v>2012</v>
      </c>
      <c r="B231">
        <v>22</v>
      </c>
      <c r="C231" s="2">
        <v>41063</v>
      </c>
      <c r="D231" s="1" t="s">
        <v>444</v>
      </c>
      <c r="E231">
        <v>177</v>
      </c>
      <c r="F231">
        <v>175</v>
      </c>
      <c r="G231">
        <v>141</v>
      </c>
      <c r="H231">
        <v>209</v>
      </c>
    </row>
    <row r="232" spans="1:8">
      <c r="A232">
        <v>2012</v>
      </c>
      <c r="B232">
        <v>23</v>
      </c>
      <c r="C232" s="2">
        <v>41070</v>
      </c>
      <c r="D232" s="1" t="s">
        <v>444</v>
      </c>
      <c r="E232">
        <v>162</v>
      </c>
      <c r="F232">
        <v>175</v>
      </c>
      <c r="G232">
        <v>141</v>
      </c>
      <c r="H232">
        <v>209</v>
      </c>
    </row>
    <row r="233" spans="1:8">
      <c r="A233">
        <v>2012</v>
      </c>
      <c r="B233">
        <v>24</v>
      </c>
      <c r="C233" s="2">
        <v>41077</v>
      </c>
      <c r="D233" s="1" t="s">
        <v>444</v>
      </c>
      <c r="E233">
        <v>183</v>
      </c>
      <c r="F233">
        <v>175</v>
      </c>
      <c r="G233">
        <v>141</v>
      </c>
      <c r="H233">
        <v>209</v>
      </c>
    </row>
    <row r="234" spans="1:8">
      <c r="A234">
        <v>2012</v>
      </c>
      <c r="B234">
        <v>25</v>
      </c>
      <c r="C234" s="2">
        <v>41084</v>
      </c>
      <c r="D234" s="1" t="s">
        <v>444</v>
      </c>
      <c r="E234">
        <v>185</v>
      </c>
      <c r="F234">
        <v>174</v>
      </c>
      <c r="G234">
        <v>140</v>
      </c>
      <c r="H234">
        <v>208</v>
      </c>
    </row>
    <row r="235" spans="1:8">
      <c r="A235">
        <v>2012</v>
      </c>
      <c r="B235">
        <v>26</v>
      </c>
      <c r="C235" s="2">
        <v>41091</v>
      </c>
      <c r="D235" s="1" t="s">
        <v>444</v>
      </c>
      <c r="E235">
        <v>190</v>
      </c>
      <c r="F235">
        <v>174</v>
      </c>
      <c r="G235">
        <v>140</v>
      </c>
      <c r="H235">
        <v>208</v>
      </c>
    </row>
    <row r="236" spans="1:8">
      <c r="A236">
        <v>2012</v>
      </c>
      <c r="B236">
        <v>27</v>
      </c>
      <c r="C236" s="2">
        <v>41098</v>
      </c>
      <c r="D236" s="1" t="s">
        <v>444</v>
      </c>
      <c r="E236">
        <v>194</v>
      </c>
      <c r="F236">
        <v>174</v>
      </c>
      <c r="G236">
        <v>140</v>
      </c>
      <c r="H236">
        <v>208</v>
      </c>
    </row>
    <row r="237" spans="1:8">
      <c r="A237">
        <v>2012</v>
      </c>
      <c r="B237">
        <v>28</v>
      </c>
      <c r="C237" s="2">
        <v>41105</v>
      </c>
      <c r="D237" s="1" t="s">
        <v>444</v>
      </c>
      <c r="E237">
        <v>178</v>
      </c>
      <c r="F237">
        <v>174</v>
      </c>
      <c r="G237">
        <v>140</v>
      </c>
      <c r="H237">
        <v>207</v>
      </c>
    </row>
    <row r="238" spans="1:8">
      <c r="A238">
        <v>2012</v>
      </c>
      <c r="B238">
        <v>29</v>
      </c>
      <c r="C238" s="2">
        <v>41112</v>
      </c>
      <c r="D238" s="1" t="s">
        <v>444</v>
      </c>
      <c r="E238">
        <v>140</v>
      </c>
      <c r="F238">
        <v>173</v>
      </c>
      <c r="G238">
        <v>140</v>
      </c>
      <c r="H238">
        <v>207</v>
      </c>
    </row>
    <row r="239" spans="1:8">
      <c r="A239">
        <v>2012</v>
      </c>
      <c r="B239">
        <v>30</v>
      </c>
      <c r="C239" s="2">
        <v>41119</v>
      </c>
      <c r="D239" s="1" t="s">
        <v>444</v>
      </c>
      <c r="E239">
        <v>185</v>
      </c>
      <c r="F239">
        <v>173</v>
      </c>
      <c r="G239">
        <v>139</v>
      </c>
      <c r="H239">
        <v>207</v>
      </c>
    </row>
    <row r="240" spans="1:8">
      <c r="A240">
        <v>2012</v>
      </c>
      <c r="B240">
        <v>31</v>
      </c>
      <c r="C240" s="2">
        <v>41126</v>
      </c>
      <c r="D240" s="1" t="s">
        <v>444</v>
      </c>
      <c r="E240">
        <v>177</v>
      </c>
      <c r="F240">
        <v>173</v>
      </c>
      <c r="G240">
        <v>139</v>
      </c>
      <c r="H240">
        <v>207</v>
      </c>
    </row>
    <row r="241" spans="1:8">
      <c r="A241">
        <v>2012</v>
      </c>
      <c r="B241">
        <v>32</v>
      </c>
      <c r="C241" s="2">
        <v>41133</v>
      </c>
      <c r="D241" s="1" t="s">
        <v>444</v>
      </c>
      <c r="E241">
        <v>166</v>
      </c>
      <c r="F241">
        <v>173</v>
      </c>
      <c r="G241">
        <v>139</v>
      </c>
      <c r="H241">
        <v>207</v>
      </c>
    </row>
    <row r="242" spans="1:8">
      <c r="A242">
        <v>2012</v>
      </c>
      <c r="B242">
        <v>33</v>
      </c>
      <c r="C242" s="2">
        <v>41140</v>
      </c>
      <c r="D242" s="1" t="s">
        <v>444</v>
      </c>
      <c r="E242">
        <v>169</v>
      </c>
      <c r="F242">
        <v>173</v>
      </c>
      <c r="G242">
        <v>140</v>
      </c>
      <c r="H242">
        <v>207</v>
      </c>
    </row>
    <row r="243" spans="1:8">
      <c r="A243">
        <v>2012</v>
      </c>
      <c r="B243">
        <v>34</v>
      </c>
      <c r="C243" s="2">
        <v>41147</v>
      </c>
      <c r="D243" s="1" t="s">
        <v>444</v>
      </c>
      <c r="E243">
        <v>201</v>
      </c>
      <c r="F243">
        <v>173</v>
      </c>
      <c r="G243">
        <v>140</v>
      </c>
      <c r="H243">
        <v>207</v>
      </c>
    </row>
    <row r="244" spans="1:8">
      <c r="A244">
        <v>2012</v>
      </c>
      <c r="B244">
        <v>35</v>
      </c>
      <c r="C244" s="2">
        <v>41154</v>
      </c>
      <c r="D244" s="1" t="s">
        <v>444</v>
      </c>
      <c r="E244">
        <v>167</v>
      </c>
      <c r="F244">
        <v>174</v>
      </c>
      <c r="G244">
        <v>140</v>
      </c>
      <c r="H244">
        <v>208</v>
      </c>
    </row>
    <row r="245" spans="1:8">
      <c r="A245">
        <v>2012</v>
      </c>
      <c r="B245">
        <v>36</v>
      </c>
      <c r="C245" s="2">
        <v>41161</v>
      </c>
      <c r="D245" s="1" t="s">
        <v>444</v>
      </c>
      <c r="E245">
        <v>172</v>
      </c>
      <c r="F245">
        <v>174</v>
      </c>
      <c r="G245">
        <v>140</v>
      </c>
      <c r="H245">
        <v>208</v>
      </c>
    </row>
    <row r="246" spans="1:8">
      <c r="A246">
        <v>2012</v>
      </c>
      <c r="B246">
        <v>37</v>
      </c>
      <c r="C246" s="2">
        <v>41168</v>
      </c>
      <c r="D246" s="1" t="s">
        <v>444</v>
      </c>
      <c r="E246">
        <v>189</v>
      </c>
      <c r="F246">
        <v>174</v>
      </c>
      <c r="G246">
        <v>140</v>
      </c>
      <c r="H246">
        <v>208</v>
      </c>
    </row>
    <row r="247" spans="1:8">
      <c r="A247">
        <v>2012</v>
      </c>
      <c r="B247">
        <v>38</v>
      </c>
      <c r="C247" s="2">
        <v>41175</v>
      </c>
      <c r="D247" s="1" t="s">
        <v>444</v>
      </c>
      <c r="E247">
        <v>180</v>
      </c>
      <c r="F247">
        <v>174</v>
      </c>
      <c r="G247">
        <v>140</v>
      </c>
      <c r="H247">
        <v>208</v>
      </c>
    </row>
    <row r="248" spans="1:8">
      <c r="A248">
        <v>2012</v>
      </c>
      <c r="B248">
        <v>39</v>
      </c>
      <c r="C248" s="2">
        <v>41182</v>
      </c>
      <c r="D248" s="1" t="s">
        <v>444</v>
      </c>
      <c r="E248">
        <v>176</v>
      </c>
      <c r="F248">
        <v>175</v>
      </c>
      <c r="G248">
        <v>141</v>
      </c>
      <c r="H248">
        <v>209</v>
      </c>
    </row>
    <row r="249" spans="1:8">
      <c r="A249">
        <v>2012</v>
      </c>
      <c r="B249">
        <v>40</v>
      </c>
      <c r="C249" s="2">
        <v>41189</v>
      </c>
      <c r="D249" s="1" t="s">
        <v>444</v>
      </c>
      <c r="E249">
        <v>180</v>
      </c>
      <c r="F249">
        <v>175</v>
      </c>
      <c r="G249">
        <v>141</v>
      </c>
      <c r="H249">
        <v>209</v>
      </c>
    </row>
    <row r="250" spans="1:8">
      <c r="A250">
        <v>2012</v>
      </c>
      <c r="B250">
        <v>41</v>
      </c>
      <c r="C250" s="2">
        <v>41196</v>
      </c>
      <c r="D250" s="1" t="s">
        <v>444</v>
      </c>
      <c r="E250">
        <v>162</v>
      </c>
      <c r="F250">
        <v>175</v>
      </c>
      <c r="G250">
        <v>141</v>
      </c>
      <c r="H250">
        <v>209</v>
      </c>
    </row>
    <row r="251" spans="1:8">
      <c r="A251">
        <v>2012</v>
      </c>
      <c r="B251">
        <v>42</v>
      </c>
      <c r="C251" s="2">
        <v>41203</v>
      </c>
      <c r="D251" s="1" t="s">
        <v>444</v>
      </c>
      <c r="E251">
        <v>149</v>
      </c>
      <c r="F251">
        <v>175</v>
      </c>
      <c r="G251">
        <v>141</v>
      </c>
      <c r="H251">
        <v>209</v>
      </c>
    </row>
    <row r="252" spans="1:8">
      <c r="A252">
        <v>2012</v>
      </c>
      <c r="B252">
        <v>43</v>
      </c>
      <c r="C252" s="2">
        <v>41210</v>
      </c>
      <c r="D252" s="1" t="s">
        <v>444</v>
      </c>
      <c r="E252">
        <v>181</v>
      </c>
      <c r="F252">
        <v>176</v>
      </c>
      <c r="G252">
        <v>141</v>
      </c>
      <c r="H252">
        <v>210</v>
      </c>
    </row>
    <row r="253" spans="1:8">
      <c r="A253">
        <v>2012</v>
      </c>
      <c r="B253">
        <v>44</v>
      </c>
      <c r="C253" s="2">
        <v>41217</v>
      </c>
      <c r="D253" s="1" t="s">
        <v>444</v>
      </c>
      <c r="E253">
        <v>187</v>
      </c>
      <c r="F253">
        <v>176</v>
      </c>
      <c r="G253">
        <v>142</v>
      </c>
      <c r="H253">
        <v>210</v>
      </c>
    </row>
    <row r="254" spans="1:8">
      <c r="A254">
        <v>2012</v>
      </c>
      <c r="B254">
        <v>45</v>
      </c>
      <c r="C254" s="2">
        <v>41224</v>
      </c>
      <c r="D254" s="1" t="s">
        <v>444</v>
      </c>
      <c r="E254">
        <v>190</v>
      </c>
      <c r="F254">
        <v>176</v>
      </c>
      <c r="G254">
        <v>142</v>
      </c>
      <c r="H254">
        <v>210</v>
      </c>
    </row>
    <row r="255" spans="1:8">
      <c r="A255">
        <v>2012</v>
      </c>
      <c r="B255">
        <v>46</v>
      </c>
      <c r="C255" s="2">
        <v>41231</v>
      </c>
      <c r="D255" s="1" t="s">
        <v>444</v>
      </c>
      <c r="E255">
        <v>183</v>
      </c>
      <c r="F255">
        <v>177</v>
      </c>
      <c r="G255">
        <v>142</v>
      </c>
      <c r="H255">
        <v>211</v>
      </c>
    </row>
    <row r="256" spans="1:8">
      <c r="A256">
        <v>2012</v>
      </c>
      <c r="B256">
        <v>47</v>
      </c>
      <c r="C256" s="2">
        <v>41238</v>
      </c>
      <c r="D256" s="1" t="s">
        <v>444</v>
      </c>
      <c r="E256">
        <v>192</v>
      </c>
      <c r="F256">
        <v>177</v>
      </c>
      <c r="G256">
        <v>143</v>
      </c>
      <c r="H256">
        <v>211</v>
      </c>
    </row>
    <row r="257" spans="1:9">
      <c r="A257">
        <v>2012</v>
      </c>
      <c r="B257">
        <v>48</v>
      </c>
      <c r="C257" s="2">
        <v>41245</v>
      </c>
      <c r="D257" s="1" t="s">
        <v>444</v>
      </c>
      <c r="E257">
        <v>143</v>
      </c>
      <c r="F257">
        <v>177</v>
      </c>
      <c r="G257">
        <v>143</v>
      </c>
      <c r="H257">
        <v>211</v>
      </c>
    </row>
    <row r="258" spans="1:9">
      <c r="A258">
        <v>2012</v>
      </c>
      <c r="B258">
        <v>49</v>
      </c>
      <c r="C258" s="2">
        <v>41252</v>
      </c>
      <c r="D258" s="1" t="s">
        <v>444</v>
      </c>
      <c r="E258">
        <v>168</v>
      </c>
      <c r="F258">
        <v>177</v>
      </c>
      <c r="G258">
        <v>143</v>
      </c>
      <c r="H258">
        <v>212</v>
      </c>
    </row>
    <row r="259" spans="1:9">
      <c r="A259">
        <v>2012</v>
      </c>
      <c r="B259">
        <v>50</v>
      </c>
      <c r="C259" s="2">
        <v>41259</v>
      </c>
      <c r="D259" s="1" t="s">
        <v>444</v>
      </c>
      <c r="E259">
        <v>163</v>
      </c>
      <c r="F259">
        <v>178</v>
      </c>
      <c r="G259">
        <v>143</v>
      </c>
      <c r="H259">
        <v>212</v>
      </c>
    </row>
    <row r="260" spans="1:9">
      <c r="A260">
        <v>2012</v>
      </c>
      <c r="B260">
        <v>51</v>
      </c>
      <c r="C260" s="2">
        <v>41266</v>
      </c>
      <c r="D260" s="1" t="s">
        <v>444</v>
      </c>
      <c r="E260">
        <v>178</v>
      </c>
      <c r="F260">
        <v>178</v>
      </c>
      <c r="G260">
        <v>144</v>
      </c>
      <c r="H260">
        <v>212</v>
      </c>
    </row>
    <row r="261" spans="1:9">
      <c r="A261">
        <v>2012</v>
      </c>
      <c r="B261">
        <v>52</v>
      </c>
      <c r="C261" s="2">
        <v>41273</v>
      </c>
      <c r="D261" s="1" t="s">
        <v>444</v>
      </c>
      <c r="E261">
        <v>202</v>
      </c>
      <c r="F261">
        <v>178</v>
      </c>
      <c r="G261">
        <v>144</v>
      </c>
      <c r="H261">
        <v>213</v>
      </c>
    </row>
    <row r="262" spans="1:9">
      <c r="A262">
        <v>2012</v>
      </c>
      <c r="B262">
        <v>1</v>
      </c>
      <c r="C262" s="2">
        <v>40916</v>
      </c>
      <c r="D262" s="1" t="s">
        <v>445</v>
      </c>
      <c r="E262">
        <v>1174</v>
      </c>
      <c r="F262">
        <v>1156</v>
      </c>
      <c r="G262">
        <v>1068</v>
      </c>
      <c r="H262">
        <v>1244</v>
      </c>
    </row>
    <row r="263" spans="1:9">
      <c r="A263">
        <v>2012</v>
      </c>
      <c r="B263">
        <v>2</v>
      </c>
      <c r="C263" s="2">
        <v>40923</v>
      </c>
      <c r="D263" s="1" t="s">
        <v>445</v>
      </c>
      <c r="E263">
        <v>1153</v>
      </c>
      <c r="F263">
        <v>1153</v>
      </c>
      <c r="G263">
        <v>1065</v>
      </c>
      <c r="H263">
        <v>1240</v>
      </c>
    </row>
    <row r="264" spans="1:9">
      <c r="A264">
        <v>2012</v>
      </c>
      <c r="B264">
        <v>3</v>
      </c>
      <c r="C264" s="2">
        <v>40930</v>
      </c>
      <c r="D264" s="1" t="s">
        <v>445</v>
      </c>
      <c r="E264">
        <v>1181</v>
      </c>
      <c r="F264">
        <v>1149</v>
      </c>
      <c r="G264">
        <v>1062</v>
      </c>
      <c r="H264">
        <v>1236</v>
      </c>
    </row>
    <row r="265" spans="1:9">
      <c r="A265">
        <v>2012</v>
      </c>
      <c r="B265">
        <v>4</v>
      </c>
      <c r="C265" s="2">
        <v>40937</v>
      </c>
      <c r="D265" s="1" t="s">
        <v>445</v>
      </c>
      <c r="E265">
        <v>1148</v>
      </c>
      <c r="F265">
        <v>1146</v>
      </c>
      <c r="G265">
        <v>1059</v>
      </c>
      <c r="H265">
        <v>1233</v>
      </c>
    </row>
    <row r="266" spans="1:9">
      <c r="A266">
        <v>2012</v>
      </c>
      <c r="B266">
        <v>5</v>
      </c>
      <c r="C266" s="2">
        <v>40944</v>
      </c>
      <c r="D266" s="1" t="s">
        <v>445</v>
      </c>
      <c r="E266">
        <v>1137</v>
      </c>
      <c r="F266">
        <v>1142</v>
      </c>
      <c r="G266">
        <v>1055</v>
      </c>
      <c r="H266">
        <v>1229</v>
      </c>
    </row>
    <row r="267" spans="1:9">
      <c r="A267">
        <v>2012</v>
      </c>
      <c r="B267">
        <v>6</v>
      </c>
      <c r="C267" s="2">
        <v>40951</v>
      </c>
      <c r="D267" s="1" t="s">
        <v>445</v>
      </c>
      <c r="E267">
        <v>1197</v>
      </c>
      <c r="F267">
        <v>1138</v>
      </c>
      <c r="G267">
        <v>1052</v>
      </c>
      <c r="H267">
        <v>1225</v>
      </c>
    </row>
    <row r="268" spans="1:9">
      <c r="A268">
        <v>2012</v>
      </c>
      <c r="B268">
        <v>7</v>
      </c>
      <c r="C268" s="2">
        <v>40958</v>
      </c>
      <c r="D268" s="1" t="s">
        <v>445</v>
      </c>
      <c r="E268">
        <v>1218</v>
      </c>
      <c r="F268">
        <v>1135</v>
      </c>
      <c r="G268">
        <v>1048</v>
      </c>
      <c r="H268">
        <v>1222</v>
      </c>
    </row>
    <row r="269" spans="1:9">
      <c r="A269">
        <v>2012</v>
      </c>
      <c r="B269">
        <v>8</v>
      </c>
      <c r="C269" s="2">
        <v>40965</v>
      </c>
      <c r="D269" s="1" t="s">
        <v>445</v>
      </c>
      <c r="E269">
        <v>1216</v>
      </c>
      <c r="F269">
        <v>1125</v>
      </c>
      <c r="G269">
        <v>1038</v>
      </c>
      <c r="H269">
        <v>1211</v>
      </c>
      <c r="I269">
        <v>1216</v>
      </c>
    </row>
    <row r="270" spans="1:9">
      <c r="A270">
        <v>2012</v>
      </c>
      <c r="B270">
        <v>9</v>
      </c>
      <c r="C270" s="2">
        <v>40972</v>
      </c>
      <c r="D270" s="1" t="s">
        <v>445</v>
      </c>
      <c r="E270">
        <v>1209</v>
      </c>
      <c r="F270">
        <v>1115</v>
      </c>
      <c r="G270">
        <v>1029</v>
      </c>
      <c r="H270">
        <v>1201</v>
      </c>
      <c r="I270">
        <v>1209</v>
      </c>
    </row>
    <row r="271" spans="1:9">
      <c r="A271">
        <v>2012</v>
      </c>
      <c r="B271">
        <v>10</v>
      </c>
      <c r="C271" s="2">
        <v>40979</v>
      </c>
      <c r="D271" s="1" t="s">
        <v>445</v>
      </c>
      <c r="E271">
        <v>1146</v>
      </c>
      <c r="F271">
        <v>1099</v>
      </c>
      <c r="G271">
        <v>1013</v>
      </c>
      <c r="H271">
        <v>1184</v>
      </c>
    </row>
    <row r="272" spans="1:9">
      <c r="A272">
        <v>2012</v>
      </c>
      <c r="B272">
        <v>11</v>
      </c>
      <c r="C272" s="2">
        <v>40986</v>
      </c>
      <c r="D272" s="1" t="s">
        <v>445</v>
      </c>
      <c r="E272">
        <v>1182</v>
      </c>
      <c r="F272">
        <v>1082</v>
      </c>
      <c r="G272">
        <v>998</v>
      </c>
      <c r="H272">
        <v>1167</v>
      </c>
      <c r="I272">
        <v>1182</v>
      </c>
    </row>
    <row r="273" spans="1:9">
      <c r="A273">
        <v>2012</v>
      </c>
      <c r="B273">
        <v>12</v>
      </c>
      <c r="C273" s="2">
        <v>40993</v>
      </c>
      <c r="D273" s="1" t="s">
        <v>445</v>
      </c>
      <c r="E273">
        <v>1048</v>
      </c>
      <c r="F273">
        <v>1062</v>
      </c>
      <c r="G273">
        <v>978</v>
      </c>
      <c r="H273">
        <v>1146</v>
      </c>
    </row>
    <row r="274" spans="1:9">
      <c r="A274">
        <v>2012</v>
      </c>
      <c r="B274">
        <v>13</v>
      </c>
      <c r="C274" s="2">
        <v>41000</v>
      </c>
      <c r="D274" s="1" t="s">
        <v>445</v>
      </c>
      <c r="E274">
        <v>1121</v>
      </c>
      <c r="F274">
        <v>1042</v>
      </c>
      <c r="G274">
        <v>959</v>
      </c>
      <c r="H274">
        <v>1126</v>
      </c>
    </row>
    <row r="275" spans="1:9">
      <c r="A275">
        <v>2012</v>
      </c>
      <c r="B275">
        <v>14</v>
      </c>
      <c r="C275" s="2">
        <v>41007</v>
      </c>
      <c r="D275" s="1" t="s">
        <v>445</v>
      </c>
      <c r="E275">
        <v>1082</v>
      </c>
      <c r="F275">
        <v>1025</v>
      </c>
      <c r="G275">
        <v>943</v>
      </c>
      <c r="H275">
        <v>1108</v>
      </c>
    </row>
    <row r="276" spans="1:9">
      <c r="A276">
        <v>2012</v>
      </c>
      <c r="B276">
        <v>15</v>
      </c>
      <c r="C276" s="2">
        <v>41014</v>
      </c>
      <c r="D276" s="1" t="s">
        <v>445</v>
      </c>
      <c r="E276">
        <v>1092</v>
      </c>
      <c r="F276">
        <v>1010</v>
      </c>
      <c r="G276">
        <v>929</v>
      </c>
      <c r="H276">
        <v>1092</v>
      </c>
    </row>
    <row r="277" spans="1:9">
      <c r="A277">
        <v>2012</v>
      </c>
      <c r="B277">
        <v>16</v>
      </c>
      <c r="C277" s="2">
        <v>41021</v>
      </c>
      <c r="D277" s="1" t="s">
        <v>445</v>
      </c>
      <c r="E277">
        <v>1018</v>
      </c>
      <c r="F277">
        <v>996</v>
      </c>
      <c r="G277">
        <v>914</v>
      </c>
      <c r="H277">
        <v>1077</v>
      </c>
    </row>
    <row r="278" spans="1:9">
      <c r="A278">
        <v>2012</v>
      </c>
      <c r="B278">
        <v>17</v>
      </c>
      <c r="C278" s="2">
        <v>41028</v>
      </c>
      <c r="D278" s="1" t="s">
        <v>445</v>
      </c>
      <c r="E278">
        <v>1088</v>
      </c>
      <c r="F278">
        <v>985</v>
      </c>
      <c r="G278">
        <v>904</v>
      </c>
      <c r="H278">
        <v>1066</v>
      </c>
      <c r="I278">
        <v>1088</v>
      </c>
    </row>
    <row r="279" spans="1:9">
      <c r="A279">
        <v>2012</v>
      </c>
      <c r="B279">
        <v>18</v>
      </c>
      <c r="C279" s="2">
        <v>41035</v>
      </c>
      <c r="D279" s="1" t="s">
        <v>445</v>
      </c>
      <c r="E279">
        <v>987</v>
      </c>
      <c r="F279">
        <v>974</v>
      </c>
      <c r="G279">
        <v>894</v>
      </c>
      <c r="H279">
        <v>1054</v>
      </c>
    </row>
    <row r="280" spans="1:9">
      <c r="A280">
        <v>2012</v>
      </c>
      <c r="B280">
        <v>19</v>
      </c>
      <c r="C280" s="2">
        <v>41042</v>
      </c>
      <c r="D280" s="1" t="s">
        <v>445</v>
      </c>
      <c r="E280">
        <v>979</v>
      </c>
      <c r="F280">
        <v>966</v>
      </c>
      <c r="G280">
        <v>886</v>
      </c>
      <c r="H280">
        <v>1046</v>
      </c>
    </row>
    <row r="281" spans="1:9">
      <c r="A281">
        <v>2012</v>
      </c>
      <c r="B281">
        <v>20</v>
      </c>
      <c r="C281" s="2">
        <v>41049</v>
      </c>
      <c r="D281" s="1" t="s">
        <v>445</v>
      </c>
      <c r="E281">
        <v>941</v>
      </c>
      <c r="F281">
        <v>957</v>
      </c>
      <c r="G281">
        <v>878</v>
      </c>
      <c r="H281">
        <v>1037</v>
      </c>
    </row>
    <row r="282" spans="1:9">
      <c r="A282">
        <v>2012</v>
      </c>
      <c r="B282">
        <v>21</v>
      </c>
      <c r="C282" s="2">
        <v>41056</v>
      </c>
      <c r="D282" s="1" t="s">
        <v>445</v>
      </c>
      <c r="E282">
        <v>921</v>
      </c>
      <c r="F282">
        <v>950</v>
      </c>
      <c r="G282">
        <v>871</v>
      </c>
      <c r="H282">
        <v>1030</v>
      </c>
    </row>
    <row r="283" spans="1:9">
      <c r="A283">
        <v>2012</v>
      </c>
      <c r="B283">
        <v>22</v>
      </c>
      <c r="C283" s="2">
        <v>41063</v>
      </c>
      <c r="D283" s="1" t="s">
        <v>445</v>
      </c>
      <c r="E283">
        <v>951</v>
      </c>
      <c r="F283">
        <v>947</v>
      </c>
      <c r="G283">
        <v>868</v>
      </c>
      <c r="H283">
        <v>1026</v>
      </c>
    </row>
    <row r="284" spans="1:9">
      <c r="A284">
        <v>2012</v>
      </c>
      <c r="B284">
        <v>23</v>
      </c>
      <c r="C284" s="2">
        <v>41070</v>
      </c>
      <c r="D284" s="1" t="s">
        <v>445</v>
      </c>
      <c r="E284">
        <v>873</v>
      </c>
      <c r="F284">
        <v>944</v>
      </c>
      <c r="G284">
        <v>865</v>
      </c>
      <c r="H284">
        <v>1023</v>
      </c>
    </row>
    <row r="285" spans="1:9">
      <c r="A285">
        <v>2012</v>
      </c>
      <c r="B285">
        <v>24</v>
      </c>
      <c r="C285" s="2">
        <v>41077</v>
      </c>
      <c r="D285" s="1" t="s">
        <v>445</v>
      </c>
      <c r="E285">
        <v>985</v>
      </c>
      <c r="F285">
        <v>941</v>
      </c>
      <c r="G285">
        <v>862</v>
      </c>
      <c r="H285">
        <v>1020</v>
      </c>
    </row>
    <row r="286" spans="1:9">
      <c r="A286">
        <v>2012</v>
      </c>
      <c r="B286">
        <v>25</v>
      </c>
      <c r="C286" s="2">
        <v>41084</v>
      </c>
      <c r="D286" s="1" t="s">
        <v>445</v>
      </c>
      <c r="E286">
        <v>956</v>
      </c>
      <c r="F286">
        <v>937</v>
      </c>
      <c r="G286">
        <v>858</v>
      </c>
      <c r="H286">
        <v>1016</v>
      </c>
    </row>
    <row r="287" spans="1:9">
      <c r="A287">
        <v>2012</v>
      </c>
      <c r="B287">
        <v>26</v>
      </c>
      <c r="C287" s="2">
        <v>41091</v>
      </c>
      <c r="D287" s="1" t="s">
        <v>445</v>
      </c>
      <c r="E287">
        <v>945</v>
      </c>
      <c r="F287">
        <v>933</v>
      </c>
      <c r="G287">
        <v>854</v>
      </c>
      <c r="H287">
        <v>1012</v>
      </c>
    </row>
    <row r="288" spans="1:9">
      <c r="A288">
        <v>2012</v>
      </c>
      <c r="B288">
        <v>27</v>
      </c>
      <c r="C288" s="2">
        <v>41098</v>
      </c>
      <c r="D288" s="1" t="s">
        <v>445</v>
      </c>
      <c r="E288">
        <v>903</v>
      </c>
      <c r="F288">
        <v>929</v>
      </c>
      <c r="G288">
        <v>850</v>
      </c>
      <c r="H288">
        <v>1007</v>
      </c>
    </row>
    <row r="289" spans="1:9">
      <c r="A289">
        <v>2012</v>
      </c>
      <c r="B289">
        <v>28</v>
      </c>
      <c r="C289" s="2">
        <v>41105</v>
      </c>
      <c r="D289" s="1" t="s">
        <v>445</v>
      </c>
      <c r="E289">
        <v>925</v>
      </c>
      <c r="F289">
        <v>925</v>
      </c>
      <c r="G289">
        <v>847</v>
      </c>
      <c r="H289">
        <v>1003</v>
      </c>
    </row>
    <row r="290" spans="1:9">
      <c r="A290">
        <v>2012</v>
      </c>
      <c r="B290">
        <v>29</v>
      </c>
      <c r="C290" s="2">
        <v>41112</v>
      </c>
      <c r="D290" s="1" t="s">
        <v>445</v>
      </c>
      <c r="E290">
        <v>933</v>
      </c>
      <c r="F290">
        <v>921</v>
      </c>
      <c r="G290">
        <v>843</v>
      </c>
      <c r="H290">
        <v>1000</v>
      </c>
    </row>
    <row r="291" spans="1:9">
      <c r="A291">
        <v>2012</v>
      </c>
      <c r="B291">
        <v>30</v>
      </c>
      <c r="C291" s="2">
        <v>41119</v>
      </c>
      <c r="D291" s="1" t="s">
        <v>445</v>
      </c>
      <c r="E291">
        <v>957</v>
      </c>
      <c r="F291">
        <v>920</v>
      </c>
      <c r="G291">
        <v>842</v>
      </c>
      <c r="H291">
        <v>998</v>
      </c>
    </row>
    <row r="292" spans="1:9">
      <c r="A292">
        <v>2012</v>
      </c>
      <c r="B292">
        <v>31</v>
      </c>
      <c r="C292" s="2">
        <v>41126</v>
      </c>
      <c r="D292" s="1" t="s">
        <v>445</v>
      </c>
      <c r="E292">
        <v>945</v>
      </c>
      <c r="F292">
        <v>918</v>
      </c>
      <c r="G292">
        <v>840</v>
      </c>
      <c r="H292">
        <v>996</v>
      </c>
    </row>
    <row r="293" spans="1:9">
      <c r="A293">
        <v>2012</v>
      </c>
      <c r="B293">
        <v>32</v>
      </c>
      <c r="C293" s="2">
        <v>41133</v>
      </c>
      <c r="D293" s="1" t="s">
        <v>445</v>
      </c>
      <c r="E293">
        <v>858</v>
      </c>
      <c r="F293">
        <v>921</v>
      </c>
      <c r="G293">
        <v>843</v>
      </c>
      <c r="H293">
        <v>999</v>
      </c>
    </row>
    <row r="294" spans="1:9">
      <c r="A294">
        <v>2012</v>
      </c>
      <c r="B294">
        <v>33</v>
      </c>
      <c r="C294" s="2">
        <v>41140</v>
      </c>
      <c r="D294" s="1" t="s">
        <v>445</v>
      </c>
      <c r="E294">
        <v>949</v>
      </c>
      <c r="F294">
        <v>924</v>
      </c>
      <c r="G294">
        <v>845</v>
      </c>
      <c r="H294">
        <v>1002</v>
      </c>
    </row>
    <row r="295" spans="1:9">
      <c r="A295">
        <v>2012</v>
      </c>
      <c r="B295">
        <v>34</v>
      </c>
      <c r="C295" s="2">
        <v>41147</v>
      </c>
      <c r="D295" s="1" t="s">
        <v>445</v>
      </c>
      <c r="E295">
        <v>979</v>
      </c>
      <c r="F295">
        <v>928</v>
      </c>
      <c r="G295">
        <v>850</v>
      </c>
      <c r="H295">
        <v>1007</v>
      </c>
    </row>
    <row r="296" spans="1:9">
      <c r="A296">
        <v>2012</v>
      </c>
      <c r="B296">
        <v>35</v>
      </c>
      <c r="C296" s="2">
        <v>41154</v>
      </c>
      <c r="D296" s="1" t="s">
        <v>445</v>
      </c>
      <c r="E296">
        <v>914</v>
      </c>
      <c r="F296">
        <v>934</v>
      </c>
      <c r="G296">
        <v>855</v>
      </c>
      <c r="H296">
        <v>1012</v>
      </c>
    </row>
    <row r="297" spans="1:9">
      <c r="A297">
        <v>2012</v>
      </c>
      <c r="B297">
        <v>36</v>
      </c>
      <c r="C297" s="2">
        <v>41161</v>
      </c>
      <c r="D297" s="1" t="s">
        <v>445</v>
      </c>
      <c r="E297">
        <v>955</v>
      </c>
      <c r="F297">
        <v>939</v>
      </c>
      <c r="G297">
        <v>860</v>
      </c>
      <c r="H297">
        <v>1018</v>
      </c>
    </row>
    <row r="298" spans="1:9">
      <c r="A298">
        <v>2012</v>
      </c>
      <c r="B298">
        <v>37</v>
      </c>
      <c r="C298" s="2">
        <v>41168</v>
      </c>
      <c r="D298" s="1" t="s">
        <v>445</v>
      </c>
      <c r="E298">
        <v>970</v>
      </c>
      <c r="F298">
        <v>944</v>
      </c>
      <c r="G298">
        <v>865</v>
      </c>
      <c r="H298">
        <v>1023</v>
      </c>
    </row>
    <row r="299" spans="1:9">
      <c r="A299">
        <v>2012</v>
      </c>
      <c r="B299">
        <v>38</v>
      </c>
      <c r="C299" s="2">
        <v>41175</v>
      </c>
      <c r="D299" s="1" t="s">
        <v>445</v>
      </c>
      <c r="E299">
        <v>993</v>
      </c>
      <c r="F299">
        <v>950</v>
      </c>
      <c r="G299">
        <v>871</v>
      </c>
      <c r="H299">
        <v>1030</v>
      </c>
    </row>
    <row r="300" spans="1:9">
      <c r="A300">
        <v>2012</v>
      </c>
      <c r="B300">
        <v>39</v>
      </c>
      <c r="C300" s="2">
        <v>41182</v>
      </c>
      <c r="D300" s="1" t="s">
        <v>445</v>
      </c>
      <c r="E300">
        <v>979</v>
      </c>
      <c r="F300">
        <v>957</v>
      </c>
      <c r="G300">
        <v>877</v>
      </c>
      <c r="H300">
        <v>1036</v>
      </c>
    </row>
    <row r="301" spans="1:9">
      <c r="A301">
        <v>2012</v>
      </c>
      <c r="B301">
        <v>40</v>
      </c>
      <c r="C301" s="2">
        <v>41189</v>
      </c>
      <c r="D301" s="1" t="s">
        <v>445</v>
      </c>
      <c r="E301">
        <v>1057</v>
      </c>
      <c r="F301">
        <v>965</v>
      </c>
      <c r="G301">
        <v>885</v>
      </c>
      <c r="H301">
        <v>1045</v>
      </c>
      <c r="I301">
        <v>1057</v>
      </c>
    </row>
    <row r="302" spans="1:9">
      <c r="A302">
        <v>2012</v>
      </c>
      <c r="B302">
        <v>41</v>
      </c>
      <c r="C302" s="2">
        <v>41196</v>
      </c>
      <c r="D302" s="1" t="s">
        <v>445</v>
      </c>
      <c r="E302">
        <v>1018</v>
      </c>
      <c r="F302">
        <v>972</v>
      </c>
      <c r="G302">
        <v>892</v>
      </c>
      <c r="H302">
        <v>1053</v>
      </c>
    </row>
    <row r="303" spans="1:9">
      <c r="A303">
        <v>2012</v>
      </c>
      <c r="B303">
        <v>42</v>
      </c>
      <c r="C303" s="2">
        <v>41203</v>
      </c>
      <c r="D303" s="1" t="s">
        <v>445</v>
      </c>
      <c r="E303">
        <v>993</v>
      </c>
      <c r="F303">
        <v>980</v>
      </c>
      <c r="G303">
        <v>900</v>
      </c>
      <c r="H303">
        <v>1061</v>
      </c>
    </row>
    <row r="304" spans="1:9">
      <c r="A304">
        <v>2012</v>
      </c>
      <c r="B304">
        <v>43</v>
      </c>
      <c r="C304" s="2">
        <v>41210</v>
      </c>
      <c r="D304" s="1" t="s">
        <v>445</v>
      </c>
      <c r="E304">
        <v>1064</v>
      </c>
      <c r="F304">
        <v>991</v>
      </c>
      <c r="G304">
        <v>910</v>
      </c>
      <c r="H304">
        <v>1072</v>
      </c>
    </row>
    <row r="305" spans="1:9">
      <c r="A305">
        <v>2012</v>
      </c>
      <c r="B305">
        <v>44</v>
      </c>
      <c r="C305" s="2">
        <v>41217</v>
      </c>
      <c r="D305" s="1" t="s">
        <v>445</v>
      </c>
      <c r="E305">
        <v>986</v>
      </c>
      <c r="F305">
        <v>1002</v>
      </c>
      <c r="G305">
        <v>920</v>
      </c>
      <c r="H305">
        <v>1083</v>
      </c>
    </row>
    <row r="306" spans="1:9">
      <c r="A306">
        <v>2012</v>
      </c>
      <c r="B306">
        <v>45</v>
      </c>
      <c r="C306" s="2">
        <v>41224</v>
      </c>
      <c r="D306" s="1" t="s">
        <v>445</v>
      </c>
      <c r="E306">
        <v>994</v>
      </c>
      <c r="F306">
        <v>1015</v>
      </c>
      <c r="G306">
        <v>933</v>
      </c>
      <c r="H306">
        <v>1097</v>
      </c>
    </row>
    <row r="307" spans="1:9">
      <c r="A307">
        <v>2012</v>
      </c>
      <c r="B307">
        <v>46</v>
      </c>
      <c r="C307" s="2">
        <v>41231</v>
      </c>
      <c r="D307" s="1" t="s">
        <v>445</v>
      </c>
      <c r="E307">
        <v>1024</v>
      </c>
      <c r="F307">
        <v>1028</v>
      </c>
      <c r="G307">
        <v>945</v>
      </c>
      <c r="H307">
        <v>1111</v>
      </c>
    </row>
    <row r="308" spans="1:9">
      <c r="A308">
        <v>2012</v>
      </c>
      <c r="B308">
        <v>47</v>
      </c>
      <c r="C308" s="2">
        <v>41238</v>
      </c>
      <c r="D308" s="1" t="s">
        <v>445</v>
      </c>
      <c r="E308">
        <v>1073</v>
      </c>
      <c r="F308">
        <v>1043</v>
      </c>
      <c r="G308">
        <v>960</v>
      </c>
      <c r="H308">
        <v>1126</v>
      </c>
    </row>
    <row r="309" spans="1:9">
      <c r="A309">
        <v>2012</v>
      </c>
      <c r="B309">
        <v>48</v>
      </c>
      <c r="C309" s="2">
        <v>41245</v>
      </c>
      <c r="D309" s="1" t="s">
        <v>445</v>
      </c>
      <c r="E309">
        <v>1067</v>
      </c>
      <c r="F309">
        <v>1059</v>
      </c>
      <c r="G309">
        <v>975</v>
      </c>
      <c r="H309">
        <v>1143</v>
      </c>
    </row>
    <row r="310" spans="1:9">
      <c r="A310">
        <v>2012</v>
      </c>
      <c r="B310">
        <v>49</v>
      </c>
      <c r="C310" s="2">
        <v>41252</v>
      </c>
      <c r="D310" s="1" t="s">
        <v>445</v>
      </c>
      <c r="E310">
        <v>1095</v>
      </c>
      <c r="F310">
        <v>1075</v>
      </c>
      <c r="G310">
        <v>991</v>
      </c>
      <c r="H310">
        <v>1160</v>
      </c>
    </row>
    <row r="311" spans="1:9">
      <c r="A311">
        <v>2012</v>
      </c>
      <c r="B311">
        <v>50</v>
      </c>
      <c r="C311" s="2">
        <v>41259</v>
      </c>
      <c r="D311" s="1" t="s">
        <v>445</v>
      </c>
      <c r="E311">
        <v>1103</v>
      </c>
      <c r="F311">
        <v>1091</v>
      </c>
      <c r="G311">
        <v>1006</v>
      </c>
      <c r="H311">
        <v>1176</v>
      </c>
    </row>
    <row r="312" spans="1:9">
      <c r="A312">
        <v>2012</v>
      </c>
      <c r="B312">
        <v>51</v>
      </c>
      <c r="C312" s="2">
        <v>41266</v>
      </c>
      <c r="D312" s="1" t="s">
        <v>445</v>
      </c>
      <c r="E312">
        <v>1094</v>
      </c>
      <c r="F312">
        <v>1107</v>
      </c>
      <c r="G312">
        <v>1021</v>
      </c>
      <c r="H312">
        <v>1193</v>
      </c>
    </row>
    <row r="313" spans="1:9">
      <c r="A313">
        <v>2012</v>
      </c>
      <c r="B313">
        <v>52</v>
      </c>
      <c r="C313" s="2">
        <v>41273</v>
      </c>
      <c r="D313" s="1" t="s">
        <v>445</v>
      </c>
      <c r="E313">
        <v>1140</v>
      </c>
      <c r="F313">
        <v>1123</v>
      </c>
      <c r="G313">
        <v>1036</v>
      </c>
      <c r="H313">
        <v>1209</v>
      </c>
    </row>
    <row r="314" spans="1:9">
      <c r="A314">
        <v>2013</v>
      </c>
      <c r="B314">
        <v>1</v>
      </c>
      <c r="C314" s="2">
        <v>41280</v>
      </c>
      <c r="D314" s="1" t="s">
        <v>444</v>
      </c>
      <c r="E314">
        <v>194</v>
      </c>
      <c r="F314">
        <v>185</v>
      </c>
      <c r="G314">
        <v>150</v>
      </c>
      <c r="H314">
        <v>220</v>
      </c>
    </row>
    <row r="315" spans="1:9">
      <c r="A315">
        <v>2013</v>
      </c>
      <c r="B315">
        <v>2</v>
      </c>
      <c r="C315" s="2">
        <v>41287</v>
      </c>
      <c r="D315" s="1" t="s">
        <v>444</v>
      </c>
      <c r="E315">
        <v>174</v>
      </c>
      <c r="F315">
        <v>185</v>
      </c>
      <c r="G315">
        <v>150</v>
      </c>
      <c r="H315">
        <v>220</v>
      </c>
    </row>
    <row r="316" spans="1:9">
      <c r="A316">
        <v>2013</v>
      </c>
      <c r="B316">
        <v>3</v>
      </c>
      <c r="C316" s="2">
        <v>41294</v>
      </c>
      <c r="D316" s="1" t="s">
        <v>444</v>
      </c>
      <c r="E316">
        <v>204</v>
      </c>
      <c r="F316">
        <v>184</v>
      </c>
      <c r="G316">
        <v>149</v>
      </c>
      <c r="H316">
        <v>219</v>
      </c>
    </row>
    <row r="317" spans="1:9">
      <c r="A317">
        <v>2013</v>
      </c>
      <c r="B317">
        <v>4</v>
      </c>
      <c r="C317" s="2">
        <v>41301</v>
      </c>
      <c r="D317" s="1" t="s">
        <v>444</v>
      </c>
      <c r="E317">
        <v>192</v>
      </c>
      <c r="F317">
        <v>184</v>
      </c>
      <c r="G317">
        <v>149</v>
      </c>
      <c r="H317">
        <v>218</v>
      </c>
    </row>
    <row r="318" spans="1:9">
      <c r="A318">
        <v>2013</v>
      </c>
      <c r="B318">
        <v>5</v>
      </c>
      <c r="C318" s="2">
        <v>41308</v>
      </c>
      <c r="D318" s="1" t="s">
        <v>444</v>
      </c>
      <c r="E318">
        <v>207</v>
      </c>
      <c r="F318">
        <v>183</v>
      </c>
      <c r="G318">
        <v>148</v>
      </c>
      <c r="H318">
        <v>218</v>
      </c>
    </row>
    <row r="319" spans="1:9">
      <c r="A319">
        <v>2013</v>
      </c>
      <c r="B319">
        <v>6</v>
      </c>
      <c r="C319" s="2">
        <v>41315</v>
      </c>
      <c r="D319" s="1" t="s">
        <v>444</v>
      </c>
      <c r="E319">
        <v>195</v>
      </c>
      <c r="F319">
        <v>182</v>
      </c>
      <c r="G319">
        <v>148</v>
      </c>
      <c r="H319">
        <v>217</v>
      </c>
    </row>
    <row r="320" spans="1:9">
      <c r="A320">
        <v>2013</v>
      </c>
      <c r="B320">
        <v>7</v>
      </c>
      <c r="C320" s="2">
        <v>41322</v>
      </c>
      <c r="D320" s="1" t="s">
        <v>444</v>
      </c>
      <c r="E320">
        <v>232</v>
      </c>
      <c r="F320">
        <v>182</v>
      </c>
      <c r="G320">
        <v>147</v>
      </c>
      <c r="H320">
        <v>217</v>
      </c>
      <c r="I320">
        <v>232</v>
      </c>
    </row>
    <row r="321" spans="1:8">
      <c r="A321">
        <v>2013</v>
      </c>
      <c r="B321">
        <v>8</v>
      </c>
      <c r="C321" s="2">
        <v>41329</v>
      </c>
      <c r="D321" s="1" t="s">
        <v>444</v>
      </c>
      <c r="E321">
        <v>193</v>
      </c>
      <c r="F321">
        <v>181</v>
      </c>
      <c r="G321">
        <v>147</v>
      </c>
      <c r="H321">
        <v>216</v>
      </c>
    </row>
    <row r="322" spans="1:8">
      <c r="A322">
        <v>2013</v>
      </c>
      <c r="B322">
        <v>9</v>
      </c>
      <c r="C322" s="2">
        <v>41336</v>
      </c>
      <c r="D322" s="1" t="s">
        <v>444</v>
      </c>
      <c r="E322">
        <v>206</v>
      </c>
      <c r="F322">
        <v>181</v>
      </c>
      <c r="G322">
        <v>146</v>
      </c>
      <c r="H322">
        <v>215</v>
      </c>
    </row>
    <row r="323" spans="1:8">
      <c r="A323">
        <v>2013</v>
      </c>
      <c r="B323">
        <v>10</v>
      </c>
      <c r="C323" s="2">
        <v>41343</v>
      </c>
      <c r="D323" s="1" t="s">
        <v>444</v>
      </c>
      <c r="E323">
        <v>151</v>
      </c>
      <c r="F323">
        <v>180</v>
      </c>
      <c r="G323">
        <v>146</v>
      </c>
      <c r="H323">
        <v>215</v>
      </c>
    </row>
    <row r="324" spans="1:8">
      <c r="A324">
        <v>2013</v>
      </c>
      <c r="B324">
        <v>11</v>
      </c>
      <c r="C324" s="2">
        <v>41350</v>
      </c>
      <c r="D324" s="1" t="s">
        <v>444</v>
      </c>
      <c r="E324">
        <v>192</v>
      </c>
      <c r="F324">
        <v>180</v>
      </c>
      <c r="G324">
        <v>145</v>
      </c>
      <c r="H324">
        <v>214</v>
      </c>
    </row>
    <row r="325" spans="1:8">
      <c r="A325">
        <v>2013</v>
      </c>
      <c r="B325">
        <v>12</v>
      </c>
      <c r="C325" s="2">
        <v>41357</v>
      </c>
      <c r="D325" s="1" t="s">
        <v>444</v>
      </c>
      <c r="E325">
        <v>203</v>
      </c>
      <c r="F325">
        <v>179</v>
      </c>
      <c r="G325">
        <v>145</v>
      </c>
      <c r="H325">
        <v>213</v>
      </c>
    </row>
    <row r="326" spans="1:8">
      <c r="A326">
        <v>2013</v>
      </c>
      <c r="B326">
        <v>13</v>
      </c>
      <c r="C326" s="2">
        <v>41364</v>
      </c>
      <c r="D326" s="1" t="s">
        <v>444</v>
      </c>
      <c r="E326">
        <v>182</v>
      </c>
      <c r="F326">
        <v>178</v>
      </c>
      <c r="G326">
        <v>144</v>
      </c>
      <c r="H326">
        <v>213</v>
      </c>
    </row>
    <row r="327" spans="1:8">
      <c r="A327">
        <v>2013</v>
      </c>
      <c r="B327">
        <v>14</v>
      </c>
      <c r="C327" s="2">
        <v>41371</v>
      </c>
      <c r="D327" s="1" t="s">
        <v>444</v>
      </c>
      <c r="E327">
        <v>185</v>
      </c>
      <c r="F327">
        <v>178</v>
      </c>
      <c r="G327">
        <v>144</v>
      </c>
      <c r="H327">
        <v>212</v>
      </c>
    </row>
    <row r="328" spans="1:8">
      <c r="A328">
        <v>2013</v>
      </c>
      <c r="B328">
        <v>15</v>
      </c>
      <c r="C328" s="2">
        <v>41378</v>
      </c>
      <c r="D328" s="1" t="s">
        <v>444</v>
      </c>
      <c r="E328">
        <v>161</v>
      </c>
      <c r="F328">
        <v>177</v>
      </c>
      <c r="G328">
        <v>143</v>
      </c>
      <c r="H328">
        <v>212</v>
      </c>
    </row>
    <row r="329" spans="1:8">
      <c r="A329">
        <v>2013</v>
      </c>
      <c r="B329">
        <v>16</v>
      </c>
      <c r="C329" s="2">
        <v>41385</v>
      </c>
      <c r="D329" s="1" t="s">
        <v>444</v>
      </c>
      <c r="E329">
        <v>170</v>
      </c>
      <c r="F329">
        <v>177</v>
      </c>
      <c r="G329">
        <v>142</v>
      </c>
      <c r="H329">
        <v>211</v>
      </c>
    </row>
    <row r="330" spans="1:8">
      <c r="A330">
        <v>2013</v>
      </c>
      <c r="B330">
        <v>17</v>
      </c>
      <c r="C330" s="2">
        <v>41392</v>
      </c>
      <c r="D330" s="1" t="s">
        <v>444</v>
      </c>
      <c r="E330">
        <v>191</v>
      </c>
      <c r="F330">
        <v>176</v>
      </c>
      <c r="G330">
        <v>142</v>
      </c>
      <c r="H330">
        <v>210</v>
      </c>
    </row>
    <row r="331" spans="1:8">
      <c r="A331">
        <v>2013</v>
      </c>
      <c r="B331">
        <v>18</v>
      </c>
      <c r="C331" s="2">
        <v>41399</v>
      </c>
      <c r="D331" s="1" t="s">
        <v>444</v>
      </c>
      <c r="E331">
        <v>184</v>
      </c>
      <c r="F331">
        <v>175</v>
      </c>
      <c r="G331">
        <v>141</v>
      </c>
      <c r="H331">
        <v>209</v>
      </c>
    </row>
    <row r="332" spans="1:8">
      <c r="A332">
        <v>2013</v>
      </c>
      <c r="B332">
        <v>19</v>
      </c>
      <c r="C332" s="2">
        <v>41406</v>
      </c>
      <c r="D332" s="1" t="s">
        <v>444</v>
      </c>
      <c r="E332">
        <v>170</v>
      </c>
      <c r="F332">
        <v>175</v>
      </c>
      <c r="G332">
        <v>141</v>
      </c>
      <c r="H332">
        <v>209</v>
      </c>
    </row>
    <row r="333" spans="1:8">
      <c r="A333">
        <v>2013</v>
      </c>
      <c r="B333">
        <v>20</v>
      </c>
      <c r="C333" s="2">
        <v>41413</v>
      </c>
      <c r="D333" s="1" t="s">
        <v>444</v>
      </c>
      <c r="E333">
        <v>173</v>
      </c>
      <c r="F333">
        <v>174</v>
      </c>
      <c r="G333">
        <v>140</v>
      </c>
      <c r="H333">
        <v>208</v>
      </c>
    </row>
    <row r="334" spans="1:8">
      <c r="A334">
        <v>2013</v>
      </c>
      <c r="B334">
        <v>21</v>
      </c>
      <c r="C334" s="2">
        <v>41420</v>
      </c>
      <c r="D334" s="1" t="s">
        <v>444</v>
      </c>
      <c r="E334">
        <v>164</v>
      </c>
      <c r="F334">
        <v>173</v>
      </c>
      <c r="G334">
        <v>139</v>
      </c>
      <c r="H334">
        <v>207</v>
      </c>
    </row>
    <row r="335" spans="1:8">
      <c r="A335">
        <v>2013</v>
      </c>
      <c r="B335">
        <v>22</v>
      </c>
      <c r="C335" s="2">
        <v>41427</v>
      </c>
      <c r="D335" s="1" t="s">
        <v>444</v>
      </c>
      <c r="E335">
        <v>184</v>
      </c>
      <c r="F335">
        <v>173</v>
      </c>
      <c r="G335">
        <v>139</v>
      </c>
      <c r="H335">
        <v>207</v>
      </c>
    </row>
    <row r="336" spans="1:8">
      <c r="A336">
        <v>2013</v>
      </c>
      <c r="B336">
        <v>23</v>
      </c>
      <c r="C336" s="2">
        <v>41434</v>
      </c>
      <c r="D336" s="1" t="s">
        <v>444</v>
      </c>
      <c r="E336">
        <v>153</v>
      </c>
      <c r="F336">
        <v>173</v>
      </c>
      <c r="G336">
        <v>139</v>
      </c>
      <c r="H336">
        <v>207</v>
      </c>
    </row>
    <row r="337" spans="1:8">
      <c r="A337">
        <v>2013</v>
      </c>
      <c r="B337">
        <v>24</v>
      </c>
      <c r="C337" s="2">
        <v>41441</v>
      </c>
      <c r="D337" s="1" t="s">
        <v>444</v>
      </c>
      <c r="E337">
        <v>182</v>
      </c>
      <c r="F337">
        <v>172</v>
      </c>
      <c r="G337">
        <v>139</v>
      </c>
      <c r="H337">
        <v>206</v>
      </c>
    </row>
    <row r="338" spans="1:8">
      <c r="A338">
        <v>2013</v>
      </c>
      <c r="B338">
        <v>25</v>
      </c>
      <c r="C338" s="2">
        <v>41448</v>
      </c>
      <c r="D338" s="1" t="s">
        <v>444</v>
      </c>
      <c r="E338">
        <v>169</v>
      </c>
      <c r="F338">
        <v>172</v>
      </c>
      <c r="G338">
        <v>138</v>
      </c>
      <c r="H338">
        <v>206</v>
      </c>
    </row>
    <row r="339" spans="1:8">
      <c r="A339">
        <v>2013</v>
      </c>
      <c r="B339">
        <v>26</v>
      </c>
      <c r="C339" s="2">
        <v>41455</v>
      </c>
      <c r="D339" s="1" t="s">
        <v>444</v>
      </c>
      <c r="E339">
        <v>191</v>
      </c>
      <c r="F339">
        <v>172</v>
      </c>
      <c r="G339">
        <v>138</v>
      </c>
      <c r="H339">
        <v>205</v>
      </c>
    </row>
    <row r="340" spans="1:8">
      <c r="A340">
        <v>2013</v>
      </c>
      <c r="B340">
        <v>27</v>
      </c>
      <c r="C340" s="2">
        <v>41462</v>
      </c>
      <c r="D340" s="1" t="s">
        <v>444</v>
      </c>
      <c r="E340">
        <v>174</v>
      </c>
      <c r="F340">
        <v>171</v>
      </c>
      <c r="G340">
        <v>138</v>
      </c>
      <c r="H340">
        <v>205</v>
      </c>
    </row>
    <row r="341" spans="1:8">
      <c r="A341">
        <v>2013</v>
      </c>
      <c r="B341">
        <v>28</v>
      </c>
      <c r="C341" s="2">
        <v>41469</v>
      </c>
      <c r="D341" s="1" t="s">
        <v>444</v>
      </c>
      <c r="E341">
        <v>175</v>
      </c>
      <c r="F341">
        <v>171</v>
      </c>
      <c r="G341">
        <v>138</v>
      </c>
      <c r="H341">
        <v>205</v>
      </c>
    </row>
    <row r="342" spans="1:8">
      <c r="A342">
        <v>2013</v>
      </c>
      <c r="B342">
        <v>29</v>
      </c>
      <c r="C342" s="2">
        <v>41476</v>
      </c>
      <c r="D342" s="1" t="s">
        <v>444</v>
      </c>
      <c r="E342">
        <v>161</v>
      </c>
      <c r="F342">
        <v>171</v>
      </c>
      <c r="G342">
        <v>138</v>
      </c>
      <c r="H342">
        <v>205</v>
      </c>
    </row>
    <row r="343" spans="1:8">
      <c r="A343">
        <v>2013</v>
      </c>
      <c r="B343">
        <v>30</v>
      </c>
      <c r="C343" s="2">
        <v>41483</v>
      </c>
      <c r="D343" s="1" t="s">
        <v>444</v>
      </c>
      <c r="E343">
        <v>176</v>
      </c>
      <c r="F343">
        <v>171</v>
      </c>
      <c r="G343">
        <v>138</v>
      </c>
      <c r="H343">
        <v>205</v>
      </c>
    </row>
    <row r="344" spans="1:8">
      <c r="A344">
        <v>2013</v>
      </c>
      <c r="B344">
        <v>31</v>
      </c>
      <c r="C344" s="2">
        <v>41490</v>
      </c>
      <c r="D344" s="1" t="s">
        <v>444</v>
      </c>
      <c r="E344">
        <v>174</v>
      </c>
      <c r="F344">
        <v>171</v>
      </c>
      <c r="G344">
        <v>137</v>
      </c>
      <c r="H344">
        <v>205</v>
      </c>
    </row>
    <row r="345" spans="1:8">
      <c r="A345">
        <v>2013</v>
      </c>
      <c r="B345">
        <v>32</v>
      </c>
      <c r="C345" s="2">
        <v>41497</v>
      </c>
      <c r="D345" s="1" t="s">
        <v>444</v>
      </c>
      <c r="E345">
        <v>174</v>
      </c>
      <c r="F345">
        <v>171</v>
      </c>
      <c r="G345">
        <v>138</v>
      </c>
      <c r="H345">
        <v>205</v>
      </c>
    </row>
    <row r="346" spans="1:8">
      <c r="A346">
        <v>2013</v>
      </c>
      <c r="B346">
        <v>33</v>
      </c>
      <c r="C346" s="2">
        <v>41504</v>
      </c>
      <c r="D346" s="1" t="s">
        <v>444</v>
      </c>
      <c r="E346">
        <v>185</v>
      </c>
      <c r="F346">
        <v>171</v>
      </c>
      <c r="G346">
        <v>138</v>
      </c>
      <c r="H346">
        <v>205</v>
      </c>
    </row>
    <row r="347" spans="1:8">
      <c r="A347">
        <v>2013</v>
      </c>
      <c r="B347">
        <v>34</v>
      </c>
      <c r="C347" s="2">
        <v>41511</v>
      </c>
      <c r="D347" s="1" t="s">
        <v>444</v>
      </c>
      <c r="E347">
        <v>176</v>
      </c>
      <c r="F347">
        <v>171</v>
      </c>
      <c r="G347">
        <v>138</v>
      </c>
      <c r="H347">
        <v>205</v>
      </c>
    </row>
    <row r="348" spans="1:8">
      <c r="A348">
        <v>2013</v>
      </c>
      <c r="B348">
        <v>35</v>
      </c>
      <c r="C348" s="2">
        <v>41518</v>
      </c>
      <c r="D348" s="1" t="s">
        <v>444</v>
      </c>
      <c r="E348">
        <v>188</v>
      </c>
      <c r="F348">
        <v>172</v>
      </c>
      <c r="G348">
        <v>138</v>
      </c>
      <c r="H348">
        <v>206</v>
      </c>
    </row>
    <row r="349" spans="1:8">
      <c r="A349">
        <v>2013</v>
      </c>
      <c r="B349">
        <v>36</v>
      </c>
      <c r="C349" s="2">
        <v>41525</v>
      </c>
      <c r="D349" s="1" t="s">
        <v>444</v>
      </c>
      <c r="E349">
        <v>162</v>
      </c>
      <c r="F349">
        <v>172</v>
      </c>
      <c r="G349">
        <v>138</v>
      </c>
      <c r="H349">
        <v>206</v>
      </c>
    </row>
    <row r="350" spans="1:8">
      <c r="A350">
        <v>2013</v>
      </c>
      <c r="B350">
        <v>37</v>
      </c>
      <c r="C350" s="2">
        <v>41532</v>
      </c>
      <c r="D350" s="1" t="s">
        <v>444</v>
      </c>
      <c r="E350">
        <v>164</v>
      </c>
      <c r="F350">
        <v>172</v>
      </c>
      <c r="G350">
        <v>139</v>
      </c>
      <c r="H350">
        <v>206</v>
      </c>
    </row>
    <row r="351" spans="1:8">
      <c r="A351">
        <v>2013</v>
      </c>
      <c r="B351">
        <v>38</v>
      </c>
      <c r="C351" s="2">
        <v>41539</v>
      </c>
      <c r="D351" s="1" t="s">
        <v>444</v>
      </c>
      <c r="E351">
        <v>168</v>
      </c>
      <c r="F351">
        <v>173</v>
      </c>
      <c r="G351">
        <v>139</v>
      </c>
      <c r="H351">
        <v>206</v>
      </c>
    </row>
    <row r="352" spans="1:8">
      <c r="A352">
        <v>2013</v>
      </c>
      <c r="B352">
        <v>39</v>
      </c>
      <c r="C352" s="2">
        <v>41546</v>
      </c>
      <c r="D352" s="1" t="s">
        <v>444</v>
      </c>
      <c r="E352">
        <v>179</v>
      </c>
      <c r="F352">
        <v>173</v>
      </c>
      <c r="G352">
        <v>139</v>
      </c>
      <c r="H352">
        <v>207</v>
      </c>
    </row>
    <row r="353" spans="1:8">
      <c r="A353">
        <v>2013</v>
      </c>
      <c r="B353">
        <v>40</v>
      </c>
      <c r="C353" s="2">
        <v>41553</v>
      </c>
      <c r="D353" s="1" t="s">
        <v>444</v>
      </c>
      <c r="E353">
        <v>195</v>
      </c>
      <c r="F353">
        <v>173</v>
      </c>
      <c r="G353">
        <v>139</v>
      </c>
      <c r="H353">
        <v>207</v>
      </c>
    </row>
    <row r="354" spans="1:8">
      <c r="A354">
        <v>2013</v>
      </c>
      <c r="B354">
        <v>41</v>
      </c>
      <c r="C354" s="2">
        <v>41560</v>
      </c>
      <c r="D354" s="1" t="s">
        <v>444</v>
      </c>
      <c r="E354">
        <v>165</v>
      </c>
      <c r="F354">
        <v>174</v>
      </c>
      <c r="G354">
        <v>140</v>
      </c>
      <c r="H354">
        <v>208</v>
      </c>
    </row>
    <row r="355" spans="1:8">
      <c r="A355">
        <v>2013</v>
      </c>
      <c r="B355">
        <v>42</v>
      </c>
      <c r="C355" s="2">
        <v>41567</v>
      </c>
      <c r="D355" s="1" t="s">
        <v>444</v>
      </c>
      <c r="E355">
        <v>158</v>
      </c>
      <c r="F355">
        <v>174</v>
      </c>
      <c r="G355">
        <v>140</v>
      </c>
      <c r="H355">
        <v>208</v>
      </c>
    </row>
    <row r="356" spans="1:8">
      <c r="A356">
        <v>2013</v>
      </c>
      <c r="B356">
        <v>43</v>
      </c>
      <c r="C356" s="2">
        <v>41574</v>
      </c>
      <c r="D356" s="1" t="s">
        <v>444</v>
      </c>
      <c r="E356">
        <v>181</v>
      </c>
      <c r="F356">
        <v>174</v>
      </c>
      <c r="G356">
        <v>140</v>
      </c>
      <c r="H356">
        <v>208</v>
      </c>
    </row>
    <row r="357" spans="1:8">
      <c r="A357">
        <v>2013</v>
      </c>
      <c r="B357">
        <v>44</v>
      </c>
      <c r="C357" s="2">
        <v>41581</v>
      </c>
      <c r="D357" s="1" t="s">
        <v>444</v>
      </c>
      <c r="E357">
        <v>166</v>
      </c>
      <c r="F357">
        <v>175</v>
      </c>
      <c r="G357">
        <v>141</v>
      </c>
      <c r="H357">
        <v>209</v>
      </c>
    </row>
    <row r="358" spans="1:8">
      <c r="A358">
        <v>2013</v>
      </c>
      <c r="B358">
        <v>45</v>
      </c>
      <c r="C358" s="2">
        <v>41588</v>
      </c>
      <c r="D358" s="1" t="s">
        <v>444</v>
      </c>
      <c r="E358">
        <v>168</v>
      </c>
      <c r="F358">
        <v>175</v>
      </c>
      <c r="G358">
        <v>141</v>
      </c>
      <c r="H358">
        <v>209</v>
      </c>
    </row>
    <row r="359" spans="1:8">
      <c r="A359">
        <v>2013</v>
      </c>
      <c r="B359">
        <v>46</v>
      </c>
      <c r="C359" s="2">
        <v>41595</v>
      </c>
      <c r="D359" s="1" t="s">
        <v>444</v>
      </c>
      <c r="E359">
        <v>161</v>
      </c>
      <c r="F359">
        <v>176</v>
      </c>
      <c r="G359">
        <v>141</v>
      </c>
      <c r="H359">
        <v>210</v>
      </c>
    </row>
    <row r="360" spans="1:8">
      <c r="A360">
        <v>2013</v>
      </c>
      <c r="B360">
        <v>47</v>
      </c>
      <c r="C360" s="2">
        <v>41602</v>
      </c>
      <c r="D360" s="1" t="s">
        <v>444</v>
      </c>
      <c r="E360">
        <v>179</v>
      </c>
      <c r="F360">
        <v>176</v>
      </c>
      <c r="G360">
        <v>142</v>
      </c>
      <c r="H360">
        <v>210</v>
      </c>
    </row>
    <row r="361" spans="1:8">
      <c r="A361">
        <v>2013</v>
      </c>
      <c r="B361">
        <v>48</v>
      </c>
      <c r="C361" s="2">
        <v>41609</v>
      </c>
      <c r="D361" s="1" t="s">
        <v>444</v>
      </c>
      <c r="E361">
        <v>165</v>
      </c>
      <c r="F361">
        <v>176</v>
      </c>
      <c r="G361">
        <v>142</v>
      </c>
      <c r="H361">
        <v>211</v>
      </c>
    </row>
    <row r="362" spans="1:8">
      <c r="A362">
        <v>2013</v>
      </c>
      <c r="B362">
        <v>49</v>
      </c>
      <c r="C362" s="2">
        <v>41616</v>
      </c>
      <c r="D362" s="1" t="s">
        <v>444</v>
      </c>
      <c r="E362">
        <v>201</v>
      </c>
      <c r="F362">
        <v>177</v>
      </c>
      <c r="G362">
        <v>143</v>
      </c>
      <c r="H362">
        <v>211</v>
      </c>
    </row>
    <row r="363" spans="1:8">
      <c r="A363">
        <v>2013</v>
      </c>
      <c r="B363">
        <v>50</v>
      </c>
      <c r="C363" s="2">
        <v>41623</v>
      </c>
      <c r="D363" s="1" t="s">
        <v>444</v>
      </c>
      <c r="E363">
        <v>180</v>
      </c>
      <c r="F363">
        <v>177</v>
      </c>
      <c r="G363">
        <v>143</v>
      </c>
      <c r="H363">
        <v>211</v>
      </c>
    </row>
    <row r="364" spans="1:8">
      <c r="A364">
        <v>2013</v>
      </c>
      <c r="B364">
        <v>51</v>
      </c>
      <c r="C364" s="2">
        <v>41630</v>
      </c>
      <c r="D364" s="1" t="s">
        <v>444</v>
      </c>
      <c r="E364">
        <v>190</v>
      </c>
      <c r="F364">
        <v>178</v>
      </c>
      <c r="G364">
        <v>143</v>
      </c>
      <c r="H364">
        <v>212</v>
      </c>
    </row>
    <row r="365" spans="1:8">
      <c r="A365">
        <v>2013</v>
      </c>
      <c r="B365">
        <v>52</v>
      </c>
      <c r="C365" s="2">
        <v>41637</v>
      </c>
      <c r="D365" s="1" t="s">
        <v>444</v>
      </c>
      <c r="E365">
        <v>169</v>
      </c>
      <c r="F365">
        <v>178</v>
      </c>
      <c r="G365">
        <v>144</v>
      </c>
      <c r="H365">
        <v>212</v>
      </c>
    </row>
    <row r="366" spans="1:8">
      <c r="A366">
        <v>2013</v>
      </c>
      <c r="B366">
        <v>1</v>
      </c>
      <c r="C366" s="2">
        <v>41280</v>
      </c>
      <c r="D366" s="1" t="s">
        <v>445</v>
      </c>
      <c r="E366">
        <v>1093</v>
      </c>
      <c r="F366">
        <v>1184</v>
      </c>
      <c r="G366">
        <v>1096</v>
      </c>
      <c r="H366">
        <v>1273</v>
      </c>
    </row>
    <row r="367" spans="1:8">
      <c r="A367">
        <v>2013</v>
      </c>
      <c r="B367">
        <v>2</v>
      </c>
      <c r="C367" s="2">
        <v>41287</v>
      </c>
      <c r="D367" s="1" t="s">
        <v>445</v>
      </c>
      <c r="E367">
        <v>1238</v>
      </c>
      <c r="F367">
        <v>1182</v>
      </c>
      <c r="G367">
        <v>1094</v>
      </c>
      <c r="H367">
        <v>1271</v>
      </c>
    </row>
    <row r="368" spans="1:8">
      <c r="A368">
        <v>2013</v>
      </c>
      <c r="B368">
        <v>3</v>
      </c>
      <c r="C368" s="2">
        <v>41294</v>
      </c>
      <c r="D368" s="1" t="s">
        <v>445</v>
      </c>
      <c r="E368">
        <v>1191</v>
      </c>
      <c r="F368">
        <v>1180</v>
      </c>
      <c r="G368">
        <v>1092</v>
      </c>
      <c r="H368">
        <v>1269</v>
      </c>
    </row>
    <row r="369" spans="1:9">
      <c r="A369">
        <v>2013</v>
      </c>
      <c r="B369">
        <v>4</v>
      </c>
      <c r="C369" s="2">
        <v>41301</v>
      </c>
      <c r="D369" s="1" t="s">
        <v>445</v>
      </c>
      <c r="E369">
        <v>1212</v>
      </c>
      <c r="F369">
        <v>1178</v>
      </c>
      <c r="G369">
        <v>1090</v>
      </c>
      <c r="H369">
        <v>1266</v>
      </c>
    </row>
    <row r="370" spans="1:9">
      <c r="A370">
        <v>2013</v>
      </c>
      <c r="B370">
        <v>5</v>
      </c>
      <c r="C370" s="2">
        <v>41308</v>
      </c>
      <c r="D370" s="1" t="s">
        <v>445</v>
      </c>
      <c r="E370">
        <v>1223</v>
      </c>
      <c r="F370">
        <v>1176</v>
      </c>
      <c r="G370">
        <v>1087</v>
      </c>
      <c r="H370">
        <v>1264</v>
      </c>
    </row>
    <row r="371" spans="1:9">
      <c r="A371">
        <v>2013</v>
      </c>
      <c r="B371">
        <v>6</v>
      </c>
      <c r="C371" s="2">
        <v>41315</v>
      </c>
      <c r="D371" s="1" t="s">
        <v>445</v>
      </c>
      <c r="E371">
        <v>1256</v>
      </c>
      <c r="F371">
        <v>1173</v>
      </c>
      <c r="G371">
        <v>1085</v>
      </c>
      <c r="H371">
        <v>1261</v>
      </c>
    </row>
    <row r="372" spans="1:9">
      <c r="A372">
        <v>2013</v>
      </c>
      <c r="B372">
        <v>7</v>
      </c>
      <c r="C372" s="2">
        <v>41322</v>
      </c>
      <c r="D372" s="1" t="s">
        <v>445</v>
      </c>
      <c r="E372">
        <v>1264</v>
      </c>
      <c r="F372">
        <v>1171</v>
      </c>
      <c r="G372">
        <v>1083</v>
      </c>
      <c r="H372">
        <v>1259</v>
      </c>
      <c r="I372">
        <v>1264</v>
      </c>
    </row>
    <row r="373" spans="1:9">
      <c r="A373">
        <v>2013</v>
      </c>
      <c r="B373">
        <v>8</v>
      </c>
      <c r="C373" s="2">
        <v>41329</v>
      </c>
      <c r="D373" s="1" t="s">
        <v>445</v>
      </c>
      <c r="E373">
        <v>1230</v>
      </c>
      <c r="F373">
        <v>1162</v>
      </c>
      <c r="G373">
        <v>1074</v>
      </c>
      <c r="H373">
        <v>1250</v>
      </c>
    </row>
    <row r="374" spans="1:9">
      <c r="A374">
        <v>2013</v>
      </c>
      <c r="B374">
        <v>9</v>
      </c>
      <c r="C374" s="2">
        <v>41336</v>
      </c>
      <c r="D374" s="1" t="s">
        <v>445</v>
      </c>
      <c r="E374">
        <v>1255</v>
      </c>
      <c r="F374">
        <v>1152</v>
      </c>
      <c r="G374">
        <v>1065</v>
      </c>
      <c r="H374">
        <v>1240</v>
      </c>
      <c r="I374">
        <v>1255</v>
      </c>
    </row>
    <row r="375" spans="1:9">
      <c r="A375">
        <v>2013</v>
      </c>
      <c r="B375">
        <v>10</v>
      </c>
      <c r="C375" s="2">
        <v>41343</v>
      </c>
      <c r="D375" s="1" t="s">
        <v>445</v>
      </c>
      <c r="E375">
        <v>1305</v>
      </c>
      <c r="F375">
        <v>1136</v>
      </c>
      <c r="G375">
        <v>1049</v>
      </c>
      <c r="H375">
        <v>1222</v>
      </c>
      <c r="I375">
        <v>1305</v>
      </c>
    </row>
    <row r="376" spans="1:9">
      <c r="A376">
        <v>2013</v>
      </c>
      <c r="B376">
        <v>11</v>
      </c>
      <c r="C376" s="2">
        <v>41350</v>
      </c>
      <c r="D376" s="1" t="s">
        <v>445</v>
      </c>
      <c r="E376">
        <v>1227</v>
      </c>
      <c r="F376">
        <v>1119</v>
      </c>
      <c r="G376">
        <v>1033</v>
      </c>
      <c r="H376">
        <v>1205</v>
      </c>
      <c r="I376">
        <v>1227</v>
      </c>
    </row>
    <row r="377" spans="1:9">
      <c r="A377">
        <v>2013</v>
      </c>
      <c r="B377">
        <v>12</v>
      </c>
      <c r="C377" s="2">
        <v>41357</v>
      </c>
      <c r="D377" s="1" t="s">
        <v>445</v>
      </c>
      <c r="E377">
        <v>1146</v>
      </c>
      <c r="F377">
        <v>1098</v>
      </c>
      <c r="G377">
        <v>1012</v>
      </c>
      <c r="H377">
        <v>1183</v>
      </c>
    </row>
    <row r="378" spans="1:9">
      <c r="A378">
        <v>2013</v>
      </c>
      <c r="B378">
        <v>13</v>
      </c>
      <c r="C378" s="2">
        <v>41364</v>
      </c>
      <c r="D378" s="1" t="s">
        <v>445</v>
      </c>
      <c r="E378">
        <v>1170</v>
      </c>
      <c r="F378">
        <v>1077</v>
      </c>
      <c r="G378">
        <v>992</v>
      </c>
      <c r="H378">
        <v>1161</v>
      </c>
      <c r="I378">
        <v>1170</v>
      </c>
    </row>
    <row r="379" spans="1:9">
      <c r="A379">
        <v>2013</v>
      </c>
      <c r="B379">
        <v>14</v>
      </c>
      <c r="C379" s="2">
        <v>41371</v>
      </c>
      <c r="D379" s="1" t="s">
        <v>445</v>
      </c>
      <c r="E379">
        <v>1132</v>
      </c>
      <c r="F379">
        <v>1059</v>
      </c>
      <c r="G379">
        <v>975</v>
      </c>
      <c r="H379">
        <v>1142</v>
      </c>
    </row>
    <row r="380" spans="1:9">
      <c r="A380">
        <v>2013</v>
      </c>
      <c r="B380">
        <v>15</v>
      </c>
      <c r="C380" s="2">
        <v>41378</v>
      </c>
      <c r="D380" s="1" t="s">
        <v>445</v>
      </c>
      <c r="E380">
        <v>1107</v>
      </c>
      <c r="F380">
        <v>1043</v>
      </c>
      <c r="G380">
        <v>960</v>
      </c>
      <c r="H380">
        <v>1126</v>
      </c>
    </row>
    <row r="381" spans="1:9">
      <c r="A381">
        <v>2013</v>
      </c>
      <c r="B381">
        <v>16</v>
      </c>
      <c r="C381" s="2">
        <v>41385</v>
      </c>
      <c r="D381" s="1" t="s">
        <v>445</v>
      </c>
      <c r="E381">
        <v>1043</v>
      </c>
      <c r="F381">
        <v>1028</v>
      </c>
      <c r="G381">
        <v>945</v>
      </c>
      <c r="H381">
        <v>1111</v>
      </c>
    </row>
    <row r="382" spans="1:9">
      <c r="A382">
        <v>2013</v>
      </c>
      <c r="B382">
        <v>17</v>
      </c>
      <c r="C382" s="2">
        <v>41392</v>
      </c>
      <c r="D382" s="1" t="s">
        <v>445</v>
      </c>
      <c r="E382">
        <v>1054</v>
      </c>
      <c r="F382">
        <v>1016</v>
      </c>
      <c r="G382">
        <v>933</v>
      </c>
      <c r="H382">
        <v>1098</v>
      </c>
    </row>
    <row r="383" spans="1:9">
      <c r="A383">
        <v>2013</v>
      </c>
      <c r="B383">
        <v>18</v>
      </c>
      <c r="C383" s="2">
        <v>41399</v>
      </c>
      <c r="D383" s="1" t="s">
        <v>445</v>
      </c>
      <c r="E383">
        <v>968</v>
      </c>
      <c r="F383">
        <v>1003</v>
      </c>
      <c r="G383">
        <v>922</v>
      </c>
      <c r="H383">
        <v>1085</v>
      </c>
    </row>
    <row r="384" spans="1:9">
      <c r="A384">
        <v>2013</v>
      </c>
      <c r="B384">
        <v>19</v>
      </c>
      <c r="C384" s="2">
        <v>41406</v>
      </c>
      <c r="D384" s="1" t="s">
        <v>445</v>
      </c>
      <c r="E384">
        <v>935</v>
      </c>
      <c r="F384">
        <v>992</v>
      </c>
      <c r="G384">
        <v>911</v>
      </c>
      <c r="H384">
        <v>1073</v>
      </c>
    </row>
    <row r="385" spans="1:8">
      <c r="A385">
        <v>2013</v>
      </c>
      <c r="B385">
        <v>20</v>
      </c>
      <c r="C385" s="2">
        <v>41413</v>
      </c>
      <c r="D385" s="1" t="s">
        <v>445</v>
      </c>
      <c r="E385">
        <v>981</v>
      </c>
      <c r="F385">
        <v>981</v>
      </c>
      <c r="G385">
        <v>901</v>
      </c>
      <c r="H385">
        <v>1062</v>
      </c>
    </row>
    <row r="386" spans="1:8">
      <c r="A386">
        <v>2013</v>
      </c>
      <c r="B386">
        <v>21</v>
      </c>
      <c r="C386" s="2">
        <v>41420</v>
      </c>
      <c r="D386" s="1" t="s">
        <v>445</v>
      </c>
      <c r="E386">
        <v>937</v>
      </c>
      <c r="F386">
        <v>971</v>
      </c>
      <c r="G386">
        <v>891</v>
      </c>
      <c r="H386">
        <v>1052</v>
      </c>
    </row>
    <row r="387" spans="1:8">
      <c r="A387">
        <v>2013</v>
      </c>
      <c r="B387">
        <v>22</v>
      </c>
      <c r="C387" s="2">
        <v>41427</v>
      </c>
      <c r="D387" s="1" t="s">
        <v>445</v>
      </c>
      <c r="E387">
        <v>935</v>
      </c>
      <c r="F387">
        <v>966</v>
      </c>
      <c r="G387">
        <v>886</v>
      </c>
      <c r="H387">
        <v>1046</v>
      </c>
    </row>
    <row r="388" spans="1:8">
      <c r="A388">
        <v>2013</v>
      </c>
      <c r="B388">
        <v>23</v>
      </c>
      <c r="C388" s="2">
        <v>41434</v>
      </c>
      <c r="D388" s="1" t="s">
        <v>445</v>
      </c>
      <c r="E388">
        <v>986</v>
      </c>
      <c r="F388">
        <v>961</v>
      </c>
      <c r="G388">
        <v>881</v>
      </c>
      <c r="H388">
        <v>1041</v>
      </c>
    </row>
    <row r="389" spans="1:8">
      <c r="A389">
        <v>2013</v>
      </c>
      <c r="B389">
        <v>24</v>
      </c>
      <c r="C389" s="2">
        <v>41441</v>
      </c>
      <c r="D389" s="1" t="s">
        <v>445</v>
      </c>
      <c r="E389">
        <v>992</v>
      </c>
      <c r="F389">
        <v>958</v>
      </c>
      <c r="G389">
        <v>878</v>
      </c>
      <c r="H389">
        <v>1038</v>
      </c>
    </row>
    <row r="390" spans="1:8">
      <c r="A390">
        <v>2013</v>
      </c>
      <c r="B390">
        <v>25</v>
      </c>
      <c r="C390" s="2">
        <v>41448</v>
      </c>
      <c r="D390" s="1" t="s">
        <v>445</v>
      </c>
      <c r="E390">
        <v>1002</v>
      </c>
      <c r="F390">
        <v>956</v>
      </c>
      <c r="G390">
        <v>876</v>
      </c>
      <c r="H390">
        <v>1035</v>
      </c>
    </row>
    <row r="391" spans="1:8">
      <c r="A391">
        <v>2013</v>
      </c>
      <c r="B391">
        <v>26</v>
      </c>
      <c r="C391" s="2">
        <v>41455</v>
      </c>
      <c r="D391" s="1" t="s">
        <v>445</v>
      </c>
      <c r="E391">
        <v>909</v>
      </c>
      <c r="F391">
        <v>953</v>
      </c>
      <c r="G391">
        <v>874</v>
      </c>
      <c r="H391">
        <v>1033</v>
      </c>
    </row>
    <row r="392" spans="1:8">
      <c r="A392">
        <v>2013</v>
      </c>
      <c r="B392">
        <v>27</v>
      </c>
      <c r="C392" s="2">
        <v>41462</v>
      </c>
      <c r="D392" s="1" t="s">
        <v>445</v>
      </c>
      <c r="E392">
        <v>991</v>
      </c>
      <c r="F392">
        <v>952</v>
      </c>
      <c r="G392">
        <v>872</v>
      </c>
      <c r="H392">
        <v>1031</v>
      </c>
    </row>
    <row r="393" spans="1:8">
      <c r="A393">
        <v>2013</v>
      </c>
      <c r="B393">
        <v>28</v>
      </c>
      <c r="C393" s="2">
        <v>41469</v>
      </c>
      <c r="D393" s="1" t="s">
        <v>445</v>
      </c>
      <c r="E393">
        <v>924</v>
      </c>
      <c r="F393">
        <v>950</v>
      </c>
      <c r="G393">
        <v>870</v>
      </c>
      <c r="H393">
        <v>1029</v>
      </c>
    </row>
    <row r="394" spans="1:8">
      <c r="A394">
        <v>2013</v>
      </c>
      <c r="B394">
        <v>29</v>
      </c>
      <c r="C394" s="2">
        <v>41476</v>
      </c>
      <c r="D394" s="1" t="s">
        <v>445</v>
      </c>
      <c r="E394">
        <v>1012</v>
      </c>
      <c r="F394">
        <v>948</v>
      </c>
      <c r="G394">
        <v>868</v>
      </c>
      <c r="H394">
        <v>1027</v>
      </c>
    </row>
    <row r="395" spans="1:8">
      <c r="A395">
        <v>2013</v>
      </c>
      <c r="B395">
        <v>30</v>
      </c>
      <c r="C395" s="2">
        <v>41483</v>
      </c>
      <c r="D395" s="1" t="s">
        <v>445</v>
      </c>
      <c r="E395">
        <v>1020</v>
      </c>
      <c r="F395">
        <v>947</v>
      </c>
      <c r="G395">
        <v>867</v>
      </c>
      <c r="H395">
        <v>1026</v>
      </c>
    </row>
    <row r="396" spans="1:8">
      <c r="A396">
        <v>2013</v>
      </c>
      <c r="B396">
        <v>31</v>
      </c>
      <c r="C396" s="2">
        <v>41490</v>
      </c>
      <c r="D396" s="1" t="s">
        <v>445</v>
      </c>
      <c r="E396">
        <v>967</v>
      </c>
      <c r="F396">
        <v>946</v>
      </c>
      <c r="G396">
        <v>867</v>
      </c>
      <c r="H396">
        <v>1025</v>
      </c>
    </row>
    <row r="397" spans="1:8">
      <c r="A397">
        <v>2013</v>
      </c>
      <c r="B397">
        <v>32</v>
      </c>
      <c r="C397" s="2">
        <v>41497</v>
      </c>
      <c r="D397" s="1" t="s">
        <v>445</v>
      </c>
      <c r="E397">
        <v>910</v>
      </c>
      <c r="F397">
        <v>948</v>
      </c>
      <c r="G397">
        <v>869</v>
      </c>
      <c r="H397">
        <v>1028</v>
      </c>
    </row>
    <row r="398" spans="1:8">
      <c r="A398">
        <v>2013</v>
      </c>
      <c r="B398">
        <v>33</v>
      </c>
      <c r="C398" s="2">
        <v>41504</v>
      </c>
      <c r="D398" s="1" t="s">
        <v>445</v>
      </c>
      <c r="E398">
        <v>993</v>
      </c>
      <c r="F398">
        <v>951</v>
      </c>
      <c r="G398">
        <v>871</v>
      </c>
      <c r="H398">
        <v>1030</v>
      </c>
    </row>
    <row r="399" spans="1:8">
      <c r="A399">
        <v>2013</v>
      </c>
      <c r="B399">
        <v>34</v>
      </c>
      <c r="C399" s="2">
        <v>41511</v>
      </c>
      <c r="D399" s="1" t="s">
        <v>445</v>
      </c>
      <c r="E399">
        <v>948</v>
      </c>
      <c r="F399">
        <v>955</v>
      </c>
      <c r="G399">
        <v>875</v>
      </c>
      <c r="H399">
        <v>1034</v>
      </c>
    </row>
    <row r="400" spans="1:8">
      <c r="A400">
        <v>2013</v>
      </c>
      <c r="B400">
        <v>35</v>
      </c>
      <c r="C400" s="2">
        <v>41518</v>
      </c>
      <c r="D400" s="1" t="s">
        <v>445</v>
      </c>
      <c r="E400">
        <v>975</v>
      </c>
      <c r="F400">
        <v>960</v>
      </c>
      <c r="G400">
        <v>880</v>
      </c>
      <c r="H400">
        <v>1040</v>
      </c>
    </row>
    <row r="401" spans="1:8">
      <c r="A401">
        <v>2013</v>
      </c>
      <c r="B401">
        <v>36</v>
      </c>
      <c r="C401" s="2">
        <v>41525</v>
      </c>
      <c r="D401" s="1" t="s">
        <v>445</v>
      </c>
      <c r="E401">
        <v>996</v>
      </c>
      <c r="F401">
        <v>965</v>
      </c>
      <c r="G401">
        <v>885</v>
      </c>
      <c r="H401">
        <v>1045</v>
      </c>
    </row>
    <row r="402" spans="1:8">
      <c r="A402">
        <v>2013</v>
      </c>
      <c r="B402">
        <v>37</v>
      </c>
      <c r="C402" s="2">
        <v>41532</v>
      </c>
      <c r="D402" s="1" t="s">
        <v>445</v>
      </c>
      <c r="E402">
        <v>942</v>
      </c>
      <c r="F402">
        <v>970</v>
      </c>
      <c r="G402">
        <v>889</v>
      </c>
      <c r="H402">
        <v>1050</v>
      </c>
    </row>
    <row r="403" spans="1:8">
      <c r="A403">
        <v>2013</v>
      </c>
      <c r="B403">
        <v>38</v>
      </c>
      <c r="C403" s="2">
        <v>41539</v>
      </c>
      <c r="D403" s="1" t="s">
        <v>445</v>
      </c>
      <c r="E403">
        <v>992</v>
      </c>
      <c r="F403">
        <v>975</v>
      </c>
      <c r="G403">
        <v>894</v>
      </c>
      <c r="H403">
        <v>1055</v>
      </c>
    </row>
    <row r="404" spans="1:8">
      <c r="A404">
        <v>2013</v>
      </c>
      <c r="B404">
        <v>39</v>
      </c>
      <c r="C404" s="2">
        <v>41546</v>
      </c>
      <c r="D404" s="1" t="s">
        <v>445</v>
      </c>
      <c r="E404">
        <v>989</v>
      </c>
      <c r="F404">
        <v>980</v>
      </c>
      <c r="G404">
        <v>899</v>
      </c>
      <c r="H404">
        <v>1060</v>
      </c>
    </row>
    <row r="405" spans="1:8">
      <c r="A405">
        <v>2013</v>
      </c>
      <c r="B405">
        <v>40</v>
      </c>
      <c r="C405" s="2">
        <v>41553</v>
      </c>
      <c r="D405" s="1" t="s">
        <v>445</v>
      </c>
      <c r="E405">
        <v>920</v>
      </c>
      <c r="F405">
        <v>987</v>
      </c>
      <c r="G405">
        <v>906</v>
      </c>
      <c r="H405">
        <v>1068</v>
      </c>
    </row>
    <row r="406" spans="1:8">
      <c r="A406">
        <v>2013</v>
      </c>
      <c r="B406">
        <v>41</v>
      </c>
      <c r="C406" s="2">
        <v>41560</v>
      </c>
      <c r="D406" s="1" t="s">
        <v>445</v>
      </c>
      <c r="E406">
        <v>980</v>
      </c>
      <c r="F406">
        <v>995</v>
      </c>
      <c r="G406">
        <v>914</v>
      </c>
      <c r="H406">
        <v>1077</v>
      </c>
    </row>
    <row r="407" spans="1:8">
      <c r="A407">
        <v>2013</v>
      </c>
      <c r="B407">
        <v>42</v>
      </c>
      <c r="C407" s="2">
        <v>41567</v>
      </c>
      <c r="D407" s="1" t="s">
        <v>445</v>
      </c>
      <c r="E407">
        <v>984</v>
      </c>
      <c r="F407">
        <v>1003</v>
      </c>
      <c r="G407">
        <v>922</v>
      </c>
      <c r="H407">
        <v>1085</v>
      </c>
    </row>
    <row r="408" spans="1:8">
      <c r="A408">
        <v>2013</v>
      </c>
      <c r="B408">
        <v>43</v>
      </c>
      <c r="C408" s="2">
        <v>41574</v>
      </c>
      <c r="D408" s="1" t="s">
        <v>445</v>
      </c>
      <c r="E408">
        <v>1024</v>
      </c>
      <c r="F408">
        <v>1015</v>
      </c>
      <c r="G408">
        <v>933</v>
      </c>
      <c r="H408">
        <v>1097</v>
      </c>
    </row>
    <row r="409" spans="1:8">
      <c r="A409">
        <v>2013</v>
      </c>
      <c r="B409">
        <v>44</v>
      </c>
      <c r="C409" s="2">
        <v>41581</v>
      </c>
      <c r="D409" s="1" t="s">
        <v>445</v>
      </c>
      <c r="E409">
        <v>1030</v>
      </c>
      <c r="F409">
        <v>1027</v>
      </c>
      <c r="G409">
        <v>945</v>
      </c>
      <c r="H409">
        <v>1110</v>
      </c>
    </row>
    <row r="410" spans="1:8">
      <c r="A410">
        <v>2013</v>
      </c>
      <c r="B410">
        <v>45</v>
      </c>
      <c r="C410" s="2">
        <v>41588</v>
      </c>
      <c r="D410" s="1" t="s">
        <v>445</v>
      </c>
      <c r="E410">
        <v>1035</v>
      </c>
      <c r="F410">
        <v>1042</v>
      </c>
      <c r="G410">
        <v>959</v>
      </c>
      <c r="H410">
        <v>1125</v>
      </c>
    </row>
    <row r="411" spans="1:8">
      <c r="A411">
        <v>2013</v>
      </c>
      <c r="B411">
        <v>46</v>
      </c>
      <c r="C411" s="2">
        <v>41595</v>
      </c>
      <c r="D411" s="1" t="s">
        <v>445</v>
      </c>
      <c r="E411">
        <v>1007</v>
      </c>
      <c r="F411">
        <v>1057</v>
      </c>
      <c r="G411">
        <v>974</v>
      </c>
      <c r="H411">
        <v>1141</v>
      </c>
    </row>
    <row r="412" spans="1:8">
      <c r="A412">
        <v>2013</v>
      </c>
      <c r="B412">
        <v>47</v>
      </c>
      <c r="C412" s="2">
        <v>41602</v>
      </c>
      <c r="D412" s="1" t="s">
        <v>445</v>
      </c>
      <c r="E412">
        <v>1061</v>
      </c>
      <c r="F412">
        <v>1073</v>
      </c>
      <c r="G412">
        <v>988</v>
      </c>
      <c r="H412">
        <v>1157</v>
      </c>
    </row>
    <row r="413" spans="1:8">
      <c r="A413">
        <v>2013</v>
      </c>
      <c r="B413">
        <v>48</v>
      </c>
      <c r="C413" s="2">
        <v>41609</v>
      </c>
      <c r="D413" s="1" t="s">
        <v>445</v>
      </c>
      <c r="E413">
        <v>1049</v>
      </c>
      <c r="F413">
        <v>1088</v>
      </c>
      <c r="G413">
        <v>1003</v>
      </c>
      <c r="H413">
        <v>1173</v>
      </c>
    </row>
    <row r="414" spans="1:8">
      <c r="A414">
        <v>2013</v>
      </c>
      <c r="B414">
        <v>49</v>
      </c>
      <c r="C414" s="2">
        <v>41616</v>
      </c>
      <c r="D414" s="1" t="s">
        <v>445</v>
      </c>
      <c r="E414">
        <v>1128</v>
      </c>
      <c r="F414">
        <v>1103</v>
      </c>
      <c r="G414">
        <v>1018</v>
      </c>
      <c r="H414">
        <v>1189</v>
      </c>
    </row>
    <row r="415" spans="1:8">
      <c r="A415">
        <v>2013</v>
      </c>
      <c r="B415">
        <v>50</v>
      </c>
      <c r="C415" s="2">
        <v>41623</v>
      </c>
      <c r="D415" s="1" t="s">
        <v>445</v>
      </c>
      <c r="E415">
        <v>1076</v>
      </c>
      <c r="F415">
        <v>1118</v>
      </c>
      <c r="G415">
        <v>1032</v>
      </c>
      <c r="H415">
        <v>1204</v>
      </c>
    </row>
    <row r="416" spans="1:8">
      <c r="A416">
        <v>2013</v>
      </c>
      <c r="B416">
        <v>51</v>
      </c>
      <c r="C416" s="2">
        <v>41630</v>
      </c>
      <c r="D416" s="1" t="s">
        <v>445</v>
      </c>
      <c r="E416">
        <v>1031</v>
      </c>
      <c r="F416">
        <v>1132</v>
      </c>
      <c r="G416">
        <v>1046</v>
      </c>
      <c r="H416">
        <v>1219</v>
      </c>
    </row>
    <row r="417" spans="1:8">
      <c r="A417">
        <v>2013</v>
      </c>
      <c r="B417">
        <v>52</v>
      </c>
      <c r="C417" s="2">
        <v>41637</v>
      </c>
      <c r="D417" s="1" t="s">
        <v>445</v>
      </c>
      <c r="E417">
        <v>1106</v>
      </c>
      <c r="F417">
        <v>1147</v>
      </c>
      <c r="G417">
        <v>1060</v>
      </c>
      <c r="H417">
        <v>1234</v>
      </c>
    </row>
    <row r="418" spans="1:8">
      <c r="A418">
        <v>2014</v>
      </c>
      <c r="B418">
        <v>1</v>
      </c>
      <c r="C418" s="2">
        <v>41644</v>
      </c>
      <c r="D418" s="1" t="s">
        <v>444</v>
      </c>
      <c r="E418">
        <v>166</v>
      </c>
      <c r="F418">
        <v>185</v>
      </c>
      <c r="G418">
        <v>150</v>
      </c>
      <c r="H418">
        <v>220</v>
      </c>
    </row>
    <row r="419" spans="1:8">
      <c r="A419">
        <v>2014</v>
      </c>
      <c r="B419">
        <v>2</v>
      </c>
      <c r="C419" s="2">
        <v>41651</v>
      </c>
      <c r="D419" s="1" t="s">
        <v>444</v>
      </c>
      <c r="E419">
        <v>160</v>
      </c>
      <c r="F419">
        <v>185</v>
      </c>
      <c r="G419">
        <v>150</v>
      </c>
      <c r="H419">
        <v>220</v>
      </c>
    </row>
    <row r="420" spans="1:8">
      <c r="A420">
        <v>2014</v>
      </c>
      <c r="B420">
        <v>3</v>
      </c>
      <c r="C420" s="2">
        <v>41658</v>
      </c>
      <c r="D420" s="1" t="s">
        <v>444</v>
      </c>
      <c r="E420">
        <v>215</v>
      </c>
      <c r="F420">
        <v>184</v>
      </c>
      <c r="G420">
        <v>149</v>
      </c>
      <c r="H420">
        <v>219</v>
      </c>
    </row>
    <row r="421" spans="1:8">
      <c r="A421">
        <v>2014</v>
      </c>
      <c r="B421">
        <v>4</v>
      </c>
      <c r="C421" s="2">
        <v>41665</v>
      </c>
      <c r="D421" s="1" t="s">
        <v>444</v>
      </c>
      <c r="E421">
        <v>184</v>
      </c>
      <c r="F421">
        <v>183</v>
      </c>
      <c r="G421">
        <v>148</v>
      </c>
      <c r="H421">
        <v>218</v>
      </c>
    </row>
    <row r="422" spans="1:8">
      <c r="A422">
        <v>2014</v>
      </c>
      <c r="B422">
        <v>5</v>
      </c>
      <c r="C422" s="2">
        <v>41672</v>
      </c>
      <c r="D422" s="1" t="s">
        <v>444</v>
      </c>
      <c r="E422">
        <v>149</v>
      </c>
      <c r="F422">
        <v>182</v>
      </c>
      <c r="G422">
        <v>148</v>
      </c>
      <c r="H422">
        <v>217</v>
      </c>
    </row>
    <row r="423" spans="1:8">
      <c r="A423">
        <v>2014</v>
      </c>
      <c r="B423">
        <v>6</v>
      </c>
      <c r="C423" s="2">
        <v>41679</v>
      </c>
      <c r="D423" s="1" t="s">
        <v>444</v>
      </c>
      <c r="E423">
        <v>167</v>
      </c>
      <c r="F423">
        <v>182</v>
      </c>
      <c r="G423">
        <v>147</v>
      </c>
      <c r="H423">
        <v>217</v>
      </c>
    </row>
    <row r="424" spans="1:8">
      <c r="A424">
        <v>2014</v>
      </c>
      <c r="B424">
        <v>7</v>
      </c>
      <c r="C424" s="2">
        <v>41686</v>
      </c>
      <c r="D424" s="1" t="s">
        <v>444</v>
      </c>
      <c r="E424">
        <v>205</v>
      </c>
      <c r="F424">
        <v>181</v>
      </c>
      <c r="G424">
        <v>146</v>
      </c>
      <c r="H424">
        <v>216</v>
      </c>
    </row>
    <row r="425" spans="1:8">
      <c r="A425">
        <v>2014</v>
      </c>
      <c r="B425">
        <v>8</v>
      </c>
      <c r="C425" s="2">
        <v>41693</v>
      </c>
      <c r="D425" s="1" t="s">
        <v>444</v>
      </c>
      <c r="E425">
        <v>191</v>
      </c>
      <c r="F425">
        <v>180</v>
      </c>
      <c r="G425">
        <v>146</v>
      </c>
      <c r="H425">
        <v>215</v>
      </c>
    </row>
    <row r="426" spans="1:8">
      <c r="A426">
        <v>2014</v>
      </c>
      <c r="B426">
        <v>9</v>
      </c>
      <c r="C426" s="2">
        <v>41700</v>
      </c>
      <c r="D426" s="1" t="s">
        <v>444</v>
      </c>
      <c r="E426">
        <v>198</v>
      </c>
      <c r="F426">
        <v>180</v>
      </c>
      <c r="G426">
        <v>145</v>
      </c>
      <c r="H426">
        <v>214</v>
      </c>
    </row>
    <row r="427" spans="1:8">
      <c r="A427">
        <v>2014</v>
      </c>
      <c r="B427">
        <v>10</v>
      </c>
      <c r="C427" s="2">
        <v>41707</v>
      </c>
      <c r="D427" s="1" t="s">
        <v>444</v>
      </c>
      <c r="E427">
        <v>184</v>
      </c>
      <c r="F427">
        <v>179</v>
      </c>
      <c r="G427">
        <v>145</v>
      </c>
      <c r="H427">
        <v>213</v>
      </c>
    </row>
    <row r="428" spans="1:8">
      <c r="A428">
        <v>2014</v>
      </c>
      <c r="B428">
        <v>11</v>
      </c>
      <c r="C428" s="2">
        <v>41714</v>
      </c>
      <c r="D428" s="1" t="s">
        <v>444</v>
      </c>
      <c r="E428">
        <v>178</v>
      </c>
      <c r="F428">
        <v>178</v>
      </c>
      <c r="G428">
        <v>144</v>
      </c>
      <c r="H428">
        <v>213</v>
      </c>
    </row>
    <row r="429" spans="1:8">
      <c r="A429">
        <v>2014</v>
      </c>
      <c r="B429">
        <v>12</v>
      </c>
      <c r="C429" s="2">
        <v>41721</v>
      </c>
      <c r="D429" s="1" t="s">
        <v>444</v>
      </c>
      <c r="E429">
        <v>172</v>
      </c>
      <c r="F429">
        <v>178</v>
      </c>
      <c r="G429">
        <v>143</v>
      </c>
      <c r="H429">
        <v>212</v>
      </c>
    </row>
    <row r="430" spans="1:8">
      <c r="A430">
        <v>2014</v>
      </c>
      <c r="B430">
        <v>13</v>
      </c>
      <c r="C430" s="2">
        <v>41728</v>
      </c>
      <c r="D430" s="1" t="s">
        <v>444</v>
      </c>
      <c r="E430">
        <v>183</v>
      </c>
      <c r="F430">
        <v>177</v>
      </c>
      <c r="G430">
        <v>143</v>
      </c>
      <c r="H430">
        <v>211</v>
      </c>
    </row>
    <row r="431" spans="1:8">
      <c r="A431">
        <v>2014</v>
      </c>
      <c r="B431">
        <v>14</v>
      </c>
      <c r="C431" s="2">
        <v>41735</v>
      </c>
      <c r="D431" s="1" t="s">
        <v>444</v>
      </c>
      <c r="E431">
        <v>188</v>
      </c>
      <c r="F431">
        <v>176</v>
      </c>
      <c r="G431">
        <v>142</v>
      </c>
      <c r="H431">
        <v>211</v>
      </c>
    </row>
    <row r="432" spans="1:8">
      <c r="A432">
        <v>2014</v>
      </c>
      <c r="B432">
        <v>15</v>
      </c>
      <c r="C432" s="2">
        <v>41742</v>
      </c>
      <c r="D432" s="1" t="s">
        <v>444</v>
      </c>
      <c r="E432">
        <v>177</v>
      </c>
      <c r="F432">
        <v>176</v>
      </c>
      <c r="G432">
        <v>141</v>
      </c>
      <c r="H432">
        <v>210</v>
      </c>
    </row>
    <row r="433" spans="1:9">
      <c r="A433">
        <v>2014</v>
      </c>
      <c r="B433">
        <v>16</v>
      </c>
      <c r="C433" s="2">
        <v>41749</v>
      </c>
      <c r="D433" s="1" t="s">
        <v>444</v>
      </c>
      <c r="E433">
        <v>170</v>
      </c>
      <c r="F433">
        <v>175</v>
      </c>
      <c r="G433">
        <v>141</v>
      </c>
      <c r="H433">
        <v>209</v>
      </c>
    </row>
    <row r="434" spans="1:9">
      <c r="A434">
        <v>2014</v>
      </c>
      <c r="B434">
        <v>17</v>
      </c>
      <c r="C434" s="2">
        <v>41756</v>
      </c>
      <c r="D434" s="1" t="s">
        <v>444</v>
      </c>
      <c r="E434">
        <v>156</v>
      </c>
      <c r="F434">
        <v>174</v>
      </c>
      <c r="G434">
        <v>140</v>
      </c>
      <c r="H434">
        <v>208</v>
      </c>
    </row>
    <row r="435" spans="1:9">
      <c r="A435">
        <v>2014</v>
      </c>
      <c r="B435">
        <v>18</v>
      </c>
      <c r="C435" s="2">
        <v>41763</v>
      </c>
      <c r="D435" s="1" t="s">
        <v>444</v>
      </c>
      <c r="E435">
        <v>141</v>
      </c>
      <c r="F435">
        <v>173</v>
      </c>
      <c r="G435">
        <v>139</v>
      </c>
      <c r="H435">
        <v>207</v>
      </c>
    </row>
    <row r="436" spans="1:9">
      <c r="A436">
        <v>2014</v>
      </c>
      <c r="B436">
        <v>19</v>
      </c>
      <c r="C436" s="2">
        <v>41770</v>
      </c>
      <c r="D436" s="1" t="s">
        <v>444</v>
      </c>
      <c r="E436">
        <v>208</v>
      </c>
      <c r="F436">
        <v>173</v>
      </c>
      <c r="G436">
        <v>139</v>
      </c>
      <c r="H436">
        <v>206</v>
      </c>
      <c r="I436">
        <v>208</v>
      </c>
    </row>
    <row r="437" spans="1:9">
      <c r="A437">
        <v>2014</v>
      </c>
      <c r="B437">
        <v>20</v>
      </c>
      <c r="C437" s="2">
        <v>41777</v>
      </c>
      <c r="D437" s="1" t="s">
        <v>444</v>
      </c>
      <c r="E437">
        <v>165</v>
      </c>
      <c r="F437">
        <v>172</v>
      </c>
      <c r="G437">
        <v>138</v>
      </c>
      <c r="H437">
        <v>206</v>
      </c>
    </row>
    <row r="438" spans="1:9">
      <c r="A438">
        <v>2014</v>
      </c>
      <c r="B438">
        <v>21</v>
      </c>
      <c r="C438" s="2">
        <v>41784</v>
      </c>
      <c r="D438" s="1" t="s">
        <v>444</v>
      </c>
      <c r="E438">
        <v>170</v>
      </c>
      <c r="F438">
        <v>171</v>
      </c>
      <c r="G438">
        <v>137</v>
      </c>
      <c r="H438">
        <v>205</v>
      </c>
    </row>
    <row r="439" spans="1:9">
      <c r="A439">
        <v>2014</v>
      </c>
      <c r="B439">
        <v>22</v>
      </c>
      <c r="C439" s="2">
        <v>41791</v>
      </c>
      <c r="D439" s="1" t="s">
        <v>444</v>
      </c>
      <c r="E439">
        <v>176</v>
      </c>
      <c r="F439">
        <v>171</v>
      </c>
      <c r="G439">
        <v>137</v>
      </c>
      <c r="H439">
        <v>204</v>
      </c>
    </row>
    <row r="440" spans="1:9">
      <c r="A440">
        <v>2014</v>
      </c>
      <c r="B440">
        <v>23</v>
      </c>
      <c r="C440" s="2">
        <v>41798</v>
      </c>
      <c r="D440" s="1" t="s">
        <v>444</v>
      </c>
      <c r="E440">
        <v>163</v>
      </c>
      <c r="F440">
        <v>170</v>
      </c>
      <c r="G440">
        <v>137</v>
      </c>
      <c r="H440">
        <v>204</v>
      </c>
    </row>
    <row r="441" spans="1:9">
      <c r="A441">
        <v>2014</v>
      </c>
      <c r="B441">
        <v>24</v>
      </c>
      <c r="C441" s="2">
        <v>41805</v>
      </c>
      <c r="D441" s="1" t="s">
        <v>444</v>
      </c>
      <c r="E441">
        <v>158</v>
      </c>
      <c r="F441">
        <v>170</v>
      </c>
      <c r="G441">
        <v>136</v>
      </c>
      <c r="H441">
        <v>203</v>
      </c>
    </row>
    <row r="442" spans="1:9">
      <c r="A442">
        <v>2014</v>
      </c>
      <c r="B442">
        <v>25</v>
      </c>
      <c r="C442" s="2">
        <v>41812</v>
      </c>
      <c r="D442" s="1" t="s">
        <v>444</v>
      </c>
      <c r="E442">
        <v>159</v>
      </c>
      <c r="F442">
        <v>169</v>
      </c>
      <c r="G442">
        <v>136</v>
      </c>
      <c r="H442">
        <v>203</v>
      </c>
    </row>
    <row r="443" spans="1:9">
      <c r="A443">
        <v>2014</v>
      </c>
      <c r="B443">
        <v>26</v>
      </c>
      <c r="C443" s="2">
        <v>41819</v>
      </c>
      <c r="D443" s="1" t="s">
        <v>444</v>
      </c>
      <c r="E443">
        <v>163</v>
      </c>
      <c r="F443">
        <v>169</v>
      </c>
      <c r="G443">
        <v>136</v>
      </c>
      <c r="H443">
        <v>203</v>
      </c>
    </row>
    <row r="444" spans="1:9">
      <c r="A444">
        <v>2014</v>
      </c>
      <c r="B444">
        <v>27</v>
      </c>
      <c r="C444" s="2">
        <v>41826</v>
      </c>
      <c r="D444" s="1" t="s">
        <v>444</v>
      </c>
      <c r="E444">
        <v>163</v>
      </c>
      <c r="F444">
        <v>169</v>
      </c>
      <c r="G444">
        <v>135</v>
      </c>
      <c r="H444">
        <v>202</v>
      </c>
    </row>
    <row r="445" spans="1:9">
      <c r="A445">
        <v>2014</v>
      </c>
      <c r="B445">
        <v>28</v>
      </c>
      <c r="C445" s="2">
        <v>41833</v>
      </c>
      <c r="D445" s="1" t="s">
        <v>444</v>
      </c>
      <c r="E445">
        <v>150</v>
      </c>
      <c r="F445">
        <v>169</v>
      </c>
      <c r="G445">
        <v>135</v>
      </c>
      <c r="H445">
        <v>202</v>
      </c>
    </row>
    <row r="446" spans="1:9">
      <c r="A446">
        <v>2014</v>
      </c>
      <c r="B446">
        <v>29</v>
      </c>
      <c r="C446" s="2">
        <v>41840</v>
      </c>
      <c r="D446" s="1" t="s">
        <v>444</v>
      </c>
      <c r="E446">
        <v>167</v>
      </c>
      <c r="F446">
        <v>168</v>
      </c>
      <c r="G446">
        <v>135</v>
      </c>
      <c r="H446">
        <v>202</v>
      </c>
    </row>
    <row r="447" spans="1:9">
      <c r="A447">
        <v>2014</v>
      </c>
      <c r="B447">
        <v>30</v>
      </c>
      <c r="C447" s="2">
        <v>41847</v>
      </c>
      <c r="D447" s="1" t="s">
        <v>444</v>
      </c>
      <c r="E447">
        <v>165</v>
      </c>
      <c r="F447">
        <v>168</v>
      </c>
      <c r="G447">
        <v>135</v>
      </c>
      <c r="H447">
        <v>202</v>
      </c>
    </row>
    <row r="448" spans="1:9">
      <c r="A448">
        <v>2014</v>
      </c>
      <c r="B448">
        <v>31</v>
      </c>
      <c r="C448" s="2">
        <v>41854</v>
      </c>
      <c r="D448" s="1" t="s">
        <v>444</v>
      </c>
      <c r="E448">
        <v>159</v>
      </c>
      <c r="F448">
        <v>168</v>
      </c>
      <c r="G448">
        <v>135</v>
      </c>
      <c r="H448">
        <v>202</v>
      </c>
    </row>
    <row r="449" spans="1:8">
      <c r="A449">
        <v>2014</v>
      </c>
      <c r="B449">
        <v>32</v>
      </c>
      <c r="C449" s="2">
        <v>41861</v>
      </c>
      <c r="D449" s="1" t="s">
        <v>444</v>
      </c>
      <c r="E449">
        <v>154</v>
      </c>
      <c r="F449">
        <v>168</v>
      </c>
      <c r="G449">
        <v>135</v>
      </c>
      <c r="H449">
        <v>202</v>
      </c>
    </row>
    <row r="450" spans="1:8">
      <c r="A450">
        <v>2014</v>
      </c>
      <c r="B450">
        <v>33</v>
      </c>
      <c r="C450" s="2">
        <v>41868</v>
      </c>
      <c r="D450" s="1" t="s">
        <v>444</v>
      </c>
      <c r="E450">
        <v>142</v>
      </c>
      <c r="F450">
        <v>168</v>
      </c>
      <c r="G450">
        <v>135</v>
      </c>
      <c r="H450">
        <v>202</v>
      </c>
    </row>
    <row r="451" spans="1:8">
      <c r="A451">
        <v>2014</v>
      </c>
      <c r="B451">
        <v>34</v>
      </c>
      <c r="C451" s="2">
        <v>41875</v>
      </c>
      <c r="D451" s="1" t="s">
        <v>444</v>
      </c>
      <c r="E451">
        <v>160</v>
      </c>
      <c r="F451">
        <v>168</v>
      </c>
      <c r="G451">
        <v>135</v>
      </c>
      <c r="H451">
        <v>202</v>
      </c>
    </row>
    <row r="452" spans="1:8">
      <c r="A452">
        <v>2014</v>
      </c>
      <c r="B452">
        <v>35</v>
      </c>
      <c r="C452" s="2">
        <v>41882</v>
      </c>
      <c r="D452" s="1" t="s">
        <v>444</v>
      </c>
      <c r="E452">
        <v>163</v>
      </c>
      <c r="F452">
        <v>169</v>
      </c>
      <c r="G452">
        <v>135</v>
      </c>
      <c r="H452">
        <v>202</v>
      </c>
    </row>
    <row r="453" spans="1:8">
      <c r="A453">
        <v>2014</v>
      </c>
      <c r="B453">
        <v>36</v>
      </c>
      <c r="C453" s="2">
        <v>41889</v>
      </c>
      <c r="D453" s="1" t="s">
        <v>444</v>
      </c>
      <c r="E453">
        <v>188</v>
      </c>
      <c r="F453">
        <v>169</v>
      </c>
      <c r="G453">
        <v>135</v>
      </c>
      <c r="H453">
        <v>202</v>
      </c>
    </row>
    <row r="454" spans="1:8">
      <c r="A454">
        <v>2014</v>
      </c>
      <c r="B454">
        <v>37</v>
      </c>
      <c r="C454" s="2">
        <v>41896</v>
      </c>
      <c r="D454" s="1" t="s">
        <v>444</v>
      </c>
      <c r="E454">
        <v>141</v>
      </c>
      <c r="F454">
        <v>169</v>
      </c>
      <c r="G454">
        <v>136</v>
      </c>
      <c r="H454">
        <v>203</v>
      </c>
    </row>
    <row r="455" spans="1:8">
      <c r="A455">
        <v>2014</v>
      </c>
      <c r="B455">
        <v>38</v>
      </c>
      <c r="C455" s="2">
        <v>41903</v>
      </c>
      <c r="D455" s="1" t="s">
        <v>444</v>
      </c>
      <c r="E455">
        <v>157</v>
      </c>
      <c r="F455">
        <v>170</v>
      </c>
      <c r="G455">
        <v>136</v>
      </c>
      <c r="H455">
        <v>203</v>
      </c>
    </row>
    <row r="456" spans="1:8">
      <c r="A456">
        <v>2014</v>
      </c>
      <c r="B456">
        <v>39</v>
      </c>
      <c r="C456" s="2">
        <v>41910</v>
      </c>
      <c r="D456" s="1" t="s">
        <v>444</v>
      </c>
      <c r="E456">
        <v>169</v>
      </c>
      <c r="F456">
        <v>170</v>
      </c>
      <c r="G456">
        <v>136</v>
      </c>
      <c r="H456">
        <v>204</v>
      </c>
    </row>
    <row r="457" spans="1:8">
      <c r="A457">
        <v>2014</v>
      </c>
      <c r="B457">
        <v>40</v>
      </c>
      <c r="C457" s="2">
        <v>41917</v>
      </c>
      <c r="D457" s="1" t="s">
        <v>444</v>
      </c>
      <c r="E457">
        <v>167</v>
      </c>
      <c r="F457">
        <v>170</v>
      </c>
      <c r="G457">
        <v>137</v>
      </c>
      <c r="H457">
        <v>204</v>
      </c>
    </row>
    <row r="458" spans="1:8">
      <c r="A458">
        <v>2014</v>
      </c>
      <c r="B458">
        <v>41</v>
      </c>
      <c r="C458" s="2">
        <v>41924</v>
      </c>
      <c r="D458" s="1" t="s">
        <v>444</v>
      </c>
      <c r="E458">
        <v>188</v>
      </c>
      <c r="F458">
        <v>171</v>
      </c>
      <c r="G458">
        <v>137</v>
      </c>
      <c r="H458">
        <v>205</v>
      </c>
    </row>
    <row r="459" spans="1:8">
      <c r="A459">
        <v>2014</v>
      </c>
      <c r="B459">
        <v>42</v>
      </c>
      <c r="C459" s="2">
        <v>41931</v>
      </c>
      <c r="D459" s="1" t="s">
        <v>444</v>
      </c>
      <c r="E459">
        <v>149</v>
      </c>
      <c r="F459">
        <v>172</v>
      </c>
      <c r="G459">
        <v>138</v>
      </c>
      <c r="H459">
        <v>205</v>
      </c>
    </row>
    <row r="460" spans="1:8">
      <c r="A460">
        <v>2014</v>
      </c>
      <c r="B460">
        <v>43</v>
      </c>
      <c r="C460" s="2">
        <v>41938</v>
      </c>
      <c r="D460" s="1" t="s">
        <v>444</v>
      </c>
      <c r="E460">
        <v>158</v>
      </c>
      <c r="F460">
        <v>172</v>
      </c>
      <c r="G460">
        <v>138</v>
      </c>
      <c r="H460">
        <v>206</v>
      </c>
    </row>
    <row r="461" spans="1:8">
      <c r="A461">
        <v>2014</v>
      </c>
      <c r="B461">
        <v>44</v>
      </c>
      <c r="C461" s="2">
        <v>41945</v>
      </c>
      <c r="D461" s="1" t="s">
        <v>444</v>
      </c>
      <c r="E461">
        <v>182</v>
      </c>
      <c r="F461">
        <v>173</v>
      </c>
      <c r="G461">
        <v>139</v>
      </c>
      <c r="H461">
        <v>207</v>
      </c>
    </row>
    <row r="462" spans="1:8">
      <c r="A462">
        <v>2014</v>
      </c>
      <c r="B462">
        <v>45</v>
      </c>
      <c r="C462" s="2">
        <v>41952</v>
      </c>
      <c r="D462" s="1" t="s">
        <v>444</v>
      </c>
      <c r="E462">
        <v>181</v>
      </c>
      <c r="F462">
        <v>173</v>
      </c>
      <c r="G462">
        <v>139</v>
      </c>
      <c r="H462">
        <v>207</v>
      </c>
    </row>
    <row r="463" spans="1:8">
      <c r="A463">
        <v>2014</v>
      </c>
      <c r="B463">
        <v>46</v>
      </c>
      <c r="C463" s="2">
        <v>41959</v>
      </c>
      <c r="D463" s="1" t="s">
        <v>444</v>
      </c>
      <c r="E463">
        <v>207</v>
      </c>
      <c r="F463">
        <v>174</v>
      </c>
      <c r="G463">
        <v>140</v>
      </c>
      <c r="H463">
        <v>208</v>
      </c>
    </row>
    <row r="464" spans="1:8">
      <c r="A464">
        <v>2014</v>
      </c>
      <c r="B464">
        <v>47</v>
      </c>
      <c r="C464" s="2">
        <v>41966</v>
      </c>
      <c r="D464" s="1" t="s">
        <v>444</v>
      </c>
      <c r="E464">
        <v>181</v>
      </c>
      <c r="F464">
        <v>174</v>
      </c>
      <c r="G464">
        <v>140</v>
      </c>
      <c r="H464">
        <v>208</v>
      </c>
    </row>
    <row r="465" spans="1:8">
      <c r="A465">
        <v>2014</v>
      </c>
      <c r="B465">
        <v>48</v>
      </c>
      <c r="C465" s="2">
        <v>41973</v>
      </c>
      <c r="D465" s="1" t="s">
        <v>444</v>
      </c>
      <c r="E465">
        <v>158</v>
      </c>
      <c r="F465">
        <v>175</v>
      </c>
      <c r="G465">
        <v>141</v>
      </c>
      <c r="H465">
        <v>209</v>
      </c>
    </row>
    <row r="466" spans="1:8">
      <c r="A466">
        <v>2014</v>
      </c>
      <c r="B466">
        <v>49</v>
      </c>
      <c r="C466" s="2">
        <v>41980</v>
      </c>
      <c r="D466" s="1" t="s">
        <v>444</v>
      </c>
      <c r="E466">
        <v>194</v>
      </c>
      <c r="F466">
        <v>176</v>
      </c>
      <c r="G466">
        <v>142</v>
      </c>
      <c r="H466">
        <v>210</v>
      </c>
    </row>
    <row r="467" spans="1:8">
      <c r="A467">
        <v>2014</v>
      </c>
      <c r="B467">
        <v>50</v>
      </c>
      <c r="C467" s="2">
        <v>41987</v>
      </c>
      <c r="D467" s="1" t="s">
        <v>444</v>
      </c>
      <c r="E467">
        <v>171</v>
      </c>
      <c r="F467">
        <v>176</v>
      </c>
      <c r="G467">
        <v>142</v>
      </c>
      <c r="H467">
        <v>210</v>
      </c>
    </row>
    <row r="468" spans="1:8">
      <c r="A468">
        <v>2014</v>
      </c>
      <c r="B468">
        <v>51</v>
      </c>
      <c r="C468" s="2">
        <v>41994</v>
      </c>
      <c r="D468" s="1" t="s">
        <v>444</v>
      </c>
      <c r="E468">
        <v>173</v>
      </c>
      <c r="F468">
        <v>177</v>
      </c>
      <c r="G468">
        <v>143</v>
      </c>
      <c r="H468">
        <v>211</v>
      </c>
    </row>
    <row r="469" spans="1:8">
      <c r="A469">
        <v>2014</v>
      </c>
      <c r="B469">
        <v>52</v>
      </c>
      <c r="C469" s="2">
        <v>42001</v>
      </c>
      <c r="D469" s="1" t="s">
        <v>444</v>
      </c>
      <c r="E469">
        <v>177</v>
      </c>
      <c r="F469">
        <v>178</v>
      </c>
      <c r="G469">
        <v>143</v>
      </c>
      <c r="H469">
        <v>212</v>
      </c>
    </row>
    <row r="470" spans="1:8">
      <c r="A470">
        <v>2014</v>
      </c>
      <c r="B470">
        <v>1</v>
      </c>
      <c r="C470" s="2">
        <v>41644</v>
      </c>
      <c r="D470" s="1" t="s">
        <v>445</v>
      </c>
      <c r="E470">
        <v>1143</v>
      </c>
      <c r="F470">
        <v>1216</v>
      </c>
      <c r="G470">
        <v>1126</v>
      </c>
      <c r="H470">
        <v>1306</v>
      </c>
    </row>
    <row r="471" spans="1:8">
      <c r="A471">
        <v>2014</v>
      </c>
      <c r="B471">
        <v>2</v>
      </c>
      <c r="C471" s="2">
        <v>41651</v>
      </c>
      <c r="D471" s="1" t="s">
        <v>445</v>
      </c>
      <c r="E471">
        <v>1126</v>
      </c>
      <c r="F471">
        <v>1215</v>
      </c>
      <c r="G471">
        <v>1126</v>
      </c>
      <c r="H471">
        <v>1305</v>
      </c>
    </row>
    <row r="472" spans="1:8">
      <c r="A472">
        <v>2014</v>
      </c>
      <c r="B472">
        <v>3</v>
      </c>
      <c r="C472" s="2">
        <v>41658</v>
      </c>
      <c r="D472" s="1" t="s">
        <v>445</v>
      </c>
      <c r="E472">
        <v>1097</v>
      </c>
      <c r="F472">
        <v>1216</v>
      </c>
      <c r="G472">
        <v>1126</v>
      </c>
      <c r="H472">
        <v>1306</v>
      </c>
    </row>
    <row r="473" spans="1:8">
      <c r="A473">
        <v>2014</v>
      </c>
      <c r="B473">
        <v>4</v>
      </c>
      <c r="C473" s="2">
        <v>41665</v>
      </c>
      <c r="D473" s="1" t="s">
        <v>445</v>
      </c>
      <c r="E473">
        <v>1131</v>
      </c>
      <c r="F473">
        <v>1216</v>
      </c>
      <c r="G473">
        <v>1126</v>
      </c>
      <c r="H473">
        <v>1306</v>
      </c>
    </row>
    <row r="474" spans="1:8">
      <c r="A474">
        <v>2014</v>
      </c>
      <c r="B474">
        <v>5</v>
      </c>
      <c r="C474" s="2">
        <v>41672</v>
      </c>
      <c r="D474" s="1" t="s">
        <v>445</v>
      </c>
      <c r="E474">
        <v>1164</v>
      </c>
      <c r="F474">
        <v>1217</v>
      </c>
      <c r="G474">
        <v>1127</v>
      </c>
      <c r="H474">
        <v>1307</v>
      </c>
    </row>
    <row r="475" spans="1:8">
      <c r="A475">
        <v>2014</v>
      </c>
      <c r="B475">
        <v>6</v>
      </c>
      <c r="C475" s="2">
        <v>41679</v>
      </c>
      <c r="D475" s="1" t="s">
        <v>445</v>
      </c>
      <c r="E475">
        <v>1108</v>
      </c>
      <c r="F475">
        <v>1218</v>
      </c>
      <c r="G475">
        <v>1128</v>
      </c>
      <c r="H475">
        <v>1308</v>
      </c>
    </row>
    <row r="476" spans="1:8">
      <c r="A476">
        <v>2014</v>
      </c>
      <c r="B476">
        <v>7</v>
      </c>
      <c r="C476" s="2">
        <v>41686</v>
      </c>
      <c r="D476" s="1" t="s">
        <v>445</v>
      </c>
      <c r="E476">
        <v>1095</v>
      </c>
      <c r="F476">
        <v>1215</v>
      </c>
      <c r="G476">
        <v>1125</v>
      </c>
      <c r="H476">
        <v>1305</v>
      </c>
    </row>
    <row r="477" spans="1:8">
      <c r="A477">
        <v>2014</v>
      </c>
      <c r="B477">
        <v>8</v>
      </c>
      <c r="C477" s="2">
        <v>41693</v>
      </c>
      <c r="D477" s="1" t="s">
        <v>445</v>
      </c>
      <c r="E477">
        <v>1158</v>
      </c>
      <c r="F477">
        <v>1204</v>
      </c>
      <c r="G477">
        <v>1115</v>
      </c>
      <c r="H477">
        <v>1294</v>
      </c>
    </row>
    <row r="478" spans="1:8">
      <c r="A478">
        <v>2014</v>
      </c>
      <c r="B478">
        <v>9</v>
      </c>
      <c r="C478" s="2">
        <v>41700</v>
      </c>
      <c r="D478" s="1" t="s">
        <v>445</v>
      </c>
      <c r="E478">
        <v>1160</v>
      </c>
      <c r="F478">
        <v>1193</v>
      </c>
      <c r="G478">
        <v>1104</v>
      </c>
      <c r="H478">
        <v>1282</v>
      </c>
    </row>
    <row r="479" spans="1:8">
      <c r="A479">
        <v>2014</v>
      </c>
      <c r="B479">
        <v>10</v>
      </c>
      <c r="C479" s="2">
        <v>41707</v>
      </c>
      <c r="D479" s="1" t="s">
        <v>445</v>
      </c>
      <c r="E479">
        <v>1151</v>
      </c>
      <c r="F479">
        <v>1170</v>
      </c>
      <c r="G479">
        <v>1082</v>
      </c>
      <c r="H479">
        <v>1258</v>
      </c>
    </row>
    <row r="480" spans="1:8">
      <c r="A480">
        <v>2014</v>
      </c>
      <c r="B480">
        <v>11</v>
      </c>
      <c r="C480" s="2">
        <v>41714</v>
      </c>
      <c r="D480" s="1" t="s">
        <v>445</v>
      </c>
      <c r="E480">
        <v>1114</v>
      </c>
      <c r="F480">
        <v>1146</v>
      </c>
      <c r="G480">
        <v>1059</v>
      </c>
      <c r="H480">
        <v>1233</v>
      </c>
    </row>
    <row r="481" spans="1:8">
      <c r="A481">
        <v>2014</v>
      </c>
      <c r="B481">
        <v>12</v>
      </c>
      <c r="C481" s="2">
        <v>41721</v>
      </c>
      <c r="D481" s="1" t="s">
        <v>445</v>
      </c>
      <c r="E481">
        <v>1114</v>
      </c>
      <c r="F481">
        <v>1121</v>
      </c>
      <c r="G481">
        <v>1034</v>
      </c>
      <c r="H481">
        <v>1207</v>
      </c>
    </row>
    <row r="482" spans="1:8">
      <c r="A482">
        <v>2014</v>
      </c>
      <c r="B482">
        <v>13</v>
      </c>
      <c r="C482" s="2">
        <v>41728</v>
      </c>
      <c r="D482" s="1" t="s">
        <v>445</v>
      </c>
      <c r="E482">
        <v>1026</v>
      </c>
      <c r="F482">
        <v>1095</v>
      </c>
      <c r="G482">
        <v>1010</v>
      </c>
      <c r="H482">
        <v>1180</v>
      </c>
    </row>
    <row r="483" spans="1:8">
      <c r="A483">
        <v>2014</v>
      </c>
      <c r="B483">
        <v>14</v>
      </c>
      <c r="C483" s="2">
        <v>41735</v>
      </c>
      <c r="D483" s="1" t="s">
        <v>445</v>
      </c>
      <c r="E483">
        <v>1036</v>
      </c>
      <c r="F483">
        <v>1077</v>
      </c>
      <c r="G483">
        <v>992</v>
      </c>
      <c r="H483">
        <v>1161</v>
      </c>
    </row>
    <row r="484" spans="1:8">
      <c r="A484">
        <v>2014</v>
      </c>
      <c r="B484">
        <v>15</v>
      </c>
      <c r="C484" s="2">
        <v>41742</v>
      </c>
      <c r="D484" s="1" t="s">
        <v>445</v>
      </c>
      <c r="E484">
        <v>1035</v>
      </c>
      <c r="F484">
        <v>1063</v>
      </c>
      <c r="G484">
        <v>979</v>
      </c>
      <c r="H484">
        <v>1147</v>
      </c>
    </row>
    <row r="485" spans="1:8">
      <c r="A485">
        <v>2014</v>
      </c>
      <c r="B485">
        <v>16</v>
      </c>
      <c r="C485" s="2">
        <v>41749</v>
      </c>
      <c r="D485" s="1" t="s">
        <v>445</v>
      </c>
      <c r="E485">
        <v>1020</v>
      </c>
      <c r="F485">
        <v>1049</v>
      </c>
      <c r="G485">
        <v>966</v>
      </c>
      <c r="H485">
        <v>1132</v>
      </c>
    </row>
    <row r="486" spans="1:8">
      <c r="A486">
        <v>2014</v>
      </c>
      <c r="B486">
        <v>17</v>
      </c>
      <c r="C486" s="2">
        <v>41756</v>
      </c>
      <c r="D486" s="1" t="s">
        <v>445</v>
      </c>
      <c r="E486">
        <v>980</v>
      </c>
      <c r="F486">
        <v>1036</v>
      </c>
      <c r="G486">
        <v>954</v>
      </c>
      <c r="H486">
        <v>1119</v>
      </c>
    </row>
    <row r="487" spans="1:8">
      <c r="A487">
        <v>2014</v>
      </c>
      <c r="B487">
        <v>18</v>
      </c>
      <c r="C487" s="2">
        <v>41763</v>
      </c>
      <c r="D487" s="1" t="s">
        <v>445</v>
      </c>
      <c r="E487">
        <v>1047</v>
      </c>
      <c r="F487">
        <v>1024</v>
      </c>
      <c r="G487">
        <v>942</v>
      </c>
      <c r="H487">
        <v>1106</v>
      </c>
    </row>
    <row r="488" spans="1:8">
      <c r="A488">
        <v>2014</v>
      </c>
      <c r="B488">
        <v>19</v>
      </c>
      <c r="C488" s="2">
        <v>41770</v>
      </c>
      <c r="D488" s="1" t="s">
        <v>445</v>
      </c>
      <c r="E488">
        <v>1001</v>
      </c>
      <c r="F488">
        <v>1012</v>
      </c>
      <c r="G488">
        <v>930</v>
      </c>
      <c r="H488">
        <v>1094</v>
      </c>
    </row>
    <row r="489" spans="1:8">
      <c r="A489">
        <v>2014</v>
      </c>
      <c r="B489">
        <v>20</v>
      </c>
      <c r="C489" s="2">
        <v>41777</v>
      </c>
      <c r="D489" s="1" t="s">
        <v>445</v>
      </c>
      <c r="E489">
        <v>970</v>
      </c>
      <c r="F489">
        <v>999</v>
      </c>
      <c r="G489">
        <v>918</v>
      </c>
      <c r="H489">
        <v>1081</v>
      </c>
    </row>
    <row r="490" spans="1:8">
      <c r="A490">
        <v>2014</v>
      </c>
      <c r="B490">
        <v>21</v>
      </c>
      <c r="C490" s="2">
        <v>41784</v>
      </c>
      <c r="D490" s="1" t="s">
        <v>445</v>
      </c>
      <c r="E490">
        <v>983</v>
      </c>
      <c r="F490">
        <v>988</v>
      </c>
      <c r="G490">
        <v>907</v>
      </c>
      <c r="H490">
        <v>1069</v>
      </c>
    </row>
    <row r="491" spans="1:8">
      <c r="A491">
        <v>2014</v>
      </c>
      <c r="B491">
        <v>22</v>
      </c>
      <c r="C491" s="2">
        <v>41791</v>
      </c>
      <c r="D491" s="1" t="s">
        <v>445</v>
      </c>
      <c r="E491">
        <v>948</v>
      </c>
      <c r="F491">
        <v>984</v>
      </c>
      <c r="G491">
        <v>903</v>
      </c>
      <c r="H491">
        <v>1064</v>
      </c>
    </row>
    <row r="492" spans="1:8">
      <c r="A492">
        <v>2014</v>
      </c>
      <c r="B492">
        <v>23</v>
      </c>
      <c r="C492" s="2">
        <v>41798</v>
      </c>
      <c r="D492" s="1" t="s">
        <v>445</v>
      </c>
      <c r="E492">
        <v>934</v>
      </c>
      <c r="F492">
        <v>979</v>
      </c>
      <c r="G492">
        <v>899</v>
      </c>
      <c r="H492">
        <v>1060</v>
      </c>
    </row>
    <row r="493" spans="1:8">
      <c r="A493">
        <v>2014</v>
      </c>
      <c r="B493">
        <v>24</v>
      </c>
      <c r="C493" s="2">
        <v>41805</v>
      </c>
      <c r="D493" s="1" t="s">
        <v>445</v>
      </c>
      <c r="E493">
        <v>1057</v>
      </c>
      <c r="F493">
        <v>978</v>
      </c>
      <c r="G493">
        <v>897</v>
      </c>
      <c r="H493">
        <v>1058</v>
      </c>
    </row>
    <row r="494" spans="1:8">
      <c r="A494">
        <v>2014</v>
      </c>
      <c r="B494">
        <v>25</v>
      </c>
      <c r="C494" s="2">
        <v>41812</v>
      </c>
      <c r="D494" s="1" t="s">
        <v>445</v>
      </c>
      <c r="E494">
        <v>921</v>
      </c>
      <c r="F494">
        <v>976</v>
      </c>
      <c r="G494">
        <v>896</v>
      </c>
      <c r="H494">
        <v>1057</v>
      </c>
    </row>
    <row r="495" spans="1:8">
      <c r="A495">
        <v>2014</v>
      </c>
      <c r="B495">
        <v>26</v>
      </c>
      <c r="C495" s="2">
        <v>41819</v>
      </c>
      <c r="D495" s="1" t="s">
        <v>445</v>
      </c>
      <c r="E495">
        <v>916</v>
      </c>
      <c r="F495">
        <v>975</v>
      </c>
      <c r="G495">
        <v>894</v>
      </c>
      <c r="H495">
        <v>1055</v>
      </c>
    </row>
    <row r="496" spans="1:8">
      <c r="A496">
        <v>2014</v>
      </c>
      <c r="B496">
        <v>27</v>
      </c>
      <c r="C496" s="2">
        <v>41826</v>
      </c>
      <c r="D496" s="1" t="s">
        <v>445</v>
      </c>
      <c r="E496">
        <v>993</v>
      </c>
      <c r="F496">
        <v>975</v>
      </c>
      <c r="G496">
        <v>894</v>
      </c>
      <c r="H496">
        <v>1055</v>
      </c>
    </row>
    <row r="497" spans="1:8">
      <c r="A497">
        <v>2014</v>
      </c>
      <c r="B497">
        <v>28</v>
      </c>
      <c r="C497" s="2">
        <v>41833</v>
      </c>
      <c r="D497" s="1" t="s">
        <v>445</v>
      </c>
      <c r="E497">
        <v>927</v>
      </c>
      <c r="F497">
        <v>971</v>
      </c>
      <c r="G497">
        <v>891</v>
      </c>
      <c r="H497">
        <v>1051</v>
      </c>
    </row>
    <row r="498" spans="1:8">
      <c r="A498">
        <v>2014</v>
      </c>
      <c r="B498">
        <v>29</v>
      </c>
      <c r="C498" s="2">
        <v>41840</v>
      </c>
      <c r="D498" s="1" t="s">
        <v>445</v>
      </c>
      <c r="E498">
        <v>1014</v>
      </c>
      <c r="F498">
        <v>968</v>
      </c>
      <c r="G498">
        <v>888</v>
      </c>
      <c r="H498">
        <v>1048</v>
      </c>
    </row>
    <row r="499" spans="1:8">
      <c r="A499">
        <v>2014</v>
      </c>
      <c r="B499">
        <v>30</v>
      </c>
      <c r="C499" s="2">
        <v>41847</v>
      </c>
      <c r="D499" s="1" t="s">
        <v>445</v>
      </c>
      <c r="E499">
        <v>971</v>
      </c>
      <c r="F499">
        <v>967</v>
      </c>
      <c r="G499">
        <v>887</v>
      </c>
      <c r="H499">
        <v>1047</v>
      </c>
    </row>
    <row r="500" spans="1:8">
      <c r="A500">
        <v>2014</v>
      </c>
      <c r="B500">
        <v>31</v>
      </c>
      <c r="C500" s="2">
        <v>41854</v>
      </c>
      <c r="D500" s="1" t="s">
        <v>445</v>
      </c>
      <c r="E500">
        <v>1002</v>
      </c>
      <c r="F500">
        <v>967</v>
      </c>
      <c r="G500">
        <v>887</v>
      </c>
      <c r="H500">
        <v>1047</v>
      </c>
    </row>
    <row r="501" spans="1:8">
      <c r="A501">
        <v>2014</v>
      </c>
      <c r="B501">
        <v>32</v>
      </c>
      <c r="C501" s="2">
        <v>41861</v>
      </c>
      <c r="D501" s="1" t="s">
        <v>445</v>
      </c>
      <c r="E501">
        <v>900</v>
      </c>
      <c r="F501">
        <v>970</v>
      </c>
      <c r="G501">
        <v>890</v>
      </c>
      <c r="H501">
        <v>1051</v>
      </c>
    </row>
    <row r="502" spans="1:8">
      <c r="A502">
        <v>2014</v>
      </c>
      <c r="B502">
        <v>33</v>
      </c>
      <c r="C502" s="2">
        <v>41868</v>
      </c>
      <c r="D502" s="1" t="s">
        <v>445</v>
      </c>
      <c r="E502">
        <v>965</v>
      </c>
      <c r="F502">
        <v>974</v>
      </c>
      <c r="G502">
        <v>894</v>
      </c>
      <c r="H502">
        <v>1055</v>
      </c>
    </row>
    <row r="503" spans="1:8">
      <c r="A503">
        <v>2014</v>
      </c>
      <c r="B503">
        <v>34</v>
      </c>
      <c r="C503" s="2">
        <v>41875</v>
      </c>
      <c r="D503" s="1" t="s">
        <v>445</v>
      </c>
      <c r="E503">
        <v>943</v>
      </c>
      <c r="F503">
        <v>980</v>
      </c>
      <c r="G503">
        <v>900</v>
      </c>
      <c r="H503">
        <v>1061</v>
      </c>
    </row>
    <row r="504" spans="1:8">
      <c r="A504">
        <v>2014</v>
      </c>
      <c r="B504">
        <v>35</v>
      </c>
      <c r="C504" s="2">
        <v>41882</v>
      </c>
      <c r="D504" s="1" t="s">
        <v>445</v>
      </c>
      <c r="E504">
        <v>1014</v>
      </c>
      <c r="F504">
        <v>987</v>
      </c>
      <c r="G504">
        <v>906</v>
      </c>
      <c r="H504">
        <v>1068</v>
      </c>
    </row>
    <row r="505" spans="1:8">
      <c r="A505">
        <v>2014</v>
      </c>
      <c r="B505">
        <v>36</v>
      </c>
      <c r="C505" s="2">
        <v>41889</v>
      </c>
      <c r="D505" s="1" t="s">
        <v>445</v>
      </c>
      <c r="E505">
        <v>963</v>
      </c>
      <c r="F505">
        <v>994</v>
      </c>
      <c r="G505">
        <v>913</v>
      </c>
      <c r="H505">
        <v>1075</v>
      </c>
    </row>
    <row r="506" spans="1:8">
      <c r="A506">
        <v>2014</v>
      </c>
      <c r="B506">
        <v>37</v>
      </c>
      <c r="C506" s="2">
        <v>41896</v>
      </c>
      <c r="D506" s="1" t="s">
        <v>445</v>
      </c>
      <c r="E506">
        <v>991</v>
      </c>
      <c r="F506">
        <v>999</v>
      </c>
      <c r="G506">
        <v>917</v>
      </c>
      <c r="H506">
        <v>1080</v>
      </c>
    </row>
    <row r="507" spans="1:8">
      <c r="A507">
        <v>2014</v>
      </c>
      <c r="B507">
        <v>38</v>
      </c>
      <c r="C507" s="2">
        <v>41903</v>
      </c>
      <c r="D507" s="1" t="s">
        <v>445</v>
      </c>
      <c r="E507">
        <v>958</v>
      </c>
      <c r="F507">
        <v>1003</v>
      </c>
      <c r="G507">
        <v>922</v>
      </c>
      <c r="H507">
        <v>1085</v>
      </c>
    </row>
    <row r="508" spans="1:8">
      <c r="A508">
        <v>2014</v>
      </c>
      <c r="B508">
        <v>39</v>
      </c>
      <c r="C508" s="2">
        <v>41910</v>
      </c>
      <c r="D508" s="1" t="s">
        <v>445</v>
      </c>
      <c r="E508">
        <v>966</v>
      </c>
      <c r="F508">
        <v>1008</v>
      </c>
      <c r="G508">
        <v>926</v>
      </c>
      <c r="H508">
        <v>1090</v>
      </c>
    </row>
    <row r="509" spans="1:8">
      <c r="A509">
        <v>2014</v>
      </c>
      <c r="B509">
        <v>40</v>
      </c>
      <c r="C509" s="2">
        <v>41917</v>
      </c>
      <c r="D509" s="1" t="s">
        <v>445</v>
      </c>
      <c r="E509">
        <v>1022</v>
      </c>
      <c r="F509">
        <v>1015</v>
      </c>
      <c r="G509">
        <v>933</v>
      </c>
      <c r="H509">
        <v>1098</v>
      </c>
    </row>
    <row r="510" spans="1:8">
      <c r="A510">
        <v>2014</v>
      </c>
      <c r="B510">
        <v>41</v>
      </c>
      <c r="C510" s="2">
        <v>41924</v>
      </c>
      <c r="D510" s="1" t="s">
        <v>445</v>
      </c>
      <c r="E510">
        <v>1020</v>
      </c>
      <c r="F510">
        <v>1024</v>
      </c>
      <c r="G510">
        <v>942</v>
      </c>
      <c r="H510">
        <v>1106</v>
      </c>
    </row>
    <row r="511" spans="1:8">
      <c r="A511">
        <v>2014</v>
      </c>
      <c r="B511">
        <v>42</v>
      </c>
      <c r="C511" s="2">
        <v>41931</v>
      </c>
      <c r="D511" s="1" t="s">
        <v>445</v>
      </c>
      <c r="E511">
        <v>1020</v>
      </c>
      <c r="F511">
        <v>1033</v>
      </c>
      <c r="G511">
        <v>950</v>
      </c>
      <c r="H511">
        <v>1115</v>
      </c>
    </row>
    <row r="512" spans="1:8">
      <c r="A512">
        <v>2014</v>
      </c>
      <c r="B512">
        <v>43</v>
      </c>
      <c r="C512" s="2">
        <v>41938</v>
      </c>
      <c r="D512" s="1" t="s">
        <v>445</v>
      </c>
      <c r="E512">
        <v>1086</v>
      </c>
      <c r="F512">
        <v>1045</v>
      </c>
      <c r="G512">
        <v>962</v>
      </c>
      <c r="H512">
        <v>1128</v>
      </c>
    </row>
    <row r="513" spans="1:9">
      <c r="A513">
        <v>2014</v>
      </c>
      <c r="B513">
        <v>44</v>
      </c>
      <c r="C513" s="2">
        <v>41945</v>
      </c>
      <c r="D513" s="1" t="s">
        <v>445</v>
      </c>
      <c r="E513">
        <v>1036</v>
      </c>
      <c r="F513">
        <v>1057</v>
      </c>
      <c r="G513">
        <v>974</v>
      </c>
      <c r="H513">
        <v>1141</v>
      </c>
    </row>
    <row r="514" spans="1:9">
      <c r="A514">
        <v>2014</v>
      </c>
      <c r="B514">
        <v>45</v>
      </c>
      <c r="C514" s="2">
        <v>41952</v>
      </c>
      <c r="D514" s="1" t="s">
        <v>445</v>
      </c>
      <c r="E514">
        <v>1085</v>
      </c>
      <c r="F514">
        <v>1074</v>
      </c>
      <c r="G514">
        <v>989</v>
      </c>
      <c r="H514">
        <v>1158</v>
      </c>
    </row>
    <row r="515" spans="1:9">
      <c r="A515">
        <v>2014</v>
      </c>
      <c r="B515">
        <v>46</v>
      </c>
      <c r="C515" s="2">
        <v>41959</v>
      </c>
      <c r="D515" s="1" t="s">
        <v>445</v>
      </c>
      <c r="E515">
        <v>1092</v>
      </c>
      <c r="F515">
        <v>1090</v>
      </c>
      <c r="G515">
        <v>1005</v>
      </c>
      <c r="H515">
        <v>1175</v>
      </c>
    </row>
    <row r="516" spans="1:9">
      <c r="A516">
        <v>2014</v>
      </c>
      <c r="B516">
        <v>47</v>
      </c>
      <c r="C516" s="2">
        <v>41966</v>
      </c>
      <c r="D516" s="1" t="s">
        <v>445</v>
      </c>
      <c r="E516">
        <v>1112</v>
      </c>
      <c r="F516">
        <v>1106</v>
      </c>
      <c r="G516">
        <v>1021</v>
      </c>
      <c r="H516">
        <v>1192</v>
      </c>
    </row>
    <row r="517" spans="1:9">
      <c r="A517">
        <v>2014</v>
      </c>
      <c r="B517">
        <v>48</v>
      </c>
      <c r="C517" s="2">
        <v>41973</v>
      </c>
      <c r="D517" s="1" t="s">
        <v>445</v>
      </c>
      <c r="E517">
        <v>1125</v>
      </c>
      <c r="F517">
        <v>1123</v>
      </c>
      <c r="G517">
        <v>1037</v>
      </c>
      <c r="H517">
        <v>1209</v>
      </c>
    </row>
    <row r="518" spans="1:9">
      <c r="A518">
        <v>2014</v>
      </c>
      <c r="B518">
        <v>49</v>
      </c>
      <c r="C518" s="2">
        <v>41980</v>
      </c>
      <c r="D518" s="1" t="s">
        <v>445</v>
      </c>
      <c r="E518">
        <v>1100</v>
      </c>
      <c r="F518">
        <v>1140</v>
      </c>
      <c r="G518">
        <v>1053</v>
      </c>
      <c r="H518">
        <v>1227</v>
      </c>
    </row>
    <row r="519" spans="1:9">
      <c r="A519">
        <v>2014</v>
      </c>
      <c r="B519">
        <v>50</v>
      </c>
      <c r="C519" s="2">
        <v>41987</v>
      </c>
      <c r="D519" s="1" t="s">
        <v>445</v>
      </c>
      <c r="E519">
        <v>1080</v>
      </c>
      <c r="F519">
        <v>1149</v>
      </c>
      <c r="G519">
        <v>1062</v>
      </c>
      <c r="H519">
        <v>1237</v>
      </c>
    </row>
    <row r="520" spans="1:9">
      <c r="A520">
        <v>2014</v>
      </c>
      <c r="B520">
        <v>51</v>
      </c>
      <c r="C520" s="2">
        <v>41994</v>
      </c>
      <c r="D520" s="1" t="s">
        <v>445</v>
      </c>
      <c r="E520">
        <v>1160</v>
      </c>
      <c r="F520">
        <v>1158</v>
      </c>
      <c r="G520">
        <v>1071</v>
      </c>
      <c r="H520">
        <v>1246</v>
      </c>
    </row>
    <row r="521" spans="1:9">
      <c r="A521">
        <v>2014</v>
      </c>
      <c r="B521">
        <v>52</v>
      </c>
      <c r="C521" s="2">
        <v>42001</v>
      </c>
      <c r="D521" s="1" t="s">
        <v>445</v>
      </c>
      <c r="E521">
        <v>1155</v>
      </c>
      <c r="F521">
        <v>1167</v>
      </c>
      <c r="G521">
        <v>1079</v>
      </c>
      <c r="H521">
        <v>1255</v>
      </c>
    </row>
    <row r="522" spans="1:9">
      <c r="A522">
        <v>2015</v>
      </c>
      <c r="B522">
        <v>1</v>
      </c>
      <c r="C522" s="2">
        <v>42008</v>
      </c>
      <c r="D522" s="1" t="s">
        <v>444</v>
      </c>
      <c r="E522">
        <v>192</v>
      </c>
      <c r="F522">
        <v>177</v>
      </c>
      <c r="G522">
        <v>143</v>
      </c>
      <c r="H522">
        <v>211</v>
      </c>
    </row>
    <row r="523" spans="1:9">
      <c r="A523">
        <v>2015</v>
      </c>
      <c r="B523">
        <v>2</v>
      </c>
      <c r="C523" s="2">
        <v>42015</v>
      </c>
      <c r="D523" s="1" t="s">
        <v>444</v>
      </c>
      <c r="E523">
        <v>190</v>
      </c>
      <c r="F523">
        <v>177</v>
      </c>
      <c r="G523">
        <v>143</v>
      </c>
      <c r="H523">
        <v>212</v>
      </c>
    </row>
    <row r="524" spans="1:9">
      <c r="A524">
        <v>2015</v>
      </c>
      <c r="B524">
        <v>3</v>
      </c>
      <c r="C524" s="2">
        <v>42022</v>
      </c>
      <c r="D524" s="1" t="s">
        <v>444</v>
      </c>
      <c r="E524">
        <v>197</v>
      </c>
      <c r="F524">
        <v>178</v>
      </c>
      <c r="G524">
        <v>144</v>
      </c>
      <c r="H524">
        <v>212</v>
      </c>
    </row>
    <row r="525" spans="1:9">
      <c r="A525">
        <v>2015</v>
      </c>
      <c r="B525">
        <v>4</v>
      </c>
      <c r="C525" s="2">
        <v>42029</v>
      </c>
      <c r="D525" s="1" t="s">
        <v>444</v>
      </c>
      <c r="E525">
        <v>174</v>
      </c>
      <c r="F525">
        <v>178</v>
      </c>
      <c r="G525">
        <v>144</v>
      </c>
      <c r="H525">
        <v>213</v>
      </c>
    </row>
    <row r="526" spans="1:9">
      <c r="A526">
        <v>2015</v>
      </c>
      <c r="B526">
        <v>5</v>
      </c>
      <c r="C526" s="2">
        <v>42036</v>
      </c>
      <c r="D526" s="1" t="s">
        <v>444</v>
      </c>
      <c r="E526">
        <v>203</v>
      </c>
      <c r="F526">
        <v>179</v>
      </c>
      <c r="G526">
        <v>144</v>
      </c>
      <c r="H526">
        <v>213</v>
      </c>
    </row>
    <row r="527" spans="1:9">
      <c r="A527">
        <v>2015</v>
      </c>
      <c r="B527">
        <v>6</v>
      </c>
      <c r="C527" s="2">
        <v>42043</v>
      </c>
      <c r="D527" s="1" t="s">
        <v>444</v>
      </c>
      <c r="E527">
        <v>178</v>
      </c>
      <c r="F527">
        <v>179</v>
      </c>
      <c r="G527">
        <v>145</v>
      </c>
      <c r="H527">
        <v>214</v>
      </c>
    </row>
    <row r="528" spans="1:9">
      <c r="A528">
        <v>2015</v>
      </c>
      <c r="B528">
        <v>7</v>
      </c>
      <c r="C528" s="2">
        <v>42050</v>
      </c>
      <c r="D528" s="1" t="s">
        <v>444</v>
      </c>
      <c r="E528">
        <v>223</v>
      </c>
      <c r="F528">
        <v>179</v>
      </c>
      <c r="G528">
        <v>145</v>
      </c>
      <c r="H528">
        <v>214</v>
      </c>
      <c r="I528">
        <v>223</v>
      </c>
    </row>
    <row r="529" spans="1:8">
      <c r="A529">
        <v>2015</v>
      </c>
      <c r="B529">
        <v>8</v>
      </c>
      <c r="C529" s="2">
        <v>42057</v>
      </c>
      <c r="D529" s="1" t="s">
        <v>444</v>
      </c>
      <c r="E529">
        <v>208</v>
      </c>
      <c r="F529">
        <v>178</v>
      </c>
      <c r="G529">
        <v>144</v>
      </c>
      <c r="H529">
        <v>213</v>
      </c>
    </row>
    <row r="530" spans="1:8">
      <c r="A530">
        <v>2015</v>
      </c>
      <c r="B530">
        <v>9</v>
      </c>
      <c r="C530" s="2">
        <v>42064</v>
      </c>
      <c r="D530" s="1" t="s">
        <v>444</v>
      </c>
      <c r="E530">
        <v>188</v>
      </c>
      <c r="F530">
        <v>177</v>
      </c>
      <c r="G530">
        <v>143</v>
      </c>
      <c r="H530">
        <v>211</v>
      </c>
    </row>
    <row r="531" spans="1:8">
      <c r="A531">
        <v>2015</v>
      </c>
      <c r="B531">
        <v>10</v>
      </c>
      <c r="C531" s="2">
        <v>42071</v>
      </c>
      <c r="D531" s="1" t="s">
        <v>444</v>
      </c>
      <c r="E531">
        <v>184</v>
      </c>
      <c r="F531">
        <v>175</v>
      </c>
      <c r="G531">
        <v>141</v>
      </c>
      <c r="H531">
        <v>210</v>
      </c>
    </row>
    <row r="532" spans="1:8">
      <c r="A532">
        <v>2015</v>
      </c>
      <c r="B532">
        <v>11</v>
      </c>
      <c r="C532" s="2">
        <v>42078</v>
      </c>
      <c r="D532" s="1" t="s">
        <v>444</v>
      </c>
      <c r="E532">
        <v>171</v>
      </c>
      <c r="F532">
        <v>174</v>
      </c>
      <c r="G532">
        <v>140</v>
      </c>
      <c r="H532">
        <v>208</v>
      </c>
    </row>
    <row r="533" spans="1:8">
      <c r="A533">
        <v>2015</v>
      </c>
      <c r="B533">
        <v>12</v>
      </c>
      <c r="C533" s="2">
        <v>42085</v>
      </c>
      <c r="D533" s="1" t="s">
        <v>444</v>
      </c>
      <c r="E533">
        <v>187</v>
      </c>
      <c r="F533">
        <v>172</v>
      </c>
      <c r="G533">
        <v>138</v>
      </c>
      <c r="H533">
        <v>206</v>
      </c>
    </row>
    <row r="534" spans="1:8">
      <c r="A534">
        <v>2015</v>
      </c>
      <c r="B534">
        <v>13</v>
      </c>
      <c r="C534" s="2">
        <v>42092</v>
      </c>
      <c r="D534" s="1" t="s">
        <v>444</v>
      </c>
      <c r="E534">
        <v>170</v>
      </c>
      <c r="F534">
        <v>171</v>
      </c>
      <c r="G534">
        <v>137</v>
      </c>
      <c r="H534">
        <v>204</v>
      </c>
    </row>
    <row r="535" spans="1:8">
      <c r="A535">
        <v>2015</v>
      </c>
      <c r="B535">
        <v>14</v>
      </c>
      <c r="C535" s="2">
        <v>42099</v>
      </c>
      <c r="D535" s="1" t="s">
        <v>444</v>
      </c>
      <c r="E535">
        <v>186</v>
      </c>
      <c r="F535">
        <v>170</v>
      </c>
      <c r="G535">
        <v>136</v>
      </c>
      <c r="H535">
        <v>204</v>
      </c>
    </row>
    <row r="536" spans="1:8">
      <c r="A536">
        <v>2015</v>
      </c>
      <c r="B536">
        <v>15</v>
      </c>
      <c r="C536" s="2">
        <v>42106</v>
      </c>
      <c r="D536" s="1" t="s">
        <v>444</v>
      </c>
      <c r="E536">
        <v>161</v>
      </c>
      <c r="F536">
        <v>169</v>
      </c>
      <c r="G536">
        <v>136</v>
      </c>
      <c r="H536">
        <v>203</v>
      </c>
    </row>
    <row r="537" spans="1:8">
      <c r="A537">
        <v>2015</v>
      </c>
      <c r="B537">
        <v>16</v>
      </c>
      <c r="C537" s="2">
        <v>42113</v>
      </c>
      <c r="D537" s="1" t="s">
        <v>444</v>
      </c>
      <c r="E537">
        <v>171</v>
      </c>
      <c r="F537">
        <v>169</v>
      </c>
      <c r="G537">
        <v>135</v>
      </c>
      <c r="H537">
        <v>202</v>
      </c>
    </row>
    <row r="538" spans="1:8">
      <c r="A538">
        <v>2015</v>
      </c>
      <c r="B538">
        <v>17</v>
      </c>
      <c r="C538" s="2">
        <v>42120</v>
      </c>
      <c r="D538" s="1" t="s">
        <v>444</v>
      </c>
      <c r="E538">
        <v>163</v>
      </c>
      <c r="F538">
        <v>169</v>
      </c>
      <c r="G538">
        <v>135</v>
      </c>
      <c r="H538">
        <v>202</v>
      </c>
    </row>
    <row r="539" spans="1:8">
      <c r="A539">
        <v>2015</v>
      </c>
      <c r="B539">
        <v>18</v>
      </c>
      <c r="C539" s="2">
        <v>42127</v>
      </c>
      <c r="D539" s="1" t="s">
        <v>444</v>
      </c>
      <c r="E539">
        <v>159</v>
      </c>
      <c r="F539">
        <v>168</v>
      </c>
      <c r="G539">
        <v>135</v>
      </c>
      <c r="H539">
        <v>202</v>
      </c>
    </row>
    <row r="540" spans="1:8">
      <c r="A540">
        <v>2015</v>
      </c>
      <c r="B540">
        <v>19</v>
      </c>
      <c r="C540" s="2">
        <v>42134</v>
      </c>
      <c r="D540" s="1" t="s">
        <v>444</v>
      </c>
      <c r="E540">
        <v>180</v>
      </c>
      <c r="F540">
        <v>168</v>
      </c>
      <c r="G540">
        <v>135</v>
      </c>
      <c r="H540">
        <v>201</v>
      </c>
    </row>
    <row r="541" spans="1:8">
      <c r="A541">
        <v>2015</v>
      </c>
      <c r="B541">
        <v>20</v>
      </c>
      <c r="C541" s="2">
        <v>42141</v>
      </c>
      <c r="D541" s="1" t="s">
        <v>444</v>
      </c>
      <c r="E541">
        <v>184</v>
      </c>
      <c r="F541">
        <v>167</v>
      </c>
      <c r="G541">
        <v>134</v>
      </c>
      <c r="H541">
        <v>201</v>
      </c>
    </row>
    <row r="542" spans="1:8">
      <c r="A542">
        <v>2015</v>
      </c>
      <c r="B542">
        <v>21</v>
      </c>
      <c r="C542" s="2">
        <v>42148</v>
      </c>
      <c r="D542" s="1" t="s">
        <v>444</v>
      </c>
      <c r="E542">
        <v>166</v>
      </c>
      <c r="F542">
        <v>167</v>
      </c>
      <c r="G542">
        <v>133</v>
      </c>
      <c r="H542">
        <v>200</v>
      </c>
    </row>
    <row r="543" spans="1:8">
      <c r="A543">
        <v>2015</v>
      </c>
      <c r="B543">
        <v>22</v>
      </c>
      <c r="C543" s="2">
        <v>42155</v>
      </c>
      <c r="D543" s="1" t="s">
        <v>444</v>
      </c>
      <c r="E543">
        <v>164</v>
      </c>
      <c r="F543">
        <v>166</v>
      </c>
      <c r="G543">
        <v>133</v>
      </c>
      <c r="H543">
        <v>200</v>
      </c>
    </row>
    <row r="544" spans="1:8">
      <c r="A544">
        <v>2015</v>
      </c>
      <c r="B544">
        <v>23</v>
      </c>
      <c r="C544" s="2">
        <v>42162</v>
      </c>
      <c r="D544" s="1" t="s">
        <v>444</v>
      </c>
      <c r="E544">
        <v>164</v>
      </c>
      <c r="F544">
        <v>166</v>
      </c>
      <c r="G544">
        <v>133</v>
      </c>
      <c r="H544">
        <v>199</v>
      </c>
    </row>
    <row r="545" spans="1:9">
      <c r="A545">
        <v>2015</v>
      </c>
      <c r="B545">
        <v>24</v>
      </c>
      <c r="C545" s="2">
        <v>42169</v>
      </c>
      <c r="D545" s="1" t="s">
        <v>444</v>
      </c>
      <c r="E545">
        <v>175</v>
      </c>
      <c r="F545">
        <v>166</v>
      </c>
      <c r="G545">
        <v>133</v>
      </c>
      <c r="H545">
        <v>199</v>
      </c>
    </row>
    <row r="546" spans="1:9">
      <c r="A546">
        <v>2015</v>
      </c>
      <c r="B546">
        <v>25</v>
      </c>
      <c r="C546" s="2">
        <v>42176</v>
      </c>
      <c r="D546" s="1" t="s">
        <v>444</v>
      </c>
      <c r="E546">
        <v>166</v>
      </c>
      <c r="F546">
        <v>165</v>
      </c>
      <c r="G546">
        <v>132</v>
      </c>
      <c r="H546">
        <v>198</v>
      </c>
    </row>
    <row r="547" spans="1:9">
      <c r="A547">
        <v>2015</v>
      </c>
      <c r="B547">
        <v>26</v>
      </c>
      <c r="C547" s="2">
        <v>42183</v>
      </c>
      <c r="D547" s="1" t="s">
        <v>444</v>
      </c>
      <c r="E547">
        <v>202</v>
      </c>
      <c r="F547">
        <v>165</v>
      </c>
      <c r="G547">
        <v>132</v>
      </c>
      <c r="H547">
        <v>198</v>
      </c>
      <c r="I547">
        <v>202</v>
      </c>
    </row>
    <row r="548" spans="1:9">
      <c r="A548">
        <v>2015</v>
      </c>
      <c r="B548">
        <v>27</v>
      </c>
      <c r="C548" s="2">
        <v>42190</v>
      </c>
      <c r="D548" s="1" t="s">
        <v>444</v>
      </c>
      <c r="E548">
        <v>179</v>
      </c>
      <c r="F548">
        <v>164</v>
      </c>
      <c r="G548">
        <v>131</v>
      </c>
      <c r="H548">
        <v>197</v>
      </c>
    </row>
    <row r="549" spans="1:9">
      <c r="A549">
        <v>2015</v>
      </c>
      <c r="B549">
        <v>28</v>
      </c>
      <c r="C549" s="2">
        <v>42197</v>
      </c>
      <c r="D549" s="1" t="s">
        <v>444</v>
      </c>
      <c r="E549">
        <v>181</v>
      </c>
      <c r="F549">
        <v>163</v>
      </c>
      <c r="G549">
        <v>130</v>
      </c>
      <c r="H549">
        <v>196</v>
      </c>
    </row>
    <row r="550" spans="1:9">
      <c r="A550">
        <v>2015</v>
      </c>
      <c r="B550">
        <v>29</v>
      </c>
      <c r="C550" s="2">
        <v>42204</v>
      </c>
      <c r="D550" s="1" t="s">
        <v>444</v>
      </c>
      <c r="E550">
        <v>203</v>
      </c>
      <c r="F550">
        <v>162</v>
      </c>
      <c r="G550">
        <v>129</v>
      </c>
      <c r="H550">
        <v>195</v>
      </c>
      <c r="I550">
        <v>203</v>
      </c>
    </row>
    <row r="551" spans="1:9">
      <c r="A551">
        <v>2015</v>
      </c>
      <c r="B551">
        <v>30</v>
      </c>
      <c r="C551" s="2">
        <v>42211</v>
      </c>
      <c r="D551" s="1" t="s">
        <v>444</v>
      </c>
      <c r="E551">
        <v>157</v>
      </c>
      <c r="F551">
        <v>161</v>
      </c>
      <c r="G551">
        <v>129</v>
      </c>
      <c r="H551">
        <v>194</v>
      </c>
    </row>
    <row r="552" spans="1:9">
      <c r="A552">
        <v>2015</v>
      </c>
      <c r="B552">
        <v>31</v>
      </c>
      <c r="C552" s="2">
        <v>42218</v>
      </c>
      <c r="D552" s="1" t="s">
        <v>444</v>
      </c>
      <c r="E552">
        <v>164</v>
      </c>
      <c r="F552">
        <v>161</v>
      </c>
      <c r="G552">
        <v>128</v>
      </c>
      <c r="H552">
        <v>194</v>
      </c>
    </row>
    <row r="553" spans="1:9">
      <c r="A553">
        <v>2015</v>
      </c>
      <c r="B553">
        <v>32</v>
      </c>
      <c r="C553" s="2">
        <v>42225</v>
      </c>
      <c r="D553" s="1" t="s">
        <v>444</v>
      </c>
      <c r="E553">
        <v>180</v>
      </c>
      <c r="F553">
        <v>161</v>
      </c>
      <c r="G553">
        <v>129</v>
      </c>
      <c r="H553">
        <v>194</v>
      </c>
    </row>
    <row r="554" spans="1:9">
      <c r="A554">
        <v>2015</v>
      </c>
      <c r="B554">
        <v>33</v>
      </c>
      <c r="C554" s="2">
        <v>42232</v>
      </c>
      <c r="D554" s="1" t="s">
        <v>444</v>
      </c>
      <c r="E554">
        <v>165</v>
      </c>
      <c r="F554">
        <v>162</v>
      </c>
      <c r="G554">
        <v>129</v>
      </c>
      <c r="H554">
        <v>194</v>
      </c>
    </row>
    <row r="555" spans="1:9">
      <c r="A555">
        <v>2015</v>
      </c>
      <c r="B555">
        <v>34</v>
      </c>
      <c r="C555" s="2">
        <v>42239</v>
      </c>
      <c r="D555" s="1" t="s">
        <v>444</v>
      </c>
      <c r="E555">
        <v>163</v>
      </c>
      <c r="F555">
        <v>162</v>
      </c>
      <c r="G555">
        <v>130</v>
      </c>
      <c r="H555">
        <v>195</v>
      </c>
    </row>
    <row r="556" spans="1:9">
      <c r="A556">
        <v>2015</v>
      </c>
      <c r="B556">
        <v>35</v>
      </c>
      <c r="C556" s="2">
        <v>42246</v>
      </c>
      <c r="D556" s="1" t="s">
        <v>444</v>
      </c>
      <c r="E556">
        <v>176</v>
      </c>
      <c r="F556">
        <v>163</v>
      </c>
      <c r="G556">
        <v>131</v>
      </c>
      <c r="H556">
        <v>196</v>
      </c>
    </row>
    <row r="557" spans="1:9">
      <c r="A557">
        <v>2015</v>
      </c>
      <c r="B557">
        <v>36</v>
      </c>
      <c r="C557" s="2">
        <v>42253</v>
      </c>
      <c r="D557" s="1" t="s">
        <v>444</v>
      </c>
      <c r="E557">
        <v>162</v>
      </c>
      <c r="F557">
        <v>164</v>
      </c>
      <c r="G557">
        <v>131</v>
      </c>
      <c r="H557">
        <v>197</v>
      </c>
    </row>
    <row r="558" spans="1:9">
      <c r="A558">
        <v>2015</v>
      </c>
      <c r="B558">
        <v>37</v>
      </c>
      <c r="C558" s="2">
        <v>42260</v>
      </c>
      <c r="D558" s="1" t="s">
        <v>444</v>
      </c>
      <c r="E558">
        <v>186</v>
      </c>
      <c r="F558">
        <v>165</v>
      </c>
      <c r="G558">
        <v>132</v>
      </c>
      <c r="H558">
        <v>199</v>
      </c>
    </row>
    <row r="559" spans="1:9">
      <c r="A559">
        <v>2015</v>
      </c>
      <c r="B559">
        <v>38</v>
      </c>
      <c r="C559" s="2">
        <v>42267</v>
      </c>
      <c r="D559" s="1" t="s">
        <v>444</v>
      </c>
      <c r="E559">
        <v>169</v>
      </c>
      <c r="F559">
        <v>166</v>
      </c>
      <c r="G559">
        <v>133</v>
      </c>
      <c r="H559">
        <v>199</v>
      </c>
    </row>
    <row r="560" spans="1:9">
      <c r="A560">
        <v>2015</v>
      </c>
      <c r="B560">
        <v>39</v>
      </c>
      <c r="C560" s="2">
        <v>42274</v>
      </c>
      <c r="D560" s="1" t="s">
        <v>444</v>
      </c>
      <c r="E560">
        <v>146</v>
      </c>
      <c r="F560">
        <v>166</v>
      </c>
      <c r="G560">
        <v>133</v>
      </c>
      <c r="H560">
        <v>199</v>
      </c>
    </row>
    <row r="561" spans="1:9">
      <c r="A561">
        <v>2015</v>
      </c>
      <c r="B561">
        <v>40</v>
      </c>
      <c r="C561" s="2">
        <v>42281</v>
      </c>
      <c r="D561" s="1" t="s">
        <v>444</v>
      </c>
      <c r="E561">
        <v>185</v>
      </c>
      <c r="F561">
        <v>166</v>
      </c>
      <c r="G561">
        <v>133</v>
      </c>
      <c r="H561">
        <v>200</v>
      </c>
    </row>
    <row r="562" spans="1:9">
      <c r="A562">
        <v>2015</v>
      </c>
      <c r="B562">
        <v>41</v>
      </c>
      <c r="C562" s="2">
        <v>42288</v>
      </c>
      <c r="D562" s="1" t="s">
        <v>444</v>
      </c>
      <c r="E562">
        <v>159</v>
      </c>
      <c r="F562">
        <v>167</v>
      </c>
      <c r="G562">
        <v>133</v>
      </c>
      <c r="H562">
        <v>200</v>
      </c>
    </row>
    <row r="563" spans="1:9">
      <c r="A563">
        <v>2015</v>
      </c>
      <c r="B563">
        <v>42</v>
      </c>
      <c r="C563" s="2">
        <v>42295</v>
      </c>
      <c r="D563" s="1" t="s">
        <v>444</v>
      </c>
      <c r="E563">
        <v>171</v>
      </c>
      <c r="F563">
        <v>167</v>
      </c>
      <c r="G563">
        <v>134</v>
      </c>
      <c r="H563">
        <v>200</v>
      </c>
    </row>
    <row r="564" spans="1:9">
      <c r="A564">
        <v>2015</v>
      </c>
      <c r="B564">
        <v>43</v>
      </c>
      <c r="C564" s="2">
        <v>42302</v>
      </c>
      <c r="D564" s="1" t="s">
        <v>444</v>
      </c>
      <c r="E564">
        <v>170</v>
      </c>
      <c r="F564">
        <v>167</v>
      </c>
      <c r="G564">
        <v>133</v>
      </c>
      <c r="H564">
        <v>200</v>
      </c>
    </row>
    <row r="565" spans="1:9">
      <c r="A565">
        <v>2015</v>
      </c>
      <c r="B565">
        <v>44</v>
      </c>
      <c r="C565" s="2">
        <v>42309</v>
      </c>
      <c r="D565" s="1" t="s">
        <v>444</v>
      </c>
      <c r="E565">
        <v>177</v>
      </c>
      <c r="F565">
        <v>166</v>
      </c>
      <c r="G565">
        <v>133</v>
      </c>
      <c r="H565">
        <v>200</v>
      </c>
    </row>
    <row r="566" spans="1:9">
      <c r="A566">
        <v>2015</v>
      </c>
      <c r="B566">
        <v>45</v>
      </c>
      <c r="C566" s="2">
        <v>42316</v>
      </c>
      <c r="D566" s="1" t="s">
        <v>444</v>
      </c>
      <c r="E566">
        <v>167</v>
      </c>
      <c r="F566">
        <v>167</v>
      </c>
      <c r="G566">
        <v>134</v>
      </c>
      <c r="H566">
        <v>200</v>
      </c>
    </row>
    <row r="567" spans="1:9">
      <c r="A567">
        <v>2015</v>
      </c>
      <c r="B567">
        <v>46</v>
      </c>
      <c r="C567" s="2">
        <v>42323</v>
      </c>
      <c r="D567" s="1" t="s">
        <v>444</v>
      </c>
      <c r="E567">
        <v>181</v>
      </c>
      <c r="F567">
        <v>167</v>
      </c>
      <c r="G567">
        <v>134</v>
      </c>
      <c r="H567">
        <v>200</v>
      </c>
    </row>
    <row r="568" spans="1:9">
      <c r="A568">
        <v>2015</v>
      </c>
      <c r="B568">
        <v>47</v>
      </c>
      <c r="C568" s="2">
        <v>42330</v>
      </c>
      <c r="D568" s="1" t="s">
        <v>444</v>
      </c>
      <c r="E568">
        <v>178</v>
      </c>
      <c r="F568">
        <v>169</v>
      </c>
      <c r="G568">
        <v>135</v>
      </c>
      <c r="H568">
        <v>202</v>
      </c>
    </row>
    <row r="569" spans="1:9">
      <c r="A569">
        <v>2015</v>
      </c>
      <c r="B569">
        <v>48</v>
      </c>
      <c r="C569" s="2">
        <v>42337</v>
      </c>
      <c r="D569" s="1" t="s">
        <v>444</v>
      </c>
      <c r="E569">
        <v>159</v>
      </c>
      <c r="F569">
        <v>171</v>
      </c>
      <c r="G569">
        <v>137</v>
      </c>
      <c r="H569">
        <v>204</v>
      </c>
    </row>
    <row r="570" spans="1:9">
      <c r="A570">
        <v>2015</v>
      </c>
      <c r="B570">
        <v>49</v>
      </c>
      <c r="C570" s="2">
        <v>42344</v>
      </c>
      <c r="D570" s="1" t="s">
        <v>444</v>
      </c>
      <c r="E570">
        <v>179</v>
      </c>
      <c r="F570">
        <v>173</v>
      </c>
      <c r="G570">
        <v>139</v>
      </c>
      <c r="H570">
        <v>207</v>
      </c>
    </row>
    <row r="571" spans="1:9">
      <c r="A571">
        <v>2015</v>
      </c>
      <c r="B571">
        <v>50</v>
      </c>
      <c r="C571" s="2">
        <v>42351</v>
      </c>
      <c r="D571" s="1" t="s">
        <v>444</v>
      </c>
      <c r="E571">
        <v>180</v>
      </c>
      <c r="F571">
        <v>175</v>
      </c>
      <c r="G571">
        <v>141</v>
      </c>
      <c r="H571">
        <v>209</v>
      </c>
    </row>
    <row r="572" spans="1:9">
      <c r="A572">
        <v>2015</v>
      </c>
      <c r="B572">
        <v>51</v>
      </c>
      <c r="C572" s="2">
        <v>42358</v>
      </c>
      <c r="D572" s="1" t="s">
        <v>444</v>
      </c>
      <c r="E572">
        <v>162</v>
      </c>
      <c r="F572">
        <v>177</v>
      </c>
      <c r="G572">
        <v>142</v>
      </c>
      <c r="H572">
        <v>211</v>
      </c>
    </row>
    <row r="573" spans="1:9">
      <c r="A573">
        <v>2015</v>
      </c>
      <c r="B573">
        <v>52</v>
      </c>
      <c r="C573" s="2">
        <v>42365</v>
      </c>
      <c r="D573" s="1" t="s">
        <v>444</v>
      </c>
      <c r="E573">
        <v>169</v>
      </c>
      <c r="F573">
        <v>179</v>
      </c>
      <c r="G573">
        <v>144</v>
      </c>
      <c r="H573">
        <v>213</v>
      </c>
    </row>
    <row r="574" spans="1:9">
      <c r="A574">
        <v>2015</v>
      </c>
      <c r="B574">
        <v>53</v>
      </c>
      <c r="C574" s="2">
        <v>42372</v>
      </c>
      <c r="D574" s="1" t="s">
        <v>444</v>
      </c>
      <c r="E574">
        <v>165</v>
      </c>
      <c r="F574">
        <v>181</v>
      </c>
      <c r="G574">
        <v>146</v>
      </c>
      <c r="H574">
        <v>215</v>
      </c>
    </row>
    <row r="575" spans="1:9">
      <c r="A575">
        <v>2015</v>
      </c>
      <c r="B575">
        <v>1</v>
      </c>
      <c r="C575" s="2">
        <v>42008</v>
      </c>
      <c r="D575" s="1" t="s">
        <v>445</v>
      </c>
      <c r="E575">
        <v>1210</v>
      </c>
      <c r="F575">
        <v>1188</v>
      </c>
      <c r="G575">
        <v>1100</v>
      </c>
      <c r="H575">
        <v>1277</v>
      </c>
    </row>
    <row r="576" spans="1:9">
      <c r="A576">
        <v>2015</v>
      </c>
      <c r="B576">
        <v>2</v>
      </c>
      <c r="C576" s="2">
        <v>42015</v>
      </c>
      <c r="D576" s="1" t="s">
        <v>445</v>
      </c>
      <c r="E576">
        <v>1293</v>
      </c>
      <c r="F576">
        <v>1190</v>
      </c>
      <c r="G576">
        <v>1101</v>
      </c>
      <c r="H576">
        <v>1279</v>
      </c>
      <c r="I576">
        <v>1293</v>
      </c>
    </row>
    <row r="577" spans="1:9">
      <c r="A577">
        <v>2015</v>
      </c>
      <c r="B577">
        <v>3</v>
      </c>
      <c r="C577" s="2">
        <v>42022</v>
      </c>
      <c r="D577" s="1" t="s">
        <v>445</v>
      </c>
      <c r="E577">
        <v>1313</v>
      </c>
      <c r="F577">
        <v>1192</v>
      </c>
      <c r="G577">
        <v>1103</v>
      </c>
      <c r="H577">
        <v>1281</v>
      </c>
      <c r="I577">
        <v>1313</v>
      </c>
    </row>
    <row r="578" spans="1:9">
      <c r="A578">
        <v>2015</v>
      </c>
      <c r="B578">
        <v>4</v>
      </c>
      <c r="C578" s="2">
        <v>42029</v>
      </c>
      <c r="D578" s="1" t="s">
        <v>445</v>
      </c>
      <c r="E578">
        <v>1299</v>
      </c>
      <c r="F578">
        <v>1195</v>
      </c>
      <c r="G578">
        <v>1106</v>
      </c>
      <c r="H578">
        <v>1284</v>
      </c>
      <c r="I578">
        <v>1299</v>
      </c>
    </row>
    <row r="579" spans="1:9">
      <c r="A579">
        <v>2015</v>
      </c>
      <c r="B579">
        <v>5</v>
      </c>
      <c r="C579" s="2">
        <v>42036</v>
      </c>
      <c r="D579" s="1" t="s">
        <v>445</v>
      </c>
      <c r="E579">
        <v>1378</v>
      </c>
      <c r="F579">
        <v>1199</v>
      </c>
      <c r="G579">
        <v>1110</v>
      </c>
      <c r="H579">
        <v>1288</v>
      </c>
      <c r="I579">
        <v>1378</v>
      </c>
    </row>
    <row r="580" spans="1:9">
      <c r="A580">
        <v>2015</v>
      </c>
      <c r="B580">
        <v>6</v>
      </c>
      <c r="C580" s="2">
        <v>42043</v>
      </c>
      <c r="D580" s="1" t="s">
        <v>445</v>
      </c>
      <c r="E580">
        <v>1468</v>
      </c>
      <c r="F580">
        <v>1209</v>
      </c>
      <c r="G580">
        <v>1119</v>
      </c>
      <c r="H580">
        <v>1298</v>
      </c>
      <c r="I580">
        <v>1468</v>
      </c>
    </row>
    <row r="581" spans="1:9">
      <c r="A581">
        <v>2015</v>
      </c>
      <c r="B581">
        <v>7</v>
      </c>
      <c r="C581" s="2">
        <v>42050</v>
      </c>
      <c r="D581" s="1" t="s">
        <v>445</v>
      </c>
      <c r="E581">
        <v>1572</v>
      </c>
      <c r="F581">
        <v>1213</v>
      </c>
      <c r="G581">
        <v>1123</v>
      </c>
      <c r="H581">
        <v>1303</v>
      </c>
      <c r="I581">
        <v>1572</v>
      </c>
    </row>
    <row r="582" spans="1:9">
      <c r="A582">
        <v>2015</v>
      </c>
      <c r="B582">
        <v>8</v>
      </c>
      <c r="C582" s="2">
        <v>42057</v>
      </c>
      <c r="D582" s="1" t="s">
        <v>445</v>
      </c>
      <c r="E582">
        <v>1548</v>
      </c>
      <c r="F582">
        <v>1212</v>
      </c>
      <c r="G582">
        <v>1122</v>
      </c>
      <c r="H582">
        <v>1302</v>
      </c>
      <c r="I582">
        <v>1548</v>
      </c>
    </row>
    <row r="583" spans="1:9">
      <c r="A583">
        <v>2015</v>
      </c>
      <c r="B583">
        <v>9</v>
      </c>
      <c r="C583" s="2">
        <v>42064</v>
      </c>
      <c r="D583" s="1" t="s">
        <v>445</v>
      </c>
      <c r="E583">
        <v>1527</v>
      </c>
      <c r="F583">
        <v>1201</v>
      </c>
      <c r="G583">
        <v>1112</v>
      </c>
      <c r="H583">
        <v>1291</v>
      </c>
      <c r="I583">
        <v>1527</v>
      </c>
    </row>
    <row r="584" spans="1:9">
      <c r="A584">
        <v>2015</v>
      </c>
      <c r="B584">
        <v>10</v>
      </c>
      <c r="C584" s="2">
        <v>42071</v>
      </c>
      <c r="D584" s="1" t="s">
        <v>445</v>
      </c>
      <c r="E584">
        <v>1359</v>
      </c>
      <c r="F584">
        <v>1176</v>
      </c>
      <c r="G584">
        <v>1088</v>
      </c>
      <c r="H584">
        <v>1265</v>
      </c>
      <c r="I584">
        <v>1359</v>
      </c>
    </row>
    <row r="585" spans="1:9">
      <c r="A585">
        <v>2015</v>
      </c>
      <c r="B585">
        <v>11</v>
      </c>
      <c r="C585" s="2">
        <v>42078</v>
      </c>
      <c r="D585" s="1" t="s">
        <v>445</v>
      </c>
      <c r="E585">
        <v>1359</v>
      </c>
      <c r="F585">
        <v>1147</v>
      </c>
      <c r="G585">
        <v>1060</v>
      </c>
      <c r="H585">
        <v>1235</v>
      </c>
      <c r="I585">
        <v>1359</v>
      </c>
    </row>
    <row r="586" spans="1:9">
      <c r="A586">
        <v>2015</v>
      </c>
      <c r="B586">
        <v>12</v>
      </c>
      <c r="C586" s="2">
        <v>42085</v>
      </c>
      <c r="D586" s="1" t="s">
        <v>445</v>
      </c>
      <c r="E586">
        <v>1237</v>
      </c>
      <c r="F586">
        <v>1119</v>
      </c>
      <c r="G586">
        <v>1033</v>
      </c>
      <c r="H586">
        <v>1205</v>
      </c>
      <c r="I586">
        <v>1237</v>
      </c>
    </row>
    <row r="587" spans="1:9">
      <c r="A587">
        <v>2015</v>
      </c>
      <c r="B587">
        <v>13</v>
      </c>
      <c r="C587" s="2">
        <v>42092</v>
      </c>
      <c r="D587" s="1" t="s">
        <v>445</v>
      </c>
      <c r="E587">
        <v>1112</v>
      </c>
      <c r="F587">
        <v>1092</v>
      </c>
      <c r="G587">
        <v>1007</v>
      </c>
      <c r="H587">
        <v>1177</v>
      </c>
    </row>
    <row r="588" spans="1:9">
      <c r="A588">
        <v>2015</v>
      </c>
      <c r="B588">
        <v>14</v>
      </c>
      <c r="C588" s="2">
        <v>42099</v>
      </c>
      <c r="D588" s="1" t="s">
        <v>445</v>
      </c>
      <c r="E588">
        <v>1104</v>
      </c>
      <c r="F588">
        <v>1071</v>
      </c>
      <c r="G588">
        <v>987</v>
      </c>
      <c r="H588">
        <v>1156</v>
      </c>
    </row>
    <row r="589" spans="1:9">
      <c r="A589">
        <v>2015</v>
      </c>
      <c r="B589">
        <v>15</v>
      </c>
      <c r="C589" s="2">
        <v>42106</v>
      </c>
      <c r="D589" s="1" t="s">
        <v>445</v>
      </c>
      <c r="E589">
        <v>1059</v>
      </c>
      <c r="F589">
        <v>1058</v>
      </c>
      <c r="G589">
        <v>974</v>
      </c>
      <c r="H589">
        <v>1141</v>
      </c>
    </row>
    <row r="590" spans="1:9">
      <c r="A590">
        <v>2015</v>
      </c>
      <c r="B590">
        <v>16</v>
      </c>
      <c r="C590" s="2">
        <v>42113</v>
      </c>
      <c r="D590" s="1" t="s">
        <v>445</v>
      </c>
      <c r="E590">
        <v>1106</v>
      </c>
      <c r="F590">
        <v>1045</v>
      </c>
      <c r="G590">
        <v>962</v>
      </c>
      <c r="H590">
        <v>1128</v>
      </c>
    </row>
    <row r="591" spans="1:9">
      <c r="A591">
        <v>2015</v>
      </c>
      <c r="B591">
        <v>17</v>
      </c>
      <c r="C591" s="2">
        <v>42120</v>
      </c>
      <c r="D591" s="1" t="s">
        <v>445</v>
      </c>
      <c r="E591">
        <v>1043</v>
      </c>
      <c r="F591">
        <v>1032</v>
      </c>
      <c r="G591">
        <v>949</v>
      </c>
      <c r="H591">
        <v>1115</v>
      </c>
    </row>
    <row r="592" spans="1:9">
      <c r="A592">
        <v>2015</v>
      </c>
      <c r="B592">
        <v>18</v>
      </c>
      <c r="C592" s="2">
        <v>42127</v>
      </c>
      <c r="D592" s="1" t="s">
        <v>445</v>
      </c>
      <c r="E592">
        <v>1105</v>
      </c>
      <c r="F592">
        <v>1019</v>
      </c>
      <c r="G592">
        <v>937</v>
      </c>
      <c r="H592">
        <v>1102</v>
      </c>
      <c r="I592">
        <v>1105</v>
      </c>
    </row>
    <row r="593" spans="1:9">
      <c r="A593">
        <v>2015</v>
      </c>
      <c r="B593">
        <v>19</v>
      </c>
      <c r="C593" s="2">
        <v>42134</v>
      </c>
      <c r="D593" s="1" t="s">
        <v>445</v>
      </c>
      <c r="E593">
        <v>970</v>
      </c>
      <c r="F593">
        <v>1006</v>
      </c>
      <c r="G593">
        <v>924</v>
      </c>
      <c r="H593">
        <v>1088</v>
      </c>
    </row>
    <row r="594" spans="1:9">
      <c r="A594">
        <v>2015</v>
      </c>
      <c r="B594">
        <v>20</v>
      </c>
      <c r="C594" s="2">
        <v>42141</v>
      </c>
      <c r="D594" s="1" t="s">
        <v>445</v>
      </c>
      <c r="E594">
        <v>957</v>
      </c>
      <c r="F594">
        <v>993</v>
      </c>
      <c r="G594">
        <v>912</v>
      </c>
      <c r="H594">
        <v>1074</v>
      </c>
    </row>
    <row r="595" spans="1:9">
      <c r="A595">
        <v>2015</v>
      </c>
      <c r="B595">
        <v>21</v>
      </c>
      <c r="C595" s="2">
        <v>42148</v>
      </c>
      <c r="D595" s="1" t="s">
        <v>445</v>
      </c>
      <c r="E595">
        <v>950</v>
      </c>
      <c r="F595">
        <v>981</v>
      </c>
      <c r="G595">
        <v>901</v>
      </c>
      <c r="H595">
        <v>1062</v>
      </c>
    </row>
    <row r="596" spans="1:9">
      <c r="A596">
        <v>2015</v>
      </c>
      <c r="B596">
        <v>22</v>
      </c>
      <c r="C596" s="2">
        <v>42155</v>
      </c>
      <c r="D596" s="1" t="s">
        <v>445</v>
      </c>
      <c r="E596">
        <v>921</v>
      </c>
      <c r="F596">
        <v>975</v>
      </c>
      <c r="G596">
        <v>894</v>
      </c>
      <c r="H596">
        <v>1055</v>
      </c>
    </row>
    <row r="597" spans="1:9">
      <c r="A597">
        <v>2015</v>
      </c>
      <c r="B597">
        <v>23</v>
      </c>
      <c r="C597" s="2">
        <v>42162</v>
      </c>
      <c r="D597" s="1" t="s">
        <v>445</v>
      </c>
      <c r="E597">
        <v>994</v>
      </c>
      <c r="F597">
        <v>974</v>
      </c>
      <c r="G597">
        <v>893</v>
      </c>
      <c r="H597">
        <v>1054</v>
      </c>
    </row>
    <row r="598" spans="1:9">
      <c r="A598">
        <v>2015</v>
      </c>
      <c r="B598">
        <v>24</v>
      </c>
      <c r="C598" s="2">
        <v>42169</v>
      </c>
      <c r="D598" s="1" t="s">
        <v>445</v>
      </c>
      <c r="E598">
        <v>982</v>
      </c>
      <c r="F598">
        <v>975</v>
      </c>
      <c r="G598">
        <v>894</v>
      </c>
      <c r="H598">
        <v>1055</v>
      </c>
    </row>
    <row r="599" spans="1:9">
      <c r="A599">
        <v>2015</v>
      </c>
      <c r="B599">
        <v>25</v>
      </c>
      <c r="C599" s="2">
        <v>42176</v>
      </c>
      <c r="D599" s="1" t="s">
        <v>445</v>
      </c>
      <c r="E599">
        <v>923</v>
      </c>
      <c r="F599">
        <v>976</v>
      </c>
      <c r="G599">
        <v>896</v>
      </c>
      <c r="H599">
        <v>1057</v>
      </c>
    </row>
    <row r="600" spans="1:9">
      <c r="A600">
        <v>2015</v>
      </c>
      <c r="B600">
        <v>26</v>
      </c>
      <c r="C600" s="2">
        <v>42183</v>
      </c>
      <c r="D600" s="1" t="s">
        <v>445</v>
      </c>
      <c r="E600">
        <v>983</v>
      </c>
      <c r="F600">
        <v>980</v>
      </c>
      <c r="G600">
        <v>899</v>
      </c>
      <c r="H600">
        <v>1061</v>
      </c>
    </row>
    <row r="601" spans="1:9">
      <c r="A601">
        <v>2015</v>
      </c>
      <c r="B601">
        <v>27</v>
      </c>
      <c r="C601" s="2">
        <v>42190</v>
      </c>
      <c r="D601" s="1" t="s">
        <v>445</v>
      </c>
      <c r="E601">
        <v>1098</v>
      </c>
      <c r="F601">
        <v>983</v>
      </c>
      <c r="G601">
        <v>902</v>
      </c>
      <c r="H601">
        <v>1063</v>
      </c>
      <c r="I601">
        <v>1098</v>
      </c>
    </row>
    <row r="602" spans="1:9">
      <c r="A602">
        <v>2015</v>
      </c>
      <c r="B602">
        <v>28</v>
      </c>
      <c r="C602" s="2">
        <v>42197</v>
      </c>
      <c r="D602" s="1" t="s">
        <v>445</v>
      </c>
      <c r="E602">
        <v>1157</v>
      </c>
      <c r="F602">
        <v>984</v>
      </c>
      <c r="G602">
        <v>903</v>
      </c>
      <c r="H602">
        <v>1064</v>
      </c>
      <c r="I602">
        <v>1157</v>
      </c>
    </row>
    <row r="603" spans="1:9">
      <c r="A603">
        <v>2015</v>
      </c>
      <c r="B603">
        <v>29</v>
      </c>
      <c r="C603" s="2">
        <v>42204</v>
      </c>
      <c r="D603" s="1" t="s">
        <v>445</v>
      </c>
      <c r="E603">
        <v>1077</v>
      </c>
      <c r="F603">
        <v>981</v>
      </c>
      <c r="G603">
        <v>900</v>
      </c>
      <c r="H603">
        <v>1062</v>
      </c>
      <c r="I603">
        <v>1077</v>
      </c>
    </row>
    <row r="604" spans="1:9">
      <c r="A604">
        <v>2015</v>
      </c>
      <c r="B604">
        <v>30</v>
      </c>
      <c r="C604" s="2">
        <v>42211</v>
      </c>
      <c r="D604" s="1" t="s">
        <v>445</v>
      </c>
      <c r="E604">
        <v>994</v>
      </c>
      <c r="F604">
        <v>977</v>
      </c>
      <c r="G604">
        <v>896</v>
      </c>
      <c r="H604">
        <v>1057</v>
      </c>
    </row>
    <row r="605" spans="1:9">
      <c r="A605">
        <v>2015</v>
      </c>
      <c r="B605">
        <v>31</v>
      </c>
      <c r="C605" s="2">
        <v>42218</v>
      </c>
      <c r="D605" s="1" t="s">
        <v>445</v>
      </c>
      <c r="E605">
        <v>957</v>
      </c>
      <c r="F605">
        <v>973</v>
      </c>
      <c r="G605">
        <v>893</v>
      </c>
      <c r="H605">
        <v>1054</v>
      </c>
    </row>
    <row r="606" spans="1:9">
      <c r="A606">
        <v>2015</v>
      </c>
      <c r="B606">
        <v>32</v>
      </c>
      <c r="C606" s="2">
        <v>42225</v>
      </c>
      <c r="D606" s="1" t="s">
        <v>445</v>
      </c>
      <c r="E606">
        <v>1018</v>
      </c>
      <c r="F606">
        <v>972</v>
      </c>
      <c r="G606">
        <v>892</v>
      </c>
      <c r="H606">
        <v>1052</v>
      </c>
    </row>
    <row r="607" spans="1:9">
      <c r="A607">
        <v>2015</v>
      </c>
      <c r="B607">
        <v>33</v>
      </c>
      <c r="C607" s="2">
        <v>42232</v>
      </c>
      <c r="D607" s="1" t="s">
        <v>445</v>
      </c>
      <c r="E607">
        <v>1015</v>
      </c>
      <c r="F607">
        <v>972</v>
      </c>
      <c r="G607">
        <v>892</v>
      </c>
      <c r="H607">
        <v>1053</v>
      </c>
    </row>
    <row r="608" spans="1:9">
      <c r="A608">
        <v>2015</v>
      </c>
      <c r="B608">
        <v>34</v>
      </c>
      <c r="C608" s="2">
        <v>42239</v>
      </c>
      <c r="D608" s="1" t="s">
        <v>445</v>
      </c>
      <c r="E608">
        <v>967</v>
      </c>
      <c r="F608">
        <v>978</v>
      </c>
      <c r="G608">
        <v>898</v>
      </c>
      <c r="H608">
        <v>1059</v>
      </c>
    </row>
    <row r="609" spans="1:8">
      <c r="A609">
        <v>2015</v>
      </c>
      <c r="B609">
        <v>35</v>
      </c>
      <c r="C609" s="2">
        <v>42246</v>
      </c>
      <c r="D609" s="1" t="s">
        <v>445</v>
      </c>
      <c r="E609">
        <v>990</v>
      </c>
      <c r="F609">
        <v>988</v>
      </c>
      <c r="G609">
        <v>907</v>
      </c>
      <c r="H609">
        <v>1069</v>
      </c>
    </row>
    <row r="610" spans="1:8">
      <c r="A610">
        <v>2015</v>
      </c>
      <c r="B610">
        <v>36</v>
      </c>
      <c r="C610" s="2">
        <v>42253</v>
      </c>
      <c r="D610" s="1" t="s">
        <v>445</v>
      </c>
      <c r="E610">
        <v>980</v>
      </c>
      <c r="F610">
        <v>995</v>
      </c>
      <c r="G610">
        <v>914</v>
      </c>
      <c r="H610">
        <v>1076</v>
      </c>
    </row>
    <row r="611" spans="1:8">
      <c r="A611">
        <v>2015</v>
      </c>
      <c r="B611">
        <v>37</v>
      </c>
      <c r="C611" s="2">
        <v>42260</v>
      </c>
      <c r="D611" s="1" t="s">
        <v>445</v>
      </c>
      <c r="E611">
        <v>991</v>
      </c>
      <c r="F611">
        <v>999</v>
      </c>
      <c r="G611">
        <v>918</v>
      </c>
      <c r="H611">
        <v>1081</v>
      </c>
    </row>
    <row r="612" spans="1:8">
      <c r="A612">
        <v>2015</v>
      </c>
      <c r="B612">
        <v>38</v>
      </c>
      <c r="C612" s="2">
        <v>42267</v>
      </c>
      <c r="D612" s="1" t="s">
        <v>445</v>
      </c>
      <c r="E612">
        <v>952</v>
      </c>
      <c r="F612">
        <v>1005</v>
      </c>
      <c r="G612">
        <v>923</v>
      </c>
      <c r="H612">
        <v>1086</v>
      </c>
    </row>
    <row r="613" spans="1:8">
      <c r="A613">
        <v>2015</v>
      </c>
      <c r="B613">
        <v>39</v>
      </c>
      <c r="C613" s="2">
        <v>42274</v>
      </c>
      <c r="D613" s="1" t="s">
        <v>445</v>
      </c>
      <c r="E613">
        <v>1027</v>
      </c>
      <c r="F613">
        <v>1012</v>
      </c>
      <c r="G613">
        <v>930</v>
      </c>
      <c r="H613">
        <v>1094</v>
      </c>
    </row>
    <row r="614" spans="1:8">
      <c r="A614">
        <v>2015</v>
      </c>
      <c r="B614">
        <v>40</v>
      </c>
      <c r="C614" s="2">
        <v>42281</v>
      </c>
      <c r="D614" s="1" t="s">
        <v>445</v>
      </c>
      <c r="E614">
        <v>1031</v>
      </c>
      <c r="F614">
        <v>1021</v>
      </c>
      <c r="G614">
        <v>938</v>
      </c>
      <c r="H614">
        <v>1103</v>
      </c>
    </row>
    <row r="615" spans="1:8">
      <c r="A615">
        <v>2015</v>
      </c>
      <c r="B615">
        <v>41</v>
      </c>
      <c r="C615" s="2">
        <v>42288</v>
      </c>
      <c r="D615" s="1" t="s">
        <v>445</v>
      </c>
      <c r="E615">
        <v>999</v>
      </c>
      <c r="F615">
        <v>1034</v>
      </c>
      <c r="G615">
        <v>951</v>
      </c>
      <c r="H615">
        <v>1116</v>
      </c>
    </row>
    <row r="616" spans="1:8">
      <c r="A616">
        <v>2015</v>
      </c>
      <c r="B616">
        <v>42</v>
      </c>
      <c r="C616" s="2">
        <v>42295</v>
      </c>
      <c r="D616" s="1" t="s">
        <v>445</v>
      </c>
      <c r="E616">
        <v>1039</v>
      </c>
      <c r="F616">
        <v>1045</v>
      </c>
      <c r="G616">
        <v>962</v>
      </c>
      <c r="H616">
        <v>1128</v>
      </c>
    </row>
    <row r="617" spans="1:8">
      <c r="A617">
        <v>2015</v>
      </c>
      <c r="B617">
        <v>43</v>
      </c>
      <c r="C617" s="2">
        <v>42302</v>
      </c>
      <c r="D617" s="1" t="s">
        <v>445</v>
      </c>
      <c r="E617">
        <v>1026</v>
      </c>
      <c r="F617">
        <v>1053</v>
      </c>
      <c r="G617">
        <v>970</v>
      </c>
      <c r="H617">
        <v>1137</v>
      </c>
    </row>
    <row r="618" spans="1:8">
      <c r="A618">
        <v>2015</v>
      </c>
      <c r="B618">
        <v>44</v>
      </c>
      <c r="C618" s="2">
        <v>42309</v>
      </c>
      <c r="D618" s="1" t="s">
        <v>445</v>
      </c>
      <c r="E618">
        <v>1093</v>
      </c>
      <c r="F618">
        <v>1061</v>
      </c>
      <c r="G618">
        <v>977</v>
      </c>
      <c r="H618">
        <v>1145</v>
      </c>
    </row>
    <row r="619" spans="1:8">
      <c r="A619">
        <v>2015</v>
      </c>
      <c r="B619">
        <v>45</v>
      </c>
      <c r="C619" s="2">
        <v>42316</v>
      </c>
      <c r="D619" s="1" t="s">
        <v>445</v>
      </c>
      <c r="E619">
        <v>994</v>
      </c>
      <c r="F619">
        <v>1073</v>
      </c>
      <c r="G619">
        <v>988</v>
      </c>
      <c r="H619">
        <v>1157</v>
      </c>
    </row>
    <row r="620" spans="1:8">
      <c r="A620">
        <v>2015</v>
      </c>
      <c r="B620">
        <v>46</v>
      </c>
      <c r="C620" s="2">
        <v>42323</v>
      </c>
      <c r="D620" s="1" t="s">
        <v>445</v>
      </c>
      <c r="E620">
        <v>1007</v>
      </c>
      <c r="F620">
        <v>1084</v>
      </c>
      <c r="G620">
        <v>999</v>
      </c>
      <c r="H620">
        <v>1169</v>
      </c>
    </row>
    <row r="621" spans="1:8">
      <c r="A621">
        <v>2015</v>
      </c>
      <c r="B621">
        <v>47</v>
      </c>
      <c r="C621" s="2">
        <v>42330</v>
      </c>
      <c r="D621" s="1" t="s">
        <v>445</v>
      </c>
      <c r="E621">
        <v>1066</v>
      </c>
      <c r="F621">
        <v>1101</v>
      </c>
      <c r="G621">
        <v>1016</v>
      </c>
      <c r="H621">
        <v>1187</v>
      </c>
    </row>
    <row r="622" spans="1:8">
      <c r="A622">
        <v>2015</v>
      </c>
      <c r="B622">
        <v>48</v>
      </c>
      <c r="C622" s="2">
        <v>42337</v>
      </c>
      <c r="D622" s="1" t="s">
        <v>445</v>
      </c>
      <c r="E622">
        <v>1084</v>
      </c>
      <c r="F622">
        <v>1121</v>
      </c>
      <c r="G622">
        <v>1035</v>
      </c>
      <c r="H622">
        <v>1207</v>
      </c>
    </row>
    <row r="623" spans="1:8">
      <c r="A623">
        <v>2015</v>
      </c>
      <c r="B623">
        <v>49</v>
      </c>
      <c r="C623" s="2">
        <v>42344</v>
      </c>
      <c r="D623" s="1" t="s">
        <v>445</v>
      </c>
      <c r="E623">
        <v>1111</v>
      </c>
      <c r="F623">
        <v>1138</v>
      </c>
      <c r="G623">
        <v>1051</v>
      </c>
      <c r="H623">
        <v>1225</v>
      </c>
    </row>
    <row r="624" spans="1:8">
      <c r="A624">
        <v>2015</v>
      </c>
      <c r="B624">
        <v>50</v>
      </c>
      <c r="C624" s="2">
        <v>42351</v>
      </c>
      <c r="D624" s="1" t="s">
        <v>445</v>
      </c>
      <c r="E624">
        <v>1034</v>
      </c>
      <c r="F624">
        <v>1149</v>
      </c>
      <c r="G624">
        <v>1062</v>
      </c>
      <c r="H624">
        <v>1237</v>
      </c>
    </row>
    <row r="625" spans="1:8">
      <c r="A625">
        <v>2015</v>
      </c>
      <c r="B625">
        <v>51</v>
      </c>
      <c r="C625" s="2">
        <v>42358</v>
      </c>
      <c r="D625" s="1" t="s">
        <v>445</v>
      </c>
      <c r="E625">
        <v>1022</v>
      </c>
      <c r="F625">
        <v>1159</v>
      </c>
      <c r="G625">
        <v>1071</v>
      </c>
      <c r="H625">
        <v>1247</v>
      </c>
    </row>
    <row r="626" spans="1:8">
      <c r="A626">
        <v>2015</v>
      </c>
      <c r="B626">
        <v>52</v>
      </c>
      <c r="C626" s="2">
        <v>42365</v>
      </c>
      <c r="D626" s="1" t="s">
        <v>445</v>
      </c>
      <c r="E626">
        <v>1099</v>
      </c>
      <c r="F626">
        <v>1168</v>
      </c>
      <c r="G626">
        <v>1080</v>
      </c>
      <c r="H626">
        <v>1256</v>
      </c>
    </row>
    <row r="627" spans="1:8">
      <c r="A627">
        <v>2015</v>
      </c>
      <c r="B627">
        <v>53</v>
      </c>
      <c r="C627" s="2">
        <v>42372</v>
      </c>
      <c r="D627" s="1" t="s">
        <v>445</v>
      </c>
      <c r="E627">
        <v>1126</v>
      </c>
      <c r="F627">
        <v>1177</v>
      </c>
      <c r="G627">
        <v>1089</v>
      </c>
      <c r="H627">
        <v>1266</v>
      </c>
    </row>
    <row r="628" spans="1:8">
      <c r="A628">
        <v>2016</v>
      </c>
      <c r="B628">
        <v>1</v>
      </c>
      <c r="C628" s="2">
        <v>42379</v>
      </c>
      <c r="D628" s="1" t="s">
        <v>444</v>
      </c>
      <c r="E628">
        <v>183</v>
      </c>
      <c r="F628">
        <v>181</v>
      </c>
      <c r="G628">
        <v>147</v>
      </c>
      <c r="H628">
        <v>216</v>
      </c>
    </row>
    <row r="629" spans="1:8">
      <c r="A629">
        <v>2016</v>
      </c>
      <c r="B629">
        <v>2</v>
      </c>
      <c r="C629" s="2">
        <v>42386</v>
      </c>
      <c r="D629" s="1" t="s">
        <v>444</v>
      </c>
      <c r="E629">
        <v>149</v>
      </c>
      <c r="F629">
        <v>181</v>
      </c>
      <c r="G629">
        <v>146</v>
      </c>
      <c r="H629">
        <v>215</v>
      </c>
    </row>
    <row r="630" spans="1:8">
      <c r="A630">
        <v>2016</v>
      </c>
      <c r="B630">
        <v>3</v>
      </c>
      <c r="C630" s="2">
        <v>42393</v>
      </c>
      <c r="D630" s="1" t="s">
        <v>444</v>
      </c>
      <c r="E630">
        <v>183</v>
      </c>
      <c r="F630">
        <v>180</v>
      </c>
      <c r="G630">
        <v>145</v>
      </c>
      <c r="H630">
        <v>214</v>
      </c>
    </row>
    <row r="631" spans="1:8">
      <c r="A631">
        <v>2016</v>
      </c>
      <c r="B631">
        <v>4</v>
      </c>
      <c r="C631" s="2">
        <v>42400</v>
      </c>
      <c r="D631" s="1" t="s">
        <v>444</v>
      </c>
      <c r="E631">
        <v>194</v>
      </c>
      <c r="F631">
        <v>179</v>
      </c>
      <c r="G631">
        <v>144</v>
      </c>
      <c r="H631">
        <v>213</v>
      </c>
    </row>
    <row r="632" spans="1:8">
      <c r="A632">
        <v>2016</v>
      </c>
      <c r="B632">
        <v>5</v>
      </c>
      <c r="C632" s="2">
        <v>42407</v>
      </c>
      <c r="D632" s="1" t="s">
        <v>444</v>
      </c>
      <c r="E632">
        <v>190</v>
      </c>
      <c r="F632">
        <v>178</v>
      </c>
      <c r="G632">
        <v>144</v>
      </c>
      <c r="H632">
        <v>213</v>
      </c>
    </row>
    <row r="633" spans="1:8">
      <c r="A633">
        <v>2016</v>
      </c>
      <c r="B633">
        <v>6</v>
      </c>
      <c r="C633" s="2">
        <v>42414</v>
      </c>
      <c r="D633" s="1" t="s">
        <v>444</v>
      </c>
      <c r="E633">
        <v>187</v>
      </c>
      <c r="F633">
        <v>177</v>
      </c>
      <c r="G633">
        <v>143</v>
      </c>
      <c r="H633">
        <v>212</v>
      </c>
    </row>
    <row r="634" spans="1:8">
      <c r="A634">
        <v>2016</v>
      </c>
      <c r="B634">
        <v>7</v>
      </c>
      <c r="C634" s="2">
        <v>42421</v>
      </c>
      <c r="D634" s="1" t="s">
        <v>444</v>
      </c>
      <c r="E634">
        <v>179</v>
      </c>
      <c r="F634">
        <v>177</v>
      </c>
      <c r="G634">
        <v>142</v>
      </c>
      <c r="H634">
        <v>211</v>
      </c>
    </row>
    <row r="635" spans="1:8">
      <c r="A635">
        <v>2016</v>
      </c>
      <c r="B635">
        <v>8</v>
      </c>
      <c r="C635" s="2">
        <v>42428</v>
      </c>
      <c r="D635" s="1" t="s">
        <v>444</v>
      </c>
      <c r="E635">
        <v>194</v>
      </c>
      <c r="F635">
        <v>176</v>
      </c>
      <c r="G635">
        <v>142</v>
      </c>
      <c r="H635">
        <v>210</v>
      </c>
    </row>
    <row r="636" spans="1:8">
      <c r="A636">
        <v>2016</v>
      </c>
      <c r="B636">
        <v>9</v>
      </c>
      <c r="C636" s="2">
        <v>42435</v>
      </c>
      <c r="D636" s="1" t="s">
        <v>444</v>
      </c>
      <c r="E636">
        <v>181</v>
      </c>
      <c r="F636">
        <v>175</v>
      </c>
      <c r="G636">
        <v>141</v>
      </c>
      <c r="H636">
        <v>209</v>
      </c>
    </row>
    <row r="637" spans="1:8">
      <c r="A637">
        <v>2016</v>
      </c>
      <c r="B637">
        <v>10</v>
      </c>
      <c r="C637" s="2">
        <v>42442</v>
      </c>
      <c r="D637" s="1" t="s">
        <v>444</v>
      </c>
      <c r="E637">
        <v>191</v>
      </c>
      <c r="F637">
        <v>174</v>
      </c>
      <c r="G637">
        <v>140</v>
      </c>
      <c r="H637">
        <v>208</v>
      </c>
    </row>
    <row r="638" spans="1:8">
      <c r="A638">
        <v>2016</v>
      </c>
      <c r="B638">
        <v>11</v>
      </c>
      <c r="C638" s="2">
        <v>42449</v>
      </c>
      <c r="D638" s="1" t="s">
        <v>444</v>
      </c>
      <c r="E638">
        <v>168</v>
      </c>
      <c r="F638">
        <v>174</v>
      </c>
      <c r="G638">
        <v>140</v>
      </c>
      <c r="H638">
        <v>207</v>
      </c>
    </row>
    <row r="639" spans="1:8">
      <c r="A639">
        <v>2016</v>
      </c>
      <c r="B639">
        <v>12</v>
      </c>
      <c r="C639" s="2">
        <v>42456</v>
      </c>
      <c r="D639" s="1" t="s">
        <v>444</v>
      </c>
      <c r="E639">
        <v>183</v>
      </c>
      <c r="F639">
        <v>173</v>
      </c>
      <c r="G639">
        <v>139</v>
      </c>
      <c r="H639">
        <v>207</v>
      </c>
    </row>
    <row r="640" spans="1:8">
      <c r="A640">
        <v>2016</v>
      </c>
      <c r="B640">
        <v>13</v>
      </c>
      <c r="C640" s="2">
        <v>42463</v>
      </c>
      <c r="D640" s="1" t="s">
        <v>444</v>
      </c>
      <c r="E640">
        <v>167</v>
      </c>
      <c r="F640">
        <v>172</v>
      </c>
      <c r="G640">
        <v>138</v>
      </c>
      <c r="H640">
        <v>206</v>
      </c>
    </row>
    <row r="641" spans="1:8">
      <c r="A641">
        <v>2016</v>
      </c>
      <c r="B641">
        <v>14</v>
      </c>
      <c r="C641" s="2">
        <v>42470</v>
      </c>
      <c r="D641" s="1" t="s">
        <v>444</v>
      </c>
      <c r="E641">
        <v>143</v>
      </c>
      <c r="F641">
        <v>171</v>
      </c>
      <c r="G641">
        <v>138</v>
      </c>
      <c r="H641">
        <v>205</v>
      </c>
    </row>
    <row r="642" spans="1:8">
      <c r="A642">
        <v>2016</v>
      </c>
      <c r="B642">
        <v>15</v>
      </c>
      <c r="C642" s="2">
        <v>42477</v>
      </c>
      <c r="D642" s="1" t="s">
        <v>444</v>
      </c>
      <c r="E642">
        <v>159</v>
      </c>
      <c r="F642">
        <v>170</v>
      </c>
      <c r="G642">
        <v>137</v>
      </c>
      <c r="H642">
        <v>204</v>
      </c>
    </row>
    <row r="643" spans="1:8">
      <c r="A643">
        <v>2016</v>
      </c>
      <c r="B643">
        <v>16</v>
      </c>
      <c r="C643" s="2">
        <v>42484</v>
      </c>
      <c r="D643" s="1" t="s">
        <v>444</v>
      </c>
      <c r="E643">
        <v>168</v>
      </c>
      <c r="F643">
        <v>170</v>
      </c>
      <c r="G643">
        <v>136</v>
      </c>
      <c r="H643">
        <v>203</v>
      </c>
    </row>
    <row r="644" spans="1:8">
      <c r="A644">
        <v>2016</v>
      </c>
      <c r="B644">
        <v>17</v>
      </c>
      <c r="C644" s="2">
        <v>42491</v>
      </c>
      <c r="D644" s="1" t="s">
        <v>444</v>
      </c>
      <c r="E644">
        <v>152</v>
      </c>
      <c r="F644">
        <v>169</v>
      </c>
      <c r="G644">
        <v>135</v>
      </c>
      <c r="H644">
        <v>202</v>
      </c>
    </row>
    <row r="645" spans="1:8">
      <c r="A645">
        <v>2016</v>
      </c>
      <c r="B645">
        <v>18</v>
      </c>
      <c r="C645" s="2">
        <v>42498</v>
      </c>
      <c r="D645" s="1" t="s">
        <v>444</v>
      </c>
      <c r="E645">
        <v>169</v>
      </c>
      <c r="F645">
        <v>168</v>
      </c>
      <c r="G645">
        <v>135</v>
      </c>
      <c r="H645">
        <v>201</v>
      </c>
    </row>
    <row r="646" spans="1:8">
      <c r="A646">
        <v>2016</v>
      </c>
      <c r="B646">
        <v>19</v>
      </c>
      <c r="C646" s="2">
        <v>42505</v>
      </c>
      <c r="D646" s="1" t="s">
        <v>444</v>
      </c>
      <c r="E646">
        <v>177</v>
      </c>
      <c r="F646">
        <v>167</v>
      </c>
      <c r="G646">
        <v>134</v>
      </c>
      <c r="H646">
        <v>200</v>
      </c>
    </row>
    <row r="647" spans="1:8">
      <c r="A647">
        <v>2016</v>
      </c>
      <c r="B647">
        <v>20</v>
      </c>
      <c r="C647" s="2">
        <v>42512</v>
      </c>
      <c r="D647" s="1" t="s">
        <v>444</v>
      </c>
      <c r="E647">
        <v>165</v>
      </c>
      <c r="F647">
        <v>166</v>
      </c>
      <c r="G647">
        <v>133</v>
      </c>
      <c r="H647">
        <v>200</v>
      </c>
    </row>
    <row r="648" spans="1:8">
      <c r="A648">
        <v>2016</v>
      </c>
      <c r="B648">
        <v>21</v>
      </c>
      <c r="C648" s="2">
        <v>42519</v>
      </c>
      <c r="D648" s="1" t="s">
        <v>444</v>
      </c>
      <c r="E648">
        <v>146</v>
      </c>
      <c r="F648">
        <v>166</v>
      </c>
      <c r="G648">
        <v>132</v>
      </c>
      <c r="H648">
        <v>199</v>
      </c>
    </row>
    <row r="649" spans="1:8">
      <c r="A649">
        <v>2016</v>
      </c>
      <c r="B649">
        <v>22</v>
      </c>
      <c r="C649" s="2">
        <v>42526</v>
      </c>
      <c r="D649" s="1" t="s">
        <v>444</v>
      </c>
      <c r="E649">
        <v>151</v>
      </c>
      <c r="F649">
        <v>165</v>
      </c>
      <c r="G649">
        <v>132</v>
      </c>
      <c r="H649">
        <v>198</v>
      </c>
    </row>
    <row r="650" spans="1:8">
      <c r="A650">
        <v>2016</v>
      </c>
      <c r="B650">
        <v>23</v>
      </c>
      <c r="C650" s="2">
        <v>42533</v>
      </c>
      <c r="D650" s="1" t="s">
        <v>444</v>
      </c>
      <c r="E650">
        <v>165</v>
      </c>
      <c r="F650">
        <v>165</v>
      </c>
      <c r="G650">
        <v>132</v>
      </c>
      <c r="H650">
        <v>198</v>
      </c>
    </row>
    <row r="651" spans="1:8">
      <c r="A651">
        <v>2016</v>
      </c>
      <c r="B651">
        <v>24</v>
      </c>
      <c r="C651" s="2">
        <v>42540</v>
      </c>
      <c r="D651" s="1" t="s">
        <v>444</v>
      </c>
      <c r="E651">
        <v>173</v>
      </c>
      <c r="F651">
        <v>164</v>
      </c>
      <c r="G651">
        <v>131</v>
      </c>
      <c r="H651">
        <v>197</v>
      </c>
    </row>
    <row r="652" spans="1:8">
      <c r="A652">
        <v>2016</v>
      </c>
      <c r="B652">
        <v>25</v>
      </c>
      <c r="C652" s="2">
        <v>42547</v>
      </c>
      <c r="D652" s="1" t="s">
        <v>444</v>
      </c>
      <c r="E652">
        <v>163</v>
      </c>
      <c r="F652">
        <v>164</v>
      </c>
      <c r="G652">
        <v>131</v>
      </c>
      <c r="H652">
        <v>197</v>
      </c>
    </row>
    <row r="653" spans="1:8">
      <c r="A653">
        <v>2016</v>
      </c>
      <c r="B653">
        <v>26</v>
      </c>
      <c r="C653" s="2">
        <v>42554</v>
      </c>
      <c r="D653" s="1" t="s">
        <v>444</v>
      </c>
      <c r="E653">
        <v>169</v>
      </c>
      <c r="F653">
        <v>164</v>
      </c>
      <c r="G653">
        <v>131</v>
      </c>
      <c r="H653">
        <v>197</v>
      </c>
    </row>
    <row r="654" spans="1:8">
      <c r="A654">
        <v>2016</v>
      </c>
      <c r="B654">
        <v>27</v>
      </c>
      <c r="C654" s="2">
        <v>42561</v>
      </c>
      <c r="D654" s="1" t="s">
        <v>444</v>
      </c>
      <c r="E654">
        <v>154</v>
      </c>
      <c r="F654">
        <v>163</v>
      </c>
      <c r="G654">
        <v>130</v>
      </c>
      <c r="H654">
        <v>196</v>
      </c>
    </row>
    <row r="655" spans="1:8">
      <c r="A655">
        <v>2016</v>
      </c>
      <c r="B655">
        <v>28</v>
      </c>
      <c r="C655" s="2">
        <v>42568</v>
      </c>
      <c r="D655" s="1" t="s">
        <v>444</v>
      </c>
      <c r="E655">
        <v>155</v>
      </c>
      <c r="F655">
        <v>163</v>
      </c>
      <c r="G655">
        <v>130</v>
      </c>
      <c r="H655">
        <v>196</v>
      </c>
    </row>
    <row r="656" spans="1:8">
      <c r="A656">
        <v>2016</v>
      </c>
      <c r="B656">
        <v>29</v>
      </c>
      <c r="C656" s="2">
        <v>42575</v>
      </c>
      <c r="D656" s="1" t="s">
        <v>444</v>
      </c>
      <c r="E656">
        <v>166</v>
      </c>
      <c r="F656">
        <v>163</v>
      </c>
      <c r="G656">
        <v>130</v>
      </c>
      <c r="H656">
        <v>196</v>
      </c>
    </row>
    <row r="657" spans="1:8">
      <c r="A657">
        <v>2016</v>
      </c>
      <c r="B657">
        <v>30</v>
      </c>
      <c r="C657" s="2">
        <v>42582</v>
      </c>
      <c r="D657" s="1" t="s">
        <v>444</v>
      </c>
      <c r="E657">
        <v>160</v>
      </c>
      <c r="F657">
        <v>163</v>
      </c>
      <c r="G657">
        <v>130</v>
      </c>
      <c r="H657">
        <v>196</v>
      </c>
    </row>
    <row r="658" spans="1:8">
      <c r="A658">
        <v>2016</v>
      </c>
      <c r="B658">
        <v>31</v>
      </c>
      <c r="C658" s="2">
        <v>42589</v>
      </c>
      <c r="D658" s="1" t="s">
        <v>444</v>
      </c>
      <c r="E658">
        <v>195</v>
      </c>
      <c r="F658">
        <v>163</v>
      </c>
      <c r="G658">
        <v>130</v>
      </c>
      <c r="H658">
        <v>196</v>
      </c>
    </row>
    <row r="659" spans="1:8">
      <c r="A659">
        <v>2016</v>
      </c>
      <c r="B659">
        <v>32</v>
      </c>
      <c r="C659" s="2">
        <v>42596</v>
      </c>
      <c r="D659" s="1" t="s">
        <v>444</v>
      </c>
      <c r="E659">
        <v>187</v>
      </c>
      <c r="F659">
        <v>163</v>
      </c>
      <c r="G659">
        <v>130</v>
      </c>
      <c r="H659">
        <v>196</v>
      </c>
    </row>
    <row r="660" spans="1:8">
      <c r="A660">
        <v>2016</v>
      </c>
      <c r="B660">
        <v>33</v>
      </c>
      <c r="C660" s="2">
        <v>42603</v>
      </c>
      <c r="D660" s="1" t="s">
        <v>444</v>
      </c>
      <c r="E660">
        <v>151</v>
      </c>
      <c r="F660">
        <v>163</v>
      </c>
      <c r="G660">
        <v>130</v>
      </c>
      <c r="H660">
        <v>196</v>
      </c>
    </row>
    <row r="661" spans="1:8">
      <c r="A661">
        <v>2016</v>
      </c>
      <c r="B661">
        <v>34</v>
      </c>
      <c r="C661" s="2">
        <v>42610</v>
      </c>
      <c r="D661" s="1" t="s">
        <v>444</v>
      </c>
      <c r="E661">
        <v>139</v>
      </c>
      <c r="F661">
        <v>163</v>
      </c>
      <c r="G661">
        <v>131</v>
      </c>
      <c r="H661">
        <v>196</v>
      </c>
    </row>
    <row r="662" spans="1:8">
      <c r="A662">
        <v>2016</v>
      </c>
      <c r="B662">
        <v>35</v>
      </c>
      <c r="C662" s="2">
        <v>42617</v>
      </c>
      <c r="D662" s="1" t="s">
        <v>444</v>
      </c>
      <c r="E662">
        <v>169</v>
      </c>
      <c r="F662">
        <v>164</v>
      </c>
      <c r="G662">
        <v>131</v>
      </c>
      <c r="H662">
        <v>197</v>
      </c>
    </row>
    <row r="663" spans="1:8">
      <c r="A663">
        <v>2016</v>
      </c>
      <c r="B663">
        <v>36</v>
      </c>
      <c r="C663" s="2">
        <v>42624</v>
      </c>
      <c r="D663" s="1" t="s">
        <v>444</v>
      </c>
      <c r="E663">
        <v>182</v>
      </c>
      <c r="F663">
        <v>164</v>
      </c>
      <c r="G663">
        <v>131</v>
      </c>
      <c r="H663">
        <v>197</v>
      </c>
    </row>
    <row r="664" spans="1:8">
      <c r="A664">
        <v>2016</v>
      </c>
      <c r="B664">
        <v>37</v>
      </c>
      <c r="C664" s="2">
        <v>42631</v>
      </c>
      <c r="D664" s="1" t="s">
        <v>444</v>
      </c>
      <c r="E664">
        <v>150</v>
      </c>
      <c r="F664">
        <v>164</v>
      </c>
      <c r="G664">
        <v>131</v>
      </c>
      <c r="H664">
        <v>198</v>
      </c>
    </row>
    <row r="665" spans="1:8">
      <c r="A665">
        <v>2016</v>
      </c>
      <c r="B665">
        <v>38</v>
      </c>
      <c r="C665" s="2">
        <v>42638</v>
      </c>
      <c r="D665" s="1" t="s">
        <v>444</v>
      </c>
      <c r="E665">
        <v>171</v>
      </c>
      <c r="F665">
        <v>165</v>
      </c>
      <c r="G665">
        <v>132</v>
      </c>
      <c r="H665">
        <v>198</v>
      </c>
    </row>
    <row r="666" spans="1:8">
      <c r="A666">
        <v>2016</v>
      </c>
      <c r="B666">
        <v>39</v>
      </c>
      <c r="C666" s="2">
        <v>42645</v>
      </c>
      <c r="D666" s="1" t="s">
        <v>444</v>
      </c>
      <c r="E666">
        <v>172</v>
      </c>
      <c r="F666">
        <v>165</v>
      </c>
      <c r="G666">
        <v>132</v>
      </c>
      <c r="H666">
        <v>198</v>
      </c>
    </row>
    <row r="667" spans="1:8">
      <c r="A667">
        <v>2016</v>
      </c>
      <c r="B667">
        <v>40</v>
      </c>
      <c r="C667" s="2">
        <v>42652</v>
      </c>
      <c r="D667" s="1" t="s">
        <v>444</v>
      </c>
      <c r="E667">
        <v>185</v>
      </c>
      <c r="F667">
        <v>165</v>
      </c>
      <c r="G667">
        <v>132</v>
      </c>
      <c r="H667">
        <v>199</v>
      </c>
    </row>
    <row r="668" spans="1:8">
      <c r="A668">
        <v>2016</v>
      </c>
      <c r="B668">
        <v>41</v>
      </c>
      <c r="C668" s="2">
        <v>42659</v>
      </c>
      <c r="D668" s="1" t="s">
        <v>444</v>
      </c>
      <c r="E668">
        <v>172</v>
      </c>
      <c r="F668">
        <v>166</v>
      </c>
      <c r="G668">
        <v>133</v>
      </c>
      <c r="H668">
        <v>199</v>
      </c>
    </row>
    <row r="669" spans="1:8">
      <c r="A669">
        <v>2016</v>
      </c>
      <c r="B669">
        <v>42</v>
      </c>
      <c r="C669" s="2">
        <v>42666</v>
      </c>
      <c r="D669" s="1" t="s">
        <v>444</v>
      </c>
      <c r="E669">
        <v>163</v>
      </c>
      <c r="F669">
        <v>167</v>
      </c>
      <c r="G669">
        <v>133</v>
      </c>
      <c r="H669">
        <v>200</v>
      </c>
    </row>
    <row r="670" spans="1:8">
      <c r="A670">
        <v>2016</v>
      </c>
      <c r="B670">
        <v>43</v>
      </c>
      <c r="C670" s="2">
        <v>42673</v>
      </c>
      <c r="D670" s="1" t="s">
        <v>444</v>
      </c>
      <c r="E670">
        <v>168</v>
      </c>
      <c r="F670">
        <v>167</v>
      </c>
      <c r="G670">
        <v>134</v>
      </c>
      <c r="H670">
        <v>200</v>
      </c>
    </row>
    <row r="671" spans="1:8">
      <c r="A671">
        <v>2016</v>
      </c>
      <c r="B671">
        <v>44</v>
      </c>
      <c r="C671" s="2">
        <v>42680</v>
      </c>
      <c r="D671" s="1" t="s">
        <v>444</v>
      </c>
      <c r="E671">
        <v>176</v>
      </c>
      <c r="F671">
        <v>168</v>
      </c>
      <c r="G671">
        <v>134</v>
      </c>
      <c r="H671">
        <v>201</v>
      </c>
    </row>
    <row r="672" spans="1:8">
      <c r="A672">
        <v>2016</v>
      </c>
      <c r="B672">
        <v>45</v>
      </c>
      <c r="C672" s="2">
        <v>42687</v>
      </c>
      <c r="D672" s="1" t="s">
        <v>444</v>
      </c>
      <c r="E672">
        <v>172</v>
      </c>
      <c r="F672">
        <v>168</v>
      </c>
      <c r="G672">
        <v>135</v>
      </c>
      <c r="H672">
        <v>202</v>
      </c>
    </row>
    <row r="673" spans="1:8">
      <c r="A673">
        <v>2016</v>
      </c>
      <c r="B673">
        <v>46</v>
      </c>
      <c r="C673" s="2">
        <v>42694</v>
      </c>
      <c r="D673" s="1" t="s">
        <v>444</v>
      </c>
      <c r="E673">
        <v>170</v>
      </c>
      <c r="F673">
        <v>169</v>
      </c>
      <c r="G673">
        <v>135</v>
      </c>
      <c r="H673">
        <v>202</v>
      </c>
    </row>
    <row r="674" spans="1:8">
      <c r="A674">
        <v>2016</v>
      </c>
      <c r="B674">
        <v>47</v>
      </c>
      <c r="C674" s="2">
        <v>42701</v>
      </c>
      <c r="D674" s="1" t="s">
        <v>444</v>
      </c>
      <c r="E674">
        <v>134</v>
      </c>
      <c r="F674">
        <v>169</v>
      </c>
      <c r="G674">
        <v>136</v>
      </c>
      <c r="H674">
        <v>203</v>
      </c>
    </row>
    <row r="675" spans="1:8">
      <c r="A675">
        <v>2016</v>
      </c>
      <c r="B675">
        <v>48</v>
      </c>
      <c r="C675" s="2">
        <v>42708</v>
      </c>
      <c r="D675" s="1" t="s">
        <v>444</v>
      </c>
      <c r="E675">
        <v>179</v>
      </c>
      <c r="F675">
        <v>170</v>
      </c>
      <c r="G675">
        <v>136</v>
      </c>
      <c r="H675">
        <v>203</v>
      </c>
    </row>
    <row r="676" spans="1:8">
      <c r="A676">
        <v>2016</v>
      </c>
      <c r="B676">
        <v>49</v>
      </c>
      <c r="C676" s="2">
        <v>42715</v>
      </c>
      <c r="D676" s="1" t="s">
        <v>444</v>
      </c>
      <c r="E676">
        <v>159</v>
      </c>
      <c r="F676">
        <v>170</v>
      </c>
      <c r="G676">
        <v>137</v>
      </c>
      <c r="H676">
        <v>204</v>
      </c>
    </row>
    <row r="677" spans="1:8">
      <c r="A677">
        <v>2016</v>
      </c>
      <c r="B677">
        <v>50</v>
      </c>
      <c r="C677" s="2">
        <v>42722</v>
      </c>
      <c r="D677" s="1" t="s">
        <v>444</v>
      </c>
      <c r="E677">
        <v>163</v>
      </c>
      <c r="F677">
        <v>171</v>
      </c>
      <c r="G677">
        <v>137</v>
      </c>
      <c r="H677">
        <v>205</v>
      </c>
    </row>
    <row r="678" spans="1:8">
      <c r="A678">
        <v>2016</v>
      </c>
      <c r="B678">
        <v>51</v>
      </c>
      <c r="C678" s="2">
        <v>42729</v>
      </c>
      <c r="D678" s="1" t="s">
        <v>444</v>
      </c>
      <c r="E678">
        <v>187</v>
      </c>
      <c r="F678">
        <v>171</v>
      </c>
      <c r="G678">
        <v>138</v>
      </c>
      <c r="H678">
        <v>205</v>
      </c>
    </row>
    <row r="679" spans="1:8">
      <c r="A679">
        <v>2016</v>
      </c>
      <c r="B679">
        <v>52</v>
      </c>
      <c r="C679" s="2">
        <v>42736</v>
      </c>
      <c r="D679" s="1" t="s">
        <v>444</v>
      </c>
      <c r="E679">
        <v>168</v>
      </c>
      <c r="F679">
        <v>172</v>
      </c>
      <c r="G679">
        <v>138</v>
      </c>
      <c r="H679">
        <v>206</v>
      </c>
    </row>
    <row r="680" spans="1:8">
      <c r="A680">
        <v>2016</v>
      </c>
      <c r="B680">
        <v>1</v>
      </c>
      <c r="C680" s="2">
        <v>42379</v>
      </c>
      <c r="D680" s="1" t="s">
        <v>445</v>
      </c>
      <c r="E680">
        <v>1146</v>
      </c>
      <c r="F680">
        <v>1237</v>
      </c>
      <c r="G680">
        <v>1147</v>
      </c>
      <c r="H680">
        <v>1328</v>
      </c>
    </row>
    <row r="681" spans="1:8">
      <c r="A681">
        <v>2016</v>
      </c>
      <c r="B681">
        <v>2</v>
      </c>
      <c r="C681" s="2">
        <v>42386</v>
      </c>
      <c r="D681" s="1" t="s">
        <v>445</v>
      </c>
      <c r="E681">
        <v>1090</v>
      </c>
      <c r="F681">
        <v>1236</v>
      </c>
      <c r="G681">
        <v>1146</v>
      </c>
      <c r="H681">
        <v>1327</v>
      </c>
    </row>
    <row r="682" spans="1:8">
      <c r="A682">
        <v>2016</v>
      </c>
      <c r="B682">
        <v>3</v>
      </c>
      <c r="C682" s="2">
        <v>42393</v>
      </c>
      <c r="D682" s="1" t="s">
        <v>445</v>
      </c>
      <c r="E682">
        <v>1134</v>
      </c>
      <c r="F682">
        <v>1236</v>
      </c>
      <c r="G682">
        <v>1145</v>
      </c>
      <c r="H682">
        <v>1326</v>
      </c>
    </row>
    <row r="683" spans="1:8">
      <c r="A683">
        <v>2016</v>
      </c>
      <c r="B683">
        <v>4</v>
      </c>
      <c r="C683" s="2">
        <v>42400</v>
      </c>
      <c r="D683" s="1" t="s">
        <v>445</v>
      </c>
      <c r="E683">
        <v>1151</v>
      </c>
      <c r="F683">
        <v>1235</v>
      </c>
      <c r="G683">
        <v>1145</v>
      </c>
      <c r="H683">
        <v>1326</v>
      </c>
    </row>
    <row r="684" spans="1:8">
      <c r="A684">
        <v>2016</v>
      </c>
      <c r="B684">
        <v>5</v>
      </c>
      <c r="C684" s="2">
        <v>42407</v>
      </c>
      <c r="D684" s="1" t="s">
        <v>445</v>
      </c>
      <c r="E684">
        <v>1138</v>
      </c>
      <c r="F684">
        <v>1234</v>
      </c>
      <c r="G684">
        <v>1143</v>
      </c>
      <c r="H684">
        <v>1324</v>
      </c>
    </row>
    <row r="685" spans="1:8">
      <c r="A685">
        <v>2016</v>
      </c>
      <c r="B685">
        <v>6</v>
      </c>
      <c r="C685" s="2">
        <v>42414</v>
      </c>
      <c r="D685" s="1" t="s">
        <v>445</v>
      </c>
      <c r="E685">
        <v>1145</v>
      </c>
      <c r="F685">
        <v>1233</v>
      </c>
      <c r="G685">
        <v>1142</v>
      </c>
      <c r="H685">
        <v>1323</v>
      </c>
    </row>
    <row r="686" spans="1:8">
      <c r="A686">
        <v>2016</v>
      </c>
      <c r="B686">
        <v>7</v>
      </c>
      <c r="C686" s="2">
        <v>42421</v>
      </c>
      <c r="D686" s="1" t="s">
        <v>445</v>
      </c>
      <c r="E686">
        <v>1124</v>
      </c>
      <c r="F686">
        <v>1231</v>
      </c>
      <c r="G686">
        <v>1141</v>
      </c>
      <c r="H686">
        <v>1322</v>
      </c>
    </row>
    <row r="687" spans="1:8">
      <c r="A687">
        <v>2016</v>
      </c>
      <c r="B687">
        <v>8</v>
      </c>
      <c r="C687" s="2">
        <v>42428</v>
      </c>
      <c r="D687" s="1" t="s">
        <v>445</v>
      </c>
      <c r="E687">
        <v>1181</v>
      </c>
      <c r="F687">
        <v>1223</v>
      </c>
      <c r="G687">
        <v>1133</v>
      </c>
      <c r="H687">
        <v>1313</v>
      </c>
    </row>
    <row r="688" spans="1:8">
      <c r="A688">
        <v>2016</v>
      </c>
      <c r="B688">
        <v>9</v>
      </c>
      <c r="C688" s="2">
        <v>42435</v>
      </c>
      <c r="D688" s="1" t="s">
        <v>445</v>
      </c>
      <c r="E688">
        <v>1137</v>
      </c>
      <c r="F688">
        <v>1215</v>
      </c>
      <c r="G688">
        <v>1126</v>
      </c>
      <c r="H688">
        <v>1305</v>
      </c>
    </row>
    <row r="689" spans="1:8">
      <c r="A689">
        <v>2016</v>
      </c>
      <c r="B689">
        <v>10</v>
      </c>
      <c r="C689" s="2">
        <v>42442</v>
      </c>
      <c r="D689" s="1" t="s">
        <v>445</v>
      </c>
      <c r="E689">
        <v>1151</v>
      </c>
      <c r="F689">
        <v>1200</v>
      </c>
      <c r="G689">
        <v>1111</v>
      </c>
      <c r="H689">
        <v>1289</v>
      </c>
    </row>
    <row r="690" spans="1:8">
      <c r="A690">
        <v>2016</v>
      </c>
      <c r="B690">
        <v>11</v>
      </c>
      <c r="C690" s="2">
        <v>42449</v>
      </c>
      <c r="D690" s="1" t="s">
        <v>445</v>
      </c>
      <c r="E690">
        <v>1102</v>
      </c>
      <c r="F690">
        <v>1184</v>
      </c>
      <c r="G690">
        <v>1096</v>
      </c>
      <c r="H690">
        <v>1273</v>
      </c>
    </row>
    <row r="691" spans="1:8">
      <c r="A691">
        <v>2016</v>
      </c>
      <c r="B691">
        <v>12</v>
      </c>
      <c r="C691" s="2">
        <v>42456</v>
      </c>
      <c r="D691" s="1" t="s">
        <v>445</v>
      </c>
      <c r="E691">
        <v>1100</v>
      </c>
      <c r="F691">
        <v>1163</v>
      </c>
      <c r="G691">
        <v>1076</v>
      </c>
      <c r="H691">
        <v>1251</v>
      </c>
    </row>
    <row r="692" spans="1:8">
      <c r="A692">
        <v>2016</v>
      </c>
      <c r="B692">
        <v>13</v>
      </c>
      <c r="C692" s="2">
        <v>42463</v>
      </c>
      <c r="D692" s="1" t="s">
        <v>445</v>
      </c>
      <c r="E692">
        <v>1093</v>
      </c>
      <c r="F692">
        <v>1143</v>
      </c>
      <c r="G692">
        <v>1055</v>
      </c>
      <c r="H692">
        <v>1230</v>
      </c>
    </row>
    <row r="693" spans="1:8">
      <c r="A693">
        <v>2016</v>
      </c>
      <c r="B693">
        <v>14</v>
      </c>
      <c r="C693" s="2">
        <v>42470</v>
      </c>
      <c r="D693" s="1" t="s">
        <v>445</v>
      </c>
      <c r="E693">
        <v>1091</v>
      </c>
      <c r="F693">
        <v>1123</v>
      </c>
      <c r="G693">
        <v>1037</v>
      </c>
      <c r="H693">
        <v>1209</v>
      </c>
    </row>
    <row r="694" spans="1:8">
      <c r="A694">
        <v>2016</v>
      </c>
      <c r="B694">
        <v>15</v>
      </c>
      <c r="C694" s="2">
        <v>42477</v>
      </c>
      <c r="D694" s="1" t="s">
        <v>445</v>
      </c>
      <c r="E694">
        <v>1059</v>
      </c>
      <c r="F694">
        <v>1106</v>
      </c>
      <c r="G694">
        <v>1020</v>
      </c>
      <c r="H694">
        <v>1191</v>
      </c>
    </row>
    <row r="695" spans="1:8">
      <c r="A695">
        <v>2016</v>
      </c>
      <c r="B695">
        <v>16</v>
      </c>
      <c r="C695" s="2">
        <v>42484</v>
      </c>
      <c r="D695" s="1" t="s">
        <v>445</v>
      </c>
      <c r="E695">
        <v>962</v>
      </c>
      <c r="F695">
        <v>1088</v>
      </c>
      <c r="G695">
        <v>1003</v>
      </c>
      <c r="H695">
        <v>1173</v>
      </c>
    </row>
    <row r="696" spans="1:8">
      <c r="A696">
        <v>2016</v>
      </c>
      <c r="B696">
        <v>17</v>
      </c>
      <c r="C696" s="2">
        <v>42491</v>
      </c>
      <c r="D696" s="1" t="s">
        <v>445</v>
      </c>
      <c r="E696">
        <v>1013</v>
      </c>
      <c r="F696">
        <v>1073</v>
      </c>
      <c r="G696">
        <v>988</v>
      </c>
      <c r="H696">
        <v>1157</v>
      </c>
    </row>
    <row r="697" spans="1:8">
      <c r="A697">
        <v>2016</v>
      </c>
      <c r="B697">
        <v>18</v>
      </c>
      <c r="C697" s="2">
        <v>42498</v>
      </c>
      <c r="D697" s="1" t="s">
        <v>445</v>
      </c>
      <c r="E697">
        <v>987</v>
      </c>
      <c r="F697">
        <v>1057</v>
      </c>
      <c r="G697">
        <v>973</v>
      </c>
      <c r="H697">
        <v>1141</v>
      </c>
    </row>
    <row r="698" spans="1:8">
      <c r="A698">
        <v>2016</v>
      </c>
      <c r="B698">
        <v>19</v>
      </c>
      <c r="C698" s="2">
        <v>42505</v>
      </c>
      <c r="D698" s="1" t="s">
        <v>445</v>
      </c>
      <c r="E698">
        <v>964</v>
      </c>
      <c r="F698">
        <v>1045</v>
      </c>
      <c r="G698">
        <v>961</v>
      </c>
      <c r="H698">
        <v>1128</v>
      </c>
    </row>
    <row r="699" spans="1:8">
      <c r="A699">
        <v>2016</v>
      </c>
      <c r="B699">
        <v>20</v>
      </c>
      <c r="C699" s="2">
        <v>42512</v>
      </c>
      <c r="D699" s="1" t="s">
        <v>445</v>
      </c>
      <c r="E699">
        <v>1003</v>
      </c>
      <c r="F699">
        <v>1032</v>
      </c>
      <c r="G699">
        <v>949</v>
      </c>
      <c r="H699">
        <v>1115</v>
      </c>
    </row>
    <row r="700" spans="1:8">
      <c r="A700">
        <v>2016</v>
      </c>
      <c r="B700">
        <v>21</v>
      </c>
      <c r="C700" s="2">
        <v>42519</v>
      </c>
      <c r="D700" s="1" t="s">
        <v>445</v>
      </c>
      <c r="E700">
        <v>1071</v>
      </c>
      <c r="F700">
        <v>1024</v>
      </c>
      <c r="G700">
        <v>941</v>
      </c>
      <c r="H700">
        <v>1106</v>
      </c>
    </row>
    <row r="701" spans="1:8">
      <c r="A701">
        <v>2016</v>
      </c>
      <c r="B701">
        <v>22</v>
      </c>
      <c r="C701" s="2">
        <v>42526</v>
      </c>
      <c r="D701" s="1" t="s">
        <v>445</v>
      </c>
      <c r="E701">
        <v>989</v>
      </c>
      <c r="F701">
        <v>1019</v>
      </c>
      <c r="G701">
        <v>936</v>
      </c>
      <c r="H701">
        <v>1101</v>
      </c>
    </row>
    <row r="702" spans="1:8">
      <c r="A702">
        <v>2016</v>
      </c>
      <c r="B702">
        <v>23</v>
      </c>
      <c r="C702" s="2">
        <v>42533</v>
      </c>
      <c r="D702" s="1" t="s">
        <v>445</v>
      </c>
      <c r="E702">
        <v>928</v>
      </c>
      <c r="F702">
        <v>1013</v>
      </c>
      <c r="G702">
        <v>931</v>
      </c>
      <c r="H702">
        <v>1095</v>
      </c>
    </row>
    <row r="703" spans="1:8">
      <c r="A703">
        <v>2016</v>
      </c>
      <c r="B703">
        <v>24</v>
      </c>
      <c r="C703" s="2">
        <v>42540</v>
      </c>
      <c r="D703" s="1" t="s">
        <v>445</v>
      </c>
      <c r="E703">
        <v>929</v>
      </c>
      <c r="F703">
        <v>1011</v>
      </c>
      <c r="G703">
        <v>929</v>
      </c>
      <c r="H703">
        <v>1093</v>
      </c>
    </row>
    <row r="704" spans="1:8">
      <c r="A704">
        <v>2016</v>
      </c>
      <c r="B704">
        <v>25</v>
      </c>
      <c r="C704" s="2">
        <v>42547</v>
      </c>
      <c r="D704" s="1" t="s">
        <v>445</v>
      </c>
      <c r="E704">
        <v>1057</v>
      </c>
      <c r="F704">
        <v>1012</v>
      </c>
      <c r="G704">
        <v>930</v>
      </c>
      <c r="H704">
        <v>1094</v>
      </c>
    </row>
    <row r="705" spans="1:8">
      <c r="A705">
        <v>2016</v>
      </c>
      <c r="B705">
        <v>26</v>
      </c>
      <c r="C705" s="2">
        <v>42554</v>
      </c>
      <c r="D705" s="1" t="s">
        <v>445</v>
      </c>
      <c r="E705">
        <v>990</v>
      </c>
      <c r="F705">
        <v>1012</v>
      </c>
      <c r="G705">
        <v>930</v>
      </c>
      <c r="H705">
        <v>1094</v>
      </c>
    </row>
    <row r="706" spans="1:8">
      <c r="A706">
        <v>2016</v>
      </c>
      <c r="B706">
        <v>27</v>
      </c>
      <c r="C706" s="2">
        <v>42561</v>
      </c>
      <c r="D706" s="1" t="s">
        <v>445</v>
      </c>
      <c r="E706">
        <v>928</v>
      </c>
      <c r="F706">
        <v>1015</v>
      </c>
      <c r="G706">
        <v>932</v>
      </c>
      <c r="H706">
        <v>1097</v>
      </c>
    </row>
    <row r="707" spans="1:8">
      <c r="A707">
        <v>2016</v>
      </c>
      <c r="B707">
        <v>28</v>
      </c>
      <c r="C707" s="2">
        <v>42568</v>
      </c>
      <c r="D707" s="1" t="s">
        <v>445</v>
      </c>
      <c r="E707">
        <v>985</v>
      </c>
      <c r="F707">
        <v>1014</v>
      </c>
      <c r="G707">
        <v>932</v>
      </c>
      <c r="H707">
        <v>1096</v>
      </c>
    </row>
    <row r="708" spans="1:8">
      <c r="A708">
        <v>2016</v>
      </c>
      <c r="B708">
        <v>29</v>
      </c>
      <c r="C708" s="2">
        <v>42575</v>
      </c>
      <c r="D708" s="1" t="s">
        <v>445</v>
      </c>
      <c r="E708">
        <v>1053</v>
      </c>
      <c r="F708">
        <v>1013</v>
      </c>
      <c r="G708">
        <v>931</v>
      </c>
      <c r="H708">
        <v>1095</v>
      </c>
    </row>
    <row r="709" spans="1:8">
      <c r="A709">
        <v>2016</v>
      </c>
      <c r="B709">
        <v>30</v>
      </c>
      <c r="C709" s="2">
        <v>42582</v>
      </c>
      <c r="D709" s="1" t="s">
        <v>445</v>
      </c>
      <c r="E709">
        <v>999</v>
      </c>
      <c r="F709">
        <v>1014</v>
      </c>
      <c r="G709">
        <v>932</v>
      </c>
      <c r="H709">
        <v>1096</v>
      </c>
    </row>
    <row r="710" spans="1:8">
      <c r="A710">
        <v>2016</v>
      </c>
      <c r="B710">
        <v>31</v>
      </c>
      <c r="C710" s="2">
        <v>42589</v>
      </c>
      <c r="D710" s="1" t="s">
        <v>445</v>
      </c>
      <c r="E710">
        <v>902</v>
      </c>
      <c r="F710">
        <v>1014</v>
      </c>
      <c r="G710">
        <v>932</v>
      </c>
      <c r="H710">
        <v>1096</v>
      </c>
    </row>
    <row r="711" spans="1:8">
      <c r="A711">
        <v>2016</v>
      </c>
      <c r="B711">
        <v>32</v>
      </c>
      <c r="C711" s="2">
        <v>42596</v>
      </c>
      <c r="D711" s="1" t="s">
        <v>445</v>
      </c>
      <c r="E711">
        <v>959</v>
      </c>
      <c r="F711">
        <v>1015</v>
      </c>
      <c r="G711">
        <v>933</v>
      </c>
      <c r="H711">
        <v>1097</v>
      </c>
    </row>
    <row r="712" spans="1:8">
      <c r="A712">
        <v>2016</v>
      </c>
      <c r="B712">
        <v>33</v>
      </c>
      <c r="C712" s="2">
        <v>42603</v>
      </c>
      <c r="D712" s="1" t="s">
        <v>445</v>
      </c>
      <c r="E712">
        <v>1006</v>
      </c>
      <c r="F712">
        <v>1016</v>
      </c>
      <c r="G712">
        <v>934</v>
      </c>
      <c r="H712">
        <v>1098</v>
      </c>
    </row>
    <row r="713" spans="1:8">
      <c r="A713">
        <v>2016</v>
      </c>
      <c r="B713">
        <v>34</v>
      </c>
      <c r="C713" s="2">
        <v>42610</v>
      </c>
      <c r="D713" s="1" t="s">
        <v>445</v>
      </c>
      <c r="E713">
        <v>979</v>
      </c>
      <c r="F713">
        <v>1018</v>
      </c>
      <c r="G713">
        <v>936</v>
      </c>
      <c r="H713">
        <v>1100</v>
      </c>
    </row>
    <row r="714" spans="1:8">
      <c r="A714">
        <v>2016</v>
      </c>
      <c r="B714">
        <v>35</v>
      </c>
      <c r="C714" s="2">
        <v>42617</v>
      </c>
      <c r="D714" s="1" t="s">
        <v>445</v>
      </c>
      <c r="E714">
        <v>958</v>
      </c>
      <c r="F714">
        <v>1022</v>
      </c>
      <c r="G714">
        <v>940</v>
      </c>
      <c r="H714">
        <v>1104</v>
      </c>
    </row>
    <row r="715" spans="1:8">
      <c r="A715">
        <v>2016</v>
      </c>
      <c r="B715">
        <v>36</v>
      </c>
      <c r="C715" s="2">
        <v>42624</v>
      </c>
      <c r="D715" s="1" t="s">
        <v>445</v>
      </c>
      <c r="E715">
        <v>987</v>
      </c>
      <c r="F715">
        <v>1027</v>
      </c>
      <c r="G715">
        <v>944</v>
      </c>
      <c r="H715">
        <v>1109</v>
      </c>
    </row>
    <row r="716" spans="1:8">
      <c r="A716">
        <v>2016</v>
      </c>
      <c r="B716">
        <v>37</v>
      </c>
      <c r="C716" s="2">
        <v>42631</v>
      </c>
      <c r="D716" s="1" t="s">
        <v>445</v>
      </c>
      <c r="E716">
        <v>943</v>
      </c>
      <c r="F716">
        <v>1034</v>
      </c>
      <c r="G716">
        <v>951</v>
      </c>
      <c r="H716">
        <v>1117</v>
      </c>
    </row>
    <row r="717" spans="1:8">
      <c r="A717">
        <v>2016</v>
      </c>
      <c r="B717">
        <v>38</v>
      </c>
      <c r="C717" s="2">
        <v>42638</v>
      </c>
      <c r="D717" s="1" t="s">
        <v>445</v>
      </c>
      <c r="E717">
        <v>998</v>
      </c>
      <c r="F717">
        <v>1042</v>
      </c>
      <c r="G717">
        <v>959</v>
      </c>
      <c r="H717">
        <v>1125</v>
      </c>
    </row>
    <row r="718" spans="1:8">
      <c r="A718">
        <v>2016</v>
      </c>
      <c r="B718">
        <v>39</v>
      </c>
      <c r="C718" s="2">
        <v>42645</v>
      </c>
      <c r="D718" s="1" t="s">
        <v>445</v>
      </c>
      <c r="E718">
        <v>1024</v>
      </c>
      <c r="F718">
        <v>1051</v>
      </c>
      <c r="G718">
        <v>967</v>
      </c>
      <c r="H718">
        <v>1134</v>
      </c>
    </row>
    <row r="719" spans="1:8">
      <c r="A719">
        <v>2016</v>
      </c>
      <c r="B719">
        <v>40</v>
      </c>
      <c r="C719" s="2">
        <v>42652</v>
      </c>
      <c r="D719" s="1" t="s">
        <v>445</v>
      </c>
      <c r="E719">
        <v>1082</v>
      </c>
      <c r="F719">
        <v>1060</v>
      </c>
      <c r="G719">
        <v>976</v>
      </c>
      <c r="H719">
        <v>1144</v>
      </c>
    </row>
    <row r="720" spans="1:8">
      <c r="A720">
        <v>2016</v>
      </c>
      <c r="B720">
        <v>41</v>
      </c>
      <c r="C720" s="2">
        <v>42659</v>
      </c>
      <c r="D720" s="1" t="s">
        <v>445</v>
      </c>
      <c r="E720">
        <v>1085</v>
      </c>
      <c r="F720">
        <v>1069</v>
      </c>
      <c r="G720">
        <v>985</v>
      </c>
      <c r="H720">
        <v>1153</v>
      </c>
    </row>
    <row r="721" spans="1:9">
      <c r="A721">
        <v>2016</v>
      </c>
      <c r="B721">
        <v>42</v>
      </c>
      <c r="C721" s="2">
        <v>42666</v>
      </c>
      <c r="D721" s="1" t="s">
        <v>445</v>
      </c>
      <c r="E721">
        <v>1109</v>
      </c>
      <c r="F721">
        <v>1078</v>
      </c>
      <c r="G721">
        <v>993</v>
      </c>
      <c r="H721">
        <v>1162</v>
      </c>
    </row>
    <row r="722" spans="1:9">
      <c r="A722">
        <v>2016</v>
      </c>
      <c r="B722">
        <v>43</v>
      </c>
      <c r="C722" s="2">
        <v>42673</v>
      </c>
      <c r="D722" s="1" t="s">
        <v>445</v>
      </c>
      <c r="E722">
        <v>1054</v>
      </c>
      <c r="F722">
        <v>1088</v>
      </c>
      <c r="G722">
        <v>1003</v>
      </c>
      <c r="H722">
        <v>1173</v>
      </c>
    </row>
    <row r="723" spans="1:9">
      <c r="A723">
        <v>2016</v>
      </c>
      <c r="B723">
        <v>44</v>
      </c>
      <c r="C723" s="2">
        <v>42680</v>
      </c>
      <c r="D723" s="1" t="s">
        <v>445</v>
      </c>
      <c r="E723">
        <v>1124</v>
      </c>
      <c r="F723">
        <v>1098</v>
      </c>
      <c r="G723">
        <v>1012</v>
      </c>
      <c r="H723">
        <v>1183</v>
      </c>
    </row>
    <row r="724" spans="1:9">
      <c r="A724">
        <v>2016</v>
      </c>
      <c r="B724">
        <v>45</v>
      </c>
      <c r="C724" s="2">
        <v>42687</v>
      </c>
      <c r="D724" s="1" t="s">
        <v>445</v>
      </c>
      <c r="E724">
        <v>1108</v>
      </c>
      <c r="F724">
        <v>1109</v>
      </c>
      <c r="G724">
        <v>1023</v>
      </c>
      <c r="H724">
        <v>1195</v>
      </c>
    </row>
    <row r="725" spans="1:9">
      <c r="A725">
        <v>2016</v>
      </c>
      <c r="B725">
        <v>46</v>
      </c>
      <c r="C725" s="2">
        <v>42694</v>
      </c>
      <c r="D725" s="1" t="s">
        <v>445</v>
      </c>
      <c r="E725">
        <v>1176</v>
      </c>
      <c r="F725">
        <v>1121</v>
      </c>
      <c r="G725">
        <v>1034</v>
      </c>
      <c r="H725">
        <v>1207</v>
      </c>
    </row>
    <row r="726" spans="1:9">
      <c r="A726">
        <v>2016</v>
      </c>
      <c r="B726">
        <v>47</v>
      </c>
      <c r="C726" s="2">
        <v>42701</v>
      </c>
      <c r="D726" s="1" t="s">
        <v>445</v>
      </c>
      <c r="E726">
        <v>1050</v>
      </c>
      <c r="F726">
        <v>1133</v>
      </c>
      <c r="G726">
        <v>1046</v>
      </c>
      <c r="H726">
        <v>1219</v>
      </c>
    </row>
    <row r="727" spans="1:9">
      <c r="A727">
        <v>2016</v>
      </c>
      <c r="B727">
        <v>48</v>
      </c>
      <c r="C727" s="2">
        <v>42708</v>
      </c>
      <c r="D727" s="1" t="s">
        <v>445</v>
      </c>
      <c r="E727">
        <v>1144</v>
      </c>
      <c r="F727">
        <v>1146</v>
      </c>
      <c r="G727">
        <v>1059</v>
      </c>
      <c r="H727">
        <v>1233</v>
      </c>
    </row>
    <row r="728" spans="1:9">
      <c r="A728">
        <v>2016</v>
      </c>
      <c r="B728">
        <v>49</v>
      </c>
      <c r="C728" s="2">
        <v>42715</v>
      </c>
      <c r="D728" s="1" t="s">
        <v>445</v>
      </c>
      <c r="E728">
        <v>1125</v>
      </c>
      <c r="F728">
        <v>1159</v>
      </c>
      <c r="G728">
        <v>1071</v>
      </c>
      <c r="H728">
        <v>1247</v>
      </c>
    </row>
    <row r="729" spans="1:9">
      <c r="A729">
        <v>2016</v>
      </c>
      <c r="B729">
        <v>50</v>
      </c>
      <c r="C729" s="2">
        <v>42722</v>
      </c>
      <c r="D729" s="1" t="s">
        <v>445</v>
      </c>
      <c r="E729">
        <v>1129</v>
      </c>
      <c r="F729">
        <v>1172</v>
      </c>
      <c r="G729">
        <v>1084</v>
      </c>
      <c r="H729">
        <v>1261</v>
      </c>
    </row>
    <row r="730" spans="1:9">
      <c r="A730">
        <v>2016</v>
      </c>
      <c r="B730">
        <v>51</v>
      </c>
      <c r="C730" s="2">
        <v>42729</v>
      </c>
      <c r="D730" s="1" t="s">
        <v>445</v>
      </c>
      <c r="E730">
        <v>1247</v>
      </c>
      <c r="F730">
        <v>1186</v>
      </c>
      <c r="G730">
        <v>1097</v>
      </c>
      <c r="H730">
        <v>1274</v>
      </c>
    </row>
    <row r="731" spans="1:9">
      <c r="A731">
        <v>2016</v>
      </c>
      <c r="B731">
        <v>52</v>
      </c>
      <c r="C731" s="2">
        <v>42736</v>
      </c>
      <c r="D731" s="1" t="s">
        <v>445</v>
      </c>
      <c r="E731">
        <v>1404</v>
      </c>
      <c r="F731">
        <v>1199</v>
      </c>
      <c r="G731">
        <v>1110</v>
      </c>
      <c r="H731">
        <v>1288</v>
      </c>
      <c r="I731">
        <v>1404</v>
      </c>
    </row>
    <row r="732" spans="1:9">
      <c r="A732">
        <v>2017</v>
      </c>
      <c r="B732">
        <v>1</v>
      </c>
      <c r="C732" s="2">
        <v>42743</v>
      </c>
      <c r="D732" s="1" t="s">
        <v>444</v>
      </c>
      <c r="E732">
        <v>170</v>
      </c>
      <c r="F732">
        <v>176</v>
      </c>
      <c r="G732">
        <v>142</v>
      </c>
      <c r="H732">
        <v>210</v>
      </c>
    </row>
    <row r="733" spans="1:9">
      <c r="A733">
        <v>2017</v>
      </c>
      <c r="B733">
        <v>2</v>
      </c>
      <c r="C733" s="2">
        <v>42750</v>
      </c>
      <c r="D733" s="1" t="s">
        <v>444</v>
      </c>
      <c r="E733">
        <v>181</v>
      </c>
      <c r="F733">
        <v>176</v>
      </c>
      <c r="G733">
        <v>142</v>
      </c>
      <c r="H733">
        <v>210</v>
      </c>
    </row>
    <row r="734" spans="1:9">
      <c r="A734">
        <v>2017</v>
      </c>
      <c r="B734">
        <v>3</v>
      </c>
      <c r="C734" s="2">
        <v>42757</v>
      </c>
      <c r="D734" s="1" t="s">
        <v>444</v>
      </c>
      <c r="E734">
        <v>189</v>
      </c>
      <c r="F734">
        <v>176</v>
      </c>
      <c r="G734">
        <v>142</v>
      </c>
      <c r="H734">
        <v>211</v>
      </c>
    </row>
    <row r="735" spans="1:9">
      <c r="A735">
        <v>2017</v>
      </c>
      <c r="B735">
        <v>4</v>
      </c>
      <c r="C735" s="2">
        <v>42764</v>
      </c>
      <c r="D735" s="1" t="s">
        <v>444</v>
      </c>
      <c r="E735">
        <v>170</v>
      </c>
      <c r="F735">
        <v>177</v>
      </c>
      <c r="G735">
        <v>142</v>
      </c>
      <c r="H735">
        <v>211</v>
      </c>
    </row>
    <row r="736" spans="1:9">
      <c r="A736">
        <v>2017</v>
      </c>
      <c r="B736">
        <v>5</v>
      </c>
      <c r="C736" s="2">
        <v>42771</v>
      </c>
      <c r="D736" s="1" t="s">
        <v>444</v>
      </c>
      <c r="E736">
        <v>181</v>
      </c>
      <c r="F736">
        <v>177</v>
      </c>
      <c r="G736">
        <v>142</v>
      </c>
      <c r="H736">
        <v>211</v>
      </c>
    </row>
    <row r="737" spans="1:8">
      <c r="A737">
        <v>2017</v>
      </c>
      <c r="B737">
        <v>6</v>
      </c>
      <c r="C737" s="2">
        <v>42778</v>
      </c>
      <c r="D737" s="1" t="s">
        <v>444</v>
      </c>
      <c r="E737">
        <v>180</v>
      </c>
      <c r="F737">
        <v>177</v>
      </c>
      <c r="G737">
        <v>142</v>
      </c>
      <c r="H737">
        <v>211</v>
      </c>
    </row>
    <row r="738" spans="1:8">
      <c r="A738">
        <v>2017</v>
      </c>
      <c r="B738">
        <v>7</v>
      </c>
      <c r="C738" s="2">
        <v>42785</v>
      </c>
      <c r="D738" s="1" t="s">
        <v>444</v>
      </c>
      <c r="E738">
        <v>174</v>
      </c>
      <c r="F738">
        <v>176</v>
      </c>
      <c r="G738">
        <v>142</v>
      </c>
      <c r="H738">
        <v>211</v>
      </c>
    </row>
    <row r="739" spans="1:8">
      <c r="A739">
        <v>2017</v>
      </c>
      <c r="B739">
        <v>8</v>
      </c>
      <c r="C739" s="2">
        <v>42792</v>
      </c>
      <c r="D739" s="1" t="s">
        <v>444</v>
      </c>
      <c r="E739">
        <v>176</v>
      </c>
      <c r="F739">
        <v>176</v>
      </c>
      <c r="G739">
        <v>142</v>
      </c>
      <c r="H739">
        <v>210</v>
      </c>
    </row>
    <row r="740" spans="1:8">
      <c r="A740">
        <v>2017</v>
      </c>
      <c r="B740">
        <v>9</v>
      </c>
      <c r="C740" s="2">
        <v>42799</v>
      </c>
      <c r="D740" s="1" t="s">
        <v>444</v>
      </c>
      <c r="E740">
        <v>171</v>
      </c>
      <c r="F740">
        <v>175</v>
      </c>
      <c r="G740">
        <v>141</v>
      </c>
      <c r="H740">
        <v>210</v>
      </c>
    </row>
    <row r="741" spans="1:8">
      <c r="A741">
        <v>2017</v>
      </c>
      <c r="B741">
        <v>10</v>
      </c>
      <c r="C741" s="2">
        <v>42806</v>
      </c>
      <c r="D741" s="1" t="s">
        <v>444</v>
      </c>
      <c r="E741">
        <v>194</v>
      </c>
      <c r="F741">
        <v>174</v>
      </c>
      <c r="G741">
        <v>140</v>
      </c>
      <c r="H741">
        <v>208</v>
      </c>
    </row>
    <row r="742" spans="1:8">
      <c r="A742">
        <v>2017</v>
      </c>
      <c r="B742">
        <v>11</v>
      </c>
      <c r="C742" s="2">
        <v>42813</v>
      </c>
      <c r="D742" s="1" t="s">
        <v>444</v>
      </c>
      <c r="E742">
        <v>169</v>
      </c>
      <c r="F742">
        <v>172</v>
      </c>
      <c r="G742">
        <v>139</v>
      </c>
      <c r="H742">
        <v>206</v>
      </c>
    </row>
    <row r="743" spans="1:8">
      <c r="A743">
        <v>2017</v>
      </c>
      <c r="B743">
        <v>12</v>
      </c>
      <c r="C743" s="2">
        <v>42820</v>
      </c>
      <c r="D743" s="1" t="s">
        <v>444</v>
      </c>
      <c r="E743">
        <v>174</v>
      </c>
      <c r="F743">
        <v>171</v>
      </c>
      <c r="G743">
        <v>137</v>
      </c>
      <c r="H743">
        <v>204</v>
      </c>
    </row>
    <row r="744" spans="1:8">
      <c r="A744">
        <v>2017</v>
      </c>
      <c r="B744">
        <v>13</v>
      </c>
      <c r="C744" s="2">
        <v>42827</v>
      </c>
      <c r="D744" s="1" t="s">
        <v>444</v>
      </c>
      <c r="E744">
        <v>169</v>
      </c>
      <c r="F744">
        <v>169</v>
      </c>
      <c r="G744">
        <v>135</v>
      </c>
      <c r="H744">
        <v>202</v>
      </c>
    </row>
    <row r="745" spans="1:8">
      <c r="A745">
        <v>2017</v>
      </c>
      <c r="B745">
        <v>14</v>
      </c>
      <c r="C745" s="2">
        <v>42834</v>
      </c>
      <c r="D745" s="1" t="s">
        <v>444</v>
      </c>
      <c r="E745">
        <v>169</v>
      </c>
      <c r="F745">
        <v>167</v>
      </c>
      <c r="G745">
        <v>134</v>
      </c>
      <c r="H745">
        <v>200</v>
      </c>
    </row>
    <row r="746" spans="1:8">
      <c r="A746">
        <v>2017</v>
      </c>
      <c r="B746">
        <v>15</v>
      </c>
      <c r="C746" s="2">
        <v>42841</v>
      </c>
      <c r="D746" s="1" t="s">
        <v>444</v>
      </c>
      <c r="E746">
        <v>163</v>
      </c>
      <c r="F746">
        <v>166</v>
      </c>
      <c r="G746">
        <v>133</v>
      </c>
      <c r="H746">
        <v>199</v>
      </c>
    </row>
    <row r="747" spans="1:8">
      <c r="A747">
        <v>2017</v>
      </c>
      <c r="B747">
        <v>16</v>
      </c>
      <c r="C747" s="2">
        <v>42848</v>
      </c>
      <c r="D747" s="1" t="s">
        <v>444</v>
      </c>
      <c r="E747">
        <v>159</v>
      </c>
      <c r="F747">
        <v>165</v>
      </c>
      <c r="G747">
        <v>132</v>
      </c>
      <c r="H747">
        <v>198</v>
      </c>
    </row>
    <row r="748" spans="1:8">
      <c r="A748">
        <v>2017</v>
      </c>
      <c r="B748">
        <v>17</v>
      </c>
      <c r="C748" s="2">
        <v>42855</v>
      </c>
      <c r="D748" s="1" t="s">
        <v>444</v>
      </c>
      <c r="E748">
        <v>159</v>
      </c>
      <c r="F748">
        <v>164</v>
      </c>
      <c r="G748">
        <v>131</v>
      </c>
      <c r="H748">
        <v>197</v>
      </c>
    </row>
    <row r="749" spans="1:8">
      <c r="A749">
        <v>2017</v>
      </c>
      <c r="B749">
        <v>18</v>
      </c>
      <c r="C749" s="2">
        <v>42862</v>
      </c>
      <c r="D749" s="1" t="s">
        <v>444</v>
      </c>
      <c r="E749">
        <v>162</v>
      </c>
      <c r="F749">
        <v>163</v>
      </c>
      <c r="G749">
        <v>130</v>
      </c>
      <c r="H749">
        <v>196</v>
      </c>
    </row>
    <row r="750" spans="1:8">
      <c r="A750">
        <v>2017</v>
      </c>
      <c r="B750">
        <v>19</v>
      </c>
      <c r="C750" s="2">
        <v>42869</v>
      </c>
      <c r="D750" s="1" t="s">
        <v>444</v>
      </c>
      <c r="E750">
        <v>164</v>
      </c>
      <c r="F750">
        <v>162</v>
      </c>
      <c r="G750">
        <v>130</v>
      </c>
      <c r="H750">
        <v>195</v>
      </c>
    </row>
    <row r="751" spans="1:8">
      <c r="A751">
        <v>2017</v>
      </c>
      <c r="B751">
        <v>20</v>
      </c>
      <c r="C751" s="2">
        <v>42876</v>
      </c>
      <c r="D751" s="1" t="s">
        <v>444</v>
      </c>
      <c r="E751">
        <v>169</v>
      </c>
      <c r="F751">
        <v>162</v>
      </c>
      <c r="G751">
        <v>129</v>
      </c>
      <c r="H751">
        <v>195</v>
      </c>
    </row>
    <row r="752" spans="1:8">
      <c r="A752">
        <v>2017</v>
      </c>
      <c r="B752">
        <v>21</v>
      </c>
      <c r="C752" s="2">
        <v>42883</v>
      </c>
      <c r="D752" s="1" t="s">
        <v>444</v>
      </c>
      <c r="E752">
        <v>159</v>
      </c>
      <c r="F752">
        <v>162</v>
      </c>
      <c r="G752">
        <v>129</v>
      </c>
      <c r="H752">
        <v>194</v>
      </c>
    </row>
    <row r="753" spans="1:9">
      <c r="A753">
        <v>2017</v>
      </c>
      <c r="B753">
        <v>22</v>
      </c>
      <c r="C753" s="2">
        <v>42890</v>
      </c>
      <c r="D753" s="1" t="s">
        <v>444</v>
      </c>
      <c r="E753">
        <v>159</v>
      </c>
      <c r="F753">
        <v>162</v>
      </c>
      <c r="G753">
        <v>129</v>
      </c>
      <c r="H753">
        <v>194</v>
      </c>
    </row>
    <row r="754" spans="1:9">
      <c r="A754">
        <v>2017</v>
      </c>
      <c r="B754">
        <v>23</v>
      </c>
      <c r="C754" s="2">
        <v>42897</v>
      </c>
      <c r="D754" s="1" t="s">
        <v>444</v>
      </c>
      <c r="E754">
        <v>175</v>
      </c>
      <c r="F754">
        <v>162</v>
      </c>
      <c r="G754">
        <v>129</v>
      </c>
      <c r="H754">
        <v>194</v>
      </c>
    </row>
    <row r="755" spans="1:9">
      <c r="A755">
        <v>2017</v>
      </c>
      <c r="B755">
        <v>24</v>
      </c>
      <c r="C755" s="2">
        <v>42904</v>
      </c>
      <c r="D755" s="1" t="s">
        <v>444</v>
      </c>
      <c r="E755">
        <v>149</v>
      </c>
      <c r="F755">
        <v>162</v>
      </c>
      <c r="G755">
        <v>129</v>
      </c>
      <c r="H755">
        <v>194</v>
      </c>
    </row>
    <row r="756" spans="1:9">
      <c r="A756">
        <v>2017</v>
      </c>
      <c r="B756">
        <v>25</v>
      </c>
      <c r="C756" s="2">
        <v>42911</v>
      </c>
      <c r="D756" s="1" t="s">
        <v>444</v>
      </c>
      <c r="E756">
        <v>154</v>
      </c>
      <c r="F756">
        <v>161</v>
      </c>
      <c r="G756">
        <v>129</v>
      </c>
      <c r="H756">
        <v>194</v>
      </c>
    </row>
    <row r="757" spans="1:9">
      <c r="A757">
        <v>2017</v>
      </c>
      <c r="B757">
        <v>26</v>
      </c>
      <c r="C757" s="2">
        <v>42918</v>
      </c>
      <c r="D757" s="1" t="s">
        <v>444</v>
      </c>
      <c r="E757">
        <v>166</v>
      </c>
      <c r="F757">
        <v>161</v>
      </c>
      <c r="G757">
        <v>128</v>
      </c>
      <c r="H757">
        <v>194</v>
      </c>
    </row>
    <row r="758" spans="1:9">
      <c r="A758">
        <v>2017</v>
      </c>
      <c r="B758">
        <v>27</v>
      </c>
      <c r="C758" s="2">
        <v>42925</v>
      </c>
      <c r="D758" s="1" t="s">
        <v>444</v>
      </c>
      <c r="E758">
        <v>146</v>
      </c>
      <c r="F758">
        <v>161</v>
      </c>
      <c r="G758">
        <v>128</v>
      </c>
      <c r="H758">
        <v>194</v>
      </c>
    </row>
    <row r="759" spans="1:9">
      <c r="A759">
        <v>2017</v>
      </c>
      <c r="B759">
        <v>28</v>
      </c>
      <c r="C759" s="2">
        <v>42932</v>
      </c>
      <c r="D759" s="1" t="s">
        <v>444</v>
      </c>
      <c r="E759">
        <v>150</v>
      </c>
      <c r="F759">
        <v>161</v>
      </c>
      <c r="G759">
        <v>128</v>
      </c>
      <c r="H759">
        <v>194</v>
      </c>
    </row>
    <row r="760" spans="1:9">
      <c r="A760">
        <v>2017</v>
      </c>
      <c r="B760">
        <v>29</v>
      </c>
      <c r="C760" s="2">
        <v>42939</v>
      </c>
      <c r="D760" s="1" t="s">
        <v>444</v>
      </c>
      <c r="E760">
        <v>167</v>
      </c>
      <c r="F760">
        <v>161</v>
      </c>
      <c r="G760">
        <v>128</v>
      </c>
      <c r="H760">
        <v>194</v>
      </c>
    </row>
    <row r="761" spans="1:9">
      <c r="A761">
        <v>2017</v>
      </c>
      <c r="B761">
        <v>30</v>
      </c>
      <c r="C761" s="2">
        <v>42946</v>
      </c>
      <c r="D761" s="1" t="s">
        <v>444</v>
      </c>
      <c r="E761">
        <v>153</v>
      </c>
      <c r="F761">
        <v>161</v>
      </c>
      <c r="G761">
        <v>128</v>
      </c>
      <c r="H761">
        <v>193</v>
      </c>
    </row>
    <row r="762" spans="1:9">
      <c r="A762">
        <v>2017</v>
      </c>
      <c r="B762">
        <v>31</v>
      </c>
      <c r="C762" s="2">
        <v>42953</v>
      </c>
      <c r="D762" s="1" t="s">
        <v>444</v>
      </c>
      <c r="E762">
        <v>170</v>
      </c>
      <c r="F762">
        <v>161</v>
      </c>
      <c r="G762">
        <v>128</v>
      </c>
      <c r="H762">
        <v>193</v>
      </c>
    </row>
    <row r="763" spans="1:9">
      <c r="A763">
        <v>2017</v>
      </c>
      <c r="B763">
        <v>32</v>
      </c>
      <c r="C763" s="2">
        <v>42960</v>
      </c>
      <c r="D763" s="1" t="s">
        <v>444</v>
      </c>
      <c r="E763">
        <v>141</v>
      </c>
      <c r="F763">
        <v>161</v>
      </c>
      <c r="G763">
        <v>128</v>
      </c>
      <c r="H763">
        <v>193</v>
      </c>
    </row>
    <row r="764" spans="1:9">
      <c r="A764">
        <v>2017</v>
      </c>
      <c r="B764">
        <v>33</v>
      </c>
      <c r="C764" s="2">
        <v>42967</v>
      </c>
      <c r="D764" s="1" t="s">
        <v>444</v>
      </c>
      <c r="E764">
        <v>139</v>
      </c>
      <c r="F764">
        <v>161</v>
      </c>
      <c r="G764">
        <v>128</v>
      </c>
      <c r="H764">
        <v>193</v>
      </c>
    </row>
    <row r="765" spans="1:9">
      <c r="A765">
        <v>2017</v>
      </c>
      <c r="B765">
        <v>34</v>
      </c>
      <c r="C765" s="2">
        <v>42974</v>
      </c>
      <c r="D765" s="1" t="s">
        <v>444</v>
      </c>
      <c r="E765">
        <v>201</v>
      </c>
      <c r="F765">
        <v>161</v>
      </c>
      <c r="G765">
        <v>128</v>
      </c>
      <c r="H765">
        <v>194</v>
      </c>
      <c r="I765">
        <v>201</v>
      </c>
    </row>
    <row r="766" spans="1:9">
      <c r="A766">
        <v>2017</v>
      </c>
      <c r="B766">
        <v>35</v>
      </c>
      <c r="C766" s="2">
        <v>42981</v>
      </c>
      <c r="D766" s="1" t="s">
        <v>444</v>
      </c>
      <c r="E766">
        <v>166</v>
      </c>
      <c r="F766">
        <v>161</v>
      </c>
      <c r="G766">
        <v>129</v>
      </c>
      <c r="H766">
        <v>194</v>
      </c>
    </row>
    <row r="767" spans="1:9">
      <c r="A767">
        <v>2017</v>
      </c>
      <c r="B767">
        <v>36</v>
      </c>
      <c r="C767" s="2">
        <v>42988</v>
      </c>
      <c r="D767" s="1" t="s">
        <v>444</v>
      </c>
      <c r="E767">
        <v>177</v>
      </c>
      <c r="F767">
        <v>162</v>
      </c>
      <c r="G767">
        <v>129</v>
      </c>
      <c r="H767">
        <v>195</v>
      </c>
    </row>
    <row r="768" spans="1:9">
      <c r="A768">
        <v>2017</v>
      </c>
      <c r="B768">
        <v>37</v>
      </c>
      <c r="C768" s="2">
        <v>42995</v>
      </c>
      <c r="D768" s="1" t="s">
        <v>444</v>
      </c>
      <c r="E768">
        <v>184</v>
      </c>
      <c r="F768">
        <v>162</v>
      </c>
      <c r="G768">
        <v>129</v>
      </c>
      <c r="H768">
        <v>195</v>
      </c>
    </row>
    <row r="769" spans="1:9">
      <c r="A769">
        <v>2017</v>
      </c>
      <c r="B769">
        <v>38</v>
      </c>
      <c r="C769" s="2">
        <v>43002</v>
      </c>
      <c r="D769" s="1" t="s">
        <v>444</v>
      </c>
      <c r="E769">
        <v>186</v>
      </c>
      <c r="F769">
        <v>163</v>
      </c>
      <c r="G769">
        <v>130</v>
      </c>
      <c r="H769">
        <v>195</v>
      </c>
    </row>
    <row r="770" spans="1:9">
      <c r="A770">
        <v>2017</v>
      </c>
      <c r="B770">
        <v>39</v>
      </c>
      <c r="C770" s="2">
        <v>43009</v>
      </c>
      <c r="D770" s="1" t="s">
        <v>444</v>
      </c>
      <c r="E770">
        <v>166</v>
      </c>
      <c r="F770">
        <v>163</v>
      </c>
      <c r="G770">
        <v>130</v>
      </c>
      <c r="H770">
        <v>196</v>
      </c>
    </row>
    <row r="771" spans="1:9">
      <c r="A771">
        <v>2017</v>
      </c>
      <c r="B771">
        <v>40</v>
      </c>
      <c r="C771" s="2">
        <v>43016</v>
      </c>
      <c r="D771" s="1" t="s">
        <v>444</v>
      </c>
      <c r="E771">
        <v>171</v>
      </c>
      <c r="F771">
        <v>163</v>
      </c>
      <c r="G771">
        <v>130</v>
      </c>
      <c r="H771">
        <v>196</v>
      </c>
    </row>
    <row r="772" spans="1:9">
      <c r="A772">
        <v>2017</v>
      </c>
      <c r="B772">
        <v>41</v>
      </c>
      <c r="C772" s="2">
        <v>43023</v>
      </c>
      <c r="D772" s="1" t="s">
        <v>444</v>
      </c>
      <c r="E772">
        <v>170</v>
      </c>
      <c r="F772">
        <v>163</v>
      </c>
      <c r="G772">
        <v>130</v>
      </c>
      <c r="H772">
        <v>196</v>
      </c>
    </row>
    <row r="773" spans="1:9">
      <c r="A773">
        <v>2017</v>
      </c>
      <c r="B773">
        <v>42</v>
      </c>
      <c r="C773" s="2">
        <v>43030</v>
      </c>
      <c r="D773" s="1" t="s">
        <v>444</v>
      </c>
      <c r="E773">
        <v>165</v>
      </c>
      <c r="F773">
        <v>164</v>
      </c>
      <c r="G773">
        <v>131</v>
      </c>
      <c r="H773">
        <v>196</v>
      </c>
    </row>
    <row r="774" spans="1:9">
      <c r="A774">
        <v>2017</v>
      </c>
      <c r="B774">
        <v>43</v>
      </c>
      <c r="C774" s="2">
        <v>43037</v>
      </c>
      <c r="D774" s="1" t="s">
        <v>444</v>
      </c>
      <c r="E774">
        <v>151</v>
      </c>
      <c r="F774">
        <v>164</v>
      </c>
      <c r="G774">
        <v>131</v>
      </c>
      <c r="H774">
        <v>197</v>
      </c>
    </row>
    <row r="775" spans="1:9">
      <c r="A775">
        <v>2017</v>
      </c>
      <c r="B775">
        <v>44</v>
      </c>
      <c r="C775" s="2">
        <v>43044</v>
      </c>
      <c r="D775" s="1" t="s">
        <v>444</v>
      </c>
      <c r="E775">
        <v>176</v>
      </c>
      <c r="F775">
        <v>164</v>
      </c>
      <c r="G775">
        <v>131</v>
      </c>
      <c r="H775">
        <v>197</v>
      </c>
    </row>
    <row r="776" spans="1:9">
      <c r="A776">
        <v>2017</v>
      </c>
      <c r="B776">
        <v>45</v>
      </c>
      <c r="C776" s="2">
        <v>43051</v>
      </c>
      <c r="D776" s="1" t="s">
        <v>444</v>
      </c>
      <c r="E776">
        <v>198</v>
      </c>
      <c r="F776">
        <v>164</v>
      </c>
      <c r="G776">
        <v>131</v>
      </c>
      <c r="H776">
        <v>197</v>
      </c>
      <c r="I776">
        <v>198</v>
      </c>
    </row>
    <row r="777" spans="1:9">
      <c r="A777">
        <v>2017</v>
      </c>
      <c r="B777">
        <v>46</v>
      </c>
      <c r="C777" s="2">
        <v>43058</v>
      </c>
      <c r="D777" s="1" t="s">
        <v>444</v>
      </c>
      <c r="E777">
        <v>180</v>
      </c>
      <c r="F777">
        <v>165</v>
      </c>
      <c r="G777">
        <v>132</v>
      </c>
      <c r="H777">
        <v>198</v>
      </c>
    </row>
    <row r="778" spans="1:9">
      <c r="A778">
        <v>2017</v>
      </c>
      <c r="B778">
        <v>47</v>
      </c>
      <c r="C778" s="2">
        <v>43065</v>
      </c>
      <c r="D778" s="1" t="s">
        <v>444</v>
      </c>
      <c r="E778">
        <v>161</v>
      </c>
      <c r="F778">
        <v>166</v>
      </c>
      <c r="G778">
        <v>133</v>
      </c>
      <c r="H778">
        <v>199</v>
      </c>
    </row>
    <row r="779" spans="1:9">
      <c r="A779">
        <v>2017</v>
      </c>
      <c r="B779">
        <v>48</v>
      </c>
      <c r="C779" s="2">
        <v>43072</v>
      </c>
      <c r="D779" s="1" t="s">
        <v>444</v>
      </c>
      <c r="E779">
        <v>188</v>
      </c>
      <c r="F779">
        <v>167</v>
      </c>
      <c r="G779">
        <v>134</v>
      </c>
      <c r="H779">
        <v>200</v>
      </c>
    </row>
    <row r="780" spans="1:9">
      <c r="A780">
        <v>2017</v>
      </c>
      <c r="B780">
        <v>49</v>
      </c>
      <c r="C780" s="2">
        <v>43079</v>
      </c>
      <c r="D780" s="1" t="s">
        <v>444</v>
      </c>
      <c r="E780">
        <v>166</v>
      </c>
      <c r="F780">
        <v>168</v>
      </c>
      <c r="G780">
        <v>135</v>
      </c>
      <c r="H780">
        <v>201</v>
      </c>
    </row>
    <row r="781" spans="1:9">
      <c r="A781">
        <v>2017</v>
      </c>
      <c r="B781">
        <v>50</v>
      </c>
      <c r="C781" s="2">
        <v>43086</v>
      </c>
      <c r="D781" s="1" t="s">
        <v>444</v>
      </c>
      <c r="E781">
        <v>164</v>
      </c>
      <c r="F781">
        <v>169</v>
      </c>
      <c r="G781">
        <v>136</v>
      </c>
      <c r="H781">
        <v>203</v>
      </c>
    </row>
    <row r="782" spans="1:9">
      <c r="A782">
        <v>2017</v>
      </c>
      <c r="B782">
        <v>51</v>
      </c>
      <c r="C782" s="2">
        <v>43093</v>
      </c>
      <c r="D782" s="1" t="s">
        <v>444</v>
      </c>
      <c r="E782">
        <v>156</v>
      </c>
      <c r="F782">
        <v>170</v>
      </c>
      <c r="G782">
        <v>137</v>
      </c>
      <c r="H782">
        <v>204</v>
      </c>
    </row>
    <row r="783" spans="1:9">
      <c r="A783">
        <v>2017</v>
      </c>
      <c r="B783">
        <v>52</v>
      </c>
      <c r="C783" s="2">
        <v>43100</v>
      </c>
      <c r="D783" s="1" t="s">
        <v>444</v>
      </c>
      <c r="E783">
        <v>171</v>
      </c>
      <c r="F783">
        <v>171</v>
      </c>
      <c r="G783">
        <v>138</v>
      </c>
      <c r="H783">
        <v>205</v>
      </c>
    </row>
    <row r="784" spans="1:9">
      <c r="A784">
        <v>2017</v>
      </c>
      <c r="B784">
        <v>1</v>
      </c>
      <c r="C784" s="2">
        <v>42743</v>
      </c>
      <c r="D784" s="1" t="s">
        <v>445</v>
      </c>
      <c r="E784">
        <v>1499</v>
      </c>
      <c r="F784">
        <v>1228</v>
      </c>
      <c r="G784">
        <v>1138</v>
      </c>
      <c r="H784">
        <v>1318</v>
      </c>
      <c r="I784">
        <v>1499</v>
      </c>
    </row>
    <row r="785" spans="1:9">
      <c r="A785">
        <v>2017</v>
      </c>
      <c r="B785">
        <v>2</v>
      </c>
      <c r="C785" s="2">
        <v>42750</v>
      </c>
      <c r="D785" s="1" t="s">
        <v>445</v>
      </c>
      <c r="E785">
        <v>1537</v>
      </c>
      <c r="F785">
        <v>1228</v>
      </c>
      <c r="G785">
        <v>1138</v>
      </c>
      <c r="H785">
        <v>1319</v>
      </c>
      <c r="I785">
        <v>1537</v>
      </c>
    </row>
    <row r="786" spans="1:9">
      <c r="A786">
        <v>2017</v>
      </c>
      <c r="B786">
        <v>3</v>
      </c>
      <c r="C786" s="2">
        <v>42757</v>
      </c>
      <c r="D786" s="1" t="s">
        <v>445</v>
      </c>
      <c r="E786">
        <v>1549</v>
      </c>
      <c r="F786">
        <v>1229</v>
      </c>
      <c r="G786">
        <v>1138</v>
      </c>
      <c r="H786">
        <v>1319</v>
      </c>
      <c r="I786">
        <v>1549</v>
      </c>
    </row>
    <row r="787" spans="1:9">
      <c r="A787">
        <v>2017</v>
      </c>
      <c r="B787">
        <v>4</v>
      </c>
      <c r="C787" s="2">
        <v>42764</v>
      </c>
      <c r="D787" s="1" t="s">
        <v>445</v>
      </c>
      <c r="E787">
        <v>1472</v>
      </c>
      <c r="F787">
        <v>1229</v>
      </c>
      <c r="G787">
        <v>1139</v>
      </c>
      <c r="H787">
        <v>1319</v>
      </c>
      <c r="I787">
        <v>1472</v>
      </c>
    </row>
    <row r="788" spans="1:9">
      <c r="A788">
        <v>2017</v>
      </c>
      <c r="B788">
        <v>5</v>
      </c>
      <c r="C788" s="2">
        <v>42771</v>
      </c>
      <c r="D788" s="1" t="s">
        <v>445</v>
      </c>
      <c r="E788">
        <v>1377</v>
      </c>
      <c r="F788">
        <v>1229</v>
      </c>
      <c r="G788">
        <v>1138</v>
      </c>
      <c r="H788">
        <v>1319</v>
      </c>
      <c r="I788">
        <v>1377</v>
      </c>
    </row>
    <row r="789" spans="1:9">
      <c r="A789">
        <v>2017</v>
      </c>
      <c r="B789">
        <v>6</v>
      </c>
      <c r="C789" s="2">
        <v>42778</v>
      </c>
      <c r="D789" s="1" t="s">
        <v>445</v>
      </c>
      <c r="E789">
        <v>1405</v>
      </c>
      <c r="F789">
        <v>1228</v>
      </c>
      <c r="G789">
        <v>1138</v>
      </c>
      <c r="H789">
        <v>1319</v>
      </c>
      <c r="I789">
        <v>1405</v>
      </c>
    </row>
    <row r="790" spans="1:9">
      <c r="A790">
        <v>2017</v>
      </c>
      <c r="B790">
        <v>7</v>
      </c>
      <c r="C790" s="2">
        <v>42785</v>
      </c>
      <c r="D790" s="1" t="s">
        <v>445</v>
      </c>
      <c r="E790">
        <v>1222</v>
      </c>
      <c r="F790">
        <v>1228</v>
      </c>
      <c r="G790">
        <v>1138</v>
      </c>
      <c r="H790">
        <v>1318</v>
      </c>
    </row>
    <row r="791" spans="1:9">
      <c r="A791">
        <v>2017</v>
      </c>
      <c r="B791">
        <v>8</v>
      </c>
      <c r="C791" s="2">
        <v>42792</v>
      </c>
      <c r="D791" s="1" t="s">
        <v>445</v>
      </c>
      <c r="E791">
        <v>1199</v>
      </c>
      <c r="F791">
        <v>1220</v>
      </c>
      <c r="G791">
        <v>1130</v>
      </c>
      <c r="H791">
        <v>1310</v>
      </c>
    </row>
    <row r="792" spans="1:9">
      <c r="A792">
        <v>2017</v>
      </c>
      <c r="B792">
        <v>9</v>
      </c>
      <c r="C792" s="2">
        <v>42799</v>
      </c>
      <c r="D792" s="1" t="s">
        <v>445</v>
      </c>
      <c r="E792">
        <v>1204</v>
      </c>
      <c r="F792">
        <v>1213</v>
      </c>
      <c r="G792">
        <v>1123</v>
      </c>
      <c r="H792">
        <v>1302</v>
      </c>
    </row>
    <row r="793" spans="1:9">
      <c r="A793">
        <v>2017</v>
      </c>
      <c r="B793">
        <v>10</v>
      </c>
      <c r="C793" s="2">
        <v>42806</v>
      </c>
      <c r="D793" s="1" t="s">
        <v>445</v>
      </c>
      <c r="E793">
        <v>1136</v>
      </c>
      <c r="F793">
        <v>1199</v>
      </c>
      <c r="G793">
        <v>1110</v>
      </c>
      <c r="H793">
        <v>1288</v>
      </c>
    </row>
    <row r="794" spans="1:9">
      <c r="A794">
        <v>2017</v>
      </c>
      <c r="B794">
        <v>11</v>
      </c>
      <c r="C794" s="2">
        <v>42813</v>
      </c>
      <c r="D794" s="1" t="s">
        <v>445</v>
      </c>
      <c r="E794">
        <v>1070</v>
      </c>
      <c r="F794">
        <v>1185</v>
      </c>
      <c r="G794">
        <v>1096</v>
      </c>
      <c r="H794">
        <v>1274</v>
      </c>
    </row>
    <row r="795" spans="1:9">
      <c r="A795">
        <v>2017</v>
      </c>
      <c r="B795">
        <v>12</v>
      </c>
      <c r="C795" s="2">
        <v>42820</v>
      </c>
      <c r="D795" s="1" t="s">
        <v>445</v>
      </c>
      <c r="E795">
        <v>1061</v>
      </c>
      <c r="F795">
        <v>1165</v>
      </c>
      <c r="G795">
        <v>1077</v>
      </c>
      <c r="H795">
        <v>1253</v>
      </c>
    </row>
    <row r="796" spans="1:9">
      <c r="A796">
        <v>2017</v>
      </c>
      <c r="B796">
        <v>13</v>
      </c>
      <c r="C796" s="2">
        <v>42827</v>
      </c>
      <c r="D796" s="1" t="s">
        <v>445</v>
      </c>
      <c r="E796">
        <v>1002</v>
      </c>
      <c r="F796">
        <v>1146</v>
      </c>
      <c r="G796">
        <v>1058</v>
      </c>
      <c r="H796">
        <v>1233</v>
      </c>
    </row>
    <row r="797" spans="1:9">
      <c r="A797">
        <v>2017</v>
      </c>
      <c r="B797">
        <v>14</v>
      </c>
      <c r="C797" s="2">
        <v>42834</v>
      </c>
      <c r="D797" s="1" t="s">
        <v>445</v>
      </c>
      <c r="E797">
        <v>1055</v>
      </c>
      <c r="F797">
        <v>1125</v>
      </c>
      <c r="G797">
        <v>1039</v>
      </c>
      <c r="H797">
        <v>1212</v>
      </c>
    </row>
    <row r="798" spans="1:9">
      <c r="A798">
        <v>2017</v>
      </c>
      <c r="B798">
        <v>15</v>
      </c>
      <c r="C798" s="2">
        <v>42841</v>
      </c>
      <c r="D798" s="1" t="s">
        <v>445</v>
      </c>
      <c r="E798">
        <v>1022</v>
      </c>
      <c r="F798">
        <v>1107</v>
      </c>
      <c r="G798">
        <v>1021</v>
      </c>
      <c r="H798">
        <v>1193</v>
      </c>
    </row>
    <row r="799" spans="1:9">
      <c r="A799">
        <v>2017</v>
      </c>
      <c r="B799">
        <v>16</v>
      </c>
      <c r="C799" s="2">
        <v>42848</v>
      </c>
      <c r="D799" s="1" t="s">
        <v>445</v>
      </c>
      <c r="E799">
        <v>1005</v>
      </c>
      <c r="F799">
        <v>1089</v>
      </c>
      <c r="G799">
        <v>1004</v>
      </c>
      <c r="H799">
        <v>1174</v>
      </c>
    </row>
    <row r="800" spans="1:9">
      <c r="A800">
        <v>2017</v>
      </c>
      <c r="B800">
        <v>17</v>
      </c>
      <c r="C800" s="2">
        <v>42855</v>
      </c>
      <c r="D800" s="1" t="s">
        <v>445</v>
      </c>
      <c r="E800">
        <v>1052</v>
      </c>
      <c r="F800">
        <v>1072</v>
      </c>
      <c r="G800">
        <v>988</v>
      </c>
      <c r="H800">
        <v>1156</v>
      </c>
    </row>
    <row r="801" spans="1:8">
      <c r="A801">
        <v>2017</v>
      </c>
      <c r="B801">
        <v>18</v>
      </c>
      <c r="C801" s="2">
        <v>42862</v>
      </c>
      <c r="D801" s="1" t="s">
        <v>445</v>
      </c>
      <c r="E801">
        <v>1035</v>
      </c>
      <c r="F801">
        <v>1055</v>
      </c>
      <c r="G801">
        <v>972</v>
      </c>
      <c r="H801">
        <v>1139</v>
      </c>
    </row>
    <row r="802" spans="1:8">
      <c r="A802">
        <v>2017</v>
      </c>
      <c r="B802">
        <v>19</v>
      </c>
      <c r="C802" s="2">
        <v>42869</v>
      </c>
      <c r="D802" s="1" t="s">
        <v>445</v>
      </c>
      <c r="E802">
        <v>1023</v>
      </c>
      <c r="F802">
        <v>1041</v>
      </c>
      <c r="G802">
        <v>958</v>
      </c>
      <c r="H802">
        <v>1124</v>
      </c>
    </row>
    <row r="803" spans="1:8">
      <c r="A803">
        <v>2017</v>
      </c>
      <c r="B803">
        <v>20</v>
      </c>
      <c r="C803" s="2">
        <v>42876</v>
      </c>
      <c r="D803" s="1" t="s">
        <v>445</v>
      </c>
      <c r="E803">
        <v>1029</v>
      </c>
      <c r="F803">
        <v>1027</v>
      </c>
      <c r="G803">
        <v>944</v>
      </c>
      <c r="H803">
        <v>1109</v>
      </c>
    </row>
    <row r="804" spans="1:8">
      <c r="A804">
        <v>2017</v>
      </c>
      <c r="B804">
        <v>21</v>
      </c>
      <c r="C804" s="2">
        <v>42883</v>
      </c>
      <c r="D804" s="1" t="s">
        <v>445</v>
      </c>
      <c r="E804">
        <v>1012</v>
      </c>
      <c r="F804">
        <v>1017</v>
      </c>
      <c r="G804">
        <v>935</v>
      </c>
      <c r="H804">
        <v>1099</v>
      </c>
    </row>
    <row r="805" spans="1:8">
      <c r="A805">
        <v>2017</v>
      </c>
      <c r="B805">
        <v>22</v>
      </c>
      <c r="C805" s="2">
        <v>42890</v>
      </c>
      <c r="D805" s="1" t="s">
        <v>445</v>
      </c>
      <c r="E805">
        <v>951</v>
      </c>
      <c r="F805">
        <v>1011</v>
      </c>
      <c r="G805">
        <v>929</v>
      </c>
      <c r="H805">
        <v>1093</v>
      </c>
    </row>
    <row r="806" spans="1:8">
      <c r="A806">
        <v>2017</v>
      </c>
      <c r="B806">
        <v>23</v>
      </c>
      <c r="C806" s="2">
        <v>42897</v>
      </c>
      <c r="D806" s="1" t="s">
        <v>445</v>
      </c>
      <c r="E806">
        <v>920</v>
      </c>
      <c r="F806">
        <v>1005</v>
      </c>
      <c r="G806">
        <v>924</v>
      </c>
      <c r="H806">
        <v>1087</v>
      </c>
    </row>
    <row r="807" spans="1:8">
      <c r="A807">
        <v>2017</v>
      </c>
      <c r="B807">
        <v>24</v>
      </c>
      <c r="C807" s="2">
        <v>42904</v>
      </c>
      <c r="D807" s="1" t="s">
        <v>445</v>
      </c>
      <c r="E807">
        <v>960</v>
      </c>
      <c r="F807">
        <v>1002</v>
      </c>
      <c r="G807">
        <v>921</v>
      </c>
      <c r="H807">
        <v>1084</v>
      </c>
    </row>
    <row r="808" spans="1:8">
      <c r="A808">
        <v>2017</v>
      </c>
      <c r="B808">
        <v>25</v>
      </c>
      <c r="C808" s="2">
        <v>42911</v>
      </c>
      <c r="D808" s="1" t="s">
        <v>445</v>
      </c>
      <c r="E808">
        <v>1028</v>
      </c>
      <c r="F808">
        <v>1002</v>
      </c>
      <c r="G808">
        <v>921</v>
      </c>
      <c r="H808">
        <v>1084</v>
      </c>
    </row>
    <row r="809" spans="1:8">
      <c r="A809">
        <v>2017</v>
      </c>
      <c r="B809">
        <v>26</v>
      </c>
      <c r="C809" s="2">
        <v>42918</v>
      </c>
      <c r="D809" s="1" t="s">
        <v>445</v>
      </c>
      <c r="E809">
        <v>991</v>
      </c>
      <c r="F809">
        <v>1002</v>
      </c>
      <c r="G809">
        <v>920</v>
      </c>
      <c r="H809">
        <v>1083</v>
      </c>
    </row>
    <row r="810" spans="1:8">
      <c r="A810">
        <v>2017</v>
      </c>
      <c r="B810">
        <v>27</v>
      </c>
      <c r="C810" s="2">
        <v>42925</v>
      </c>
      <c r="D810" s="1" t="s">
        <v>445</v>
      </c>
      <c r="E810">
        <v>993</v>
      </c>
      <c r="F810">
        <v>1004</v>
      </c>
      <c r="G810">
        <v>922</v>
      </c>
      <c r="H810">
        <v>1086</v>
      </c>
    </row>
    <row r="811" spans="1:8">
      <c r="A811">
        <v>2017</v>
      </c>
      <c r="B811">
        <v>28</v>
      </c>
      <c r="C811" s="2">
        <v>42932</v>
      </c>
      <c r="D811" s="1" t="s">
        <v>445</v>
      </c>
      <c r="E811">
        <v>922</v>
      </c>
      <c r="F811">
        <v>1004</v>
      </c>
      <c r="G811">
        <v>923</v>
      </c>
      <c r="H811">
        <v>1086</v>
      </c>
    </row>
    <row r="812" spans="1:8">
      <c r="A812">
        <v>2017</v>
      </c>
      <c r="B812">
        <v>29</v>
      </c>
      <c r="C812" s="2">
        <v>42939</v>
      </c>
      <c r="D812" s="1" t="s">
        <v>445</v>
      </c>
      <c r="E812">
        <v>968</v>
      </c>
      <c r="F812">
        <v>1005</v>
      </c>
      <c r="G812">
        <v>923</v>
      </c>
      <c r="H812">
        <v>1087</v>
      </c>
    </row>
    <row r="813" spans="1:8">
      <c r="A813">
        <v>2017</v>
      </c>
      <c r="B813">
        <v>30</v>
      </c>
      <c r="C813" s="2">
        <v>42946</v>
      </c>
      <c r="D813" s="1" t="s">
        <v>445</v>
      </c>
      <c r="E813">
        <v>947</v>
      </c>
      <c r="F813">
        <v>1006</v>
      </c>
      <c r="G813">
        <v>924</v>
      </c>
      <c r="H813">
        <v>1088</v>
      </c>
    </row>
    <row r="814" spans="1:8">
      <c r="A814">
        <v>2017</v>
      </c>
      <c r="B814">
        <v>31</v>
      </c>
      <c r="C814" s="2">
        <v>42953</v>
      </c>
      <c r="D814" s="1" t="s">
        <v>445</v>
      </c>
      <c r="E814">
        <v>1011</v>
      </c>
      <c r="F814">
        <v>1007</v>
      </c>
      <c r="G814">
        <v>925</v>
      </c>
      <c r="H814">
        <v>1089</v>
      </c>
    </row>
    <row r="815" spans="1:8">
      <c r="A815">
        <v>2017</v>
      </c>
      <c r="B815">
        <v>32</v>
      </c>
      <c r="C815" s="2">
        <v>42960</v>
      </c>
      <c r="D815" s="1" t="s">
        <v>445</v>
      </c>
      <c r="E815">
        <v>944</v>
      </c>
      <c r="F815">
        <v>1009</v>
      </c>
      <c r="G815">
        <v>927</v>
      </c>
      <c r="H815">
        <v>1090</v>
      </c>
    </row>
    <row r="816" spans="1:8">
      <c r="A816">
        <v>2017</v>
      </c>
      <c r="B816">
        <v>33</v>
      </c>
      <c r="C816" s="2">
        <v>42967</v>
      </c>
      <c r="D816" s="1" t="s">
        <v>445</v>
      </c>
      <c r="E816">
        <v>972</v>
      </c>
      <c r="F816">
        <v>1011</v>
      </c>
      <c r="G816">
        <v>929</v>
      </c>
      <c r="H816">
        <v>1092</v>
      </c>
    </row>
    <row r="817" spans="1:8">
      <c r="A817">
        <v>2017</v>
      </c>
      <c r="B817">
        <v>34</v>
      </c>
      <c r="C817" s="2">
        <v>42974</v>
      </c>
      <c r="D817" s="1" t="s">
        <v>445</v>
      </c>
      <c r="E817">
        <v>990</v>
      </c>
      <c r="F817">
        <v>1012</v>
      </c>
      <c r="G817">
        <v>931</v>
      </c>
      <c r="H817">
        <v>1094</v>
      </c>
    </row>
    <row r="818" spans="1:8">
      <c r="A818">
        <v>2017</v>
      </c>
      <c r="B818">
        <v>35</v>
      </c>
      <c r="C818" s="2">
        <v>42981</v>
      </c>
      <c r="D818" s="1" t="s">
        <v>445</v>
      </c>
      <c r="E818">
        <v>984</v>
      </c>
      <c r="F818">
        <v>1018</v>
      </c>
      <c r="G818">
        <v>936</v>
      </c>
      <c r="H818">
        <v>1100</v>
      </c>
    </row>
    <row r="819" spans="1:8">
      <c r="A819">
        <v>2017</v>
      </c>
      <c r="B819">
        <v>36</v>
      </c>
      <c r="C819" s="2">
        <v>42988</v>
      </c>
      <c r="D819" s="1" t="s">
        <v>445</v>
      </c>
      <c r="E819">
        <v>960</v>
      </c>
      <c r="F819">
        <v>1023</v>
      </c>
      <c r="G819">
        <v>941</v>
      </c>
      <c r="H819">
        <v>1106</v>
      </c>
    </row>
    <row r="820" spans="1:8">
      <c r="A820">
        <v>2017</v>
      </c>
      <c r="B820">
        <v>37</v>
      </c>
      <c r="C820" s="2">
        <v>42995</v>
      </c>
      <c r="D820" s="1" t="s">
        <v>445</v>
      </c>
      <c r="E820">
        <v>989</v>
      </c>
      <c r="F820">
        <v>1031</v>
      </c>
      <c r="G820">
        <v>949</v>
      </c>
      <c r="H820">
        <v>1114</v>
      </c>
    </row>
    <row r="821" spans="1:8">
      <c r="A821">
        <v>2017</v>
      </c>
      <c r="B821">
        <v>38</v>
      </c>
      <c r="C821" s="2">
        <v>43002</v>
      </c>
      <c r="D821" s="1" t="s">
        <v>445</v>
      </c>
      <c r="E821">
        <v>1072</v>
      </c>
      <c r="F821">
        <v>1040</v>
      </c>
      <c r="G821">
        <v>957</v>
      </c>
      <c r="H821">
        <v>1123</v>
      </c>
    </row>
    <row r="822" spans="1:8">
      <c r="A822">
        <v>2017</v>
      </c>
      <c r="B822">
        <v>39</v>
      </c>
      <c r="C822" s="2">
        <v>43009</v>
      </c>
      <c r="D822" s="1" t="s">
        <v>445</v>
      </c>
      <c r="E822">
        <v>1059</v>
      </c>
      <c r="F822">
        <v>1049</v>
      </c>
      <c r="G822">
        <v>966</v>
      </c>
      <c r="H822">
        <v>1132</v>
      </c>
    </row>
    <row r="823" spans="1:8">
      <c r="A823">
        <v>2017</v>
      </c>
      <c r="B823">
        <v>40</v>
      </c>
      <c r="C823" s="2">
        <v>43016</v>
      </c>
      <c r="D823" s="1" t="s">
        <v>445</v>
      </c>
      <c r="E823">
        <v>1104</v>
      </c>
      <c r="F823">
        <v>1060</v>
      </c>
      <c r="G823">
        <v>976</v>
      </c>
      <c r="H823">
        <v>1143</v>
      </c>
    </row>
    <row r="824" spans="1:8">
      <c r="A824">
        <v>2017</v>
      </c>
      <c r="B824">
        <v>41</v>
      </c>
      <c r="C824" s="2">
        <v>43023</v>
      </c>
      <c r="D824" s="1" t="s">
        <v>445</v>
      </c>
      <c r="E824">
        <v>1087</v>
      </c>
      <c r="F824">
        <v>1069</v>
      </c>
      <c r="G824">
        <v>985</v>
      </c>
      <c r="H824">
        <v>1153</v>
      </c>
    </row>
    <row r="825" spans="1:8">
      <c r="A825">
        <v>2017</v>
      </c>
      <c r="B825">
        <v>42</v>
      </c>
      <c r="C825" s="2">
        <v>43030</v>
      </c>
      <c r="D825" s="1" t="s">
        <v>445</v>
      </c>
      <c r="E825">
        <v>1023</v>
      </c>
      <c r="F825">
        <v>1078</v>
      </c>
      <c r="G825">
        <v>993</v>
      </c>
      <c r="H825">
        <v>1162</v>
      </c>
    </row>
    <row r="826" spans="1:8">
      <c r="A826">
        <v>2017</v>
      </c>
      <c r="B826">
        <v>43</v>
      </c>
      <c r="C826" s="2">
        <v>43037</v>
      </c>
      <c r="D826" s="1" t="s">
        <v>445</v>
      </c>
      <c r="E826">
        <v>1050</v>
      </c>
      <c r="F826">
        <v>1086</v>
      </c>
      <c r="G826">
        <v>1001</v>
      </c>
      <c r="H826">
        <v>1171</v>
      </c>
    </row>
    <row r="827" spans="1:8">
      <c r="A827">
        <v>2017</v>
      </c>
      <c r="B827">
        <v>44</v>
      </c>
      <c r="C827" s="2">
        <v>43044</v>
      </c>
      <c r="D827" s="1" t="s">
        <v>445</v>
      </c>
      <c r="E827">
        <v>967</v>
      </c>
      <c r="F827">
        <v>1094</v>
      </c>
      <c r="G827">
        <v>1009</v>
      </c>
      <c r="H827">
        <v>1179</v>
      </c>
    </row>
    <row r="828" spans="1:8">
      <c r="A828">
        <v>2017</v>
      </c>
      <c r="B828">
        <v>45</v>
      </c>
      <c r="C828" s="2">
        <v>43051</v>
      </c>
      <c r="D828" s="1" t="s">
        <v>445</v>
      </c>
      <c r="E828">
        <v>1100</v>
      </c>
      <c r="F828">
        <v>1104</v>
      </c>
      <c r="G828">
        <v>1019</v>
      </c>
      <c r="H828">
        <v>1190</v>
      </c>
    </row>
    <row r="829" spans="1:8">
      <c r="A829">
        <v>2017</v>
      </c>
      <c r="B829">
        <v>46</v>
      </c>
      <c r="C829" s="2">
        <v>43058</v>
      </c>
      <c r="D829" s="1" t="s">
        <v>445</v>
      </c>
      <c r="E829">
        <v>1055</v>
      </c>
      <c r="F829">
        <v>1114</v>
      </c>
      <c r="G829">
        <v>1028</v>
      </c>
      <c r="H829">
        <v>1200</v>
      </c>
    </row>
    <row r="830" spans="1:8">
      <c r="A830">
        <v>2017</v>
      </c>
      <c r="B830">
        <v>47</v>
      </c>
      <c r="C830" s="2">
        <v>43065</v>
      </c>
      <c r="D830" s="1" t="s">
        <v>445</v>
      </c>
      <c r="E830">
        <v>1139</v>
      </c>
      <c r="F830">
        <v>1126</v>
      </c>
      <c r="G830">
        <v>1039</v>
      </c>
      <c r="H830">
        <v>1212</v>
      </c>
    </row>
    <row r="831" spans="1:8">
      <c r="A831">
        <v>2017</v>
      </c>
      <c r="B831">
        <v>48</v>
      </c>
      <c r="C831" s="2">
        <v>43072</v>
      </c>
      <c r="D831" s="1" t="s">
        <v>445</v>
      </c>
      <c r="E831">
        <v>1177</v>
      </c>
      <c r="F831">
        <v>1140</v>
      </c>
      <c r="G831">
        <v>1053</v>
      </c>
      <c r="H831">
        <v>1227</v>
      </c>
    </row>
    <row r="832" spans="1:8">
      <c r="A832">
        <v>2017</v>
      </c>
      <c r="B832">
        <v>49</v>
      </c>
      <c r="C832" s="2">
        <v>43079</v>
      </c>
      <c r="D832" s="1" t="s">
        <v>445</v>
      </c>
      <c r="E832">
        <v>1196</v>
      </c>
      <c r="F832">
        <v>1154</v>
      </c>
      <c r="G832">
        <v>1066</v>
      </c>
      <c r="H832">
        <v>1241</v>
      </c>
    </row>
    <row r="833" spans="1:9">
      <c r="A833">
        <v>2017</v>
      </c>
      <c r="B833">
        <v>50</v>
      </c>
      <c r="C833" s="2">
        <v>43086</v>
      </c>
      <c r="D833" s="1" t="s">
        <v>445</v>
      </c>
      <c r="E833">
        <v>1165</v>
      </c>
      <c r="F833">
        <v>1168</v>
      </c>
      <c r="G833">
        <v>1080</v>
      </c>
      <c r="H833">
        <v>1256</v>
      </c>
    </row>
    <row r="834" spans="1:9">
      <c r="A834">
        <v>2017</v>
      </c>
      <c r="B834">
        <v>51</v>
      </c>
      <c r="C834" s="2">
        <v>43093</v>
      </c>
      <c r="D834" s="1" t="s">
        <v>445</v>
      </c>
      <c r="E834">
        <v>1270</v>
      </c>
      <c r="F834">
        <v>1182</v>
      </c>
      <c r="G834">
        <v>1094</v>
      </c>
      <c r="H834">
        <v>1271</v>
      </c>
    </row>
    <row r="835" spans="1:9">
      <c r="A835">
        <v>2017</v>
      </c>
      <c r="B835">
        <v>52</v>
      </c>
      <c r="C835" s="2">
        <v>43100</v>
      </c>
      <c r="D835" s="1" t="s">
        <v>445</v>
      </c>
      <c r="E835">
        <v>1159</v>
      </c>
      <c r="F835">
        <v>1197</v>
      </c>
      <c r="G835">
        <v>1107</v>
      </c>
      <c r="H835">
        <v>1286</v>
      </c>
    </row>
    <row r="836" spans="1:9">
      <c r="A836">
        <v>2018</v>
      </c>
      <c r="B836">
        <v>1</v>
      </c>
      <c r="C836" s="2">
        <v>43107</v>
      </c>
      <c r="D836" s="1" t="s">
        <v>444</v>
      </c>
      <c r="E836">
        <v>179</v>
      </c>
      <c r="F836">
        <v>174</v>
      </c>
      <c r="G836">
        <v>140</v>
      </c>
      <c r="H836">
        <v>208</v>
      </c>
    </row>
    <row r="837" spans="1:9">
      <c r="A837">
        <v>2018</v>
      </c>
      <c r="B837">
        <v>2</v>
      </c>
      <c r="C837" s="2">
        <v>43114</v>
      </c>
      <c r="D837" s="1" t="s">
        <v>444</v>
      </c>
      <c r="E837">
        <v>174</v>
      </c>
      <c r="F837">
        <v>175</v>
      </c>
      <c r="G837">
        <v>141</v>
      </c>
      <c r="H837">
        <v>209</v>
      </c>
    </row>
    <row r="838" spans="1:9">
      <c r="A838">
        <v>2018</v>
      </c>
      <c r="B838">
        <v>3</v>
      </c>
      <c r="C838" s="2">
        <v>43121</v>
      </c>
      <c r="D838" s="1" t="s">
        <v>444</v>
      </c>
      <c r="E838">
        <v>187</v>
      </c>
      <c r="F838">
        <v>176</v>
      </c>
      <c r="G838">
        <v>141</v>
      </c>
      <c r="H838">
        <v>210</v>
      </c>
    </row>
    <row r="839" spans="1:9">
      <c r="A839">
        <v>2018</v>
      </c>
      <c r="B839">
        <v>4</v>
      </c>
      <c r="C839" s="2">
        <v>43128</v>
      </c>
      <c r="D839" s="1" t="s">
        <v>444</v>
      </c>
      <c r="E839">
        <v>189</v>
      </c>
      <c r="F839">
        <v>176</v>
      </c>
      <c r="G839">
        <v>142</v>
      </c>
      <c r="H839">
        <v>210</v>
      </c>
    </row>
    <row r="840" spans="1:9">
      <c r="A840">
        <v>2018</v>
      </c>
      <c r="B840">
        <v>5</v>
      </c>
      <c r="C840" s="2">
        <v>43135</v>
      </c>
      <c r="D840" s="1" t="s">
        <v>444</v>
      </c>
      <c r="E840">
        <v>152</v>
      </c>
      <c r="F840">
        <v>177</v>
      </c>
      <c r="G840">
        <v>142</v>
      </c>
      <c r="H840">
        <v>211</v>
      </c>
    </row>
    <row r="841" spans="1:9">
      <c r="A841">
        <v>2018</v>
      </c>
      <c r="B841">
        <v>6</v>
      </c>
      <c r="C841" s="2">
        <v>43142</v>
      </c>
      <c r="D841" s="1" t="s">
        <v>444</v>
      </c>
      <c r="E841">
        <v>191</v>
      </c>
      <c r="F841">
        <v>177</v>
      </c>
      <c r="G841">
        <v>143</v>
      </c>
      <c r="H841">
        <v>211</v>
      </c>
    </row>
    <row r="842" spans="1:9">
      <c r="A842">
        <v>2018</v>
      </c>
      <c r="B842">
        <v>7</v>
      </c>
      <c r="C842" s="2">
        <v>43149</v>
      </c>
      <c r="D842" s="1" t="s">
        <v>444</v>
      </c>
      <c r="E842">
        <v>195</v>
      </c>
      <c r="F842">
        <v>177</v>
      </c>
      <c r="G842">
        <v>143</v>
      </c>
      <c r="H842">
        <v>211</v>
      </c>
    </row>
    <row r="843" spans="1:9">
      <c r="A843">
        <v>2018</v>
      </c>
      <c r="B843">
        <v>8</v>
      </c>
      <c r="C843" s="2">
        <v>43156</v>
      </c>
      <c r="D843" s="1" t="s">
        <v>444</v>
      </c>
      <c r="E843">
        <v>190</v>
      </c>
      <c r="F843">
        <v>176</v>
      </c>
      <c r="G843">
        <v>142</v>
      </c>
      <c r="H843">
        <v>210</v>
      </c>
    </row>
    <row r="844" spans="1:9">
      <c r="A844">
        <v>2018</v>
      </c>
      <c r="B844">
        <v>9</v>
      </c>
      <c r="C844" s="2">
        <v>43163</v>
      </c>
      <c r="D844" s="1" t="s">
        <v>444</v>
      </c>
      <c r="E844">
        <v>213</v>
      </c>
      <c r="F844">
        <v>175</v>
      </c>
      <c r="G844">
        <v>141</v>
      </c>
      <c r="H844">
        <v>209</v>
      </c>
      <c r="I844">
        <v>213</v>
      </c>
    </row>
    <row r="845" spans="1:9">
      <c r="A845">
        <v>2018</v>
      </c>
      <c r="B845">
        <v>10</v>
      </c>
      <c r="C845" s="2">
        <v>43170</v>
      </c>
      <c r="D845" s="1" t="s">
        <v>444</v>
      </c>
      <c r="E845">
        <v>202</v>
      </c>
      <c r="F845">
        <v>173</v>
      </c>
      <c r="G845">
        <v>139</v>
      </c>
      <c r="H845">
        <v>207</v>
      </c>
    </row>
    <row r="846" spans="1:9">
      <c r="A846">
        <v>2018</v>
      </c>
      <c r="B846">
        <v>11</v>
      </c>
      <c r="C846" s="2">
        <v>43177</v>
      </c>
      <c r="D846" s="1" t="s">
        <v>444</v>
      </c>
      <c r="E846">
        <v>175</v>
      </c>
      <c r="F846">
        <v>171</v>
      </c>
      <c r="G846">
        <v>137</v>
      </c>
      <c r="H846">
        <v>205</v>
      </c>
    </row>
    <row r="847" spans="1:9">
      <c r="A847">
        <v>2018</v>
      </c>
      <c r="B847">
        <v>12</v>
      </c>
      <c r="C847" s="2">
        <v>43184</v>
      </c>
      <c r="D847" s="1" t="s">
        <v>444</v>
      </c>
      <c r="E847">
        <v>160</v>
      </c>
      <c r="F847">
        <v>168</v>
      </c>
      <c r="G847">
        <v>135</v>
      </c>
      <c r="H847">
        <v>202</v>
      </c>
    </row>
    <row r="848" spans="1:9">
      <c r="A848">
        <v>2018</v>
      </c>
      <c r="B848">
        <v>13</v>
      </c>
      <c r="C848" s="2">
        <v>43191</v>
      </c>
      <c r="D848" s="1" t="s">
        <v>444</v>
      </c>
      <c r="E848">
        <v>171</v>
      </c>
      <c r="F848">
        <v>166</v>
      </c>
      <c r="G848">
        <v>133</v>
      </c>
      <c r="H848">
        <v>199</v>
      </c>
    </row>
    <row r="849" spans="1:8">
      <c r="A849">
        <v>2018</v>
      </c>
      <c r="B849">
        <v>14</v>
      </c>
      <c r="C849" s="2">
        <v>43198</v>
      </c>
      <c r="D849" s="1" t="s">
        <v>444</v>
      </c>
      <c r="E849">
        <v>171</v>
      </c>
      <c r="F849">
        <v>163</v>
      </c>
      <c r="G849">
        <v>131</v>
      </c>
      <c r="H849">
        <v>196</v>
      </c>
    </row>
    <row r="850" spans="1:8">
      <c r="A850">
        <v>2018</v>
      </c>
      <c r="B850">
        <v>15</v>
      </c>
      <c r="C850" s="2">
        <v>43205</v>
      </c>
      <c r="D850" s="1" t="s">
        <v>444</v>
      </c>
      <c r="E850">
        <v>170</v>
      </c>
      <c r="F850">
        <v>162</v>
      </c>
      <c r="G850">
        <v>129</v>
      </c>
      <c r="H850">
        <v>195</v>
      </c>
    </row>
    <row r="851" spans="1:8">
      <c r="A851">
        <v>2018</v>
      </c>
      <c r="B851">
        <v>16</v>
      </c>
      <c r="C851" s="2">
        <v>43212</v>
      </c>
      <c r="D851" s="1" t="s">
        <v>444</v>
      </c>
      <c r="E851">
        <v>182</v>
      </c>
      <c r="F851">
        <v>160</v>
      </c>
      <c r="G851">
        <v>128</v>
      </c>
      <c r="H851">
        <v>193</v>
      </c>
    </row>
    <row r="852" spans="1:8">
      <c r="A852">
        <v>2018</v>
      </c>
      <c r="B852">
        <v>17</v>
      </c>
      <c r="C852" s="2">
        <v>43219</v>
      </c>
      <c r="D852" s="1" t="s">
        <v>444</v>
      </c>
      <c r="E852">
        <v>163</v>
      </c>
      <c r="F852">
        <v>160</v>
      </c>
      <c r="G852">
        <v>127</v>
      </c>
      <c r="H852">
        <v>192</v>
      </c>
    </row>
    <row r="853" spans="1:8">
      <c r="A853">
        <v>2018</v>
      </c>
      <c r="B853">
        <v>18</v>
      </c>
      <c r="C853" s="2">
        <v>43226</v>
      </c>
      <c r="D853" s="1" t="s">
        <v>444</v>
      </c>
      <c r="E853">
        <v>151</v>
      </c>
      <c r="F853">
        <v>159</v>
      </c>
      <c r="G853">
        <v>126</v>
      </c>
      <c r="H853">
        <v>191</v>
      </c>
    </row>
    <row r="854" spans="1:8">
      <c r="A854">
        <v>2018</v>
      </c>
      <c r="B854">
        <v>19</v>
      </c>
      <c r="C854" s="2">
        <v>43233</v>
      </c>
      <c r="D854" s="1" t="s">
        <v>444</v>
      </c>
      <c r="E854">
        <v>162</v>
      </c>
      <c r="F854">
        <v>159</v>
      </c>
      <c r="G854">
        <v>126</v>
      </c>
      <c r="H854">
        <v>191</v>
      </c>
    </row>
    <row r="855" spans="1:8">
      <c r="A855">
        <v>2018</v>
      </c>
      <c r="B855">
        <v>20</v>
      </c>
      <c r="C855" s="2">
        <v>43240</v>
      </c>
      <c r="D855" s="1" t="s">
        <v>444</v>
      </c>
      <c r="E855">
        <v>167</v>
      </c>
      <c r="F855">
        <v>159</v>
      </c>
      <c r="G855">
        <v>126</v>
      </c>
      <c r="H855">
        <v>191</v>
      </c>
    </row>
    <row r="856" spans="1:8">
      <c r="A856">
        <v>2018</v>
      </c>
      <c r="B856">
        <v>21</v>
      </c>
      <c r="C856" s="2">
        <v>43247</v>
      </c>
      <c r="D856" s="1" t="s">
        <v>444</v>
      </c>
      <c r="E856">
        <v>172</v>
      </c>
      <c r="F856">
        <v>159</v>
      </c>
      <c r="G856">
        <v>126</v>
      </c>
      <c r="H856">
        <v>191</v>
      </c>
    </row>
    <row r="857" spans="1:8">
      <c r="A857">
        <v>2018</v>
      </c>
      <c r="B857">
        <v>22</v>
      </c>
      <c r="C857" s="2">
        <v>43254</v>
      </c>
      <c r="D857" s="1" t="s">
        <v>444</v>
      </c>
      <c r="E857">
        <v>156</v>
      </c>
      <c r="F857">
        <v>159</v>
      </c>
      <c r="G857">
        <v>127</v>
      </c>
      <c r="H857">
        <v>192</v>
      </c>
    </row>
    <row r="858" spans="1:8">
      <c r="A858">
        <v>2018</v>
      </c>
      <c r="B858">
        <v>23</v>
      </c>
      <c r="C858" s="2">
        <v>43261</v>
      </c>
      <c r="D858" s="1" t="s">
        <v>444</v>
      </c>
      <c r="E858">
        <v>171</v>
      </c>
      <c r="F858">
        <v>160</v>
      </c>
      <c r="G858">
        <v>127</v>
      </c>
      <c r="H858">
        <v>192</v>
      </c>
    </row>
    <row r="859" spans="1:8">
      <c r="A859">
        <v>2018</v>
      </c>
      <c r="B859">
        <v>24</v>
      </c>
      <c r="C859" s="2">
        <v>43268</v>
      </c>
      <c r="D859" s="1" t="s">
        <v>444</v>
      </c>
      <c r="E859">
        <v>149</v>
      </c>
      <c r="F859">
        <v>160</v>
      </c>
      <c r="G859">
        <v>127</v>
      </c>
      <c r="H859">
        <v>193</v>
      </c>
    </row>
    <row r="860" spans="1:8">
      <c r="A860">
        <v>2018</v>
      </c>
      <c r="B860">
        <v>25</v>
      </c>
      <c r="C860" s="2">
        <v>43275</v>
      </c>
      <c r="D860" s="1" t="s">
        <v>444</v>
      </c>
      <c r="E860">
        <v>174</v>
      </c>
      <c r="F860">
        <v>160</v>
      </c>
      <c r="G860">
        <v>127</v>
      </c>
      <c r="H860">
        <v>192</v>
      </c>
    </row>
    <row r="861" spans="1:8">
      <c r="A861">
        <v>2018</v>
      </c>
      <c r="B861">
        <v>26</v>
      </c>
      <c r="C861" s="2">
        <v>43282</v>
      </c>
      <c r="D861" s="1" t="s">
        <v>444</v>
      </c>
      <c r="E861">
        <v>150</v>
      </c>
      <c r="F861">
        <v>160</v>
      </c>
      <c r="G861">
        <v>127</v>
      </c>
      <c r="H861">
        <v>192</v>
      </c>
    </row>
    <row r="862" spans="1:8">
      <c r="A862">
        <v>2018</v>
      </c>
      <c r="B862">
        <v>27</v>
      </c>
      <c r="C862" s="2">
        <v>43289</v>
      </c>
      <c r="D862" s="1" t="s">
        <v>444</v>
      </c>
      <c r="E862">
        <v>155</v>
      </c>
      <c r="F862">
        <v>160</v>
      </c>
      <c r="G862">
        <v>127</v>
      </c>
      <c r="H862">
        <v>192</v>
      </c>
    </row>
    <row r="863" spans="1:8">
      <c r="A863">
        <v>2018</v>
      </c>
      <c r="B863">
        <v>28</v>
      </c>
      <c r="C863" s="2">
        <v>43296</v>
      </c>
      <c r="D863" s="1" t="s">
        <v>444</v>
      </c>
      <c r="E863">
        <v>146</v>
      </c>
      <c r="F863">
        <v>160</v>
      </c>
      <c r="G863">
        <v>127</v>
      </c>
      <c r="H863">
        <v>192</v>
      </c>
    </row>
    <row r="864" spans="1:8">
      <c r="A864">
        <v>2018</v>
      </c>
      <c r="B864">
        <v>29</v>
      </c>
      <c r="C864" s="2">
        <v>43303</v>
      </c>
      <c r="D864" s="1" t="s">
        <v>444</v>
      </c>
      <c r="E864">
        <v>159</v>
      </c>
      <c r="F864">
        <v>160</v>
      </c>
      <c r="G864">
        <v>127</v>
      </c>
      <c r="H864">
        <v>192</v>
      </c>
    </row>
    <row r="865" spans="1:8">
      <c r="A865">
        <v>2018</v>
      </c>
      <c r="B865">
        <v>30</v>
      </c>
      <c r="C865" s="2">
        <v>43310</v>
      </c>
      <c r="D865" s="1" t="s">
        <v>444</v>
      </c>
      <c r="E865">
        <v>170</v>
      </c>
      <c r="F865">
        <v>159</v>
      </c>
      <c r="G865">
        <v>127</v>
      </c>
      <c r="H865">
        <v>192</v>
      </c>
    </row>
    <row r="866" spans="1:8">
      <c r="A866">
        <v>2018</v>
      </c>
      <c r="B866">
        <v>31</v>
      </c>
      <c r="C866" s="2">
        <v>43317</v>
      </c>
      <c r="D866" s="1" t="s">
        <v>444</v>
      </c>
      <c r="E866">
        <v>188</v>
      </c>
      <c r="F866">
        <v>159</v>
      </c>
      <c r="G866">
        <v>126</v>
      </c>
      <c r="H866">
        <v>191</v>
      </c>
    </row>
    <row r="867" spans="1:8">
      <c r="A867">
        <v>2018</v>
      </c>
      <c r="B867">
        <v>32</v>
      </c>
      <c r="C867" s="2">
        <v>43324</v>
      </c>
      <c r="D867" s="1" t="s">
        <v>444</v>
      </c>
      <c r="E867">
        <v>153</v>
      </c>
      <c r="F867">
        <v>159</v>
      </c>
      <c r="G867">
        <v>127</v>
      </c>
      <c r="H867">
        <v>192</v>
      </c>
    </row>
    <row r="868" spans="1:8">
      <c r="A868">
        <v>2018</v>
      </c>
      <c r="B868">
        <v>33</v>
      </c>
      <c r="C868" s="2">
        <v>43331</v>
      </c>
      <c r="D868" s="1" t="s">
        <v>444</v>
      </c>
      <c r="E868">
        <v>162</v>
      </c>
      <c r="F868">
        <v>159</v>
      </c>
      <c r="G868">
        <v>127</v>
      </c>
      <c r="H868">
        <v>192</v>
      </c>
    </row>
    <row r="869" spans="1:8">
      <c r="A869">
        <v>2018</v>
      </c>
      <c r="B869">
        <v>34</v>
      </c>
      <c r="C869" s="2">
        <v>43338</v>
      </c>
      <c r="D869" s="1" t="s">
        <v>444</v>
      </c>
      <c r="E869">
        <v>152</v>
      </c>
      <c r="F869">
        <v>160</v>
      </c>
      <c r="G869">
        <v>127</v>
      </c>
      <c r="H869">
        <v>193</v>
      </c>
    </row>
    <row r="870" spans="1:8">
      <c r="A870">
        <v>2018</v>
      </c>
      <c r="B870">
        <v>35</v>
      </c>
      <c r="C870" s="2">
        <v>43345</v>
      </c>
      <c r="D870" s="1" t="s">
        <v>444</v>
      </c>
      <c r="E870">
        <v>168</v>
      </c>
      <c r="F870">
        <v>161</v>
      </c>
      <c r="G870">
        <v>128</v>
      </c>
      <c r="H870">
        <v>193</v>
      </c>
    </row>
    <row r="871" spans="1:8">
      <c r="A871">
        <v>2018</v>
      </c>
      <c r="B871">
        <v>36</v>
      </c>
      <c r="C871" s="2">
        <v>43352</v>
      </c>
      <c r="D871" s="1" t="s">
        <v>444</v>
      </c>
      <c r="E871">
        <v>177</v>
      </c>
      <c r="F871">
        <v>161</v>
      </c>
      <c r="G871">
        <v>129</v>
      </c>
      <c r="H871">
        <v>194</v>
      </c>
    </row>
    <row r="872" spans="1:8">
      <c r="A872">
        <v>2018</v>
      </c>
      <c r="B872">
        <v>37</v>
      </c>
      <c r="C872" s="2">
        <v>43359</v>
      </c>
      <c r="D872" s="1" t="s">
        <v>444</v>
      </c>
      <c r="E872">
        <v>159</v>
      </c>
      <c r="F872">
        <v>162</v>
      </c>
      <c r="G872">
        <v>129</v>
      </c>
      <c r="H872">
        <v>195</v>
      </c>
    </row>
    <row r="873" spans="1:8">
      <c r="A873">
        <v>2018</v>
      </c>
      <c r="B873">
        <v>38</v>
      </c>
      <c r="C873" s="2">
        <v>43366</v>
      </c>
      <c r="D873" s="1" t="s">
        <v>444</v>
      </c>
      <c r="E873">
        <v>172</v>
      </c>
      <c r="F873">
        <v>162</v>
      </c>
      <c r="G873">
        <v>129</v>
      </c>
      <c r="H873">
        <v>195</v>
      </c>
    </row>
    <row r="874" spans="1:8">
      <c r="A874">
        <v>2018</v>
      </c>
      <c r="B874">
        <v>39</v>
      </c>
      <c r="C874" s="2">
        <v>43373</v>
      </c>
      <c r="D874" s="1" t="s">
        <v>444</v>
      </c>
      <c r="E874">
        <v>166</v>
      </c>
      <c r="F874">
        <v>162</v>
      </c>
      <c r="G874">
        <v>130</v>
      </c>
      <c r="H874">
        <v>195</v>
      </c>
    </row>
    <row r="875" spans="1:8">
      <c r="A875">
        <v>2018</v>
      </c>
      <c r="B875">
        <v>40</v>
      </c>
      <c r="C875" s="2">
        <v>43380</v>
      </c>
      <c r="D875" s="1" t="s">
        <v>444</v>
      </c>
      <c r="E875">
        <v>171</v>
      </c>
      <c r="F875">
        <v>163</v>
      </c>
      <c r="G875">
        <v>130</v>
      </c>
      <c r="H875">
        <v>195</v>
      </c>
    </row>
    <row r="876" spans="1:8">
      <c r="A876">
        <v>2018</v>
      </c>
      <c r="B876">
        <v>41</v>
      </c>
      <c r="C876" s="2">
        <v>43387</v>
      </c>
      <c r="D876" s="1" t="s">
        <v>444</v>
      </c>
      <c r="E876">
        <v>162</v>
      </c>
      <c r="F876">
        <v>163</v>
      </c>
      <c r="G876">
        <v>130</v>
      </c>
      <c r="H876">
        <v>196</v>
      </c>
    </row>
    <row r="877" spans="1:8">
      <c r="A877">
        <v>2018</v>
      </c>
      <c r="B877">
        <v>42</v>
      </c>
      <c r="C877" s="2">
        <v>43394</v>
      </c>
      <c r="D877" s="1" t="s">
        <v>444</v>
      </c>
      <c r="E877">
        <v>149</v>
      </c>
      <c r="F877">
        <v>163</v>
      </c>
      <c r="G877">
        <v>130</v>
      </c>
      <c r="H877">
        <v>196</v>
      </c>
    </row>
    <row r="878" spans="1:8">
      <c r="A878">
        <v>2018</v>
      </c>
      <c r="B878">
        <v>43</v>
      </c>
      <c r="C878" s="2">
        <v>43401</v>
      </c>
      <c r="D878" s="1" t="s">
        <v>444</v>
      </c>
      <c r="E878">
        <v>134</v>
      </c>
      <c r="F878">
        <v>163</v>
      </c>
      <c r="G878">
        <v>130</v>
      </c>
      <c r="H878">
        <v>196</v>
      </c>
    </row>
    <row r="879" spans="1:8">
      <c r="A879">
        <v>2018</v>
      </c>
      <c r="B879">
        <v>44</v>
      </c>
      <c r="C879" s="2">
        <v>43408</v>
      </c>
      <c r="D879" s="1" t="s">
        <v>444</v>
      </c>
      <c r="E879">
        <v>149</v>
      </c>
      <c r="F879">
        <v>163</v>
      </c>
      <c r="G879">
        <v>130</v>
      </c>
      <c r="H879">
        <v>196</v>
      </c>
    </row>
    <row r="880" spans="1:8">
      <c r="A880">
        <v>2018</v>
      </c>
      <c r="B880">
        <v>45</v>
      </c>
      <c r="C880" s="2">
        <v>43415</v>
      </c>
      <c r="D880" s="1" t="s">
        <v>444</v>
      </c>
      <c r="E880">
        <v>169</v>
      </c>
      <c r="F880">
        <v>163</v>
      </c>
      <c r="G880">
        <v>130</v>
      </c>
      <c r="H880">
        <v>196</v>
      </c>
    </row>
    <row r="881" spans="1:9">
      <c r="A881">
        <v>2018</v>
      </c>
      <c r="B881">
        <v>46</v>
      </c>
      <c r="C881" s="2">
        <v>43422</v>
      </c>
      <c r="D881" s="1" t="s">
        <v>444</v>
      </c>
      <c r="E881">
        <v>186</v>
      </c>
      <c r="F881">
        <v>163</v>
      </c>
      <c r="G881">
        <v>130</v>
      </c>
      <c r="H881">
        <v>196</v>
      </c>
    </row>
    <row r="882" spans="1:9">
      <c r="A882">
        <v>2018</v>
      </c>
      <c r="B882">
        <v>47</v>
      </c>
      <c r="C882" s="2">
        <v>43429</v>
      </c>
      <c r="D882" s="1" t="s">
        <v>444</v>
      </c>
      <c r="E882">
        <v>164</v>
      </c>
      <c r="F882">
        <v>164</v>
      </c>
      <c r="G882">
        <v>131</v>
      </c>
      <c r="H882">
        <v>197</v>
      </c>
    </row>
    <row r="883" spans="1:9">
      <c r="A883">
        <v>2018</v>
      </c>
      <c r="B883">
        <v>48</v>
      </c>
      <c r="C883" s="2">
        <v>43436</v>
      </c>
      <c r="D883" s="1" t="s">
        <v>444</v>
      </c>
      <c r="E883">
        <v>181</v>
      </c>
      <c r="F883">
        <v>165</v>
      </c>
      <c r="G883">
        <v>132</v>
      </c>
      <c r="H883">
        <v>198</v>
      </c>
    </row>
    <row r="884" spans="1:9">
      <c r="A884">
        <v>2018</v>
      </c>
      <c r="B884">
        <v>49</v>
      </c>
      <c r="C884" s="2">
        <v>43443</v>
      </c>
      <c r="D884" s="1" t="s">
        <v>444</v>
      </c>
      <c r="E884">
        <v>198</v>
      </c>
      <c r="F884">
        <v>166</v>
      </c>
      <c r="G884">
        <v>133</v>
      </c>
      <c r="H884">
        <v>199</v>
      </c>
    </row>
    <row r="885" spans="1:9">
      <c r="A885">
        <v>2018</v>
      </c>
      <c r="B885">
        <v>50</v>
      </c>
      <c r="C885" s="2">
        <v>43450</v>
      </c>
      <c r="D885" s="1" t="s">
        <v>444</v>
      </c>
      <c r="E885">
        <v>161</v>
      </c>
      <c r="F885">
        <v>166</v>
      </c>
      <c r="G885">
        <v>133</v>
      </c>
      <c r="H885">
        <v>200</v>
      </c>
    </row>
    <row r="886" spans="1:9">
      <c r="A886">
        <v>2018</v>
      </c>
      <c r="B886">
        <v>51</v>
      </c>
      <c r="C886" s="2">
        <v>43457</v>
      </c>
      <c r="D886" s="1" t="s">
        <v>444</v>
      </c>
      <c r="E886">
        <v>177</v>
      </c>
      <c r="F886">
        <v>167</v>
      </c>
      <c r="G886">
        <v>134</v>
      </c>
      <c r="H886">
        <v>200</v>
      </c>
    </row>
    <row r="887" spans="1:9">
      <c r="A887">
        <v>2018</v>
      </c>
      <c r="B887">
        <v>52</v>
      </c>
      <c r="C887" s="2">
        <v>43464</v>
      </c>
      <c r="D887" s="1" t="s">
        <v>444</v>
      </c>
      <c r="E887">
        <v>154</v>
      </c>
      <c r="F887">
        <v>168</v>
      </c>
      <c r="G887">
        <v>135</v>
      </c>
      <c r="H887">
        <v>201</v>
      </c>
    </row>
    <row r="888" spans="1:9">
      <c r="A888">
        <v>2018</v>
      </c>
      <c r="B888">
        <v>1</v>
      </c>
      <c r="C888" s="2">
        <v>43107</v>
      </c>
      <c r="D888" s="1" t="s">
        <v>445</v>
      </c>
      <c r="E888">
        <v>1355</v>
      </c>
      <c r="F888">
        <v>1251</v>
      </c>
      <c r="G888">
        <v>1160</v>
      </c>
      <c r="H888">
        <v>1342</v>
      </c>
      <c r="I888">
        <v>1355</v>
      </c>
    </row>
    <row r="889" spans="1:9">
      <c r="A889">
        <v>2018</v>
      </c>
      <c r="B889">
        <v>2</v>
      </c>
      <c r="C889" s="2">
        <v>43114</v>
      </c>
      <c r="D889" s="1" t="s">
        <v>445</v>
      </c>
      <c r="E889">
        <v>1352</v>
      </c>
      <c r="F889">
        <v>1251</v>
      </c>
      <c r="G889">
        <v>1160</v>
      </c>
      <c r="H889">
        <v>1342</v>
      </c>
      <c r="I889">
        <v>1352</v>
      </c>
    </row>
    <row r="890" spans="1:9">
      <c r="A890">
        <v>2018</v>
      </c>
      <c r="B890">
        <v>3</v>
      </c>
      <c r="C890" s="2">
        <v>43121</v>
      </c>
      <c r="D890" s="1" t="s">
        <v>445</v>
      </c>
      <c r="E890">
        <v>1300</v>
      </c>
      <c r="F890">
        <v>1250</v>
      </c>
      <c r="G890">
        <v>1159</v>
      </c>
      <c r="H890">
        <v>1341</v>
      </c>
    </row>
    <row r="891" spans="1:9">
      <c r="A891">
        <v>2018</v>
      </c>
      <c r="B891">
        <v>4</v>
      </c>
      <c r="C891" s="2">
        <v>43128</v>
      </c>
      <c r="D891" s="1" t="s">
        <v>445</v>
      </c>
      <c r="E891">
        <v>1189</v>
      </c>
      <c r="F891">
        <v>1250</v>
      </c>
      <c r="G891">
        <v>1159</v>
      </c>
      <c r="H891">
        <v>1341</v>
      </c>
    </row>
    <row r="892" spans="1:9">
      <c r="A892">
        <v>2018</v>
      </c>
      <c r="B892">
        <v>5</v>
      </c>
      <c r="C892" s="2">
        <v>43135</v>
      </c>
      <c r="D892" s="1" t="s">
        <v>445</v>
      </c>
      <c r="E892">
        <v>1231</v>
      </c>
      <c r="F892">
        <v>1248</v>
      </c>
      <c r="G892">
        <v>1157</v>
      </c>
      <c r="H892">
        <v>1339</v>
      </c>
    </row>
    <row r="893" spans="1:9">
      <c r="A893">
        <v>2018</v>
      </c>
      <c r="B893">
        <v>6</v>
      </c>
      <c r="C893" s="2">
        <v>43142</v>
      </c>
      <c r="D893" s="1" t="s">
        <v>445</v>
      </c>
      <c r="E893">
        <v>1241</v>
      </c>
      <c r="F893">
        <v>1247</v>
      </c>
      <c r="G893">
        <v>1156</v>
      </c>
      <c r="H893">
        <v>1338</v>
      </c>
    </row>
    <row r="894" spans="1:9">
      <c r="A894">
        <v>2018</v>
      </c>
      <c r="B894">
        <v>7</v>
      </c>
      <c r="C894" s="2">
        <v>43149</v>
      </c>
      <c r="D894" s="1" t="s">
        <v>445</v>
      </c>
      <c r="E894">
        <v>1254</v>
      </c>
      <c r="F894">
        <v>1245</v>
      </c>
      <c r="G894">
        <v>1154</v>
      </c>
      <c r="H894">
        <v>1336</v>
      </c>
    </row>
    <row r="895" spans="1:9">
      <c r="A895">
        <v>2018</v>
      </c>
      <c r="B895">
        <v>8</v>
      </c>
      <c r="C895" s="2">
        <v>43156</v>
      </c>
      <c r="D895" s="1" t="s">
        <v>445</v>
      </c>
      <c r="E895">
        <v>1275</v>
      </c>
      <c r="F895">
        <v>1235</v>
      </c>
      <c r="G895">
        <v>1144</v>
      </c>
      <c r="H895">
        <v>1325</v>
      </c>
    </row>
    <row r="896" spans="1:9">
      <c r="A896">
        <v>2018</v>
      </c>
      <c r="B896">
        <v>9</v>
      </c>
      <c r="C896" s="2">
        <v>43163</v>
      </c>
      <c r="D896" s="1" t="s">
        <v>445</v>
      </c>
      <c r="E896">
        <v>1412</v>
      </c>
      <c r="F896">
        <v>1225</v>
      </c>
      <c r="G896">
        <v>1135</v>
      </c>
      <c r="H896">
        <v>1315</v>
      </c>
      <c r="I896">
        <v>1412</v>
      </c>
    </row>
    <row r="897" spans="1:9">
      <c r="A897">
        <v>2018</v>
      </c>
      <c r="B897">
        <v>10</v>
      </c>
      <c r="C897" s="2">
        <v>43170</v>
      </c>
      <c r="D897" s="1" t="s">
        <v>445</v>
      </c>
      <c r="E897">
        <v>1322</v>
      </c>
      <c r="F897">
        <v>1209</v>
      </c>
      <c r="G897">
        <v>1119</v>
      </c>
      <c r="H897">
        <v>1298</v>
      </c>
      <c r="I897">
        <v>1322</v>
      </c>
    </row>
    <row r="898" spans="1:9">
      <c r="A898">
        <v>2018</v>
      </c>
      <c r="B898">
        <v>11</v>
      </c>
      <c r="C898" s="2">
        <v>43177</v>
      </c>
      <c r="D898" s="1" t="s">
        <v>445</v>
      </c>
      <c r="E898">
        <v>1302</v>
      </c>
      <c r="F898">
        <v>1192</v>
      </c>
      <c r="G898">
        <v>1103</v>
      </c>
      <c r="H898">
        <v>1281</v>
      </c>
      <c r="I898">
        <v>1302</v>
      </c>
    </row>
    <row r="899" spans="1:9">
      <c r="A899">
        <v>2018</v>
      </c>
      <c r="B899">
        <v>12</v>
      </c>
      <c r="C899" s="2">
        <v>43184</v>
      </c>
      <c r="D899" s="1" t="s">
        <v>445</v>
      </c>
      <c r="E899">
        <v>1211</v>
      </c>
      <c r="F899">
        <v>1172</v>
      </c>
      <c r="G899">
        <v>1083</v>
      </c>
      <c r="H899">
        <v>1260</v>
      </c>
    </row>
    <row r="900" spans="1:9">
      <c r="A900">
        <v>2018</v>
      </c>
      <c r="B900">
        <v>13</v>
      </c>
      <c r="C900" s="2">
        <v>43191</v>
      </c>
      <c r="D900" s="1" t="s">
        <v>445</v>
      </c>
      <c r="E900">
        <v>1168</v>
      </c>
      <c r="F900">
        <v>1151</v>
      </c>
      <c r="G900">
        <v>1064</v>
      </c>
      <c r="H900">
        <v>1238</v>
      </c>
    </row>
    <row r="901" spans="1:9">
      <c r="A901">
        <v>2018</v>
      </c>
      <c r="B901">
        <v>14</v>
      </c>
      <c r="C901" s="2">
        <v>43198</v>
      </c>
      <c r="D901" s="1" t="s">
        <v>445</v>
      </c>
      <c r="E901">
        <v>1163</v>
      </c>
      <c r="F901">
        <v>1131</v>
      </c>
      <c r="G901">
        <v>1045</v>
      </c>
      <c r="H901">
        <v>1218</v>
      </c>
    </row>
    <row r="902" spans="1:9">
      <c r="A902">
        <v>2018</v>
      </c>
      <c r="B902">
        <v>15</v>
      </c>
      <c r="C902" s="2">
        <v>43205</v>
      </c>
      <c r="D902" s="1" t="s">
        <v>445</v>
      </c>
      <c r="E902">
        <v>1118</v>
      </c>
      <c r="F902">
        <v>1114</v>
      </c>
      <c r="G902">
        <v>1028</v>
      </c>
      <c r="H902">
        <v>1200</v>
      </c>
    </row>
    <row r="903" spans="1:9">
      <c r="A903">
        <v>2018</v>
      </c>
      <c r="B903">
        <v>16</v>
      </c>
      <c r="C903" s="2">
        <v>43212</v>
      </c>
      <c r="D903" s="1" t="s">
        <v>445</v>
      </c>
      <c r="E903">
        <v>1033</v>
      </c>
      <c r="F903">
        <v>1096</v>
      </c>
      <c r="G903">
        <v>1011</v>
      </c>
      <c r="H903">
        <v>1181</v>
      </c>
    </row>
    <row r="904" spans="1:9">
      <c r="A904">
        <v>2018</v>
      </c>
      <c r="B904">
        <v>17</v>
      </c>
      <c r="C904" s="2">
        <v>43219</v>
      </c>
      <c r="D904" s="1" t="s">
        <v>445</v>
      </c>
      <c r="E904">
        <v>967</v>
      </c>
      <c r="F904">
        <v>1079</v>
      </c>
      <c r="G904">
        <v>995</v>
      </c>
      <c r="H904">
        <v>1164</v>
      </c>
    </row>
    <row r="905" spans="1:9">
      <c r="A905">
        <v>2018</v>
      </c>
      <c r="B905">
        <v>18</v>
      </c>
      <c r="C905" s="2">
        <v>43226</v>
      </c>
      <c r="D905" s="1" t="s">
        <v>445</v>
      </c>
      <c r="E905">
        <v>1064</v>
      </c>
      <c r="F905">
        <v>1063</v>
      </c>
      <c r="G905">
        <v>979</v>
      </c>
      <c r="H905">
        <v>1147</v>
      </c>
    </row>
    <row r="906" spans="1:9">
      <c r="A906">
        <v>2018</v>
      </c>
      <c r="B906">
        <v>19</v>
      </c>
      <c r="C906" s="2">
        <v>43233</v>
      </c>
      <c r="D906" s="1" t="s">
        <v>445</v>
      </c>
      <c r="E906">
        <v>1022</v>
      </c>
      <c r="F906">
        <v>1048</v>
      </c>
      <c r="G906">
        <v>965</v>
      </c>
      <c r="H906">
        <v>1132</v>
      </c>
    </row>
    <row r="907" spans="1:9">
      <c r="A907">
        <v>2018</v>
      </c>
      <c r="B907">
        <v>20</v>
      </c>
      <c r="C907" s="2">
        <v>43240</v>
      </c>
      <c r="D907" s="1" t="s">
        <v>445</v>
      </c>
      <c r="E907">
        <v>932</v>
      </c>
      <c r="F907">
        <v>1034</v>
      </c>
      <c r="G907">
        <v>951</v>
      </c>
      <c r="H907">
        <v>1117</v>
      </c>
    </row>
    <row r="908" spans="1:9">
      <c r="A908">
        <v>2018</v>
      </c>
      <c r="B908">
        <v>21</v>
      </c>
      <c r="C908" s="2">
        <v>43247</v>
      </c>
      <c r="D908" s="1" t="s">
        <v>445</v>
      </c>
      <c r="E908">
        <v>1044</v>
      </c>
      <c r="F908">
        <v>1024</v>
      </c>
      <c r="G908">
        <v>942</v>
      </c>
      <c r="H908">
        <v>1106</v>
      </c>
    </row>
    <row r="909" spans="1:9">
      <c r="A909">
        <v>2018</v>
      </c>
      <c r="B909">
        <v>22</v>
      </c>
      <c r="C909" s="2">
        <v>43254</v>
      </c>
      <c r="D909" s="1" t="s">
        <v>445</v>
      </c>
      <c r="E909">
        <v>989</v>
      </c>
      <c r="F909">
        <v>1018</v>
      </c>
      <c r="G909">
        <v>936</v>
      </c>
      <c r="H909">
        <v>1100</v>
      </c>
    </row>
    <row r="910" spans="1:9">
      <c r="A910">
        <v>2018</v>
      </c>
      <c r="B910">
        <v>23</v>
      </c>
      <c r="C910" s="2">
        <v>43261</v>
      </c>
      <c r="D910" s="1" t="s">
        <v>445</v>
      </c>
      <c r="E910">
        <v>984</v>
      </c>
      <c r="F910">
        <v>1012</v>
      </c>
      <c r="G910">
        <v>930</v>
      </c>
      <c r="H910">
        <v>1094</v>
      </c>
    </row>
    <row r="911" spans="1:9">
      <c r="A911">
        <v>2018</v>
      </c>
      <c r="B911">
        <v>24</v>
      </c>
      <c r="C911" s="2">
        <v>43268</v>
      </c>
      <c r="D911" s="1" t="s">
        <v>445</v>
      </c>
      <c r="E911">
        <v>962</v>
      </c>
      <c r="F911">
        <v>1008</v>
      </c>
      <c r="G911">
        <v>926</v>
      </c>
      <c r="H911">
        <v>1090</v>
      </c>
    </row>
    <row r="912" spans="1:9">
      <c r="A912">
        <v>2018</v>
      </c>
      <c r="B912">
        <v>25</v>
      </c>
      <c r="C912" s="2">
        <v>43275</v>
      </c>
      <c r="D912" s="1" t="s">
        <v>445</v>
      </c>
      <c r="E912">
        <v>938</v>
      </c>
      <c r="F912">
        <v>1008</v>
      </c>
      <c r="G912">
        <v>927</v>
      </c>
      <c r="H912">
        <v>1090</v>
      </c>
    </row>
    <row r="913" spans="1:8">
      <c r="A913">
        <v>2018</v>
      </c>
      <c r="B913">
        <v>26</v>
      </c>
      <c r="C913" s="2">
        <v>43282</v>
      </c>
      <c r="D913" s="1" t="s">
        <v>445</v>
      </c>
      <c r="E913">
        <v>1018</v>
      </c>
      <c r="F913">
        <v>1009</v>
      </c>
      <c r="G913">
        <v>927</v>
      </c>
      <c r="H913">
        <v>1090</v>
      </c>
    </row>
    <row r="914" spans="1:8">
      <c r="A914">
        <v>2018</v>
      </c>
      <c r="B914">
        <v>27</v>
      </c>
      <c r="C914" s="2">
        <v>43289</v>
      </c>
      <c r="D914" s="1" t="s">
        <v>445</v>
      </c>
      <c r="E914">
        <v>973</v>
      </c>
      <c r="F914">
        <v>1011</v>
      </c>
      <c r="G914">
        <v>929</v>
      </c>
      <c r="H914">
        <v>1093</v>
      </c>
    </row>
    <row r="915" spans="1:8">
      <c r="A915">
        <v>2018</v>
      </c>
      <c r="B915">
        <v>28</v>
      </c>
      <c r="C915" s="2">
        <v>43296</v>
      </c>
      <c r="D915" s="1" t="s">
        <v>445</v>
      </c>
      <c r="E915">
        <v>918</v>
      </c>
      <c r="F915">
        <v>1012</v>
      </c>
      <c r="G915">
        <v>930</v>
      </c>
      <c r="H915">
        <v>1094</v>
      </c>
    </row>
    <row r="916" spans="1:8">
      <c r="A916">
        <v>2018</v>
      </c>
      <c r="B916">
        <v>29</v>
      </c>
      <c r="C916" s="2">
        <v>43303</v>
      </c>
      <c r="D916" s="1" t="s">
        <v>445</v>
      </c>
      <c r="E916">
        <v>1045</v>
      </c>
      <c r="F916">
        <v>1013</v>
      </c>
      <c r="G916">
        <v>931</v>
      </c>
      <c r="H916">
        <v>1095</v>
      </c>
    </row>
    <row r="917" spans="1:8">
      <c r="A917">
        <v>2018</v>
      </c>
      <c r="B917">
        <v>30</v>
      </c>
      <c r="C917" s="2">
        <v>43310</v>
      </c>
      <c r="D917" s="1" t="s">
        <v>445</v>
      </c>
      <c r="E917">
        <v>1029</v>
      </c>
      <c r="F917">
        <v>1014</v>
      </c>
      <c r="G917">
        <v>932</v>
      </c>
      <c r="H917">
        <v>1096</v>
      </c>
    </row>
    <row r="918" spans="1:8">
      <c r="A918">
        <v>2018</v>
      </c>
      <c r="B918">
        <v>31</v>
      </c>
      <c r="C918" s="2">
        <v>43317</v>
      </c>
      <c r="D918" s="1" t="s">
        <v>445</v>
      </c>
      <c r="E918">
        <v>1056</v>
      </c>
      <c r="F918">
        <v>1016</v>
      </c>
      <c r="G918">
        <v>934</v>
      </c>
      <c r="H918">
        <v>1098</v>
      </c>
    </row>
    <row r="919" spans="1:8">
      <c r="A919">
        <v>2018</v>
      </c>
      <c r="B919">
        <v>32</v>
      </c>
      <c r="C919" s="2">
        <v>43324</v>
      </c>
      <c r="D919" s="1" t="s">
        <v>445</v>
      </c>
      <c r="E919">
        <v>1053</v>
      </c>
      <c r="F919">
        <v>1018</v>
      </c>
      <c r="G919">
        <v>936</v>
      </c>
      <c r="H919">
        <v>1100</v>
      </c>
    </row>
    <row r="920" spans="1:8">
      <c r="A920">
        <v>2018</v>
      </c>
      <c r="B920">
        <v>33</v>
      </c>
      <c r="C920" s="2">
        <v>43331</v>
      </c>
      <c r="D920" s="1" t="s">
        <v>445</v>
      </c>
      <c r="E920">
        <v>1006</v>
      </c>
      <c r="F920">
        <v>1020</v>
      </c>
      <c r="G920">
        <v>938</v>
      </c>
      <c r="H920">
        <v>1102</v>
      </c>
    </row>
    <row r="921" spans="1:8">
      <c r="A921">
        <v>2018</v>
      </c>
      <c r="B921">
        <v>34</v>
      </c>
      <c r="C921" s="2">
        <v>43338</v>
      </c>
      <c r="D921" s="1" t="s">
        <v>445</v>
      </c>
      <c r="E921">
        <v>985</v>
      </c>
      <c r="F921">
        <v>1022</v>
      </c>
      <c r="G921">
        <v>939</v>
      </c>
      <c r="H921">
        <v>1104</v>
      </c>
    </row>
    <row r="922" spans="1:8">
      <c r="A922">
        <v>2018</v>
      </c>
      <c r="B922">
        <v>35</v>
      </c>
      <c r="C922" s="2">
        <v>43345</v>
      </c>
      <c r="D922" s="1" t="s">
        <v>445</v>
      </c>
      <c r="E922">
        <v>1024</v>
      </c>
      <c r="F922">
        <v>1028</v>
      </c>
      <c r="G922">
        <v>945</v>
      </c>
      <c r="H922">
        <v>1110</v>
      </c>
    </row>
    <row r="923" spans="1:8">
      <c r="A923">
        <v>2018</v>
      </c>
      <c r="B923">
        <v>36</v>
      </c>
      <c r="C923" s="2">
        <v>43352</v>
      </c>
      <c r="D923" s="1" t="s">
        <v>445</v>
      </c>
      <c r="E923">
        <v>986</v>
      </c>
      <c r="F923">
        <v>1034</v>
      </c>
      <c r="G923">
        <v>951</v>
      </c>
      <c r="H923">
        <v>1117</v>
      </c>
    </row>
    <row r="924" spans="1:8">
      <c r="A924">
        <v>2018</v>
      </c>
      <c r="B924">
        <v>37</v>
      </c>
      <c r="C924" s="2">
        <v>43359</v>
      </c>
      <c r="D924" s="1" t="s">
        <v>445</v>
      </c>
      <c r="E924">
        <v>1052</v>
      </c>
      <c r="F924">
        <v>1043</v>
      </c>
      <c r="G924">
        <v>960</v>
      </c>
      <c r="H924">
        <v>1126</v>
      </c>
    </row>
    <row r="925" spans="1:8">
      <c r="A925">
        <v>2018</v>
      </c>
      <c r="B925">
        <v>38</v>
      </c>
      <c r="C925" s="2">
        <v>43366</v>
      </c>
      <c r="D925" s="1" t="s">
        <v>445</v>
      </c>
      <c r="E925">
        <v>989</v>
      </c>
      <c r="F925">
        <v>1052</v>
      </c>
      <c r="G925">
        <v>969</v>
      </c>
      <c r="H925">
        <v>1136</v>
      </c>
    </row>
    <row r="926" spans="1:8">
      <c r="A926">
        <v>2018</v>
      </c>
      <c r="B926">
        <v>39</v>
      </c>
      <c r="C926" s="2">
        <v>43373</v>
      </c>
      <c r="D926" s="1" t="s">
        <v>445</v>
      </c>
      <c r="E926">
        <v>1021</v>
      </c>
      <c r="F926">
        <v>1061</v>
      </c>
      <c r="G926">
        <v>977</v>
      </c>
      <c r="H926">
        <v>1145</v>
      </c>
    </row>
    <row r="927" spans="1:8">
      <c r="A927">
        <v>2018</v>
      </c>
      <c r="B927">
        <v>40</v>
      </c>
      <c r="C927" s="2">
        <v>43380</v>
      </c>
      <c r="D927" s="1" t="s">
        <v>445</v>
      </c>
      <c r="E927">
        <v>1042</v>
      </c>
      <c r="F927">
        <v>1072</v>
      </c>
      <c r="G927">
        <v>988</v>
      </c>
      <c r="H927">
        <v>1156</v>
      </c>
    </row>
    <row r="928" spans="1:8">
      <c r="A928">
        <v>2018</v>
      </c>
      <c r="B928">
        <v>41</v>
      </c>
      <c r="C928" s="2">
        <v>43387</v>
      </c>
      <c r="D928" s="1" t="s">
        <v>445</v>
      </c>
      <c r="E928">
        <v>1046</v>
      </c>
      <c r="F928">
        <v>1081</v>
      </c>
      <c r="G928">
        <v>996</v>
      </c>
      <c r="H928">
        <v>1165</v>
      </c>
    </row>
    <row r="929" spans="1:8">
      <c r="A929">
        <v>2018</v>
      </c>
      <c r="B929">
        <v>42</v>
      </c>
      <c r="C929" s="2">
        <v>43394</v>
      </c>
      <c r="D929" s="1" t="s">
        <v>445</v>
      </c>
      <c r="E929">
        <v>1050</v>
      </c>
      <c r="F929">
        <v>1089</v>
      </c>
      <c r="G929">
        <v>1004</v>
      </c>
      <c r="H929">
        <v>1174</v>
      </c>
    </row>
    <row r="930" spans="1:8">
      <c r="A930">
        <v>2018</v>
      </c>
      <c r="B930">
        <v>43</v>
      </c>
      <c r="C930" s="2">
        <v>43401</v>
      </c>
      <c r="D930" s="1" t="s">
        <v>445</v>
      </c>
      <c r="E930">
        <v>1083</v>
      </c>
      <c r="F930">
        <v>1096</v>
      </c>
      <c r="G930">
        <v>1011</v>
      </c>
      <c r="H930">
        <v>1181</v>
      </c>
    </row>
    <row r="931" spans="1:8">
      <c r="A931">
        <v>2018</v>
      </c>
      <c r="B931">
        <v>44</v>
      </c>
      <c r="C931" s="2">
        <v>43408</v>
      </c>
      <c r="D931" s="1" t="s">
        <v>445</v>
      </c>
      <c r="E931">
        <v>1106</v>
      </c>
      <c r="F931">
        <v>1103</v>
      </c>
      <c r="G931">
        <v>1017</v>
      </c>
      <c r="H931">
        <v>1188</v>
      </c>
    </row>
    <row r="932" spans="1:8">
      <c r="A932">
        <v>2018</v>
      </c>
      <c r="B932">
        <v>45</v>
      </c>
      <c r="C932" s="2">
        <v>43415</v>
      </c>
      <c r="D932" s="1" t="s">
        <v>445</v>
      </c>
      <c r="E932">
        <v>1084</v>
      </c>
      <c r="F932">
        <v>1113</v>
      </c>
      <c r="G932">
        <v>1027</v>
      </c>
      <c r="H932">
        <v>1198</v>
      </c>
    </row>
    <row r="933" spans="1:8">
      <c r="A933">
        <v>2018</v>
      </c>
      <c r="B933">
        <v>46</v>
      </c>
      <c r="C933" s="2">
        <v>43422</v>
      </c>
      <c r="D933" s="1" t="s">
        <v>445</v>
      </c>
      <c r="E933">
        <v>1037</v>
      </c>
      <c r="F933">
        <v>1122</v>
      </c>
      <c r="G933">
        <v>1036</v>
      </c>
      <c r="H933">
        <v>1209</v>
      </c>
    </row>
    <row r="934" spans="1:8">
      <c r="A934">
        <v>2018</v>
      </c>
      <c r="B934">
        <v>47</v>
      </c>
      <c r="C934" s="2">
        <v>43429</v>
      </c>
      <c r="D934" s="1" t="s">
        <v>445</v>
      </c>
      <c r="E934">
        <v>1103</v>
      </c>
      <c r="F934">
        <v>1133</v>
      </c>
      <c r="G934">
        <v>1047</v>
      </c>
      <c r="H934">
        <v>1220</v>
      </c>
    </row>
    <row r="935" spans="1:8">
      <c r="A935">
        <v>2018</v>
      </c>
      <c r="B935">
        <v>48</v>
      </c>
      <c r="C935" s="2">
        <v>43436</v>
      </c>
      <c r="D935" s="1" t="s">
        <v>445</v>
      </c>
      <c r="E935">
        <v>1125</v>
      </c>
      <c r="F935">
        <v>1146</v>
      </c>
      <c r="G935">
        <v>1059</v>
      </c>
      <c r="H935">
        <v>1233</v>
      </c>
    </row>
    <row r="936" spans="1:8">
      <c r="A936">
        <v>2018</v>
      </c>
      <c r="B936">
        <v>49</v>
      </c>
      <c r="C936" s="2">
        <v>43443</v>
      </c>
      <c r="D936" s="1" t="s">
        <v>445</v>
      </c>
      <c r="E936">
        <v>1172</v>
      </c>
      <c r="F936">
        <v>1159</v>
      </c>
      <c r="G936">
        <v>1071</v>
      </c>
      <c r="H936">
        <v>1246</v>
      </c>
    </row>
    <row r="937" spans="1:8">
      <c r="A937">
        <v>2018</v>
      </c>
      <c r="B937">
        <v>50</v>
      </c>
      <c r="C937" s="2">
        <v>43450</v>
      </c>
      <c r="D937" s="1" t="s">
        <v>445</v>
      </c>
      <c r="E937">
        <v>1166</v>
      </c>
      <c r="F937">
        <v>1172</v>
      </c>
      <c r="G937">
        <v>1083</v>
      </c>
      <c r="H937">
        <v>1260</v>
      </c>
    </row>
    <row r="938" spans="1:8">
      <c r="A938">
        <v>2018</v>
      </c>
      <c r="B938">
        <v>51</v>
      </c>
      <c r="C938" s="2">
        <v>43457</v>
      </c>
      <c r="D938" s="1" t="s">
        <v>445</v>
      </c>
      <c r="E938">
        <v>1122</v>
      </c>
      <c r="F938">
        <v>1185</v>
      </c>
      <c r="G938">
        <v>1096</v>
      </c>
      <c r="H938">
        <v>1273</v>
      </c>
    </row>
    <row r="939" spans="1:8">
      <c r="A939">
        <v>2018</v>
      </c>
      <c r="B939">
        <v>52</v>
      </c>
      <c r="C939" s="2">
        <v>43464</v>
      </c>
      <c r="D939" s="1" t="s">
        <v>445</v>
      </c>
      <c r="E939">
        <v>1152</v>
      </c>
      <c r="F939">
        <v>1198</v>
      </c>
      <c r="G939">
        <v>1108</v>
      </c>
      <c r="H939">
        <v>1287</v>
      </c>
    </row>
    <row r="940" spans="1:8">
      <c r="A940">
        <v>2019</v>
      </c>
      <c r="B940">
        <v>1</v>
      </c>
      <c r="C940" s="2">
        <v>43471</v>
      </c>
      <c r="D940" s="1" t="s">
        <v>444</v>
      </c>
      <c r="E940">
        <v>156</v>
      </c>
      <c r="F940">
        <v>174</v>
      </c>
      <c r="G940">
        <v>140</v>
      </c>
      <c r="H940">
        <v>208</v>
      </c>
    </row>
    <row r="941" spans="1:8">
      <c r="A941">
        <v>2019</v>
      </c>
      <c r="B941">
        <v>2</v>
      </c>
      <c r="C941" s="2">
        <v>43478</v>
      </c>
      <c r="D941" s="1" t="s">
        <v>444</v>
      </c>
      <c r="E941">
        <v>171</v>
      </c>
      <c r="F941">
        <v>174</v>
      </c>
      <c r="G941">
        <v>140</v>
      </c>
      <c r="H941">
        <v>208</v>
      </c>
    </row>
    <row r="942" spans="1:8">
      <c r="A942">
        <v>2019</v>
      </c>
      <c r="B942">
        <v>3</v>
      </c>
      <c r="C942" s="2">
        <v>43485</v>
      </c>
      <c r="D942" s="1" t="s">
        <v>444</v>
      </c>
      <c r="E942">
        <v>177</v>
      </c>
      <c r="F942">
        <v>175</v>
      </c>
      <c r="G942">
        <v>141</v>
      </c>
      <c r="H942">
        <v>209</v>
      </c>
    </row>
    <row r="943" spans="1:8">
      <c r="A943">
        <v>2019</v>
      </c>
      <c r="B943">
        <v>4</v>
      </c>
      <c r="C943" s="2">
        <v>43492</v>
      </c>
      <c r="D943" s="1" t="s">
        <v>444</v>
      </c>
      <c r="E943">
        <v>172</v>
      </c>
      <c r="F943">
        <v>176</v>
      </c>
      <c r="G943">
        <v>142</v>
      </c>
      <c r="H943">
        <v>210</v>
      </c>
    </row>
    <row r="944" spans="1:8">
      <c r="A944">
        <v>2019</v>
      </c>
      <c r="B944">
        <v>5</v>
      </c>
      <c r="C944" s="2">
        <v>43499</v>
      </c>
      <c r="D944" s="1" t="s">
        <v>444</v>
      </c>
      <c r="E944">
        <v>170</v>
      </c>
      <c r="F944">
        <v>176</v>
      </c>
      <c r="G944">
        <v>142</v>
      </c>
      <c r="H944">
        <v>210</v>
      </c>
    </row>
    <row r="945" spans="1:9">
      <c r="A945">
        <v>2019</v>
      </c>
      <c r="B945">
        <v>6</v>
      </c>
      <c r="C945" s="2">
        <v>43506</v>
      </c>
      <c r="D945" s="1" t="s">
        <v>444</v>
      </c>
      <c r="E945">
        <v>162</v>
      </c>
      <c r="F945">
        <v>177</v>
      </c>
      <c r="G945">
        <v>142</v>
      </c>
      <c r="H945">
        <v>211</v>
      </c>
    </row>
    <row r="946" spans="1:9">
      <c r="A946">
        <v>2019</v>
      </c>
      <c r="B946">
        <v>7</v>
      </c>
      <c r="C946" s="2">
        <v>43513</v>
      </c>
      <c r="D946" s="1" t="s">
        <v>444</v>
      </c>
      <c r="E946">
        <v>175</v>
      </c>
      <c r="F946">
        <v>177</v>
      </c>
      <c r="G946">
        <v>143</v>
      </c>
      <c r="H946">
        <v>211</v>
      </c>
    </row>
    <row r="947" spans="1:9">
      <c r="A947">
        <v>2019</v>
      </c>
      <c r="B947">
        <v>8</v>
      </c>
      <c r="C947" s="2">
        <v>43520</v>
      </c>
      <c r="D947" s="1" t="s">
        <v>444</v>
      </c>
      <c r="E947">
        <v>159</v>
      </c>
      <c r="F947">
        <v>176</v>
      </c>
      <c r="G947">
        <v>142</v>
      </c>
      <c r="H947">
        <v>210</v>
      </c>
    </row>
    <row r="948" spans="1:9">
      <c r="A948">
        <v>2019</v>
      </c>
      <c r="B948">
        <v>9</v>
      </c>
      <c r="C948" s="2">
        <v>43527</v>
      </c>
      <c r="D948" s="1" t="s">
        <v>444</v>
      </c>
      <c r="E948">
        <v>184</v>
      </c>
      <c r="F948">
        <v>174</v>
      </c>
      <c r="G948">
        <v>140</v>
      </c>
      <c r="H948">
        <v>208</v>
      </c>
    </row>
    <row r="949" spans="1:9">
      <c r="A949">
        <v>2019</v>
      </c>
      <c r="B949">
        <v>10</v>
      </c>
      <c r="C949" s="2">
        <v>43534</v>
      </c>
      <c r="D949" s="1" t="s">
        <v>444</v>
      </c>
      <c r="E949">
        <v>178</v>
      </c>
      <c r="F949">
        <v>172</v>
      </c>
      <c r="G949">
        <v>138</v>
      </c>
      <c r="H949">
        <v>206</v>
      </c>
    </row>
    <row r="950" spans="1:9">
      <c r="A950">
        <v>2019</v>
      </c>
      <c r="B950">
        <v>11</v>
      </c>
      <c r="C950" s="2">
        <v>43541</v>
      </c>
      <c r="D950" s="1" t="s">
        <v>444</v>
      </c>
      <c r="E950">
        <v>147</v>
      </c>
      <c r="F950">
        <v>170</v>
      </c>
      <c r="G950">
        <v>136</v>
      </c>
      <c r="H950">
        <v>204</v>
      </c>
    </row>
    <row r="951" spans="1:9">
      <c r="A951">
        <v>2019</v>
      </c>
      <c r="B951">
        <v>12</v>
      </c>
      <c r="C951" s="2">
        <v>43548</v>
      </c>
      <c r="D951" s="1" t="s">
        <v>444</v>
      </c>
      <c r="E951">
        <v>180</v>
      </c>
      <c r="F951">
        <v>167</v>
      </c>
      <c r="G951">
        <v>134</v>
      </c>
      <c r="H951">
        <v>201</v>
      </c>
    </row>
    <row r="952" spans="1:9">
      <c r="A952">
        <v>2019</v>
      </c>
      <c r="B952">
        <v>13</v>
      </c>
      <c r="C952" s="2">
        <v>43555</v>
      </c>
      <c r="D952" s="1" t="s">
        <v>444</v>
      </c>
      <c r="E952">
        <v>182</v>
      </c>
      <c r="F952">
        <v>165</v>
      </c>
      <c r="G952">
        <v>132</v>
      </c>
      <c r="H952">
        <v>198</v>
      </c>
    </row>
    <row r="953" spans="1:9">
      <c r="A953">
        <v>2019</v>
      </c>
      <c r="B953">
        <v>14</v>
      </c>
      <c r="C953" s="2">
        <v>43562</v>
      </c>
      <c r="D953" s="1" t="s">
        <v>444</v>
      </c>
      <c r="E953">
        <v>175</v>
      </c>
      <c r="F953">
        <v>162</v>
      </c>
      <c r="G953">
        <v>129</v>
      </c>
      <c r="H953">
        <v>195</v>
      </c>
    </row>
    <row r="954" spans="1:9">
      <c r="A954">
        <v>2019</v>
      </c>
      <c r="B954">
        <v>15</v>
      </c>
      <c r="C954" s="2">
        <v>43569</v>
      </c>
      <c r="D954" s="1" t="s">
        <v>444</v>
      </c>
      <c r="E954">
        <v>143</v>
      </c>
      <c r="F954">
        <v>161</v>
      </c>
      <c r="G954">
        <v>128</v>
      </c>
      <c r="H954">
        <v>194</v>
      </c>
    </row>
    <row r="955" spans="1:9">
      <c r="A955">
        <v>2019</v>
      </c>
      <c r="B955">
        <v>16</v>
      </c>
      <c r="C955" s="2">
        <v>43576</v>
      </c>
      <c r="D955" s="1" t="s">
        <v>444</v>
      </c>
      <c r="E955">
        <v>172</v>
      </c>
      <c r="F955">
        <v>159</v>
      </c>
      <c r="G955">
        <v>127</v>
      </c>
      <c r="H955">
        <v>192</v>
      </c>
    </row>
    <row r="956" spans="1:9">
      <c r="A956">
        <v>2019</v>
      </c>
      <c r="B956">
        <v>17</v>
      </c>
      <c r="C956" s="2">
        <v>43583</v>
      </c>
      <c r="D956" s="1" t="s">
        <v>444</v>
      </c>
      <c r="E956">
        <v>151</v>
      </c>
      <c r="F956">
        <v>159</v>
      </c>
      <c r="G956">
        <v>126</v>
      </c>
      <c r="H956">
        <v>191</v>
      </c>
    </row>
    <row r="957" spans="1:9">
      <c r="A957">
        <v>2019</v>
      </c>
      <c r="B957">
        <v>18</v>
      </c>
      <c r="C957" s="2">
        <v>43590</v>
      </c>
      <c r="D957" s="1" t="s">
        <v>444</v>
      </c>
      <c r="E957">
        <v>146</v>
      </c>
      <c r="F957">
        <v>158</v>
      </c>
      <c r="G957">
        <v>126</v>
      </c>
      <c r="H957">
        <v>191</v>
      </c>
    </row>
    <row r="958" spans="1:9">
      <c r="A958">
        <v>2019</v>
      </c>
      <c r="B958">
        <v>19</v>
      </c>
      <c r="C958" s="2">
        <v>43597</v>
      </c>
      <c r="D958" s="1" t="s">
        <v>444</v>
      </c>
      <c r="E958">
        <v>197</v>
      </c>
      <c r="F958">
        <v>158</v>
      </c>
      <c r="G958">
        <v>126</v>
      </c>
      <c r="H958">
        <v>191</v>
      </c>
      <c r="I958">
        <v>197</v>
      </c>
    </row>
    <row r="959" spans="1:9">
      <c r="A959">
        <v>2019</v>
      </c>
      <c r="B959">
        <v>20</v>
      </c>
      <c r="C959" s="2">
        <v>43604</v>
      </c>
      <c r="D959" s="1" t="s">
        <v>444</v>
      </c>
      <c r="E959">
        <v>164</v>
      </c>
      <c r="F959">
        <v>158</v>
      </c>
      <c r="G959">
        <v>126</v>
      </c>
      <c r="H959">
        <v>191</v>
      </c>
    </row>
    <row r="960" spans="1:9">
      <c r="A960">
        <v>2019</v>
      </c>
      <c r="B960">
        <v>21</v>
      </c>
      <c r="C960" s="2">
        <v>43611</v>
      </c>
      <c r="D960" s="1" t="s">
        <v>444</v>
      </c>
      <c r="E960">
        <v>180</v>
      </c>
      <c r="F960">
        <v>159</v>
      </c>
      <c r="G960">
        <v>126</v>
      </c>
      <c r="H960">
        <v>191</v>
      </c>
    </row>
    <row r="961" spans="1:8">
      <c r="A961">
        <v>2019</v>
      </c>
      <c r="B961">
        <v>22</v>
      </c>
      <c r="C961" s="2">
        <v>43618</v>
      </c>
      <c r="D961" s="1" t="s">
        <v>444</v>
      </c>
      <c r="E961">
        <v>158</v>
      </c>
      <c r="F961">
        <v>159</v>
      </c>
      <c r="G961">
        <v>127</v>
      </c>
      <c r="H961">
        <v>192</v>
      </c>
    </row>
    <row r="962" spans="1:8">
      <c r="A962">
        <v>2019</v>
      </c>
      <c r="B962">
        <v>23</v>
      </c>
      <c r="C962" s="2">
        <v>43625</v>
      </c>
      <c r="D962" s="1" t="s">
        <v>444</v>
      </c>
      <c r="E962">
        <v>154</v>
      </c>
      <c r="F962">
        <v>160</v>
      </c>
      <c r="G962">
        <v>127</v>
      </c>
      <c r="H962">
        <v>192</v>
      </c>
    </row>
    <row r="963" spans="1:8">
      <c r="A963">
        <v>2019</v>
      </c>
      <c r="B963">
        <v>24</v>
      </c>
      <c r="C963" s="2">
        <v>43632</v>
      </c>
      <c r="D963" s="1" t="s">
        <v>444</v>
      </c>
      <c r="E963">
        <v>177</v>
      </c>
      <c r="F963">
        <v>160</v>
      </c>
      <c r="G963">
        <v>127</v>
      </c>
      <c r="H963">
        <v>192</v>
      </c>
    </row>
    <row r="964" spans="1:8">
      <c r="A964">
        <v>2019</v>
      </c>
      <c r="B964">
        <v>25</v>
      </c>
      <c r="C964" s="2">
        <v>43639</v>
      </c>
      <c r="D964" s="1" t="s">
        <v>444</v>
      </c>
      <c r="E964">
        <v>179</v>
      </c>
      <c r="F964">
        <v>159</v>
      </c>
      <c r="G964">
        <v>127</v>
      </c>
      <c r="H964">
        <v>192</v>
      </c>
    </row>
    <row r="965" spans="1:8">
      <c r="A965">
        <v>2019</v>
      </c>
      <c r="B965">
        <v>26</v>
      </c>
      <c r="C965" s="2">
        <v>43646</v>
      </c>
      <c r="D965" s="1" t="s">
        <v>444</v>
      </c>
      <c r="E965">
        <v>161</v>
      </c>
      <c r="F965">
        <v>159</v>
      </c>
      <c r="G965">
        <v>127</v>
      </c>
      <c r="H965">
        <v>191</v>
      </c>
    </row>
    <row r="966" spans="1:8">
      <c r="A966">
        <v>2019</v>
      </c>
      <c r="B966">
        <v>27</v>
      </c>
      <c r="C966" s="2">
        <v>43653</v>
      </c>
      <c r="D966" s="1" t="s">
        <v>444</v>
      </c>
      <c r="E966">
        <v>177</v>
      </c>
      <c r="F966">
        <v>159</v>
      </c>
      <c r="G966">
        <v>126</v>
      </c>
      <c r="H966">
        <v>191</v>
      </c>
    </row>
    <row r="967" spans="1:8">
      <c r="A967">
        <v>2019</v>
      </c>
      <c r="B967">
        <v>28</v>
      </c>
      <c r="C967" s="2">
        <v>43660</v>
      </c>
      <c r="D967" s="1" t="s">
        <v>444</v>
      </c>
      <c r="E967">
        <v>166</v>
      </c>
      <c r="F967">
        <v>159</v>
      </c>
      <c r="G967">
        <v>126</v>
      </c>
      <c r="H967">
        <v>191</v>
      </c>
    </row>
    <row r="968" spans="1:8">
      <c r="A968">
        <v>2019</v>
      </c>
      <c r="B968">
        <v>29</v>
      </c>
      <c r="C968" s="2">
        <v>43667</v>
      </c>
      <c r="D968" s="1" t="s">
        <v>444</v>
      </c>
      <c r="E968">
        <v>163</v>
      </c>
      <c r="F968">
        <v>159</v>
      </c>
      <c r="G968">
        <v>126</v>
      </c>
      <c r="H968">
        <v>191</v>
      </c>
    </row>
    <row r="969" spans="1:8">
      <c r="A969">
        <v>2019</v>
      </c>
      <c r="B969">
        <v>30</v>
      </c>
      <c r="C969" s="2">
        <v>43674</v>
      </c>
      <c r="D969" s="1" t="s">
        <v>444</v>
      </c>
      <c r="E969">
        <v>138</v>
      </c>
      <c r="F969">
        <v>158</v>
      </c>
      <c r="G969">
        <v>126</v>
      </c>
      <c r="H969">
        <v>191</v>
      </c>
    </row>
    <row r="970" spans="1:8">
      <c r="A970">
        <v>2019</v>
      </c>
      <c r="B970">
        <v>31</v>
      </c>
      <c r="C970" s="2">
        <v>43681</v>
      </c>
      <c r="D970" s="1" t="s">
        <v>444</v>
      </c>
      <c r="E970">
        <v>147</v>
      </c>
      <c r="F970">
        <v>158</v>
      </c>
      <c r="G970">
        <v>126</v>
      </c>
      <c r="H970">
        <v>190</v>
      </c>
    </row>
    <row r="971" spans="1:8">
      <c r="A971">
        <v>2019</v>
      </c>
      <c r="B971">
        <v>32</v>
      </c>
      <c r="C971" s="2">
        <v>43688</v>
      </c>
      <c r="D971" s="1" t="s">
        <v>444</v>
      </c>
      <c r="E971">
        <v>154</v>
      </c>
      <c r="F971">
        <v>158</v>
      </c>
      <c r="G971">
        <v>126</v>
      </c>
      <c r="H971">
        <v>191</v>
      </c>
    </row>
    <row r="972" spans="1:8">
      <c r="A972">
        <v>2019</v>
      </c>
      <c r="B972">
        <v>33</v>
      </c>
      <c r="C972" s="2">
        <v>43695</v>
      </c>
      <c r="D972" s="1" t="s">
        <v>444</v>
      </c>
      <c r="E972">
        <v>148</v>
      </c>
      <c r="F972">
        <v>158</v>
      </c>
      <c r="G972">
        <v>126</v>
      </c>
      <c r="H972">
        <v>191</v>
      </c>
    </row>
    <row r="973" spans="1:8">
      <c r="A973">
        <v>2019</v>
      </c>
      <c r="B973">
        <v>34</v>
      </c>
      <c r="C973" s="2">
        <v>43702</v>
      </c>
      <c r="D973" s="1" t="s">
        <v>444</v>
      </c>
      <c r="E973">
        <v>167</v>
      </c>
      <c r="F973">
        <v>159</v>
      </c>
      <c r="G973">
        <v>126</v>
      </c>
      <c r="H973">
        <v>191</v>
      </c>
    </row>
    <row r="974" spans="1:8">
      <c r="A974">
        <v>2019</v>
      </c>
      <c r="B974">
        <v>35</v>
      </c>
      <c r="C974" s="2">
        <v>43709</v>
      </c>
      <c r="D974" s="1" t="s">
        <v>444</v>
      </c>
      <c r="E974">
        <v>137</v>
      </c>
      <c r="F974">
        <v>160</v>
      </c>
      <c r="G974">
        <v>127</v>
      </c>
      <c r="H974">
        <v>192</v>
      </c>
    </row>
    <row r="975" spans="1:8">
      <c r="A975">
        <v>2019</v>
      </c>
      <c r="B975">
        <v>36</v>
      </c>
      <c r="C975" s="2">
        <v>43716</v>
      </c>
      <c r="D975" s="1" t="s">
        <v>444</v>
      </c>
      <c r="E975">
        <v>141</v>
      </c>
      <c r="F975">
        <v>160</v>
      </c>
      <c r="G975">
        <v>128</v>
      </c>
      <c r="H975">
        <v>193</v>
      </c>
    </row>
    <row r="976" spans="1:8">
      <c r="A976">
        <v>2019</v>
      </c>
      <c r="B976">
        <v>37</v>
      </c>
      <c r="C976" s="2">
        <v>43723</v>
      </c>
      <c r="D976" s="1" t="s">
        <v>444</v>
      </c>
      <c r="E976">
        <v>164</v>
      </c>
      <c r="F976">
        <v>161</v>
      </c>
      <c r="G976">
        <v>128</v>
      </c>
      <c r="H976">
        <v>193</v>
      </c>
    </row>
    <row r="977" spans="1:8">
      <c r="A977">
        <v>2019</v>
      </c>
      <c r="B977">
        <v>38</v>
      </c>
      <c r="C977" s="2">
        <v>43730</v>
      </c>
      <c r="D977" s="1" t="s">
        <v>444</v>
      </c>
      <c r="E977">
        <v>174</v>
      </c>
      <c r="F977">
        <v>161</v>
      </c>
      <c r="G977">
        <v>128</v>
      </c>
      <c r="H977">
        <v>194</v>
      </c>
    </row>
    <row r="978" spans="1:8">
      <c r="A978">
        <v>2019</v>
      </c>
      <c r="B978">
        <v>39</v>
      </c>
      <c r="C978" s="2">
        <v>43737</v>
      </c>
      <c r="D978" s="1" t="s">
        <v>444</v>
      </c>
      <c r="E978">
        <v>163</v>
      </c>
      <c r="F978">
        <v>161</v>
      </c>
      <c r="G978">
        <v>128</v>
      </c>
      <c r="H978">
        <v>194</v>
      </c>
    </row>
    <row r="979" spans="1:8">
      <c r="A979">
        <v>2019</v>
      </c>
      <c r="B979">
        <v>40</v>
      </c>
      <c r="C979" s="2">
        <v>43744</v>
      </c>
      <c r="D979" s="1" t="s">
        <v>444</v>
      </c>
      <c r="E979">
        <v>166</v>
      </c>
      <c r="F979">
        <v>161</v>
      </c>
      <c r="G979">
        <v>129</v>
      </c>
      <c r="H979">
        <v>194</v>
      </c>
    </row>
    <row r="980" spans="1:8">
      <c r="A980">
        <v>2019</v>
      </c>
      <c r="B980">
        <v>41</v>
      </c>
      <c r="C980" s="2">
        <v>43751</v>
      </c>
      <c r="D980" s="1" t="s">
        <v>444</v>
      </c>
      <c r="E980">
        <v>176</v>
      </c>
      <c r="F980">
        <v>162</v>
      </c>
      <c r="G980">
        <v>129</v>
      </c>
      <c r="H980">
        <v>194</v>
      </c>
    </row>
    <row r="981" spans="1:8">
      <c r="A981">
        <v>2019</v>
      </c>
      <c r="B981">
        <v>42</v>
      </c>
      <c r="C981" s="2">
        <v>43758</v>
      </c>
      <c r="D981" s="1" t="s">
        <v>444</v>
      </c>
      <c r="E981">
        <v>174</v>
      </c>
      <c r="F981">
        <v>162</v>
      </c>
      <c r="G981">
        <v>129</v>
      </c>
      <c r="H981">
        <v>195</v>
      </c>
    </row>
    <row r="982" spans="1:8">
      <c r="A982">
        <v>2019</v>
      </c>
      <c r="B982">
        <v>43</v>
      </c>
      <c r="C982" s="2">
        <v>43765</v>
      </c>
      <c r="D982" s="1" t="s">
        <v>444</v>
      </c>
      <c r="E982">
        <v>160</v>
      </c>
      <c r="F982">
        <v>162</v>
      </c>
      <c r="G982">
        <v>130</v>
      </c>
      <c r="H982">
        <v>195</v>
      </c>
    </row>
    <row r="983" spans="1:8">
      <c r="A983">
        <v>2019</v>
      </c>
      <c r="B983">
        <v>44</v>
      </c>
      <c r="C983" s="2">
        <v>43772</v>
      </c>
      <c r="D983" s="1" t="s">
        <v>444</v>
      </c>
      <c r="E983">
        <v>152</v>
      </c>
      <c r="F983">
        <v>163</v>
      </c>
      <c r="G983">
        <v>130</v>
      </c>
      <c r="H983">
        <v>195</v>
      </c>
    </row>
    <row r="984" spans="1:8">
      <c r="A984">
        <v>2019</v>
      </c>
      <c r="B984">
        <v>45</v>
      </c>
      <c r="C984" s="2">
        <v>43779</v>
      </c>
      <c r="D984" s="1" t="s">
        <v>444</v>
      </c>
      <c r="E984">
        <v>130</v>
      </c>
      <c r="F984">
        <v>163</v>
      </c>
      <c r="G984">
        <v>130</v>
      </c>
      <c r="H984">
        <v>196</v>
      </c>
    </row>
    <row r="985" spans="1:8">
      <c r="A985">
        <v>2019</v>
      </c>
      <c r="B985">
        <v>46</v>
      </c>
      <c r="C985" s="2">
        <v>43786</v>
      </c>
      <c r="D985" s="1" t="s">
        <v>444</v>
      </c>
      <c r="E985">
        <v>155</v>
      </c>
      <c r="F985">
        <v>164</v>
      </c>
      <c r="G985">
        <v>131</v>
      </c>
      <c r="H985">
        <v>197</v>
      </c>
    </row>
    <row r="986" spans="1:8">
      <c r="A986">
        <v>2019</v>
      </c>
      <c r="B986">
        <v>47</v>
      </c>
      <c r="C986" s="2">
        <v>43793</v>
      </c>
      <c r="D986" s="1" t="s">
        <v>444</v>
      </c>
      <c r="E986">
        <v>156</v>
      </c>
      <c r="F986">
        <v>165</v>
      </c>
      <c r="G986">
        <v>132</v>
      </c>
      <c r="H986">
        <v>198</v>
      </c>
    </row>
    <row r="987" spans="1:8">
      <c r="A987">
        <v>2019</v>
      </c>
      <c r="B987">
        <v>48</v>
      </c>
      <c r="C987" s="2">
        <v>43800</v>
      </c>
      <c r="D987" s="1" t="s">
        <v>444</v>
      </c>
      <c r="E987">
        <v>171</v>
      </c>
      <c r="F987">
        <v>165</v>
      </c>
      <c r="G987">
        <v>132</v>
      </c>
      <c r="H987">
        <v>199</v>
      </c>
    </row>
    <row r="988" spans="1:8">
      <c r="A988">
        <v>2019</v>
      </c>
      <c r="B988">
        <v>49</v>
      </c>
      <c r="C988" s="2">
        <v>43807</v>
      </c>
      <c r="D988" s="1" t="s">
        <v>444</v>
      </c>
      <c r="E988">
        <v>138</v>
      </c>
      <c r="F988">
        <v>166</v>
      </c>
      <c r="G988">
        <v>133</v>
      </c>
      <c r="H988">
        <v>199</v>
      </c>
    </row>
    <row r="989" spans="1:8">
      <c r="A989">
        <v>2019</v>
      </c>
      <c r="B989">
        <v>50</v>
      </c>
      <c r="C989" s="2">
        <v>43814</v>
      </c>
      <c r="D989" s="1" t="s">
        <v>444</v>
      </c>
      <c r="E989">
        <v>163</v>
      </c>
      <c r="F989">
        <v>167</v>
      </c>
      <c r="G989">
        <v>133</v>
      </c>
      <c r="H989">
        <v>200</v>
      </c>
    </row>
    <row r="990" spans="1:8">
      <c r="A990">
        <v>2019</v>
      </c>
      <c r="B990">
        <v>51</v>
      </c>
      <c r="C990" s="2">
        <v>43821</v>
      </c>
      <c r="D990" s="1" t="s">
        <v>444</v>
      </c>
      <c r="E990">
        <v>175</v>
      </c>
      <c r="F990">
        <v>167</v>
      </c>
      <c r="G990">
        <v>134</v>
      </c>
      <c r="H990">
        <v>201</v>
      </c>
    </row>
    <row r="991" spans="1:8">
      <c r="A991">
        <v>2019</v>
      </c>
      <c r="B991">
        <v>52</v>
      </c>
      <c r="C991" s="2">
        <v>43828</v>
      </c>
      <c r="D991" s="1" t="s">
        <v>444</v>
      </c>
      <c r="E991">
        <v>147</v>
      </c>
      <c r="F991">
        <v>168</v>
      </c>
      <c r="G991">
        <v>135</v>
      </c>
      <c r="H991">
        <v>201</v>
      </c>
    </row>
    <row r="992" spans="1:8">
      <c r="A992">
        <v>2019</v>
      </c>
      <c r="B992">
        <v>1</v>
      </c>
      <c r="C992" s="2">
        <v>43471</v>
      </c>
      <c r="D992" s="1" t="s">
        <v>445</v>
      </c>
      <c r="E992">
        <v>1174</v>
      </c>
      <c r="F992">
        <v>1247</v>
      </c>
      <c r="G992">
        <v>1156</v>
      </c>
      <c r="H992">
        <v>1338</v>
      </c>
    </row>
    <row r="993" spans="1:9">
      <c r="A993">
        <v>2019</v>
      </c>
      <c r="B993">
        <v>2</v>
      </c>
      <c r="C993" s="2">
        <v>43478</v>
      </c>
      <c r="D993" s="1" t="s">
        <v>445</v>
      </c>
      <c r="E993">
        <v>1199</v>
      </c>
      <c r="F993">
        <v>1253</v>
      </c>
      <c r="G993">
        <v>1162</v>
      </c>
      <c r="H993">
        <v>1344</v>
      </c>
    </row>
    <row r="994" spans="1:9">
      <c r="A994">
        <v>2019</v>
      </c>
      <c r="B994">
        <v>3</v>
      </c>
      <c r="C994" s="2">
        <v>43485</v>
      </c>
      <c r="D994" s="1" t="s">
        <v>445</v>
      </c>
      <c r="E994">
        <v>1170</v>
      </c>
      <c r="F994">
        <v>1258</v>
      </c>
      <c r="G994">
        <v>1167</v>
      </c>
      <c r="H994">
        <v>1349</v>
      </c>
    </row>
    <row r="995" spans="1:9">
      <c r="A995">
        <v>2019</v>
      </c>
      <c r="B995">
        <v>4</v>
      </c>
      <c r="C995" s="2">
        <v>43492</v>
      </c>
      <c r="D995" s="1" t="s">
        <v>445</v>
      </c>
      <c r="E995">
        <v>1219</v>
      </c>
      <c r="F995">
        <v>1263</v>
      </c>
      <c r="G995">
        <v>1172</v>
      </c>
      <c r="H995">
        <v>1355</v>
      </c>
    </row>
    <row r="996" spans="1:9">
      <c r="A996">
        <v>2019</v>
      </c>
      <c r="B996">
        <v>5</v>
      </c>
      <c r="C996" s="2">
        <v>43499</v>
      </c>
      <c r="D996" s="1" t="s">
        <v>445</v>
      </c>
      <c r="E996">
        <v>1255</v>
      </c>
      <c r="F996">
        <v>1267</v>
      </c>
      <c r="G996">
        <v>1176</v>
      </c>
      <c r="H996">
        <v>1359</v>
      </c>
    </row>
    <row r="997" spans="1:9">
      <c r="A997">
        <v>2019</v>
      </c>
      <c r="B997">
        <v>6</v>
      </c>
      <c r="C997" s="2">
        <v>43506</v>
      </c>
      <c r="D997" s="1" t="s">
        <v>445</v>
      </c>
      <c r="E997">
        <v>1308</v>
      </c>
      <c r="F997">
        <v>1272</v>
      </c>
      <c r="G997">
        <v>1180</v>
      </c>
      <c r="H997">
        <v>1363</v>
      </c>
    </row>
    <row r="998" spans="1:9">
      <c r="A998">
        <v>2019</v>
      </c>
      <c r="B998">
        <v>7</v>
      </c>
      <c r="C998" s="2">
        <v>43513</v>
      </c>
      <c r="D998" s="1" t="s">
        <v>445</v>
      </c>
      <c r="E998">
        <v>1373</v>
      </c>
      <c r="F998">
        <v>1268</v>
      </c>
      <c r="G998">
        <v>1177</v>
      </c>
      <c r="H998">
        <v>1360</v>
      </c>
      <c r="I998">
        <v>1373</v>
      </c>
    </row>
    <row r="999" spans="1:9">
      <c r="A999">
        <v>2019</v>
      </c>
      <c r="B999">
        <v>8</v>
      </c>
      <c r="C999" s="2">
        <v>43520</v>
      </c>
      <c r="D999" s="1" t="s">
        <v>445</v>
      </c>
      <c r="E999">
        <v>1354</v>
      </c>
      <c r="F999">
        <v>1255</v>
      </c>
      <c r="G999">
        <v>1163</v>
      </c>
      <c r="H999">
        <v>1346</v>
      </c>
      <c r="I999">
        <v>1354</v>
      </c>
    </row>
    <row r="1000" spans="1:9">
      <c r="A1000">
        <v>2019</v>
      </c>
      <c r="B1000">
        <v>9</v>
      </c>
      <c r="C1000" s="2">
        <v>43527</v>
      </c>
      <c r="D1000" s="1" t="s">
        <v>445</v>
      </c>
      <c r="E1000">
        <v>1334</v>
      </c>
      <c r="F1000">
        <v>1241</v>
      </c>
      <c r="G1000">
        <v>1150</v>
      </c>
      <c r="H1000">
        <v>1332</v>
      </c>
      <c r="I1000">
        <v>1334</v>
      </c>
    </row>
    <row r="1001" spans="1:9">
      <c r="A1001">
        <v>2019</v>
      </c>
      <c r="B1001">
        <v>10</v>
      </c>
      <c r="C1001" s="2">
        <v>43534</v>
      </c>
      <c r="D1001" s="1" t="s">
        <v>445</v>
      </c>
      <c r="E1001">
        <v>1269</v>
      </c>
      <c r="F1001">
        <v>1219</v>
      </c>
      <c r="G1001">
        <v>1129</v>
      </c>
      <c r="H1001">
        <v>1309</v>
      </c>
    </row>
    <row r="1002" spans="1:9">
      <c r="A1002">
        <v>2019</v>
      </c>
      <c r="B1002">
        <v>11</v>
      </c>
      <c r="C1002" s="2">
        <v>43541</v>
      </c>
      <c r="D1002" s="1" t="s">
        <v>445</v>
      </c>
      <c r="E1002">
        <v>1223</v>
      </c>
      <c r="F1002">
        <v>1196</v>
      </c>
      <c r="G1002">
        <v>1107</v>
      </c>
      <c r="H1002">
        <v>1285</v>
      </c>
    </row>
    <row r="1003" spans="1:9">
      <c r="A1003">
        <v>2019</v>
      </c>
      <c r="B1003">
        <v>12</v>
      </c>
      <c r="C1003" s="2">
        <v>43548</v>
      </c>
      <c r="D1003" s="1" t="s">
        <v>445</v>
      </c>
      <c r="E1003">
        <v>1159</v>
      </c>
      <c r="F1003">
        <v>1173</v>
      </c>
      <c r="G1003">
        <v>1085</v>
      </c>
      <c r="H1003">
        <v>1262</v>
      </c>
    </row>
    <row r="1004" spans="1:9">
      <c r="A1004">
        <v>2019</v>
      </c>
      <c r="B1004">
        <v>13</v>
      </c>
      <c r="C1004" s="2">
        <v>43555</v>
      </c>
      <c r="D1004" s="1" t="s">
        <v>445</v>
      </c>
      <c r="E1004">
        <v>1124</v>
      </c>
      <c r="F1004">
        <v>1150</v>
      </c>
      <c r="G1004">
        <v>1063</v>
      </c>
      <c r="H1004">
        <v>1238</v>
      </c>
    </row>
    <row r="1005" spans="1:9">
      <c r="A1005">
        <v>2019</v>
      </c>
      <c r="B1005">
        <v>14</v>
      </c>
      <c r="C1005" s="2">
        <v>43562</v>
      </c>
      <c r="D1005" s="1" t="s">
        <v>445</v>
      </c>
      <c r="E1005">
        <v>1199</v>
      </c>
      <c r="F1005">
        <v>1130</v>
      </c>
      <c r="G1005">
        <v>1043</v>
      </c>
      <c r="H1005">
        <v>1216</v>
      </c>
    </row>
    <row r="1006" spans="1:9">
      <c r="A1006">
        <v>2019</v>
      </c>
      <c r="B1006">
        <v>15</v>
      </c>
      <c r="C1006" s="2">
        <v>43569</v>
      </c>
      <c r="D1006" s="1" t="s">
        <v>445</v>
      </c>
      <c r="E1006">
        <v>1070</v>
      </c>
      <c r="F1006">
        <v>1111</v>
      </c>
      <c r="G1006">
        <v>1026</v>
      </c>
      <c r="H1006">
        <v>1197</v>
      </c>
    </row>
    <row r="1007" spans="1:9">
      <c r="A1007">
        <v>2019</v>
      </c>
      <c r="B1007">
        <v>16</v>
      </c>
      <c r="C1007" s="2">
        <v>43576</v>
      </c>
      <c r="D1007" s="1" t="s">
        <v>445</v>
      </c>
      <c r="E1007">
        <v>1121</v>
      </c>
      <c r="F1007">
        <v>1093</v>
      </c>
      <c r="G1007">
        <v>1008</v>
      </c>
      <c r="H1007">
        <v>1179</v>
      </c>
    </row>
    <row r="1008" spans="1:9">
      <c r="A1008">
        <v>2019</v>
      </c>
      <c r="B1008">
        <v>17</v>
      </c>
      <c r="C1008" s="2">
        <v>43583</v>
      </c>
      <c r="D1008" s="1" t="s">
        <v>445</v>
      </c>
      <c r="E1008">
        <v>1076</v>
      </c>
      <c r="F1008">
        <v>1076</v>
      </c>
      <c r="G1008">
        <v>991</v>
      </c>
      <c r="H1008">
        <v>1160</v>
      </c>
    </row>
    <row r="1009" spans="1:8">
      <c r="A1009">
        <v>2019</v>
      </c>
      <c r="B1009">
        <v>18</v>
      </c>
      <c r="C1009" s="2">
        <v>43590</v>
      </c>
      <c r="D1009" s="1" t="s">
        <v>445</v>
      </c>
      <c r="E1009">
        <v>1103</v>
      </c>
      <c r="F1009">
        <v>1058</v>
      </c>
      <c r="G1009">
        <v>974</v>
      </c>
      <c r="H1009">
        <v>1142</v>
      </c>
    </row>
    <row r="1010" spans="1:8">
      <c r="A1010">
        <v>2019</v>
      </c>
      <c r="B1010">
        <v>19</v>
      </c>
      <c r="C1010" s="2">
        <v>43597</v>
      </c>
      <c r="D1010" s="1" t="s">
        <v>445</v>
      </c>
      <c r="E1010">
        <v>1060</v>
      </c>
      <c r="F1010">
        <v>1044</v>
      </c>
      <c r="G1010">
        <v>961</v>
      </c>
      <c r="H1010">
        <v>1128</v>
      </c>
    </row>
    <row r="1011" spans="1:8">
      <c r="A1011">
        <v>2019</v>
      </c>
      <c r="B1011">
        <v>20</v>
      </c>
      <c r="C1011" s="2">
        <v>43604</v>
      </c>
      <c r="D1011" s="1" t="s">
        <v>445</v>
      </c>
      <c r="E1011">
        <v>1038</v>
      </c>
      <c r="F1011">
        <v>1030</v>
      </c>
      <c r="G1011">
        <v>948</v>
      </c>
      <c r="H1011">
        <v>1113</v>
      </c>
    </row>
    <row r="1012" spans="1:8">
      <c r="A1012">
        <v>2019</v>
      </c>
      <c r="B1012">
        <v>21</v>
      </c>
      <c r="C1012" s="2">
        <v>43611</v>
      </c>
      <c r="D1012" s="1" t="s">
        <v>445</v>
      </c>
      <c r="E1012">
        <v>1080</v>
      </c>
      <c r="F1012">
        <v>1021</v>
      </c>
      <c r="G1012">
        <v>938</v>
      </c>
      <c r="H1012">
        <v>1103</v>
      </c>
    </row>
    <row r="1013" spans="1:8">
      <c r="A1013">
        <v>2019</v>
      </c>
      <c r="B1013">
        <v>22</v>
      </c>
      <c r="C1013" s="2">
        <v>43618</v>
      </c>
      <c r="D1013" s="1" t="s">
        <v>445</v>
      </c>
      <c r="E1013">
        <v>1073</v>
      </c>
      <c r="F1013">
        <v>1015</v>
      </c>
      <c r="G1013">
        <v>933</v>
      </c>
      <c r="H1013">
        <v>1097</v>
      </c>
    </row>
    <row r="1014" spans="1:8">
      <c r="A1014">
        <v>2019</v>
      </c>
      <c r="B1014">
        <v>23</v>
      </c>
      <c r="C1014" s="2">
        <v>43625</v>
      </c>
      <c r="D1014" s="1" t="s">
        <v>445</v>
      </c>
      <c r="E1014">
        <v>1077</v>
      </c>
      <c r="F1014">
        <v>1009</v>
      </c>
      <c r="G1014">
        <v>927</v>
      </c>
      <c r="H1014">
        <v>1091</v>
      </c>
    </row>
    <row r="1015" spans="1:8">
      <c r="A1015">
        <v>2019</v>
      </c>
      <c r="B1015">
        <v>24</v>
      </c>
      <c r="C1015" s="2">
        <v>43632</v>
      </c>
      <c r="D1015" s="1" t="s">
        <v>445</v>
      </c>
      <c r="E1015">
        <v>984</v>
      </c>
      <c r="F1015">
        <v>1007</v>
      </c>
      <c r="G1015">
        <v>925</v>
      </c>
      <c r="H1015">
        <v>1089</v>
      </c>
    </row>
    <row r="1016" spans="1:8">
      <c r="A1016">
        <v>2019</v>
      </c>
      <c r="B1016">
        <v>25</v>
      </c>
      <c r="C1016" s="2">
        <v>43639</v>
      </c>
      <c r="D1016" s="1" t="s">
        <v>445</v>
      </c>
      <c r="E1016">
        <v>1020</v>
      </c>
      <c r="F1016">
        <v>1009</v>
      </c>
      <c r="G1016">
        <v>927</v>
      </c>
      <c r="H1016">
        <v>1091</v>
      </c>
    </row>
    <row r="1017" spans="1:8">
      <c r="A1017">
        <v>2019</v>
      </c>
      <c r="B1017">
        <v>26</v>
      </c>
      <c r="C1017" s="2">
        <v>43646</v>
      </c>
      <c r="D1017" s="1" t="s">
        <v>445</v>
      </c>
      <c r="E1017">
        <v>1069</v>
      </c>
      <c r="F1017">
        <v>1010</v>
      </c>
      <c r="G1017">
        <v>929</v>
      </c>
      <c r="H1017">
        <v>1092</v>
      </c>
    </row>
    <row r="1018" spans="1:8">
      <c r="A1018">
        <v>2019</v>
      </c>
      <c r="B1018">
        <v>27</v>
      </c>
      <c r="C1018" s="2">
        <v>43653</v>
      </c>
      <c r="D1018" s="1" t="s">
        <v>445</v>
      </c>
      <c r="E1018">
        <v>1071</v>
      </c>
      <c r="F1018">
        <v>1016</v>
      </c>
      <c r="G1018">
        <v>934</v>
      </c>
      <c r="H1018">
        <v>1098</v>
      </c>
    </row>
    <row r="1019" spans="1:8">
      <c r="A1019">
        <v>2019</v>
      </c>
      <c r="B1019">
        <v>28</v>
      </c>
      <c r="C1019" s="2">
        <v>43660</v>
      </c>
      <c r="D1019" s="1" t="s">
        <v>445</v>
      </c>
      <c r="E1019">
        <v>1052</v>
      </c>
      <c r="F1019">
        <v>1017</v>
      </c>
      <c r="G1019">
        <v>935</v>
      </c>
      <c r="H1019">
        <v>1099</v>
      </c>
    </row>
    <row r="1020" spans="1:8">
      <c r="A1020">
        <v>2019</v>
      </c>
      <c r="B1020">
        <v>29</v>
      </c>
      <c r="C1020" s="2">
        <v>43667</v>
      </c>
      <c r="D1020" s="1" t="s">
        <v>445</v>
      </c>
      <c r="E1020">
        <v>1033</v>
      </c>
      <c r="F1020">
        <v>1019</v>
      </c>
      <c r="G1020">
        <v>937</v>
      </c>
      <c r="H1020">
        <v>1101</v>
      </c>
    </row>
    <row r="1021" spans="1:8">
      <c r="A1021">
        <v>2019</v>
      </c>
      <c r="B1021">
        <v>30</v>
      </c>
      <c r="C1021" s="2">
        <v>43674</v>
      </c>
      <c r="D1021" s="1" t="s">
        <v>445</v>
      </c>
      <c r="E1021">
        <v>1101</v>
      </c>
      <c r="F1021">
        <v>1020</v>
      </c>
      <c r="G1021">
        <v>938</v>
      </c>
      <c r="H1021">
        <v>1102</v>
      </c>
    </row>
    <row r="1022" spans="1:8">
      <c r="A1022">
        <v>2019</v>
      </c>
      <c r="B1022">
        <v>31</v>
      </c>
      <c r="C1022" s="2">
        <v>43681</v>
      </c>
      <c r="D1022" s="1" t="s">
        <v>445</v>
      </c>
      <c r="E1022">
        <v>972</v>
      </c>
      <c r="F1022">
        <v>1021</v>
      </c>
      <c r="G1022">
        <v>939</v>
      </c>
      <c r="H1022">
        <v>1103</v>
      </c>
    </row>
    <row r="1023" spans="1:8">
      <c r="A1023">
        <v>2019</v>
      </c>
      <c r="B1023">
        <v>32</v>
      </c>
      <c r="C1023" s="2">
        <v>43688</v>
      </c>
      <c r="D1023" s="1" t="s">
        <v>445</v>
      </c>
      <c r="E1023">
        <v>971</v>
      </c>
      <c r="F1023">
        <v>1021</v>
      </c>
      <c r="G1023">
        <v>939</v>
      </c>
      <c r="H1023">
        <v>1104</v>
      </c>
    </row>
    <row r="1024" spans="1:8">
      <c r="A1024">
        <v>2019</v>
      </c>
      <c r="B1024">
        <v>33</v>
      </c>
      <c r="C1024" s="2">
        <v>43695</v>
      </c>
      <c r="D1024" s="1" t="s">
        <v>445</v>
      </c>
      <c r="E1024">
        <v>988</v>
      </c>
      <c r="F1024">
        <v>1022</v>
      </c>
      <c r="G1024">
        <v>939</v>
      </c>
      <c r="H1024">
        <v>1104</v>
      </c>
    </row>
    <row r="1025" spans="1:8">
      <c r="A1025">
        <v>2019</v>
      </c>
      <c r="B1025">
        <v>34</v>
      </c>
      <c r="C1025" s="2">
        <v>43702</v>
      </c>
      <c r="D1025" s="1" t="s">
        <v>445</v>
      </c>
      <c r="E1025">
        <v>1069</v>
      </c>
      <c r="F1025">
        <v>1023</v>
      </c>
      <c r="G1025">
        <v>940</v>
      </c>
      <c r="H1025">
        <v>1105</v>
      </c>
    </row>
    <row r="1026" spans="1:8">
      <c r="A1026">
        <v>2019</v>
      </c>
      <c r="B1026">
        <v>35</v>
      </c>
      <c r="C1026" s="2">
        <v>43709</v>
      </c>
      <c r="D1026" s="1" t="s">
        <v>445</v>
      </c>
      <c r="E1026">
        <v>1001</v>
      </c>
      <c r="F1026">
        <v>1030</v>
      </c>
      <c r="G1026">
        <v>947</v>
      </c>
      <c r="H1026">
        <v>1113</v>
      </c>
    </row>
    <row r="1027" spans="1:8">
      <c r="A1027">
        <v>2019</v>
      </c>
      <c r="B1027">
        <v>36</v>
      </c>
      <c r="C1027" s="2">
        <v>43716</v>
      </c>
      <c r="D1027" s="1" t="s">
        <v>445</v>
      </c>
      <c r="E1027">
        <v>1018</v>
      </c>
      <c r="F1027">
        <v>1037</v>
      </c>
      <c r="G1027">
        <v>954</v>
      </c>
      <c r="H1027">
        <v>1120</v>
      </c>
    </row>
    <row r="1028" spans="1:8">
      <c r="A1028">
        <v>2019</v>
      </c>
      <c r="B1028">
        <v>37</v>
      </c>
      <c r="C1028" s="2">
        <v>43723</v>
      </c>
      <c r="D1028" s="1" t="s">
        <v>445</v>
      </c>
      <c r="E1028">
        <v>1066</v>
      </c>
      <c r="F1028">
        <v>1046</v>
      </c>
      <c r="G1028">
        <v>963</v>
      </c>
      <c r="H1028">
        <v>1129</v>
      </c>
    </row>
    <row r="1029" spans="1:8">
      <c r="A1029">
        <v>2019</v>
      </c>
      <c r="B1029">
        <v>38</v>
      </c>
      <c r="C1029" s="2">
        <v>43730</v>
      </c>
      <c r="D1029" s="1" t="s">
        <v>445</v>
      </c>
      <c r="E1029">
        <v>1100</v>
      </c>
      <c r="F1029">
        <v>1055</v>
      </c>
      <c r="G1029">
        <v>972</v>
      </c>
      <c r="H1029">
        <v>1139</v>
      </c>
    </row>
    <row r="1030" spans="1:8">
      <c r="A1030">
        <v>2019</v>
      </c>
      <c r="B1030">
        <v>39</v>
      </c>
      <c r="C1030" s="2">
        <v>43737</v>
      </c>
      <c r="D1030" s="1" t="s">
        <v>445</v>
      </c>
      <c r="E1030">
        <v>1062</v>
      </c>
      <c r="F1030">
        <v>1065</v>
      </c>
      <c r="G1030">
        <v>981</v>
      </c>
      <c r="H1030">
        <v>1149</v>
      </c>
    </row>
    <row r="1031" spans="1:8">
      <c r="A1031">
        <v>2019</v>
      </c>
      <c r="B1031">
        <v>40</v>
      </c>
      <c r="C1031" s="2">
        <v>43744</v>
      </c>
      <c r="D1031" s="1" t="s">
        <v>445</v>
      </c>
      <c r="E1031">
        <v>1050</v>
      </c>
      <c r="F1031">
        <v>1076</v>
      </c>
      <c r="G1031">
        <v>991</v>
      </c>
      <c r="H1031">
        <v>1160</v>
      </c>
    </row>
    <row r="1032" spans="1:8">
      <c r="A1032">
        <v>2019</v>
      </c>
      <c r="B1032">
        <v>41</v>
      </c>
      <c r="C1032" s="2">
        <v>43751</v>
      </c>
      <c r="D1032" s="1" t="s">
        <v>445</v>
      </c>
      <c r="E1032">
        <v>1088</v>
      </c>
      <c r="F1032">
        <v>1085</v>
      </c>
      <c r="G1032">
        <v>1000</v>
      </c>
      <c r="H1032">
        <v>1170</v>
      </c>
    </row>
    <row r="1033" spans="1:8">
      <c r="A1033">
        <v>2019</v>
      </c>
      <c r="B1033">
        <v>42</v>
      </c>
      <c r="C1033" s="2">
        <v>43758</v>
      </c>
      <c r="D1033" s="1" t="s">
        <v>445</v>
      </c>
      <c r="E1033">
        <v>1108</v>
      </c>
      <c r="F1033">
        <v>1094</v>
      </c>
      <c r="G1033">
        <v>1009</v>
      </c>
      <c r="H1033">
        <v>1179</v>
      </c>
    </row>
    <row r="1034" spans="1:8">
      <c r="A1034">
        <v>2019</v>
      </c>
      <c r="B1034">
        <v>43</v>
      </c>
      <c r="C1034" s="2">
        <v>43765</v>
      </c>
      <c r="D1034" s="1" t="s">
        <v>445</v>
      </c>
      <c r="E1034">
        <v>1133</v>
      </c>
      <c r="F1034">
        <v>1099</v>
      </c>
      <c r="G1034">
        <v>1013</v>
      </c>
      <c r="H1034">
        <v>1184</v>
      </c>
    </row>
    <row r="1035" spans="1:8">
      <c r="A1035">
        <v>2019</v>
      </c>
      <c r="B1035">
        <v>44</v>
      </c>
      <c r="C1035" s="2">
        <v>43772</v>
      </c>
      <c r="D1035" s="1" t="s">
        <v>445</v>
      </c>
      <c r="E1035">
        <v>1060</v>
      </c>
      <c r="F1035">
        <v>1103</v>
      </c>
      <c r="G1035">
        <v>1018</v>
      </c>
      <c r="H1035">
        <v>1189</v>
      </c>
    </row>
    <row r="1036" spans="1:8">
      <c r="A1036">
        <v>2019</v>
      </c>
      <c r="B1036">
        <v>45</v>
      </c>
      <c r="C1036" s="2">
        <v>43779</v>
      </c>
      <c r="D1036" s="1" t="s">
        <v>445</v>
      </c>
      <c r="E1036">
        <v>1118</v>
      </c>
      <c r="F1036">
        <v>1113</v>
      </c>
      <c r="G1036">
        <v>1027</v>
      </c>
      <c r="H1036">
        <v>1199</v>
      </c>
    </row>
    <row r="1037" spans="1:8">
      <c r="A1037">
        <v>2019</v>
      </c>
      <c r="B1037">
        <v>46</v>
      </c>
      <c r="C1037" s="2">
        <v>43786</v>
      </c>
      <c r="D1037" s="1" t="s">
        <v>445</v>
      </c>
      <c r="E1037">
        <v>1192</v>
      </c>
      <c r="F1037">
        <v>1123</v>
      </c>
      <c r="G1037">
        <v>1037</v>
      </c>
      <c r="H1037">
        <v>1209</v>
      </c>
    </row>
    <row r="1038" spans="1:8">
      <c r="A1038">
        <v>2019</v>
      </c>
      <c r="B1038">
        <v>47</v>
      </c>
      <c r="C1038" s="2">
        <v>43793</v>
      </c>
      <c r="D1038" s="1" t="s">
        <v>445</v>
      </c>
      <c r="E1038">
        <v>1168</v>
      </c>
      <c r="F1038">
        <v>1133</v>
      </c>
      <c r="G1038">
        <v>1047</v>
      </c>
      <c r="H1038">
        <v>1220</v>
      </c>
    </row>
    <row r="1039" spans="1:8">
      <c r="A1039">
        <v>2019</v>
      </c>
      <c r="B1039">
        <v>48</v>
      </c>
      <c r="C1039" s="2">
        <v>43800</v>
      </c>
      <c r="D1039" s="1" t="s">
        <v>445</v>
      </c>
      <c r="E1039">
        <v>1183</v>
      </c>
      <c r="F1039">
        <v>1146</v>
      </c>
      <c r="G1039">
        <v>1058</v>
      </c>
      <c r="H1039">
        <v>1233</v>
      </c>
    </row>
    <row r="1040" spans="1:8">
      <c r="A1040">
        <v>2019</v>
      </c>
      <c r="B1040">
        <v>49</v>
      </c>
      <c r="C1040" s="2">
        <v>43807</v>
      </c>
      <c r="D1040" s="1" t="s">
        <v>445</v>
      </c>
      <c r="E1040">
        <v>1057</v>
      </c>
      <c r="F1040">
        <v>1158</v>
      </c>
      <c r="G1040">
        <v>1070</v>
      </c>
      <c r="H1040">
        <v>1245</v>
      </c>
    </row>
    <row r="1041" spans="1:8">
      <c r="A1041">
        <v>2019</v>
      </c>
      <c r="B1041">
        <v>50</v>
      </c>
      <c r="C1041" s="2">
        <v>43814</v>
      </c>
      <c r="D1041" s="1" t="s">
        <v>445</v>
      </c>
      <c r="E1041">
        <v>1189</v>
      </c>
      <c r="F1041">
        <v>1170</v>
      </c>
      <c r="G1041">
        <v>1082</v>
      </c>
      <c r="H1041">
        <v>1258</v>
      </c>
    </row>
    <row r="1042" spans="1:8">
      <c r="A1042">
        <v>2019</v>
      </c>
      <c r="B1042">
        <v>51</v>
      </c>
      <c r="C1042" s="2">
        <v>43821</v>
      </c>
      <c r="D1042" s="1" t="s">
        <v>445</v>
      </c>
      <c r="E1042">
        <v>1200</v>
      </c>
      <c r="F1042">
        <v>1181</v>
      </c>
      <c r="G1042">
        <v>1093</v>
      </c>
      <c r="H1042">
        <v>1270</v>
      </c>
    </row>
    <row r="1043" spans="1:8">
      <c r="A1043">
        <v>2019</v>
      </c>
      <c r="B1043">
        <v>52</v>
      </c>
      <c r="C1043" s="2">
        <v>43828</v>
      </c>
      <c r="D1043" s="1" t="s">
        <v>445</v>
      </c>
      <c r="E1043">
        <v>1157</v>
      </c>
      <c r="F1043">
        <v>1193</v>
      </c>
      <c r="G1043">
        <v>1104</v>
      </c>
      <c r="H1043">
        <v>1281</v>
      </c>
    </row>
    <row r="1044" spans="1:8">
      <c r="C1044" s="2"/>
      <c r="D1044" s="1" t="s">
        <v>36</v>
      </c>
    </row>
    <row r="1045" spans="1:8">
      <c r="C1045" s="2"/>
      <c r="D1045" s="1" t="s">
        <v>36</v>
      </c>
    </row>
    <row r="1046" spans="1:8">
      <c r="C1046" s="2"/>
      <c r="D1046" s="1" t="s">
        <v>36</v>
      </c>
    </row>
    <row r="1047" spans="1:8">
      <c r="C1047" s="2"/>
      <c r="D1047" s="1" t="s">
        <v>36</v>
      </c>
    </row>
    <row r="1048" spans="1:8">
      <c r="C1048" s="2"/>
      <c r="D1048" s="1" t="s">
        <v>36</v>
      </c>
    </row>
    <row r="1049" spans="1:8">
      <c r="C1049" s="2"/>
      <c r="D1049" s="1" t="s">
        <v>36</v>
      </c>
    </row>
    <row r="1050" spans="1:8">
      <c r="C1050" s="2"/>
      <c r="D1050" s="1" t="s">
        <v>36</v>
      </c>
    </row>
    <row r="1051" spans="1:8">
      <c r="C1051" s="2"/>
      <c r="D1051" s="1" t="s">
        <v>36</v>
      </c>
    </row>
    <row r="1052" spans="1:8">
      <c r="C1052" s="2"/>
      <c r="D1052" s="1" t="s">
        <v>36</v>
      </c>
    </row>
    <row r="1053" spans="1:8">
      <c r="C1053" s="2"/>
      <c r="D1053" s="1" t="s">
        <v>36</v>
      </c>
    </row>
    <row r="1054" spans="1:8">
      <c r="C1054" s="2"/>
      <c r="D1054" s="1" t="s">
        <v>36</v>
      </c>
    </row>
  </sheetData>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97928-E11F-42B8-93C5-81F9E82AEF25}">
  <sheetPr codeName="Tabelle5"/>
  <dimension ref="A1:G6"/>
  <sheetViews>
    <sheetView tabSelected="1" zoomScale="90" zoomScaleNormal="90" workbookViewId="0">
      <pane ySplit="1" topLeftCell="A2" activePane="bottomLeft" state="frozen"/>
      <selection pane="bottomLeft" activeCell="G81" sqref="G81"/>
    </sheetView>
  </sheetViews>
  <sheetFormatPr baseColWidth="10" defaultColWidth="40.6328125" defaultRowHeight="14.5"/>
  <cols>
    <col min="1" max="16384" width="40.6328125" style="13"/>
  </cols>
  <sheetData>
    <row r="1" spans="1:7" s="25" customFormat="1" ht="20" customHeight="1">
      <c r="A1" s="53" t="s">
        <v>349</v>
      </c>
      <c r="B1" s="53"/>
      <c r="C1" s="53"/>
      <c r="D1" s="53"/>
      <c r="E1" s="53"/>
      <c r="F1" s="53"/>
      <c r="G1" s="24"/>
    </row>
    <row r="2" spans="1:7" s="38" customFormat="1">
      <c r="A2" s="32" t="s">
        <v>305</v>
      </c>
      <c r="B2" s="33" t="s">
        <v>306</v>
      </c>
      <c r="C2" s="33" t="s">
        <v>426</v>
      </c>
      <c r="D2" s="34" t="s">
        <v>307</v>
      </c>
      <c r="E2" s="35" t="s">
        <v>308</v>
      </c>
      <c r="F2" s="36" t="s">
        <v>309</v>
      </c>
      <c r="G2" s="37" t="s">
        <v>348</v>
      </c>
    </row>
    <row r="3" spans="1:7" s="24" customFormat="1" ht="46">
      <c r="A3" s="26">
        <f>analyse!$B$2</f>
        <v>29483</v>
      </c>
      <c r="B3" s="27">
        <f>INDEX(ch_latest!E1:'ch_latest'!E216,COUNTA(ch_latest!E1:'ch_latest'!E216))</f>
        <v>966</v>
      </c>
      <c r="C3" s="27">
        <f>INDEX(ch_latest!D1:'ch_latest'!D216,COUNTA(ch_latest!D1:'ch_latest'!D216))</f>
        <v>169</v>
      </c>
      <c r="D3" s="28">
        <f>MAX(ch_latest!J:J)</f>
        <v>1751</v>
      </c>
      <c r="E3" s="29">
        <f>INDEX(ch_latest!I1:'ch_latest'!I216,COUNTA(ch_latest!I1:'ch_latest'!I216))</f>
        <v>4850</v>
      </c>
      <c r="F3" s="30">
        <f>analyse!$C$5</f>
        <v>173.82888500000001</v>
      </c>
      <c r="G3" s="31">
        <f>analyse!$B$12</f>
        <v>43952</v>
      </c>
    </row>
    <row r="4" spans="1:7" ht="31">
      <c r="A4" s="14">
        <f>analyse!B5</f>
        <v>73</v>
      </c>
      <c r="B4" s="45">
        <f>analyse!$B$17</f>
        <v>-32</v>
      </c>
      <c r="C4" s="45">
        <f>INDEX(ch_latest!D1:'ch_latest'!D216,COUNTA(ch_latest!D1:'ch_latest'!D216)+1)</f>
        <v>0</v>
      </c>
      <c r="D4" s="22">
        <f>INDEX(ch_latest!O1:'ch_latest'!O216,COUNTA(ch_latest!O1:'ch_latest'!O216)+1)</f>
        <v>9</v>
      </c>
      <c r="E4" s="48">
        <f>analyse!$B$10</f>
        <v>31</v>
      </c>
      <c r="F4" s="15"/>
      <c r="G4" s="23">
        <f>analyse!$C$12</f>
        <v>43952.669351851851</v>
      </c>
    </row>
    <row r="6" spans="1:7">
      <c r="G6" s="24"/>
    </row>
  </sheetData>
  <sheetProtection formatCells="0" formatColumns="0" formatRows="0" insertColumns="0" insertRows="0" insertHyperlinks="0" deleteColumns="0" deleteRows="0" sort="0" autoFilter="0" pivotTables="0"/>
  <mergeCells count="1">
    <mergeCell ref="A1:F1"/>
  </mergeCells>
  <pageMargins left="0.7" right="0.7" top="0.78740157499999996" bottom="0.78740157499999996" header="0.3" footer="0.3"/>
  <pageSetup paperSize="9" scale="49" orientation="landscape"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A4171-DC14-4B7E-911B-4838C591F696}">
  <sheetPr codeName="Tabelle9"/>
  <dimension ref="A1:A27"/>
  <sheetViews>
    <sheetView workbookViewId="0">
      <selection activeCell="A2" sqref="A2"/>
    </sheetView>
  </sheetViews>
  <sheetFormatPr baseColWidth="10" defaultRowHeight="14.5"/>
  <cols>
    <col min="1" max="1" width="141.26953125" style="40" customWidth="1"/>
    <col min="2" max="16384" width="10.90625" style="40"/>
  </cols>
  <sheetData>
    <row r="1" spans="1:1" ht="409" customHeight="1">
      <c r="A1" s="44" t="s">
        <v>350</v>
      </c>
    </row>
    <row r="2" spans="1:1" ht="409" customHeight="1">
      <c r="A2" s="39" t="s">
        <v>351</v>
      </c>
    </row>
    <row r="3" spans="1:1">
      <c r="A3" s="39"/>
    </row>
    <row r="4" spans="1:1" ht="15.5">
      <c r="A4" s="43"/>
    </row>
    <row r="5" spans="1:1">
      <c r="A5" s="39"/>
    </row>
    <row r="6" spans="1:1" ht="15.5">
      <c r="A6" s="43"/>
    </row>
    <row r="7" spans="1:1">
      <c r="A7" s="39"/>
    </row>
    <row r="8" spans="1:1">
      <c r="A8" s="39"/>
    </row>
    <row r="9" spans="1:1">
      <c r="A9" s="39"/>
    </row>
    <row r="10" spans="1:1">
      <c r="A10" s="39"/>
    </row>
    <row r="11" spans="1:1">
      <c r="A11" s="41"/>
    </row>
    <row r="12" spans="1:1">
      <c r="A12" s="39"/>
    </row>
    <row r="13" spans="1:1" ht="15.5">
      <c r="A13" s="43"/>
    </row>
    <row r="14" spans="1:1">
      <c r="A14" s="39"/>
    </row>
    <row r="15" spans="1:1" ht="15.5">
      <c r="A15" s="43"/>
    </row>
    <row r="16" spans="1:1">
      <c r="A16" s="39"/>
    </row>
    <row r="17" spans="1:1" ht="15.5">
      <c r="A17" s="43"/>
    </row>
    <row r="18" spans="1:1">
      <c r="A18" s="39"/>
    </row>
    <row r="19" spans="1:1">
      <c r="A19" s="39"/>
    </row>
    <row r="20" spans="1:1">
      <c r="A20" s="39"/>
    </row>
    <row r="21" spans="1:1" ht="15.5">
      <c r="A21" s="43"/>
    </row>
    <row r="22" spans="1:1">
      <c r="A22" s="41"/>
    </row>
    <row r="23" spans="1:1">
      <c r="A23" s="39"/>
    </row>
    <row r="24" spans="1:1">
      <c r="A24" s="39"/>
    </row>
    <row r="25" spans="1:1">
      <c r="A25" s="39"/>
    </row>
    <row r="26" spans="1:1">
      <c r="A26" s="39"/>
    </row>
    <row r="27" spans="1:1">
      <c r="A27" s="42"/>
    </row>
  </sheetData>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B5A1-8A24-42CB-B6DA-0AE728360B4E}">
  <sheetPr codeName="Tabelle1"/>
  <dimension ref="A1:R68"/>
  <sheetViews>
    <sheetView topLeftCell="A19" workbookViewId="0">
      <selection sqref="A1:XFD1048576"/>
    </sheetView>
  </sheetViews>
  <sheetFormatPr baseColWidth="10" defaultRowHeight="14.5"/>
  <cols>
    <col min="1" max="1" width="9.90625" bestFit="1" customWidth="1"/>
    <col min="2" max="2" width="14.90625" bestFit="1" customWidth="1"/>
    <col min="3" max="3" width="9.54296875" bestFit="1" customWidth="1"/>
    <col min="4" max="4" width="15.1796875" bestFit="1" customWidth="1"/>
    <col min="5" max="5" width="18.26953125" bestFit="1" customWidth="1"/>
    <col min="6" max="6" width="23.36328125" bestFit="1" customWidth="1"/>
    <col min="7" max="7" width="14.6328125" bestFit="1" customWidth="1"/>
    <col min="8" max="8" width="17.1796875" bestFit="1" customWidth="1"/>
    <col min="9" max="9" width="10.1796875" bestFit="1" customWidth="1"/>
    <col min="10" max="10" width="8.81640625" bestFit="1" customWidth="1"/>
    <col min="11" max="11" width="18.6328125" bestFit="1" customWidth="1"/>
    <col min="12" max="12" width="14.1796875" bestFit="1" customWidth="1"/>
    <col min="13" max="13" width="13.26953125" bestFit="1" customWidth="1"/>
    <col min="14" max="14" width="27.81640625" bestFit="1" customWidth="1"/>
    <col min="15" max="15" width="13.36328125" bestFit="1" customWidth="1"/>
    <col min="16" max="16" width="12.453125" bestFit="1" customWidth="1"/>
    <col min="17" max="17" width="27.90625" bestFit="1" customWidth="1"/>
    <col min="18" max="18" width="23.6328125" bestFit="1" customWidth="1"/>
  </cols>
  <sheetData>
    <row r="1" spans="1:18">
      <c r="A1" t="s">
        <v>0</v>
      </c>
      <c r="B1" t="s">
        <v>1</v>
      </c>
      <c r="C1" t="s">
        <v>2</v>
      </c>
      <c r="D1" t="s">
        <v>11</v>
      </c>
      <c r="E1" t="s">
        <v>9</v>
      </c>
      <c r="F1" t="s">
        <v>4</v>
      </c>
      <c r="G1" t="s">
        <v>5</v>
      </c>
      <c r="H1" t="s">
        <v>3</v>
      </c>
      <c r="I1" t="s">
        <v>12</v>
      </c>
      <c r="J1" t="s">
        <v>13</v>
      </c>
      <c r="K1" t="s">
        <v>8</v>
      </c>
      <c r="L1" t="s">
        <v>6</v>
      </c>
      <c r="M1" t="s">
        <v>7</v>
      </c>
      <c r="N1" t="s">
        <v>10</v>
      </c>
      <c r="O1" t="s">
        <v>325</v>
      </c>
      <c r="P1" t="s">
        <v>326</v>
      </c>
      <c r="Q1" t="s">
        <v>14</v>
      </c>
      <c r="R1" t="s">
        <v>15</v>
      </c>
    </row>
    <row r="2" spans="1:18">
      <c r="A2" s="2">
        <v>43886</v>
      </c>
      <c r="B2" s="3">
        <v>43952.669351851851</v>
      </c>
      <c r="C2" s="1" t="s">
        <v>16</v>
      </c>
      <c r="D2">
        <v>0</v>
      </c>
      <c r="E2">
        <v>0</v>
      </c>
      <c r="F2">
        <v>1</v>
      </c>
      <c r="G2">
        <v>1</v>
      </c>
      <c r="H2">
        <v>72</v>
      </c>
      <c r="I2">
        <v>0</v>
      </c>
      <c r="J2">
        <v>0</v>
      </c>
      <c r="K2">
        <v>0</v>
      </c>
      <c r="M2">
        <v>0</v>
      </c>
      <c r="N2">
        <v>0</v>
      </c>
      <c r="P2">
        <v>0</v>
      </c>
      <c r="Q2">
        <v>0</v>
      </c>
      <c r="R2">
        <v>0</v>
      </c>
    </row>
    <row r="3" spans="1:18">
      <c r="A3" s="2">
        <v>43887</v>
      </c>
      <c r="B3" s="3">
        <v>43952.669351851851</v>
      </c>
      <c r="C3" s="1" t="s">
        <v>16</v>
      </c>
      <c r="D3">
        <v>0</v>
      </c>
      <c r="E3">
        <v>1</v>
      </c>
      <c r="F3">
        <v>2</v>
      </c>
      <c r="G3">
        <v>2</v>
      </c>
      <c r="H3">
        <v>177</v>
      </c>
      <c r="I3">
        <v>0</v>
      </c>
      <c r="J3">
        <v>0</v>
      </c>
      <c r="K3">
        <v>0</v>
      </c>
      <c r="L3">
        <v>1</v>
      </c>
      <c r="M3">
        <v>1</v>
      </c>
      <c r="N3">
        <v>0</v>
      </c>
      <c r="O3">
        <v>0</v>
      </c>
      <c r="P3">
        <v>0</v>
      </c>
      <c r="Q3">
        <v>0</v>
      </c>
      <c r="R3">
        <v>0</v>
      </c>
    </row>
    <row r="4" spans="1:18">
      <c r="A4" s="2">
        <v>43888</v>
      </c>
      <c r="B4" s="3">
        <v>43952.669351851851</v>
      </c>
      <c r="C4" s="1" t="s">
        <v>16</v>
      </c>
      <c r="D4">
        <v>0</v>
      </c>
      <c r="E4">
        <v>2</v>
      </c>
      <c r="F4">
        <v>6</v>
      </c>
      <c r="G4">
        <v>6</v>
      </c>
      <c r="H4">
        <v>328</v>
      </c>
      <c r="I4">
        <v>0</v>
      </c>
      <c r="J4">
        <v>0</v>
      </c>
      <c r="K4">
        <v>0</v>
      </c>
      <c r="L4">
        <v>4</v>
      </c>
      <c r="M4">
        <v>2</v>
      </c>
      <c r="N4">
        <v>0</v>
      </c>
      <c r="O4">
        <v>0</v>
      </c>
      <c r="P4">
        <v>0</v>
      </c>
      <c r="Q4">
        <v>0</v>
      </c>
      <c r="R4">
        <v>0</v>
      </c>
    </row>
    <row r="5" spans="1:18">
      <c r="A5" s="2">
        <v>43889</v>
      </c>
      <c r="B5" s="3">
        <v>43952.669351851851</v>
      </c>
      <c r="C5" s="1" t="s">
        <v>16</v>
      </c>
      <c r="D5">
        <v>0</v>
      </c>
      <c r="E5">
        <v>12</v>
      </c>
      <c r="F5">
        <v>13</v>
      </c>
      <c r="G5">
        <v>13</v>
      </c>
      <c r="H5">
        <v>535</v>
      </c>
      <c r="I5">
        <v>0</v>
      </c>
      <c r="J5">
        <v>0</v>
      </c>
      <c r="K5">
        <v>0</v>
      </c>
      <c r="L5">
        <v>7</v>
      </c>
      <c r="M5">
        <v>6</v>
      </c>
      <c r="N5">
        <v>0</v>
      </c>
      <c r="O5">
        <v>0</v>
      </c>
      <c r="P5">
        <v>0</v>
      </c>
      <c r="Q5">
        <v>0</v>
      </c>
      <c r="R5">
        <v>0</v>
      </c>
    </row>
    <row r="6" spans="1:18">
      <c r="A6" s="2">
        <v>43890</v>
      </c>
      <c r="B6" s="3">
        <v>43952.669351851851</v>
      </c>
      <c r="C6" s="1" t="s">
        <v>16</v>
      </c>
      <c r="D6">
        <v>0</v>
      </c>
      <c r="E6">
        <v>14</v>
      </c>
      <c r="F6">
        <v>20</v>
      </c>
      <c r="G6">
        <v>20</v>
      </c>
      <c r="H6">
        <v>675</v>
      </c>
      <c r="I6">
        <v>0</v>
      </c>
      <c r="J6">
        <v>0</v>
      </c>
      <c r="K6">
        <v>0</v>
      </c>
      <c r="L6">
        <v>7</v>
      </c>
      <c r="M6">
        <v>13</v>
      </c>
      <c r="N6">
        <v>0</v>
      </c>
      <c r="O6">
        <v>0</v>
      </c>
      <c r="P6">
        <v>0</v>
      </c>
      <c r="Q6">
        <v>0</v>
      </c>
      <c r="R6">
        <v>0</v>
      </c>
    </row>
    <row r="7" spans="1:18">
      <c r="A7" s="2">
        <v>43891</v>
      </c>
      <c r="B7" s="3">
        <v>43952.669351851851</v>
      </c>
      <c r="C7" s="1" t="s">
        <v>16</v>
      </c>
      <c r="D7">
        <v>0</v>
      </c>
      <c r="E7">
        <v>15</v>
      </c>
      <c r="F7">
        <v>27</v>
      </c>
      <c r="G7">
        <v>27</v>
      </c>
      <c r="H7">
        <v>811</v>
      </c>
      <c r="I7">
        <v>0</v>
      </c>
      <c r="J7">
        <v>0</v>
      </c>
      <c r="K7">
        <v>0</v>
      </c>
      <c r="L7">
        <v>7</v>
      </c>
      <c r="M7">
        <v>20</v>
      </c>
      <c r="N7">
        <v>0</v>
      </c>
      <c r="O7">
        <v>0</v>
      </c>
      <c r="P7">
        <v>0</v>
      </c>
      <c r="Q7">
        <v>1.05155</v>
      </c>
      <c r="R7">
        <v>0</v>
      </c>
    </row>
    <row r="8" spans="1:18">
      <c r="A8" s="2">
        <v>43892</v>
      </c>
      <c r="B8" s="3">
        <v>43952.669351851851</v>
      </c>
      <c r="C8" s="1" t="s">
        <v>16</v>
      </c>
      <c r="D8">
        <v>0</v>
      </c>
      <c r="E8">
        <v>21</v>
      </c>
      <c r="F8">
        <v>37</v>
      </c>
      <c r="G8">
        <v>37</v>
      </c>
      <c r="H8">
        <v>1133</v>
      </c>
      <c r="I8">
        <v>0</v>
      </c>
      <c r="J8">
        <v>0</v>
      </c>
      <c r="K8">
        <v>0</v>
      </c>
      <c r="L8">
        <v>10</v>
      </c>
      <c r="M8">
        <v>27</v>
      </c>
      <c r="N8">
        <v>0</v>
      </c>
      <c r="O8">
        <v>0</v>
      </c>
      <c r="P8">
        <v>0</v>
      </c>
      <c r="Q8">
        <v>1.1878029999999999</v>
      </c>
      <c r="R8">
        <v>0</v>
      </c>
    </row>
    <row r="9" spans="1:18">
      <c r="A9" s="2">
        <v>43893</v>
      </c>
      <c r="B9" s="3">
        <v>43952.669351851851</v>
      </c>
      <c r="C9" s="1" t="s">
        <v>16</v>
      </c>
      <c r="D9">
        <v>0</v>
      </c>
      <c r="E9">
        <v>26</v>
      </c>
      <c r="F9">
        <v>54</v>
      </c>
      <c r="G9">
        <v>54</v>
      </c>
      <c r="H9">
        <v>1254</v>
      </c>
      <c r="I9">
        <v>0</v>
      </c>
      <c r="J9">
        <v>0</v>
      </c>
      <c r="K9">
        <v>0</v>
      </c>
      <c r="L9">
        <v>17</v>
      </c>
      <c r="M9">
        <v>37</v>
      </c>
      <c r="N9">
        <v>0</v>
      </c>
      <c r="O9">
        <v>0</v>
      </c>
      <c r="P9">
        <v>0</v>
      </c>
      <c r="Q9">
        <v>1.5773239999999999</v>
      </c>
      <c r="R9">
        <v>0</v>
      </c>
    </row>
    <row r="10" spans="1:18">
      <c r="A10" s="2">
        <v>43894</v>
      </c>
      <c r="B10" s="3">
        <v>43952.669351851851</v>
      </c>
      <c r="C10" s="1" t="s">
        <v>16</v>
      </c>
      <c r="D10">
        <v>1</v>
      </c>
      <c r="E10">
        <v>34</v>
      </c>
      <c r="F10">
        <v>74</v>
      </c>
      <c r="G10">
        <v>74</v>
      </c>
      <c r="H10">
        <v>1365</v>
      </c>
      <c r="I10">
        <v>0</v>
      </c>
      <c r="J10">
        <v>0</v>
      </c>
      <c r="K10">
        <v>0</v>
      </c>
      <c r="L10">
        <v>20</v>
      </c>
      <c r="M10">
        <v>54</v>
      </c>
      <c r="N10">
        <v>0</v>
      </c>
      <c r="O10">
        <v>0</v>
      </c>
      <c r="P10">
        <v>0</v>
      </c>
      <c r="Q10">
        <v>1.992815</v>
      </c>
      <c r="R10">
        <v>0</v>
      </c>
    </row>
    <row r="11" spans="1:18">
      <c r="A11" s="2">
        <v>43895</v>
      </c>
      <c r="B11" s="3">
        <v>43952.669351851851</v>
      </c>
      <c r="C11" s="1" t="s">
        <v>16</v>
      </c>
      <c r="D11">
        <v>1</v>
      </c>
      <c r="E11">
        <v>38</v>
      </c>
      <c r="F11">
        <v>118</v>
      </c>
      <c r="G11">
        <v>118</v>
      </c>
      <c r="H11">
        <v>1432</v>
      </c>
      <c r="I11">
        <v>0</v>
      </c>
      <c r="J11">
        <v>0</v>
      </c>
      <c r="K11">
        <v>0</v>
      </c>
      <c r="L11">
        <v>44</v>
      </c>
      <c r="M11">
        <v>74</v>
      </c>
      <c r="N11">
        <v>0</v>
      </c>
      <c r="O11">
        <v>0</v>
      </c>
      <c r="P11">
        <v>0</v>
      </c>
      <c r="Q11">
        <v>1.95258</v>
      </c>
      <c r="R11">
        <v>0</v>
      </c>
    </row>
    <row r="12" spans="1:18">
      <c r="A12" s="2">
        <v>43896</v>
      </c>
      <c r="B12" s="3">
        <v>43952.669351851851</v>
      </c>
      <c r="C12" s="1" t="s">
        <v>16</v>
      </c>
      <c r="D12">
        <v>4</v>
      </c>
      <c r="E12">
        <v>46</v>
      </c>
      <c r="F12">
        <v>183</v>
      </c>
      <c r="G12">
        <v>183</v>
      </c>
      <c r="H12">
        <v>1534</v>
      </c>
      <c r="I12">
        <v>1</v>
      </c>
      <c r="J12">
        <v>1</v>
      </c>
      <c r="K12">
        <v>0</v>
      </c>
      <c r="L12">
        <v>65</v>
      </c>
      <c r="M12">
        <v>118</v>
      </c>
      <c r="N12">
        <v>0</v>
      </c>
      <c r="O12">
        <v>1</v>
      </c>
      <c r="P12">
        <v>0</v>
      </c>
      <c r="Q12">
        <v>1.811061</v>
      </c>
      <c r="R12">
        <v>0</v>
      </c>
    </row>
    <row r="13" spans="1:18">
      <c r="A13" s="2">
        <v>43897</v>
      </c>
      <c r="B13" s="3">
        <v>43952.669351851851</v>
      </c>
      <c r="C13" s="1" t="s">
        <v>16</v>
      </c>
      <c r="D13">
        <v>6</v>
      </c>
      <c r="E13">
        <v>47</v>
      </c>
      <c r="F13">
        <v>255</v>
      </c>
      <c r="G13">
        <v>255</v>
      </c>
      <c r="H13">
        <v>1609</v>
      </c>
      <c r="I13">
        <v>1</v>
      </c>
      <c r="J13">
        <v>1</v>
      </c>
      <c r="K13">
        <v>0</v>
      </c>
      <c r="L13">
        <v>72</v>
      </c>
      <c r="M13">
        <v>183</v>
      </c>
      <c r="N13">
        <v>0</v>
      </c>
      <c r="O13">
        <v>0</v>
      </c>
      <c r="P13">
        <v>1</v>
      </c>
      <c r="Q13">
        <v>1.7953969999999999</v>
      </c>
      <c r="R13">
        <v>0</v>
      </c>
    </row>
    <row r="14" spans="1:18">
      <c r="A14" s="2">
        <v>43898</v>
      </c>
      <c r="B14" s="3">
        <v>43952.669351851851</v>
      </c>
      <c r="C14" s="1" t="s">
        <v>16</v>
      </c>
      <c r="D14">
        <v>6</v>
      </c>
      <c r="E14">
        <v>60</v>
      </c>
      <c r="F14">
        <v>312</v>
      </c>
      <c r="G14">
        <v>312</v>
      </c>
      <c r="H14">
        <v>1676</v>
      </c>
      <c r="I14">
        <v>1</v>
      </c>
      <c r="J14">
        <v>2</v>
      </c>
      <c r="K14">
        <v>0</v>
      </c>
      <c r="L14">
        <v>57</v>
      </c>
      <c r="M14">
        <v>255</v>
      </c>
      <c r="N14">
        <v>0</v>
      </c>
      <c r="O14">
        <v>1</v>
      </c>
      <c r="P14">
        <v>1</v>
      </c>
      <c r="Q14">
        <v>1.9758830000000001</v>
      </c>
      <c r="R14">
        <v>0</v>
      </c>
    </row>
    <row r="15" spans="1:18">
      <c r="A15" s="2">
        <v>43899</v>
      </c>
      <c r="B15" s="3">
        <v>43952.669351851851</v>
      </c>
      <c r="C15" s="1" t="s">
        <v>16</v>
      </c>
      <c r="D15">
        <v>13</v>
      </c>
      <c r="E15">
        <v>73</v>
      </c>
      <c r="F15">
        <v>396</v>
      </c>
      <c r="G15">
        <v>396</v>
      </c>
      <c r="H15">
        <v>1783</v>
      </c>
      <c r="I15">
        <v>3</v>
      </c>
      <c r="J15">
        <v>2</v>
      </c>
      <c r="K15">
        <v>0</v>
      </c>
      <c r="L15">
        <v>84</v>
      </c>
      <c r="M15">
        <v>312</v>
      </c>
      <c r="N15">
        <v>0</v>
      </c>
      <c r="O15">
        <v>0</v>
      </c>
      <c r="P15">
        <v>2</v>
      </c>
      <c r="Q15">
        <v>2.066198</v>
      </c>
      <c r="R15">
        <v>0</v>
      </c>
    </row>
    <row r="16" spans="1:18">
      <c r="A16" s="2">
        <v>43900</v>
      </c>
      <c r="B16" s="3">
        <v>43952.669351851851</v>
      </c>
      <c r="C16" s="1" t="s">
        <v>16</v>
      </c>
      <c r="D16">
        <v>14</v>
      </c>
      <c r="E16">
        <v>101</v>
      </c>
      <c r="F16">
        <v>534</v>
      </c>
      <c r="G16">
        <v>534</v>
      </c>
      <c r="H16">
        <v>1996</v>
      </c>
      <c r="I16">
        <v>7</v>
      </c>
      <c r="J16">
        <v>4</v>
      </c>
      <c r="K16">
        <v>0</v>
      </c>
      <c r="L16">
        <v>138</v>
      </c>
      <c r="M16">
        <v>396</v>
      </c>
      <c r="N16">
        <v>0</v>
      </c>
      <c r="O16">
        <v>2</v>
      </c>
      <c r="P16">
        <v>2</v>
      </c>
      <c r="Q16">
        <v>2.2956279999999998</v>
      </c>
      <c r="R16">
        <v>0</v>
      </c>
    </row>
    <row r="17" spans="1:18">
      <c r="A17" s="2">
        <v>43901</v>
      </c>
      <c r="B17" s="3">
        <v>43952.669351851851</v>
      </c>
      <c r="C17" s="1" t="s">
        <v>16</v>
      </c>
      <c r="D17">
        <v>17</v>
      </c>
      <c r="E17">
        <v>122</v>
      </c>
      <c r="F17">
        <v>705</v>
      </c>
      <c r="G17">
        <v>705</v>
      </c>
      <c r="H17">
        <v>2247</v>
      </c>
      <c r="I17">
        <v>12</v>
      </c>
      <c r="J17">
        <v>5</v>
      </c>
      <c r="K17">
        <v>0</v>
      </c>
      <c r="L17">
        <v>171</v>
      </c>
      <c r="M17">
        <v>534</v>
      </c>
      <c r="N17">
        <v>0</v>
      </c>
      <c r="O17">
        <v>1</v>
      </c>
      <c r="P17">
        <v>4</v>
      </c>
      <c r="Q17">
        <v>2.5696639999999999</v>
      </c>
      <c r="R17">
        <v>2.1533829999999998</v>
      </c>
    </row>
    <row r="18" spans="1:18">
      <c r="A18" s="2">
        <v>43902</v>
      </c>
      <c r="B18" s="3">
        <v>43952.669351851851</v>
      </c>
      <c r="C18" s="1" t="s">
        <v>16</v>
      </c>
      <c r="D18">
        <v>18</v>
      </c>
      <c r="E18">
        <v>146</v>
      </c>
      <c r="F18">
        <v>1057</v>
      </c>
      <c r="G18">
        <v>1057</v>
      </c>
      <c r="H18">
        <v>2605</v>
      </c>
      <c r="I18">
        <v>13</v>
      </c>
      <c r="J18">
        <v>9</v>
      </c>
      <c r="K18">
        <v>0</v>
      </c>
      <c r="L18">
        <v>352</v>
      </c>
      <c r="M18">
        <v>705</v>
      </c>
      <c r="N18">
        <v>0</v>
      </c>
      <c r="O18">
        <v>4</v>
      </c>
      <c r="P18">
        <v>5</v>
      </c>
      <c r="Q18">
        <v>2.4373520000000002</v>
      </c>
      <c r="R18">
        <v>1.5773239999999999</v>
      </c>
    </row>
    <row r="19" spans="1:18">
      <c r="A19" s="2">
        <v>43903</v>
      </c>
      <c r="B19" s="3">
        <v>43952.669351851851</v>
      </c>
      <c r="C19" s="1" t="s">
        <v>16</v>
      </c>
      <c r="D19">
        <v>33</v>
      </c>
      <c r="E19">
        <v>238</v>
      </c>
      <c r="F19">
        <v>1409</v>
      </c>
      <c r="G19">
        <v>1409</v>
      </c>
      <c r="H19">
        <v>3050</v>
      </c>
      <c r="I19">
        <v>13</v>
      </c>
      <c r="J19">
        <v>10</v>
      </c>
      <c r="K19">
        <v>0</v>
      </c>
      <c r="L19">
        <v>352</v>
      </c>
      <c r="M19">
        <v>1057</v>
      </c>
      <c r="N19">
        <v>0</v>
      </c>
      <c r="O19">
        <v>1</v>
      </c>
      <c r="P19">
        <v>9</v>
      </c>
      <c r="Q19">
        <v>2.298794</v>
      </c>
      <c r="R19">
        <v>2.1533829999999998</v>
      </c>
    </row>
    <row r="20" spans="1:18">
      <c r="A20" s="2">
        <v>43904</v>
      </c>
      <c r="B20" s="3">
        <v>43952.669351851851</v>
      </c>
      <c r="C20" s="1" t="s">
        <v>16</v>
      </c>
      <c r="D20">
        <v>36</v>
      </c>
      <c r="E20">
        <v>263</v>
      </c>
      <c r="F20">
        <v>1742</v>
      </c>
      <c r="G20">
        <v>1742</v>
      </c>
      <c r="H20">
        <v>3675</v>
      </c>
      <c r="I20">
        <v>13</v>
      </c>
      <c r="J20">
        <v>13</v>
      </c>
      <c r="K20">
        <v>0</v>
      </c>
      <c r="L20">
        <v>333</v>
      </c>
      <c r="M20">
        <v>1409</v>
      </c>
      <c r="N20">
        <v>0</v>
      </c>
      <c r="O20">
        <v>3</v>
      </c>
      <c r="P20">
        <v>10</v>
      </c>
      <c r="Q20">
        <v>2.33954</v>
      </c>
      <c r="R20">
        <v>1.85155</v>
      </c>
    </row>
    <row r="21" spans="1:18">
      <c r="A21" s="2">
        <v>43905</v>
      </c>
      <c r="B21" s="3">
        <v>43952.669351851851</v>
      </c>
      <c r="C21" s="1" t="s">
        <v>16</v>
      </c>
      <c r="D21">
        <v>40</v>
      </c>
      <c r="E21">
        <v>287</v>
      </c>
      <c r="F21">
        <v>2028</v>
      </c>
      <c r="G21">
        <v>2028</v>
      </c>
      <c r="H21">
        <v>4078</v>
      </c>
      <c r="I21">
        <v>16</v>
      </c>
      <c r="J21">
        <v>21</v>
      </c>
      <c r="K21">
        <v>0</v>
      </c>
      <c r="L21">
        <v>286</v>
      </c>
      <c r="M21">
        <v>1742</v>
      </c>
      <c r="N21">
        <v>0</v>
      </c>
      <c r="O21">
        <v>8</v>
      </c>
      <c r="P21">
        <v>13</v>
      </c>
      <c r="Q21">
        <v>2.5972059999999999</v>
      </c>
      <c r="R21">
        <v>2.0900240000000001</v>
      </c>
    </row>
    <row r="22" spans="1:18">
      <c r="A22" s="2">
        <v>43906</v>
      </c>
      <c r="B22" s="3">
        <v>43952.669351851851</v>
      </c>
      <c r="C22" s="1" t="s">
        <v>16</v>
      </c>
      <c r="D22">
        <v>51</v>
      </c>
      <c r="E22">
        <v>360</v>
      </c>
      <c r="F22">
        <v>2749</v>
      </c>
      <c r="G22">
        <v>2749</v>
      </c>
      <c r="H22">
        <v>4773</v>
      </c>
      <c r="I22">
        <v>17</v>
      </c>
      <c r="J22">
        <v>30</v>
      </c>
      <c r="K22">
        <v>0</v>
      </c>
      <c r="L22">
        <v>721</v>
      </c>
      <c r="M22">
        <v>2028</v>
      </c>
      <c r="N22">
        <v>0</v>
      </c>
      <c r="O22">
        <v>9</v>
      </c>
      <c r="P22">
        <v>21</v>
      </c>
      <c r="Q22">
        <v>2.5468470000000001</v>
      </c>
      <c r="R22">
        <v>1.934264</v>
      </c>
    </row>
    <row r="23" spans="1:18">
      <c r="A23" s="2">
        <v>43907</v>
      </c>
      <c r="B23" s="3">
        <v>43952.669351851851</v>
      </c>
      <c r="C23" s="1" t="s">
        <v>16</v>
      </c>
      <c r="D23">
        <v>65</v>
      </c>
      <c r="E23">
        <v>427</v>
      </c>
      <c r="F23">
        <v>3620</v>
      </c>
      <c r="G23">
        <v>3620</v>
      </c>
      <c r="H23">
        <v>5406</v>
      </c>
      <c r="I23">
        <v>47</v>
      </c>
      <c r="J23">
        <v>37</v>
      </c>
      <c r="K23">
        <v>0</v>
      </c>
      <c r="L23">
        <v>871</v>
      </c>
      <c r="M23">
        <v>2749</v>
      </c>
      <c r="N23">
        <v>0</v>
      </c>
      <c r="O23">
        <v>7</v>
      </c>
      <c r="P23">
        <v>30</v>
      </c>
      <c r="Q23">
        <v>2.815293</v>
      </c>
      <c r="R23">
        <v>2.4515470000000001</v>
      </c>
    </row>
    <row r="24" spans="1:18">
      <c r="A24" s="2">
        <v>43908</v>
      </c>
      <c r="B24" s="3">
        <v>43952.669351851851</v>
      </c>
      <c r="C24" s="1" t="s">
        <v>16</v>
      </c>
      <c r="D24">
        <v>68</v>
      </c>
      <c r="E24">
        <v>490</v>
      </c>
      <c r="F24">
        <v>4792</v>
      </c>
      <c r="G24">
        <v>4792</v>
      </c>
      <c r="H24">
        <v>6314</v>
      </c>
      <c r="I24">
        <v>65</v>
      </c>
      <c r="J24">
        <v>48</v>
      </c>
      <c r="K24">
        <v>0</v>
      </c>
      <c r="L24">
        <v>1172</v>
      </c>
      <c r="M24">
        <v>3620</v>
      </c>
      <c r="N24">
        <v>0</v>
      </c>
      <c r="O24">
        <v>11</v>
      </c>
      <c r="P24">
        <v>37</v>
      </c>
      <c r="Q24">
        <v>2.8313269999999999</v>
      </c>
      <c r="R24">
        <v>2.2094230000000001</v>
      </c>
    </row>
    <row r="25" spans="1:18">
      <c r="A25" s="2">
        <v>43909</v>
      </c>
      <c r="B25" s="3">
        <v>43952.669351851851</v>
      </c>
      <c r="C25" s="1" t="s">
        <v>16</v>
      </c>
      <c r="D25">
        <v>107</v>
      </c>
      <c r="E25">
        <v>689</v>
      </c>
      <c r="F25">
        <v>5819</v>
      </c>
      <c r="G25">
        <v>5819</v>
      </c>
      <c r="H25">
        <v>6974</v>
      </c>
      <c r="I25">
        <v>73</v>
      </c>
      <c r="J25">
        <v>57</v>
      </c>
      <c r="K25">
        <v>0</v>
      </c>
      <c r="L25">
        <v>1027</v>
      </c>
      <c r="M25">
        <v>4792</v>
      </c>
      <c r="N25">
        <v>0</v>
      </c>
      <c r="O25">
        <v>9</v>
      </c>
      <c r="P25">
        <v>48</v>
      </c>
      <c r="Q25">
        <v>2.8735189999999999</v>
      </c>
      <c r="R25">
        <v>2.3447209999999998</v>
      </c>
    </row>
    <row r="26" spans="1:18">
      <c r="A26" s="2">
        <v>43910</v>
      </c>
      <c r="B26" s="3">
        <v>43952.669351851851</v>
      </c>
      <c r="C26" s="1" t="s">
        <v>16</v>
      </c>
      <c r="D26">
        <v>116</v>
      </c>
      <c r="E26">
        <v>797</v>
      </c>
      <c r="F26">
        <v>6954</v>
      </c>
      <c r="G26">
        <v>6954</v>
      </c>
      <c r="H26">
        <v>7388</v>
      </c>
      <c r="I26">
        <v>77</v>
      </c>
      <c r="J26">
        <v>78</v>
      </c>
      <c r="K26">
        <v>0</v>
      </c>
      <c r="L26">
        <v>1135</v>
      </c>
      <c r="M26">
        <v>5819</v>
      </c>
      <c r="N26">
        <v>0</v>
      </c>
      <c r="O26">
        <v>21</v>
      </c>
      <c r="P26">
        <v>57</v>
      </c>
      <c r="Q26">
        <v>2.8124880000000001</v>
      </c>
      <c r="R26">
        <v>2.6411920000000002</v>
      </c>
    </row>
    <row r="27" spans="1:18">
      <c r="A27" s="2">
        <v>43911</v>
      </c>
      <c r="B27" s="3">
        <v>43952.669351851851</v>
      </c>
      <c r="C27" s="1" t="s">
        <v>16</v>
      </c>
      <c r="D27">
        <v>137</v>
      </c>
      <c r="E27">
        <v>904</v>
      </c>
      <c r="F27">
        <v>7651</v>
      </c>
      <c r="G27">
        <v>7651</v>
      </c>
      <c r="H27">
        <v>7750</v>
      </c>
      <c r="I27">
        <v>91</v>
      </c>
      <c r="J27">
        <v>98</v>
      </c>
      <c r="K27">
        <v>0</v>
      </c>
      <c r="L27">
        <v>697</v>
      </c>
      <c r="M27">
        <v>6954</v>
      </c>
      <c r="N27">
        <v>0</v>
      </c>
      <c r="O27">
        <v>20</v>
      </c>
      <c r="P27">
        <v>78</v>
      </c>
      <c r="Q27">
        <v>3.3858329999999999</v>
      </c>
      <c r="R27">
        <v>2.9277099999999998</v>
      </c>
    </row>
    <row r="28" spans="1:18">
      <c r="A28" s="2">
        <v>43912</v>
      </c>
      <c r="B28" s="3">
        <v>43952.669351851851</v>
      </c>
      <c r="C28" s="1" t="s">
        <v>16</v>
      </c>
      <c r="D28">
        <v>168</v>
      </c>
      <c r="E28">
        <v>1090</v>
      </c>
      <c r="F28">
        <v>8220</v>
      </c>
      <c r="G28">
        <v>8220</v>
      </c>
      <c r="H28">
        <v>7985</v>
      </c>
      <c r="I28">
        <v>107</v>
      </c>
      <c r="J28">
        <v>113</v>
      </c>
      <c r="K28">
        <v>0</v>
      </c>
      <c r="L28">
        <v>569</v>
      </c>
      <c r="M28">
        <v>7651</v>
      </c>
      <c r="N28">
        <v>0</v>
      </c>
      <c r="O28">
        <v>15</v>
      </c>
      <c r="P28">
        <v>98</v>
      </c>
      <c r="Q28">
        <v>4.2260119999999999</v>
      </c>
      <c r="R28">
        <v>3.1041910000000001</v>
      </c>
    </row>
    <row r="29" spans="1:18">
      <c r="A29" s="2">
        <v>43913</v>
      </c>
      <c r="B29" s="3">
        <v>43952.669351851851</v>
      </c>
      <c r="C29" s="1" t="s">
        <v>16</v>
      </c>
      <c r="D29">
        <v>202</v>
      </c>
      <c r="E29">
        <v>1207</v>
      </c>
      <c r="F29">
        <v>9737</v>
      </c>
      <c r="G29">
        <v>9737</v>
      </c>
      <c r="H29">
        <v>8363</v>
      </c>
      <c r="I29">
        <v>127</v>
      </c>
      <c r="J29">
        <v>143</v>
      </c>
      <c r="K29">
        <v>0</v>
      </c>
      <c r="L29">
        <v>1517</v>
      </c>
      <c r="M29">
        <v>8220</v>
      </c>
      <c r="N29">
        <v>0</v>
      </c>
      <c r="O29">
        <v>30</v>
      </c>
      <c r="P29">
        <v>113</v>
      </c>
      <c r="Q29">
        <v>4.8883049999999999</v>
      </c>
      <c r="R29">
        <v>3.1747869999999998</v>
      </c>
    </row>
    <row r="30" spans="1:18">
      <c r="A30" s="2">
        <v>43914</v>
      </c>
      <c r="B30" s="3">
        <v>43952.669351851851</v>
      </c>
      <c r="C30" s="1" t="s">
        <v>16</v>
      </c>
      <c r="D30">
        <v>204</v>
      </c>
      <c r="E30">
        <v>1364</v>
      </c>
      <c r="F30">
        <v>10823</v>
      </c>
      <c r="G30">
        <v>10823</v>
      </c>
      <c r="H30">
        <v>8706</v>
      </c>
      <c r="I30">
        <v>279</v>
      </c>
      <c r="J30">
        <v>165</v>
      </c>
      <c r="K30">
        <v>0</v>
      </c>
      <c r="L30">
        <v>1086</v>
      </c>
      <c r="M30">
        <v>9737</v>
      </c>
      <c r="N30">
        <v>0</v>
      </c>
      <c r="O30">
        <v>22</v>
      </c>
      <c r="P30">
        <v>143</v>
      </c>
      <c r="Q30">
        <v>5.5849869999999999</v>
      </c>
      <c r="R30">
        <v>3.260659</v>
      </c>
    </row>
    <row r="31" spans="1:18">
      <c r="A31" s="2">
        <v>43915</v>
      </c>
      <c r="B31" s="3">
        <v>43952.669351851851</v>
      </c>
      <c r="C31" s="1" t="s">
        <v>16</v>
      </c>
      <c r="D31">
        <v>239</v>
      </c>
      <c r="E31">
        <v>1462</v>
      </c>
      <c r="F31">
        <v>11945</v>
      </c>
      <c r="G31">
        <v>11945</v>
      </c>
      <c r="H31">
        <v>9111</v>
      </c>
      <c r="I31">
        <v>333</v>
      </c>
      <c r="J31">
        <v>200</v>
      </c>
      <c r="K31">
        <v>0</v>
      </c>
      <c r="L31">
        <v>1122</v>
      </c>
      <c r="M31">
        <v>10823</v>
      </c>
      <c r="N31">
        <v>0</v>
      </c>
      <c r="O31">
        <v>35</v>
      </c>
      <c r="P31">
        <v>165</v>
      </c>
      <c r="Q31">
        <v>6.4062169999999998</v>
      </c>
      <c r="R31">
        <v>3.6806549999999998</v>
      </c>
    </row>
    <row r="32" spans="1:18">
      <c r="A32" s="2">
        <v>43916</v>
      </c>
      <c r="B32" s="3">
        <v>43952.669351851851</v>
      </c>
      <c r="C32" s="1" t="s">
        <v>16</v>
      </c>
      <c r="D32">
        <v>268</v>
      </c>
      <c r="E32">
        <v>1608</v>
      </c>
      <c r="F32">
        <v>13058</v>
      </c>
      <c r="G32">
        <v>13058</v>
      </c>
      <c r="H32">
        <v>10418</v>
      </c>
      <c r="I32">
        <v>412</v>
      </c>
      <c r="J32">
        <v>245</v>
      </c>
      <c r="K32">
        <v>0</v>
      </c>
      <c r="L32">
        <v>1113</v>
      </c>
      <c r="M32">
        <v>11945</v>
      </c>
      <c r="N32">
        <v>0</v>
      </c>
      <c r="O32">
        <v>45</v>
      </c>
      <c r="P32">
        <v>200</v>
      </c>
      <c r="Q32">
        <v>6.4832869999999998</v>
      </c>
      <c r="R32">
        <v>3.7823540000000002</v>
      </c>
    </row>
    <row r="33" spans="1:18">
      <c r="A33" s="2">
        <v>43917</v>
      </c>
      <c r="B33" s="3">
        <v>43952.669351851851</v>
      </c>
      <c r="C33" s="1" t="s">
        <v>16</v>
      </c>
      <c r="D33">
        <v>292</v>
      </c>
      <c r="E33">
        <v>1789</v>
      </c>
      <c r="F33">
        <v>14392</v>
      </c>
      <c r="G33">
        <v>14392</v>
      </c>
      <c r="H33">
        <v>10908</v>
      </c>
      <c r="I33">
        <v>481</v>
      </c>
      <c r="J33">
        <v>282</v>
      </c>
      <c r="K33">
        <v>0</v>
      </c>
      <c r="L33">
        <v>1334</v>
      </c>
      <c r="M33">
        <v>13058</v>
      </c>
      <c r="N33">
        <v>0</v>
      </c>
      <c r="O33">
        <v>37</v>
      </c>
      <c r="P33">
        <v>245</v>
      </c>
      <c r="Q33">
        <v>6.187684</v>
      </c>
      <c r="R33">
        <v>3.7896809999999999</v>
      </c>
    </row>
    <row r="34" spans="1:18">
      <c r="A34" s="2">
        <v>43918</v>
      </c>
      <c r="B34" s="3">
        <v>43952.669351851851</v>
      </c>
      <c r="C34" s="1" t="s">
        <v>16</v>
      </c>
      <c r="D34">
        <v>322</v>
      </c>
      <c r="E34">
        <v>1876</v>
      </c>
      <c r="F34">
        <v>15225</v>
      </c>
      <c r="G34">
        <v>15225</v>
      </c>
      <c r="H34">
        <v>11501</v>
      </c>
      <c r="I34">
        <v>551</v>
      </c>
      <c r="J34">
        <v>334</v>
      </c>
      <c r="K34">
        <v>0</v>
      </c>
      <c r="L34">
        <v>833</v>
      </c>
      <c r="M34">
        <v>14392</v>
      </c>
      <c r="N34">
        <v>0</v>
      </c>
      <c r="O34">
        <v>52</v>
      </c>
      <c r="P34">
        <v>282</v>
      </c>
      <c r="Q34">
        <v>7.7532240000000003</v>
      </c>
      <c r="R34">
        <v>4.0855249999999996</v>
      </c>
    </row>
    <row r="35" spans="1:18">
      <c r="A35" s="2">
        <v>43919</v>
      </c>
      <c r="B35" s="3">
        <v>43952.669351851851</v>
      </c>
      <c r="C35" s="1" t="s">
        <v>16</v>
      </c>
      <c r="D35">
        <v>336</v>
      </c>
      <c r="E35">
        <v>1990</v>
      </c>
      <c r="F35">
        <v>15823</v>
      </c>
      <c r="G35">
        <v>15823</v>
      </c>
      <c r="H35">
        <v>11810</v>
      </c>
      <c r="I35">
        <v>601</v>
      </c>
      <c r="J35">
        <v>378</v>
      </c>
      <c r="K35">
        <v>0</v>
      </c>
      <c r="L35">
        <v>598</v>
      </c>
      <c r="M35">
        <v>15225</v>
      </c>
      <c r="N35">
        <v>0</v>
      </c>
      <c r="O35">
        <v>44</v>
      </c>
      <c r="P35">
        <v>334</v>
      </c>
      <c r="Q35">
        <v>9.125375</v>
      </c>
      <c r="R35">
        <v>4.1808810000000003</v>
      </c>
    </row>
    <row r="36" spans="1:18">
      <c r="A36" s="2">
        <v>43920</v>
      </c>
      <c r="B36" s="3">
        <v>43952.669351851851</v>
      </c>
      <c r="C36" s="1" t="s">
        <v>16</v>
      </c>
      <c r="D36">
        <v>382</v>
      </c>
      <c r="E36">
        <v>2174</v>
      </c>
      <c r="F36">
        <v>16938</v>
      </c>
      <c r="G36">
        <v>16938</v>
      </c>
      <c r="H36">
        <v>12476</v>
      </c>
      <c r="I36">
        <v>716</v>
      </c>
      <c r="J36">
        <v>439</v>
      </c>
      <c r="K36">
        <v>0</v>
      </c>
      <c r="L36">
        <v>1115</v>
      </c>
      <c r="M36">
        <v>15823</v>
      </c>
      <c r="N36">
        <v>0</v>
      </c>
      <c r="O36">
        <v>61</v>
      </c>
      <c r="P36">
        <v>378</v>
      </c>
      <c r="Q36">
        <v>9.9234570000000009</v>
      </c>
      <c r="R36">
        <v>4.4083119999999996</v>
      </c>
    </row>
    <row r="37" spans="1:18">
      <c r="A37" s="2">
        <v>43921</v>
      </c>
      <c r="B37" s="3">
        <v>43952.669351851851</v>
      </c>
      <c r="C37" s="1" t="s">
        <v>16</v>
      </c>
      <c r="D37">
        <v>408</v>
      </c>
      <c r="E37">
        <v>2202</v>
      </c>
      <c r="F37">
        <v>17856</v>
      </c>
      <c r="G37">
        <v>17856</v>
      </c>
      <c r="H37">
        <v>13236</v>
      </c>
      <c r="I37">
        <v>1083</v>
      </c>
      <c r="J37">
        <v>504</v>
      </c>
      <c r="K37">
        <v>0</v>
      </c>
      <c r="L37">
        <v>918</v>
      </c>
      <c r="M37">
        <v>16938</v>
      </c>
      <c r="N37">
        <v>0</v>
      </c>
      <c r="O37">
        <v>65</v>
      </c>
      <c r="P37">
        <v>439</v>
      </c>
      <c r="Q37">
        <v>11.074811</v>
      </c>
      <c r="R37">
        <v>4.8047259999999996</v>
      </c>
    </row>
    <row r="38" spans="1:18">
      <c r="A38" s="2">
        <v>43922</v>
      </c>
      <c r="B38" s="3">
        <v>43952.669351851851</v>
      </c>
      <c r="C38" s="1" t="s">
        <v>16</v>
      </c>
      <c r="D38">
        <v>437</v>
      </c>
      <c r="E38">
        <v>2280</v>
      </c>
      <c r="F38">
        <v>18904</v>
      </c>
      <c r="G38">
        <v>18904</v>
      </c>
      <c r="H38">
        <v>13892</v>
      </c>
      <c r="I38">
        <v>1254</v>
      </c>
      <c r="J38">
        <v>567</v>
      </c>
      <c r="K38">
        <v>0</v>
      </c>
      <c r="L38">
        <v>1048</v>
      </c>
      <c r="M38">
        <v>17856</v>
      </c>
      <c r="N38">
        <v>0</v>
      </c>
      <c r="O38">
        <v>63</v>
      </c>
      <c r="P38">
        <v>504</v>
      </c>
      <c r="Q38">
        <v>12.708921</v>
      </c>
      <c r="R38">
        <v>4.9620230000000003</v>
      </c>
    </row>
    <row r="39" spans="1:18">
      <c r="A39" s="2">
        <v>43923</v>
      </c>
      <c r="B39" s="3">
        <v>43952.669351851851</v>
      </c>
      <c r="C39" s="1" t="s">
        <v>16</v>
      </c>
      <c r="D39">
        <v>442</v>
      </c>
      <c r="E39">
        <v>2343</v>
      </c>
      <c r="F39">
        <v>19924</v>
      </c>
      <c r="G39">
        <v>19924</v>
      </c>
      <c r="H39">
        <v>14839</v>
      </c>
      <c r="I39">
        <v>1465</v>
      </c>
      <c r="J39">
        <v>628</v>
      </c>
      <c r="K39">
        <v>0</v>
      </c>
      <c r="L39">
        <v>1020</v>
      </c>
      <c r="M39">
        <v>18904</v>
      </c>
      <c r="N39">
        <v>0</v>
      </c>
      <c r="O39">
        <v>61</v>
      </c>
      <c r="P39">
        <v>567</v>
      </c>
      <c r="Q39">
        <v>12.884437</v>
      </c>
      <c r="R39">
        <v>5.4889780000000004</v>
      </c>
    </row>
    <row r="40" spans="1:18">
      <c r="A40" s="2">
        <v>43924</v>
      </c>
      <c r="B40" s="3">
        <v>43952.669351851851</v>
      </c>
      <c r="C40" s="1" t="s">
        <v>16</v>
      </c>
      <c r="D40">
        <v>452</v>
      </c>
      <c r="E40">
        <v>2324</v>
      </c>
      <c r="F40">
        <v>20878</v>
      </c>
      <c r="G40">
        <v>20878</v>
      </c>
      <c r="H40">
        <v>15668</v>
      </c>
      <c r="I40">
        <v>1571</v>
      </c>
      <c r="J40">
        <v>689</v>
      </c>
      <c r="K40">
        <v>0</v>
      </c>
      <c r="L40">
        <v>954</v>
      </c>
      <c r="M40">
        <v>19924</v>
      </c>
      <c r="N40">
        <v>0</v>
      </c>
      <c r="O40">
        <v>61</v>
      </c>
      <c r="P40">
        <v>628</v>
      </c>
      <c r="Q40">
        <v>12.501239</v>
      </c>
      <c r="R40">
        <v>5.7728869999999999</v>
      </c>
    </row>
    <row r="41" spans="1:18">
      <c r="A41" s="2">
        <v>43925</v>
      </c>
      <c r="B41" s="3">
        <v>43952.669351851851</v>
      </c>
      <c r="C41" s="1" t="s">
        <v>16</v>
      </c>
      <c r="D41">
        <v>454</v>
      </c>
      <c r="E41">
        <v>2311</v>
      </c>
      <c r="F41">
        <v>21445</v>
      </c>
      <c r="G41">
        <v>21445</v>
      </c>
      <c r="H41">
        <v>16259</v>
      </c>
      <c r="I41">
        <v>1726</v>
      </c>
      <c r="J41">
        <v>756</v>
      </c>
      <c r="K41">
        <v>0</v>
      </c>
      <c r="L41">
        <v>567</v>
      </c>
      <c r="M41">
        <v>20878</v>
      </c>
      <c r="N41">
        <v>0</v>
      </c>
      <c r="O41">
        <v>67</v>
      </c>
      <c r="P41">
        <v>689</v>
      </c>
      <c r="Q41">
        <v>14.68956</v>
      </c>
      <c r="R41">
        <v>6.376207</v>
      </c>
    </row>
    <row r="42" spans="1:18">
      <c r="A42" s="2">
        <v>43926</v>
      </c>
      <c r="B42" s="3">
        <v>43952.669351851851</v>
      </c>
      <c r="C42" s="1" t="s">
        <v>16</v>
      </c>
      <c r="D42">
        <v>444</v>
      </c>
      <c r="E42">
        <v>2296</v>
      </c>
      <c r="F42">
        <v>21827</v>
      </c>
      <c r="G42">
        <v>21827</v>
      </c>
      <c r="H42">
        <v>16558</v>
      </c>
      <c r="I42">
        <v>1886</v>
      </c>
      <c r="J42">
        <v>808</v>
      </c>
      <c r="K42">
        <v>0</v>
      </c>
      <c r="L42">
        <v>382</v>
      </c>
      <c r="M42">
        <v>21445</v>
      </c>
      <c r="N42">
        <v>0</v>
      </c>
      <c r="O42">
        <v>52</v>
      </c>
      <c r="P42">
        <v>756</v>
      </c>
      <c r="Q42">
        <v>17.258941</v>
      </c>
      <c r="R42">
        <v>7.3428820000000004</v>
      </c>
    </row>
    <row r="43" spans="1:18">
      <c r="A43" s="2">
        <v>43927</v>
      </c>
      <c r="B43" s="3">
        <v>43952.669351851851</v>
      </c>
      <c r="C43" s="1" t="s">
        <v>16</v>
      </c>
      <c r="D43">
        <v>443</v>
      </c>
      <c r="E43">
        <v>2301</v>
      </c>
      <c r="F43">
        <v>22569</v>
      </c>
      <c r="G43">
        <v>22569</v>
      </c>
      <c r="H43">
        <v>17197</v>
      </c>
      <c r="I43">
        <v>2009</v>
      </c>
      <c r="J43">
        <v>867</v>
      </c>
      <c r="K43">
        <v>0</v>
      </c>
      <c r="L43">
        <v>742</v>
      </c>
      <c r="M43">
        <v>21827</v>
      </c>
      <c r="N43">
        <v>0</v>
      </c>
      <c r="O43">
        <v>59</v>
      </c>
      <c r="P43">
        <v>808</v>
      </c>
      <c r="Q43">
        <v>19.557915999999999</v>
      </c>
      <c r="R43">
        <v>8.1608239999999999</v>
      </c>
    </row>
    <row r="44" spans="1:18">
      <c r="A44" s="2">
        <v>43928</v>
      </c>
      <c r="B44" s="3">
        <v>43952.669351851851</v>
      </c>
      <c r="C44" s="1" t="s">
        <v>16</v>
      </c>
      <c r="D44">
        <v>437</v>
      </c>
      <c r="E44">
        <v>2219</v>
      </c>
      <c r="F44">
        <v>23221</v>
      </c>
      <c r="G44">
        <v>23221</v>
      </c>
      <c r="H44">
        <v>18038</v>
      </c>
      <c r="I44">
        <v>2370</v>
      </c>
      <c r="J44">
        <v>927</v>
      </c>
      <c r="K44">
        <v>0</v>
      </c>
      <c r="L44">
        <v>652</v>
      </c>
      <c r="M44">
        <v>22569</v>
      </c>
      <c r="N44">
        <v>0</v>
      </c>
      <c r="O44">
        <v>60</v>
      </c>
      <c r="P44">
        <v>867</v>
      </c>
      <c r="Q44">
        <v>22.632342000000001</v>
      </c>
      <c r="R44">
        <v>8.8998889999999999</v>
      </c>
    </row>
    <row r="45" spans="1:18">
      <c r="A45" s="2">
        <v>43929</v>
      </c>
      <c r="B45" s="3">
        <v>43952.669351851851</v>
      </c>
      <c r="C45" s="1" t="s">
        <v>16</v>
      </c>
      <c r="D45">
        <v>434</v>
      </c>
      <c r="E45">
        <v>2129</v>
      </c>
      <c r="F45">
        <v>23890</v>
      </c>
      <c r="G45">
        <v>23890</v>
      </c>
      <c r="H45">
        <v>18843</v>
      </c>
      <c r="I45">
        <v>2587</v>
      </c>
      <c r="J45">
        <v>995</v>
      </c>
      <c r="K45">
        <v>0</v>
      </c>
      <c r="L45">
        <v>669</v>
      </c>
      <c r="M45">
        <v>23221</v>
      </c>
      <c r="N45">
        <v>0</v>
      </c>
      <c r="O45">
        <v>68</v>
      </c>
      <c r="P45">
        <v>927</v>
      </c>
      <c r="Q45">
        <v>25.717077</v>
      </c>
      <c r="R45">
        <v>9.430536</v>
      </c>
    </row>
    <row r="46" spans="1:18">
      <c r="A46" s="2">
        <v>43930</v>
      </c>
      <c r="B46" s="3">
        <v>43952.669351851851</v>
      </c>
      <c r="C46" s="1" t="s">
        <v>16</v>
      </c>
      <c r="D46">
        <v>426</v>
      </c>
      <c r="E46">
        <v>2061</v>
      </c>
      <c r="F46">
        <v>24558</v>
      </c>
      <c r="G46">
        <v>24558</v>
      </c>
      <c r="H46">
        <v>19357</v>
      </c>
      <c r="I46">
        <v>2737</v>
      </c>
      <c r="J46">
        <v>1046</v>
      </c>
      <c r="K46">
        <v>0</v>
      </c>
      <c r="L46">
        <v>668</v>
      </c>
      <c r="M46">
        <v>23890</v>
      </c>
      <c r="N46">
        <v>0</v>
      </c>
      <c r="O46">
        <v>51</v>
      </c>
      <c r="P46">
        <v>995</v>
      </c>
      <c r="Q46">
        <v>25.568678999999999</v>
      </c>
      <c r="R46">
        <v>10.674073999999999</v>
      </c>
    </row>
    <row r="47" spans="1:18">
      <c r="A47" s="2">
        <v>43931</v>
      </c>
      <c r="B47" s="3">
        <v>43952.669351851851</v>
      </c>
      <c r="C47" s="1" t="s">
        <v>16</v>
      </c>
      <c r="D47">
        <v>414</v>
      </c>
      <c r="E47">
        <v>2001</v>
      </c>
      <c r="F47">
        <v>25007</v>
      </c>
      <c r="G47">
        <v>25007</v>
      </c>
      <c r="H47">
        <v>19769</v>
      </c>
      <c r="I47">
        <v>2821</v>
      </c>
      <c r="J47">
        <v>1096</v>
      </c>
      <c r="K47">
        <v>0</v>
      </c>
      <c r="L47">
        <v>449</v>
      </c>
      <c r="M47">
        <v>24558</v>
      </c>
      <c r="N47">
        <v>0</v>
      </c>
      <c r="O47">
        <v>50</v>
      </c>
      <c r="P47">
        <v>1046</v>
      </c>
      <c r="Q47">
        <v>25.481843999999999</v>
      </c>
      <c r="R47">
        <v>11.368271999999999</v>
      </c>
    </row>
    <row r="48" spans="1:18">
      <c r="A48" s="2">
        <v>43932</v>
      </c>
      <c r="B48" s="3">
        <v>43952.669351851851</v>
      </c>
      <c r="C48" s="1" t="s">
        <v>16</v>
      </c>
      <c r="D48">
        <v>414</v>
      </c>
      <c r="E48">
        <v>1926</v>
      </c>
      <c r="F48">
        <v>25470</v>
      </c>
      <c r="G48">
        <v>25470</v>
      </c>
      <c r="H48">
        <v>20129</v>
      </c>
      <c r="I48">
        <v>2987</v>
      </c>
      <c r="J48">
        <v>1134</v>
      </c>
      <c r="K48">
        <v>0</v>
      </c>
      <c r="L48">
        <v>463</v>
      </c>
      <c r="M48">
        <v>25007</v>
      </c>
      <c r="N48">
        <v>0</v>
      </c>
      <c r="O48">
        <v>38</v>
      </c>
      <c r="P48">
        <v>1096</v>
      </c>
      <c r="Q48">
        <v>28.660446</v>
      </c>
      <c r="R48">
        <v>12.909331</v>
      </c>
    </row>
    <row r="49" spans="1:18">
      <c r="A49" s="2">
        <v>43933</v>
      </c>
      <c r="B49" s="3">
        <v>43952.669351851851</v>
      </c>
      <c r="C49" s="1" t="s">
        <v>16</v>
      </c>
      <c r="D49">
        <v>403</v>
      </c>
      <c r="E49">
        <v>1903</v>
      </c>
      <c r="F49">
        <v>25743</v>
      </c>
      <c r="G49">
        <v>25743</v>
      </c>
      <c r="H49">
        <v>20304</v>
      </c>
      <c r="I49">
        <v>3089</v>
      </c>
      <c r="J49">
        <v>1190</v>
      </c>
      <c r="K49">
        <v>0</v>
      </c>
      <c r="L49">
        <v>273</v>
      </c>
      <c r="M49">
        <v>25470</v>
      </c>
      <c r="N49">
        <v>0</v>
      </c>
      <c r="O49">
        <v>56</v>
      </c>
      <c r="P49">
        <v>1134</v>
      </c>
      <c r="Q49">
        <v>33.613425999999997</v>
      </c>
      <c r="R49">
        <v>13.876541</v>
      </c>
    </row>
    <row r="50" spans="1:18">
      <c r="A50" s="2">
        <v>43934</v>
      </c>
      <c r="B50" s="3">
        <v>43952.669351851851</v>
      </c>
      <c r="C50" s="1" t="s">
        <v>16</v>
      </c>
      <c r="D50">
        <v>399</v>
      </c>
      <c r="E50">
        <v>1886</v>
      </c>
      <c r="F50">
        <v>25993</v>
      </c>
      <c r="G50">
        <v>25993</v>
      </c>
      <c r="H50">
        <v>20609</v>
      </c>
      <c r="I50">
        <v>3169</v>
      </c>
      <c r="J50">
        <v>1220</v>
      </c>
      <c r="K50">
        <v>0</v>
      </c>
      <c r="L50">
        <v>250</v>
      </c>
      <c r="M50">
        <v>25743</v>
      </c>
      <c r="N50">
        <v>0</v>
      </c>
      <c r="O50">
        <v>30</v>
      </c>
      <c r="P50">
        <v>1190</v>
      </c>
      <c r="Q50">
        <v>41.079132999999999</v>
      </c>
      <c r="R50">
        <v>17.000285000000002</v>
      </c>
    </row>
    <row r="51" spans="1:18">
      <c r="A51" s="2">
        <v>43935</v>
      </c>
      <c r="B51" s="3">
        <v>43952.669351851851</v>
      </c>
      <c r="C51" s="1" t="s">
        <v>16</v>
      </c>
      <c r="D51">
        <v>386</v>
      </c>
      <c r="E51">
        <v>1846</v>
      </c>
      <c r="F51">
        <v>26315</v>
      </c>
      <c r="G51">
        <v>26315</v>
      </c>
      <c r="H51">
        <v>21153</v>
      </c>
      <c r="I51">
        <v>3331</v>
      </c>
      <c r="J51">
        <v>1258</v>
      </c>
      <c r="K51">
        <v>0</v>
      </c>
      <c r="L51">
        <v>322</v>
      </c>
      <c r="M51">
        <v>25993</v>
      </c>
      <c r="N51">
        <v>0</v>
      </c>
      <c r="O51">
        <v>38</v>
      </c>
      <c r="P51">
        <v>1220</v>
      </c>
      <c r="Q51">
        <v>50.154313999999999</v>
      </c>
      <c r="R51">
        <v>18.779408</v>
      </c>
    </row>
    <row r="52" spans="1:18">
      <c r="A52" s="2">
        <v>43936</v>
      </c>
      <c r="B52" s="3">
        <v>43952.669351851851</v>
      </c>
      <c r="C52" s="1" t="s">
        <v>16</v>
      </c>
      <c r="D52">
        <v>363</v>
      </c>
      <c r="E52">
        <v>1723</v>
      </c>
      <c r="F52">
        <v>26633</v>
      </c>
      <c r="G52">
        <v>26633</v>
      </c>
      <c r="H52">
        <v>21611</v>
      </c>
      <c r="I52">
        <v>3495</v>
      </c>
      <c r="J52">
        <v>1311</v>
      </c>
      <c r="K52">
        <v>0</v>
      </c>
      <c r="L52">
        <v>318</v>
      </c>
      <c r="M52">
        <v>26315</v>
      </c>
      <c r="N52">
        <v>0</v>
      </c>
      <c r="O52">
        <v>53</v>
      </c>
      <c r="P52">
        <v>1258</v>
      </c>
      <c r="Q52">
        <v>55.015818000000003</v>
      </c>
      <c r="R52">
        <v>19.348355999999999</v>
      </c>
    </row>
    <row r="53" spans="1:18">
      <c r="A53" s="2">
        <v>43937</v>
      </c>
      <c r="B53" s="3">
        <v>43952.669351851851</v>
      </c>
      <c r="C53" s="1" t="s">
        <v>16</v>
      </c>
      <c r="D53">
        <v>343</v>
      </c>
      <c r="E53">
        <v>1665</v>
      </c>
      <c r="F53">
        <v>26932</v>
      </c>
      <c r="G53">
        <v>26932</v>
      </c>
      <c r="H53">
        <v>22288</v>
      </c>
      <c r="I53">
        <v>3655</v>
      </c>
      <c r="J53">
        <v>1356</v>
      </c>
      <c r="K53">
        <v>0</v>
      </c>
      <c r="L53">
        <v>299</v>
      </c>
      <c r="M53">
        <v>26633</v>
      </c>
      <c r="N53">
        <v>0</v>
      </c>
      <c r="O53">
        <v>45</v>
      </c>
      <c r="P53">
        <v>1311</v>
      </c>
      <c r="Q53">
        <v>62.094515000000001</v>
      </c>
      <c r="R53">
        <v>19.384613000000002</v>
      </c>
    </row>
    <row r="54" spans="1:18">
      <c r="A54" s="2">
        <v>43938</v>
      </c>
      <c r="B54" s="3">
        <v>43952.669351851851</v>
      </c>
      <c r="C54" s="1" t="s">
        <v>16</v>
      </c>
      <c r="D54">
        <v>331</v>
      </c>
      <c r="E54">
        <v>1566</v>
      </c>
      <c r="F54">
        <v>27255</v>
      </c>
      <c r="G54">
        <v>27255</v>
      </c>
      <c r="H54">
        <v>22727</v>
      </c>
      <c r="I54">
        <v>3763</v>
      </c>
      <c r="J54">
        <v>1402</v>
      </c>
      <c r="K54">
        <v>0</v>
      </c>
      <c r="L54">
        <v>323</v>
      </c>
      <c r="M54">
        <v>26932</v>
      </c>
      <c r="N54">
        <v>0</v>
      </c>
      <c r="O54">
        <v>46</v>
      </c>
      <c r="P54">
        <v>1356</v>
      </c>
      <c r="Q54">
        <v>60.723289000000001</v>
      </c>
      <c r="R54">
        <v>21.139434000000001</v>
      </c>
    </row>
    <row r="55" spans="1:18">
      <c r="A55" s="2">
        <v>43939</v>
      </c>
      <c r="B55" s="3">
        <v>43952.669351851851</v>
      </c>
      <c r="C55" s="1" t="s">
        <v>16</v>
      </c>
      <c r="D55">
        <v>317</v>
      </c>
      <c r="E55">
        <v>1515</v>
      </c>
      <c r="F55">
        <v>27538</v>
      </c>
      <c r="G55">
        <v>27538</v>
      </c>
      <c r="H55">
        <v>23168</v>
      </c>
      <c r="I55">
        <v>3878</v>
      </c>
      <c r="J55">
        <v>1444</v>
      </c>
      <c r="K55">
        <v>0</v>
      </c>
      <c r="L55">
        <v>283</v>
      </c>
      <c r="M55">
        <v>27255</v>
      </c>
      <c r="N55">
        <v>0</v>
      </c>
      <c r="O55">
        <v>42</v>
      </c>
      <c r="P55">
        <v>1402</v>
      </c>
      <c r="Q55">
        <v>60.023553999999997</v>
      </c>
      <c r="R55">
        <v>20.560089999999999</v>
      </c>
    </row>
    <row r="56" spans="1:18">
      <c r="A56" s="2">
        <v>43940</v>
      </c>
      <c r="B56" s="3">
        <v>43952.669351851851</v>
      </c>
      <c r="C56" s="1" t="s">
        <v>16</v>
      </c>
      <c r="D56">
        <v>308</v>
      </c>
      <c r="E56">
        <v>1507</v>
      </c>
      <c r="F56">
        <v>27715</v>
      </c>
      <c r="G56">
        <v>27715</v>
      </c>
      <c r="H56">
        <v>23350</v>
      </c>
      <c r="I56">
        <v>3948</v>
      </c>
      <c r="J56">
        <v>1468</v>
      </c>
      <c r="K56">
        <v>0</v>
      </c>
      <c r="L56">
        <v>177</v>
      </c>
      <c r="M56">
        <v>27538</v>
      </c>
      <c r="N56">
        <v>0</v>
      </c>
      <c r="O56">
        <v>24</v>
      </c>
      <c r="P56">
        <v>1444</v>
      </c>
      <c r="Q56">
        <v>66.861356000000001</v>
      </c>
      <c r="R56">
        <v>22.449708000000001</v>
      </c>
    </row>
    <row r="57" spans="1:18">
      <c r="A57" s="2">
        <v>43941</v>
      </c>
      <c r="B57" s="3">
        <v>43952.669351851851</v>
      </c>
      <c r="C57" s="1" t="s">
        <v>16</v>
      </c>
      <c r="D57">
        <v>294</v>
      </c>
      <c r="E57">
        <v>1483</v>
      </c>
      <c r="F57">
        <v>27917</v>
      </c>
      <c r="G57">
        <v>27917</v>
      </c>
      <c r="H57">
        <v>23724</v>
      </c>
      <c r="I57">
        <v>4084</v>
      </c>
      <c r="J57">
        <v>1510</v>
      </c>
      <c r="K57">
        <v>0</v>
      </c>
      <c r="L57">
        <v>202</v>
      </c>
      <c r="M57">
        <v>27715</v>
      </c>
      <c r="N57">
        <v>0</v>
      </c>
      <c r="O57">
        <v>42</v>
      </c>
      <c r="P57">
        <v>1468</v>
      </c>
      <c r="Q57">
        <v>73.606297999999995</v>
      </c>
      <c r="R57">
        <v>24.524125999999999</v>
      </c>
    </row>
    <row r="58" spans="1:18">
      <c r="A58" s="2">
        <v>43942</v>
      </c>
      <c r="B58" s="3">
        <v>43952.669351851851</v>
      </c>
      <c r="C58" s="1" t="s">
        <v>16</v>
      </c>
      <c r="D58">
        <v>280</v>
      </c>
      <c r="E58">
        <v>1405</v>
      </c>
      <c r="F58">
        <v>28076</v>
      </c>
      <c r="G58">
        <v>28076</v>
      </c>
      <c r="H58">
        <v>24135</v>
      </c>
      <c r="I58">
        <v>4206</v>
      </c>
      <c r="J58">
        <v>1551</v>
      </c>
      <c r="K58">
        <v>0</v>
      </c>
      <c r="L58">
        <v>159</v>
      </c>
      <c r="M58">
        <v>27917</v>
      </c>
      <c r="N58">
        <v>0</v>
      </c>
      <c r="O58">
        <v>41</v>
      </c>
      <c r="P58">
        <v>1510</v>
      </c>
      <c r="Q58">
        <v>83.311063000000004</v>
      </c>
      <c r="R58">
        <v>25.794269</v>
      </c>
    </row>
    <row r="59" spans="1:18">
      <c r="A59" s="2">
        <v>43943</v>
      </c>
      <c r="B59" s="3">
        <v>43952.669351851851</v>
      </c>
      <c r="C59" s="1" t="s">
        <v>16</v>
      </c>
      <c r="D59">
        <v>249</v>
      </c>
      <c r="E59">
        <v>1339</v>
      </c>
      <c r="F59">
        <v>28273</v>
      </c>
      <c r="G59">
        <v>28273</v>
      </c>
      <c r="H59">
        <v>24483</v>
      </c>
      <c r="I59">
        <v>4313</v>
      </c>
      <c r="J59">
        <v>1578</v>
      </c>
      <c r="K59">
        <v>0</v>
      </c>
      <c r="L59">
        <v>197</v>
      </c>
      <c r="M59">
        <v>28076</v>
      </c>
      <c r="N59">
        <v>0</v>
      </c>
      <c r="O59">
        <v>27</v>
      </c>
      <c r="P59">
        <v>1551</v>
      </c>
      <c r="Q59">
        <v>94.510717999999997</v>
      </c>
      <c r="R59">
        <v>29.306459</v>
      </c>
    </row>
    <row r="60" spans="1:18">
      <c r="A60" s="2">
        <v>43944</v>
      </c>
      <c r="B60" s="3">
        <v>43952.669351851851</v>
      </c>
      <c r="C60" s="1" t="s">
        <v>16</v>
      </c>
      <c r="D60">
        <v>241</v>
      </c>
      <c r="E60">
        <v>1286</v>
      </c>
      <c r="F60">
        <v>28490</v>
      </c>
      <c r="G60">
        <v>28490</v>
      </c>
      <c r="H60">
        <v>24945</v>
      </c>
      <c r="I60">
        <v>4404</v>
      </c>
      <c r="J60">
        <v>1608</v>
      </c>
      <c r="K60">
        <v>0</v>
      </c>
      <c r="L60">
        <v>217</v>
      </c>
      <c r="M60">
        <v>28273</v>
      </c>
      <c r="N60">
        <v>0</v>
      </c>
      <c r="O60">
        <v>30</v>
      </c>
      <c r="P60">
        <v>1578</v>
      </c>
      <c r="Q60">
        <v>101.97456</v>
      </c>
      <c r="R60">
        <v>32.217187000000003</v>
      </c>
    </row>
    <row r="61" spans="1:18">
      <c r="A61" s="2">
        <v>43945</v>
      </c>
      <c r="B61" s="3">
        <v>43952.669351851851</v>
      </c>
      <c r="C61" s="1" t="s">
        <v>16</v>
      </c>
      <c r="D61">
        <v>237</v>
      </c>
      <c r="E61">
        <v>1241</v>
      </c>
      <c r="F61">
        <v>28681</v>
      </c>
      <c r="G61">
        <v>28681</v>
      </c>
      <c r="H61">
        <v>25337</v>
      </c>
      <c r="I61">
        <v>4482</v>
      </c>
      <c r="J61">
        <v>1637</v>
      </c>
      <c r="K61">
        <v>0</v>
      </c>
      <c r="L61">
        <v>191</v>
      </c>
      <c r="M61">
        <v>28490</v>
      </c>
      <c r="N61">
        <v>0</v>
      </c>
      <c r="O61">
        <v>29</v>
      </c>
      <c r="P61">
        <v>1608</v>
      </c>
      <c r="Q61">
        <v>101.156587</v>
      </c>
      <c r="R61">
        <v>31.806139999999999</v>
      </c>
    </row>
    <row r="62" spans="1:18">
      <c r="A62" s="2">
        <v>43946</v>
      </c>
      <c r="B62" s="3">
        <v>43952.669351851851</v>
      </c>
      <c r="C62" s="1" t="s">
        <v>16</v>
      </c>
      <c r="D62">
        <v>228</v>
      </c>
      <c r="E62">
        <v>1212</v>
      </c>
      <c r="F62">
        <v>28820</v>
      </c>
      <c r="G62">
        <v>28820</v>
      </c>
      <c r="H62">
        <v>25695</v>
      </c>
      <c r="I62">
        <v>4519</v>
      </c>
      <c r="J62">
        <v>1661</v>
      </c>
      <c r="K62">
        <v>0</v>
      </c>
      <c r="L62">
        <v>139</v>
      </c>
      <c r="M62">
        <v>28681</v>
      </c>
      <c r="N62">
        <v>0</v>
      </c>
      <c r="O62">
        <v>24</v>
      </c>
      <c r="P62">
        <v>1637</v>
      </c>
      <c r="Q62">
        <v>108.86979700000001</v>
      </c>
      <c r="R62">
        <v>36.362704000000001</v>
      </c>
    </row>
    <row r="63" spans="1:18">
      <c r="A63" s="2">
        <v>43947</v>
      </c>
      <c r="B63" s="3">
        <v>43952.669351851851</v>
      </c>
      <c r="C63" s="1" t="s">
        <v>16</v>
      </c>
      <c r="D63">
        <v>206</v>
      </c>
      <c r="E63">
        <v>1191</v>
      </c>
      <c r="F63">
        <v>28901</v>
      </c>
      <c r="G63">
        <v>28901</v>
      </c>
      <c r="H63">
        <v>25889</v>
      </c>
      <c r="I63">
        <v>4552</v>
      </c>
      <c r="J63">
        <v>1677</v>
      </c>
      <c r="K63">
        <v>0</v>
      </c>
      <c r="L63">
        <v>81</v>
      </c>
      <c r="M63">
        <v>28820</v>
      </c>
      <c r="N63">
        <v>0</v>
      </c>
      <c r="O63">
        <v>16</v>
      </c>
      <c r="P63">
        <v>1661</v>
      </c>
      <c r="Q63">
        <v>119.66874799999999</v>
      </c>
      <c r="R63">
        <v>44.371870999999999</v>
      </c>
    </row>
    <row r="64" spans="1:18">
      <c r="A64" s="2">
        <v>43948</v>
      </c>
      <c r="B64" s="3">
        <v>43952.669351851851</v>
      </c>
      <c r="C64" s="1" t="s">
        <v>16</v>
      </c>
      <c r="D64">
        <v>201</v>
      </c>
      <c r="E64">
        <v>1169</v>
      </c>
      <c r="F64">
        <v>29066</v>
      </c>
      <c r="G64">
        <v>29066</v>
      </c>
      <c r="H64">
        <v>26162</v>
      </c>
      <c r="I64">
        <v>4624</v>
      </c>
      <c r="J64">
        <v>1699</v>
      </c>
      <c r="K64">
        <v>0</v>
      </c>
      <c r="L64">
        <v>165</v>
      </c>
      <c r="M64">
        <v>28901</v>
      </c>
      <c r="N64">
        <v>0</v>
      </c>
      <c r="O64">
        <v>22</v>
      </c>
      <c r="P64">
        <v>1677</v>
      </c>
      <c r="Q64">
        <v>125.289508</v>
      </c>
      <c r="R64">
        <v>46.909311000000002</v>
      </c>
    </row>
    <row r="65" spans="1:18">
      <c r="A65" s="2">
        <v>43949</v>
      </c>
      <c r="B65" s="3">
        <v>43952.669351851851</v>
      </c>
      <c r="C65" s="1" t="s">
        <v>16</v>
      </c>
      <c r="D65">
        <v>182</v>
      </c>
      <c r="E65">
        <v>1141</v>
      </c>
      <c r="F65">
        <v>29179</v>
      </c>
      <c r="G65">
        <v>29179</v>
      </c>
      <c r="H65">
        <v>26542</v>
      </c>
      <c r="I65">
        <v>4676</v>
      </c>
      <c r="J65">
        <v>1724</v>
      </c>
      <c r="K65">
        <v>0</v>
      </c>
      <c r="L65">
        <v>113</v>
      </c>
      <c r="M65">
        <v>29066</v>
      </c>
      <c r="N65">
        <v>0</v>
      </c>
      <c r="O65">
        <v>25</v>
      </c>
      <c r="P65">
        <v>1699</v>
      </c>
      <c r="Q65">
        <v>145.03339199999999</v>
      </c>
      <c r="R65">
        <v>49.755021999999997</v>
      </c>
    </row>
    <row r="66" spans="1:18">
      <c r="A66" s="2">
        <v>43950</v>
      </c>
      <c r="B66" s="3">
        <v>43952.669351851851</v>
      </c>
      <c r="C66" s="1" t="s">
        <v>16</v>
      </c>
      <c r="D66">
        <v>187</v>
      </c>
      <c r="E66">
        <v>1072</v>
      </c>
      <c r="F66">
        <v>29285</v>
      </c>
      <c r="G66">
        <v>29285</v>
      </c>
      <c r="H66">
        <v>26542</v>
      </c>
      <c r="I66">
        <v>4742</v>
      </c>
      <c r="J66">
        <v>1731</v>
      </c>
      <c r="K66">
        <v>0</v>
      </c>
      <c r="L66">
        <v>106</v>
      </c>
      <c r="M66">
        <v>29179</v>
      </c>
      <c r="N66">
        <v>0</v>
      </c>
      <c r="O66">
        <v>7</v>
      </c>
      <c r="P66">
        <v>1724</v>
      </c>
      <c r="Q66">
        <v>166.297663</v>
      </c>
      <c r="R66">
        <v>62.072164999999998</v>
      </c>
    </row>
    <row r="67" spans="1:18">
      <c r="A67" s="2">
        <v>43951</v>
      </c>
      <c r="B67" s="3">
        <v>43952.669351851851</v>
      </c>
      <c r="C67" s="1" t="s">
        <v>16</v>
      </c>
      <c r="D67">
        <v>172</v>
      </c>
      <c r="E67">
        <v>998</v>
      </c>
      <c r="F67">
        <v>29410</v>
      </c>
      <c r="G67">
        <v>29410</v>
      </c>
      <c r="H67">
        <v>26542</v>
      </c>
      <c r="I67">
        <v>4819</v>
      </c>
      <c r="J67">
        <v>1742</v>
      </c>
      <c r="K67">
        <v>0</v>
      </c>
      <c r="L67">
        <v>125</v>
      </c>
      <c r="M67">
        <v>29285</v>
      </c>
      <c r="N67">
        <v>0</v>
      </c>
      <c r="O67">
        <v>11</v>
      </c>
      <c r="P67">
        <v>1731</v>
      </c>
      <c r="Q67">
        <v>171.01940300000001</v>
      </c>
      <c r="R67">
        <v>72.788095999999996</v>
      </c>
    </row>
    <row r="68" spans="1:18">
      <c r="A68" s="2">
        <v>43952</v>
      </c>
      <c r="B68" s="3">
        <v>43952.669351851851</v>
      </c>
      <c r="C68" s="1" t="s">
        <v>16</v>
      </c>
      <c r="D68">
        <v>169</v>
      </c>
      <c r="E68">
        <v>966</v>
      </c>
      <c r="F68">
        <v>29483</v>
      </c>
      <c r="G68">
        <v>29483</v>
      </c>
      <c r="H68">
        <v>26542</v>
      </c>
      <c r="I68">
        <v>4850</v>
      </c>
      <c r="J68">
        <v>1751</v>
      </c>
      <c r="K68">
        <v>0</v>
      </c>
      <c r="L68">
        <v>73</v>
      </c>
      <c r="M68">
        <v>29410</v>
      </c>
      <c r="N68">
        <v>0</v>
      </c>
      <c r="O68">
        <v>9</v>
      </c>
      <c r="P68">
        <v>1742</v>
      </c>
      <c r="Q68">
        <v>173.82888500000001</v>
      </c>
      <c r="R68">
        <v>80.261465999999999</v>
      </c>
    </row>
  </sheetData>
  <pageMargins left="0.7" right="0.7" top="0.78740157499999996" bottom="0.78740157499999996"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AC869-7734-49F6-AFC0-7591D7A644DE}">
  <sheetPr codeName="Tabelle7"/>
  <dimension ref="A1:AF28"/>
  <sheetViews>
    <sheetView topLeftCell="F1" workbookViewId="0">
      <selection sqref="A1:AF28"/>
    </sheetView>
  </sheetViews>
  <sheetFormatPr baseColWidth="10" defaultRowHeight="14.5"/>
  <cols>
    <col min="1" max="2" width="17.7265625" bestFit="1" customWidth="1"/>
    <col min="3" max="3" width="9.54296875" bestFit="1" customWidth="1"/>
    <col min="4" max="4" width="20.6328125" bestFit="1" customWidth="1"/>
    <col min="5" max="5" width="21.36328125" bestFit="1" customWidth="1"/>
    <col min="6" max="6" width="16.54296875" bestFit="1" customWidth="1"/>
    <col min="7" max="7" width="18.453125" bestFit="1" customWidth="1"/>
    <col min="8" max="8" width="17.453125" bestFit="1" customWidth="1"/>
    <col min="9" max="9" width="17.1796875" bestFit="1" customWidth="1"/>
    <col min="10" max="10" width="28.90625" bestFit="1" customWidth="1"/>
    <col min="11" max="11" width="20.1796875" bestFit="1" customWidth="1"/>
    <col min="12" max="12" width="11.7265625" bestFit="1" customWidth="1"/>
    <col min="13" max="13" width="18.26953125" bestFit="1" customWidth="1"/>
    <col min="14" max="14" width="32.26953125" bestFit="1" customWidth="1"/>
    <col min="15" max="15" width="17.6328125" bestFit="1" customWidth="1"/>
    <col min="16" max="16" width="10.1796875" bestFit="1" customWidth="1"/>
    <col min="17" max="17" width="18.7265625" bestFit="1" customWidth="1"/>
    <col min="18" max="18" width="8.81640625" style="47" bestFit="1" customWidth="1"/>
    <col min="19" max="19" width="15.1796875" bestFit="1" customWidth="1"/>
    <col min="20" max="20" width="14" bestFit="1" customWidth="1"/>
    <col min="21" max="21" width="31.26953125" bestFit="1" customWidth="1"/>
    <col min="22" max="22" width="26.7265625" bestFit="1" customWidth="1"/>
    <col min="23" max="23" width="15.7265625" bestFit="1" customWidth="1"/>
    <col min="24" max="24" width="16.6328125" bestFit="1" customWidth="1"/>
    <col min="25" max="25" width="12.81640625" bestFit="1" customWidth="1"/>
    <col min="26" max="26" width="19.7265625" bestFit="1" customWidth="1"/>
    <col min="27" max="27" width="13.36328125" bestFit="1" customWidth="1"/>
    <col min="28" max="28" width="27.90625" bestFit="1" customWidth="1"/>
    <col min="29" max="29" width="23.6328125" bestFit="1" customWidth="1"/>
    <col min="30" max="30" width="80.7265625" bestFit="1" customWidth="1"/>
    <col min="31" max="31" width="10.54296875" bestFit="1" customWidth="1"/>
    <col min="32" max="32" width="5.08984375" bestFit="1" customWidth="1"/>
    <col min="33" max="33" width="17.7265625" bestFit="1" customWidth="1"/>
    <col min="34" max="34" width="10.54296875" bestFit="1" customWidth="1"/>
    <col min="35" max="35" width="18.1796875" bestFit="1" customWidth="1"/>
    <col min="36" max="36" width="21.36328125" bestFit="1" customWidth="1"/>
    <col min="37" max="37" width="14.1796875" bestFit="1" customWidth="1"/>
    <col min="38" max="38" width="18.453125" bestFit="1" customWidth="1"/>
    <col min="39" max="39" width="17.453125" bestFit="1" customWidth="1"/>
    <col min="40" max="40" width="14.7265625" bestFit="1" customWidth="1"/>
    <col min="41" max="41" width="26.26953125" bestFit="1" customWidth="1"/>
    <col min="42" max="42" width="17.6328125" bestFit="1" customWidth="1"/>
    <col min="43" max="43" width="11.54296875" bestFit="1" customWidth="1"/>
    <col min="44" max="44" width="15.6328125" bestFit="1" customWidth="1"/>
    <col min="45" max="45" width="29.54296875" bestFit="1" customWidth="1"/>
    <col min="46" max="46" width="15.1796875" bestFit="1" customWidth="1"/>
    <col min="47" max="47" width="11.54296875" bestFit="1" customWidth="1"/>
    <col min="48" max="48" width="16.36328125" bestFit="1" customWidth="1"/>
    <col min="49" max="49" width="11.54296875" bestFit="1" customWidth="1"/>
    <col min="50" max="50" width="12.81640625" bestFit="1" customWidth="1"/>
    <col min="51" max="51" width="11.6328125" bestFit="1" customWidth="1"/>
    <col min="52" max="52" width="28.90625" bestFit="1" customWidth="1"/>
    <col min="53" max="53" width="24.26953125" bestFit="1" customWidth="1"/>
    <col min="54" max="54" width="13.1796875" bestFit="1" customWidth="1"/>
    <col min="55" max="55" width="14.1796875" bestFit="1" customWidth="1"/>
    <col min="56" max="56" width="11.54296875" bestFit="1" customWidth="1"/>
    <col min="57" max="57" width="17.36328125" bestFit="1" customWidth="1"/>
    <col min="58" max="58" width="11.54296875" bestFit="1" customWidth="1"/>
    <col min="59" max="59" width="25.26953125" bestFit="1" customWidth="1"/>
    <col min="60" max="60" width="21.08984375" bestFit="1" customWidth="1"/>
    <col min="61" max="61" width="80.7265625" bestFit="1" customWidth="1"/>
    <col min="62" max="63" width="11.54296875" bestFit="1" customWidth="1"/>
    <col min="64" max="64" width="7.1796875" bestFit="1" customWidth="1"/>
    <col min="65" max="66" width="4.1796875" bestFit="1" customWidth="1"/>
    <col min="67" max="67" width="8.7265625" bestFit="1" customWidth="1"/>
    <col min="68" max="69" width="11.6328125" bestFit="1" customWidth="1"/>
    <col min="70" max="70" width="6.1796875" bestFit="1" customWidth="1"/>
    <col min="71" max="74" width="11.6328125" bestFit="1" customWidth="1"/>
    <col min="75" max="75" width="10.6328125" bestFit="1" customWidth="1"/>
    <col min="76" max="77" width="5.1796875" bestFit="1" customWidth="1"/>
    <col min="78" max="78" width="11.6328125" bestFit="1" customWidth="1"/>
    <col min="79" max="79" width="6.1796875" bestFit="1" customWidth="1"/>
    <col min="80" max="80" width="11.6328125" bestFit="1" customWidth="1"/>
    <col min="81" max="82" width="10.90625" bestFit="1" customWidth="1"/>
    <col min="83" max="83" width="80.7265625" bestFit="1" customWidth="1"/>
    <col min="84" max="85" width="5.1796875" bestFit="1" customWidth="1"/>
    <col min="86" max="86" width="10.6328125" bestFit="1" customWidth="1"/>
    <col min="87" max="87" width="9.6328125" bestFit="1" customWidth="1"/>
    <col min="88" max="88" width="10.54296875" bestFit="1" customWidth="1"/>
    <col min="89" max="89" width="7.08984375" bestFit="1" customWidth="1"/>
    <col min="90" max="90" width="9.08984375" bestFit="1" customWidth="1"/>
    <col min="91" max="91" width="10.54296875" customWidth="1"/>
    <col min="92" max="92" width="5.08984375" bestFit="1" customWidth="1"/>
    <col min="93" max="93" width="8.6328125" bestFit="1" customWidth="1"/>
    <col min="94" max="94" width="7.6328125" bestFit="1" customWidth="1"/>
    <col min="95" max="95" width="6.08984375" bestFit="1" customWidth="1"/>
    <col min="96" max="96" width="4.08984375" bestFit="1" customWidth="1"/>
    <col min="97" max="105" width="5.08984375" bestFit="1" customWidth="1"/>
    <col min="106" max="106" width="6.08984375" bestFit="1" customWidth="1"/>
    <col min="107" max="108" width="11.6328125" bestFit="1" customWidth="1"/>
    <col min="109" max="109" width="80.7265625" bestFit="1" customWidth="1"/>
    <col min="110" max="111" width="5.08984375" bestFit="1" customWidth="1"/>
  </cols>
  <sheetData>
    <row r="1" spans="1:32">
      <c r="A1" s="49" t="s">
        <v>1</v>
      </c>
      <c r="B1" s="49" t="s">
        <v>17</v>
      </c>
      <c r="C1" s="49" t="s">
        <v>2</v>
      </c>
      <c r="D1" s="49" t="s">
        <v>18</v>
      </c>
      <c r="E1" s="49" t="s">
        <v>19</v>
      </c>
      <c r="F1" s="49" t="s">
        <v>20</v>
      </c>
      <c r="G1" s="49" t="s">
        <v>21</v>
      </c>
      <c r="H1" s="49" t="s">
        <v>22</v>
      </c>
      <c r="I1" s="49" t="s">
        <v>3</v>
      </c>
      <c r="J1" s="49" t="s">
        <v>23</v>
      </c>
      <c r="K1" s="49" t="s">
        <v>24</v>
      </c>
      <c r="L1" s="49" t="s">
        <v>300</v>
      </c>
      <c r="M1" s="49" t="s">
        <v>9</v>
      </c>
      <c r="N1" s="49" t="s">
        <v>26</v>
      </c>
      <c r="O1" s="49" t="s">
        <v>27</v>
      </c>
      <c r="P1" s="49" t="s">
        <v>12</v>
      </c>
      <c r="Q1" s="49" t="s">
        <v>28</v>
      </c>
      <c r="R1" s="49" t="s">
        <v>13</v>
      </c>
      <c r="S1" s="49" t="s">
        <v>11</v>
      </c>
      <c r="T1" s="49" t="s">
        <v>29</v>
      </c>
      <c r="U1" s="49" t="s">
        <v>30</v>
      </c>
      <c r="V1" s="49" t="s">
        <v>337</v>
      </c>
      <c r="W1" s="49" t="s">
        <v>301</v>
      </c>
      <c r="X1" s="49" t="s">
        <v>31</v>
      </c>
      <c r="Y1" s="49" t="s">
        <v>32</v>
      </c>
      <c r="Z1" s="49" t="s">
        <v>25</v>
      </c>
      <c r="AA1" s="49" t="s">
        <v>325</v>
      </c>
      <c r="AB1" s="49" t="s">
        <v>14</v>
      </c>
      <c r="AC1" s="49" t="s">
        <v>15</v>
      </c>
      <c r="AD1" s="49" t="s">
        <v>33</v>
      </c>
      <c r="AE1" s="49" t="s">
        <v>407</v>
      </c>
      <c r="AF1" s="49" t="s">
        <v>411</v>
      </c>
    </row>
    <row r="2" spans="1:32">
      <c r="A2" s="49" t="s">
        <v>673</v>
      </c>
      <c r="B2" s="49" t="s">
        <v>674</v>
      </c>
      <c r="C2" s="49" t="s">
        <v>16</v>
      </c>
      <c r="D2" s="49" t="s">
        <v>34</v>
      </c>
      <c r="E2" s="49" t="s">
        <v>35</v>
      </c>
      <c r="F2" s="49" t="s">
        <v>446</v>
      </c>
      <c r="G2" s="49" t="s">
        <v>447</v>
      </c>
      <c r="H2" s="49" t="s">
        <v>448</v>
      </c>
      <c r="I2" s="49" t="s">
        <v>36</v>
      </c>
      <c r="J2" s="49" t="s">
        <v>675</v>
      </c>
      <c r="K2" s="49" t="s">
        <v>675</v>
      </c>
      <c r="L2" s="49" t="s">
        <v>457</v>
      </c>
      <c r="M2" s="49" t="s">
        <v>676</v>
      </c>
      <c r="N2" s="49" t="s">
        <v>677</v>
      </c>
      <c r="O2" s="49" t="s">
        <v>678</v>
      </c>
      <c r="P2" s="49" t="s">
        <v>679</v>
      </c>
      <c r="Q2" s="49" t="s">
        <v>449</v>
      </c>
      <c r="R2" s="49">
        <v>34</v>
      </c>
      <c r="S2" s="49" t="s">
        <v>574</v>
      </c>
      <c r="T2" s="49" t="s">
        <v>451</v>
      </c>
      <c r="U2" s="49" t="s">
        <v>36</v>
      </c>
      <c r="V2" s="49" t="s">
        <v>36</v>
      </c>
      <c r="W2" s="49" t="s">
        <v>36</v>
      </c>
      <c r="X2" s="49" t="s">
        <v>36</v>
      </c>
      <c r="Y2" s="49" t="s">
        <v>36</v>
      </c>
      <c r="Z2" s="49" t="s">
        <v>553</v>
      </c>
      <c r="AA2" s="49" t="s">
        <v>457</v>
      </c>
      <c r="AB2" s="49" t="s">
        <v>680</v>
      </c>
      <c r="AC2" s="49" t="s">
        <v>681</v>
      </c>
      <c r="AD2" s="49" t="s">
        <v>682</v>
      </c>
      <c r="AE2" s="49" t="s">
        <v>36</v>
      </c>
      <c r="AF2" s="49" t="s">
        <v>36</v>
      </c>
    </row>
    <row r="3" spans="1:32">
      <c r="A3" s="49" t="s">
        <v>673</v>
      </c>
      <c r="B3" s="49" t="s">
        <v>641</v>
      </c>
      <c r="C3" s="49" t="s">
        <v>16</v>
      </c>
      <c r="D3" s="49" t="s">
        <v>38</v>
      </c>
      <c r="E3" s="49" t="s">
        <v>39</v>
      </c>
      <c r="F3" s="49" t="s">
        <v>453</v>
      </c>
      <c r="G3" s="49" t="s">
        <v>454</v>
      </c>
      <c r="H3" s="49" t="s">
        <v>455</v>
      </c>
      <c r="I3" s="49" t="s">
        <v>36</v>
      </c>
      <c r="J3" s="49" t="s">
        <v>456</v>
      </c>
      <c r="K3" s="49" t="s">
        <v>456</v>
      </c>
      <c r="L3" s="49" t="s">
        <v>449</v>
      </c>
      <c r="M3" s="49" t="s">
        <v>457</v>
      </c>
      <c r="N3" s="49" t="s">
        <v>458</v>
      </c>
      <c r="O3" s="49" t="s">
        <v>36</v>
      </c>
      <c r="P3" s="49" t="s">
        <v>36</v>
      </c>
      <c r="Q3" s="49" t="s">
        <v>449</v>
      </c>
      <c r="R3" s="49"/>
      <c r="S3" s="49" t="s">
        <v>36</v>
      </c>
      <c r="T3" s="49" t="s">
        <v>36</v>
      </c>
      <c r="U3" s="49" t="s">
        <v>36</v>
      </c>
      <c r="V3" s="49" t="s">
        <v>36</v>
      </c>
      <c r="W3" s="49" t="s">
        <v>36</v>
      </c>
      <c r="X3" s="49" t="s">
        <v>36</v>
      </c>
      <c r="Y3" s="49" t="s">
        <v>36</v>
      </c>
      <c r="Z3" s="49" t="s">
        <v>449</v>
      </c>
      <c r="AA3" s="49" t="s">
        <v>36</v>
      </c>
      <c r="AB3" s="49" t="s">
        <v>36</v>
      </c>
      <c r="AC3" s="49" t="s">
        <v>459</v>
      </c>
      <c r="AD3" s="49" t="s">
        <v>40</v>
      </c>
      <c r="AE3" s="49" t="s">
        <v>36</v>
      </c>
      <c r="AF3" s="49" t="s">
        <v>36</v>
      </c>
    </row>
    <row r="4" spans="1:32">
      <c r="A4" s="49" t="s">
        <v>673</v>
      </c>
      <c r="B4" s="49" t="s">
        <v>683</v>
      </c>
      <c r="C4" s="49" t="s">
        <v>16</v>
      </c>
      <c r="D4" s="49" t="s">
        <v>41</v>
      </c>
      <c r="E4" s="49" t="s">
        <v>42</v>
      </c>
      <c r="F4" s="49" t="s">
        <v>460</v>
      </c>
      <c r="G4" s="49" t="s">
        <v>461</v>
      </c>
      <c r="H4" s="49" t="s">
        <v>462</v>
      </c>
      <c r="I4" s="49" t="s">
        <v>36</v>
      </c>
      <c r="J4" s="49" t="s">
        <v>684</v>
      </c>
      <c r="K4" s="49" t="s">
        <v>684</v>
      </c>
      <c r="L4" s="49" t="s">
        <v>553</v>
      </c>
      <c r="M4" s="49" t="s">
        <v>504</v>
      </c>
      <c r="N4" s="49" t="s">
        <v>685</v>
      </c>
      <c r="O4" s="49" t="s">
        <v>464</v>
      </c>
      <c r="P4" s="49" t="s">
        <v>36</v>
      </c>
      <c r="Q4" s="49" t="s">
        <v>449</v>
      </c>
      <c r="R4" s="49">
        <v>3</v>
      </c>
      <c r="S4" s="49" t="s">
        <v>463</v>
      </c>
      <c r="T4" s="49" t="s">
        <v>36</v>
      </c>
      <c r="U4" s="49" t="s">
        <v>36</v>
      </c>
      <c r="V4" s="49" t="s">
        <v>36</v>
      </c>
      <c r="W4" s="49" t="s">
        <v>36</v>
      </c>
      <c r="X4" s="49" t="s">
        <v>36</v>
      </c>
      <c r="Y4" s="49" t="s">
        <v>36</v>
      </c>
      <c r="Z4" s="49" t="s">
        <v>457</v>
      </c>
      <c r="AA4" s="49" t="s">
        <v>449</v>
      </c>
      <c r="AB4" s="49" t="s">
        <v>686</v>
      </c>
      <c r="AC4" s="49" t="s">
        <v>36</v>
      </c>
      <c r="AD4" s="49" t="s">
        <v>43</v>
      </c>
      <c r="AE4" s="49" t="s">
        <v>36</v>
      </c>
      <c r="AF4" s="49" t="s">
        <v>36</v>
      </c>
    </row>
    <row r="5" spans="1:32">
      <c r="A5" s="49" t="s">
        <v>673</v>
      </c>
      <c r="B5" s="49" t="s">
        <v>629</v>
      </c>
      <c r="C5" s="49" t="s">
        <v>16</v>
      </c>
      <c r="D5" s="49" t="s">
        <v>44</v>
      </c>
      <c r="E5" s="49" t="s">
        <v>45</v>
      </c>
      <c r="F5" s="49" t="s">
        <v>466</v>
      </c>
      <c r="G5" s="49" t="s">
        <v>467</v>
      </c>
      <c r="H5" s="49" t="s">
        <v>468</v>
      </c>
      <c r="I5" s="49" t="s">
        <v>36</v>
      </c>
      <c r="J5" s="49" t="s">
        <v>659</v>
      </c>
      <c r="K5" s="49" t="s">
        <v>659</v>
      </c>
      <c r="L5" s="49" t="s">
        <v>457</v>
      </c>
      <c r="M5" s="49" t="s">
        <v>660</v>
      </c>
      <c r="N5" s="49" t="s">
        <v>661</v>
      </c>
      <c r="O5" s="49" t="s">
        <v>662</v>
      </c>
      <c r="P5" s="49" t="s">
        <v>36</v>
      </c>
      <c r="Q5" s="49" t="s">
        <v>449</v>
      </c>
      <c r="R5" s="49">
        <v>86</v>
      </c>
      <c r="S5" s="49" t="s">
        <v>450</v>
      </c>
      <c r="T5" s="49" t="s">
        <v>539</v>
      </c>
      <c r="U5" s="49" t="s">
        <v>36</v>
      </c>
      <c r="V5" s="49" t="s">
        <v>36</v>
      </c>
      <c r="W5" s="49" t="s">
        <v>36</v>
      </c>
      <c r="X5" s="49" t="s">
        <v>36</v>
      </c>
      <c r="Y5" s="49" t="s">
        <v>36</v>
      </c>
      <c r="Z5" s="49" t="s">
        <v>498</v>
      </c>
      <c r="AA5" s="49" t="s">
        <v>457</v>
      </c>
      <c r="AB5" s="49" t="s">
        <v>663</v>
      </c>
      <c r="AC5" s="49" t="s">
        <v>664</v>
      </c>
      <c r="AD5" s="49" t="s">
        <v>46</v>
      </c>
      <c r="AE5" s="49" t="s">
        <v>36</v>
      </c>
      <c r="AF5" s="49" t="s">
        <v>36</v>
      </c>
    </row>
    <row r="6" spans="1:32">
      <c r="A6" s="49" t="s">
        <v>673</v>
      </c>
      <c r="B6" s="49" t="s">
        <v>616</v>
      </c>
      <c r="C6" s="49" t="s">
        <v>16</v>
      </c>
      <c r="D6" s="49" t="s">
        <v>47</v>
      </c>
      <c r="E6" s="49" t="s">
        <v>48</v>
      </c>
      <c r="F6" s="49" t="s">
        <v>471</v>
      </c>
      <c r="G6" s="49" t="s">
        <v>472</v>
      </c>
      <c r="H6" s="49" t="s">
        <v>473</v>
      </c>
      <c r="I6" s="49" t="s">
        <v>36</v>
      </c>
      <c r="J6" s="49" t="s">
        <v>687</v>
      </c>
      <c r="K6" s="49" t="s">
        <v>687</v>
      </c>
      <c r="L6" s="49" t="s">
        <v>525</v>
      </c>
      <c r="M6" s="49" t="s">
        <v>451</v>
      </c>
      <c r="N6" s="49" t="s">
        <v>688</v>
      </c>
      <c r="O6" s="49" t="s">
        <v>689</v>
      </c>
      <c r="P6" s="49" t="s">
        <v>690</v>
      </c>
      <c r="Q6" s="49" t="s">
        <v>449</v>
      </c>
      <c r="R6" s="49">
        <v>32</v>
      </c>
      <c r="S6" s="49" t="s">
        <v>457</v>
      </c>
      <c r="T6" s="49" t="s">
        <v>457</v>
      </c>
      <c r="U6" s="49" t="s">
        <v>36</v>
      </c>
      <c r="V6" s="49" t="s">
        <v>36</v>
      </c>
      <c r="W6" s="49" t="s">
        <v>36</v>
      </c>
      <c r="X6" s="49" t="s">
        <v>36</v>
      </c>
      <c r="Y6" s="49" t="s">
        <v>36</v>
      </c>
      <c r="Z6" s="49" t="s">
        <v>457</v>
      </c>
      <c r="AA6" s="49" t="s">
        <v>463</v>
      </c>
      <c r="AB6" s="49" t="s">
        <v>691</v>
      </c>
      <c r="AC6" s="49" t="s">
        <v>692</v>
      </c>
      <c r="AD6" s="49" t="s">
        <v>49</v>
      </c>
      <c r="AE6" s="49" t="s">
        <v>36</v>
      </c>
      <c r="AF6" s="49" t="s">
        <v>36</v>
      </c>
    </row>
    <row r="7" spans="1:32">
      <c r="A7" s="49" t="s">
        <v>673</v>
      </c>
      <c r="B7" s="49" t="s">
        <v>476</v>
      </c>
      <c r="C7" s="49" t="s">
        <v>16</v>
      </c>
      <c r="D7" s="49" t="s">
        <v>50</v>
      </c>
      <c r="E7" s="49" t="s">
        <v>51</v>
      </c>
      <c r="F7" s="49" t="s">
        <v>477</v>
      </c>
      <c r="G7" s="49" t="s">
        <v>478</v>
      </c>
      <c r="H7" s="49" t="s">
        <v>479</v>
      </c>
      <c r="I7" s="49" t="s">
        <v>480</v>
      </c>
      <c r="J7" s="49" t="s">
        <v>481</v>
      </c>
      <c r="K7" s="49" t="s">
        <v>481</v>
      </c>
      <c r="L7" s="49" t="s">
        <v>482</v>
      </c>
      <c r="M7" s="49" t="s">
        <v>483</v>
      </c>
      <c r="N7" s="49" t="s">
        <v>484</v>
      </c>
      <c r="O7" s="49" t="s">
        <v>485</v>
      </c>
      <c r="P7" s="49" t="s">
        <v>486</v>
      </c>
      <c r="Q7" s="49" t="s">
        <v>449</v>
      </c>
      <c r="R7" s="49">
        <v>50</v>
      </c>
      <c r="S7" s="49" t="s">
        <v>451</v>
      </c>
      <c r="T7" s="49" t="s">
        <v>36</v>
      </c>
      <c r="U7" s="49" t="s">
        <v>487</v>
      </c>
      <c r="V7" s="49" t="s">
        <v>430</v>
      </c>
      <c r="W7" s="49" t="s">
        <v>36</v>
      </c>
      <c r="X7" s="49" t="s">
        <v>36</v>
      </c>
      <c r="Y7" s="49" t="s">
        <v>36</v>
      </c>
      <c r="Z7" s="49" t="s">
        <v>488</v>
      </c>
      <c r="AA7" s="49" t="s">
        <v>457</v>
      </c>
      <c r="AB7" s="49" t="s">
        <v>489</v>
      </c>
      <c r="AC7" s="49" t="s">
        <v>490</v>
      </c>
      <c r="AD7" s="49" t="s">
        <v>424</v>
      </c>
      <c r="AE7" s="49" t="s">
        <v>36</v>
      </c>
      <c r="AF7" s="49" t="s">
        <v>36</v>
      </c>
    </row>
    <row r="8" spans="1:32">
      <c r="A8" s="49" t="s">
        <v>673</v>
      </c>
      <c r="B8" s="49" t="s">
        <v>616</v>
      </c>
      <c r="C8" s="49" t="s">
        <v>16</v>
      </c>
      <c r="D8" s="49" t="s">
        <v>53</v>
      </c>
      <c r="E8" s="49" t="s">
        <v>54</v>
      </c>
      <c r="F8" s="49" t="s">
        <v>491</v>
      </c>
      <c r="G8" s="49" t="s">
        <v>492</v>
      </c>
      <c r="H8" s="49" t="s">
        <v>493</v>
      </c>
      <c r="I8" s="49" t="s">
        <v>494</v>
      </c>
      <c r="J8" s="49" t="s">
        <v>495</v>
      </c>
      <c r="K8" s="49" t="s">
        <v>495</v>
      </c>
      <c r="L8" s="49" t="s">
        <v>36</v>
      </c>
      <c r="M8" s="49" t="s">
        <v>36</v>
      </c>
      <c r="N8" s="49" t="s">
        <v>496</v>
      </c>
      <c r="O8" s="49" t="s">
        <v>497</v>
      </c>
      <c r="P8" s="49" t="s">
        <v>457</v>
      </c>
      <c r="Q8" s="49" t="s">
        <v>449</v>
      </c>
      <c r="R8" s="49">
        <v>1</v>
      </c>
      <c r="S8" s="49" t="s">
        <v>36</v>
      </c>
      <c r="T8" s="49" t="s">
        <v>36</v>
      </c>
      <c r="U8" s="49" t="s">
        <v>36</v>
      </c>
      <c r="V8" s="49" t="s">
        <v>36</v>
      </c>
      <c r="W8" s="49" t="s">
        <v>36</v>
      </c>
      <c r="X8" s="49" t="s">
        <v>36</v>
      </c>
      <c r="Y8" s="49" t="s">
        <v>36</v>
      </c>
      <c r="Z8" s="49" t="s">
        <v>449</v>
      </c>
      <c r="AA8" s="49" t="s">
        <v>449</v>
      </c>
      <c r="AB8" s="49" t="s">
        <v>36</v>
      </c>
      <c r="AC8" s="49" t="s">
        <v>36</v>
      </c>
      <c r="AD8" s="49" t="s">
        <v>693</v>
      </c>
      <c r="AE8" s="49" t="s">
        <v>36</v>
      </c>
      <c r="AF8" s="49" t="s">
        <v>36</v>
      </c>
    </row>
    <row r="9" spans="1:32">
      <c r="A9" s="49" t="s">
        <v>673</v>
      </c>
      <c r="B9" s="49" t="s">
        <v>616</v>
      </c>
      <c r="C9" s="49" t="s">
        <v>16</v>
      </c>
      <c r="D9" s="49" t="s">
        <v>56</v>
      </c>
      <c r="E9" s="49" t="s">
        <v>57</v>
      </c>
      <c r="F9" s="49" t="s">
        <v>498</v>
      </c>
      <c r="G9" s="49" t="s">
        <v>499</v>
      </c>
      <c r="H9" s="49" t="s">
        <v>500</v>
      </c>
      <c r="I9" s="49" t="s">
        <v>475</v>
      </c>
      <c r="J9" s="49" t="s">
        <v>642</v>
      </c>
      <c r="K9" s="49" t="s">
        <v>642</v>
      </c>
      <c r="L9" s="49" t="s">
        <v>474</v>
      </c>
      <c r="M9" s="49" t="s">
        <v>643</v>
      </c>
      <c r="N9" s="49" t="s">
        <v>644</v>
      </c>
      <c r="O9" s="49" t="s">
        <v>501</v>
      </c>
      <c r="P9" s="49" t="s">
        <v>502</v>
      </c>
      <c r="Q9" s="49" t="s">
        <v>449</v>
      </c>
      <c r="R9" s="49">
        <v>78</v>
      </c>
      <c r="S9" s="49" t="s">
        <v>488</v>
      </c>
      <c r="T9" s="49" t="s">
        <v>36</v>
      </c>
      <c r="U9" s="49" t="s">
        <v>36</v>
      </c>
      <c r="V9" s="49" t="s">
        <v>36</v>
      </c>
      <c r="W9" s="49" t="s">
        <v>36</v>
      </c>
      <c r="X9" s="49" t="s">
        <v>36</v>
      </c>
      <c r="Y9" s="49" t="s">
        <v>36</v>
      </c>
      <c r="Z9" s="49" t="s">
        <v>451</v>
      </c>
      <c r="AA9" s="49" t="s">
        <v>449</v>
      </c>
      <c r="AB9" s="49" t="s">
        <v>645</v>
      </c>
      <c r="AC9" s="49" t="s">
        <v>646</v>
      </c>
      <c r="AD9" s="49" t="s">
        <v>640</v>
      </c>
      <c r="AE9" s="49" t="s">
        <v>36</v>
      </c>
      <c r="AF9" s="49" t="s">
        <v>36</v>
      </c>
    </row>
    <row r="10" spans="1:32">
      <c r="A10" s="49" t="s">
        <v>673</v>
      </c>
      <c r="B10" s="49" t="s">
        <v>506</v>
      </c>
      <c r="C10" s="49" t="s">
        <v>16</v>
      </c>
      <c r="D10" s="49" t="s">
        <v>58</v>
      </c>
      <c r="E10" s="49" t="s">
        <v>59</v>
      </c>
      <c r="F10" s="49" t="s">
        <v>456</v>
      </c>
      <c r="G10" s="49" t="s">
        <v>507</v>
      </c>
      <c r="H10" s="49" t="s">
        <v>508</v>
      </c>
      <c r="I10" s="49" t="s">
        <v>509</v>
      </c>
      <c r="J10" s="49" t="s">
        <v>510</v>
      </c>
      <c r="K10" s="49" t="s">
        <v>510</v>
      </c>
      <c r="L10" s="49" t="s">
        <v>511</v>
      </c>
      <c r="M10" s="49" t="s">
        <v>512</v>
      </c>
      <c r="N10" s="49" t="s">
        <v>513</v>
      </c>
      <c r="O10" s="49" t="s">
        <v>514</v>
      </c>
      <c r="P10" s="49" t="s">
        <v>515</v>
      </c>
      <c r="Q10" s="49" t="s">
        <v>449</v>
      </c>
      <c r="R10" s="49">
        <v>244</v>
      </c>
      <c r="S10" s="49" t="s">
        <v>516</v>
      </c>
      <c r="T10" s="49" t="s">
        <v>517</v>
      </c>
      <c r="U10" s="49" t="s">
        <v>36</v>
      </c>
      <c r="V10" s="49" t="s">
        <v>36</v>
      </c>
      <c r="W10" s="49" t="s">
        <v>36</v>
      </c>
      <c r="X10" s="49" t="s">
        <v>36</v>
      </c>
      <c r="Y10" s="49" t="s">
        <v>518</v>
      </c>
      <c r="Z10" s="49" t="s">
        <v>449</v>
      </c>
      <c r="AA10" s="49" t="s">
        <v>449</v>
      </c>
      <c r="AB10" s="49" t="s">
        <v>519</v>
      </c>
      <c r="AC10" s="49" t="s">
        <v>520</v>
      </c>
      <c r="AD10" s="49" t="s">
        <v>434</v>
      </c>
      <c r="AE10" s="49" t="s">
        <v>36</v>
      </c>
      <c r="AF10" s="49" t="s">
        <v>36</v>
      </c>
    </row>
    <row r="11" spans="1:32">
      <c r="A11" s="49" t="s">
        <v>673</v>
      </c>
      <c r="B11" s="49" t="s">
        <v>694</v>
      </c>
      <c r="C11" s="49" t="s">
        <v>16</v>
      </c>
      <c r="D11" s="49" t="s">
        <v>61</v>
      </c>
      <c r="E11" s="49" t="s">
        <v>62</v>
      </c>
      <c r="F11" s="49" t="s">
        <v>521</v>
      </c>
      <c r="G11" s="49" t="s">
        <v>522</v>
      </c>
      <c r="H11" s="49" t="s">
        <v>523</v>
      </c>
      <c r="I11" s="49" t="s">
        <v>36</v>
      </c>
      <c r="J11" s="49" t="s">
        <v>524</v>
      </c>
      <c r="K11" s="49" t="s">
        <v>524</v>
      </c>
      <c r="L11" s="49" t="s">
        <v>449</v>
      </c>
      <c r="M11" s="49" t="s">
        <v>463</v>
      </c>
      <c r="N11" s="49" t="s">
        <v>526</v>
      </c>
      <c r="O11" s="49" t="s">
        <v>695</v>
      </c>
      <c r="P11" s="49" t="s">
        <v>36</v>
      </c>
      <c r="Q11" s="49" t="s">
        <v>449</v>
      </c>
      <c r="R11" s="49">
        <v>11</v>
      </c>
      <c r="S11" s="49" t="s">
        <v>36</v>
      </c>
      <c r="T11" s="49" t="s">
        <v>36</v>
      </c>
      <c r="U11" s="49" t="s">
        <v>36</v>
      </c>
      <c r="V11" s="49" t="s">
        <v>36</v>
      </c>
      <c r="W11" s="49" t="s">
        <v>36</v>
      </c>
      <c r="X11" s="49" t="s">
        <v>36</v>
      </c>
      <c r="Y11" s="49" t="s">
        <v>36</v>
      </c>
      <c r="Z11" s="49" t="s">
        <v>449</v>
      </c>
      <c r="AA11" s="49" t="s">
        <v>457</v>
      </c>
      <c r="AB11" s="49" t="s">
        <v>527</v>
      </c>
      <c r="AC11" s="49" t="s">
        <v>696</v>
      </c>
      <c r="AD11" s="49" t="s">
        <v>427</v>
      </c>
      <c r="AE11" s="49" t="s">
        <v>36</v>
      </c>
      <c r="AF11" s="49" t="s">
        <v>36</v>
      </c>
    </row>
    <row r="12" spans="1:32">
      <c r="A12" s="49" t="s">
        <v>673</v>
      </c>
      <c r="B12" s="49" t="s">
        <v>470</v>
      </c>
      <c r="C12" s="49" t="s">
        <v>16</v>
      </c>
      <c r="D12" s="49" t="s">
        <v>63</v>
      </c>
      <c r="E12" s="49" t="s">
        <v>64</v>
      </c>
      <c r="F12" s="49" t="s">
        <v>446</v>
      </c>
      <c r="G12" s="49" t="s">
        <v>528</v>
      </c>
      <c r="H12" s="49" t="s">
        <v>529</v>
      </c>
      <c r="I12" s="49" t="s">
        <v>36</v>
      </c>
      <c r="J12" s="49" t="s">
        <v>608</v>
      </c>
      <c r="K12" s="49" t="s">
        <v>608</v>
      </c>
      <c r="L12" s="49" t="s">
        <v>482</v>
      </c>
      <c r="M12" s="49" t="s">
        <v>516</v>
      </c>
      <c r="N12" s="49" t="s">
        <v>609</v>
      </c>
      <c r="O12" s="49" t="s">
        <v>531</v>
      </c>
      <c r="P12" s="49" t="s">
        <v>36</v>
      </c>
      <c r="Q12" s="49" t="s">
        <v>449</v>
      </c>
      <c r="R12" s="49">
        <v>45</v>
      </c>
      <c r="S12" s="49" t="s">
        <v>36</v>
      </c>
      <c r="T12" s="49" t="s">
        <v>36</v>
      </c>
      <c r="U12" s="49" t="s">
        <v>36</v>
      </c>
      <c r="V12" s="49" t="s">
        <v>36</v>
      </c>
      <c r="W12" s="49" t="s">
        <v>36</v>
      </c>
      <c r="X12" s="49" t="s">
        <v>36</v>
      </c>
      <c r="Y12" s="49" t="s">
        <v>36</v>
      </c>
      <c r="Z12" s="49" t="s">
        <v>463</v>
      </c>
      <c r="AA12" s="49" t="s">
        <v>449</v>
      </c>
      <c r="AB12" s="49" t="s">
        <v>610</v>
      </c>
      <c r="AC12" s="49" t="s">
        <v>532</v>
      </c>
      <c r="AD12" s="49" t="s">
        <v>65</v>
      </c>
      <c r="AE12" s="49" t="s">
        <v>36</v>
      </c>
      <c r="AF12" s="49" t="s">
        <v>36</v>
      </c>
    </row>
    <row r="13" spans="1:32">
      <c r="A13" s="49" t="s">
        <v>673</v>
      </c>
      <c r="B13" s="49" t="s">
        <v>470</v>
      </c>
      <c r="C13" s="49" t="s">
        <v>16</v>
      </c>
      <c r="D13" s="49" t="s">
        <v>66</v>
      </c>
      <c r="E13" s="49" t="s">
        <v>67</v>
      </c>
      <c r="F13" s="49" t="s">
        <v>533</v>
      </c>
      <c r="G13" s="49" t="s">
        <v>534</v>
      </c>
      <c r="H13" s="49" t="s">
        <v>535</v>
      </c>
      <c r="I13" s="49" t="s">
        <v>36</v>
      </c>
      <c r="J13" s="49" t="s">
        <v>536</v>
      </c>
      <c r="K13" s="49" t="s">
        <v>536</v>
      </c>
      <c r="L13" s="49" t="s">
        <v>525</v>
      </c>
      <c r="M13" s="49" t="s">
        <v>451</v>
      </c>
      <c r="N13" s="49" t="s">
        <v>537</v>
      </c>
      <c r="O13" s="49" t="s">
        <v>538</v>
      </c>
      <c r="P13" s="49" t="s">
        <v>36</v>
      </c>
      <c r="Q13" s="49" t="s">
        <v>449</v>
      </c>
      <c r="R13" s="49">
        <v>7</v>
      </c>
      <c r="S13" s="49" t="s">
        <v>488</v>
      </c>
      <c r="T13" s="49" t="s">
        <v>36</v>
      </c>
      <c r="U13" s="49" t="s">
        <v>36</v>
      </c>
      <c r="V13" s="49" t="s">
        <v>36</v>
      </c>
      <c r="W13" s="49" t="s">
        <v>36</v>
      </c>
      <c r="X13" s="49" t="s">
        <v>36</v>
      </c>
      <c r="Y13" s="49" t="s">
        <v>36</v>
      </c>
      <c r="Z13" s="49" t="s">
        <v>457</v>
      </c>
      <c r="AA13" s="49" t="s">
        <v>449</v>
      </c>
      <c r="AB13" s="49" t="s">
        <v>540</v>
      </c>
      <c r="AC13" s="49" t="s">
        <v>541</v>
      </c>
      <c r="AD13" s="49" t="s">
        <v>433</v>
      </c>
      <c r="AE13" s="49" t="s">
        <v>36</v>
      </c>
      <c r="AF13" s="49" t="s">
        <v>36</v>
      </c>
    </row>
    <row r="14" spans="1:32">
      <c r="A14" s="49" t="s">
        <v>673</v>
      </c>
      <c r="B14" s="49" t="s">
        <v>616</v>
      </c>
      <c r="C14" s="49" t="s">
        <v>16</v>
      </c>
      <c r="D14" s="49" t="s">
        <v>68</v>
      </c>
      <c r="E14" s="49" t="s">
        <v>69</v>
      </c>
      <c r="F14" s="49" t="s">
        <v>542</v>
      </c>
      <c r="G14" s="49" t="s">
        <v>543</v>
      </c>
      <c r="H14" s="49" t="s">
        <v>544</v>
      </c>
      <c r="I14" s="49" t="s">
        <v>36</v>
      </c>
      <c r="J14" s="49" t="s">
        <v>697</v>
      </c>
      <c r="K14" s="49" t="s">
        <v>697</v>
      </c>
      <c r="L14" s="49" t="s">
        <v>450</v>
      </c>
      <c r="M14" s="49" t="s">
        <v>660</v>
      </c>
      <c r="N14" s="49" t="s">
        <v>698</v>
      </c>
      <c r="O14" s="49" t="s">
        <v>545</v>
      </c>
      <c r="P14" s="49" t="s">
        <v>36</v>
      </c>
      <c r="Q14" s="49" t="s">
        <v>449</v>
      </c>
      <c r="R14" s="49">
        <v>17</v>
      </c>
      <c r="S14" s="49" t="s">
        <v>451</v>
      </c>
      <c r="T14" s="49" t="s">
        <v>36</v>
      </c>
      <c r="U14" s="49" t="s">
        <v>36</v>
      </c>
      <c r="V14" s="49" t="s">
        <v>36</v>
      </c>
      <c r="W14" s="49" t="s">
        <v>36</v>
      </c>
      <c r="X14" s="49" t="s">
        <v>36</v>
      </c>
      <c r="Y14" s="49" t="s">
        <v>36</v>
      </c>
      <c r="Z14" s="49" t="s">
        <v>450</v>
      </c>
      <c r="AA14" s="49" t="s">
        <v>449</v>
      </c>
      <c r="AB14" s="49" t="s">
        <v>699</v>
      </c>
      <c r="AC14" s="49" t="s">
        <v>547</v>
      </c>
      <c r="AD14" s="49" t="s">
        <v>70</v>
      </c>
      <c r="AE14" s="49" t="s">
        <v>36</v>
      </c>
      <c r="AF14" s="49" t="s">
        <v>36</v>
      </c>
    </row>
    <row r="15" spans="1:32">
      <c r="A15" s="49" t="s">
        <v>673</v>
      </c>
      <c r="B15" s="49" t="s">
        <v>470</v>
      </c>
      <c r="C15" s="49" t="s">
        <v>16</v>
      </c>
      <c r="D15" s="49" t="s">
        <v>71</v>
      </c>
      <c r="E15" s="49" t="s">
        <v>72</v>
      </c>
      <c r="F15" s="49" t="s">
        <v>483</v>
      </c>
      <c r="G15" s="49" t="s">
        <v>548</v>
      </c>
      <c r="H15" s="49" t="s">
        <v>549</v>
      </c>
      <c r="I15" s="49" t="s">
        <v>36</v>
      </c>
      <c r="J15" s="49" t="s">
        <v>550</v>
      </c>
      <c r="K15" s="49" t="s">
        <v>550</v>
      </c>
      <c r="L15" s="49" t="s">
        <v>525</v>
      </c>
      <c r="M15" s="49" t="s">
        <v>456</v>
      </c>
      <c r="N15" s="49" t="s">
        <v>551</v>
      </c>
      <c r="O15" s="49" t="s">
        <v>552</v>
      </c>
      <c r="P15" s="49" t="s">
        <v>36</v>
      </c>
      <c r="Q15" s="49" t="s">
        <v>449</v>
      </c>
      <c r="R15" s="49">
        <v>74</v>
      </c>
      <c r="S15" s="49" t="s">
        <v>488</v>
      </c>
      <c r="T15" s="49" t="s">
        <v>553</v>
      </c>
      <c r="U15" s="49" t="s">
        <v>36</v>
      </c>
      <c r="V15" s="49" t="s">
        <v>36</v>
      </c>
      <c r="W15" s="49" t="s">
        <v>36</v>
      </c>
      <c r="X15" s="49" t="s">
        <v>36</v>
      </c>
      <c r="Y15" s="49" t="s">
        <v>36</v>
      </c>
      <c r="Z15" s="49" t="s">
        <v>449</v>
      </c>
      <c r="AA15" s="49" t="s">
        <v>449</v>
      </c>
      <c r="AB15" s="49" t="s">
        <v>554</v>
      </c>
      <c r="AC15" s="49" t="s">
        <v>555</v>
      </c>
      <c r="AD15" s="49" t="s">
        <v>377</v>
      </c>
      <c r="AE15" s="49" t="s">
        <v>36</v>
      </c>
      <c r="AF15" s="49" t="s">
        <v>36</v>
      </c>
    </row>
    <row r="16" spans="1:32">
      <c r="A16" s="49" t="s">
        <v>673</v>
      </c>
      <c r="B16" s="49" t="s">
        <v>470</v>
      </c>
      <c r="C16" s="49" t="s">
        <v>16</v>
      </c>
      <c r="D16" s="49" t="s">
        <v>73</v>
      </c>
      <c r="E16" s="49" t="s">
        <v>74</v>
      </c>
      <c r="F16" s="49" t="s">
        <v>556</v>
      </c>
      <c r="G16" s="49" t="s">
        <v>557</v>
      </c>
      <c r="H16" s="49" t="s">
        <v>558</v>
      </c>
      <c r="I16" s="49" t="s">
        <v>36</v>
      </c>
      <c r="J16" s="49" t="s">
        <v>611</v>
      </c>
      <c r="K16" s="49" t="s">
        <v>611</v>
      </c>
      <c r="L16" s="49" t="s">
        <v>525</v>
      </c>
      <c r="M16" s="49" t="s">
        <v>457</v>
      </c>
      <c r="N16" s="49" t="s">
        <v>612</v>
      </c>
      <c r="O16" s="49" t="s">
        <v>559</v>
      </c>
      <c r="P16" s="49" t="s">
        <v>36</v>
      </c>
      <c r="Q16" s="49" t="s">
        <v>449</v>
      </c>
      <c r="R16" s="49">
        <v>3</v>
      </c>
      <c r="S16" s="49" t="s">
        <v>449</v>
      </c>
      <c r="T16" s="49" t="s">
        <v>36</v>
      </c>
      <c r="U16" s="49" t="s">
        <v>36</v>
      </c>
      <c r="V16" s="49" t="s">
        <v>36</v>
      </c>
      <c r="W16" s="49" t="s">
        <v>36</v>
      </c>
      <c r="X16" s="49" t="s">
        <v>36</v>
      </c>
      <c r="Y16" s="49" t="s">
        <v>36</v>
      </c>
      <c r="Z16" s="49" t="s">
        <v>463</v>
      </c>
      <c r="AA16" s="49" t="s">
        <v>449</v>
      </c>
      <c r="AB16" s="49" t="s">
        <v>613</v>
      </c>
      <c r="AC16" s="49" t="s">
        <v>36</v>
      </c>
      <c r="AD16" s="49" t="s">
        <v>357</v>
      </c>
      <c r="AE16" s="49" t="s">
        <v>36</v>
      </c>
      <c r="AF16" s="49" t="s">
        <v>36</v>
      </c>
    </row>
    <row r="17" spans="1:32">
      <c r="A17" s="49" t="s">
        <v>673</v>
      </c>
      <c r="B17" s="49" t="s">
        <v>700</v>
      </c>
      <c r="C17" s="49" t="s">
        <v>16</v>
      </c>
      <c r="D17" s="49" t="s">
        <v>75</v>
      </c>
      <c r="E17" s="49" t="s">
        <v>76</v>
      </c>
      <c r="F17" s="49" t="s">
        <v>560</v>
      </c>
      <c r="G17" s="49" t="s">
        <v>561</v>
      </c>
      <c r="H17" s="49" t="s">
        <v>562</v>
      </c>
      <c r="I17" s="49" t="s">
        <v>504</v>
      </c>
      <c r="J17" s="49" t="s">
        <v>503</v>
      </c>
      <c r="K17" s="49" t="s">
        <v>503</v>
      </c>
      <c r="L17" s="49" t="s">
        <v>449</v>
      </c>
      <c r="M17" s="49" t="s">
        <v>449</v>
      </c>
      <c r="N17" s="49" t="s">
        <v>563</v>
      </c>
      <c r="O17" s="49" t="s">
        <v>459</v>
      </c>
      <c r="P17" s="49" t="s">
        <v>457</v>
      </c>
      <c r="Q17" s="49" t="s">
        <v>449</v>
      </c>
      <c r="R17" s="49">
        <v>0</v>
      </c>
      <c r="S17" s="49" t="s">
        <v>36</v>
      </c>
      <c r="T17" s="49" t="s">
        <v>36</v>
      </c>
      <c r="U17" s="49" t="s">
        <v>36</v>
      </c>
      <c r="V17" s="49" t="s">
        <v>36</v>
      </c>
      <c r="W17" s="49" t="s">
        <v>36</v>
      </c>
      <c r="X17" s="49" t="s">
        <v>36</v>
      </c>
      <c r="Y17" s="49" t="s">
        <v>36</v>
      </c>
      <c r="Z17" s="49" t="s">
        <v>449</v>
      </c>
      <c r="AA17" s="49" t="s">
        <v>449</v>
      </c>
      <c r="AB17" s="49" t="s">
        <v>701</v>
      </c>
      <c r="AC17" s="49" t="s">
        <v>459</v>
      </c>
      <c r="AD17" s="49" t="s">
        <v>77</v>
      </c>
      <c r="AE17" s="49" t="s">
        <v>36</v>
      </c>
      <c r="AF17" s="49" t="s">
        <v>36</v>
      </c>
    </row>
    <row r="18" spans="1:32">
      <c r="A18" s="49" t="s">
        <v>673</v>
      </c>
      <c r="B18" s="49" t="s">
        <v>616</v>
      </c>
      <c r="C18" s="49" t="s">
        <v>16</v>
      </c>
      <c r="D18" s="49" t="s">
        <v>78</v>
      </c>
      <c r="E18" s="49" t="s">
        <v>79</v>
      </c>
      <c r="F18" s="49" t="s">
        <v>546</v>
      </c>
      <c r="G18" s="49" t="s">
        <v>564</v>
      </c>
      <c r="H18" s="49" t="s">
        <v>565</v>
      </c>
      <c r="I18" s="49" t="s">
        <v>36</v>
      </c>
      <c r="J18" s="49" t="s">
        <v>647</v>
      </c>
      <c r="K18" s="49" t="s">
        <v>647</v>
      </c>
      <c r="L18" s="49" t="s">
        <v>525</v>
      </c>
      <c r="M18" s="49" t="s">
        <v>648</v>
      </c>
      <c r="N18" s="49" t="s">
        <v>649</v>
      </c>
      <c r="O18" s="49" t="s">
        <v>566</v>
      </c>
      <c r="P18" s="49" t="s">
        <v>650</v>
      </c>
      <c r="Q18" s="49" t="s">
        <v>449</v>
      </c>
      <c r="R18" s="49">
        <v>33</v>
      </c>
      <c r="S18" s="49" t="s">
        <v>465</v>
      </c>
      <c r="T18" s="49" t="s">
        <v>36</v>
      </c>
      <c r="U18" s="49" t="s">
        <v>36</v>
      </c>
      <c r="V18" s="49" t="s">
        <v>36</v>
      </c>
      <c r="W18" s="49" t="s">
        <v>36</v>
      </c>
      <c r="X18" s="49" t="s">
        <v>36</v>
      </c>
      <c r="Y18" s="49" t="s">
        <v>36</v>
      </c>
      <c r="Z18" s="49" t="s">
        <v>451</v>
      </c>
      <c r="AA18" s="49" t="s">
        <v>449</v>
      </c>
      <c r="AB18" s="49" t="s">
        <v>651</v>
      </c>
      <c r="AC18" s="49" t="s">
        <v>452</v>
      </c>
      <c r="AD18" s="49" t="s">
        <v>80</v>
      </c>
      <c r="AE18" s="49" t="s">
        <v>36</v>
      </c>
      <c r="AF18" s="49" t="s">
        <v>36</v>
      </c>
    </row>
    <row r="19" spans="1:32">
      <c r="A19" s="49" t="s">
        <v>673</v>
      </c>
      <c r="B19" s="49" t="s">
        <v>614</v>
      </c>
      <c r="C19" s="49" t="s">
        <v>16</v>
      </c>
      <c r="D19" s="49" t="s">
        <v>81</v>
      </c>
      <c r="E19" s="49" t="s">
        <v>82</v>
      </c>
      <c r="F19" s="49" t="s">
        <v>567</v>
      </c>
      <c r="G19" s="49" t="s">
        <v>568</v>
      </c>
      <c r="H19" s="49" t="s">
        <v>569</v>
      </c>
      <c r="I19" s="49" t="s">
        <v>36</v>
      </c>
      <c r="J19" s="49" t="s">
        <v>570</v>
      </c>
      <c r="K19" s="49" t="s">
        <v>570</v>
      </c>
      <c r="L19" s="49" t="s">
        <v>525</v>
      </c>
      <c r="M19" s="49" t="s">
        <v>539</v>
      </c>
      <c r="N19" s="49" t="s">
        <v>571</v>
      </c>
      <c r="O19" s="49" t="s">
        <v>572</v>
      </c>
      <c r="P19" s="49" t="s">
        <v>36</v>
      </c>
      <c r="Q19" s="49" t="s">
        <v>449</v>
      </c>
      <c r="R19" s="49">
        <v>6</v>
      </c>
      <c r="S19" s="49" t="s">
        <v>463</v>
      </c>
      <c r="T19" s="49" t="s">
        <v>36</v>
      </c>
      <c r="U19" s="49" t="s">
        <v>36</v>
      </c>
      <c r="V19" s="49" t="s">
        <v>36</v>
      </c>
      <c r="W19" s="49" t="s">
        <v>36</v>
      </c>
      <c r="X19" s="49" t="s">
        <v>36</v>
      </c>
      <c r="Y19" s="49" t="s">
        <v>36</v>
      </c>
      <c r="Z19" s="49" t="s">
        <v>449</v>
      </c>
      <c r="AA19" s="49" t="s">
        <v>449</v>
      </c>
      <c r="AB19" s="49" t="s">
        <v>615</v>
      </c>
      <c r="AC19" s="49" t="s">
        <v>573</v>
      </c>
      <c r="AD19" s="49" t="s">
        <v>606</v>
      </c>
      <c r="AE19" s="49" t="s">
        <v>36</v>
      </c>
      <c r="AF19" s="49" t="s">
        <v>36</v>
      </c>
    </row>
    <row r="20" spans="1:32">
      <c r="A20" s="49" t="s">
        <v>673</v>
      </c>
      <c r="B20" s="49" t="s">
        <v>616</v>
      </c>
      <c r="C20" s="49" t="s">
        <v>16</v>
      </c>
      <c r="D20" s="49" t="s">
        <v>83</v>
      </c>
      <c r="E20" s="49" t="s">
        <v>84</v>
      </c>
      <c r="F20" s="49" t="s">
        <v>574</v>
      </c>
      <c r="G20" s="49" t="s">
        <v>575</v>
      </c>
      <c r="H20" s="49" t="s">
        <v>576</v>
      </c>
      <c r="I20" s="49" t="s">
        <v>36</v>
      </c>
      <c r="J20" s="49" t="s">
        <v>617</v>
      </c>
      <c r="K20" s="49" t="s">
        <v>617</v>
      </c>
      <c r="L20" s="49" t="s">
        <v>449</v>
      </c>
      <c r="M20" s="49" t="s">
        <v>477</v>
      </c>
      <c r="N20" s="49" t="s">
        <v>618</v>
      </c>
      <c r="O20" s="49" t="s">
        <v>577</v>
      </c>
      <c r="P20" s="49" t="s">
        <v>36</v>
      </c>
      <c r="Q20" s="49" t="s">
        <v>449</v>
      </c>
      <c r="R20" s="49">
        <v>15</v>
      </c>
      <c r="S20" s="49" t="s">
        <v>36</v>
      </c>
      <c r="T20" s="49" t="s">
        <v>36</v>
      </c>
      <c r="U20" s="49" t="s">
        <v>36</v>
      </c>
      <c r="V20" s="49" t="s">
        <v>36</v>
      </c>
      <c r="W20" s="49" t="s">
        <v>36</v>
      </c>
      <c r="X20" s="49" t="s">
        <v>36</v>
      </c>
      <c r="Y20" s="49" t="s">
        <v>36</v>
      </c>
      <c r="Z20" s="49" t="s">
        <v>463</v>
      </c>
      <c r="AA20" s="49" t="s">
        <v>449</v>
      </c>
      <c r="AB20" s="49" t="s">
        <v>505</v>
      </c>
      <c r="AC20" s="49" t="s">
        <v>36</v>
      </c>
      <c r="AD20" s="49" t="s">
        <v>387</v>
      </c>
      <c r="AE20" s="49" t="s">
        <v>36</v>
      </c>
      <c r="AF20" s="49" t="s">
        <v>36</v>
      </c>
    </row>
    <row r="21" spans="1:32">
      <c r="A21" s="49" t="s">
        <v>673</v>
      </c>
      <c r="B21" s="49" t="s">
        <v>619</v>
      </c>
      <c r="C21" s="49" t="s">
        <v>16</v>
      </c>
      <c r="D21" s="49" t="s">
        <v>86</v>
      </c>
      <c r="E21" s="49" t="s">
        <v>87</v>
      </c>
      <c r="F21" s="49" t="s">
        <v>578</v>
      </c>
      <c r="G21" s="49" t="s">
        <v>579</v>
      </c>
      <c r="H21" s="49" t="s">
        <v>580</v>
      </c>
      <c r="I21" s="49" t="s">
        <v>498</v>
      </c>
      <c r="J21" s="49" t="s">
        <v>620</v>
      </c>
      <c r="K21" s="49" t="s">
        <v>620</v>
      </c>
      <c r="L21" s="49" t="s">
        <v>449</v>
      </c>
      <c r="M21" s="49" t="s">
        <v>457</v>
      </c>
      <c r="N21" s="49" t="s">
        <v>621</v>
      </c>
      <c r="O21" s="49" t="s">
        <v>622</v>
      </c>
      <c r="P21" s="49" t="s">
        <v>623</v>
      </c>
      <c r="Q21" s="49" t="s">
        <v>449</v>
      </c>
      <c r="R21" s="49">
        <v>21</v>
      </c>
      <c r="S21" s="49" t="s">
        <v>36</v>
      </c>
      <c r="T21" s="49" t="s">
        <v>36</v>
      </c>
      <c r="U21" s="49" t="s">
        <v>36</v>
      </c>
      <c r="V21" s="49" t="s">
        <v>36</v>
      </c>
      <c r="W21" s="49" t="s">
        <v>36</v>
      </c>
      <c r="X21" s="49" t="s">
        <v>36</v>
      </c>
      <c r="Y21" s="49" t="s">
        <v>36</v>
      </c>
      <c r="Z21" s="49" t="s">
        <v>457</v>
      </c>
      <c r="AA21" s="49" t="s">
        <v>457</v>
      </c>
      <c r="AB21" s="49" t="s">
        <v>624</v>
      </c>
      <c r="AC21" s="49" t="s">
        <v>541</v>
      </c>
      <c r="AD21" s="49" t="s">
        <v>607</v>
      </c>
      <c r="AE21" s="49" t="s">
        <v>36</v>
      </c>
      <c r="AF21" s="49" t="s">
        <v>36</v>
      </c>
    </row>
    <row r="22" spans="1:32">
      <c r="A22" s="49" t="s">
        <v>673</v>
      </c>
      <c r="B22" s="49" t="s">
        <v>616</v>
      </c>
      <c r="C22" s="49" t="s">
        <v>16</v>
      </c>
      <c r="D22" s="49" t="s">
        <v>88</v>
      </c>
      <c r="E22" s="49" t="s">
        <v>89</v>
      </c>
      <c r="F22" s="49" t="s">
        <v>446</v>
      </c>
      <c r="G22" s="49" t="s">
        <v>581</v>
      </c>
      <c r="H22" s="49" t="s">
        <v>582</v>
      </c>
      <c r="I22" s="49" t="s">
        <v>583</v>
      </c>
      <c r="J22" s="49" t="s">
        <v>626</v>
      </c>
      <c r="K22" s="49" t="s">
        <v>626</v>
      </c>
      <c r="L22" s="49" t="s">
        <v>449</v>
      </c>
      <c r="M22" s="49" t="s">
        <v>567</v>
      </c>
      <c r="N22" s="49" t="s">
        <v>627</v>
      </c>
      <c r="O22" s="49" t="s">
        <v>584</v>
      </c>
      <c r="P22" s="49" t="s">
        <v>36</v>
      </c>
      <c r="Q22" s="49" t="s">
        <v>449</v>
      </c>
      <c r="R22" s="49">
        <v>17</v>
      </c>
      <c r="S22" s="49" t="s">
        <v>539</v>
      </c>
      <c r="T22" s="49" t="s">
        <v>36</v>
      </c>
      <c r="U22" s="49" t="s">
        <v>36</v>
      </c>
      <c r="V22" s="49" t="s">
        <v>36</v>
      </c>
      <c r="W22" s="49" t="s">
        <v>36</v>
      </c>
      <c r="X22" s="49" t="s">
        <v>36</v>
      </c>
      <c r="Y22" s="49" t="s">
        <v>36</v>
      </c>
      <c r="Z22" s="49" t="s">
        <v>463</v>
      </c>
      <c r="AA22" s="49" t="s">
        <v>449</v>
      </c>
      <c r="AB22" s="49" t="s">
        <v>628</v>
      </c>
      <c r="AC22" s="49" t="s">
        <v>547</v>
      </c>
      <c r="AD22" s="49" t="s">
        <v>90</v>
      </c>
      <c r="AE22" s="49" t="s">
        <v>36</v>
      </c>
      <c r="AF22" s="49" t="s">
        <v>36</v>
      </c>
    </row>
    <row r="23" spans="1:32">
      <c r="A23" s="49" t="s">
        <v>673</v>
      </c>
      <c r="B23" s="49" t="s">
        <v>629</v>
      </c>
      <c r="C23" s="49" t="s">
        <v>16</v>
      </c>
      <c r="D23" s="49" t="s">
        <v>91</v>
      </c>
      <c r="E23" s="49" t="s">
        <v>92</v>
      </c>
      <c r="F23" s="49" t="s">
        <v>516</v>
      </c>
      <c r="G23" s="49" t="s">
        <v>585</v>
      </c>
      <c r="H23" s="49" t="s">
        <v>586</v>
      </c>
      <c r="I23" s="49" t="s">
        <v>36</v>
      </c>
      <c r="J23" s="49" t="s">
        <v>630</v>
      </c>
      <c r="K23" s="49" t="s">
        <v>630</v>
      </c>
      <c r="L23" s="49" t="s">
        <v>702</v>
      </c>
      <c r="M23" s="49" t="s">
        <v>667</v>
      </c>
      <c r="N23" s="49" t="s">
        <v>631</v>
      </c>
      <c r="O23" s="49" t="s">
        <v>632</v>
      </c>
      <c r="P23" s="49" t="s">
        <v>587</v>
      </c>
      <c r="Q23" s="49" t="s">
        <v>449</v>
      </c>
      <c r="R23" s="49">
        <v>322</v>
      </c>
      <c r="S23" s="49" t="s">
        <v>475</v>
      </c>
      <c r="T23" s="49" t="s">
        <v>530</v>
      </c>
      <c r="U23" s="49" t="s">
        <v>36</v>
      </c>
      <c r="V23" s="49" t="s">
        <v>36</v>
      </c>
      <c r="W23" s="49" t="s">
        <v>36</v>
      </c>
      <c r="X23" s="49" t="s">
        <v>36</v>
      </c>
      <c r="Y23" s="49" t="s">
        <v>36</v>
      </c>
      <c r="Z23" s="49" t="s">
        <v>451</v>
      </c>
      <c r="AA23" s="49" t="s">
        <v>457</v>
      </c>
      <c r="AB23" s="49" t="s">
        <v>633</v>
      </c>
      <c r="AC23" s="49" t="s">
        <v>634</v>
      </c>
      <c r="AD23" s="49" t="s">
        <v>436</v>
      </c>
      <c r="AE23" s="49" t="s">
        <v>36</v>
      </c>
      <c r="AF23" s="49" t="s">
        <v>36</v>
      </c>
    </row>
    <row r="24" spans="1:32">
      <c r="A24" s="49" t="s">
        <v>673</v>
      </c>
      <c r="B24" s="49" t="s">
        <v>703</v>
      </c>
      <c r="C24" s="49" t="s">
        <v>16</v>
      </c>
      <c r="D24" s="49" t="s">
        <v>94</v>
      </c>
      <c r="E24" s="49" t="s">
        <v>95</v>
      </c>
      <c r="F24" s="49" t="s">
        <v>588</v>
      </c>
      <c r="G24" s="49" t="s">
        <v>589</v>
      </c>
      <c r="H24" s="49" t="s">
        <v>590</v>
      </c>
      <c r="I24" s="49" t="s">
        <v>469</v>
      </c>
      <c r="J24" s="49" t="s">
        <v>704</v>
      </c>
      <c r="K24" s="49" t="s">
        <v>704</v>
      </c>
      <c r="L24" s="49" t="s">
        <v>525</v>
      </c>
      <c r="M24" s="49" t="s">
        <v>465</v>
      </c>
      <c r="N24" s="49" t="s">
        <v>705</v>
      </c>
      <c r="O24" s="49" t="s">
        <v>706</v>
      </c>
      <c r="P24" s="49" t="s">
        <v>707</v>
      </c>
      <c r="Q24" s="49" t="s">
        <v>449</v>
      </c>
      <c r="R24" s="49">
        <v>6</v>
      </c>
      <c r="S24" s="49" t="s">
        <v>36</v>
      </c>
      <c r="T24" s="49" t="s">
        <v>36</v>
      </c>
      <c r="U24" s="49" t="s">
        <v>36</v>
      </c>
      <c r="V24" s="49" t="s">
        <v>36</v>
      </c>
      <c r="W24" s="49" t="s">
        <v>36</v>
      </c>
      <c r="X24" s="49" t="s">
        <v>36</v>
      </c>
      <c r="Y24" s="49" t="s">
        <v>36</v>
      </c>
      <c r="Z24" s="49" t="s">
        <v>457</v>
      </c>
      <c r="AA24" s="49" t="s">
        <v>457</v>
      </c>
      <c r="AB24" s="49" t="s">
        <v>708</v>
      </c>
      <c r="AC24" s="49" t="s">
        <v>573</v>
      </c>
      <c r="AD24" s="49" t="s">
        <v>96</v>
      </c>
      <c r="AE24" s="49" t="s">
        <v>36</v>
      </c>
      <c r="AF24" s="49" t="s">
        <v>36</v>
      </c>
    </row>
    <row r="25" spans="1:32">
      <c r="A25" s="49" t="s">
        <v>673</v>
      </c>
      <c r="B25" s="49" t="s">
        <v>470</v>
      </c>
      <c r="C25" s="49" t="s">
        <v>16</v>
      </c>
      <c r="D25" s="49" t="s">
        <v>97</v>
      </c>
      <c r="E25" s="49" t="s">
        <v>98</v>
      </c>
      <c r="F25" s="49" t="s">
        <v>591</v>
      </c>
      <c r="G25" s="49" t="s">
        <v>592</v>
      </c>
      <c r="H25" s="49" t="s">
        <v>593</v>
      </c>
      <c r="I25" s="49" t="s">
        <v>36</v>
      </c>
      <c r="J25" s="49" t="s">
        <v>665</v>
      </c>
      <c r="K25" s="49" t="s">
        <v>665</v>
      </c>
      <c r="L25" s="49" t="s">
        <v>666</v>
      </c>
      <c r="M25" s="49" t="s">
        <v>667</v>
      </c>
      <c r="N25" s="49" t="s">
        <v>668</v>
      </c>
      <c r="O25" s="49" t="s">
        <v>669</v>
      </c>
      <c r="P25" s="49" t="s">
        <v>36</v>
      </c>
      <c r="Q25" s="49" t="s">
        <v>449</v>
      </c>
      <c r="R25" s="49">
        <v>377</v>
      </c>
      <c r="S25" s="49" t="s">
        <v>670</v>
      </c>
      <c r="T25" s="49" t="s">
        <v>36</v>
      </c>
      <c r="U25" s="49" t="s">
        <v>36</v>
      </c>
      <c r="V25" s="49" t="s">
        <v>36</v>
      </c>
      <c r="W25" s="49" t="s">
        <v>36</v>
      </c>
      <c r="X25" s="49" t="s">
        <v>36</v>
      </c>
      <c r="Y25" s="49" t="s">
        <v>36</v>
      </c>
      <c r="Z25" s="49" t="s">
        <v>457</v>
      </c>
      <c r="AA25" s="49" t="s">
        <v>457</v>
      </c>
      <c r="AB25" s="49" t="s">
        <v>671</v>
      </c>
      <c r="AC25" s="49" t="s">
        <v>672</v>
      </c>
      <c r="AD25" s="49" t="s">
        <v>99</v>
      </c>
      <c r="AE25" s="49" t="s">
        <v>36</v>
      </c>
      <c r="AF25" s="49" t="s">
        <v>36</v>
      </c>
    </row>
    <row r="26" spans="1:32">
      <c r="A26" s="49" t="s">
        <v>673</v>
      </c>
      <c r="B26" s="49" t="s">
        <v>700</v>
      </c>
      <c r="C26" s="49" t="s">
        <v>16</v>
      </c>
      <c r="D26" s="49" t="s">
        <v>100</v>
      </c>
      <c r="E26" s="49" t="s">
        <v>101</v>
      </c>
      <c r="F26" s="49" t="s">
        <v>530</v>
      </c>
      <c r="G26" s="49" t="s">
        <v>594</v>
      </c>
      <c r="H26" s="49" t="s">
        <v>595</v>
      </c>
      <c r="I26" s="49" t="s">
        <v>36</v>
      </c>
      <c r="J26" s="49" t="s">
        <v>709</v>
      </c>
      <c r="K26" s="49" t="s">
        <v>709</v>
      </c>
      <c r="L26" s="49" t="s">
        <v>449</v>
      </c>
      <c r="M26" s="49" t="s">
        <v>596</v>
      </c>
      <c r="N26" s="49" t="s">
        <v>710</v>
      </c>
      <c r="O26" s="49" t="s">
        <v>711</v>
      </c>
      <c r="P26" s="49" t="s">
        <v>712</v>
      </c>
      <c r="Q26" s="49" t="s">
        <v>449</v>
      </c>
      <c r="R26" s="49">
        <v>138</v>
      </c>
      <c r="S26" s="49" t="s">
        <v>498</v>
      </c>
      <c r="T26" s="49" t="s">
        <v>450</v>
      </c>
      <c r="U26" s="49" t="s">
        <v>36</v>
      </c>
      <c r="V26" s="49" t="s">
        <v>36</v>
      </c>
      <c r="W26" s="49" t="s">
        <v>36</v>
      </c>
      <c r="X26" s="49" t="s">
        <v>36</v>
      </c>
      <c r="Y26" s="49" t="s">
        <v>36</v>
      </c>
      <c r="Z26" s="49" t="s">
        <v>488</v>
      </c>
      <c r="AA26" s="49" t="s">
        <v>457</v>
      </c>
      <c r="AB26" s="49" t="s">
        <v>713</v>
      </c>
      <c r="AC26" s="49" t="s">
        <v>714</v>
      </c>
      <c r="AD26" s="49" t="s">
        <v>715</v>
      </c>
      <c r="AE26" s="49" t="s">
        <v>36</v>
      </c>
      <c r="AF26" s="49" t="s">
        <v>36</v>
      </c>
    </row>
    <row r="27" spans="1:32">
      <c r="A27" s="49" t="s">
        <v>673</v>
      </c>
      <c r="B27" s="49" t="s">
        <v>629</v>
      </c>
      <c r="C27" s="49" t="s">
        <v>16</v>
      </c>
      <c r="D27" s="49" t="s">
        <v>102</v>
      </c>
      <c r="E27" s="49" t="s">
        <v>103</v>
      </c>
      <c r="F27" s="49" t="s">
        <v>597</v>
      </c>
      <c r="G27" s="49" t="s">
        <v>598</v>
      </c>
      <c r="H27" s="49" t="s">
        <v>599</v>
      </c>
      <c r="I27" s="49" t="s">
        <v>36</v>
      </c>
      <c r="J27" s="49" t="s">
        <v>600</v>
      </c>
      <c r="K27" s="49" t="s">
        <v>600</v>
      </c>
      <c r="L27" s="49" t="s">
        <v>482</v>
      </c>
      <c r="M27" s="49" t="s">
        <v>553</v>
      </c>
      <c r="N27" s="49" t="s">
        <v>601</v>
      </c>
      <c r="O27" s="49" t="s">
        <v>602</v>
      </c>
      <c r="P27" s="49" t="s">
        <v>635</v>
      </c>
      <c r="Q27" s="49" t="s">
        <v>449</v>
      </c>
      <c r="R27" s="49">
        <v>8</v>
      </c>
      <c r="S27" s="49" t="s">
        <v>457</v>
      </c>
      <c r="T27" s="49" t="s">
        <v>36</v>
      </c>
      <c r="U27" s="49" t="s">
        <v>36</v>
      </c>
      <c r="V27" s="49" t="s">
        <v>36</v>
      </c>
      <c r="W27" s="49" t="s">
        <v>36</v>
      </c>
      <c r="X27" s="49" t="s">
        <v>36</v>
      </c>
      <c r="Y27" s="49" t="s">
        <v>36</v>
      </c>
      <c r="Z27" s="49" t="s">
        <v>449</v>
      </c>
      <c r="AA27" s="49" t="s">
        <v>449</v>
      </c>
      <c r="AB27" s="49" t="s">
        <v>603</v>
      </c>
      <c r="AC27" s="49" t="s">
        <v>36</v>
      </c>
      <c r="AD27" s="49" t="s">
        <v>381</v>
      </c>
      <c r="AE27" s="49" t="s">
        <v>36</v>
      </c>
      <c r="AF27" s="49" t="s">
        <v>36</v>
      </c>
    </row>
    <row r="28" spans="1:32">
      <c r="A28" s="49" t="s">
        <v>673</v>
      </c>
      <c r="B28" s="49" t="s">
        <v>716</v>
      </c>
      <c r="C28" s="49" t="s">
        <v>16</v>
      </c>
      <c r="D28" s="49" t="s">
        <v>104</v>
      </c>
      <c r="E28" s="49" t="s">
        <v>105</v>
      </c>
      <c r="F28" s="49" t="s">
        <v>446</v>
      </c>
      <c r="G28" s="49" t="s">
        <v>604</v>
      </c>
      <c r="H28" s="49" t="s">
        <v>605</v>
      </c>
      <c r="I28" s="49" t="s">
        <v>36</v>
      </c>
      <c r="J28" s="49" t="s">
        <v>717</v>
      </c>
      <c r="K28" s="49" t="s">
        <v>717</v>
      </c>
      <c r="L28" s="49" t="s">
        <v>718</v>
      </c>
      <c r="M28" s="49" t="s">
        <v>643</v>
      </c>
      <c r="N28" s="49" t="s">
        <v>719</v>
      </c>
      <c r="O28" s="49" t="s">
        <v>720</v>
      </c>
      <c r="P28" s="49" t="s">
        <v>36</v>
      </c>
      <c r="Q28" s="49" t="s">
        <v>449</v>
      </c>
      <c r="R28" s="49">
        <v>123</v>
      </c>
      <c r="S28" s="49" t="s">
        <v>567</v>
      </c>
      <c r="T28" s="49" t="s">
        <v>567</v>
      </c>
      <c r="U28" s="49" t="s">
        <v>36</v>
      </c>
      <c r="V28" s="49" t="s">
        <v>36</v>
      </c>
      <c r="W28" s="49" t="s">
        <v>36</v>
      </c>
      <c r="X28" s="49" t="s">
        <v>36</v>
      </c>
      <c r="Y28" s="49" t="s">
        <v>36</v>
      </c>
      <c r="Z28" s="49" t="s">
        <v>471</v>
      </c>
      <c r="AA28" s="49" t="s">
        <v>449</v>
      </c>
      <c r="AB28" s="49" t="s">
        <v>721</v>
      </c>
      <c r="AC28" s="49" t="s">
        <v>722</v>
      </c>
      <c r="AD28" s="49" t="s">
        <v>106</v>
      </c>
      <c r="AE28" s="49" t="s">
        <v>36</v>
      </c>
      <c r="AF28" s="49" t="s">
        <v>36</v>
      </c>
    </row>
  </sheetData>
  <phoneticPr fontId="27" type="noConversion"/>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1494E-C381-4567-A473-CAF48053BEF2}">
  <sheetPr codeName="Tabelle10"/>
  <dimension ref="A1:K1430"/>
  <sheetViews>
    <sheetView topLeftCell="A1362" workbookViewId="0">
      <selection activeCell="A1419" sqref="A1419:K1419"/>
    </sheetView>
  </sheetViews>
  <sheetFormatPr baseColWidth="10" defaultRowHeight="14.5"/>
  <cols>
    <col min="1" max="1" width="9.90625" style="2" bestFit="1" customWidth="1"/>
    <col min="2" max="2" width="6.90625" style="47" bestFit="1" customWidth="1"/>
    <col min="3" max="3" width="27" style="47" bestFit="1" customWidth="1"/>
    <col min="4" max="4" width="15.6328125" style="47" bestFit="1" customWidth="1"/>
    <col min="5" max="5" width="13.90625" style="47" bestFit="1" customWidth="1"/>
    <col min="6" max="6" width="14.36328125" style="47" bestFit="1" customWidth="1"/>
    <col min="7" max="7" width="13.1796875" style="47" bestFit="1" customWidth="1"/>
    <col min="8" max="8" width="14" style="47" bestFit="1" customWidth="1"/>
    <col min="9" max="9" width="17.36328125" style="47" bestFit="1" customWidth="1"/>
    <col min="10" max="10" width="18.1796875" style="47" bestFit="1" customWidth="1"/>
    <col min="11" max="11" width="80.7265625" style="47" bestFit="1" customWidth="1"/>
    <col min="12" max="16384" width="10.90625" style="47"/>
  </cols>
  <sheetData>
    <row r="1" spans="1:11">
      <c r="A1" s="2" t="s">
        <v>0</v>
      </c>
      <c r="B1" s="47" t="s">
        <v>107</v>
      </c>
      <c r="C1" s="47" t="s">
        <v>392</v>
      </c>
      <c r="D1" s="47" t="s">
        <v>393</v>
      </c>
      <c r="E1" s="47" t="s">
        <v>394</v>
      </c>
      <c r="F1" s="47" t="s">
        <v>401</v>
      </c>
      <c r="G1" s="47" t="s">
        <v>402</v>
      </c>
      <c r="H1" s="47" t="s">
        <v>29</v>
      </c>
      <c r="I1" s="47" t="s">
        <v>395</v>
      </c>
      <c r="J1" s="47" t="s">
        <v>396</v>
      </c>
      <c r="K1" s="47" t="s">
        <v>33</v>
      </c>
    </row>
    <row r="2" spans="1:11">
      <c r="A2" s="2">
        <v>43886</v>
      </c>
      <c r="C2" s="47" t="s">
        <v>58</v>
      </c>
      <c r="D2" s="47">
        <v>72</v>
      </c>
      <c r="E2" s="47">
        <v>0</v>
      </c>
      <c r="F2" s="47">
        <v>0</v>
      </c>
      <c r="G2" s="47">
        <v>0</v>
      </c>
      <c r="H2" s="47">
        <v>0</v>
      </c>
      <c r="J2" s="47">
        <v>0</v>
      </c>
      <c r="K2" s="47" t="s">
        <v>60</v>
      </c>
    </row>
    <row r="3" spans="1:11">
      <c r="A3" s="2">
        <v>43886</v>
      </c>
      <c r="C3" s="47" t="s">
        <v>91</v>
      </c>
      <c r="E3" s="47">
        <v>1</v>
      </c>
      <c r="K3" s="47" t="s">
        <v>108</v>
      </c>
    </row>
    <row r="4" spans="1:11">
      <c r="A4" s="2">
        <v>43887</v>
      </c>
      <c r="C4" s="47" t="s">
        <v>58</v>
      </c>
      <c r="D4" s="47">
        <v>177</v>
      </c>
      <c r="E4" s="47">
        <v>1</v>
      </c>
      <c r="F4" s="47">
        <v>1</v>
      </c>
      <c r="G4" s="47">
        <v>0</v>
      </c>
      <c r="H4" s="47">
        <v>0</v>
      </c>
      <c r="J4" s="47">
        <v>0</v>
      </c>
      <c r="K4" s="47" t="s">
        <v>60</v>
      </c>
    </row>
    <row r="5" spans="1:11">
      <c r="A5" s="2">
        <v>43887</v>
      </c>
      <c r="C5" s="47" t="s">
        <v>91</v>
      </c>
      <c r="K5" s="47" t="s">
        <v>36</v>
      </c>
    </row>
    <row r="6" spans="1:11">
      <c r="A6" s="2">
        <v>43888</v>
      </c>
      <c r="C6" s="47" t="s">
        <v>53</v>
      </c>
      <c r="D6" s="47">
        <v>3</v>
      </c>
      <c r="K6" s="47" t="s">
        <v>110</v>
      </c>
    </row>
    <row r="7" spans="1:11">
      <c r="A7" s="2">
        <v>43888</v>
      </c>
      <c r="C7" s="47" t="s">
        <v>58</v>
      </c>
      <c r="D7" s="47">
        <v>325</v>
      </c>
      <c r="E7" s="47">
        <v>1</v>
      </c>
      <c r="F7" s="47">
        <v>1</v>
      </c>
      <c r="G7" s="47">
        <v>0</v>
      </c>
      <c r="H7" s="47">
        <v>0</v>
      </c>
      <c r="J7" s="47">
        <v>0</v>
      </c>
      <c r="K7" s="47" t="s">
        <v>60</v>
      </c>
    </row>
    <row r="8" spans="1:11">
      <c r="A8" s="2">
        <v>43888</v>
      </c>
      <c r="C8" s="47" t="s">
        <v>66</v>
      </c>
      <c r="E8" s="47">
        <v>1</v>
      </c>
      <c r="F8" s="47">
        <v>1</v>
      </c>
      <c r="G8" s="47">
        <v>0</v>
      </c>
      <c r="J8" s="47">
        <v>0</v>
      </c>
      <c r="K8" s="47" t="s">
        <v>433</v>
      </c>
    </row>
    <row r="9" spans="1:11">
      <c r="A9" s="2">
        <v>43888</v>
      </c>
      <c r="C9" s="47" t="s">
        <v>91</v>
      </c>
      <c r="K9" s="47" t="s">
        <v>36</v>
      </c>
    </row>
    <row r="10" spans="1:11">
      <c r="A10" s="2">
        <v>43888</v>
      </c>
      <c r="B10" s="47">
        <v>0.60416666666666663</v>
      </c>
      <c r="C10" s="47" t="s">
        <v>104</v>
      </c>
      <c r="E10" s="47">
        <v>2</v>
      </c>
      <c r="K10" s="47" t="s">
        <v>106</v>
      </c>
    </row>
    <row r="11" spans="1:11">
      <c r="A11" s="2">
        <v>43888</v>
      </c>
      <c r="B11" s="47">
        <v>0.80347222222222225</v>
      </c>
      <c r="C11" s="47" t="s">
        <v>50</v>
      </c>
      <c r="E11" s="47">
        <v>1</v>
      </c>
      <c r="K11" s="47" t="s">
        <v>109</v>
      </c>
    </row>
    <row r="12" spans="1:11">
      <c r="A12" s="2">
        <v>43889</v>
      </c>
      <c r="C12" s="47" t="s">
        <v>44</v>
      </c>
      <c r="E12" s="47">
        <v>1</v>
      </c>
      <c r="K12" s="47" t="s">
        <v>112</v>
      </c>
    </row>
    <row r="13" spans="1:11">
      <c r="A13" s="2">
        <v>43889</v>
      </c>
      <c r="C13" s="47" t="s">
        <v>47</v>
      </c>
      <c r="E13" s="47">
        <v>1</v>
      </c>
      <c r="K13" s="47" t="s">
        <v>113</v>
      </c>
    </row>
    <row r="14" spans="1:11">
      <c r="A14" s="2">
        <v>43889</v>
      </c>
      <c r="C14" s="47" t="s">
        <v>58</v>
      </c>
      <c r="D14" s="47">
        <v>532</v>
      </c>
      <c r="E14" s="47">
        <v>4</v>
      </c>
      <c r="F14" s="47">
        <v>2</v>
      </c>
      <c r="G14" s="47">
        <v>0</v>
      </c>
      <c r="H14" s="47">
        <v>0</v>
      </c>
      <c r="J14" s="47">
        <v>0</v>
      </c>
      <c r="K14" s="47" t="s">
        <v>60</v>
      </c>
    </row>
    <row r="15" spans="1:11">
      <c r="A15" s="2">
        <v>43889</v>
      </c>
      <c r="C15" s="47" t="s">
        <v>66</v>
      </c>
      <c r="E15" s="47">
        <v>1</v>
      </c>
      <c r="F15" s="47">
        <v>1</v>
      </c>
      <c r="G15" s="47">
        <v>0</v>
      </c>
      <c r="J15" s="47">
        <v>0</v>
      </c>
      <c r="K15" s="47" t="s">
        <v>433</v>
      </c>
    </row>
    <row r="16" spans="1:11">
      <c r="A16" s="2">
        <v>43889</v>
      </c>
      <c r="C16" s="47" t="s">
        <v>91</v>
      </c>
      <c r="K16" s="47" t="s">
        <v>36</v>
      </c>
    </row>
    <row r="17" spans="1:11">
      <c r="A17" s="2">
        <v>43889</v>
      </c>
      <c r="C17" s="47" t="s">
        <v>97</v>
      </c>
      <c r="F17" s="47">
        <v>4</v>
      </c>
      <c r="K17" s="47" t="s">
        <v>115</v>
      </c>
    </row>
    <row r="18" spans="1:11">
      <c r="A18" s="2">
        <v>43889</v>
      </c>
      <c r="C18" s="47" t="s">
        <v>100</v>
      </c>
      <c r="E18" s="47">
        <v>1</v>
      </c>
      <c r="F18" s="47">
        <v>5</v>
      </c>
      <c r="G18" s="47">
        <v>0</v>
      </c>
      <c r="H18" s="47">
        <v>0</v>
      </c>
      <c r="J18" s="47">
        <v>0</v>
      </c>
      <c r="K18" s="47" t="s">
        <v>419</v>
      </c>
    </row>
    <row r="19" spans="1:11">
      <c r="A19" s="2">
        <v>43889</v>
      </c>
      <c r="B19" s="47">
        <v>0.42708333333333331</v>
      </c>
      <c r="C19" s="47" t="s">
        <v>50</v>
      </c>
      <c r="E19" s="47">
        <v>1</v>
      </c>
      <c r="K19" s="47" t="s">
        <v>114</v>
      </c>
    </row>
    <row r="20" spans="1:11">
      <c r="A20" s="2">
        <v>43889</v>
      </c>
      <c r="B20" s="47">
        <v>0.60416666666666663</v>
      </c>
      <c r="C20" s="47" t="s">
        <v>104</v>
      </c>
      <c r="E20" s="47">
        <v>2</v>
      </c>
      <c r="K20" s="47" t="s">
        <v>106</v>
      </c>
    </row>
    <row r="21" spans="1:11">
      <c r="A21" s="2">
        <v>43889</v>
      </c>
      <c r="B21" s="47">
        <v>0.625</v>
      </c>
      <c r="C21" s="47" t="s">
        <v>34</v>
      </c>
      <c r="E21" s="47">
        <v>1</v>
      </c>
      <c r="K21" s="47" t="s">
        <v>111</v>
      </c>
    </row>
    <row r="22" spans="1:11">
      <c r="A22" s="2">
        <v>43890</v>
      </c>
      <c r="C22" s="47" t="s">
        <v>47</v>
      </c>
      <c r="E22" s="47">
        <v>2</v>
      </c>
      <c r="F22" s="47">
        <v>1</v>
      </c>
      <c r="K22" s="47" t="s">
        <v>116</v>
      </c>
    </row>
    <row r="23" spans="1:11">
      <c r="A23" s="2">
        <v>43890</v>
      </c>
      <c r="C23" s="47" t="s">
        <v>58</v>
      </c>
      <c r="D23" s="47">
        <v>672</v>
      </c>
      <c r="E23" s="47">
        <v>6</v>
      </c>
      <c r="F23" s="47">
        <v>3</v>
      </c>
      <c r="G23" s="47">
        <v>0</v>
      </c>
      <c r="H23" s="47">
        <v>0</v>
      </c>
      <c r="J23" s="47">
        <v>0</v>
      </c>
      <c r="K23" s="47" t="s">
        <v>60</v>
      </c>
    </row>
    <row r="24" spans="1:11">
      <c r="A24" s="2">
        <v>43890</v>
      </c>
      <c r="C24" s="47" t="s">
        <v>66</v>
      </c>
      <c r="E24" s="47">
        <v>1</v>
      </c>
      <c r="F24" s="47">
        <v>1</v>
      </c>
      <c r="G24" s="47">
        <v>0</v>
      </c>
      <c r="J24" s="47">
        <v>0</v>
      </c>
      <c r="K24" s="47" t="s">
        <v>433</v>
      </c>
    </row>
    <row r="25" spans="1:11">
      <c r="A25" s="2">
        <v>43890</v>
      </c>
      <c r="C25" s="47" t="s">
        <v>91</v>
      </c>
      <c r="K25" s="47" t="s">
        <v>36</v>
      </c>
    </row>
    <row r="26" spans="1:11">
      <c r="A26" s="2">
        <v>43890</v>
      </c>
      <c r="C26" s="47" t="s">
        <v>97</v>
      </c>
      <c r="F26" s="47">
        <v>4</v>
      </c>
      <c r="K26" s="47" t="s">
        <v>115</v>
      </c>
    </row>
    <row r="27" spans="1:11">
      <c r="A27" s="2">
        <v>43890</v>
      </c>
      <c r="C27" s="47" t="s">
        <v>100</v>
      </c>
      <c r="E27" s="47">
        <v>1</v>
      </c>
      <c r="F27" s="47">
        <v>5</v>
      </c>
      <c r="G27" s="47">
        <v>0</v>
      </c>
      <c r="H27" s="47">
        <v>0</v>
      </c>
      <c r="J27" s="47">
        <v>0</v>
      </c>
      <c r="K27" s="47" t="s">
        <v>419</v>
      </c>
    </row>
    <row r="28" spans="1:11">
      <c r="A28" s="2">
        <v>43890</v>
      </c>
      <c r="B28" s="47">
        <v>0.33333333333333331</v>
      </c>
      <c r="C28" s="47" t="s">
        <v>102</v>
      </c>
      <c r="E28" s="47">
        <v>0</v>
      </c>
      <c r="F28" s="47">
        <v>0</v>
      </c>
      <c r="G28" s="47">
        <v>0</v>
      </c>
      <c r="J28" s="47">
        <v>0</v>
      </c>
      <c r="K28" s="47" t="s">
        <v>381</v>
      </c>
    </row>
    <row r="29" spans="1:11">
      <c r="A29" s="2">
        <v>43890</v>
      </c>
      <c r="B29" s="47">
        <v>0.60416666666666663</v>
      </c>
      <c r="C29" s="47" t="s">
        <v>104</v>
      </c>
      <c r="E29" s="47">
        <v>6</v>
      </c>
      <c r="K29" s="47" t="s">
        <v>106</v>
      </c>
    </row>
    <row r="30" spans="1:11">
      <c r="A30" s="2">
        <v>43890</v>
      </c>
      <c r="B30" s="47">
        <v>0.64097222222222228</v>
      </c>
      <c r="C30" s="47" t="s">
        <v>50</v>
      </c>
      <c r="E30" s="47">
        <v>1</v>
      </c>
      <c r="K30" s="47" t="s">
        <v>117</v>
      </c>
    </row>
    <row r="31" spans="1:11">
      <c r="A31" s="2">
        <v>43891</v>
      </c>
      <c r="C31" s="47" t="s">
        <v>44</v>
      </c>
      <c r="E31" s="47">
        <v>2</v>
      </c>
      <c r="K31" s="47" t="s">
        <v>118</v>
      </c>
    </row>
    <row r="32" spans="1:11">
      <c r="A32" s="2">
        <v>43891</v>
      </c>
      <c r="C32" s="47" t="s">
        <v>47</v>
      </c>
      <c r="E32" s="47">
        <v>2</v>
      </c>
      <c r="F32" s="47">
        <v>1</v>
      </c>
      <c r="K32" s="47" t="s">
        <v>36</v>
      </c>
    </row>
    <row r="33" spans="1:11">
      <c r="A33" s="2">
        <v>43891</v>
      </c>
      <c r="C33" s="47" t="s">
        <v>56</v>
      </c>
      <c r="D33" s="47">
        <v>30</v>
      </c>
      <c r="E33" s="47">
        <v>1</v>
      </c>
      <c r="K33" s="47" t="s">
        <v>120</v>
      </c>
    </row>
    <row r="34" spans="1:11">
      <c r="A34" s="2">
        <v>43891</v>
      </c>
      <c r="C34" s="47" t="s">
        <v>58</v>
      </c>
      <c r="D34" s="47">
        <v>778</v>
      </c>
      <c r="E34" s="47">
        <v>8</v>
      </c>
      <c r="F34" s="47">
        <v>3</v>
      </c>
      <c r="G34" s="47">
        <v>0</v>
      </c>
      <c r="H34" s="47">
        <v>0</v>
      </c>
      <c r="J34" s="47">
        <v>0</v>
      </c>
      <c r="K34" s="47" t="s">
        <v>60</v>
      </c>
    </row>
    <row r="35" spans="1:11">
      <c r="A35" s="2">
        <v>43891</v>
      </c>
      <c r="C35" s="47" t="s">
        <v>66</v>
      </c>
      <c r="E35" s="47">
        <v>1</v>
      </c>
      <c r="F35" s="47">
        <v>1</v>
      </c>
      <c r="G35" s="47">
        <v>0</v>
      </c>
      <c r="J35" s="47">
        <v>0</v>
      </c>
      <c r="K35" s="47" t="s">
        <v>433</v>
      </c>
    </row>
    <row r="36" spans="1:11">
      <c r="A36" s="2">
        <v>43891</v>
      </c>
      <c r="C36" s="47" t="s">
        <v>71</v>
      </c>
      <c r="E36" s="47">
        <v>1</v>
      </c>
      <c r="K36" s="47" t="s">
        <v>377</v>
      </c>
    </row>
    <row r="37" spans="1:11">
      <c r="A37" s="2">
        <v>43891</v>
      </c>
      <c r="C37" s="47" t="s">
        <v>91</v>
      </c>
      <c r="K37" s="47" t="s">
        <v>36</v>
      </c>
    </row>
    <row r="38" spans="1:11">
      <c r="A38" s="2">
        <v>43891</v>
      </c>
      <c r="C38" s="47" t="s">
        <v>97</v>
      </c>
      <c r="F38" s="47">
        <v>4</v>
      </c>
      <c r="K38" s="47" t="s">
        <v>115</v>
      </c>
    </row>
    <row r="39" spans="1:11">
      <c r="A39" s="2">
        <v>43891</v>
      </c>
      <c r="C39" s="47" t="s">
        <v>100</v>
      </c>
      <c r="E39" s="47">
        <v>2</v>
      </c>
      <c r="F39" s="47">
        <v>6</v>
      </c>
      <c r="G39" s="47">
        <v>0</v>
      </c>
      <c r="H39" s="47">
        <v>0</v>
      </c>
      <c r="J39" s="47">
        <v>0</v>
      </c>
      <c r="K39" s="47" t="s">
        <v>419</v>
      </c>
    </row>
    <row r="40" spans="1:11">
      <c r="A40" s="2">
        <v>43891</v>
      </c>
      <c r="B40" s="47">
        <v>0.33333333333333331</v>
      </c>
      <c r="C40" s="47" t="s">
        <v>102</v>
      </c>
      <c r="E40" s="47">
        <v>0</v>
      </c>
      <c r="F40" s="47">
        <v>0</v>
      </c>
      <c r="G40" s="47">
        <v>0</v>
      </c>
      <c r="I40" s="47">
        <v>0</v>
      </c>
      <c r="J40" s="47">
        <v>0</v>
      </c>
      <c r="K40" s="47" t="s">
        <v>381</v>
      </c>
    </row>
    <row r="41" spans="1:11">
      <c r="A41" s="2">
        <v>43891</v>
      </c>
      <c r="B41" s="47">
        <v>0.60416666666666663</v>
      </c>
      <c r="C41" s="47" t="s">
        <v>104</v>
      </c>
      <c r="E41" s="47">
        <v>7</v>
      </c>
      <c r="K41" s="47" t="s">
        <v>106</v>
      </c>
    </row>
    <row r="42" spans="1:11">
      <c r="A42" s="2">
        <v>43891</v>
      </c>
      <c r="B42" s="47">
        <v>0.72847222222222219</v>
      </c>
      <c r="C42" s="47" t="s">
        <v>50</v>
      </c>
      <c r="E42" s="47">
        <v>1</v>
      </c>
      <c r="K42" s="47" t="s">
        <v>119</v>
      </c>
    </row>
    <row r="43" spans="1:11">
      <c r="A43" s="2">
        <v>43892</v>
      </c>
      <c r="C43" s="47" t="s">
        <v>44</v>
      </c>
      <c r="E43" s="47">
        <v>4</v>
      </c>
      <c r="K43" s="47" t="s">
        <v>122</v>
      </c>
    </row>
    <row r="44" spans="1:11">
      <c r="A44" s="2">
        <v>43892</v>
      </c>
      <c r="C44" s="47" t="s">
        <v>47</v>
      </c>
      <c r="E44" s="47">
        <v>2</v>
      </c>
      <c r="F44" s="47">
        <v>1</v>
      </c>
      <c r="K44" s="47" t="s">
        <v>36</v>
      </c>
    </row>
    <row r="45" spans="1:11">
      <c r="A45" s="2">
        <v>43892</v>
      </c>
      <c r="C45" s="47" t="s">
        <v>56</v>
      </c>
      <c r="E45" s="47">
        <v>2</v>
      </c>
      <c r="K45" s="47" t="s">
        <v>124</v>
      </c>
    </row>
    <row r="46" spans="1:11">
      <c r="A46" s="2">
        <v>43892</v>
      </c>
      <c r="C46" s="47" t="s">
        <v>58</v>
      </c>
      <c r="D46" s="47">
        <v>865</v>
      </c>
      <c r="E46" s="47">
        <v>8</v>
      </c>
      <c r="F46" s="47">
        <v>3</v>
      </c>
      <c r="G46" s="47">
        <v>0</v>
      </c>
      <c r="H46" s="47">
        <v>0</v>
      </c>
      <c r="J46" s="47">
        <v>0</v>
      </c>
      <c r="K46" s="47" t="s">
        <v>60</v>
      </c>
    </row>
    <row r="47" spans="1:11">
      <c r="A47" s="2">
        <v>43892</v>
      </c>
      <c r="C47" s="47" t="s">
        <v>66</v>
      </c>
      <c r="E47" s="47">
        <v>1</v>
      </c>
      <c r="F47" s="47">
        <v>1</v>
      </c>
      <c r="G47" s="47">
        <v>0</v>
      </c>
      <c r="J47" s="47">
        <v>0</v>
      </c>
      <c r="K47" s="47" t="s">
        <v>433</v>
      </c>
    </row>
    <row r="48" spans="1:11">
      <c r="A48" s="2">
        <v>43892</v>
      </c>
      <c r="C48" s="47" t="s">
        <v>71</v>
      </c>
      <c r="E48" s="47">
        <v>1</v>
      </c>
      <c r="F48" s="47">
        <v>1</v>
      </c>
      <c r="K48" s="47" t="s">
        <v>377</v>
      </c>
    </row>
    <row r="49" spans="1:11">
      <c r="A49" s="2">
        <v>43892</v>
      </c>
      <c r="C49" s="47" t="s">
        <v>78</v>
      </c>
      <c r="E49" s="47">
        <v>0</v>
      </c>
      <c r="K49" s="47" t="s">
        <v>125</v>
      </c>
    </row>
    <row r="50" spans="1:11">
      <c r="A50" s="2">
        <v>43892</v>
      </c>
      <c r="C50" s="47" t="s">
        <v>91</v>
      </c>
      <c r="E50" s="47">
        <v>2</v>
      </c>
      <c r="K50" s="47" t="s">
        <v>126</v>
      </c>
    </row>
    <row r="51" spans="1:11">
      <c r="A51" s="2">
        <v>43892</v>
      </c>
      <c r="C51" s="47" t="s">
        <v>97</v>
      </c>
      <c r="F51" s="47">
        <v>6</v>
      </c>
      <c r="K51" s="47" t="s">
        <v>115</v>
      </c>
    </row>
    <row r="52" spans="1:11">
      <c r="A52" s="2">
        <v>43892</v>
      </c>
      <c r="C52" s="47" t="s">
        <v>100</v>
      </c>
      <c r="E52" s="47">
        <v>3</v>
      </c>
      <c r="F52" s="47">
        <v>9</v>
      </c>
      <c r="G52" s="47">
        <v>0</v>
      </c>
      <c r="H52" s="47">
        <v>0</v>
      </c>
      <c r="J52" s="47">
        <v>0</v>
      </c>
      <c r="K52" s="47" t="s">
        <v>419</v>
      </c>
    </row>
    <row r="53" spans="1:11">
      <c r="A53" s="2">
        <v>43892</v>
      </c>
      <c r="B53" s="47">
        <v>0.33333333333333331</v>
      </c>
      <c r="C53" s="47" t="s">
        <v>102</v>
      </c>
      <c r="E53" s="47">
        <v>0</v>
      </c>
      <c r="F53" s="47">
        <v>0</v>
      </c>
      <c r="G53" s="47">
        <v>0</v>
      </c>
      <c r="I53" s="47">
        <v>0</v>
      </c>
      <c r="J53" s="47">
        <v>0</v>
      </c>
      <c r="K53" s="47" t="s">
        <v>381</v>
      </c>
    </row>
    <row r="54" spans="1:11">
      <c r="A54" s="2">
        <v>43892</v>
      </c>
      <c r="B54" s="47">
        <v>0.60416666666666663</v>
      </c>
      <c r="C54" s="47" t="s">
        <v>104</v>
      </c>
      <c r="E54" s="47">
        <v>11</v>
      </c>
      <c r="K54" s="47" t="s">
        <v>106</v>
      </c>
    </row>
    <row r="55" spans="1:11">
      <c r="A55" s="2">
        <v>43892</v>
      </c>
      <c r="B55" s="47">
        <v>0.71875</v>
      </c>
      <c r="C55" s="47" t="s">
        <v>50</v>
      </c>
      <c r="D55" s="47">
        <v>235</v>
      </c>
      <c r="E55" s="47">
        <v>1</v>
      </c>
      <c r="K55" s="47" t="s">
        <v>123</v>
      </c>
    </row>
    <row r="56" spans="1:11">
      <c r="A56" s="2">
        <v>43892</v>
      </c>
      <c r="B56" s="47">
        <v>0.75</v>
      </c>
      <c r="C56" s="47" t="s">
        <v>34</v>
      </c>
      <c r="E56" s="47">
        <v>2</v>
      </c>
      <c r="K56" s="47" t="s">
        <v>121</v>
      </c>
    </row>
    <row r="57" spans="1:11">
      <c r="A57" s="2">
        <v>43893</v>
      </c>
      <c r="C57" s="47" t="s">
        <v>47</v>
      </c>
      <c r="E57" s="47">
        <v>2</v>
      </c>
      <c r="F57" s="47">
        <v>1</v>
      </c>
      <c r="K57" s="47" t="s">
        <v>36</v>
      </c>
    </row>
    <row r="58" spans="1:11">
      <c r="A58" s="2">
        <v>43893</v>
      </c>
      <c r="C58" s="47" t="s">
        <v>53</v>
      </c>
      <c r="D58" s="47">
        <v>14</v>
      </c>
      <c r="K58" s="47" t="s">
        <v>129</v>
      </c>
    </row>
    <row r="59" spans="1:11">
      <c r="A59" s="2">
        <v>43893</v>
      </c>
      <c r="C59" s="47" t="s">
        <v>58</v>
      </c>
      <c r="D59" s="47">
        <v>974</v>
      </c>
      <c r="E59" s="47">
        <v>11</v>
      </c>
      <c r="F59" s="47">
        <v>4</v>
      </c>
      <c r="G59" s="47">
        <v>0</v>
      </c>
      <c r="H59" s="47">
        <v>0</v>
      </c>
      <c r="J59" s="47">
        <v>0</v>
      </c>
      <c r="K59" s="47" t="s">
        <v>60</v>
      </c>
    </row>
    <row r="60" spans="1:11">
      <c r="A60" s="2">
        <v>43893</v>
      </c>
      <c r="C60" s="47" t="s">
        <v>66</v>
      </c>
      <c r="E60" s="47">
        <v>2</v>
      </c>
      <c r="F60" s="47">
        <v>1</v>
      </c>
      <c r="G60" s="47">
        <v>0</v>
      </c>
      <c r="J60" s="47">
        <v>0</v>
      </c>
      <c r="K60" s="47" t="s">
        <v>433</v>
      </c>
    </row>
    <row r="61" spans="1:11">
      <c r="A61" s="2">
        <v>43893</v>
      </c>
      <c r="C61" s="47" t="s">
        <v>71</v>
      </c>
      <c r="E61" s="47">
        <v>1</v>
      </c>
      <c r="F61" s="47">
        <v>1</v>
      </c>
      <c r="K61" s="47" t="s">
        <v>377</v>
      </c>
    </row>
    <row r="62" spans="1:11">
      <c r="A62" s="2">
        <v>43893</v>
      </c>
      <c r="C62" s="47" t="s">
        <v>86</v>
      </c>
      <c r="D62" s="47">
        <v>1</v>
      </c>
      <c r="E62" s="47">
        <v>1</v>
      </c>
      <c r="K62" s="47" t="s">
        <v>130</v>
      </c>
    </row>
    <row r="63" spans="1:11">
      <c r="A63" s="2">
        <v>43893</v>
      </c>
      <c r="C63" s="47" t="s">
        <v>91</v>
      </c>
      <c r="E63" s="47">
        <v>4</v>
      </c>
      <c r="K63" s="47" t="s">
        <v>131</v>
      </c>
    </row>
    <row r="64" spans="1:11">
      <c r="A64" s="2">
        <v>43893</v>
      </c>
      <c r="C64" s="47" t="s">
        <v>97</v>
      </c>
      <c r="F64" s="47">
        <v>8</v>
      </c>
      <c r="K64" s="47" t="s">
        <v>115</v>
      </c>
    </row>
    <row r="65" spans="1:11">
      <c r="A65" s="2">
        <v>43893</v>
      </c>
      <c r="C65" s="47" t="s">
        <v>100</v>
      </c>
      <c r="E65" s="47">
        <v>3</v>
      </c>
      <c r="F65" s="47">
        <v>11</v>
      </c>
      <c r="G65" s="47">
        <v>0</v>
      </c>
      <c r="H65" s="47">
        <v>0</v>
      </c>
      <c r="J65" s="47">
        <v>0</v>
      </c>
      <c r="K65" s="47" t="s">
        <v>419</v>
      </c>
    </row>
    <row r="66" spans="1:11">
      <c r="A66" s="2">
        <v>43893</v>
      </c>
      <c r="B66" s="47">
        <v>0.33333333333333331</v>
      </c>
      <c r="C66" s="47" t="s">
        <v>102</v>
      </c>
      <c r="E66" s="47">
        <v>1</v>
      </c>
      <c r="F66" s="47">
        <v>0</v>
      </c>
      <c r="G66" s="47">
        <v>0</v>
      </c>
      <c r="I66" s="47">
        <v>0</v>
      </c>
      <c r="J66" s="47">
        <v>0</v>
      </c>
      <c r="K66" s="47" t="s">
        <v>381</v>
      </c>
    </row>
    <row r="67" spans="1:11">
      <c r="A67" s="2">
        <v>43893</v>
      </c>
      <c r="B67" s="47">
        <v>0.60416666666666663</v>
      </c>
      <c r="C67" s="47" t="s">
        <v>104</v>
      </c>
      <c r="E67" s="47">
        <v>14</v>
      </c>
      <c r="K67" s="47" t="s">
        <v>106</v>
      </c>
    </row>
    <row r="68" spans="1:11">
      <c r="A68" s="2">
        <v>43893</v>
      </c>
      <c r="B68" s="47">
        <v>0.625</v>
      </c>
      <c r="C68" s="47" t="s">
        <v>34</v>
      </c>
      <c r="E68" s="47">
        <v>6</v>
      </c>
      <c r="K68" s="47" t="s">
        <v>127</v>
      </c>
    </row>
    <row r="69" spans="1:11">
      <c r="A69" s="2">
        <v>43893</v>
      </c>
      <c r="B69" s="47">
        <v>0.72916666666666663</v>
      </c>
      <c r="C69" s="47" t="s">
        <v>50</v>
      </c>
      <c r="E69" s="47">
        <v>3</v>
      </c>
      <c r="K69" s="47" t="s">
        <v>128</v>
      </c>
    </row>
    <row r="70" spans="1:11">
      <c r="A70" s="2">
        <v>43894</v>
      </c>
      <c r="C70" s="47" t="s">
        <v>44</v>
      </c>
      <c r="E70" s="47">
        <v>6</v>
      </c>
      <c r="K70" s="47" t="s">
        <v>133</v>
      </c>
    </row>
    <row r="71" spans="1:11">
      <c r="A71" s="2">
        <v>43894</v>
      </c>
      <c r="C71" s="47" t="s">
        <v>47</v>
      </c>
      <c r="E71" s="47">
        <v>2</v>
      </c>
      <c r="F71" s="47">
        <v>1</v>
      </c>
      <c r="K71" s="47" t="s">
        <v>36</v>
      </c>
    </row>
    <row r="72" spans="1:11">
      <c r="A72" s="2">
        <v>43894</v>
      </c>
      <c r="C72" s="47" t="s">
        <v>53</v>
      </c>
      <c r="D72" s="47">
        <v>16</v>
      </c>
      <c r="E72" s="47">
        <v>1</v>
      </c>
      <c r="K72" s="47" t="s">
        <v>135</v>
      </c>
    </row>
    <row r="73" spans="1:11">
      <c r="A73" s="2">
        <v>43894</v>
      </c>
      <c r="C73" s="47" t="s">
        <v>56</v>
      </c>
      <c r="E73" s="47">
        <v>4</v>
      </c>
      <c r="K73" s="47" t="s">
        <v>136</v>
      </c>
    </row>
    <row r="74" spans="1:11">
      <c r="A74" s="2">
        <v>43894</v>
      </c>
      <c r="C74" s="47" t="s">
        <v>58</v>
      </c>
      <c r="D74" s="47">
        <v>1081</v>
      </c>
      <c r="E74" s="47">
        <v>11</v>
      </c>
      <c r="F74" s="47">
        <v>4</v>
      </c>
      <c r="G74" s="47">
        <v>0</v>
      </c>
      <c r="H74" s="47">
        <v>0</v>
      </c>
      <c r="J74" s="47">
        <v>0</v>
      </c>
      <c r="K74" s="47" t="s">
        <v>60</v>
      </c>
    </row>
    <row r="75" spans="1:11">
      <c r="A75" s="2">
        <v>43894</v>
      </c>
      <c r="C75" s="47" t="s">
        <v>66</v>
      </c>
      <c r="E75" s="47">
        <v>2</v>
      </c>
      <c r="F75" s="47">
        <v>1</v>
      </c>
      <c r="G75" s="47">
        <v>0</v>
      </c>
      <c r="J75" s="47">
        <v>0</v>
      </c>
      <c r="K75" s="47" t="s">
        <v>433</v>
      </c>
    </row>
    <row r="76" spans="1:11">
      <c r="A76" s="2">
        <v>43894</v>
      </c>
      <c r="C76" s="47" t="s">
        <v>71</v>
      </c>
      <c r="E76" s="47">
        <v>8</v>
      </c>
      <c r="F76" s="47">
        <v>4</v>
      </c>
      <c r="K76" s="47" t="s">
        <v>377</v>
      </c>
    </row>
    <row r="77" spans="1:11">
      <c r="A77" s="2">
        <v>43894</v>
      </c>
      <c r="C77" s="47" t="s">
        <v>86</v>
      </c>
      <c r="D77" s="47">
        <v>3</v>
      </c>
      <c r="E77" s="47">
        <v>3</v>
      </c>
      <c r="F77" s="47">
        <v>1</v>
      </c>
      <c r="K77" s="47" t="s">
        <v>130</v>
      </c>
    </row>
    <row r="78" spans="1:11">
      <c r="A78" s="2">
        <v>43894</v>
      </c>
      <c r="C78" s="47" t="s">
        <v>91</v>
      </c>
      <c r="E78" s="47">
        <v>5</v>
      </c>
      <c r="K78" s="47" t="s">
        <v>139</v>
      </c>
    </row>
    <row r="79" spans="1:11">
      <c r="A79" s="2">
        <v>43894</v>
      </c>
      <c r="C79" s="47" t="s">
        <v>97</v>
      </c>
      <c r="F79" s="47">
        <v>11</v>
      </c>
      <c r="G79" s="47">
        <v>1</v>
      </c>
      <c r="K79" s="47" t="s">
        <v>115</v>
      </c>
    </row>
    <row r="80" spans="1:11">
      <c r="A80" s="2">
        <v>43894</v>
      </c>
      <c r="C80" s="47" t="s">
        <v>100</v>
      </c>
      <c r="E80" s="47">
        <v>4</v>
      </c>
      <c r="F80" s="47">
        <v>12</v>
      </c>
      <c r="G80" s="47">
        <v>0</v>
      </c>
      <c r="H80" s="47">
        <v>0</v>
      </c>
      <c r="J80" s="47">
        <v>0</v>
      </c>
      <c r="K80" s="47" t="s">
        <v>419</v>
      </c>
    </row>
    <row r="81" spans="1:11">
      <c r="A81" s="2">
        <v>43894</v>
      </c>
      <c r="B81" s="47">
        <v>0.27430555555555558</v>
      </c>
      <c r="C81" s="47" t="s">
        <v>78</v>
      </c>
      <c r="E81" s="47">
        <v>1</v>
      </c>
      <c r="K81" s="47" t="s">
        <v>138</v>
      </c>
    </row>
    <row r="82" spans="1:11">
      <c r="A82" s="2">
        <v>43894</v>
      </c>
      <c r="B82" s="47">
        <v>0.33333333333333331</v>
      </c>
      <c r="C82" s="47" t="s">
        <v>102</v>
      </c>
      <c r="E82" s="47">
        <v>1</v>
      </c>
      <c r="F82" s="47">
        <v>0</v>
      </c>
      <c r="G82" s="47">
        <v>0</v>
      </c>
      <c r="I82" s="47">
        <v>0</v>
      </c>
      <c r="J82" s="47">
        <v>0</v>
      </c>
      <c r="K82" s="47" t="s">
        <v>381</v>
      </c>
    </row>
    <row r="83" spans="1:11">
      <c r="A83" s="2">
        <v>43894</v>
      </c>
      <c r="B83" s="47">
        <v>0.60416666666666663</v>
      </c>
      <c r="C83" s="47" t="s">
        <v>104</v>
      </c>
      <c r="E83" s="47">
        <v>16</v>
      </c>
      <c r="K83" s="47" t="s">
        <v>106</v>
      </c>
    </row>
    <row r="84" spans="1:11">
      <c r="A84" s="2">
        <v>43894</v>
      </c>
      <c r="B84" s="47">
        <v>0.625</v>
      </c>
      <c r="C84" s="47" t="s">
        <v>34</v>
      </c>
      <c r="E84" s="47">
        <v>7</v>
      </c>
      <c r="K84" s="47" t="s">
        <v>132</v>
      </c>
    </row>
    <row r="85" spans="1:11">
      <c r="A85" s="2">
        <v>43894</v>
      </c>
      <c r="B85" s="47">
        <v>0.72222222222222221</v>
      </c>
      <c r="C85" s="47" t="s">
        <v>50</v>
      </c>
      <c r="E85" s="47">
        <v>3</v>
      </c>
      <c r="K85" s="47" t="s">
        <v>134</v>
      </c>
    </row>
    <row r="86" spans="1:11">
      <c r="A86" s="2">
        <v>43894</v>
      </c>
      <c r="B86" s="47">
        <v>0.75</v>
      </c>
      <c r="C86" s="47" t="s">
        <v>68</v>
      </c>
      <c r="E86" s="47">
        <v>0</v>
      </c>
      <c r="K86" s="47" t="s">
        <v>137</v>
      </c>
    </row>
    <row r="87" spans="1:11">
      <c r="A87" s="2">
        <v>43895</v>
      </c>
      <c r="C87" s="47" t="s">
        <v>41</v>
      </c>
      <c r="E87" s="47">
        <v>1</v>
      </c>
      <c r="K87" s="47" t="s">
        <v>141</v>
      </c>
    </row>
    <row r="88" spans="1:11">
      <c r="A88" s="2">
        <v>43895</v>
      </c>
      <c r="C88" s="47" t="s">
        <v>47</v>
      </c>
      <c r="E88" s="47">
        <v>6</v>
      </c>
      <c r="F88" s="47">
        <v>1</v>
      </c>
      <c r="K88" s="47" t="s">
        <v>142</v>
      </c>
    </row>
    <row r="89" spans="1:11">
      <c r="A89" s="2">
        <v>43895</v>
      </c>
      <c r="C89" s="47" t="s">
        <v>53</v>
      </c>
      <c r="D89" s="47">
        <v>18</v>
      </c>
      <c r="E89" s="47">
        <v>1</v>
      </c>
      <c r="K89" s="47" t="s">
        <v>144</v>
      </c>
    </row>
    <row r="90" spans="1:11">
      <c r="A90" s="2">
        <v>43895</v>
      </c>
      <c r="C90" s="47" t="s">
        <v>56</v>
      </c>
      <c r="E90" s="47">
        <v>6</v>
      </c>
      <c r="K90" s="47" t="s">
        <v>145</v>
      </c>
    </row>
    <row r="91" spans="1:11">
      <c r="A91" s="2">
        <v>43895</v>
      </c>
      <c r="C91" s="47" t="s">
        <v>58</v>
      </c>
      <c r="D91" s="47">
        <v>1146</v>
      </c>
      <c r="E91" s="47">
        <v>15</v>
      </c>
      <c r="F91" s="47">
        <v>5</v>
      </c>
      <c r="G91" s="47">
        <v>0</v>
      </c>
      <c r="H91" s="47">
        <v>0</v>
      </c>
      <c r="J91" s="47">
        <v>0</v>
      </c>
      <c r="K91" s="47" t="s">
        <v>60</v>
      </c>
    </row>
    <row r="92" spans="1:11">
      <c r="A92" s="2">
        <v>43895</v>
      </c>
      <c r="C92" s="47" t="s">
        <v>66</v>
      </c>
      <c r="E92" s="47">
        <v>4</v>
      </c>
      <c r="F92" s="47">
        <v>2</v>
      </c>
      <c r="G92" s="47">
        <v>0</v>
      </c>
      <c r="J92" s="47">
        <v>0</v>
      </c>
      <c r="K92" s="47" t="s">
        <v>433</v>
      </c>
    </row>
    <row r="93" spans="1:11">
      <c r="A93" s="2">
        <v>43895</v>
      </c>
      <c r="C93" s="47" t="s">
        <v>71</v>
      </c>
      <c r="E93" s="47">
        <v>9</v>
      </c>
      <c r="F93" s="47">
        <v>4</v>
      </c>
      <c r="K93" s="47" t="s">
        <v>377</v>
      </c>
    </row>
    <row r="94" spans="1:11">
      <c r="A94" s="2">
        <v>43895</v>
      </c>
      <c r="C94" s="47" t="s">
        <v>91</v>
      </c>
      <c r="E94" s="47">
        <v>18</v>
      </c>
      <c r="K94" s="47" t="s">
        <v>146</v>
      </c>
    </row>
    <row r="95" spans="1:11">
      <c r="A95" s="2">
        <v>43895</v>
      </c>
      <c r="C95" s="47" t="s">
        <v>97</v>
      </c>
      <c r="F95" s="47">
        <v>14</v>
      </c>
      <c r="G95" s="47">
        <v>1</v>
      </c>
      <c r="K95" s="47" t="s">
        <v>115</v>
      </c>
    </row>
    <row r="96" spans="1:11">
      <c r="A96" s="2">
        <v>43895</v>
      </c>
      <c r="C96" s="47" t="s">
        <v>100</v>
      </c>
      <c r="E96" s="47">
        <v>5</v>
      </c>
      <c r="F96" s="47">
        <v>10</v>
      </c>
      <c r="G96" s="47">
        <v>0</v>
      </c>
      <c r="H96" s="47">
        <v>0</v>
      </c>
      <c r="J96" s="47">
        <v>0</v>
      </c>
      <c r="K96" s="47" t="s">
        <v>419</v>
      </c>
    </row>
    <row r="97" spans="1:11">
      <c r="A97" s="2">
        <v>43895</v>
      </c>
      <c r="B97" s="47">
        <v>0.33333333333333331</v>
      </c>
      <c r="C97" s="47" t="s">
        <v>102</v>
      </c>
      <c r="E97" s="47">
        <v>2</v>
      </c>
      <c r="F97" s="47">
        <v>0</v>
      </c>
      <c r="G97" s="47">
        <v>0</v>
      </c>
      <c r="I97" s="47">
        <v>0</v>
      </c>
      <c r="J97" s="47">
        <v>0</v>
      </c>
      <c r="K97" s="47" t="s">
        <v>381</v>
      </c>
    </row>
    <row r="98" spans="1:11">
      <c r="A98" s="2">
        <v>43895</v>
      </c>
      <c r="B98" s="47">
        <v>0.60416666666666663</v>
      </c>
      <c r="C98" s="47" t="s">
        <v>104</v>
      </c>
      <c r="E98" s="47">
        <v>24</v>
      </c>
      <c r="K98" s="47" t="s">
        <v>106</v>
      </c>
    </row>
    <row r="99" spans="1:11">
      <c r="A99" s="2">
        <v>43895</v>
      </c>
      <c r="B99" s="47">
        <v>0.625</v>
      </c>
      <c r="C99" s="47" t="s">
        <v>34</v>
      </c>
      <c r="E99" s="47">
        <v>9</v>
      </c>
      <c r="K99" s="47" t="s">
        <v>140</v>
      </c>
    </row>
    <row r="100" spans="1:11">
      <c r="A100" s="2">
        <v>43895</v>
      </c>
      <c r="B100" s="47">
        <v>0.71875</v>
      </c>
      <c r="C100" s="47" t="s">
        <v>50</v>
      </c>
      <c r="E100" s="47">
        <v>8</v>
      </c>
      <c r="F100" s="47">
        <v>1</v>
      </c>
      <c r="K100" s="47" t="s">
        <v>143</v>
      </c>
    </row>
    <row r="101" spans="1:11">
      <c r="A101" s="2">
        <v>43896</v>
      </c>
      <c r="C101" s="47" t="s">
        <v>44</v>
      </c>
      <c r="E101" s="47">
        <v>17</v>
      </c>
      <c r="K101" s="47" t="s">
        <v>148</v>
      </c>
    </row>
    <row r="102" spans="1:11">
      <c r="A102" s="2">
        <v>43896</v>
      </c>
      <c r="C102" s="47" t="s">
        <v>47</v>
      </c>
      <c r="E102" s="47">
        <v>6</v>
      </c>
      <c r="F102" s="47">
        <v>4</v>
      </c>
      <c r="G102" s="47">
        <v>2</v>
      </c>
      <c r="K102" s="47" t="s">
        <v>36</v>
      </c>
    </row>
    <row r="103" spans="1:11">
      <c r="A103" s="2">
        <v>43896</v>
      </c>
      <c r="C103" s="47" t="s">
        <v>53</v>
      </c>
      <c r="D103" s="47">
        <v>22</v>
      </c>
      <c r="E103" s="47">
        <v>1</v>
      </c>
      <c r="K103" s="47" t="s">
        <v>150</v>
      </c>
    </row>
    <row r="104" spans="1:11">
      <c r="A104" s="2">
        <v>43896</v>
      </c>
      <c r="C104" s="47" t="s">
        <v>58</v>
      </c>
      <c r="D104" s="47">
        <v>1241</v>
      </c>
      <c r="E104" s="47">
        <v>19</v>
      </c>
      <c r="F104" s="47">
        <v>7</v>
      </c>
      <c r="G104" s="47">
        <v>0</v>
      </c>
      <c r="H104" s="47">
        <v>0</v>
      </c>
      <c r="J104" s="47">
        <v>0</v>
      </c>
      <c r="K104" s="47" t="s">
        <v>60</v>
      </c>
    </row>
    <row r="105" spans="1:11">
      <c r="A105" s="2">
        <v>43896</v>
      </c>
      <c r="C105" s="47" t="s">
        <v>66</v>
      </c>
      <c r="E105" s="47">
        <v>4</v>
      </c>
      <c r="F105" s="47">
        <v>5</v>
      </c>
      <c r="G105" s="47">
        <v>0</v>
      </c>
      <c r="J105" s="47">
        <v>0</v>
      </c>
      <c r="K105" s="47" t="s">
        <v>433</v>
      </c>
    </row>
    <row r="106" spans="1:11">
      <c r="A106" s="2">
        <v>43896</v>
      </c>
      <c r="C106" s="47" t="s">
        <v>71</v>
      </c>
      <c r="E106" s="47">
        <v>13</v>
      </c>
      <c r="F106" s="47">
        <v>2</v>
      </c>
      <c r="K106" s="47" t="s">
        <v>377</v>
      </c>
    </row>
    <row r="107" spans="1:11">
      <c r="A107" s="2">
        <v>43896</v>
      </c>
      <c r="C107" s="47" t="s">
        <v>86</v>
      </c>
      <c r="D107" s="47">
        <v>6</v>
      </c>
      <c r="E107" s="47">
        <v>6</v>
      </c>
      <c r="K107" s="47" t="s">
        <v>153</v>
      </c>
    </row>
    <row r="108" spans="1:11">
      <c r="A108" s="2">
        <v>43896</v>
      </c>
      <c r="C108" s="47" t="s">
        <v>91</v>
      </c>
      <c r="K108" s="47" t="s">
        <v>36</v>
      </c>
    </row>
    <row r="109" spans="1:11">
      <c r="A109" s="2">
        <v>43896</v>
      </c>
      <c r="C109" s="47" t="s">
        <v>97</v>
      </c>
      <c r="E109" s="47">
        <v>23</v>
      </c>
      <c r="F109" s="47">
        <v>15</v>
      </c>
      <c r="G109" s="47">
        <v>2</v>
      </c>
      <c r="J109" s="47">
        <v>1</v>
      </c>
      <c r="K109" s="47" t="s">
        <v>115</v>
      </c>
    </row>
    <row r="110" spans="1:11">
      <c r="A110" s="2">
        <v>43896</v>
      </c>
      <c r="C110" s="47" t="s">
        <v>100</v>
      </c>
      <c r="E110" s="47">
        <v>6</v>
      </c>
      <c r="F110" s="47">
        <v>11</v>
      </c>
      <c r="G110" s="47">
        <v>0</v>
      </c>
      <c r="H110" s="47">
        <v>0</v>
      </c>
      <c r="J110" s="47">
        <v>0</v>
      </c>
      <c r="K110" s="47" t="s">
        <v>419</v>
      </c>
    </row>
    <row r="111" spans="1:11">
      <c r="A111" s="2">
        <v>43896</v>
      </c>
      <c r="B111" s="47">
        <v>0.33333333333333331</v>
      </c>
      <c r="C111" s="47" t="s">
        <v>102</v>
      </c>
      <c r="E111" s="47">
        <v>3</v>
      </c>
      <c r="F111" s="47">
        <v>0</v>
      </c>
      <c r="G111" s="47">
        <v>0</v>
      </c>
      <c r="I111" s="47">
        <v>0</v>
      </c>
      <c r="J111" s="47">
        <v>0</v>
      </c>
      <c r="K111" s="47" t="s">
        <v>381</v>
      </c>
    </row>
    <row r="112" spans="1:11">
      <c r="A112" s="2">
        <v>43896</v>
      </c>
      <c r="B112" s="47">
        <v>0.5</v>
      </c>
      <c r="C112" s="47" t="s">
        <v>83</v>
      </c>
      <c r="E112" s="47">
        <v>1</v>
      </c>
      <c r="K112" s="47" t="s">
        <v>152</v>
      </c>
    </row>
    <row r="113" spans="1:11">
      <c r="A113" s="2">
        <v>43896</v>
      </c>
      <c r="B113" s="47">
        <v>0.58333333333333337</v>
      </c>
      <c r="C113" s="47" t="s">
        <v>50</v>
      </c>
      <c r="E113" s="47">
        <v>15</v>
      </c>
      <c r="F113" s="47">
        <v>1</v>
      </c>
      <c r="K113" s="47" t="s">
        <v>149</v>
      </c>
    </row>
    <row r="114" spans="1:11">
      <c r="A114" s="2">
        <v>43896</v>
      </c>
      <c r="B114" s="47">
        <v>0.60416666666666663</v>
      </c>
      <c r="C114" s="47" t="s">
        <v>104</v>
      </c>
      <c r="E114" s="47">
        <v>30</v>
      </c>
      <c r="K114" s="47" t="s">
        <v>106</v>
      </c>
    </row>
    <row r="115" spans="1:11">
      <c r="A115" s="2">
        <v>43896</v>
      </c>
      <c r="B115" s="47">
        <v>0.625</v>
      </c>
      <c r="C115" s="47" t="s">
        <v>34</v>
      </c>
      <c r="E115" s="47">
        <v>12</v>
      </c>
      <c r="I115" s="47">
        <v>1</v>
      </c>
      <c r="K115" s="47" t="s">
        <v>147</v>
      </c>
    </row>
    <row r="116" spans="1:11">
      <c r="A116" s="2">
        <v>43896</v>
      </c>
      <c r="B116" s="47">
        <v>0.65138888888888891</v>
      </c>
      <c r="C116" s="47" t="s">
        <v>78</v>
      </c>
      <c r="E116" s="47">
        <v>2</v>
      </c>
      <c r="K116" s="47" t="s">
        <v>151</v>
      </c>
    </row>
    <row r="117" spans="1:11">
      <c r="A117" s="2">
        <v>43897</v>
      </c>
      <c r="C117" s="47" t="s">
        <v>47</v>
      </c>
      <c r="E117" s="47">
        <v>15</v>
      </c>
      <c r="F117" s="47">
        <v>4</v>
      </c>
      <c r="G117" s="47">
        <v>2</v>
      </c>
      <c r="K117" s="47" t="s">
        <v>154</v>
      </c>
    </row>
    <row r="118" spans="1:11">
      <c r="A118" s="2">
        <v>43897</v>
      </c>
      <c r="C118" s="47" t="s">
        <v>58</v>
      </c>
      <c r="D118" s="47">
        <v>1316</v>
      </c>
      <c r="E118" s="47">
        <v>30</v>
      </c>
      <c r="F118" s="47">
        <v>7</v>
      </c>
      <c r="G118" s="47">
        <v>0</v>
      </c>
      <c r="H118" s="47">
        <v>0</v>
      </c>
      <c r="J118" s="47">
        <v>0</v>
      </c>
      <c r="K118" s="47" t="s">
        <v>60</v>
      </c>
    </row>
    <row r="119" spans="1:11">
      <c r="A119" s="2">
        <v>43897</v>
      </c>
      <c r="C119" s="47" t="s">
        <v>66</v>
      </c>
      <c r="E119" s="47">
        <v>5</v>
      </c>
      <c r="F119" s="47">
        <v>5</v>
      </c>
      <c r="G119" s="47">
        <v>0</v>
      </c>
      <c r="J119" s="47">
        <v>0</v>
      </c>
      <c r="K119" s="47" t="s">
        <v>433</v>
      </c>
    </row>
    <row r="120" spans="1:11">
      <c r="A120" s="2">
        <v>43897</v>
      </c>
      <c r="C120" s="47" t="s">
        <v>71</v>
      </c>
      <c r="E120" s="47">
        <v>18</v>
      </c>
      <c r="F120" s="47">
        <v>2</v>
      </c>
      <c r="K120" s="47" t="s">
        <v>377</v>
      </c>
    </row>
    <row r="121" spans="1:11">
      <c r="A121" s="2">
        <v>43897</v>
      </c>
      <c r="C121" s="47" t="s">
        <v>91</v>
      </c>
      <c r="E121" s="47">
        <v>45</v>
      </c>
      <c r="K121" s="47" t="s">
        <v>156</v>
      </c>
    </row>
    <row r="122" spans="1:11">
      <c r="A122" s="2">
        <v>43897</v>
      </c>
      <c r="C122" s="47" t="s">
        <v>97</v>
      </c>
      <c r="E122" s="47">
        <v>30</v>
      </c>
      <c r="F122" s="47">
        <v>16</v>
      </c>
      <c r="G122" s="47">
        <v>4</v>
      </c>
      <c r="J122" s="47">
        <v>1</v>
      </c>
      <c r="K122" s="47" t="s">
        <v>115</v>
      </c>
    </row>
    <row r="123" spans="1:11">
      <c r="A123" s="2">
        <v>43897</v>
      </c>
      <c r="C123" s="47" t="s">
        <v>100</v>
      </c>
      <c r="E123" s="47">
        <v>7</v>
      </c>
      <c r="F123" s="47">
        <v>11</v>
      </c>
      <c r="G123" s="47">
        <v>0</v>
      </c>
      <c r="H123" s="47">
        <v>0</v>
      </c>
      <c r="J123" s="47">
        <v>0</v>
      </c>
      <c r="K123" s="47" t="s">
        <v>419</v>
      </c>
    </row>
    <row r="124" spans="1:11">
      <c r="A124" s="2">
        <v>43897</v>
      </c>
      <c r="B124" s="47">
        <v>0.33333333333333331</v>
      </c>
      <c r="C124" s="47" t="s">
        <v>102</v>
      </c>
      <c r="E124" s="47">
        <v>3</v>
      </c>
      <c r="F124" s="47">
        <v>0</v>
      </c>
      <c r="G124" s="47">
        <v>0</v>
      </c>
      <c r="I124" s="47">
        <v>0</v>
      </c>
      <c r="J124" s="47">
        <v>0</v>
      </c>
      <c r="K124" s="47" t="s">
        <v>381</v>
      </c>
    </row>
    <row r="125" spans="1:11">
      <c r="A125" s="2">
        <v>43897</v>
      </c>
      <c r="B125" s="47">
        <v>0.5</v>
      </c>
      <c r="C125" s="47" t="s">
        <v>50</v>
      </c>
      <c r="E125" s="47">
        <v>21</v>
      </c>
      <c r="F125" s="47">
        <v>1</v>
      </c>
      <c r="K125" s="47" t="s">
        <v>155</v>
      </c>
    </row>
    <row r="126" spans="1:11">
      <c r="A126" s="2">
        <v>43897</v>
      </c>
      <c r="B126" s="47">
        <v>0.60416666666666663</v>
      </c>
      <c r="C126" s="47" t="s">
        <v>104</v>
      </c>
      <c r="E126" s="47">
        <v>35</v>
      </c>
      <c r="K126" s="47" t="s">
        <v>106</v>
      </c>
    </row>
    <row r="127" spans="1:11">
      <c r="A127" s="2">
        <v>43898</v>
      </c>
      <c r="C127" s="47" t="s">
        <v>47</v>
      </c>
      <c r="E127" s="47">
        <v>19</v>
      </c>
      <c r="F127" s="47">
        <v>4</v>
      </c>
      <c r="G127" s="47">
        <v>2</v>
      </c>
      <c r="J127" s="47">
        <v>1</v>
      </c>
      <c r="K127" s="47" t="s">
        <v>157</v>
      </c>
    </row>
    <row r="128" spans="1:11">
      <c r="A128" s="2">
        <v>43898</v>
      </c>
      <c r="C128" s="47" t="s">
        <v>56</v>
      </c>
      <c r="E128" s="47">
        <v>8</v>
      </c>
      <c r="K128" s="47" t="s">
        <v>145</v>
      </c>
    </row>
    <row r="129" spans="1:11">
      <c r="A129" s="2">
        <v>43898</v>
      </c>
      <c r="C129" s="47" t="s">
        <v>58</v>
      </c>
      <c r="D129" s="47">
        <v>1383</v>
      </c>
      <c r="E129" s="47">
        <v>38</v>
      </c>
      <c r="F129" s="47">
        <v>9</v>
      </c>
      <c r="G129" s="47">
        <v>0</v>
      </c>
      <c r="H129" s="47">
        <v>0</v>
      </c>
      <c r="J129" s="47">
        <v>0</v>
      </c>
      <c r="K129" s="47" t="s">
        <v>60</v>
      </c>
    </row>
    <row r="130" spans="1:11">
      <c r="A130" s="2">
        <v>43898</v>
      </c>
      <c r="C130" s="47" t="s">
        <v>66</v>
      </c>
      <c r="E130" s="47">
        <v>5</v>
      </c>
      <c r="F130" s="47">
        <v>5</v>
      </c>
      <c r="G130" s="47">
        <v>0</v>
      </c>
      <c r="J130" s="47">
        <v>0</v>
      </c>
      <c r="K130" s="47" t="s">
        <v>433</v>
      </c>
    </row>
    <row r="131" spans="1:11">
      <c r="A131" s="2">
        <v>43898</v>
      </c>
      <c r="C131" s="47" t="s">
        <v>71</v>
      </c>
      <c r="E131" s="47">
        <v>24</v>
      </c>
      <c r="F131" s="47">
        <v>3</v>
      </c>
      <c r="K131" s="47" t="s">
        <v>377</v>
      </c>
    </row>
    <row r="132" spans="1:11">
      <c r="A132" s="2">
        <v>43898</v>
      </c>
      <c r="C132" s="47" t="s">
        <v>91</v>
      </c>
      <c r="E132" s="47">
        <v>58</v>
      </c>
      <c r="K132" s="47" t="s">
        <v>159</v>
      </c>
    </row>
    <row r="133" spans="1:11">
      <c r="A133" s="2">
        <v>43898</v>
      </c>
      <c r="C133" s="47" t="s">
        <v>97</v>
      </c>
      <c r="E133" s="47">
        <v>40</v>
      </c>
      <c r="F133" s="47">
        <v>22</v>
      </c>
      <c r="G133" s="47">
        <v>3</v>
      </c>
      <c r="J133" s="47">
        <v>1</v>
      </c>
      <c r="K133" s="47" t="s">
        <v>115</v>
      </c>
    </row>
    <row r="134" spans="1:11">
      <c r="A134" s="2">
        <v>43898</v>
      </c>
      <c r="C134" s="47" t="s">
        <v>100</v>
      </c>
      <c r="E134" s="47">
        <v>12</v>
      </c>
      <c r="F134" s="47">
        <v>15</v>
      </c>
      <c r="G134" s="47">
        <v>1</v>
      </c>
      <c r="H134" s="47">
        <v>1</v>
      </c>
      <c r="J134" s="47">
        <v>0</v>
      </c>
      <c r="K134" s="47" t="s">
        <v>419</v>
      </c>
    </row>
    <row r="135" spans="1:11">
      <c r="A135" s="2">
        <v>43898</v>
      </c>
      <c r="B135" s="47">
        <v>0.33333333333333331</v>
      </c>
      <c r="C135" s="47" t="s">
        <v>102</v>
      </c>
      <c r="E135" s="47">
        <v>3</v>
      </c>
      <c r="F135" s="47">
        <v>0</v>
      </c>
      <c r="G135" s="47">
        <v>0</v>
      </c>
      <c r="I135" s="47">
        <v>0</v>
      </c>
      <c r="J135" s="47">
        <v>0</v>
      </c>
      <c r="K135" s="47" t="s">
        <v>381</v>
      </c>
    </row>
    <row r="136" spans="1:11">
      <c r="A136" s="2">
        <v>43898</v>
      </c>
      <c r="B136" s="47">
        <v>0.5</v>
      </c>
      <c r="C136" s="47" t="s">
        <v>50</v>
      </c>
      <c r="E136" s="47">
        <v>24</v>
      </c>
      <c r="F136" s="47">
        <v>1</v>
      </c>
      <c r="K136" s="47" t="s">
        <v>158</v>
      </c>
    </row>
    <row r="137" spans="1:11">
      <c r="A137" s="2">
        <v>43898</v>
      </c>
      <c r="B137" s="47">
        <v>0.60416666666666663</v>
      </c>
      <c r="C137" s="47" t="s">
        <v>104</v>
      </c>
      <c r="E137" s="47">
        <v>41</v>
      </c>
      <c r="K137" s="47" t="s">
        <v>106</v>
      </c>
    </row>
    <row r="138" spans="1:11">
      <c r="A138" s="2">
        <v>43899</v>
      </c>
      <c r="C138" s="47" t="s">
        <v>41</v>
      </c>
      <c r="E138" s="47">
        <v>2</v>
      </c>
      <c r="K138" s="47" t="s">
        <v>161</v>
      </c>
    </row>
    <row r="139" spans="1:11">
      <c r="A139" s="2">
        <v>43899</v>
      </c>
      <c r="C139" s="47" t="s">
        <v>44</v>
      </c>
      <c r="E139" s="47">
        <v>34</v>
      </c>
      <c r="K139" s="47" t="s">
        <v>162</v>
      </c>
    </row>
    <row r="140" spans="1:11">
      <c r="A140" s="2">
        <v>43899</v>
      </c>
      <c r="C140" s="47" t="s">
        <v>47</v>
      </c>
      <c r="E140" s="47">
        <v>20</v>
      </c>
      <c r="F140" s="47">
        <v>4</v>
      </c>
      <c r="G140" s="47">
        <v>4</v>
      </c>
      <c r="I140" s="47">
        <v>1</v>
      </c>
      <c r="J140" s="47">
        <v>1</v>
      </c>
      <c r="K140" s="47" t="s">
        <v>163</v>
      </c>
    </row>
    <row r="141" spans="1:11">
      <c r="A141" s="2">
        <v>43899</v>
      </c>
      <c r="C141" s="47" t="s">
        <v>53</v>
      </c>
      <c r="D141" s="47">
        <v>24</v>
      </c>
      <c r="E141" s="47">
        <v>1</v>
      </c>
      <c r="K141" s="47" t="s">
        <v>165</v>
      </c>
    </row>
    <row r="142" spans="1:11">
      <c r="A142" s="2">
        <v>43899</v>
      </c>
      <c r="C142" s="47" t="s">
        <v>56</v>
      </c>
      <c r="E142" s="47">
        <v>11</v>
      </c>
      <c r="K142" s="47" t="s">
        <v>145</v>
      </c>
    </row>
    <row r="143" spans="1:11">
      <c r="A143" s="2">
        <v>43899</v>
      </c>
      <c r="C143" s="47" t="s">
        <v>58</v>
      </c>
      <c r="D143" s="47">
        <v>1488</v>
      </c>
      <c r="E143" s="47">
        <v>47</v>
      </c>
      <c r="F143" s="47">
        <v>13</v>
      </c>
      <c r="G143" s="47">
        <v>3</v>
      </c>
      <c r="H143" s="47">
        <v>1</v>
      </c>
      <c r="J143" s="47">
        <v>0</v>
      </c>
      <c r="K143" s="47" t="s">
        <v>60</v>
      </c>
    </row>
    <row r="144" spans="1:11">
      <c r="A144" s="2">
        <v>43899</v>
      </c>
      <c r="C144" s="47" t="s">
        <v>66</v>
      </c>
      <c r="E144" s="47">
        <v>7</v>
      </c>
      <c r="F144" s="47">
        <v>5</v>
      </c>
      <c r="G144" s="47">
        <v>0</v>
      </c>
      <c r="J144" s="47">
        <v>0</v>
      </c>
      <c r="K144" s="47" t="s">
        <v>433</v>
      </c>
    </row>
    <row r="145" spans="1:11">
      <c r="A145" s="2">
        <v>43899</v>
      </c>
      <c r="C145" s="47" t="s">
        <v>71</v>
      </c>
      <c r="E145" s="47">
        <v>27</v>
      </c>
      <c r="F145" s="47">
        <v>4</v>
      </c>
      <c r="K145" s="47" t="s">
        <v>377</v>
      </c>
    </row>
    <row r="146" spans="1:11">
      <c r="A146" s="2">
        <v>43899</v>
      </c>
      <c r="C146" s="47" t="s">
        <v>91</v>
      </c>
      <c r="E146" s="47">
        <v>68</v>
      </c>
      <c r="K146" s="47" t="s">
        <v>166</v>
      </c>
    </row>
    <row r="147" spans="1:11">
      <c r="A147" s="2">
        <v>43899</v>
      </c>
      <c r="C147" s="47" t="s">
        <v>97</v>
      </c>
      <c r="E147" s="47">
        <v>51</v>
      </c>
      <c r="F147" s="47">
        <v>29</v>
      </c>
      <c r="G147" s="47">
        <v>5</v>
      </c>
      <c r="J147" s="47">
        <v>1</v>
      </c>
      <c r="K147" s="47" t="s">
        <v>115</v>
      </c>
    </row>
    <row r="148" spans="1:11">
      <c r="A148" s="2">
        <v>43899</v>
      </c>
      <c r="C148" s="47" t="s">
        <v>100</v>
      </c>
      <c r="E148" s="47">
        <v>17</v>
      </c>
      <c r="F148" s="47">
        <v>16</v>
      </c>
      <c r="G148" s="47">
        <v>1</v>
      </c>
      <c r="H148" s="47">
        <v>1</v>
      </c>
      <c r="J148" s="47">
        <v>0</v>
      </c>
      <c r="K148" s="47" t="s">
        <v>419</v>
      </c>
    </row>
    <row r="149" spans="1:11">
      <c r="A149" s="2">
        <v>43899</v>
      </c>
      <c r="B149" s="47">
        <v>0.33333333333333331</v>
      </c>
      <c r="C149" s="47" t="s">
        <v>102</v>
      </c>
      <c r="E149" s="47">
        <v>10</v>
      </c>
      <c r="F149" s="47">
        <v>0</v>
      </c>
      <c r="G149" s="47">
        <v>0</v>
      </c>
      <c r="I149" s="47">
        <v>0</v>
      </c>
      <c r="J149" s="47">
        <v>0</v>
      </c>
      <c r="K149" s="47" t="s">
        <v>381</v>
      </c>
    </row>
    <row r="150" spans="1:11">
      <c r="A150" s="2">
        <v>43899</v>
      </c>
      <c r="B150" s="47">
        <v>0.5</v>
      </c>
      <c r="C150" s="47" t="s">
        <v>50</v>
      </c>
      <c r="E150" s="47">
        <v>28</v>
      </c>
      <c r="F150" s="47">
        <v>1</v>
      </c>
      <c r="K150" s="47" t="s">
        <v>164</v>
      </c>
    </row>
    <row r="151" spans="1:11">
      <c r="A151" s="2">
        <v>43899</v>
      </c>
      <c r="B151" s="47">
        <v>0.60416666666666663</v>
      </c>
      <c r="C151" s="47" t="s">
        <v>104</v>
      </c>
      <c r="E151" s="47">
        <v>50</v>
      </c>
      <c r="K151" s="47" t="s">
        <v>106</v>
      </c>
    </row>
    <row r="152" spans="1:11">
      <c r="A152" s="2">
        <v>43899</v>
      </c>
      <c r="B152" s="47">
        <v>0.625</v>
      </c>
      <c r="C152" s="47" t="s">
        <v>34</v>
      </c>
      <c r="E152" s="47">
        <v>14</v>
      </c>
      <c r="I152" s="47">
        <v>2</v>
      </c>
      <c r="K152" s="47" t="s">
        <v>160</v>
      </c>
    </row>
    <row r="153" spans="1:11">
      <c r="A153" s="2">
        <v>43900</v>
      </c>
      <c r="C153" s="47" t="s">
        <v>47</v>
      </c>
      <c r="E153" s="47">
        <v>22</v>
      </c>
      <c r="F153" s="47">
        <v>5</v>
      </c>
      <c r="G153" s="47">
        <v>1</v>
      </c>
      <c r="I153" s="47">
        <v>2</v>
      </c>
      <c r="J153" s="47">
        <v>1</v>
      </c>
      <c r="K153" s="47" t="s">
        <v>168</v>
      </c>
    </row>
    <row r="154" spans="1:11">
      <c r="A154" s="2">
        <v>43900</v>
      </c>
      <c r="C154" s="47" t="s">
        <v>53</v>
      </c>
      <c r="D154" s="47">
        <v>37</v>
      </c>
      <c r="E154" s="47">
        <v>1</v>
      </c>
      <c r="K154" s="47" t="s">
        <v>170</v>
      </c>
    </row>
    <row r="155" spans="1:11">
      <c r="A155" s="2">
        <v>43900</v>
      </c>
      <c r="C155" s="47" t="s">
        <v>58</v>
      </c>
      <c r="D155" s="47">
        <v>1688</v>
      </c>
      <c r="E155" s="47">
        <v>73</v>
      </c>
      <c r="F155" s="47">
        <v>18</v>
      </c>
      <c r="G155" s="47">
        <v>4</v>
      </c>
      <c r="H155" s="47">
        <v>1</v>
      </c>
      <c r="J155" s="47">
        <v>1</v>
      </c>
      <c r="K155" s="47" t="s">
        <v>60</v>
      </c>
    </row>
    <row r="156" spans="1:11">
      <c r="A156" s="2">
        <v>43900</v>
      </c>
      <c r="C156" s="47" t="s">
        <v>61</v>
      </c>
      <c r="E156" s="47">
        <v>1</v>
      </c>
      <c r="F156" s="47">
        <v>0</v>
      </c>
      <c r="J156" s="47">
        <v>0</v>
      </c>
      <c r="K156" s="47" t="s">
        <v>427</v>
      </c>
    </row>
    <row r="157" spans="1:11">
      <c r="A157" s="2">
        <v>43900</v>
      </c>
      <c r="C157" s="47" t="s">
        <v>66</v>
      </c>
      <c r="E157" s="47">
        <v>7</v>
      </c>
      <c r="F157" s="47">
        <v>5</v>
      </c>
      <c r="G157" s="47">
        <v>0</v>
      </c>
      <c r="J157" s="47">
        <v>0</v>
      </c>
      <c r="K157" s="47" t="s">
        <v>433</v>
      </c>
    </row>
    <row r="158" spans="1:11">
      <c r="A158" s="2">
        <v>43900</v>
      </c>
      <c r="C158" s="47" t="s">
        <v>71</v>
      </c>
      <c r="E158" s="47">
        <v>31</v>
      </c>
      <c r="F158" s="47">
        <v>4</v>
      </c>
      <c r="K158" s="47" t="s">
        <v>377</v>
      </c>
    </row>
    <row r="159" spans="1:11">
      <c r="A159" s="2">
        <v>43900</v>
      </c>
      <c r="C159" s="47" t="s">
        <v>91</v>
      </c>
      <c r="J159" s="47">
        <v>1</v>
      </c>
      <c r="K159" s="47" t="s">
        <v>171</v>
      </c>
    </row>
    <row r="160" spans="1:11">
      <c r="A160" s="2">
        <v>43900</v>
      </c>
      <c r="C160" s="47" t="s">
        <v>97</v>
      </c>
      <c r="E160" s="47">
        <v>130</v>
      </c>
      <c r="F160" s="47">
        <v>48</v>
      </c>
      <c r="G160" s="47">
        <v>8</v>
      </c>
      <c r="J160" s="47">
        <v>1</v>
      </c>
      <c r="K160" s="47" t="s">
        <v>99</v>
      </c>
    </row>
    <row r="161" spans="1:11">
      <c r="A161" s="2">
        <v>43900</v>
      </c>
      <c r="C161" s="47" t="s">
        <v>100</v>
      </c>
      <c r="E161" s="47">
        <v>22</v>
      </c>
      <c r="F161" s="47">
        <v>19</v>
      </c>
      <c r="G161" s="47">
        <v>1</v>
      </c>
      <c r="H161" s="47">
        <v>1</v>
      </c>
      <c r="I161" s="47">
        <v>3</v>
      </c>
      <c r="J161" s="47">
        <v>0</v>
      </c>
      <c r="K161" s="47" t="s">
        <v>419</v>
      </c>
    </row>
    <row r="162" spans="1:11">
      <c r="A162" s="2">
        <v>43900</v>
      </c>
      <c r="B162" s="47">
        <v>0.33333333333333331</v>
      </c>
      <c r="C162" s="47" t="s">
        <v>102</v>
      </c>
      <c r="E162" s="47">
        <v>10</v>
      </c>
      <c r="F162" s="47">
        <v>0</v>
      </c>
      <c r="G162" s="47">
        <v>0</v>
      </c>
      <c r="I162" s="47">
        <v>0</v>
      </c>
      <c r="J162" s="47">
        <v>0</v>
      </c>
      <c r="K162" s="47" t="s">
        <v>381</v>
      </c>
    </row>
    <row r="163" spans="1:11">
      <c r="A163" s="2">
        <v>43900</v>
      </c>
      <c r="B163" s="47">
        <v>0.5</v>
      </c>
      <c r="C163" s="47" t="s">
        <v>50</v>
      </c>
      <c r="E163" s="47">
        <v>33</v>
      </c>
      <c r="F163" s="47">
        <v>1</v>
      </c>
      <c r="K163" s="47" t="s">
        <v>169</v>
      </c>
    </row>
    <row r="164" spans="1:11">
      <c r="A164" s="2">
        <v>43900</v>
      </c>
      <c r="B164" s="47">
        <v>0.60416666666666663</v>
      </c>
      <c r="C164" s="47" t="s">
        <v>104</v>
      </c>
      <c r="E164" s="47">
        <v>63</v>
      </c>
      <c r="K164" s="47" t="s">
        <v>106</v>
      </c>
    </row>
    <row r="165" spans="1:11">
      <c r="A165" s="2">
        <v>43900</v>
      </c>
      <c r="B165" s="47">
        <v>0.625</v>
      </c>
      <c r="C165" s="47" t="s">
        <v>34</v>
      </c>
      <c r="E165" s="47">
        <v>17</v>
      </c>
      <c r="I165" s="47">
        <v>2</v>
      </c>
      <c r="K165" s="47" t="s">
        <v>167</v>
      </c>
    </row>
    <row r="166" spans="1:11">
      <c r="A166" s="2">
        <v>43901</v>
      </c>
      <c r="C166" s="47" t="s">
        <v>47</v>
      </c>
      <c r="E166" s="47">
        <v>26</v>
      </c>
      <c r="F166" s="47">
        <v>3</v>
      </c>
      <c r="G166" s="47">
        <v>1</v>
      </c>
      <c r="I166" s="47">
        <v>2</v>
      </c>
      <c r="J166" s="47">
        <v>2</v>
      </c>
      <c r="K166" s="47" t="s">
        <v>173</v>
      </c>
    </row>
    <row r="167" spans="1:11">
      <c r="A167" s="2">
        <v>43901</v>
      </c>
      <c r="C167" s="47" t="s">
        <v>53</v>
      </c>
      <c r="D167" s="47">
        <v>50</v>
      </c>
      <c r="E167" s="47">
        <v>3</v>
      </c>
      <c r="I167" s="47">
        <v>1</v>
      </c>
      <c r="K167" s="47" t="s">
        <v>175</v>
      </c>
    </row>
    <row r="168" spans="1:11">
      <c r="A168" s="2">
        <v>43901</v>
      </c>
      <c r="C168" s="47" t="s">
        <v>56</v>
      </c>
      <c r="E168" s="47">
        <v>16</v>
      </c>
      <c r="J168" s="47">
        <v>0</v>
      </c>
      <c r="K168" s="47" t="s">
        <v>640</v>
      </c>
    </row>
    <row r="169" spans="1:11">
      <c r="A169" s="2">
        <v>43901</v>
      </c>
      <c r="C169" s="47" t="s">
        <v>58</v>
      </c>
      <c r="D169" s="47">
        <v>1926</v>
      </c>
      <c r="E169" s="47">
        <v>84</v>
      </c>
      <c r="F169" s="47">
        <v>20</v>
      </c>
      <c r="G169" s="47">
        <v>6</v>
      </c>
      <c r="H169" s="47">
        <v>4</v>
      </c>
      <c r="J169" s="47">
        <v>1</v>
      </c>
      <c r="K169" s="47" t="s">
        <v>60</v>
      </c>
    </row>
    <row r="170" spans="1:11">
      <c r="A170" s="2">
        <v>43901</v>
      </c>
      <c r="C170" s="47" t="s">
        <v>61</v>
      </c>
      <c r="E170" s="47">
        <v>1</v>
      </c>
      <c r="F170" s="47">
        <v>0</v>
      </c>
      <c r="J170" s="47">
        <v>0</v>
      </c>
      <c r="K170" s="47" t="s">
        <v>427</v>
      </c>
    </row>
    <row r="171" spans="1:11">
      <c r="A171" s="2">
        <v>43901</v>
      </c>
      <c r="C171" s="47" t="s">
        <v>66</v>
      </c>
      <c r="E171" s="47">
        <v>7</v>
      </c>
      <c r="F171" s="47">
        <v>6</v>
      </c>
      <c r="G171" s="47">
        <v>0</v>
      </c>
      <c r="J171" s="47">
        <v>0</v>
      </c>
      <c r="K171" s="47" t="s">
        <v>433</v>
      </c>
    </row>
    <row r="172" spans="1:11">
      <c r="A172" s="2">
        <v>43901</v>
      </c>
      <c r="C172" s="47" t="s">
        <v>71</v>
      </c>
      <c r="E172" s="47">
        <v>37</v>
      </c>
      <c r="F172" s="47">
        <v>6</v>
      </c>
      <c r="K172" s="47" t="s">
        <v>377</v>
      </c>
    </row>
    <row r="173" spans="1:11">
      <c r="A173" s="2">
        <v>43901</v>
      </c>
      <c r="C173" s="47" t="s">
        <v>73</v>
      </c>
      <c r="E173" s="47">
        <v>4</v>
      </c>
      <c r="F173" s="47">
        <v>2</v>
      </c>
      <c r="K173" s="47" t="s">
        <v>357</v>
      </c>
    </row>
    <row r="174" spans="1:11">
      <c r="A174" s="2">
        <v>43901</v>
      </c>
      <c r="C174" s="47" t="s">
        <v>81</v>
      </c>
      <c r="E174" s="47">
        <v>1</v>
      </c>
      <c r="J174" s="47">
        <v>0</v>
      </c>
      <c r="K174" s="47" t="s">
        <v>606</v>
      </c>
    </row>
    <row r="175" spans="1:11">
      <c r="A175" s="2">
        <v>43901</v>
      </c>
      <c r="C175" s="47" t="s">
        <v>91</v>
      </c>
      <c r="K175" s="47" t="s">
        <v>36</v>
      </c>
    </row>
    <row r="176" spans="1:11">
      <c r="A176" s="2">
        <v>43901</v>
      </c>
      <c r="C176" s="47" t="s">
        <v>97</v>
      </c>
      <c r="E176" s="47">
        <v>203</v>
      </c>
      <c r="F176" s="47">
        <v>51</v>
      </c>
      <c r="G176" s="47">
        <v>7</v>
      </c>
      <c r="J176" s="47">
        <v>1</v>
      </c>
      <c r="K176" s="47" t="s">
        <v>99</v>
      </c>
    </row>
    <row r="177" spans="1:11">
      <c r="A177" s="2">
        <v>43901</v>
      </c>
      <c r="C177" s="47" t="s">
        <v>100</v>
      </c>
      <c r="E177" s="47">
        <v>30</v>
      </c>
      <c r="F177" s="47">
        <v>20</v>
      </c>
      <c r="G177" s="47">
        <v>1</v>
      </c>
      <c r="H177" s="47">
        <v>1</v>
      </c>
      <c r="J177" s="47">
        <v>0</v>
      </c>
      <c r="K177" s="47" t="s">
        <v>419</v>
      </c>
    </row>
    <row r="178" spans="1:11">
      <c r="A178" s="2">
        <v>43901</v>
      </c>
      <c r="B178" s="47">
        <v>0.33333333333333331</v>
      </c>
      <c r="C178" s="47" t="s">
        <v>102</v>
      </c>
      <c r="E178" s="47">
        <v>11</v>
      </c>
      <c r="F178" s="47">
        <v>0</v>
      </c>
      <c r="G178" s="47">
        <v>0</v>
      </c>
      <c r="I178" s="47">
        <v>0</v>
      </c>
      <c r="J178" s="47">
        <v>0</v>
      </c>
      <c r="K178" s="47" t="s">
        <v>381</v>
      </c>
    </row>
    <row r="179" spans="1:11">
      <c r="A179" s="2">
        <v>43901</v>
      </c>
      <c r="B179" s="47">
        <v>0.5</v>
      </c>
      <c r="C179" s="47" t="s">
        <v>50</v>
      </c>
      <c r="E179" s="47">
        <v>49</v>
      </c>
      <c r="F179" s="47">
        <v>13</v>
      </c>
      <c r="G179" s="47">
        <v>2</v>
      </c>
      <c r="I179" s="47">
        <v>4</v>
      </c>
      <c r="K179" s="47" t="s">
        <v>174</v>
      </c>
    </row>
    <row r="180" spans="1:11">
      <c r="A180" s="2">
        <v>43901</v>
      </c>
      <c r="B180" s="47">
        <v>0.60416666666666663</v>
      </c>
      <c r="C180" s="47" t="s">
        <v>104</v>
      </c>
      <c r="E180" s="47">
        <v>102</v>
      </c>
      <c r="K180" s="47" t="s">
        <v>106</v>
      </c>
    </row>
    <row r="181" spans="1:11">
      <c r="A181" s="2">
        <v>43901</v>
      </c>
      <c r="B181" s="47">
        <v>0.625</v>
      </c>
      <c r="C181" s="47" t="s">
        <v>34</v>
      </c>
      <c r="E181" s="47">
        <v>18</v>
      </c>
      <c r="I181" s="47">
        <v>2</v>
      </c>
      <c r="K181" s="47" t="s">
        <v>172</v>
      </c>
    </row>
    <row r="182" spans="1:11">
      <c r="A182" s="2">
        <v>43902</v>
      </c>
      <c r="C182" s="47" t="s">
        <v>41</v>
      </c>
      <c r="E182" s="47">
        <v>5</v>
      </c>
      <c r="K182" s="47" t="s">
        <v>177</v>
      </c>
    </row>
    <row r="183" spans="1:11">
      <c r="A183" s="2">
        <v>43902</v>
      </c>
      <c r="C183" s="47" t="s">
        <v>47</v>
      </c>
      <c r="E183" s="47">
        <v>26</v>
      </c>
      <c r="F183" s="47">
        <v>9</v>
      </c>
      <c r="G183" s="47">
        <v>3</v>
      </c>
      <c r="I183" s="47">
        <v>2</v>
      </c>
      <c r="J183" s="47">
        <v>2</v>
      </c>
      <c r="K183" s="47" t="s">
        <v>36</v>
      </c>
    </row>
    <row r="184" spans="1:11">
      <c r="A184" s="2">
        <v>43902</v>
      </c>
      <c r="C184" s="47" t="s">
        <v>53</v>
      </c>
      <c r="D184" s="47">
        <v>57</v>
      </c>
      <c r="E184" s="47">
        <v>3</v>
      </c>
      <c r="I184" s="47">
        <v>1</v>
      </c>
      <c r="K184" s="47" t="s">
        <v>179</v>
      </c>
    </row>
    <row r="185" spans="1:11">
      <c r="A185" s="2">
        <v>43902</v>
      </c>
      <c r="C185" s="47" t="s">
        <v>56</v>
      </c>
      <c r="E185" s="47">
        <v>22</v>
      </c>
      <c r="J185" s="47">
        <v>0</v>
      </c>
      <c r="K185" s="47" t="s">
        <v>640</v>
      </c>
    </row>
    <row r="186" spans="1:11">
      <c r="A186" s="2">
        <v>43902</v>
      </c>
      <c r="C186" s="47" t="s">
        <v>58</v>
      </c>
      <c r="D186" s="47">
        <v>2277</v>
      </c>
      <c r="E186" s="47">
        <v>114</v>
      </c>
      <c r="F186" s="47">
        <v>23</v>
      </c>
      <c r="G186" s="47">
        <v>6</v>
      </c>
      <c r="H186" s="47">
        <v>4</v>
      </c>
      <c r="J186" s="47">
        <v>2</v>
      </c>
      <c r="K186" s="47" t="s">
        <v>60</v>
      </c>
    </row>
    <row r="187" spans="1:11">
      <c r="A187" s="2">
        <v>43902</v>
      </c>
      <c r="C187" s="47" t="s">
        <v>61</v>
      </c>
      <c r="E187" s="47">
        <v>3</v>
      </c>
      <c r="F187" s="47">
        <v>0</v>
      </c>
      <c r="J187" s="47">
        <v>0</v>
      </c>
      <c r="K187" s="47" t="s">
        <v>427</v>
      </c>
    </row>
    <row r="188" spans="1:11">
      <c r="A188" s="2">
        <v>43902</v>
      </c>
      <c r="C188" s="47" t="s">
        <v>66</v>
      </c>
      <c r="E188" s="47">
        <v>12</v>
      </c>
      <c r="F188" s="47">
        <v>6</v>
      </c>
      <c r="G188" s="47">
        <v>0</v>
      </c>
      <c r="J188" s="47">
        <v>0</v>
      </c>
      <c r="K188" s="47" t="s">
        <v>433</v>
      </c>
    </row>
    <row r="189" spans="1:11">
      <c r="A189" s="2">
        <v>43902</v>
      </c>
      <c r="C189" s="47" t="s">
        <v>71</v>
      </c>
      <c r="E189" s="47">
        <v>46</v>
      </c>
      <c r="F189" s="47">
        <v>6</v>
      </c>
      <c r="K189" s="47" t="s">
        <v>377</v>
      </c>
    </row>
    <row r="190" spans="1:11">
      <c r="A190" s="2">
        <v>43902</v>
      </c>
      <c r="C190" s="47" t="s">
        <v>73</v>
      </c>
      <c r="E190" s="47">
        <v>5</v>
      </c>
      <c r="F190" s="47">
        <v>5</v>
      </c>
      <c r="K190" s="47" t="s">
        <v>357</v>
      </c>
    </row>
    <row r="191" spans="1:11">
      <c r="A191" s="2">
        <v>43902</v>
      </c>
      <c r="C191" s="47" t="s">
        <v>78</v>
      </c>
      <c r="E191" s="47">
        <v>15</v>
      </c>
      <c r="K191" s="47" t="s">
        <v>80</v>
      </c>
    </row>
    <row r="192" spans="1:11">
      <c r="A192" s="2">
        <v>43902</v>
      </c>
      <c r="C192" s="47" t="s">
        <v>81</v>
      </c>
      <c r="E192" s="47">
        <v>1</v>
      </c>
      <c r="J192" s="47">
        <v>0</v>
      </c>
      <c r="K192" s="47" t="s">
        <v>606</v>
      </c>
    </row>
    <row r="193" spans="1:11">
      <c r="A193" s="2">
        <v>43902</v>
      </c>
      <c r="C193" s="47" t="s">
        <v>91</v>
      </c>
      <c r="E193" s="47">
        <v>180</v>
      </c>
      <c r="K193" s="47" t="s">
        <v>180</v>
      </c>
    </row>
    <row r="194" spans="1:11">
      <c r="A194" s="2">
        <v>43902</v>
      </c>
      <c r="C194" s="47" t="s">
        <v>94</v>
      </c>
      <c r="E194" s="47">
        <v>2</v>
      </c>
      <c r="K194" s="47" t="s">
        <v>36</v>
      </c>
    </row>
    <row r="195" spans="1:11">
      <c r="A195" s="2">
        <v>43902</v>
      </c>
      <c r="C195" s="47" t="s">
        <v>97</v>
      </c>
      <c r="E195" s="47">
        <v>277</v>
      </c>
      <c r="F195" s="47">
        <v>55</v>
      </c>
      <c r="G195" s="47">
        <v>6</v>
      </c>
      <c r="J195" s="47">
        <v>3</v>
      </c>
      <c r="K195" s="47" t="s">
        <v>99</v>
      </c>
    </row>
    <row r="196" spans="1:11">
      <c r="A196" s="2">
        <v>43902</v>
      </c>
      <c r="C196" s="47" t="s">
        <v>100</v>
      </c>
      <c r="E196" s="47">
        <v>53</v>
      </c>
      <c r="F196" s="47">
        <v>27</v>
      </c>
      <c r="G196" s="47">
        <v>1</v>
      </c>
      <c r="H196" s="47">
        <v>1</v>
      </c>
      <c r="J196" s="47">
        <v>0</v>
      </c>
      <c r="K196" s="47" t="s">
        <v>419</v>
      </c>
    </row>
    <row r="197" spans="1:11">
      <c r="A197" s="2">
        <v>43902</v>
      </c>
      <c r="B197" s="47">
        <v>0.33333333333333331</v>
      </c>
      <c r="C197" s="47" t="s">
        <v>102</v>
      </c>
      <c r="E197" s="47">
        <v>11</v>
      </c>
      <c r="F197" s="47">
        <v>0</v>
      </c>
      <c r="G197" s="47">
        <v>0</v>
      </c>
      <c r="I197" s="47">
        <v>0</v>
      </c>
      <c r="J197" s="47">
        <v>0</v>
      </c>
      <c r="K197" s="47" t="s">
        <v>381</v>
      </c>
    </row>
    <row r="198" spans="1:11">
      <c r="A198" s="2">
        <v>43902</v>
      </c>
      <c r="B198" s="47">
        <v>0.5</v>
      </c>
      <c r="C198" s="47" t="s">
        <v>50</v>
      </c>
      <c r="E198" s="47">
        <v>73</v>
      </c>
      <c r="F198" s="47">
        <v>13</v>
      </c>
      <c r="I198" s="47">
        <v>4</v>
      </c>
      <c r="J198" s="47">
        <v>1</v>
      </c>
      <c r="K198" s="47" t="s">
        <v>178</v>
      </c>
    </row>
    <row r="199" spans="1:11">
      <c r="A199" s="2">
        <v>43902</v>
      </c>
      <c r="B199" s="47">
        <v>0.60416666666666663</v>
      </c>
      <c r="C199" s="47" t="s">
        <v>104</v>
      </c>
      <c r="E199" s="47">
        <v>141</v>
      </c>
      <c r="K199" s="47" t="s">
        <v>106</v>
      </c>
    </row>
    <row r="200" spans="1:11">
      <c r="A200" s="2">
        <v>43902</v>
      </c>
      <c r="B200" s="47">
        <v>0.625</v>
      </c>
      <c r="C200" s="47" t="s">
        <v>34</v>
      </c>
      <c r="E200" s="47">
        <v>27</v>
      </c>
      <c r="F200" s="47">
        <v>1</v>
      </c>
      <c r="I200" s="47">
        <v>3</v>
      </c>
      <c r="K200" s="47" t="s">
        <v>176</v>
      </c>
    </row>
    <row r="201" spans="1:11">
      <c r="A201" s="2">
        <v>43903</v>
      </c>
      <c r="C201" s="47" t="s">
        <v>47</v>
      </c>
      <c r="E201" s="47">
        <v>42</v>
      </c>
      <c r="F201" s="47">
        <v>12</v>
      </c>
      <c r="G201" s="47">
        <v>3</v>
      </c>
      <c r="I201" s="47">
        <v>2</v>
      </c>
      <c r="J201" s="47">
        <v>2</v>
      </c>
      <c r="K201" s="47" t="s">
        <v>182</v>
      </c>
    </row>
    <row r="202" spans="1:11">
      <c r="A202" s="2">
        <v>43903</v>
      </c>
      <c r="C202" s="47" t="s">
        <v>56</v>
      </c>
      <c r="E202" s="47">
        <v>29</v>
      </c>
      <c r="J202" s="47">
        <v>0</v>
      </c>
      <c r="K202" s="47" t="s">
        <v>640</v>
      </c>
    </row>
    <row r="203" spans="1:11">
      <c r="A203" s="2">
        <v>43903</v>
      </c>
      <c r="C203" s="47" t="s">
        <v>58</v>
      </c>
      <c r="D203" s="47">
        <v>2712</v>
      </c>
      <c r="E203" s="47">
        <v>178</v>
      </c>
      <c r="F203" s="47">
        <v>33</v>
      </c>
      <c r="G203" s="47">
        <v>7</v>
      </c>
      <c r="H203" s="47">
        <v>5</v>
      </c>
      <c r="J203" s="47">
        <v>2</v>
      </c>
      <c r="K203" s="47" t="s">
        <v>60</v>
      </c>
    </row>
    <row r="204" spans="1:11">
      <c r="A204" s="2">
        <v>43903</v>
      </c>
      <c r="C204" s="47" t="s">
        <v>61</v>
      </c>
      <c r="E204" s="47">
        <v>6</v>
      </c>
      <c r="F204" s="47">
        <v>0</v>
      </c>
      <c r="J204" s="47">
        <v>0</v>
      </c>
      <c r="K204" s="47" t="s">
        <v>427</v>
      </c>
    </row>
    <row r="205" spans="1:11">
      <c r="A205" s="2">
        <v>43903</v>
      </c>
      <c r="C205" s="47" t="s">
        <v>66</v>
      </c>
      <c r="E205" s="47">
        <v>17</v>
      </c>
      <c r="F205" s="47">
        <v>8</v>
      </c>
      <c r="G205" s="47">
        <v>0</v>
      </c>
      <c r="J205" s="47">
        <v>0</v>
      </c>
      <c r="K205" s="47" t="s">
        <v>433</v>
      </c>
    </row>
    <row r="206" spans="1:11">
      <c r="A206" s="2">
        <v>43903</v>
      </c>
      <c r="C206" s="47" t="s">
        <v>71</v>
      </c>
      <c r="E206" s="47">
        <v>59</v>
      </c>
      <c r="F206" s="47">
        <v>9</v>
      </c>
      <c r="K206" s="47" t="s">
        <v>377</v>
      </c>
    </row>
    <row r="207" spans="1:11">
      <c r="A207" s="2">
        <v>43903</v>
      </c>
      <c r="C207" s="47" t="s">
        <v>73</v>
      </c>
      <c r="E207" s="47">
        <v>5</v>
      </c>
      <c r="F207" s="47">
        <v>6</v>
      </c>
      <c r="K207" s="47" t="s">
        <v>357</v>
      </c>
    </row>
    <row r="208" spans="1:11">
      <c r="A208" s="2">
        <v>43903</v>
      </c>
      <c r="C208" s="47" t="s">
        <v>81</v>
      </c>
      <c r="E208" s="47">
        <v>1</v>
      </c>
      <c r="J208" s="47">
        <v>0</v>
      </c>
      <c r="K208" s="47" t="s">
        <v>606</v>
      </c>
    </row>
    <row r="209" spans="1:11">
      <c r="A209" s="2">
        <v>43903</v>
      </c>
      <c r="C209" s="47" t="s">
        <v>91</v>
      </c>
      <c r="E209" s="47">
        <v>258</v>
      </c>
      <c r="F209" s="47">
        <v>65</v>
      </c>
      <c r="G209" s="47">
        <v>13</v>
      </c>
      <c r="K209" s="47" t="s">
        <v>186</v>
      </c>
    </row>
    <row r="210" spans="1:11">
      <c r="A210" s="2">
        <v>43903</v>
      </c>
      <c r="C210" s="47" t="s">
        <v>97</v>
      </c>
      <c r="E210" s="47">
        <v>369</v>
      </c>
      <c r="F210" s="47">
        <v>61</v>
      </c>
      <c r="G210" s="47">
        <v>7</v>
      </c>
      <c r="J210" s="47">
        <v>3</v>
      </c>
      <c r="K210" s="47" t="s">
        <v>99</v>
      </c>
    </row>
    <row r="211" spans="1:11">
      <c r="A211" s="2">
        <v>43903</v>
      </c>
      <c r="C211" s="47" t="s">
        <v>100</v>
      </c>
      <c r="E211" s="47">
        <v>76</v>
      </c>
      <c r="F211" s="47">
        <v>29</v>
      </c>
      <c r="G211" s="47">
        <v>1</v>
      </c>
      <c r="H211" s="47">
        <v>1</v>
      </c>
      <c r="J211" s="47">
        <v>1</v>
      </c>
      <c r="K211" s="47" t="s">
        <v>419</v>
      </c>
    </row>
    <row r="212" spans="1:11">
      <c r="A212" s="2">
        <v>43903</v>
      </c>
      <c r="B212" s="47">
        <v>0.33333333333333331</v>
      </c>
      <c r="C212" s="47" t="s">
        <v>102</v>
      </c>
      <c r="E212" s="47">
        <v>11</v>
      </c>
      <c r="F212" s="47">
        <v>0</v>
      </c>
      <c r="G212" s="47">
        <v>0</v>
      </c>
      <c r="I212" s="47">
        <v>0</v>
      </c>
      <c r="J212" s="47">
        <v>0</v>
      </c>
      <c r="K212" s="47" t="s">
        <v>381</v>
      </c>
    </row>
    <row r="213" spans="1:11">
      <c r="A213" s="2">
        <v>43903</v>
      </c>
      <c r="B213" s="47">
        <v>0.5</v>
      </c>
      <c r="C213" s="47" t="s">
        <v>75</v>
      </c>
      <c r="D213" s="47">
        <v>6</v>
      </c>
      <c r="E213" s="47">
        <v>1</v>
      </c>
      <c r="K213" s="47" t="s">
        <v>184</v>
      </c>
    </row>
    <row r="214" spans="1:11">
      <c r="A214" s="2">
        <v>43903</v>
      </c>
      <c r="B214" s="47">
        <v>0.5</v>
      </c>
      <c r="C214" s="47" t="s">
        <v>86</v>
      </c>
      <c r="D214" s="47">
        <v>10</v>
      </c>
      <c r="E214" s="47">
        <v>9</v>
      </c>
      <c r="K214" s="47" t="s">
        <v>185</v>
      </c>
    </row>
    <row r="215" spans="1:11">
      <c r="A215" s="2">
        <v>43903</v>
      </c>
      <c r="B215" s="47">
        <v>0.52083333333333337</v>
      </c>
      <c r="C215" s="47" t="s">
        <v>50</v>
      </c>
      <c r="E215" s="47">
        <v>92</v>
      </c>
      <c r="F215" s="47">
        <v>13</v>
      </c>
      <c r="I215" s="47">
        <v>4</v>
      </c>
      <c r="J215" s="47">
        <v>1</v>
      </c>
      <c r="K215" s="47" t="s">
        <v>183</v>
      </c>
    </row>
    <row r="216" spans="1:11">
      <c r="A216" s="2">
        <v>43903</v>
      </c>
      <c r="B216" s="47">
        <v>0.54166666666666663</v>
      </c>
      <c r="C216" s="47" t="s">
        <v>34</v>
      </c>
      <c r="E216" s="47">
        <v>32</v>
      </c>
      <c r="I216" s="47">
        <v>3</v>
      </c>
      <c r="K216" s="47" t="s">
        <v>181</v>
      </c>
    </row>
    <row r="217" spans="1:11">
      <c r="A217" s="2">
        <v>43903</v>
      </c>
      <c r="B217" s="47">
        <v>0.60416666666666663</v>
      </c>
      <c r="C217" s="47" t="s">
        <v>104</v>
      </c>
      <c r="E217" s="47">
        <v>164</v>
      </c>
      <c r="K217" s="47" t="s">
        <v>106</v>
      </c>
    </row>
    <row r="218" spans="1:11">
      <c r="A218" s="2">
        <v>43904</v>
      </c>
      <c r="C218" s="47" t="s">
        <v>38</v>
      </c>
      <c r="E218" s="47">
        <v>2</v>
      </c>
      <c r="K218" s="47" t="s">
        <v>187</v>
      </c>
    </row>
    <row r="219" spans="1:11">
      <c r="A219" s="2">
        <v>43904</v>
      </c>
      <c r="C219" s="47" t="s">
        <v>47</v>
      </c>
      <c r="E219" s="47">
        <v>47</v>
      </c>
      <c r="F219" s="47">
        <v>8</v>
      </c>
      <c r="G219" s="47">
        <v>2</v>
      </c>
      <c r="I219" s="47">
        <v>2</v>
      </c>
      <c r="J219" s="47">
        <v>2</v>
      </c>
      <c r="K219" s="47" t="s">
        <v>188</v>
      </c>
    </row>
    <row r="220" spans="1:11">
      <c r="A220" s="2">
        <v>43904</v>
      </c>
      <c r="C220" s="47" t="s">
        <v>53</v>
      </c>
      <c r="D220" s="47">
        <v>99</v>
      </c>
      <c r="E220" s="47">
        <v>3</v>
      </c>
      <c r="I220" s="47">
        <v>1</v>
      </c>
      <c r="K220" s="47" t="s">
        <v>190</v>
      </c>
    </row>
    <row r="221" spans="1:11">
      <c r="A221" s="2">
        <v>43904</v>
      </c>
      <c r="C221" s="47" t="s">
        <v>56</v>
      </c>
      <c r="E221" s="47">
        <v>36</v>
      </c>
      <c r="J221" s="47">
        <v>0</v>
      </c>
      <c r="K221" s="47" t="s">
        <v>640</v>
      </c>
    </row>
    <row r="222" spans="1:11">
      <c r="A222" s="2">
        <v>43904</v>
      </c>
      <c r="C222" s="47" t="s">
        <v>58</v>
      </c>
      <c r="D222" s="47">
        <v>3295</v>
      </c>
      <c r="E222" s="47">
        <v>281</v>
      </c>
      <c r="F222" s="47">
        <v>43</v>
      </c>
      <c r="G222" s="47">
        <v>8</v>
      </c>
      <c r="H222" s="47">
        <v>5</v>
      </c>
      <c r="J222" s="47">
        <v>2</v>
      </c>
      <c r="K222" s="47" t="s">
        <v>60</v>
      </c>
    </row>
    <row r="223" spans="1:11">
      <c r="A223" s="2">
        <v>43904</v>
      </c>
      <c r="C223" s="47" t="s">
        <v>61</v>
      </c>
      <c r="E223" s="47">
        <v>8</v>
      </c>
      <c r="F223" s="47">
        <v>0</v>
      </c>
      <c r="J223" s="47">
        <v>0</v>
      </c>
      <c r="K223" s="47" t="s">
        <v>427</v>
      </c>
    </row>
    <row r="224" spans="1:11">
      <c r="A224" s="2">
        <v>43904</v>
      </c>
      <c r="C224" s="47" t="s">
        <v>66</v>
      </c>
      <c r="E224" s="47">
        <v>18</v>
      </c>
      <c r="F224" s="47">
        <v>8</v>
      </c>
      <c r="G224" s="47">
        <v>0</v>
      </c>
      <c r="J224" s="47">
        <v>0</v>
      </c>
      <c r="K224" s="47" t="s">
        <v>433</v>
      </c>
    </row>
    <row r="225" spans="1:11">
      <c r="A225" s="2">
        <v>43904</v>
      </c>
      <c r="C225" s="47" t="s">
        <v>71</v>
      </c>
      <c r="E225" s="47">
        <v>68</v>
      </c>
      <c r="F225" s="47">
        <v>10</v>
      </c>
      <c r="K225" s="47" t="s">
        <v>377</v>
      </c>
    </row>
    <row r="226" spans="1:11">
      <c r="A226" s="2">
        <v>43904</v>
      </c>
      <c r="C226" s="47" t="s">
        <v>73</v>
      </c>
      <c r="E226" s="47">
        <v>5</v>
      </c>
      <c r="F226" s="47">
        <v>6</v>
      </c>
      <c r="K226" s="47" t="s">
        <v>357</v>
      </c>
    </row>
    <row r="227" spans="1:11">
      <c r="A227" s="2">
        <v>43904</v>
      </c>
      <c r="C227" s="47" t="s">
        <v>81</v>
      </c>
      <c r="E227" s="47">
        <v>1</v>
      </c>
      <c r="J227" s="47">
        <v>0</v>
      </c>
      <c r="K227" s="47" t="s">
        <v>606</v>
      </c>
    </row>
    <row r="228" spans="1:11">
      <c r="A228" s="2">
        <v>43904</v>
      </c>
      <c r="C228" s="47" t="s">
        <v>91</v>
      </c>
      <c r="E228" s="47">
        <v>265</v>
      </c>
      <c r="J228" s="47">
        <v>3</v>
      </c>
      <c r="K228" s="47" t="s">
        <v>191</v>
      </c>
    </row>
    <row r="229" spans="1:11">
      <c r="A229" s="2">
        <v>43904</v>
      </c>
      <c r="C229" s="47" t="s">
        <v>97</v>
      </c>
      <c r="E229" s="47">
        <v>476</v>
      </c>
      <c r="F229" s="47">
        <v>75</v>
      </c>
      <c r="G229" s="47">
        <v>10</v>
      </c>
      <c r="J229" s="47">
        <v>4</v>
      </c>
      <c r="K229" s="47" t="s">
        <v>99</v>
      </c>
    </row>
    <row r="230" spans="1:11">
      <c r="A230" s="2">
        <v>43904</v>
      </c>
      <c r="C230" s="47" t="s">
        <v>100</v>
      </c>
      <c r="E230" s="47">
        <v>98</v>
      </c>
      <c r="F230" s="47">
        <v>33</v>
      </c>
      <c r="G230" s="47">
        <v>1</v>
      </c>
      <c r="H230" s="47">
        <v>1</v>
      </c>
      <c r="J230" s="47">
        <v>1</v>
      </c>
      <c r="K230" s="47" t="s">
        <v>419</v>
      </c>
    </row>
    <row r="231" spans="1:11">
      <c r="A231" s="2">
        <v>43904</v>
      </c>
      <c r="B231" s="47">
        <v>0.12708333333333333</v>
      </c>
      <c r="C231" s="47" t="s">
        <v>86</v>
      </c>
      <c r="D231" s="47">
        <v>10</v>
      </c>
      <c r="E231" s="47">
        <v>12</v>
      </c>
      <c r="K231" s="47" t="s">
        <v>388</v>
      </c>
    </row>
    <row r="232" spans="1:11">
      <c r="A232" s="2">
        <v>43904</v>
      </c>
      <c r="B232" s="47">
        <v>0.33333333333333331</v>
      </c>
      <c r="C232" s="47" t="s">
        <v>102</v>
      </c>
      <c r="E232" s="47">
        <v>13</v>
      </c>
      <c r="F232" s="47">
        <v>0</v>
      </c>
      <c r="G232" s="47">
        <v>0</v>
      </c>
      <c r="I232" s="47">
        <v>0</v>
      </c>
      <c r="J232" s="47">
        <v>0</v>
      </c>
      <c r="K232" s="47" t="s">
        <v>381</v>
      </c>
    </row>
    <row r="233" spans="1:11">
      <c r="A233" s="2">
        <v>43904</v>
      </c>
      <c r="B233" s="47">
        <v>0.47708333333333336</v>
      </c>
      <c r="C233" s="47" t="s">
        <v>50</v>
      </c>
      <c r="E233" s="47">
        <v>100</v>
      </c>
      <c r="F233" s="47">
        <v>13</v>
      </c>
      <c r="I233" s="47">
        <v>4</v>
      </c>
      <c r="J233" s="47">
        <v>1</v>
      </c>
      <c r="K233" s="47" t="s">
        <v>189</v>
      </c>
    </row>
    <row r="234" spans="1:11">
      <c r="A234" s="2">
        <v>43904</v>
      </c>
      <c r="B234" s="47">
        <v>0.60416666666666663</v>
      </c>
      <c r="C234" s="47" t="s">
        <v>104</v>
      </c>
      <c r="E234" s="47">
        <v>219</v>
      </c>
      <c r="K234" s="47" t="s">
        <v>106</v>
      </c>
    </row>
    <row r="235" spans="1:11">
      <c r="A235" s="2">
        <v>43905</v>
      </c>
      <c r="C235" s="47" t="s">
        <v>47</v>
      </c>
      <c r="E235" s="47">
        <v>54</v>
      </c>
      <c r="F235" s="47">
        <v>12</v>
      </c>
      <c r="G235" s="47">
        <v>2</v>
      </c>
      <c r="I235" s="47">
        <v>5</v>
      </c>
      <c r="J235" s="47">
        <v>2</v>
      </c>
      <c r="K235" s="47" t="s">
        <v>192</v>
      </c>
    </row>
    <row r="236" spans="1:11">
      <c r="A236" s="2">
        <v>43905</v>
      </c>
      <c r="C236" s="47" t="s">
        <v>53</v>
      </c>
      <c r="E236" s="47">
        <v>7</v>
      </c>
      <c r="I236" s="47">
        <v>1</v>
      </c>
      <c r="K236" s="47" t="s">
        <v>193</v>
      </c>
    </row>
    <row r="237" spans="1:11">
      <c r="A237" s="2">
        <v>43905</v>
      </c>
      <c r="C237" s="47" t="s">
        <v>56</v>
      </c>
      <c r="E237" s="47">
        <v>40</v>
      </c>
      <c r="J237" s="47">
        <v>0</v>
      </c>
      <c r="K237" s="47" t="s">
        <v>640</v>
      </c>
    </row>
    <row r="238" spans="1:11">
      <c r="A238" s="2">
        <v>43905</v>
      </c>
      <c r="C238" s="47" t="s">
        <v>58</v>
      </c>
      <c r="D238" s="47">
        <v>3698</v>
      </c>
      <c r="E238" s="47">
        <v>374</v>
      </c>
      <c r="F238" s="47">
        <v>46</v>
      </c>
      <c r="G238" s="47">
        <v>12</v>
      </c>
      <c r="H238" s="47">
        <v>8</v>
      </c>
      <c r="J238" s="47">
        <v>4</v>
      </c>
      <c r="K238" s="47" t="s">
        <v>60</v>
      </c>
    </row>
    <row r="239" spans="1:11">
      <c r="A239" s="2">
        <v>43905</v>
      </c>
      <c r="C239" s="47" t="s">
        <v>61</v>
      </c>
      <c r="E239" s="47">
        <v>10</v>
      </c>
      <c r="F239" s="47">
        <v>0</v>
      </c>
      <c r="J239" s="47">
        <v>0</v>
      </c>
      <c r="K239" s="47" t="s">
        <v>427</v>
      </c>
    </row>
    <row r="240" spans="1:11">
      <c r="A240" s="2">
        <v>43905</v>
      </c>
      <c r="C240" s="47" t="s">
        <v>66</v>
      </c>
      <c r="E240" s="47">
        <v>19</v>
      </c>
      <c r="F240" s="47">
        <v>9</v>
      </c>
      <c r="G240" s="47">
        <v>0</v>
      </c>
      <c r="J240" s="47">
        <v>0</v>
      </c>
      <c r="K240" s="47" t="s">
        <v>433</v>
      </c>
    </row>
    <row r="241" spans="1:11">
      <c r="A241" s="2">
        <v>43905</v>
      </c>
      <c r="C241" s="47" t="s">
        <v>71</v>
      </c>
      <c r="E241" s="47">
        <v>74</v>
      </c>
      <c r="F241" s="47">
        <v>9</v>
      </c>
      <c r="K241" s="47" t="s">
        <v>377</v>
      </c>
    </row>
    <row r="242" spans="1:11">
      <c r="A242" s="2">
        <v>43905</v>
      </c>
      <c r="C242" s="47" t="s">
        <v>73</v>
      </c>
      <c r="E242" s="47">
        <v>8</v>
      </c>
      <c r="F242" s="47">
        <v>6</v>
      </c>
      <c r="K242" s="47" t="s">
        <v>357</v>
      </c>
    </row>
    <row r="243" spans="1:11">
      <c r="A243" s="2">
        <v>43905</v>
      </c>
      <c r="C243" s="47" t="s">
        <v>81</v>
      </c>
      <c r="E243" s="47">
        <v>1</v>
      </c>
      <c r="J243" s="47">
        <v>0</v>
      </c>
      <c r="K243" s="47" t="s">
        <v>606</v>
      </c>
    </row>
    <row r="244" spans="1:11">
      <c r="A244" s="2">
        <v>43905</v>
      </c>
      <c r="C244" s="47" t="s">
        <v>86</v>
      </c>
      <c r="E244" s="47">
        <v>13</v>
      </c>
      <c r="K244" s="47" t="s">
        <v>194</v>
      </c>
    </row>
    <row r="245" spans="1:11">
      <c r="A245" s="2">
        <v>43905</v>
      </c>
      <c r="C245" s="47" t="s">
        <v>91</v>
      </c>
      <c r="E245" s="47">
        <v>291</v>
      </c>
      <c r="J245" s="47">
        <v>6</v>
      </c>
      <c r="K245" s="47" t="s">
        <v>195</v>
      </c>
    </row>
    <row r="246" spans="1:11">
      <c r="A246" s="2">
        <v>43905</v>
      </c>
      <c r="C246" s="47" t="s">
        <v>97</v>
      </c>
      <c r="E246" s="47">
        <v>566</v>
      </c>
      <c r="F246" s="47">
        <v>90</v>
      </c>
      <c r="G246" s="47">
        <v>10</v>
      </c>
      <c r="J246" s="47">
        <v>5</v>
      </c>
      <c r="K246" s="47" t="s">
        <v>99</v>
      </c>
    </row>
    <row r="247" spans="1:11">
      <c r="A247" s="2">
        <v>43905</v>
      </c>
      <c r="C247" s="47" t="s">
        <v>100</v>
      </c>
      <c r="E247" s="47">
        <v>115</v>
      </c>
      <c r="F247" s="47">
        <v>35</v>
      </c>
      <c r="G247" s="47">
        <v>1</v>
      </c>
      <c r="H247" s="47">
        <v>1</v>
      </c>
      <c r="J247" s="47">
        <v>2</v>
      </c>
      <c r="K247" s="47" t="s">
        <v>419</v>
      </c>
    </row>
    <row r="248" spans="1:11">
      <c r="A248" s="2">
        <v>43905</v>
      </c>
      <c r="B248" s="47">
        <v>0.33333333333333331</v>
      </c>
      <c r="C248" s="47" t="s">
        <v>102</v>
      </c>
      <c r="E248" s="47">
        <v>13</v>
      </c>
      <c r="F248" s="47">
        <v>0</v>
      </c>
      <c r="G248" s="47">
        <v>0</v>
      </c>
      <c r="I248" s="47">
        <v>0</v>
      </c>
      <c r="J248" s="47">
        <v>0</v>
      </c>
      <c r="K248" s="47" t="s">
        <v>381</v>
      </c>
    </row>
    <row r="249" spans="1:11">
      <c r="A249" s="2">
        <v>43905</v>
      </c>
      <c r="B249" s="47">
        <v>0.60416666666666663</v>
      </c>
      <c r="C249" s="47" t="s">
        <v>104</v>
      </c>
      <c r="E249" s="47">
        <v>251</v>
      </c>
      <c r="J249" s="47">
        <v>1</v>
      </c>
      <c r="K249" s="47" t="s">
        <v>106</v>
      </c>
    </row>
    <row r="250" spans="1:11">
      <c r="A250" s="2">
        <v>43906</v>
      </c>
      <c r="C250" s="47" t="s">
        <v>38</v>
      </c>
      <c r="E250" s="47">
        <v>4</v>
      </c>
      <c r="K250" s="47" t="s">
        <v>197</v>
      </c>
    </row>
    <row r="251" spans="1:11">
      <c r="A251" s="2">
        <v>43906</v>
      </c>
      <c r="C251" s="47" t="s">
        <v>44</v>
      </c>
      <c r="E251" s="47">
        <v>123</v>
      </c>
      <c r="J251" s="47">
        <v>1</v>
      </c>
      <c r="K251" s="47" t="s">
        <v>46</v>
      </c>
    </row>
    <row r="252" spans="1:11">
      <c r="A252" s="2">
        <v>43906</v>
      </c>
      <c r="C252" s="47" t="s">
        <v>47</v>
      </c>
      <c r="E252" s="47">
        <v>76</v>
      </c>
      <c r="F252" s="47">
        <v>17</v>
      </c>
      <c r="G252" s="47">
        <v>4</v>
      </c>
      <c r="I252" s="47">
        <v>5</v>
      </c>
      <c r="J252" s="47">
        <v>2</v>
      </c>
      <c r="K252" s="47" t="s">
        <v>198</v>
      </c>
    </row>
    <row r="253" spans="1:11">
      <c r="A253" s="2">
        <v>43906</v>
      </c>
      <c r="C253" s="47" t="s">
        <v>56</v>
      </c>
      <c r="E253" s="47">
        <v>45</v>
      </c>
      <c r="J253" s="47">
        <v>0</v>
      </c>
      <c r="K253" s="47" t="s">
        <v>640</v>
      </c>
    </row>
    <row r="254" spans="1:11">
      <c r="A254" s="2">
        <v>43906</v>
      </c>
      <c r="C254" s="47" t="s">
        <v>58</v>
      </c>
      <c r="D254" s="47">
        <v>4147</v>
      </c>
      <c r="E254" s="47">
        <v>460</v>
      </c>
      <c r="F254" s="47">
        <v>66</v>
      </c>
      <c r="G254" s="47">
        <v>10</v>
      </c>
      <c r="H254" s="47">
        <v>9</v>
      </c>
      <c r="J254" s="47">
        <v>4</v>
      </c>
      <c r="K254" s="47" t="s">
        <v>60</v>
      </c>
    </row>
    <row r="255" spans="1:11">
      <c r="A255" s="2">
        <v>43906</v>
      </c>
      <c r="C255" s="47" t="s">
        <v>61</v>
      </c>
      <c r="E255" s="47">
        <v>10</v>
      </c>
      <c r="F255" s="47">
        <v>0</v>
      </c>
      <c r="J255" s="47">
        <v>0</v>
      </c>
      <c r="K255" s="47" t="s">
        <v>427</v>
      </c>
    </row>
    <row r="256" spans="1:11">
      <c r="A256" s="2">
        <v>43906</v>
      </c>
      <c r="C256" s="47" t="s">
        <v>66</v>
      </c>
      <c r="E256" s="47">
        <v>25</v>
      </c>
      <c r="F256" s="47">
        <v>9</v>
      </c>
      <c r="G256" s="47">
        <v>0</v>
      </c>
      <c r="J256" s="47">
        <v>0</v>
      </c>
      <c r="K256" s="47" t="s">
        <v>433</v>
      </c>
    </row>
    <row r="257" spans="1:11">
      <c r="A257" s="2">
        <v>43906</v>
      </c>
      <c r="C257" s="47" t="s">
        <v>71</v>
      </c>
      <c r="E257" s="47">
        <v>93</v>
      </c>
      <c r="F257" s="47">
        <v>13</v>
      </c>
      <c r="K257" s="47" t="s">
        <v>377</v>
      </c>
    </row>
    <row r="258" spans="1:11">
      <c r="A258" s="2">
        <v>43906</v>
      </c>
      <c r="C258" s="47" t="s">
        <v>73</v>
      </c>
      <c r="E258" s="47">
        <v>10</v>
      </c>
      <c r="F258" s="47">
        <v>7</v>
      </c>
      <c r="K258" s="47" t="s">
        <v>357</v>
      </c>
    </row>
    <row r="259" spans="1:11">
      <c r="A259" s="2">
        <v>43906</v>
      </c>
      <c r="C259" s="47" t="s">
        <v>81</v>
      </c>
      <c r="E259" s="47">
        <v>2</v>
      </c>
      <c r="J259" s="47">
        <v>0</v>
      </c>
      <c r="K259" s="47" t="s">
        <v>606</v>
      </c>
    </row>
    <row r="260" spans="1:11">
      <c r="A260" s="2">
        <v>43906</v>
      </c>
      <c r="C260" s="47" t="s">
        <v>88</v>
      </c>
      <c r="D260" s="47">
        <v>246</v>
      </c>
      <c r="E260" s="47">
        <v>17</v>
      </c>
      <c r="K260" s="47" t="s">
        <v>36</v>
      </c>
    </row>
    <row r="261" spans="1:11">
      <c r="A261" s="2">
        <v>43906</v>
      </c>
      <c r="C261" s="47" t="s">
        <v>91</v>
      </c>
      <c r="E261" s="47">
        <v>330</v>
      </c>
      <c r="J261" s="47">
        <v>8</v>
      </c>
      <c r="K261" s="47" t="s">
        <v>200</v>
      </c>
    </row>
    <row r="262" spans="1:11">
      <c r="A262" s="2">
        <v>43906</v>
      </c>
      <c r="C262" s="47" t="s">
        <v>97</v>
      </c>
      <c r="E262" s="47">
        <v>796</v>
      </c>
      <c r="F262" s="47">
        <v>126</v>
      </c>
      <c r="G262" s="47">
        <v>20</v>
      </c>
      <c r="J262" s="47">
        <v>7</v>
      </c>
      <c r="K262" s="47" t="s">
        <v>99</v>
      </c>
    </row>
    <row r="263" spans="1:11">
      <c r="A263" s="2">
        <v>43906</v>
      </c>
      <c r="C263" s="47" t="s">
        <v>100</v>
      </c>
      <c r="E263" s="47">
        <v>172</v>
      </c>
      <c r="F263" s="47">
        <v>41</v>
      </c>
      <c r="G263" s="47">
        <v>2</v>
      </c>
      <c r="H263" s="47">
        <v>1</v>
      </c>
      <c r="J263" s="47">
        <v>3</v>
      </c>
      <c r="K263" s="47" t="s">
        <v>419</v>
      </c>
    </row>
    <row r="264" spans="1:11">
      <c r="A264" s="2">
        <v>43906</v>
      </c>
      <c r="B264" s="47">
        <v>0.33333333333333331</v>
      </c>
      <c r="C264" s="47" t="s">
        <v>102</v>
      </c>
      <c r="E264" s="47">
        <v>20</v>
      </c>
      <c r="F264" s="47">
        <v>0</v>
      </c>
      <c r="G264" s="47">
        <v>0</v>
      </c>
      <c r="I264" s="47">
        <v>0</v>
      </c>
      <c r="J264" s="47">
        <v>0</v>
      </c>
      <c r="K264" s="47" t="s">
        <v>381</v>
      </c>
    </row>
    <row r="265" spans="1:11">
      <c r="A265" s="2">
        <v>43906</v>
      </c>
      <c r="B265" s="47">
        <v>0.5</v>
      </c>
      <c r="C265" s="47" t="s">
        <v>50</v>
      </c>
      <c r="E265" s="47">
        <v>143</v>
      </c>
      <c r="F265" s="47">
        <v>13</v>
      </c>
      <c r="I265" s="47">
        <v>4</v>
      </c>
      <c r="J265" s="47">
        <v>4</v>
      </c>
      <c r="K265" s="47" t="s">
        <v>199</v>
      </c>
    </row>
    <row r="266" spans="1:11">
      <c r="A266" s="2">
        <v>43906</v>
      </c>
      <c r="B266" s="47">
        <v>0.60416666666666663</v>
      </c>
      <c r="C266" s="47" t="s">
        <v>104</v>
      </c>
      <c r="E266" s="47">
        <v>327</v>
      </c>
      <c r="J266" s="47">
        <v>1</v>
      </c>
      <c r="K266" s="47" t="s">
        <v>106</v>
      </c>
    </row>
    <row r="267" spans="1:11">
      <c r="A267" s="2">
        <v>43906</v>
      </c>
      <c r="B267" s="47">
        <v>0.625</v>
      </c>
      <c r="C267" s="47" t="s">
        <v>34</v>
      </c>
      <c r="E267" s="47">
        <v>52</v>
      </c>
      <c r="F267" s="47">
        <v>2</v>
      </c>
      <c r="I267" s="47">
        <v>4</v>
      </c>
      <c r="K267" s="47" t="s">
        <v>196</v>
      </c>
    </row>
    <row r="268" spans="1:11">
      <c r="A268" s="2">
        <v>43907</v>
      </c>
      <c r="C268" s="47" t="s">
        <v>38</v>
      </c>
      <c r="E268" s="47">
        <v>5</v>
      </c>
      <c r="K268" s="47" t="s">
        <v>197</v>
      </c>
    </row>
    <row r="269" spans="1:11">
      <c r="A269" s="2">
        <v>43907</v>
      </c>
      <c r="C269" s="47" t="s">
        <v>47</v>
      </c>
      <c r="E269" s="47">
        <v>89</v>
      </c>
      <c r="F269" s="47">
        <v>26</v>
      </c>
      <c r="G269" s="47">
        <v>5</v>
      </c>
      <c r="I269" s="47">
        <v>13</v>
      </c>
      <c r="J269" s="47">
        <v>2</v>
      </c>
      <c r="K269" s="47" t="s">
        <v>202</v>
      </c>
    </row>
    <row r="270" spans="1:11">
      <c r="A270" s="2">
        <v>43907</v>
      </c>
      <c r="C270" s="47" t="s">
        <v>53</v>
      </c>
      <c r="E270" s="47">
        <v>19</v>
      </c>
      <c r="I270" s="47">
        <v>1</v>
      </c>
      <c r="K270" s="47" t="s">
        <v>204</v>
      </c>
    </row>
    <row r="271" spans="1:11">
      <c r="A271" s="2">
        <v>43907</v>
      </c>
      <c r="C271" s="47" t="s">
        <v>56</v>
      </c>
      <c r="E271" s="47">
        <v>59</v>
      </c>
      <c r="J271" s="47">
        <v>0</v>
      </c>
      <c r="K271" s="47" t="s">
        <v>640</v>
      </c>
    </row>
    <row r="272" spans="1:11">
      <c r="A272" s="2">
        <v>43907</v>
      </c>
      <c r="C272" s="47" t="s">
        <v>58</v>
      </c>
      <c r="D272" s="47">
        <v>4750</v>
      </c>
      <c r="E272" s="47">
        <v>587</v>
      </c>
      <c r="F272" s="47">
        <v>75</v>
      </c>
      <c r="G272" s="47">
        <v>19</v>
      </c>
      <c r="H272" s="47">
        <v>17</v>
      </c>
      <c r="J272" s="47">
        <v>5</v>
      </c>
      <c r="K272" s="47" t="s">
        <v>60</v>
      </c>
    </row>
    <row r="273" spans="1:11">
      <c r="A273" s="2">
        <v>43907</v>
      </c>
      <c r="C273" s="47" t="s">
        <v>61</v>
      </c>
      <c r="E273" s="47">
        <v>12</v>
      </c>
      <c r="F273" s="47">
        <v>0</v>
      </c>
      <c r="J273" s="47">
        <v>0</v>
      </c>
      <c r="K273" s="47" t="s">
        <v>427</v>
      </c>
    </row>
    <row r="274" spans="1:11">
      <c r="A274" s="2">
        <v>43907</v>
      </c>
      <c r="C274" s="47" t="s">
        <v>63</v>
      </c>
      <c r="E274" s="47">
        <v>101</v>
      </c>
      <c r="F274" s="47">
        <v>9</v>
      </c>
      <c r="J274" s="47">
        <v>1</v>
      </c>
      <c r="K274" s="47" t="s">
        <v>65</v>
      </c>
    </row>
    <row r="275" spans="1:11">
      <c r="A275" s="2">
        <v>43907</v>
      </c>
      <c r="C275" s="47" t="s">
        <v>66</v>
      </c>
      <c r="E275" s="47">
        <v>29</v>
      </c>
      <c r="F275" s="47">
        <v>11</v>
      </c>
      <c r="G275" s="47">
        <v>0</v>
      </c>
      <c r="J275" s="47">
        <v>0</v>
      </c>
      <c r="K275" s="47" t="s">
        <v>433</v>
      </c>
    </row>
    <row r="276" spans="1:11">
      <c r="A276" s="2">
        <v>43907</v>
      </c>
      <c r="C276" s="47" t="s">
        <v>71</v>
      </c>
      <c r="E276" s="47">
        <v>114</v>
      </c>
      <c r="F276" s="47">
        <v>16</v>
      </c>
      <c r="J276" s="47">
        <v>1</v>
      </c>
      <c r="K276" s="47" t="s">
        <v>377</v>
      </c>
    </row>
    <row r="277" spans="1:11">
      <c r="A277" s="2">
        <v>43907</v>
      </c>
      <c r="C277" s="47" t="s">
        <v>73</v>
      </c>
      <c r="E277" s="47">
        <v>12</v>
      </c>
      <c r="F277" s="47">
        <v>6</v>
      </c>
      <c r="K277" s="47" t="s">
        <v>357</v>
      </c>
    </row>
    <row r="278" spans="1:11">
      <c r="A278" s="2">
        <v>43907</v>
      </c>
      <c r="C278" s="47" t="s">
        <v>78</v>
      </c>
      <c r="E278" s="47">
        <v>47</v>
      </c>
      <c r="K278" s="47" t="s">
        <v>80</v>
      </c>
    </row>
    <row r="279" spans="1:11">
      <c r="A279" s="2">
        <v>43907</v>
      </c>
      <c r="C279" s="47" t="s">
        <v>81</v>
      </c>
      <c r="E279" s="47">
        <v>2</v>
      </c>
      <c r="J279" s="47">
        <v>0</v>
      </c>
      <c r="K279" s="47" t="s">
        <v>606</v>
      </c>
    </row>
    <row r="280" spans="1:11">
      <c r="A280" s="2">
        <v>43907</v>
      </c>
      <c r="C280" s="47" t="s">
        <v>88</v>
      </c>
      <c r="D280" s="47">
        <v>276</v>
      </c>
      <c r="E280" s="47">
        <v>23</v>
      </c>
      <c r="K280" s="47" t="s">
        <v>36</v>
      </c>
    </row>
    <row r="281" spans="1:11">
      <c r="A281" s="2">
        <v>43907</v>
      </c>
      <c r="C281" s="47" t="s">
        <v>91</v>
      </c>
      <c r="E281" s="47">
        <v>422</v>
      </c>
      <c r="J281" s="47">
        <v>10</v>
      </c>
      <c r="K281" s="47" t="s">
        <v>205</v>
      </c>
    </row>
    <row r="282" spans="1:11">
      <c r="A282" s="2">
        <v>43907</v>
      </c>
      <c r="C282" s="47" t="s">
        <v>97</v>
      </c>
      <c r="E282" s="47">
        <v>1039</v>
      </c>
      <c r="F282" s="47">
        <v>140</v>
      </c>
      <c r="G282" s="47">
        <v>24</v>
      </c>
      <c r="J282" s="47">
        <v>9</v>
      </c>
      <c r="K282" s="47" t="s">
        <v>99</v>
      </c>
    </row>
    <row r="283" spans="1:11">
      <c r="A283" s="2">
        <v>43907</v>
      </c>
      <c r="C283" s="47" t="s">
        <v>100</v>
      </c>
      <c r="E283" s="47">
        <v>225</v>
      </c>
      <c r="F283" s="47">
        <v>46</v>
      </c>
      <c r="G283" s="47">
        <v>2</v>
      </c>
      <c r="H283" s="47">
        <v>2</v>
      </c>
      <c r="J283" s="47">
        <v>3</v>
      </c>
      <c r="K283" s="47" t="s">
        <v>419</v>
      </c>
    </row>
    <row r="284" spans="1:11">
      <c r="A284" s="2">
        <v>43907</v>
      </c>
      <c r="B284" s="47">
        <v>0.33333333333333331</v>
      </c>
      <c r="C284" s="47" t="s">
        <v>102</v>
      </c>
      <c r="E284" s="47">
        <v>29</v>
      </c>
      <c r="F284" s="47">
        <v>0</v>
      </c>
      <c r="G284" s="47">
        <v>0</v>
      </c>
      <c r="I284" s="47">
        <v>1</v>
      </c>
      <c r="J284" s="47">
        <v>0</v>
      </c>
      <c r="K284" s="47" t="s">
        <v>381</v>
      </c>
    </row>
    <row r="285" spans="1:11">
      <c r="A285" s="2">
        <v>43907</v>
      </c>
      <c r="B285" s="47">
        <v>0.5</v>
      </c>
      <c r="C285" s="47" t="s">
        <v>50</v>
      </c>
      <c r="E285" s="47">
        <v>164</v>
      </c>
      <c r="F285" s="47">
        <v>30</v>
      </c>
      <c r="I285" s="47">
        <v>25</v>
      </c>
      <c r="J285" s="47">
        <v>4</v>
      </c>
      <c r="K285" s="47" t="s">
        <v>203</v>
      </c>
    </row>
    <row r="286" spans="1:11">
      <c r="A286" s="2">
        <v>43907</v>
      </c>
      <c r="B286" s="47">
        <v>0.60416666666666663</v>
      </c>
      <c r="C286" s="47" t="s">
        <v>104</v>
      </c>
      <c r="E286" s="47">
        <v>430</v>
      </c>
      <c r="J286" s="47">
        <v>1</v>
      </c>
      <c r="K286" s="47" t="s">
        <v>106</v>
      </c>
    </row>
    <row r="287" spans="1:11">
      <c r="A287" s="2">
        <v>43907</v>
      </c>
      <c r="B287" s="47">
        <v>0.66666666666666663</v>
      </c>
      <c r="C287" s="47" t="s">
        <v>34</v>
      </c>
      <c r="E287" s="47">
        <v>67</v>
      </c>
      <c r="F287" s="47">
        <v>2</v>
      </c>
      <c r="I287" s="47">
        <v>4</v>
      </c>
      <c r="K287" s="47" t="s">
        <v>201</v>
      </c>
    </row>
    <row r="288" spans="1:11">
      <c r="A288" s="2">
        <v>43908</v>
      </c>
      <c r="C288" s="47" t="s">
        <v>41</v>
      </c>
      <c r="E288" s="47">
        <v>11</v>
      </c>
      <c r="F288" s="47">
        <v>3</v>
      </c>
      <c r="K288" s="47" t="s">
        <v>207</v>
      </c>
    </row>
    <row r="289" spans="1:11">
      <c r="A289" s="2">
        <v>43908</v>
      </c>
      <c r="C289" s="47" t="s">
        <v>44</v>
      </c>
      <c r="E289" s="47">
        <v>193</v>
      </c>
      <c r="J289" s="47">
        <v>1</v>
      </c>
      <c r="K289" s="47" t="s">
        <v>46</v>
      </c>
    </row>
    <row r="290" spans="1:11">
      <c r="A290" s="2">
        <v>43908</v>
      </c>
      <c r="C290" s="47" t="s">
        <v>47</v>
      </c>
      <c r="E290" s="47">
        <v>116</v>
      </c>
      <c r="F290" s="47">
        <v>27</v>
      </c>
      <c r="G290" s="47">
        <v>2</v>
      </c>
      <c r="I290" s="47">
        <v>16</v>
      </c>
      <c r="J290" s="47">
        <v>2</v>
      </c>
      <c r="K290" s="47" t="s">
        <v>208</v>
      </c>
    </row>
    <row r="291" spans="1:11">
      <c r="A291" s="2">
        <v>43908</v>
      </c>
      <c r="C291" s="47" t="s">
        <v>53</v>
      </c>
      <c r="E291" s="47">
        <v>28</v>
      </c>
      <c r="I291" s="47">
        <v>1</v>
      </c>
      <c r="K291" s="47" t="s">
        <v>210</v>
      </c>
    </row>
    <row r="292" spans="1:11">
      <c r="A292" s="2">
        <v>43908</v>
      </c>
      <c r="C292" s="47" t="s">
        <v>56</v>
      </c>
      <c r="E292" s="47">
        <v>86</v>
      </c>
      <c r="F292" s="47">
        <v>11</v>
      </c>
      <c r="G292" s="47">
        <v>5</v>
      </c>
      <c r="J292" s="47">
        <v>0</v>
      </c>
      <c r="K292" s="47" t="s">
        <v>640</v>
      </c>
    </row>
    <row r="293" spans="1:11">
      <c r="A293" s="2">
        <v>43908</v>
      </c>
      <c r="C293" s="47" t="s">
        <v>58</v>
      </c>
      <c r="D293" s="47">
        <v>5573</v>
      </c>
      <c r="E293" s="47">
        <v>775</v>
      </c>
      <c r="F293" s="47">
        <v>78</v>
      </c>
      <c r="G293" s="47">
        <v>20</v>
      </c>
      <c r="H293" s="47">
        <v>17</v>
      </c>
      <c r="J293" s="47">
        <v>6</v>
      </c>
      <c r="K293" s="47" t="s">
        <v>60</v>
      </c>
    </row>
    <row r="294" spans="1:11">
      <c r="A294" s="2">
        <v>43908</v>
      </c>
      <c r="C294" s="47" t="s">
        <v>61</v>
      </c>
      <c r="E294" s="47">
        <v>14</v>
      </c>
      <c r="F294" s="47">
        <v>0</v>
      </c>
      <c r="J294" s="47">
        <v>0</v>
      </c>
      <c r="K294" s="47" t="s">
        <v>427</v>
      </c>
    </row>
    <row r="295" spans="1:11">
      <c r="A295" s="2">
        <v>43908</v>
      </c>
      <c r="C295" s="47" t="s">
        <v>63</v>
      </c>
      <c r="E295" s="47">
        <v>128</v>
      </c>
      <c r="F295" s="47">
        <v>13</v>
      </c>
      <c r="J295" s="47">
        <v>1</v>
      </c>
      <c r="K295" s="47" t="s">
        <v>65</v>
      </c>
    </row>
    <row r="296" spans="1:11">
      <c r="A296" s="2">
        <v>43908</v>
      </c>
      <c r="C296" s="47" t="s">
        <v>66</v>
      </c>
      <c r="E296" s="47">
        <v>32</v>
      </c>
      <c r="F296" s="47">
        <v>11</v>
      </c>
      <c r="G296" s="47">
        <v>0</v>
      </c>
      <c r="J296" s="47">
        <v>0</v>
      </c>
      <c r="K296" s="47" t="s">
        <v>433</v>
      </c>
    </row>
    <row r="297" spans="1:11">
      <c r="A297" s="2">
        <v>43908</v>
      </c>
      <c r="C297" s="47" t="s">
        <v>71</v>
      </c>
      <c r="E297" s="47">
        <v>146</v>
      </c>
      <c r="F297" s="47">
        <v>18</v>
      </c>
      <c r="J297" s="47">
        <v>2</v>
      </c>
      <c r="K297" s="47" t="s">
        <v>377</v>
      </c>
    </row>
    <row r="298" spans="1:11">
      <c r="A298" s="2">
        <v>43908</v>
      </c>
      <c r="C298" s="47" t="s">
        <v>73</v>
      </c>
      <c r="E298" s="47">
        <v>18</v>
      </c>
      <c r="F298" s="47">
        <v>6</v>
      </c>
      <c r="K298" s="47" t="s">
        <v>357</v>
      </c>
    </row>
    <row r="299" spans="1:11">
      <c r="A299" s="2">
        <v>43908</v>
      </c>
      <c r="C299" s="47" t="s">
        <v>78</v>
      </c>
      <c r="E299" s="47">
        <v>61</v>
      </c>
      <c r="K299" s="47" t="s">
        <v>80</v>
      </c>
    </row>
    <row r="300" spans="1:11">
      <c r="A300" s="2">
        <v>43908</v>
      </c>
      <c r="C300" s="47" t="s">
        <v>81</v>
      </c>
      <c r="E300" s="47">
        <v>8</v>
      </c>
      <c r="J300" s="47">
        <v>0</v>
      </c>
      <c r="K300" s="47" t="s">
        <v>606</v>
      </c>
    </row>
    <row r="301" spans="1:11">
      <c r="A301" s="2">
        <v>43908</v>
      </c>
      <c r="C301" s="47" t="s">
        <v>83</v>
      </c>
      <c r="E301" s="47">
        <v>43</v>
      </c>
      <c r="K301" s="47" t="s">
        <v>212</v>
      </c>
    </row>
    <row r="302" spans="1:11">
      <c r="A302" s="2">
        <v>43908</v>
      </c>
      <c r="C302" s="47" t="s">
        <v>88</v>
      </c>
      <c r="E302" s="47">
        <v>32</v>
      </c>
      <c r="K302" s="47" t="s">
        <v>90</v>
      </c>
    </row>
    <row r="303" spans="1:11">
      <c r="A303" s="2">
        <v>43908</v>
      </c>
      <c r="C303" s="47" t="s">
        <v>91</v>
      </c>
      <c r="E303" s="47">
        <v>511</v>
      </c>
      <c r="J303" s="47">
        <v>14</v>
      </c>
      <c r="K303" s="47" t="s">
        <v>213</v>
      </c>
    </row>
    <row r="304" spans="1:11">
      <c r="A304" s="2">
        <v>43908</v>
      </c>
      <c r="C304" s="47" t="s">
        <v>94</v>
      </c>
      <c r="D304" s="47">
        <v>85</v>
      </c>
      <c r="E304" s="47">
        <v>5</v>
      </c>
      <c r="K304" s="47" t="s">
        <v>214</v>
      </c>
    </row>
    <row r="305" spans="1:11">
      <c r="A305" s="2">
        <v>43908</v>
      </c>
      <c r="C305" s="47" t="s">
        <v>97</v>
      </c>
      <c r="E305" s="47">
        <v>1305</v>
      </c>
      <c r="F305" s="47">
        <v>153</v>
      </c>
      <c r="G305" s="47">
        <v>24</v>
      </c>
      <c r="J305" s="47">
        <v>12</v>
      </c>
      <c r="K305" s="47" t="s">
        <v>99</v>
      </c>
    </row>
    <row r="306" spans="1:11">
      <c r="A306" s="2">
        <v>43908</v>
      </c>
      <c r="C306" s="47" t="s">
        <v>100</v>
      </c>
      <c r="E306" s="47">
        <v>312</v>
      </c>
      <c r="F306" s="47">
        <v>58</v>
      </c>
      <c r="G306" s="47">
        <v>2</v>
      </c>
      <c r="H306" s="47">
        <v>2</v>
      </c>
      <c r="J306" s="47">
        <v>4</v>
      </c>
      <c r="K306" s="47" t="s">
        <v>419</v>
      </c>
    </row>
    <row r="307" spans="1:11">
      <c r="A307" s="2">
        <v>43908</v>
      </c>
      <c r="B307" s="47">
        <v>0.33333333333333331</v>
      </c>
      <c r="C307" s="47" t="s">
        <v>102</v>
      </c>
      <c r="E307" s="47">
        <v>33</v>
      </c>
      <c r="F307" s="47">
        <v>0</v>
      </c>
      <c r="G307" s="47">
        <v>0</v>
      </c>
      <c r="I307" s="47">
        <v>5</v>
      </c>
      <c r="J307" s="47">
        <v>0</v>
      </c>
      <c r="K307" s="47" t="s">
        <v>381</v>
      </c>
    </row>
    <row r="308" spans="1:11">
      <c r="A308" s="2">
        <v>43908</v>
      </c>
      <c r="B308" s="47">
        <v>0.46875</v>
      </c>
      <c r="C308" s="47" t="s">
        <v>50</v>
      </c>
      <c r="E308" s="47">
        <v>181</v>
      </c>
      <c r="F308" s="47">
        <v>40</v>
      </c>
      <c r="I308" s="47">
        <v>36</v>
      </c>
      <c r="J308" s="47">
        <v>4</v>
      </c>
      <c r="K308" s="47" t="s">
        <v>209</v>
      </c>
    </row>
    <row r="309" spans="1:11">
      <c r="A309" s="2">
        <v>43908</v>
      </c>
      <c r="B309" s="47">
        <v>0.60416666666666663</v>
      </c>
      <c r="C309" s="47" t="s">
        <v>104</v>
      </c>
      <c r="E309" s="47">
        <v>569</v>
      </c>
      <c r="J309" s="47">
        <v>2</v>
      </c>
      <c r="K309" s="47" t="s">
        <v>106</v>
      </c>
    </row>
    <row r="310" spans="1:11">
      <c r="A310" s="2">
        <v>43908</v>
      </c>
      <c r="B310" s="47">
        <v>0.66666666666666663</v>
      </c>
      <c r="C310" s="47" t="s">
        <v>34</v>
      </c>
      <c r="E310" s="47">
        <v>101</v>
      </c>
      <c r="F310" s="47">
        <v>6</v>
      </c>
      <c r="I310" s="47">
        <v>4</v>
      </c>
      <c r="K310" s="47" t="s">
        <v>206</v>
      </c>
    </row>
    <row r="311" spans="1:11">
      <c r="A311" s="2">
        <v>43908</v>
      </c>
      <c r="B311" s="47">
        <v>0.66666666666666663</v>
      </c>
      <c r="C311" s="47" t="s">
        <v>68</v>
      </c>
      <c r="E311" s="47">
        <v>65</v>
      </c>
      <c r="K311" s="47" t="s">
        <v>211</v>
      </c>
    </row>
    <row r="312" spans="1:11">
      <c r="A312" s="2">
        <v>43909</v>
      </c>
      <c r="C312" s="47" t="s">
        <v>38</v>
      </c>
      <c r="E312" s="47">
        <v>6</v>
      </c>
      <c r="F312" s="47">
        <v>1</v>
      </c>
      <c r="K312" s="47" t="s">
        <v>197</v>
      </c>
    </row>
    <row r="313" spans="1:11">
      <c r="A313" s="2">
        <v>43909</v>
      </c>
      <c r="C313" s="47" t="s">
        <v>44</v>
      </c>
      <c r="E313" s="47">
        <v>282</v>
      </c>
      <c r="J313" s="47">
        <v>1</v>
      </c>
      <c r="K313" s="47" t="s">
        <v>46</v>
      </c>
    </row>
    <row r="314" spans="1:11">
      <c r="A314" s="2">
        <v>43909</v>
      </c>
      <c r="C314" s="47" t="s">
        <v>47</v>
      </c>
      <c r="E314" s="47">
        <v>134</v>
      </c>
      <c r="F314" s="47">
        <v>19</v>
      </c>
      <c r="G314" s="47">
        <v>2</v>
      </c>
      <c r="I314" s="47">
        <v>16</v>
      </c>
      <c r="J314" s="47">
        <v>2</v>
      </c>
      <c r="K314" s="47" t="s">
        <v>216</v>
      </c>
    </row>
    <row r="315" spans="1:11">
      <c r="A315" s="2">
        <v>43909</v>
      </c>
      <c r="C315" s="47" t="s">
        <v>56</v>
      </c>
      <c r="E315" s="47">
        <v>111</v>
      </c>
      <c r="F315" s="47">
        <v>12</v>
      </c>
      <c r="G315" s="47">
        <v>5</v>
      </c>
      <c r="J315" s="47">
        <v>1</v>
      </c>
      <c r="K315" s="47" t="s">
        <v>640</v>
      </c>
    </row>
    <row r="316" spans="1:11">
      <c r="A316" s="2">
        <v>43909</v>
      </c>
      <c r="C316" s="47" t="s">
        <v>58</v>
      </c>
      <c r="D316" s="47">
        <v>6233</v>
      </c>
      <c r="E316" s="47">
        <v>994</v>
      </c>
      <c r="F316" s="47">
        <v>92</v>
      </c>
      <c r="G316" s="47">
        <v>19</v>
      </c>
      <c r="H316" s="47">
        <v>18</v>
      </c>
      <c r="J316" s="47">
        <v>7</v>
      </c>
      <c r="K316" s="47" t="s">
        <v>60</v>
      </c>
    </row>
    <row r="317" spans="1:11">
      <c r="A317" s="2">
        <v>43909</v>
      </c>
      <c r="C317" s="47" t="s">
        <v>61</v>
      </c>
      <c r="E317" s="47">
        <v>16</v>
      </c>
      <c r="F317" s="47">
        <v>0</v>
      </c>
      <c r="J317" s="47">
        <v>0</v>
      </c>
      <c r="K317" s="47" t="s">
        <v>427</v>
      </c>
    </row>
    <row r="318" spans="1:11">
      <c r="A318" s="2">
        <v>43909</v>
      </c>
      <c r="C318" s="47" t="s">
        <v>63</v>
      </c>
      <c r="E318" s="47">
        <v>182</v>
      </c>
      <c r="F318" s="47">
        <v>18</v>
      </c>
      <c r="J318" s="47">
        <v>2</v>
      </c>
      <c r="K318" s="47" t="s">
        <v>65</v>
      </c>
    </row>
    <row r="319" spans="1:11">
      <c r="A319" s="2">
        <v>43909</v>
      </c>
      <c r="C319" s="47" t="s">
        <v>66</v>
      </c>
      <c r="E319" s="47">
        <v>36</v>
      </c>
      <c r="F319" s="47">
        <v>12</v>
      </c>
      <c r="G319" s="47">
        <v>0</v>
      </c>
      <c r="J319" s="47">
        <v>0</v>
      </c>
      <c r="K319" s="47" t="s">
        <v>433</v>
      </c>
    </row>
    <row r="320" spans="1:11">
      <c r="A320" s="2">
        <v>43909</v>
      </c>
      <c r="C320" s="47" t="s">
        <v>71</v>
      </c>
      <c r="E320" s="47">
        <v>175</v>
      </c>
      <c r="F320" s="47">
        <v>19</v>
      </c>
      <c r="J320" s="47">
        <v>3</v>
      </c>
      <c r="K320" s="47" t="s">
        <v>377</v>
      </c>
    </row>
    <row r="321" spans="1:11">
      <c r="A321" s="2">
        <v>43909</v>
      </c>
      <c r="C321" s="47" t="s">
        <v>73</v>
      </c>
      <c r="E321" s="47">
        <v>25</v>
      </c>
      <c r="F321" s="47">
        <v>5</v>
      </c>
      <c r="K321" s="47" t="s">
        <v>357</v>
      </c>
    </row>
    <row r="322" spans="1:11">
      <c r="A322" s="2">
        <v>43909</v>
      </c>
      <c r="C322" s="47" t="s">
        <v>78</v>
      </c>
      <c r="E322" s="47">
        <v>85</v>
      </c>
      <c r="K322" s="47" t="s">
        <v>80</v>
      </c>
    </row>
    <row r="323" spans="1:11">
      <c r="A323" s="2">
        <v>43909</v>
      </c>
      <c r="C323" s="47" t="s">
        <v>81</v>
      </c>
      <c r="E323" s="47">
        <v>12</v>
      </c>
      <c r="J323" s="47">
        <v>0</v>
      </c>
      <c r="K323" s="47" t="s">
        <v>606</v>
      </c>
    </row>
    <row r="324" spans="1:11">
      <c r="A324" s="2">
        <v>43909</v>
      </c>
      <c r="C324" s="47" t="s">
        <v>88</v>
      </c>
      <c r="E324" s="47">
        <v>37</v>
      </c>
      <c r="K324" s="47" t="s">
        <v>90</v>
      </c>
    </row>
    <row r="325" spans="1:11">
      <c r="A325" s="2">
        <v>43909</v>
      </c>
      <c r="C325" s="47" t="s">
        <v>91</v>
      </c>
      <c r="E325" s="47">
        <v>638</v>
      </c>
      <c r="F325" s="47">
        <v>155</v>
      </c>
      <c r="G325" s="47">
        <v>33</v>
      </c>
      <c r="J325" s="47">
        <v>15</v>
      </c>
      <c r="K325" s="47" t="s">
        <v>218</v>
      </c>
    </row>
    <row r="326" spans="1:11">
      <c r="A326" s="2">
        <v>43909</v>
      </c>
      <c r="C326" s="47" t="s">
        <v>94</v>
      </c>
      <c r="E326" s="47">
        <v>7</v>
      </c>
      <c r="K326" s="47" t="s">
        <v>219</v>
      </c>
    </row>
    <row r="327" spans="1:11">
      <c r="A327" s="2">
        <v>43909</v>
      </c>
      <c r="C327" s="47" t="s">
        <v>97</v>
      </c>
      <c r="E327" s="47">
        <v>1514</v>
      </c>
      <c r="F327" s="47">
        <v>170</v>
      </c>
      <c r="G327" s="47">
        <v>23</v>
      </c>
      <c r="J327" s="47">
        <v>13</v>
      </c>
      <c r="K327" s="47" t="s">
        <v>99</v>
      </c>
    </row>
    <row r="328" spans="1:11">
      <c r="A328" s="2">
        <v>43909</v>
      </c>
      <c r="C328" s="47" t="s">
        <v>100</v>
      </c>
      <c r="E328" s="47">
        <v>349</v>
      </c>
      <c r="F328" s="47">
        <v>64</v>
      </c>
      <c r="G328" s="47">
        <v>5</v>
      </c>
      <c r="H328" s="47">
        <v>5</v>
      </c>
      <c r="J328" s="47">
        <v>6</v>
      </c>
      <c r="K328" s="47" t="s">
        <v>419</v>
      </c>
    </row>
    <row r="329" spans="1:11">
      <c r="A329" s="2">
        <v>43909</v>
      </c>
      <c r="B329" s="47">
        <v>0.33333333333333331</v>
      </c>
      <c r="C329" s="47" t="s">
        <v>102</v>
      </c>
      <c r="E329" s="47">
        <v>37</v>
      </c>
      <c r="F329" s="47">
        <v>1</v>
      </c>
      <c r="G329" s="47">
        <v>0</v>
      </c>
      <c r="I329" s="47">
        <v>5</v>
      </c>
      <c r="J329" s="47">
        <v>0</v>
      </c>
      <c r="K329" s="47" t="s">
        <v>381</v>
      </c>
    </row>
    <row r="330" spans="1:11">
      <c r="A330" s="2">
        <v>43909</v>
      </c>
      <c r="B330" s="47">
        <v>0.45833333333333331</v>
      </c>
      <c r="C330" s="47" t="s">
        <v>50</v>
      </c>
      <c r="E330" s="47">
        <v>220</v>
      </c>
      <c r="F330" s="47">
        <v>40</v>
      </c>
      <c r="I330" s="47">
        <v>44</v>
      </c>
      <c r="J330" s="47">
        <v>4</v>
      </c>
      <c r="K330" s="47" t="s">
        <v>217</v>
      </c>
    </row>
    <row r="331" spans="1:11">
      <c r="A331" s="2">
        <v>43909</v>
      </c>
      <c r="B331" s="47">
        <v>0.60416666666666663</v>
      </c>
      <c r="C331" s="47" t="s">
        <v>104</v>
      </c>
      <c r="E331" s="47">
        <v>680</v>
      </c>
      <c r="F331" s="47">
        <v>60</v>
      </c>
      <c r="H331" s="47">
        <v>12</v>
      </c>
      <c r="J331" s="47">
        <v>3</v>
      </c>
      <c r="K331" s="47" t="s">
        <v>106</v>
      </c>
    </row>
    <row r="332" spans="1:11">
      <c r="A332" s="2">
        <v>43909</v>
      </c>
      <c r="B332" s="47">
        <v>0.625</v>
      </c>
      <c r="C332" s="47" t="s">
        <v>34</v>
      </c>
      <c r="E332" s="47">
        <v>118</v>
      </c>
      <c r="F332" s="47">
        <v>17</v>
      </c>
      <c r="G332" s="47">
        <v>6</v>
      </c>
      <c r="H332" s="47">
        <v>3</v>
      </c>
      <c r="K332" s="47" t="s">
        <v>215</v>
      </c>
    </row>
    <row r="333" spans="1:11">
      <c r="A333" s="2">
        <v>43910</v>
      </c>
      <c r="C333" s="47" t="s">
        <v>44</v>
      </c>
      <c r="E333" s="47">
        <v>377</v>
      </c>
      <c r="J333" s="47">
        <v>2</v>
      </c>
      <c r="K333" s="47" t="s">
        <v>46</v>
      </c>
    </row>
    <row r="334" spans="1:11">
      <c r="A334" s="2">
        <v>43910</v>
      </c>
      <c r="C334" s="47" t="s">
        <v>47</v>
      </c>
      <c r="E334" s="47">
        <v>184</v>
      </c>
      <c r="F334" s="47">
        <v>27</v>
      </c>
      <c r="G334" s="47">
        <v>2</v>
      </c>
      <c r="I334" s="47">
        <v>18</v>
      </c>
      <c r="J334" s="47">
        <v>3</v>
      </c>
      <c r="K334" s="47" t="s">
        <v>221</v>
      </c>
    </row>
    <row r="335" spans="1:11">
      <c r="A335" s="2">
        <v>43910</v>
      </c>
      <c r="C335" s="47" t="s">
        <v>53</v>
      </c>
      <c r="E335" s="47">
        <v>37</v>
      </c>
      <c r="I335" s="47">
        <v>1</v>
      </c>
      <c r="K335" s="47" t="s">
        <v>223</v>
      </c>
    </row>
    <row r="336" spans="1:11">
      <c r="A336" s="2">
        <v>43910</v>
      </c>
      <c r="C336" s="47" t="s">
        <v>56</v>
      </c>
      <c r="E336" s="47">
        <v>145</v>
      </c>
      <c r="F336" s="47">
        <v>20</v>
      </c>
      <c r="G336" s="47">
        <v>6</v>
      </c>
      <c r="J336" s="47">
        <v>1</v>
      </c>
      <c r="K336" s="47" t="s">
        <v>640</v>
      </c>
    </row>
    <row r="337" spans="1:11">
      <c r="A337" s="2">
        <v>43910</v>
      </c>
      <c r="C337" s="47" t="s">
        <v>58</v>
      </c>
      <c r="D337" s="47">
        <v>6647</v>
      </c>
      <c r="E337" s="47">
        <v>1119</v>
      </c>
      <c r="F337" s="47">
        <v>109</v>
      </c>
      <c r="G337" s="47">
        <v>22</v>
      </c>
      <c r="H337" s="47">
        <v>21</v>
      </c>
      <c r="J337" s="47">
        <v>9</v>
      </c>
      <c r="K337" s="47" t="s">
        <v>60</v>
      </c>
    </row>
    <row r="338" spans="1:11">
      <c r="A338" s="2">
        <v>43910</v>
      </c>
      <c r="C338" s="47" t="s">
        <v>61</v>
      </c>
      <c r="E338" s="47">
        <v>20</v>
      </c>
      <c r="F338" s="47">
        <v>0</v>
      </c>
      <c r="J338" s="47">
        <v>0</v>
      </c>
      <c r="K338" s="47" t="s">
        <v>427</v>
      </c>
    </row>
    <row r="339" spans="1:11">
      <c r="A339" s="2">
        <v>43910</v>
      </c>
      <c r="C339" s="47" t="s">
        <v>63</v>
      </c>
      <c r="E339" s="47">
        <v>226</v>
      </c>
      <c r="F339" s="47">
        <v>24</v>
      </c>
      <c r="J339" s="47">
        <v>3</v>
      </c>
      <c r="K339" s="47" t="s">
        <v>65</v>
      </c>
    </row>
    <row r="340" spans="1:11">
      <c r="A340" s="2">
        <v>43910</v>
      </c>
      <c r="C340" s="47" t="s">
        <v>66</v>
      </c>
      <c r="E340" s="47">
        <v>44</v>
      </c>
      <c r="F340" s="47">
        <v>14</v>
      </c>
      <c r="G340" s="47">
        <v>1</v>
      </c>
      <c r="J340" s="47">
        <v>0</v>
      </c>
      <c r="K340" s="47" t="s">
        <v>433</v>
      </c>
    </row>
    <row r="341" spans="1:11">
      <c r="A341" s="2">
        <v>43910</v>
      </c>
      <c r="C341" s="47" t="s">
        <v>71</v>
      </c>
      <c r="E341" s="47">
        <v>189</v>
      </c>
      <c r="F341" s="47">
        <v>21</v>
      </c>
      <c r="J341" s="47">
        <v>3</v>
      </c>
      <c r="K341" s="47" t="s">
        <v>377</v>
      </c>
    </row>
    <row r="342" spans="1:11">
      <c r="A342" s="2">
        <v>43910</v>
      </c>
      <c r="C342" s="47" t="s">
        <v>73</v>
      </c>
      <c r="E342" s="47">
        <v>28</v>
      </c>
      <c r="F342" s="47">
        <v>5</v>
      </c>
      <c r="K342" s="47" t="s">
        <v>357</v>
      </c>
    </row>
    <row r="343" spans="1:11">
      <c r="A343" s="2">
        <v>43910</v>
      </c>
      <c r="C343" s="47" t="s">
        <v>78</v>
      </c>
      <c r="E343" s="47">
        <v>98</v>
      </c>
      <c r="K343" s="47" t="s">
        <v>80</v>
      </c>
    </row>
    <row r="344" spans="1:11">
      <c r="A344" s="2">
        <v>43910</v>
      </c>
      <c r="C344" s="47" t="s">
        <v>81</v>
      </c>
      <c r="E344" s="47">
        <v>17</v>
      </c>
      <c r="J344" s="47">
        <v>0</v>
      </c>
      <c r="K344" s="47" t="s">
        <v>606</v>
      </c>
    </row>
    <row r="345" spans="1:11">
      <c r="A345" s="2">
        <v>43910</v>
      </c>
      <c r="C345" s="47" t="s">
        <v>88</v>
      </c>
      <c r="E345" s="47">
        <v>50</v>
      </c>
      <c r="K345" s="47" t="s">
        <v>90</v>
      </c>
    </row>
    <row r="346" spans="1:11">
      <c r="A346" s="2">
        <v>43910</v>
      </c>
      <c r="C346" s="47" t="s">
        <v>97</v>
      </c>
      <c r="E346" s="47">
        <v>1756</v>
      </c>
      <c r="F346" s="47">
        <v>182</v>
      </c>
      <c r="G346" s="47">
        <v>23</v>
      </c>
      <c r="J346" s="47">
        <v>19</v>
      </c>
      <c r="K346" s="47" t="s">
        <v>99</v>
      </c>
    </row>
    <row r="347" spans="1:11">
      <c r="A347" s="2">
        <v>43910</v>
      </c>
      <c r="C347" s="47" t="s">
        <v>100</v>
      </c>
      <c r="E347" s="47">
        <v>436</v>
      </c>
      <c r="F347" s="47">
        <v>73</v>
      </c>
      <c r="G347" s="47">
        <v>6</v>
      </c>
      <c r="H347" s="47">
        <v>5</v>
      </c>
      <c r="J347" s="47">
        <v>7</v>
      </c>
      <c r="K347" s="47" t="s">
        <v>419</v>
      </c>
    </row>
    <row r="348" spans="1:11">
      <c r="A348" s="2">
        <v>43910</v>
      </c>
      <c r="B348" s="47">
        <v>0.33333333333333331</v>
      </c>
      <c r="C348" s="47" t="s">
        <v>91</v>
      </c>
      <c r="E348" s="47">
        <v>834</v>
      </c>
      <c r="F348" s="47">
        <v>168</v>
      </c>
      <c r="G348" s="47">
        <v>35</v>
      </c>
      <c r="J348" s="47">
        <v>22</v>
      </c>
      <c r="K348" s="47" t="s">
        <v>225</v>
      </c>
    </row>
    <row r="349" spans="1:11">
      <c r="A349" s="2">
        <v>43910</v>
      </c>
      <c r="B349" s="47">
        <v>0.33333333333333331</v>
      </c>
      <c r="C349" s="47" t="s">
        <v>102</v>
      </c>
      <c r="E349" s="47">
        <v>48</v>
      </c>
      <c r="F349" s="47">
        <v>1</v>
      </c>
      <c r="G349" s="47">
        <v>0</v>
      </c>
      <c r="I349" s="47">
        <v>5</v>
      </c>
      <c r="J349" s="47">
        <v>0</v>
      </c>
      <c r="K349" s="47" t="s">
        <v>381</v>
      </c>
    </row>
    <row r="350" spans="1:11">
      <c r="A350" s="2">
        <v>43910</v>
      </c>
      <c r="B350" s="47">
        <v>0.40277777777777779</v>
      </c>
      <c r="C350" s="47" t="s">
        <v>68</v>
      </c>
      <c r="E350" s="47">
        <v>92</v>
      </c>
      <c r="K350" s="47" t="s">
        <v>70</v>
      </c>
    </row>
    <row r="351" spans="1:11">
      <c r="A351" s="2">
        <v>43910</v>
      </c>
      <c r="B351" s="47">
        <v>0.41666666666666669</v>
      </c>
      <c r="C351" s="47" t="s">
        <v>50</v>
      </c>
      <c r="E351" s="47">
        <v>270</v>
      </c>
      <c r="F351" s="47">
        <v>45</v>
      </c>
      <c r="I351" s="47">
        <v>46</v>
      </c>
      <c r="J351" s="47">
        <v>4</v>
      </c>
      <c r="K351" s="47" t="s">
        <v>222</v>
      </c>
    </row>
    <row r="352" spans="1:11">
      <c r="A352" s="2">
        <v>43910</v>
      </c>
      <c r="B352" s="47">
        <v>0.5</v>
      </c>
      <c r="C352" s="47" t="s">
        <v>94</v>
      </c>
      <c r="E352" s="47">
        <v>7</v>
      </c>
      <c r="K352" s="47" t="s">
        <v>226</v>
      </c>
    </row>
    <row r="353" spans="1:11">
      <c r="A353" s="2">
        <v>43910</v>
      </c>
      <c r="B353" s="47">
        <v>0.60416666666666663</v>
      </c>
      <c r="C353" s="47" t="s">
        <v>104</v>
      </c>
      <c r="E353" s="47">
        <v>712</v>
      </c>
      <c r="F353" s="47">
        <v>78</v>
      </c>
      <c r="H353" s="47">
        <v>15</v>
      </c>
      <c r="J353" s="47">
        <v>4</v>
      </c>
      <c r="K353" s="47" t="s">
        <v>106</v>
      </c>
    </row>
    <row r="354" spans="1:11">
      <c r="A354" s="2">
        <v>43910</v>
      </c>
      <c r="B354" s="47">
        <v>0.625</v>
      </c>
      <c r="C354" s="47" t="s">
        <v>34</v>
      </c>
      <c r="E354" s="47">
        <v>168</v>
      </c>
      <c r="F354" s="47">
        <v>25</v>
      </c>
      <c r="G354" s="47">
        <v>4</v>
      </c>
      <c r="H354" s="47">
        <v>2</v>
      </c>
      <c r="J354" s="47">
        <v>1</v>
      </c>
      <c r="K354" s="47" t="s">
        <v>220</v>
      </c>
    </row>
    <row r="355" spans="1:11">
      <c r="A355" s="2">
        <v>43910</v>
      </c>
      <c r="B355" s="47">
        <v>0.73402777777777772</v>
      </c>
      <c r="C355" s="47" t="s">
        <v>83</v>
      </c>
      <c r="E355" s="47">
        <v>66</v>
      </c>
      <c r="K355" s="47" t="s">
        <v>224</v>
      </c>
    </row>
    <row r="356" spans="1:11">
      <c r="A356" s="2">
        <v>43911</v>
      </c>
      <c r="C356" s="47" t="s">
        <v>41</v>
      </c>
      <c r="J356" s="47">
        <v>1</v>
      </c>
      <c r="K356" s="47" t="s">
        <v>227</v>
      </c>
    </row>
    <row r="357" spans="1:11">
      <c r="A357" s="2">
        <v>43911</v>
      </c>
      <c r="C357" s="47" t="s">
        <v>44</v>
      </c>
      <c r="E357" s="47">
        <v>418</v>
      </c>
      <c r="J357" s="47">
        <v>3</v>
      </c>
      <c r="K357" s="47" t="s">
        <v>46</v>
      </c>
    </row>
    <row r="358" spans="1:11">
      <c r="A358" s="2">
        <v>43911</v>
      </c>
      <c r="C358" s="47" t="s">
        <v>47</v>
      </c>
      <c r="E358" s="47">
        <v>282</v>
      </c>
      <c r="F358" s="47">
        <v>30</v>
      </c>
      <c r="G358" s="47">
        <v>4</v>
      </c>
      <c r="I358" s="47">
        <v>21</v>
      </c>
      <c r="J358" s="47">
        <v>3</v>
      </c>
      <c r="K358" s="47" t="s">
        <v>228</v>
      </c>
    </row>
    <row r="359" spans="1:11">
      <c r="A359" s="2">
        <v>43911</v>
      </c>
      <c r="C359" s="47" t="s">
        <v>53</v>
      </c>
      <c r="E359" s="47">
        <v>44</v>
      </c>
      <c r="K359" s="47" t="s">
        <v>230</v>
      </c>
    </row>
    <row r="360" spans="1:11">
      <c r="A360" s="2">
        <v>43911</v>
      </c>
      <c r="C360" s="47" t="s">
        <v>56</v>
      </c>
      <c r="E360" s="47">
        <v>167</v>
      </c>
      <c r="F360" s="47">
        <v>28</v>
      </c>
      <c r="G360" s="47">
        <v>6</v>
      </c>
      <c r="J360" s="47">
        <v>2</v>
      </c>
      <c r="K360" s="47" t="s">
        <v>640</v>
      </c>
    </row>
    <row r="361" spans="1:11">
      <c r="A361" s="2">
        <v>43911</v>
      </c>
      <c r="C361" s="47" t="s">
        <v>58</v>
      </c>
      <c r="D361" s="47">
        <v>7009</v>
      </c>
      <c r="E361" s="47">
        <v>1248</v>
      </c>
      <c r="F361" s="47">
        <v>145</v>
      </c>
      <c r="G361" s="47">
        <v>25</v>
      </c>
      <c r="H361" s="47">
        <v>24</v>
      </c>
      <c r="J361" s="47">
        <v>9</v>
      </c>
      <c r="K361" s="47" t="s">
        <v>60</v>
      </c>
    </row>
    <row r="362" spans="1:11">
      <c r="A362" s="2">
        <v>43911</v>
      </c>
      <c r="C362" s="47" t="s">
        <v>61</v>
      </c>
      <c r="E362" s="47">
        <v>25</v>
      </c>
      <c r="F362" s="47">
        <v>0</v>
      </c>
      <c r="J362" s="47">
        <v>0</v>
      </c>
      <c r="K362" s="47" t="s">
        <v>427</v>
      </c>
    </row>
    <row r="363" spans="1:11">
      <c r="A363" s="2">
        <v>43911</v>
      </c>
      <c r="C363" s="47" t="s">
        <v>63</v>
      </c>
      <c r="E363" s="47">
        <v>258</v>
      </c>
      <c r="F363" s="47">
        <v>24</v>
      </c>
      <c r="J363" s="47">
        <v>4</v>
      </c>
      <c r="K363" s="47" t="s">
        <v>65</v>
      </c>
    </row>
    <row r="364" spans="1:11">
      <c r="A364" s="2">
        <v>43911</v>
      </c>
      <c r="C364" s="47" t="s">
        <v>66</v>
      </c>
      <c r="E364" s="47">
        <v>54</v>
      </c>
      <c r="F364" s="47">
        <v>13</v>
      </c>
      <c r="G364" s="47">
        <v>1</v>
      </c>
      <c r="J364" s="47">
        <v>0</v>
      </c>
      <c r="K364" s="47" t="s">
        <v>433</v>
      </c>
    </row>
    <row r="365" spans="1:11">
      <c r="A365" s="2">
        <v>43911</v>
      </c>
      <c r="C365" s="47" t="s">
        <v>71</v>
      </c>
      <c r="E365" s="47">
        <v>200</v>
      </c>
      <c r="F365" s="47">
        <v>20</v>
      </c>
      <c r="J365" s="47">
        <v>4</v>
      </c>
      <c r="K365" s="47" t="s">
        <v>377</v>
      </c>
    </row>
    <row r="366" spans="1:11">
      <c r="A366" s="2">
        <v>43911</v>
      </c>
      <c r="C366" s="47" t="s">
        <v>73</v>
      </c>
      <c r="E366" s="47">
        <v>33</v>
      </c>
      <c r="F366" s="47">
        <v>5</v>
      </c>
      <c r="K366" s="47" t="s">
        <v>357</v>
      </c>
    </row>
    <row r="367" spans="1:11">
      <c r="A367" s="2">
        <v>43911</v>
      </c>
      <c r="C367" s="47" t="s">
        <v>81</v>
      </c>
      <c r="E367" s="47">
        <v>28</v>
      </c>
      <c r="J367" s="47">
        <v>0</v>
      </c>
      <c r="K367" s="47" t="s">
        <v>606</v>
      </c>
    </row>
    <row r="368" spans="1:11">
      <c r="A368" s="2">
        <v>43911</v>
      </c>
      <c r="C368" s="47" t="s">
        <v>88</v>
      </c>
      <c r="E368" s="47">
        <v>57</v>
      </c>
      <c r="K368" s="47" t="s">
        <v>90</v>
      </c>
    </row>
    <row r="369" spans="1:11">
      <c r="A369" s="2">
        <v>43911</v>
      </c>
      <c r="C369" s="47" t="s">
        <v>97</v>
      </c>
      <c r="E369" s="47">
        <v>1875</v>
      </c>
      <c r="F369" s="47">
        <v>210</v>
      </c>
      <c r="G369" s="47">
        <v>24</v>
      </c>
      <c r="J369" s="47">
        <v>22</v>
      </c>
      <c r="K369" s="47" t="s">
        <v>99</v>
      </c>
    </row>
    <row r="370" spans="1:11">
      <c r="A370" s="2">
        <v>43911</v>
      </c>
      <c r="C370" s="47" t="s">
        <v>100</v>
      </c>
      <c r="E370" s="47">
        <v>498</v>
      </c>
      <c r="F370" s="47">
        <v>83</v>
      </c>
      <c r="G370" s="47">
        <v>8</v>
      </c>
      <c r="H370" s="47">
        <v>6</v>
      </c>
      <c r="J370" s="47">
        <v>10</v>
      </c>
      <c r="K370" s="47" t="s">
        <v>419</v>
      </c>
    </row>
    <row r="371" spans="1:11">
      <c r="A371" s="2">
        <v>43911</v>
      </c>
      <c r="B371" s="47">
        <v>0.33333333333333331</v>
      </c>
      <c r="C371" s="47" t="s">
        <v>91</v>
      </c>
      <c r="E371" s="47">
        <v>918</v>
      </c>
      <c r="F371" s="47">
        <v>184</v>
      </c>
      <c r="G371" s="47">
        <v>40</v>
      </c>
      <c r="H371" s="47">
        <v>37</v>
      </c>
      <c r="J371" s="47">
        <v>28</v>
      </c>
      <c r="K371" s="47" t="s">
        <v>232</v>
      </c>
    </row>
    <row r="372" spans="1:11">
      <c r="A372" s="2">
        <v>43911</v>
      </c>
      <c r="B372" s="47">
        <v>0.33333333333333331</v>
      </c>
      <c r="C372" s="47" t="s">
        <v>94</v>
      </c>
      <c r="E372" s="47">
        <v>12</v>
      </c>
      <c r="K372" s="47" t="s">
        <v>226</v>
      </c>
    </row>
    <row r="373" spans="1:11">
      <c r="A373" s="2">
        <v>43911</v>
      </c>
      <c r="B373" s="47">
        <v>0.33333333333333331</v>
      </c>
      <c r="C373" s="47" t="s">
        <v>102</v>
      </c>
      <c r="E373" s="47">
        <v>53</v>
      </c>
      <c r="F373" s="47">
        <v>3</v>
      </c>
      <c r="G373" s="47">
        <v>0</v>
      </c>
      <c r="I373" s="47">
        <v>5</v>
      </c>
      <c r="J373" s="47">
        <v>0</v>
      </c>
      <c r="K373" s="47" t="s">
        <v>381</v>
      </c>
    </row>
    <row r="374" spans="1:11">
      <c r="A374" s="2">
        <v>43911</v>
      </c>
      <c r="B374" s="47">
        <v>0.41666666666666669</v>
      </c>
      <c r="C374" s="47" t="s">
        <v>50</v>
      </c>
      <c r="E374" s="47">
        <v>297</v>
      </c>
      <c r="F374" s="47">
        <v>46</v>
      </c>
      <c r="I374" s="47">
        <v>57</v>
      </c>
      <c r="J374" s="47">
        <v>5</v>
      </c>
      <c r="K374" s="47" t="s">
        <v>229</v>
      </c>
    </row>
    <row r="375" spans="1:11">
      <c r="A375" s="2">
        <v>43911</v>
      </c>
      <c r="B375" s="47">
        <v>0.45833333333333331</v>
      </c>
      <c r="C375" s="47" t="s">
        <v>68</v>
      </c>
      <c r="E375" s="47">
        <v>109</v>
      </c>
      <c r="J375" s="47">
        <v>1</v>
      </c>
      <c r="K375" s="47" t="s">
        <v>231</v>
      </c>
    </row>
    <row r="376" spans="1:11">
      <c r="A376" s="2">
        <v>43911</v>
      </c>
      <c r="B376" s="47">
        <v>0.60416666666666663</v>
      </c>
      <c r="C376" s="47" t="s">
        <v>104</v>
      </c>
      <c r="E376" s="47">
        <v>712</v>
      </c>
      <c r="F376" s="47">
        <v>83</v>
      </c>
      <c r="H376" s="47">
        <v>23</v>
      </c>
      <c r="J376" s="47">
        <v>5</v>
      </c>
      <c r="K376" s="47" t="s">
        <v>106</v>
      </c>
    </row>
    <row r="377" spans="1:11">
      <c r="A377" s="2">
        <v>43912</v>
      </c>
      <c r="C377" s="47" t="s">
        <v>47</v>
      </c>
      <c r="E377" s="47">
        <v>289</v>
      </c>
      <c r="F377" s="47">
        <v>40</v>
      </c>
      <c r="G377" s="47">
        <v>7</v>
      </c>
      <c r="I377" s="47">
        <v>21</v>
      </c>
      <c r="J377" s="47">
        <v>3</v>
      </c>
      <c r="K377" s="47" t="s">
        <v>234</v>
      </c>
    </row>
    <row r="378" spans="1:11">
      <c r="A378" s="2">
        <v>43912</v>
      </c>
      <c r="C378" s="47" t="s">
        <v>53</v>
      </c>
      <c r="E378" s="47">
        <v>46</v>
      </c>
      <c r="K378" s="47" t="s">
        <v>236</v>
      </c>
    </row>
    <row r="379" spans="1:11">
      <c r="A379" s="2">
        <v>43912</v>
      </c>
      <c r="C379" s="47" t="s">
        <v>56</v>
      </c>
      <c r="E379" s="47">
        <v>202</v>
      </c>
      <c r="F379" s="47">
        <v>32</v>
      </c>
      <c r="G379" s="47">
        <v>8</v>
      </c>
      <c r="J379" s="47">
        <v>3</v>
      </c>
      <c r="K379" s="47" t="s">
        <v>640</v>
      </c>
    </row>
    <row r="380" spans="1:11">
      <c r="A380" s="2">
        <v>43912</v>
      </c>
      <c r="C380" s="47" t="s">
        <v>58</v>
      </c>
      <c r="D380" s="47">
        <v>7244</v>
      </c>
      <c r="E380" s="47">
        <v>1391</v>
      </c>
      <c r="F380" s="47">
        <v>179</v>
      </c>
      <c r="G380" s="47">
        <v>36</v>
      </c>
      <c r="H380" s="47">
        <v>36</v>
      </c>
      <c r="J380" s="47">
        <v>10</v>
      </c>
      <c r="K380" s="47" t="s">
        <v>60</v>
      </c>
    </row>
    <row r="381" spans="1:11">
      <c r="A381" s="2">
        <v>43912</v>
      </c>
      <c r="C381" s="47" t="s">
        <v>61</v>
      </c>
      <c r="E381" s="47">
        <v>29</v>
      </c>
      <c r="F381" s="47">
        <v>0</v>
      </c>
      <c r="J381" s="47">
        <v>0</v>
      </c>
      <c r="K381" s="47" t="s">
        <v>427</v>
      </c>
    </row>
    <row r="382" spans="1:11">
      <c r="A382" s="2">
        <v>43912</v>
      </c>
      <c r="C382" s="47" t="s">
        <v>63</v>
      </c>
      <c r="E382" s="47">
        <v>284</v>
      </c>
      <c r="F382" s="47">
        <v>27</v>
      </c>
      <c r="J382" s="47">
        <v>4</v>
      </c>
      <c r="K382" s="47" t="s">
        <v>65</v>
      </c>
    </row>
    <row r="383" spans="1:11">
      <c r="A383" s="2">
        <v>43912</v>
      </c>
      <c r="C383" s="47" t="s">
        <v>66</v>
      </c>
      <c r="E383" s="47">
        <v>61</v>
      </c>
      <c r="F383" s="47">
        <v>18</v>
      </c>
      <c r="G383" s="47">
        <v>2</v>
      </c>
      <c r="J383" s="47">
        <v>0</v>
      </c>
      <c r="K383" s="47" t="s">
        <v>433</v>
      </c>
    </row>
    <row r="384" spans="1:11">
      <c r="A384" s="2">
        <v>43912</v>
      </c>
      <c r="C384" s="47" t="s">
        <v>71</v>
      </c>
      <c r="E384" s="47">
        <v>216</v>
      </c>
      <c r="F384" s="47">
        <v>28</v>
      </c>
      <c r="J384" s="47">
        <v>4</v>
      </c>
      <c r="K384" s="47" t="s">
        <v>377</v>
      </c>
    </row>
    <row r="385" spans="1:11">
      <c r="A385" s="2">
        <v>43912</v>
      </c>
      <c r="C385" s="47" t="s">
        <v>73</v>
      </c>
      <c r="E385" s="47">
        <v>36</v>
      </c>
      <c r="F385" s="47">
        <v>5</v>
      </c>
      <c r="K385" s="47" t="s">
        <v>357</v>
      </c>
    </row>
    <row r="386" spans="1:11">
      <c r="A386" s="2">
        <v>43912</v>
      </c>
      <c r="C386" s="47" t="s">
        <v>81</v>
      </c>
      <c r="E386" s="47">
        <v>30</v>
      </c>
      <c r="J386" s="47">
        <v>0</v>
      </c>
      <c r="K386" s="47" t="s">
        <v>606</v>
      </c>
    </row>
    <row r="387" spans="1:11">
      <c r="A387" s="2">
        <v>43912</v>
      </c>
      <c r="C387" s="47" t="s">
        <v>88</v>
      </c>
      <c r="E387" s="47">
        <v>76</v>
      </c>
      <c r="K387" s="47" t="s">
        <v>90</v>
      </c>
    </row>
    <row r="388" spans="1:11">
      <c r="A388" s="2">
        <v>43912</v>
      </c>
      <c r="C388" s="47" t="s">
        <v>97</v>
      </c>
      <c r="E388" s="47">
        <v>1977</v>
      </c>
      <c r="F388" s="47">
        <v>230</v>
      </c>
      <c r="G388" s="47">
        <v>30</v>
      </c>
      <c r="J388" s="47">
        <v>24</v>
      </c>
      <c r="K388" s="47" t="s">
        <v>99</v>
      </c>
    </row>
    <row r="389" spans="1:11">
      <c r="A389" s="2">
        <v>43912</v>
      </c>
      <c r="C389" s="47" t="s">
        <v>100</v>
      </c>
      <c r="E389" s="47">
        <v>535</v>
      </c>
      <c r="F389" s="47">
        <v>92</v>
      </c>
      <c r="G389" s="47">
        <v>11</v>
      </c>
      <c r="H389" s="47">
        <v>7</v>
      </c>
      <c r="J389" s="47">
        <v>11</v>
      </c>
      <c r="K389" s="47" t="s">
        <v>419</v>
      </c>
    </row>
    <row r="390" spans="1:11">
      <c r="A390" s="2">
        <v>43912</v>
      </c>
      <c r="B390" s="47">
        <v>0.33333333333333331</v>
      </c>
      <c r="C390" s="47" t="s">
        <v>91</v>
      </c>
      <c r="E390" s="47">
        <v>939</v>
      </c>
      <c r="F390" s="47">
        <v>246</v>
      </c>
      <c r="G390" s="47">
        <v>46</v>
      </c>
      <c r="H390" s="47">
        <v>43</v>
      </c>
      <c r="J390" s="47">
        <v>37</v>
      </c>
      <c r="K390" s="47" t="s">
        <v>237</v>
      </c>
    </row>
    <row r="391" spans="1:11">
      <c r="A391" s="2">
        <v>43912</v>
      </c>
      <c r="B391" s="47">
        <v>0.33333333333333331</v>
      </c>
      <c r="C391" s="47" t="s">
        <v>102</v>
      </c>
      <c r="E391" s="47">
        <v>53</v>
      </c>
      <c r="F391" s="47">
        <v>3</v>
      </c>
      <c r="G391" s="47">
        <v>0</v>
      </c>
      <c r="I391" s="47">
        <v>5</v>
      </c>
      <c r="J391" s="47">
        <v>0</v>
      </c>
      <c r="K391" s="47" t="s">
        <v>381</v>
      </c>
    </row>
    <row r="392" spans="1:11">
      <c r="A392" s="2">
        <v>43912</v>
      </c>
      <c r="B392" s="47">
        <v>0.4375</v>
      </c>
      <c r="C392" s="47" t="s">
        <v>50</v>
      </c>
      <c r="E392" s="47">
        <v>356</v>
      </c>
      <c r="F392" s="47">
        <v>50</v>
      </c>
      <c r="I392" s="47">
        <v>73</v>
      </c>
      <c r="J392" s="47">
        <v>5</v>
      </c>
      <c r="K392" s="47" t="s">
        <v>235</v>
      </c>
    </row>
    <row r="393" spans="1:11">
      <c r="A393" s="2">
        <v>43912</v>
      </c>
      <c r="B393" s="47">
        <v>0.45833333333333331</v>
      </c>
      <c r="C393" s="47" t="s">
        <v>68</v>
      </c>
      <c r="E393" s="47">
        <v>131</v>
      </c>
      <c r="J393" s="47">
        <v>1</v>
      </c>
      <c r="K393" s="47" t="s">
        <v>70</v>
      </c>
    </row>
    <row r="394" spans="1:11">
      <c r="A394" s="2">
        <v>43912</v>
      </c>
      <c r="B394" s="47">
        <v>0.5</v>
      </c>
      <c r="C394" s="47" t="s">
        <v>34</v>
      </c>
      <c r="E394" s="47">
        <v>232</v>
      </c>
      <c r="J394" s="47">
        <v>1</v>
      </c>
      <c r="K394" s="47" t="s">
        <v>233</v>
      </c>
    </row>
    <row r="395" spans="1:11">
      <c r="A395" s="2">
        <v>43912</v>
      </c>
      <c r="B395" s="47">
        <v>0.60416666666666663</v>
      </c>
      <c r="C395" s="47" t="s">
        <v>104</v>
      </c>
      <c r="E395" s="47">
        <v>712</v>
      </c>
      <c r="F395" s="47">
        <v>110</v>
      </c>
      <c r="H395" s="47">
        <v>22</v>
      </c>
      <c r="J395" s="47">
        <v>6</v>
      </c>
      <c r="K395" s="47" t="s">
        <v>106</v>
      </c>
    </row>
    <row r="396" spans="1:11">
      <c r="A396" s="2">
        <v>43913</v>
      </c>
      <c r="C396" s="47" t="s">
        <v>44</v>
      </c>
      <c r="E396" s="47">
        <v>470</v>
      </c>
      <c r="J396" s="47">
        <v>5</v>
      </c>
      <c r="K396" s="47" t="s">
        <v>46</v>
      </c>
    </row>
    <row r="397" spans="1:11">
      <c r="A397" s="2">
        <v>43913</v>
      </c>
      <c r="C397" s="47" t="s">
        <v>47</v>
      </c>
      <c r="E397" s="47">
        <v>302</v>
      </c>
      <c r="F397" s="47">
        <v>51</v>
      </c>
      <c r="G397" s="47">
        <v>10</v>
      </c>
      <c r="I397" s="47">
        <v>35</v>
      </c>
      <c r="J397" s="47">
        <v>3</v>
      </c>
      <c r="K397" s="47" t="s">
        <v>239</v>
      </c>
    </row>
    <row r="398" spans="1:11">
      <c r="A398" s="2">
        <v>43913</v>
      </c>
      <c r="C398" s="47" t="s">
        <v>56</v>
      </c>
      <c r="E398" s="47">
        <v>226</v>
      </c>
      <c r="F398" s="47">
        <v>35</v>
      </c>
      <c r="G398" s="47">
        <v>7</v>
      </c>
      <c r="J398" s="47">
        <v>4</v>
      </c>
      <c r="K398" s="47" t="s">
        <v>640</v>
      </c>
    </row>
    <row r="399" spans="1:11">
      <c r="A399" s="2">
        <v>43913</v>
      </c>
      <c r="C399" s="47" t="s">
        <v>58</v>
      </c>
      <c r="D399" s="47">
        <v>7622</v>
      </c>
      <c r="E399" s="47">
        <v>1536</v>
      </c>
      <c r="F399" s="47">
        <v>214</v>
      </c>
      <c r="G399" s="47">
        <v>43</v>
      </c>
      <c r="H399" s="47">
        <v>41</v>
      </c>
      <c r="J399" s="47">
        <v>16</v>
      </c>
      <c r="K399" s="47" t="s">
        <v>60</v>
      </c>
    </row>
    <row r="400" spans="1:11">
      <c r="A400" s="2">
        <v>43913</v>
      </c>
      <c r="C400" s="47" t="s">
        <v>61</v>
      </c>
      <c r="E400" s="47">
        <v>31</v>
      </c>
      <c r="F400" s="47">
        <v>3</v>
      </c>
      <c r="J400" s="47">
        <v>0</v>
      </c>
      <c r="K400" s="47" t="s">
        <v>427</v>
      </c>
    </row>
    <row r="401" spans="1:11">
      <c r="A401" s="2">
        <v>43913</v>
      </c>
      <c r="C401" s="47" t="s">
        <v>63</v>
      </c>
      <c r="E401" s="47">
        <v>300</v>
      </c>
      <c r="F401" s="47">
        <v>29</v>
      </c>
      <c r="J401" s="47">
        <v>5</v>
      </c>
      <c r="K401" s="47" t="s">
        <v>65</v>
      </c>
    </row>
    <row r="402" spans="1:11">
      <c r="A402" s="2">
        <v>43913</v>
      </c>
      <c r="C402" s="47" t="s">
        <v>66</v>
      </c>
      <c r="E402" s="47">
        <v>69</v>
      </c>
      <c r="F402" s="47">
        <v>18</v>
      </c>
      <c r="G402" s="47">
        <v>3</v>
      </c>
      <c r="J402" s="47">
        <v>0</v>
      </c>
      <c r="K402" s="47" t="s">
        <v>433</v>
      </c>
    </row>
    <row r="403" spans="1:11">
      <c r="A403" s="2">
        <v>43913</v>
      </c>
      <c r="C403" s="47" t="s">
        <v>71</v>
      </c>
      <c r="E403" s="47">
        <v>247</v>
      </c>
      <c r="F403" s="47">
        <v>33</v>
      </c>
      <c r="G403" s="47">
        <v>11</v>
      </c>
      <c r="H403" s="47">
        <v>6</v>
      </c>
      <c r="J403" s="47">
        <v>5</v>
      </c>
      <c r="K403" s="47" t="s">
        <v>377</v>
      </c>
    </row>
    <row r="404" spans="1:11">
      <c r="A404" s="2">
        <v>43913</v>
      </c>
      <c r="C404" s="47" t="s">
        <v>73</v>
      </c>
      <c r="E404" s="47">
        <v>39</v>
      </c>
      <c r="F404" s="47">
        <v>5</v>
      </c>
      <c r="K404" s="47" t="s">
        <v>357</v>
      </c>
    </row>
    <row r="405" spans="1:11">
      <c r="A405" s="2">
        <v>43913</v>
      </c>
      <c r="C405" s="47" t="s">
        <v>75</v>
      </c>
      <c r="E405" s="47">
        <v>25</v>
      </c>
      <c r="K405" s="47" t="s">
        <v>77</v>
      </c>
    </row>
    <row r="406" spans="1:11">
      <c r="A406" s="2">
        <v>43913</v>
      </c>
      <c r="C406" s="47" t="s">
        <v>78</v>
      </c>
      <c r="E406" s="47">
        <v>185</v>
      </c>
      <c r="J406" s="47">
        <v>1</v>
      </c>
      <c r="K406" s="47" t="s">
        <v>80</v>
      </c>
    </row>
    <row r="407" spans="1:11">
      <c r="A407" s="2">
        <v>43913</v>
      </c>
      <c r="C407" s="47" t="s">
        <v>81</v>
      </c>
      <c r="E407" s="47">
        <v>32</v>
      </c>
      <c r="J407" s="47">
        <v>0</v>
      </c>
      <c r="K407" s="47" t="s">
        <v>606</v>
      </c>
    </row>
    <row r="408" spans="1:11">
      <c r="A408" s="2">
        <v>43913</v>
      </c>
      <c r="C408" s="47" t="s">
        <v>88</v>
      </c>
      <c r="E408" s="47">
        <v>82</v>
      </c>
      <c r="K408" s="47" t="s">
        <v>90</v>
      </c>
    </row>
    <row r="409" spans="1:11">
      <c r="A409" s="2">
        <v>43913</v>
      </c>
      <c r="C409" s="47" t="s">
        <v>94</v>
      </c>
      <c r="E409" s="47">
        <v>22</v>
      </c>
      <c r="F409" s="47">
        <v>1</v>
      </c>
      <c r="I409" s="47">
        <v>1</v>
      </c>
      <c r="K409" s="47" t="s">
        <v>226</v>
      </c>
    </row>
    <row r="410" spans="1:11">
      <c r="A410" s="2">
        <v>43913</v>
      </c>
      <c r="C410" s="47" t="s">
        <v>97</v>
      </c>
      <c r="E410" s="47">
        <v>2283</v>
      </c>
      <c r="F410" s="47">
        <v>248</v>
      </c>
      <c r="G410" s="47">
        <v>39</v>
      </c>
      <c r="J410" s="47">
        <v>28</v>
      </c>
      <c r="K410" s="47" t="s">
        <v>99</v>
      </c>
    </row>
    <row r="411" spans="1:11">
      <c r="A411" s="2">
        <v>43913</v>
      </c>
      <c r="C411" s="47" t="s">
        <v>100</v>
      </c>
      <c r="E411" s="47">
        <v>628</v>
      </c>
      <c r="F411" s="47">
        <v>104</v>
      </c>
      <c r="G411" s="47">
        <v>12</v>
      </c>
      <c r="H411" s="47">
        <v>9</v>
      </c>
      <c r="J411" s="47">
        <v>13</v>
      </c>
      <c r="K411" s="47" t="s">
        <v>419</v>
      </c>
    </row>
    <row r="412" spans="1:11">
      <c r="A412" s="2">
        <v>43913</v>
      </c>
      <c r="B412" s="47">
        <v>0.33333333333333331</v>
      </c>
      <c r="C412" s="47" t="s">
        <v>91</v>
      </c>
      <c r="E412" s="47">
        <v>1165</v>
      </c>
      <c r="F412" s="47">
        <v>261</v>
      </c>
      <c r="G412" s="47">
        <v>45</v>
      </c>
      <c r="H412" s="47">
        <v>43</v>
      </c>
      <c r="J412" s="47">
        <v>48</v>
      </c>
      <c r="K412" s="47" t="s">
        <v>242</v>
      </c>
    </row>
    <row r="413" spans="1:11">
      <c r="A413" s="2">
        <v>43913</v>
      </c>
      <c r="B413" s="47">
        <v>0.33333333333333331</v>
      </c>
      <c r="C413" s="47" t="s">
        <v>102</v>
      </c>
      <c r="E413" s="47">
        <v>53</v>
      </c>
      <c r="F413" s="47">
        <v>3</v>
      </c>
      <c r="G413" s="47">
        <v>0</v>
      </c>
      <c r="I413" s="47">
        <v>5</v>
      </c>
      <c r="J413" s="47">
        <v>0</v>
      </c>
      <c r="K413" s="47" t="s">
        <v>381</v>
      </c>
    </row>
    <row r="414" spans="1:11">
      <c r="A414" s="2">
        <v>43913</v>
      </c>
      <c r="B414" s="47">
        <v>0.41666666666666669</v>
      </c>
      <c r="C414" s="47" t="s">
        <v>41</v>
      </c>
      <c r="E414" s="47">
        <v>30</v>
      </c>
      <c r="F414" s="47">
        <v>7</v>
      </c>
      <c r="J414" s="47">
        <v>1</v>
      </c>
      <c r="K414" s="47" t="s">
        <v>43</v>
      </c>
    </row>
    <row r="415" spans="1:11">
      <c r="A415" s="2">
        <v>43913</v>
      </c>
      <c r="B415" s="47">
        <v>0.41666666666666669</v>
      </c>
      <c r="C415" s="47" t="s">
        <v>50</v>
      </c>
      <c r="E415" s="47">
        <v>374</v>
      </c>
      <c r="F415" s="47">
        <v>56</v>
      </c>
      <c r="I415" s="47">
        <v>78</v>
      </c>
      <c r="J415" s="47">
        <v>5</v>
      </c>
      <c r="K415" s="47" t="s">
        <v>240</v>
      </c>
    </row>
    <row r="416" spans="1:11">
      <c r="A416" s="2">
        <v>43913</v>
      </c>
      <c r="B416" s="47">
        <v>0.45833333333333331</v>
      </c>
      <c r="C416" s="47" t="s">
        <v>68</v>
      </c>
      <c r="E416" s="47">
        <v>156</v>
      </c>
      <c r="J416" s="47">
        <v>1</v>
      </c>
      <c r="K416" s="47" t="s">
        <v>70</v>
      </c>
    </row>
    <row r="417" spans="1:11">
      <c r="A417" s="2">
        <v>43913</v>
      </c>
      <c r="B417" s="47">
        <v>0.5</v>
      </c>
      <c r="C417" s="47" t="s">
        <v>83</v>
      </c>
      <c r="E417" s="47">
        <v>95</v>
      </c>
      <c r="J417" s="47">
        <v>1</v>
      </c>
      <c r="K417" s="47" t="s">
        <v>85</v>
      </c>
    </row>
    <row r="418" spans="1:11">
      <c r="A418" s="2">
        <v>43913</v>
      </c>
      <c r="B418" s="47">
        <v>0.60416666666666663</v>
      </c>
      <c r="C418" s="47" t="s">
        <v>104</v>
      </c>
      <c r="E418" s="47">
        <v>1076</v>
      </c>
      <c r="F418" s="47">
        <v>127</v>
      </c>
      <c r="H418" s="47">
        <v>27</v>
      </c>
      <c r="J418" s="47">
        <v>6</v>
      </c>
      <c r="K418" s="47" t="s">
        <v>106</v>
      </c>
    </row>
    <row r="419" spans="1:11">
      <c r="A419" s="2">
        <v>43913</v>
      </c>
      <c r="B419" s="47">
        <v>0.625</v>
      </c>
      <c r="C419" s="47" t="s">
        <v>34</v>
      </c>
      <c r="E419" s="47">
        <v>241</v>
      </c>
      <c r="F419" s="47">
        <v>10</v>
      </c>
      <c r="G419" s="47">
        <v>3</v>
      </c>
      <c r="H419" s="47">
        <v>2</v>
      </c>
      <c r="J419" s="47">
        <v>1</v>
      </c>
      <c r="K419" s="47" t="s">
        <v>238</v>
      </c>
    </row>
    <row r="420" spans="1:11">
      <c r="A420" s="2">
        <v>43913</v>
      </c>
      <c r="B420" s="47">
        <v>0.75</v>
      </c>
      <c r="C420" s="47" t="s">
        <v>53</v>
      </c>
      <c r="E420" s="47">
        <v>51</v>
      </c>
      <c r="K420" s="47" t="s">
        <v>241</v>
      </c>
    </row>
    <row r="421" spans="1:11">
      <c r="A421" s="2">
        <v>43914</v>
      </c>
      <c r="C421" s="47" t="s">
        <v>44</v>
      </c>
      <c r="E421" s="47">
        <v>532</v>
      </c>
      <c r="J421" s="47">
        <v>6</v>
      </c>
      <c r="K421" s="47" t="s">
        <v>46</v>
      </c>
    </row>
    <row r="422" spans="1:11">
      <c r="A422" s="2">
        <v>43914</v>
      </c>
      <c r="C422" s="47" t="s">
        <v>47</v>
      </c>
      <c r="E422" s="47">
        <v>306</v>
      </c>
      <c r="F422" s="47">
        <v>66</v>
      </c>
      <c r="G422" s="47">
        <v>11</v>
      </c>
      <c r="I422" s="47">
        <v>40</v>
      </c>
      <c r="J422" s="47">
        <v>4</v>
      </c>
      <c r="K422" s="47" t="s">
        <v>49</v>
      </c>
    </row>
    <row r="423" spans="1:11">
      <c r="A423" s="2">
        <v>43914</v>
      </c>
      <c r="C423" s="47" t="s">
        <v>53</v>
      </c>
      <c r="E423" s="47">
        <v>51</v>
      </c>
      <c r="K423" s="47" t="s">
        <v>245</v>
      </c>
    </row>
    <row r="424" spans="1:11">
      <c r="A424" s="2">
        <v>43914</v>
      </c>
      <c r="C424" s="47" t="s">
        <v>56</v>
      </c>
      <c r="E424" s="47">
        <v>255</v>
      </c>
      <c r="F424" s="47">
        <v>35</v>
      </c>
      <c r="G424" s="47">
        <v>7</v>
      </c>
      <c r="J424" s="47">
        <v>5</v>
      </c>
      <c r="K424" s="47" t="s">
        <v>640</v>
      </c>
    </row>
    <row r="425" spans="1:11">
      <c r="A425" s="2">
        <v>43914</v>
      </c>
      <c r="C425" s="47" t="s">
        <v>58</v>
      </c>
      <c r="D425" s="47">
        <v>7965</v>
      </c>
      <c r="E425" s="47">
        <v>1636</v>
      </c>
      <c r="F425" s="47">
        <v>238</v>
      </c>
      <c r="G425" s="47">
        <v>41</v>
      </c>
      <c r="H425" s="47">
        <v>41</v>
      </c>
      <c r="I425" s="47">
        <v>103</v>
      </c>
      <c r="J425" s="47">
        <v>17</v>
      </c>
      <c r="K425" s="47" t="s">
        <v>60</v>
      </c>
    </row>
    <row r="426" spans="1:11">
      <c r="A426" s="2">
        <v>43914</v>
      </c>
      <c r="C426" s="47" t="s">
        <v>61</v>
      </c>
      <c r="E426" s="47">
        <v>33</v>
      </c>
      <c r="F426" s="47">
        <v>3</v>
      </c>
      <c r="J426" s="47">
        <v>0</v>
      </c>
      <c r="K426" s="47" t="s">
        <v>427</v>
      </c>
    </row>
    <row r="427" spans="1:11">
      <c r="A427" s="2">
        <v>43914</v>
      </c>
      <c r="C427" s="47" t="s">
        <v>63</v>
      </c>
      <c r="E427" s="47">
        <v>343</v>
      </c>
      <c r="F427" s="47">
        <v>43</v>
      </c>
      <c r="J427" s="47">
        <v>6</v>
      </c>
      <c r="K427" s="47" t="s">
        <v>65</v>
      </c>
    </row>
    <row r="428" spans="1:11">
      <c r="A428" s="2">
        <v>43914</v>
      </c>
      <c r="C428" s="47" t="s">
        <v>66</v>
      </c>
      <c r="E428" s="47">
        <v>82</v>
      </c>
      <c r="F428" s="47">
        <v>22</v>
      </c>
      <c r="G428" s="47">
        <v>4</v>
      </c>
      <c r="J428" s="47">
        <v>0</v>
      </c>
      <c r="K428" s="47" t="s">
        <v>433</v>
      </c>
    </row>
    <row r="429" spans="1:11">
      <c r="A429" s="2">
        <v>43914</v>
      </c>
      <c r="C429" s="47" t="s">
        <v>71</v>
      </c>
      <c r="E429" s="47">
        <v>265</v>
      </c>
      <c r="F429" s="47">
        <v>32</v>
      </c>
      <c r="G429" s="47">
        <v>8</v>
      </c>
      <c r="H429" s="47">
        <v>6</v>
      </c>
      <c r="J429" s="47">
        <v>6</v>
      </c>
      <c r="K429" s="47" t="s">
        <v>377</v>
      </c>
    </row>
    <row r="430" spans="1:11">
      <c r="A430" s="2">
        <v>43914</v>
      </c>
      <c r="C430" s="47" t="s">
        <v>73</v>
      </c>
      <c r="E430" s="47">
        <v>42</v>
      </c>
      <c r="F430" s="47">
        <v>4</v>
      </c>
      <c r="K430" s="47" t="s">
        <v>357</v>
      </c>
    </row>
    <row r="431" spans="1:11">
      <c r="A431" s="2">
        <v>43914</v>
      </c>
      <c r="C431" s="47" t="s">
        <v>75</v>
      </c>
      <c r="E431" s="47">
        <v>25</v>
      </c>
      <c r="K431" s="47" t="s">
        <v>77</v>
      </c>
    </row>
    <row r="432" spans="1:11">
      <c r="A432" s="2">
        <v>43914</v>
      </c>
      <c r="C432" s="47" t="s">
        <v>78</v>
      </c>
      <c r="E432" s="47">
        <v>200</v>
      </c>
      <c r="J432" s="47">
        <v>1</v>
      </c>
      <c r="K432" s="47" t="s">
        <v>80</v>
      </c>
    </row>
    <row r="433" spans="1:11">
      <c r="A433" s="2">
        <v>43914</v>
      </c>
      <c r="C433" s="47" t="s">
        <v>81</v>
      </c>
      <c r="E433" s="47">
        <v>34</v>
      </c>
      <c r="J433" s="47">
        <v>0</v>
      </c>
      <c r="K433" s="47" t="s">
        <v>606</v>
      </c>
    </row>
    <row r="434" spans="1:11">
      <c r="A434" s="2">
        <v>43914</v>
      </c>
      <c r="C434" s="47" t="s">
        <v>86</v>
      </c>
      <c r="E434" s="47">
        <v>97</v>
      </c>
      <c r="I434" s="47">
        <v>10</v>
      </c>
      <c r="J434" s="47">
        <v>0</v>
      </c>
      <c r="K434" s="47" t="s">
        <v>607</v>
      </c>
    </row>
    <row r="435" spans="1:11">
      <c r="A435" s="2">
        <v>43914</v>
      </c>
      <c r="C435" s="47" t="s">
        <v>88</v>
      </c>
      <c r="E435" s="47">
        <v>88</v>
      </c>
      <c r="J435" s="47">
        <v>1</v>
      </c>
      <c r="K435" s="47" t="s">
        <v>246</v>
      </c>
    </row>
    <row r="436" spans="1:11">
      <c r="A436" s="2">
        <v>43914</v>
      </c>
      <c r="C436" s="47" t="s">
        <v>97</v>
      </c>
      <c r="E436" s="47">
        <v>2548</v>
      </c>
      <c r="F436" s="47">
        <v>284</v>
      </c>
      <c r="G436" s="47">
        <v>40</v>
      </c>
      <c r="J436" s="47">
        <v>32</v>
      </c>
      <c r="K436" s="47" t="s">
        <v>99</v>
      </c>
    </row>
    <row r="437" spans="1:11">
      <c r="A437" s="2">
        <v>43914</v>
      </c>
      <c r="C437" s="47" t="s">
        <v>100</v>
      </c>
      <c r="E437" s="47">
        <v>728</v>
      </c>
      <c r="F437" s="47">
        <v>117</v>
      </c>
      <c r="G437" s="47">
        <v>13</v>
      </c>
      <c r="H437" s="47">
        <v>12</v>
      </c>
      <c r="J437" s="47">
        <v>14</v>
      </c>
      <c r="K437" s="47" t="s">
        <v>419</v>
      </c>
    </row>
    <row r="438" spans="1:11">
      <c r="A438" s="2">
        <v>43914</v>
      </c>
      <c r="B438" s="47">
        <v>0</v>
      </c>
      <c r="C438" s="47" t="s">
        <v>83</v>
      </c>
      <c r="E438" s="47">
        <v>104</v>
      </c>
      <c r="J438" s="47">
        <v>1</v>
      </c>
      <c r="K438" s="47" t="s">
        <v>85</v>
      </c>
    </row>
    <row r="439" spans="1:11">
      <c r="A439" s="2">
        <v>43914</v>
      </c>
      <c r="B439" s="47">
        <v>0.33333333333333331</v>
      </c>
      <c r="C439" s="47" t="s">
        <v>91</v>
      </c>
      <c r="E439" s="47">
        <v>1211</v>
      </c>
      <c r="F439" s="47">
        <v>285</v>
      </c>
      <c r="G439" s="47">
        <v>50</v>
      </c>
      <c r="H439" s="47">
        <v>48</v>
      </c>
      <c r="J439" s="47">
        <v>53</v>
      </c>
      <c r="K439" s="47" t="s">
        <v>247</v>
      </c>
    </row>
    <row r="440" spans="1:11">
      <c r="A440" s="2">
        <v>43914</v>
      </c>
      <c r="B440" s="47">
        <v>0.33333333333333331</v>
      </c>
      <c r="C440" s="47" t="s">
        <v>102</v>
      </c>
      <c r="E440" s="47">
        <v>72</v>
      </c>
      <c r="F440" s="47">
        <v>6</v>
      </c>
      <c r="G440" s="47">
        <v>0</v>
      </c>
      <c r="I440" s="47">
        <v>12</v>
      </c>
      <c r="J440" s="47">
        <v>0</v>
      </c>
      <c r="K440" s="47" t="s">
        <v>381</v>
      </c>
    </row>
    <row r="441" spans="1:11">
      <c r="A441" s="2">
        <v>43914</v>
      </c>
      <c r="B441" s="47">
        <v>0.375</v>
      </c>
      <c r="C441" s="47" t="s">
        <v>50</v>
      </c>
      <c r="E441" s="47">
        <v>410</v>
      </c>
      <c r="F441" s="47">
        <v>58</v>
      </c>
      <c r="I441" s="47">
        <v>105</v>
      </c>
      <c r="J441" s="47">
        <v>5</v>
      </c>
      <c r="K441" s="47" t="s">
        <v>244</v>
      </c>
    </row>
    <row r="442" spans="1:11">
      <c r="A442" s="2">
        <v>43914</v>
      </c>
      <c r="B442" s="47">
        <v>0.41666666666666669</v>
      </c>
      <c r="C442" s="47" t="s">
        <v>41</v>
      </c>
      <c r="E442" s="47">
        <v>33</v>
      </c>
      <c r="F442" s="47">
        <v>6</v>
      </c>
      <c r="J442" s="47">
        <v>2</v>
      </c>
      <c r="K442" s="47" t="s">
        <v>43</v>
      </c>
    </row>
    <row r="443" spans="1:11">
      <c r="A443" s="2">
        <v>43914</v>
      </c>
      <c r="B443" s="47">
        <v>0.45833333333333331</v>
      </c>
      <c r="C443" s="47" t="s">
        <v>68</v>
      </c>
      <c r="E443" s="47">
        <v>205</v>
      </c>
      <c r="J443" s="47">
        <v>2</v>
      </c>
      <c r="K443" s="47" t="s">
        <v>70</v>
      </c>
    </row>
    <row r="444" spans="1:11">
      <c r="A444" s="2">
        <v>43914</v>
      </c>
      <c r="B444" s="47">
        <v>0.5</v>
      </c>
      <c r="C444" s="47" t="s">
        <v>94</v>
      </c>
      <c r="E444" s="47">
        <v>25</v>
      </c>
      <c r="F444" s="47">
        <v>1</v>
      </c>
      <c r="I444" s="47">
        <v>1</v>
      </c>
      <c r="K444" s="47" t="s">
        <v>226</v>
      </c>
    </row>
    <row r="445" spans="1:11">
      <c r="A445" s="2">
        <v>43914</v>
      </c>
      <c r="B445" s="47">
        <v>0.60416666666666663</v>
      </c>
      <c r="C445" s="47" t="s">
        <v>104</v>
      </c>
      <c r="E445" s="47">
        <v>1224</v>
      </c>
      <c r="F445" s="47">
        <v>138</v>
      </c>
      <c r="H445" s="47">
        <v>26</v>
      </c>
      <c r="J445" s="47">
        <v>8</v>
      </c>
      <c r="K445" s="47" t="s">
        <v>106</v>
      </c>
    </row>
    <row r="446" spans="1:11">
      <c r="A446" s="2">
        <v>43914</v>
      </c>
      <c r="B446" s="47">
        <v>0.625</v>
      </c>
      <c r="C446" s="47" t="s">
        <v>34</v>
      </c>
      <c r="E446" s="47">
        <v>266</v>
      </c>
      <c r="F446" s="47">
        <v>24</v>
      </c>
      <c r="G446" s="47">
        <v>2</v>
      </c>
      <c r="H446" s="47">
        <v>2</v>
      </c>
      <c r="J446" s="47">
        <v>2</v>
      </c>
      <c r="K446" s="47" t="s">
        <v>243</v>
      </c>
    </row>
    <row r="447" spans="1:11">
      <c r="A447" s="2">
        <v>43914</v>
      </c>
      <c r="B447" s="47">
        <v>0.70833333333333337</v>
      </c>
      <c r="C447" s="47" t="s">
        <v>38</v>
      </c>
      <c r="E447" s="47">
        <v>8</v>
      </c>
      <c r="K447" s="47" t="s">
        <v>40</v>
      </c>
    </row>
    <row r="448" spans="1:11">
      <c r="A448" s="2">
        <v>43915</v>
      </c>
      <c r="C448" s="47" t="s">
        <v>44</v>
      </c>
      <c r="E448" s="47">
        <v>624</v>
      </c>
      <c r="J448" s="47">
        <v>6</v>
      </c>
      <c r="K448" s="47" t="s">
        <v>46</v>
      </c>
    </row>
    <row r="449" spans="1:11">
      <c r="A449" s="2">
        <v>43915</v>
      </c>
      <c r="C449" s="47" t="s">
        <v>47</v>
      </c>
      <c r="E449" s="47">
        <v>341</v>
      </c>
      <c r="F449" s="47">
        <v>68</v>
      </c>
      <c r="G449" s="47">
        <v>8</v>
      </c>
      <c r="I449" s="47">
        <v>46</v>
      </c>
      <c r="J449" s="47">
        <v>5</v>
      </c>
      <c r="K449" s="47" t="s">
        <v>49</v>
      </c>
    </row>
    <row r="450" spans="1:11">
      <c r="A450" s="2">
        <v>43915</v>
      </c>
      <c r="C450" s="47" t="s">
        <v>53</v>
      </c>
      <c r="E450" s="47">
        <v>53</v>
      </c>
      <c r="K450" s="47" t="s">
        <v>250</v>
      </c>
    </row>
    <row r="451" spans="1:11">
      <c r="A451" s="2">
        <v>43915</v>
      </c>
      <c r="C451" s="47" t="s">
        <v>56</v>
      </c>
      <c r="E451" s="47">
        <v>293</v>
      </c>
      <c r="F451" s="47">
        <v>39</v>
      </c>
      <c r="G451" s="47">
        <v>7</v>
      </c>
      <c r="J451" s="47">
        <v>6</v>
      </c>
      <c r="K451" s="47" t="s">
        <v>640</v>
      </c>
    </row>
    <row r="452" spans="1:11">
      <c r="A452" s="2">
        <v>43915</v>
      </c>
      <c r="C452" s="47" t="s">
        <v>58</v>
      </c>
      <c r="D452" s="47">
        <v>8370</v>
      </c>
      <c r="E452" s="47">
        <v>1757</v>
      </c>
      <c r="F452" s="47">
        <v>258</v>
      </c>
      <c r="G452" s="47">
        <v>50</v>
      </c>
      <c r="H452" s="47">
        <v>48</v>
      </c>
      <c r="I452" s="47">
        <v>122</v>
      </c>
      <c r="J452" s="47">
        <v>24</v>
      </c>
      <c r="K452" s="47" t="s">
        <v>60</v>
      </c>
    </row>
    <row r="453" spans="1:11">
      <c r="A453" s="2">
        <v>43915</v>
      </c>
      <c r="C453" s="47" t="s">
        <v>61</v>
      </c>
      <c r="E453" s="47">
        <v>40</v>
      </c>
      <c r="F453" s="47">
        <v>2</v>
      </c>
      <c r="J453" s="47">
        <v>0</v>
      </c>
      <c r="K453" s="47" t="s">
        <v>427</v>
      </c>
    </row>
    <row r="454" spans="1:11">
      <c r="A454" s="2">
        <v>43915</v>
      </c>
      <c r="C454" s="47" t="s">
        <v>63</v>
      </c>
      <c r="E454" s="47">
        <v>393</v>
      </c>
      <c r="F454" s="47">
        <v>45</v>
      </c>
      <c r="J454" s="47">
        <v>8</v>
      </c>
      <c r="K454" s="47" t="s">
        <v>65</v>
      </c>
    </row>
    <row r="455" spans="1:11">
      <c r="A455" s="2">
        <v>43915</v>
      </c>
      <c r="C455" s="47" t="s">
        <v>66</v>
      </c>
      <c r="E455" s="47">
        <v>92</v>
      </c>
      <c r="F455" s="47">
        <v>23</v>
      </c>
      <c r="G455" s="47">
        <v>4</v>
      </c>
      <c r="J455" s="47">
        <v>0</v>
      </c>
      <c r="K455" s="47" t="s">
        <v>433</v>
      </c>
    </row>
    <row r="456" spans="1:11">
      <c r="A456" s="2">
        <v>43915</v>
      </c>
      <c r="C456" s="47" t="s">
        <v>71</v>
      </c>
      <c r="E456" s="47">
        <v>280</v>
      </c>
      <c r="F456" s="47">
        <v>41</v>
      </c>
      <c r="G456" s="47">
        <v>10</v>
      </c>
      <c r="H456" s="47">
        <v>7</v>
      </c>
      <c r="J456" s="47">
        <v>9</v>
      </c>
      <c r="K456" s="47" t="s">
        <v>377</v>
      </c>
    </row>
    <row r="457" spans="1:11">
      <c r="A457" s="2">
        <v>43915</v>
      </c>
      <c r="C457" s="47" t="s">
        <v>73</v>
      </c>
      <c r="E457" s="47">
        <v>44</v>
      </c>
      <c r="F457" s="47">
        <v>3</v>
      </c>
      <c r="K457" s="47" t="s">
        <v>357</v>
      </c>
    </row>
    <row r="458" spans="1:11">
      <c r="A458" s="2">
        <v>43915</v>
      </c>
      <c r="C458" s="47" t="s">
        <v>75</v>
      </c>
      <c r="E458" s="47">
        <v>27</v>
      </c>
      <c r="K458" s="47" t="s">
        <v>77</v>
      </c>
    </row>
    <row r="459" spans="1:11">
      <c r="A459" s="2">
        <v>43915</v>
      </c>
      <c r="C459" s="47" t="s">
        <v>78</v>
      </c>
      <c r="E459" s="47">
        <v>228</v>
      </c>
      <c r="J459" s="47">
        <v>1</v>
      </c>
      <c r="K459" s="47" t="s">
        <v>80</v>
      </c>
    </row>
    <row r="460" spans="1:11">
      <c r="A460" s="2">
        <v>43915</v>
      </c>
      <c r="C460" s="47" t="s">
        <v>81</v>
      </c>
      <c r="E460" s="47">
        <v>35</v>
      </c>
      <c r="F460" s="47">
        <v>10</v>
      </c>
      <c r="G460" s="47">
        <v>1</v>
      </c>
      <c r="J460" s="47">
        <v>0</v>
      </c>
      <c r="K460" s="47" t="s">
        <v>606</v>
      </c>
    </row>
    <row r="461" spans="1:11">
      <c r="A461" s="2">
        <v>43915</v>
      </c>
      <c r="C461" s="47" t="s">
        <v>86</v>
      </c>
      <c r="I461" s="47">
        <v>10</v>
      </c>
      <c r="J461" s="47">
        <v>0</v>
      </c>
      <c r="K461" s="47" t="s">
        <v>607</v>
      </c>
    </row>
    <row r="462" spans="1:11">
      <c r="A462" s="2">
        <v>43915</v>
      </c>
      <c r="C462" s="47" t="s">
        <v>88</v>
      </c>
      <c r="E462" s="47">
        <v>97</v>
      </c>
      <c r="J462" s="47">
        <v>1</v>
      </c>
      <c r="K462" s="47" t="s">
        <v>90</v>
      </c>
    </row>
    <row r="463" spans="1:11">
      <c r="A463" s="2">
        <v>43915</v>
      </c>
      <c r="C463" s="47" t="s">
        <v>97</v>
      </c>
      <c r="E463" s="47">
        <v>2740</v>
      </c>
      <c r="F463" s="47">
        <v>311</v>
      </c>
      <c r="G463" s="47">
        <v>51</v>
      </c>
      <c r="J463" s="47">
        <v>40</v>
      </c>
      <c r="K463" s="47" t="s">
        <v>99</v>
      </c>
    </row>
    <row r="464" spans="1:11">
      <c r="A464" s="2">
        <v>43915</v>
      </c>
      <c r="C464" s="47" t="s">
        <v>100</v>
      </c>
      <c r="E464" s="47">
        <v>793</v>
      </c>
      <c r="F464" s="47">
        <v>118</v>
      </c>
      <c r="G464" s="47">
        <v>15</v>
      </c>
      <c r="H464" s="47">
        <v>14</v>
      </c>
      <c r="J464" s="47">
        <v>15</v>
      </c>
      <c r="K464" s="47" t="s">
        <v>419</v>
      </c>
    </row>
    <row r="465" spans="1:11">
      <c r="A465" s="2">
        <v>43915</v>
      </c>
      <c r="B465" s="47">
        <v>0</v>
      </c>
      <c r="C465" s="47" t="s">
        <v>83</v>
      </c>
      <c r="E465" s="47">
        <v>129</v>
      </c>
      <c r="J465" s="47">
        <v>1</v>
      </c>
      <c r="K465" s="47" t="s">
        <v>85</v>
      </c>
    </row>
    <row r="466" spans="1:11">
      <c r="A466" s="2">
        <v>43915</v>
      </c>
      <c r="B466" s="47">
        <v>0.33333333333333331</v>
      </c>
      <c r="C466" s="47" t="s">
        <v>41</v>
      </c>
      <c r="E466" s="47">
        <v>34</v>
      </c>
      <c r="J466" s="47">
        <v>2</v>
      </c>
      <c r="K466" s="47" t="s">
        <v>43</v>
      </c>
    </row>
    <row r="467" spans="1:11">
      <c r="A467" s="2">
        <v>43915</v>
      </c>
      <c r="B467" s="47">
        <v>0.33333333333333331</v>
      </c>
      <c r="C467" s="47" t="s">
        <v>91</v>
      </c>
      <c r="E467" s="47">
        <v>1354</v>
      </c>
      <c r="F467" s="47">
        <v>306</v>
      </c>
      <c r="G467" s="47">
        <v>57</v>
      </c>
      <c r="H467" s="47">
        <v>55</v>
      </c>
      <c r="J467" s="47">
        <v>60</v>
      </c>
      <c r="K467" s="47" t="s">
        <v>251</v>
      </c>
    </row>
    <row r="468" spans="1:11">
      <c r="A468" s="2">
        <v>43915</v>
      </c>
      <c r="B468" s="47">
        <v>0.33333333333333331</v>
      </c>
      <c r="C468" s="47" t="s">
        <v>102</v>
      </c>
      <c r="E468" s="47">
        <v>80</v>
      </c>
      <c r="F468" s="47">
        <v>9</v>
      </c>
      <c r="G468" s="47">
        <v>1</v>
      </c>
      <c r="I468" s="47">
        <v>18</v>
      </c>
      <c r="J468" s="47">
        <v>0</v>
      </c>
      <c r="K468" s="47" t="s">
        <v>381</v>
      </c>
    </row>
    <row r="469" spans="1:11">
      <c r="A469" s="2">
        <v>43915</v>
      </c>
      <c r="B469" s="47">
        <v>0.41666666666666669</v>
      </c>
      <c r="C469" s="47" t="s">
        <v>50</v>
      </c>
      <c r="E469" s="47">
        <v>462</v>
      </c>
      <c r="F469" s="47">
        <v>58</v>
      </c>
      <c r="I469" s="47">
        <v>128</v>
      </c>
      <c r="J469" s="47">
        <v>8</v>
      </c>
      <c r="K469" s="47" t="s">
        <v>249</v>
      </c>
    </row>
    <row r="470" spans="1:11">
      <c r="A470" s="2">
        <v>43915</v>
      </c>
      <c r="B470" s="47">
        <v>0.45833333333333331</v>
      </c>
      <c r="C470" s="47" t="s">
        <v>68</v>
      </c>
      <c r="E470" s="47">
        <v>228</v>
      </c>
      <c r="J470" s="47">
        <v>2</v>
      </c>
      <c r="K470" s="47" t="s">
        <v>70</v>
      </c>
    </row>
    <row r="471" spans="1:11">
      <c r="A471" s="2">
        <v>43915</v>
      </c>
      <c r="B471" s="47">
        <v>0.60416666666666663</v>
      </c>
      <c r="C471" s="47" t="s">
        <v>104</v>
      </c>
      <c r="E471" s="47">
        <v>1371</v>
      </c>
      <c r="F471" s="47">
        <v>146</v>
      </c>
      <c r="H471" s="47">
        <v>28</v>
      </c>
      <c r="J471" s="47">
        <v>10</v>
      </c>
      <c r="K471" s="47" t="s">
        <v>106</v>
      </c>
    </row>
    <row r="472" spans="1:11">
      <c r="A472" s="2">
        <v>43915</v>
      </c>
      <c r="B472" s="47">
        <v>0.625</v>
      </c>
      <c r="C472" s="47" t="s">
        <v>34</v>
      </c>
      <c r="E472" s="47">
        <v>319</v>
      </c>
      <c r="F472" s="47">
        <v>16</v>
      </c>
      <c r="G472" s="47">
        <v>5</v>
      </c>
      <c r="H472" s="47">
        <v>5</v>
      </c>
      <c r="J472" s="47">
        <v>2</v>
      </c>
      <c r="K472" s="47" t="s">
        <v>248</v>
      </c>
    </row>
    <row r="473" spans="1:11">
      <c r="A473" s="2">
        <v>43915</v>
      </c>
      <c r="B473" s="47">
        <v>0.70833333333333337</v>
      </c>
      <c r="C473" s="47" t="s">
        <v>38</v>
      </c>
      <c r="E473" s="47">
        <v>9</v>
      </c>
      <c r="K473" s="47" t="s">
        <v>40</v>
      </c>
    </row>
    <row r="474" spans="1:11">
      <c r="A474" s="2">
        <v>43916</v>
      </c>
      <c r="C474" s="47" t="s">
        <v>44</v>
      </c>
      <c r="E474" s="47">
        <v>660</v>
      </c>
      <c r="J474" s="47">
        <v>7</v>
      </c>
      <c r="K474" s="47" t="s">
        <v>46</v>
      </c>
    </row>
    <row r="475" spans="1:11">
      <c r="A475" s="2">
        <v>43916</v>
      </c>
      <c r="C475" s="47" t="s">
        <v>47</v>
      </c>
      <c r="E475" s="47">
        <v>422</v>
      </c>
      <c r="F475" s="47">
        <v>68</v>
      </c>
      <c r="G475" s="47">
        <v>9</v>
      </c>
      <c r="I475" s="47">
        <v>65</v>
      </c>
      <c r="J475" s="47">
        <v>5</v>
      </c>
      <c r="K475" s="47" t="s">
        <v>49</v>
      </c>
    </row>
    <row r="476" spans="1:11">
      <c r="A476" s="2">
        <v>43916</v>
      </c>
      <c r="C476" s="47" t="s">
        <v>53</v>
      </c>
      <c r="D476" s="47">
        <v>900</v>
      </c>
      <c r="E476" s="47">
        <v>56</v>
      </c>
      <c r="K476" s="47" t="s">
        <v>254</v>
      </c>
    </row>
    <row r="477" spans="1:11">
      <c r="A477" s="2">
        <v>43916</v>
      </c>
      <c r="C477" s="47" t="s">
        <v>56</v>
      </c>
      <c r="E477" s="47">
        <v>309</v>
      </c>
      <c r="F477" s="47">
        <v>44</v>
      </c>
      <c r="G477" s="47">
        <v>5</v>
      </c>
      <c r="J477" s="47">
        <v>11</v>
      </c>
      <c r="K477" s="47" t="s">
        <v>640</v>
      </c>
    </row>
    <row r="478" spans="1:11">
      <c r="A478" s="2">
        <v>43916</v>
      </c>
      <c r="C478" s="47" t="s">
        <v>58</v>
      </c>
      <c r="D478" s="47">
        <v>8876</v>
      </c>
      <c r="E478" s="47">
        <v>1979</v>
      </c>
      <c r="F478" s="47">
        <v>272</v>
      </c>
      <c r="G478" s="47">
        <v>52</v>
      </c>
      <c r="H478" s="47">
        <v>48</v>
      </c>
      <c r="I478" s="47">
        <v>144</v>
      </c>
      <c r="J478" s="47">
        <v>26</v>
      </c>
      <c r="K478" s="47" t="s">
        <v>60</v>
      </c>
    </row>
    <row r="479" spans="1:11">
      <c r="A479" s="2">
        <v>43916</v>
      </c>
      <c r="C479" s="47" t="s">
        <v>61</v>
      </c>
      <c r="E479" s="47">
        <v>43</v>
      </c>
      <c r="F479" s="47">
        <v>2</v>
      </c>
      <c r="J479" s="47">
        <v>0</v>
      </c>
      <c r="K479" s="47" t="s">
        <v>427</v>
      </c>
    </row>
    <row r="480" spans="1:11">
      <c r="A480" s="2">
        <v>43916</v>
      </c>
      <c r="C480" s="47" t="s">
        <v>63</v>
      </c>
      <c r="E480" s="47">
        <v>433</v>
      </c>
      <c r="F480" s="47">
        <v>52</v>
      </c>
      <c r="J480" s="47">
        <v>8</v>
      </c>
      <c r="K480" s="47" t="s">
        <v>65</v>
      </c>
    </row>
    <row r="481" spans="1:11">
      <c r="A481" s="2">
        <v>43916</v>
      </c>
      <c r="C481" s="47" t="s">
        <v>66</v>
      </c>
      <c r="E481" s="47">
        <v>100</v>
      </c>
      <c r="F481" s="47">
        <v>22</v>
      </c>
      <c r="G481" s="47">
        <v>4</v>
      </c>
      <c r="J481" s="47">
        <v>0</v>
      </c>
      <c r="K481" s="47" t="s">
        <v>433</v>
      </c>
    </row>
    <row r="482" spans="1:11">
      <c r="A482" s="2">
        <v>43916</v>
      </c>
      <c r="C482" s="47" t="s">
        <v>71</v>
      </c>
      <c r="E482" s="47">
        <v>299</v>
      </c>
      <c r="F482" s="47">
        <v>42</v>
      </c>
      <c r="G482" s="47">
        <v>9</v>
      </c>
      <c r="H482" s="47">
        <v>7</v>
      </c>
      <c r="J482" s="47">
        <v>12</v>
      </c>
      <c r="K482" s="47" t="s">
        <v>377</v>
      </c>
    </row>
    <row r="483" spans="1:11">
      <c r="A483" s="2">
        <v>43916</v>
      </c>
      <c r="C483" s="47" t="s">
        <v>73</v>
      </c>
      <c r="E483" s="47">
        <v>48</v>
      </c>
      <c r="F483" s="47">
        <v>2</v>
      </c>
      <c r="K483" s="47" t="s">
        <v>357</v>
      </c>
    </row>
    <row r="484" spans="1:11">
      <c r="A484" s="2">
        <v>43916</v>
      </c>
      <c r="C484" s="47" t="s">
        <v>75</v>
      </c>
      <c r="E484" s="47">
        <v>30</v>
      </c>
      <c r="K484" s="47" t="s">
        <v>77</v>
      </c>
    </row>
    <row r="485" spans="1:11">
      <c r="A485" s="2">
        <v>43916</v>
      </c>
      <c r="C485" s="47" t="s">
        <v>78</v>
      </c>
      <c r="E485" s="47">
        <v>280</v>
      </c>
      <c r="J485" s="47">
        <v>1</v>
      </c>
      <c r="K485" s="47" t="s">
        <v>80</v>
      </c>
    </row>
    <row r="486" spans="1:11">
      <c r="A486" s="2">
        <v>43916</v>
      </c>
      <c r="C486" s="47" t="s">
        <v>81</v>
      </c>
      <c r="E486" s="47">
        <v>36</v>
      </c>
      <c r="F486" s="47">
        <v>6</v>
      </c>
      <c r="G486" s="47">
        <v>1</v>
      </c>
      <c r="J486" s="47">
        <v>0</v>
      </c>
      <c r="K486" s="47" t="s">
        <v>606</v>
      </c>
    </row>
    <row r="487" spans="1:11">
      <c r="A487" s="2">
        <v>43916</v>
      </c>
      <c r="C487" s="47" t="s">
        <v>86</v>
      </c>
      <c r="E487" s="47">
        <v>107</v>
      </c>
      <c r="I487" s="47">
        <v>20</v>
      </c>
      <c r="J487" s="47">
        <v>0</v>
      </c>
      <c r="K487" s="47" t="s">
        <v>607</v>
      </c>
    </row>
    <row r="488" spans="1:11">
      <c r="A488" s="2">
        <v>43916</v>
      </c>
      <c r="C488" s="47" t="s">
        <v>88</v>
      </c>
      <c r="E488" s="47">
        <v>111</v>
      </c>
      <c r="J488" s="47">
        <v>1</v>
      </c>
      <c r="K488" s="47" t="s">
        <v>90</v>
      </c>
    </row>
    <row r="489" spans="1:11">
      <c r="A489" s="2">
        <v>43916</v>
      </c>
      <c r="C489" s="47" t="s">
        <v>94</v>
      </c>
      <c r="E489" s="47">
        <v>38</v>
      </c>
      <c r="F489" s="47">
        <v>4</v>
      </c>
      <c r="I489" s="47">
        <v>2</v>
      </c>
      <c r="K489" s="47" t="s">
        <v>226</v>
      </c>
    </row>
    <row r="490" spans="1:11">
      <c r="A490" s="2">
        <v>43916</v>
      </c>
      <c r="C490" s="47" t="s">
        <v>97</v>
      </c>
      <c r="E490" s="47">
        <v>2945</v>
      </c>
      <c r="F490" s="47">
        <v>322</v>
      </c>
      <c r="G490" s="47">
        <v>55</v>
      </c>
      <c r="J490" s="47">
        <v>57</v>
      </c>
      <c r="K490" s="47" t="s">
        <v>99</v>
      </c>
    </row>
    <row r="491" spans="1:11">
      <c r="A491" s="2">
        <v>43916</v>
      </c>
      <c r="C491" s="47" t="s">
        <v>100</v>
      </c>
      <c r="E491" s="47">
        <v>874</v>
      </c>
      <c r="F491" s="47">
        <v>128</v>
      </c>
      <c r="G491" s="47">
        <v>19</v>
      </c>
      <c r="H491" s="47">
        <v>17</v>
      </c>
      <c r="J491" s="47">
        <v>17</v>
      </c>
      <c r="K491" s="47" t="s">
        <v>419</v>
      </c>
    </row>
    <row r="492" spans="1:11">
      <c r="A492" s="2">
        <v>43916</v>
      </c>
      <c r="B492" s="47">
        <v>0</v>
      </c>
      <c r="C492" s="47" t="s">
        <v>83</v>
      </c>
      <c r="E492" s="47">
        <v>141</v>
      </c>
      <c r="J492" s="47">
        <v>1</v>
      </c>
      <c r="K492" s="47" t="s">
        <v>85</v>
      </c>
    </row>
    <row r="493" spans="1:11">
      <c r="A493" s="2">
        <v>43916</v>
      </c>
      <c r="B493" s="47">
        <v>0.33333333333333331</v>
      </c>
      <c r="C493" s="47" t="s">
        <v>91</v>
      </c>
      <c r="E493" s="47">
        <v>1401</v>
      </c>
      <c r="F493" s="47">
        <v>358</v>
      </c>
      <c r="G493" s="47">
        <v>60</v>
      </c>
      <c r="H493" s="47">
        <v>56</v>
      </c>
      <c r="J493" s="47">
        <v>67</v>
      </c>
      <c r="K493" s="47" t="s">
        <v>255</v>
      </c>
    </row>
    <row r="494" spans="1:11">
      <c r="A494" s="2">
        <v>43916</v>
      </c>
      <c r="B494" s="47">
        <v>0.33333333333333331</v>
      </c>
      <c r="C494" s="47" t="s">
        <v>102</v>
      </c>
      <c r="E494" s="47">
        <v>87</v>
      </c>
      <c r="F494" s="47">
        <v>10</v>
      </c>
      <c r="G494" s="47">
        <v>1</v>
      </c>
      <c r="I494" s="47">
        <v>18</v>
      </c>
      <c r="J494" s="47">
        <v>0</v>
      </c>
      <c r="K494" s="47" t="s">
        <v>381</v>
      </c>
    </row>
    <row r="495" spans="1:11">
      <c r="A495" s="2">
        <v>43916</v>
      </c>
      <c r="B495" s="47">
        <v>0.4375</v>
      </c>
      <c r="C495" s="47" t="s">
        <v>50</v>
      </c>
      <c r="E495" s="47">
        <v>501</v>
      </c>
      <c r="F495" s="47">
        <v>74</v>
      </c>
      <c r="G495" s="47">
        <v>8</v>
      </c>
      <c r="I495" s="47">
        <v>155</v>
      </c>
      <c r="J495" s="47">
        <v>12</v>
      </c>
      <c r="K495" s="47" t="s">
        <v>253</v>
      </c>
    </row>
    <row r="496" spans="1:11">
      <c r="A496" s="2">
        <v>43916</v>
      </c>
      <c r="B496" s="47">
        <v>0.45833333333333331</v>
      </c>
      <c r="C496" s="47" t="s">
        <v>68</v>
      </c>
      <c r="E496" s="47">
        <v>253</v>
      </c>
      <c r="J496" s="47">
        <v>3</v>
      </c>
      <c r="K496" s="47" t="s">
        <v>70</v>
      </c>
    </row>
    <row r="497" spans="1:11">
      <c r="A497" s="2">
        <v>43916</v>
      </c>
      <c r="B497" s="47">
        <v>0.60416666666666663</v>
      </c>
      <c r="C497" s="47" t="s">
        <v>104</v>
      </c>
      <c r="E497" s="47">
        <v>1503</v>
      </c>
      <c r="F497" s="47">
        <v>156</v>
      </c>
      <c r="H497" s="47">
        <v>35</v>
      </c>
      <c r="J497" s="47">
        <v>13</v>
      </c>
      <c r="K497" s="47" t="s">
        <v>106</v>
      </c>
    </row>
    <row r="498" spans="1:11">
      <c r="A498" s="2">
        <v>43916</v>
      </c>
      <c r="B498" s="47">
        <v>0.625</v>
      </c>
      <c r="C498" s="47" t="s">
        <v>34</v>
      </c>
      <c r="E498" s="47">
        <v>349</v>
      </c>
      <c r="F498" s="47">
        <v>38</v>
      </c>
      <c r="G498" s="47">
        <v>10</v>
      </c>
      <c r="H498" s="47">
        <v>9</v>
      </c>
      <c r="J498" s="47">
        <v>2</v>
      </c>
      <c r="K498" s="47" t="s">
        <v>252</v>
      </c>
    </row>
    <row r="499" spans="1:11">
      <c r="A499" s="2">
        <v>43916</v>
      </c>
      <c r="B499" s="47">
        <v>0.66666666666666663</v>
      </c>
      <c r="C499" s="47" t="s">
        <v>41</v>
      </c>
      <c r="E499" s="47">
        <v>42</v>
      </c>
      <c r="J499" s="47">
        <v>2</v>
      </c>
      <c r="K499" s="47" t="s">
        <v>43</v>
      </c>
    </row>
    <row r="500" spans="1:11">
      <c r="A500" s="2">
        <v>43916</v>
      </c>
      <c r="B500" s="47">
        <v>0.75</v>
      </c>
      <c r="C500" s="47" t="s">
        <v>38</v>
      </c>
      <c r="E500" s="47">
        <v>11</v>
      </c>
      <c r="K500" s="47" t="s">
        <v>40</v>
      </c>
    </row>
    <row r="501" spans="1:11">
      <c r="A501" s="2">
        <v>43917</v>
      </c>
      <c r="C501" s="47" t="s">
        <v>44</v>
      </c>
      <c r="E501" s="47">
        <v>718</v>
      </c>
      <c r="J501" s="47">
        <v>8</v>
      </c>
      <c r="K501" s="47" t="s">
        <v>46</v>
      </c>
    </row>
    <row r="502" spans="1:11">
      <c r="A502" s="2">
        <v>43917</v>
      </c>
      <c r="C502" s="47" t="s">
        <v>47</v>
      </c>
      <c r="E502" s="47">
        <v>466</v>
      </c>
      <c r="F502" s="47">
        <v>79</v>
      </c>
      <c r="G502" s="47">
        <v>11</v>
      </c>
      <c r="I502" s="47">
        <v>76</v>
      </c>
      <c r="J502" s="47">
        <v>5</v>
      </c>
      <c r="K502" s="47" t="s">
        <v>49</v>
      </c>
    </row>
    <row r="503" spans="1:11">
      <c r="A503" s="2">
        <v>43917</v>
      </c>
      <c r="C503" s="47" t="s">
        <v>53</v>
      </c>
      <c r="E503" s="47">
        <v>60</v>
      </c>
      <c r="K503" s="47" t="s">
        <v>258</v>
      </c>
    </row>
    <row r="504" spans="1:11">
      <c r="A504" s="2">
        <v>43917</v>
      </c>
      <c r="C504" s="47" t="s">
        <v>56</v>
      </c>
      <c r="E504" s="47">
        <v>369</v>
      </c>
      <c r="F504" s="47">
        <v>50</v>
      </c>
      <c r="G504" s="47">
        <v>8</v>
      </c>
      <c r="J504" s="47">
        <v>14</v>
      </c>
      <c r="K504" s="47" t="s">
        <v>640</v>
      </c>
    </row>
    <row r="505" spans="1:11">
      <c r="A505" s="2">
        <v>43917</v>
      </c>
      <c r="C505" s="47" t="s">
        <v>58</v>
      </c>
      <c r="D505" s="47">
        <v>9366</v>
      </c>
      <c r="E505" s="47">
        <v>2164</v>
      </c>
      <c r="F505" s="47">
        <v>313</v>
      </c>
      <c r="G505" s="47">
        <v>54</v>
      </c>
      <c r="H505" s="47">
        <v>54</v>
      </c>
      <c r="I505" s="47">
        <v>153</v>
      </c>
      <c r="J505" s="47">
        <v>33</v>
      </c>
      <c r="K505" s="47" t="s">
        <v>60</v>
      </c>
    </row>
    <row r="506" spans="1:11">
      <c r="A506" s="2">
        <v>43917</v>
      </c>
      <c r="C506" s="47" t="s">
        <v>61</v>
      </c>
      <c r="E506" s="47">
        <v>47</v>
      </c>
      <c r="F506" s="47">
        <v>3</v>
      </c>
      <c r="J506" s="47">
        <v>0</v>
      </c>
      <c r="K506" s="47" t="s">
        <v>427</v>
      </c>
    </row>
    <row r="507" spans="1:11">
      <c r="A507" s="2">
        <v>43917</v>
      </c>
      <c r="C507" s="47" t="s">
        <v>63</v>
      </c>
      <c r="E507" s="47">
        <v>474</v>
      </c>
      <c r="F507" s="47">
        <v>58</v>
      </c>
      <c r="J507" s="47">
        <v>9</v>
      </c>
      <c r="K507" s="47" t="s">
        <v>65</v>
      </c>
    </row>
    <row r="508" spans="1:11">
      <c r="A508" s="2">
        <v>43917</v>
      </c>
      <c r="C508" s="47" t="s">
        <v>66</v>
      </c>
      <c r="E508" s="47">
        <v>114</v>
      </c>
      <c r="F508" s="47">
        <v>25</v>
      </c>
      <c r="G508" s="47">
        <v>6</v>
      </c>
      <c r="J508" s="47">
        <v>0</v>
      </c>
      <c r="K508" s="47" t="s">
        <v>433</v>
      </c>
    </row>
    <row r="509" spans="1:11">
      <c r="A509" s="2">
        <v>43917</v>
      </c>
      <c r="C509" s="47" t="s">
        <v>71</v>
      </c>
      <c r="E509" s="47">
        <v>316</v>
      </c>
      <c r="F509" s="47">
        <v>45</v>
      </c>
      <c r="G509" s="47">
        <v>9</v>
      </c>
      <c r="H509" s="47">
        <v>7</v>
      </c>
      <c r="J509" s="47">
        <v>13</v>
      </c>
      <c r="K509" s="47" t="s">
        <v>377</v>
      </c>
    </row>
    <row r="510" spans="1:11">
      <c r="A510" s="2">
        <v>43917</v>
      </c>
      <c r="C510" s="47" t="s">
        <v>73</v>
      </c>
      <c r="E510" s="47">
        <v>54</v>
      </c>
      <c r="F510" s="47">
        <v>3</v>
      </c>
      <c r="K510" s="47" t="s">
        <v>357</v>
      </c>
    </row>
    <row r="511" spans="1:11">
      <c r="A511" s="2">
        <v>43917</v>
      </c>
      <c r="C511" s="47" t="s">
        <v>75</v>
      </c>
      <c r="E511" s="47">
        <v>37</v>
      </c>
      <c r="K511" s="47" t="s">
        <v>77</v>
      </c>
    </row>
    <row r="512" spans="1:11">
      <c r="A512" s="2">
        <v>43917</v>
      </c>
      <c r="C512" s="47" t="s">
        <v>78</v>
      </c>
      <c r="E512" s="47">
        <v>306</v>
      </c>
      <c r="J512" s="47">
        <v>2</v>
      </c>
      <c r="K512" s="47" t="s">
        <v>80</v>
      </c>
    </row>
    <row r="513" spans="1:11">
      <c r="A513" s="2">
        <v>43917</v>
      </c>
      <c r="C513" s="47" t="s">
        <v>81</v>
      </c>
      <c r="E513" s="47">
        <v>37</v>
      </c>
      <c r="F513" s="47">
        <v>10</v>
      </c>
      <c r="G513" s="47">
        <v>1</v>
      </c>
      <c r="J513" s="47">
        <v>0</v>
      </c>
      <c r="K513" s="47" t="s">
        <v>606</v>
      </c>
    </row>
    <row r="514" spans="1:11">
      <c r="A514" s="2">
        <v>43917</v>
      </c>
      <c r="C514" s="47" t="s">
        <v>86</v>
      </c>
      <c r="E514" s="47">
        <v>119</v>
      </c>
      <c r="I514" s="47">
        <v>32</v>
      </c>
      <c r="J514" s="47">
        <v>1</v>
      </c>
      <c r="K514" s="47" t="s">
        <v>607</v>
      </c>
    </row>
    <row r="515" spans="1:11">
      <c r="A515" s="2">
        <v>43917</v>
      </c>
      <c r="C515" s="47" t="s">
        <v>88</v>
      </c>
      <c r="E515" s="47">
        <v>118</v>
      </c>
      <c r="J515" s="47">
        <v>2</v>
      </c>
      <c r="K515" s="47" t="s">
        <v>259</v>
      </c>
    </row>
    <row r="516" spans="1:11">
      <c r="A516" s="2">
        <v>43917</v>
      </c>
      <c r="C516" s="47" t="s">
        <v>94</v>
      </c>
      <c r="E516" s="47">
        <v>40</v>
      </c>
      <c r="F516" s="47">
        <v>7</v>
      </c>
      <c r="I516" s="47">
        <v>3</v>
      </c>
      <c r="K516" s="47" t="s">
        <v>226</v>
      </c>
    </row>
    <row r="517" spans="1:11">
      <c r="A517" s="2">
        <v>43917</v>
      </c>
      <c r="C517" s="47" t="s">
        <v>97</v>
      </c>
      <c r="E517" s="47">
        <v>3179</v>
      </c>
      <c r="F517" s="47">
        <v>356</v>
      </c>
      <c r="G517" s="47">
        <v>59</v>
      </c>
      <c r="J517" s="47">
        <v>61</v>
      </c>
      <c r="K517" s="47" t="s">
        <v>99</v>
      </c>
    </row>
    <row r="518" spans="1:11">
      <c r="A518" s="2">
        <v>43917</v>
      </c>
      <c r="C518" s="47" t="s">
        <v>100</v>
      </c>
      <c r="E518" s="47">
        <v>968</v>
      </c>
      <c r="F518" s="47">
        <v>137</v>
      </c>
      <c r="G518" s="47">
        <v>20</v>
      </c>
      <c r="H518" s="47">
        <v>16</v>
      </c>
      <c r="J518" s="47">
        <v>21</v>
      </c>
      <c r="K518" s="47" t="s">
        <v>419</v>
      </c>
    </row>
    <row r="519" spans="1:11">
      <c r="A519" s="2">
        <v>43917</v>
      </c>
      <c r="B519" s="47">
        <v>0</v>
      </c>
      <c r="C519" s="47" t="s">
        <v>83</v>
      </c>
      <c r="E519" s="47">
        <v>157</v>
      </c>
      <c r="J519" s="47">
        <v>1</v>
      </c>
      <c r="K519" s="47" t="s">
        <v>85</v>
      </c>
    </row>
    <row r="520" spans="1:11">
      <c r="A520" s="2">
        <v>43917</v>
      </c>
      <c r="B520" s="47">
        <v>0.33333333333333331</v>
      </c>
      <c r="C520" s="47" t="s">
        <v>91</v>
      </c>
      <c r="E520" s="47">
        <v>1688</v>
      </c>
      <c r="F520" s="47">
        <v>386</v>
      </c>
      <c r="G520" s="47">
        <v>61</v>
      </c>
      <c r="H520" s="47">
        <v>51</v>
      </c>
      <c r="J520" s="47">
        <v>76</v>
      </c>
      <c r="K520" s="47" t="s">
        <v>260</v>
      </c>
    </row>
    <row r="521" spans="1:11">
      <c r="A521" s="2">
        <v>43917</v>
      </c>
      <c r="B521" s="47">
        <v>0.33333333333333331</v>
      </c>
      <c r="C521" s="47" t="s">
        <v>102</v>
      </c>
      <c r="E521" s="47">
        <v>94</v>
      </c>
      <c r="F521" s="47">
        <v>12</v>
      </c>
      <c r="G521" s="47">
        <v>5</v>
      </c>
      <c r="I521" s="47">
        <v>18</v>
      </c>
      <c r="J521" s="47">
        <v>0</v>
      </c>
      <c r="K521" s="47" t="s">
        <v>381</v>
      </c>
    </row>
    <row r="522" spans="1:11">
      <c r="A522" s="2">
        <v>43917</v>
      </c>
      <c r="B522" s="47">
        <v>0.41666666666666669</v>
      </c>
      <c r="C522" s="47" t="s">
        <v>50</v>
      </c>
      <c r="E522" s="47">
        <v>530</v>
      </c>
      <c r="F522" s="47">
        <v>76</v>
      </c>
      <c r="G522" s="47">
        <v>8</v>
      </c>
      <c r="I522" s="47">
        <v>191</v>
      </c>
      <c r="J522" s="47">
        <v>13</v>
      </c>
      <c r="K522" s="47" t="s">
        <v>257</v>
      </c>
    </row>
    <row r="523" spans="1:11">
      <c r="A523" s="2">
        <v>43917</v>
      </c>
      <c r="B523" s="47">
        <v>0.45833333333333331</v>
      </c>
      <c r="C523" s="47" t="s">
        <v>68</v>
      </c>
      <c r="E523" s="47">
        <v>287</v>
      </c>
      <c r="J523" s="47">
        <v>3</v>
      </c>
      <c r="K523" s="47" t="s">
        <v>70</v>
      </c>
    </row>
    <row r="524" spans="1:11">
      <c r="A524" s="2">
        <v>43917</v>
      </c>
      <c r="B524" s="47">
        <v>0.54166666666666663</v>
      </c>
      <c r="C524" s="47" t="s">
        <v>41</v>
      </c>
      <c r="E524" s="47">
        <v>44</v>
      </c>
      <c r="J524" s="47">
        <v>2</v>
      </c>
      <c r="K524" s="47" t="s">
        <v>43</v>
      </c>
    </row>
    <row r="525" spans="1:11">
      <c r="A525" s="2">
        <v>43917</v>
      </c>
      <c r="B525" s="47">
        <v>0.60416666666666663</v>
      </c>
      <c r="C525" s="47" t="s">
        <v>104</v>
      </c>
      <c r="E525" s="47">
        <v>1630</v>
      </c>
      <c r="F525" s="47">
        <v>171</v>
      </c>
      <c r="H525" s="47">
        <v>38</v>
      </c>
      <c r="J525" s="47">
        <v>15</v>
      </c>
      <c r="K525" s="47" t="s">
        <v>106</v>
      </c>
    </row>
    <row r="526" spans="1:11">
      <c r="A526" s="2">
        <v>43917</v>
      </c>
      <c r="B526" s="47">
        <v>0.625</v>
      </c>
      <c r="C526" s="47" t="s">
        <v>34</v>
      </c>
      <c r="E526" s="47">
        <v>364</v>
      </c>
      <c r="F526" s="47">
        <v>50</v>
      </c>
      <c r="G526" s="47">
        <v>12</v>
      </c>
      <c r="H526" s="47">
        <v>10</v>
      </c>
      <c r="J526" s="47">
        <v>3</v>
      </c>
      <c r="K526" s="47" t="s">
        <v>256</v>
      </c>
    </row>
    <row r="527" spans="1:11">
      <c r="A527" s="2">
        <v>43917</v>
      </c>
      <c r="B527" s="47">
        <v>0.75</v>
      </c>
      <c r="C527" s="47" t="s">
        <v>38</v>
      </c>
      <c r="E527" s="47">
        <v>12</v>
      </c>
      <c r="K527" s="47" t="s">
        <v>40</v>
      </c>
    </row>
    <row r="528" spans="1:11">
      <c r="A528" s="2">
        <v>43918</v>
      </c>
      <c r="C528" s="47" t="s">
        <v>44</v>
      </c>
      <c r="E528" s="47">
        <v>767</v>
      </c>
      <c r="J528" s="47">
        <v>9</v>
      </c>
      <c r="K528" s="47" t="s">
        <v>46</v>
      </c>
    </row>
    <row r="529" spans="1:11">
      <c r="A529" s="2">
        <v>43918</v>
      </c>
      <c r="C529" s="47" t="s">
        <v>47</v>
      </c>
      <c r="E529" s="47">
        <v>502</v>
      </c>
      <c r="F529" s="47">
        <v>75</v>
      </c>
      <c r="G529" s="47">
        <v>14</v>
      </c>
      <c r="H529" s="47">
        <v>13</v>
      </c>
      <c r="I529" s="47">
        <v>100</v>
      </c>
      <c r="J529" s="47">
        <v>6</v>
      </c>
      <c r="K529" s="47" t="s">
        <v>49</v>
      </c>
    </row>
    <row r="530" spans="1:11">
      <c r="A530" s="2">
        <v>43918</v>
      </c>
      <c r="C530" s="47" t="s">
        <v>53</v>
      </c>
      <c r="E530" s="47">
        <v>61</v>
      </c>
      <c r="K530" s="47" t="s">
        <v>262</v>
      </c>
    </row>
    <row r="531" spans="1:11">
      <c r="A531" s="2">
        <v>43918</v>
      </c>
      <c r="C531" s="47" t="s">
        <v>56</v>
      </c>
      <c r="E531" s="47">
        <v>421</v>
      </c>
      <c r="F531" s="47">
        <v>67</v>
      </c>
      <c r="G531" s="47">
        <v>12</v>
      </c>
      <c r="J531" s="47">
        <v>15</v>
      </c>
      <c r="K531" s="47" t="s">
        <v>640</v>
      </c>
    </row>
    <row r="532" spans="1:11">
      <c r="A532" s="2">
        <v>43918</v>
      </c>
      <c r="C532" s="47" t="s">
        <v>58</v>
      </c>
      <c r="D532" s="47">
        <v>9959</v>
      </c>
      <c r="E532" s="47">
        <v>2360</v>
      </c>
      <c r="F532" s="47">
        <v>339</v>
      </c>
      <c r="G532" s="47">
        <v>59</v>
      </c>
      <c r="H532" s="47">
        <v>54</v>
      </c>
      <c r="I532" s="47">
        <v>175</v>
      </c>
      <c r="J532" s="47">
        <v>41</v>
      </c>
      <c r="K532" s="47" t="s">
        <v>60</v>
      </c>
    </row>
    <row r="533" spans="1:11">
      <c r="A533" s="2">
        <v>43918</v>
      </c>
      <c r="C533" s="47" t="s">
        <v>61</v>
      </c>
      <c r="E533" s="47">
        <v>47</v>
      </c>
      <c r="F533" s="47">
        <v>3</v>
      </c>
      <c r="J533" s="47">
        <v>1</v>
      </c>
      <c r="K533" s="47" t="s">
        <v>427</v>
      </c>
    </row>
    <row r="534" spans="1:11">
      <c r="A534" s="2">
        <v>43918</v>
      </c>
      <c r="C534" s="47" t="s">
        <v>63</v>
      </c>
      <c r="E534" s="47">
        <v>495</v>
      </c>
      <c r="F534" s="47">
        <v>63</v>
      </c>
      <c r="J534" s="47">
        <v>12</v>
      </c>
      <c r="K534" s="47" t="s">
        <v>65</v>
      </c>
    </row>
    <row r="535" spans="1:11">
      <c r="A535" s="2">
        <v>43918</v>
      </c>
      <c r="C535" s="47" t="s">
        <v>66</v>
      </c>
      <c r="E535" s="47">
        <v>119</v>
      </c>
      <c r="F535" s="47">
        <v>27</v>
      </c>
      <c r="G535" s="47">
        <v>5</v>
      </c>
      <c r="J535" s="47">
        <v>0</v>
      </c>
      <c r="K535" s="47" t="s">
        <v>433</v>
      </c>
    </row>
    <row r="536" spans="1:11">
      <c r="A536" s="2">
        <v>43918</v>
      </c>
      <c r="C536" s="47" t="s">
        <v>71</v>
      </c>
      <c r="E536" s="47">
        <v>337</v>
      </c>
      <c r="F536" s="47">
        <v>50</v>
      </c>
      <c r="G536" s="47">
        <v>11</v>
      </c>
      <c r="H536" s="47">
        <v>8</v>
      </c>
      <c r="J536" s="47">
        <v>15</v>
      </c>
      <c r="K536" s="47" t="s">
        <v>377</v>
      </c>
    </row>
    <row r="537" spans="1:11">
      <c r="A537" s="2">
        <v>43918</v>
      </c>
      <c r="C537" s="47" t="s">
        <v>73</v>
      </c>
      <c r="E537" s="47">
        <v>55</v>
      </c>
      <c r="F537" s="47">
        <v>4</v>
      </c>
      <c r="K537" s="47" t="s">
        <v>357</v>
      </c>
    </row>
    <row r="538" spans="1:11">
      <c r="A538" s="2">
        <v>43918</v>
      </c>
      <c r="C538" s="47" t="s">
        <v>78</v>
      </c>
      <c r="E538" s="47">
        <v>339</v>
      </c>
      <c r="J538" s="47">
        <v>5</v>
      </c>
      <c r="K538" s="47" t="s">
        <v>80</v>
      </c>
    </row>
    <row r="539" spans="1:11">
      <c r="A539" s="2">
        <v>43918</v>
      </c>
      <c r="C539" s="47" t="s">
        <v>81</v>
      </c>
      <c r="E539" s="47">
        <v>40</v>
      </c>
      <c r="F539" s="47">
        <v>14</v>
      </c>
      <c r="G539" s="47">
        <v>1</v>
      </c>
      <c r="J539" s="47">
        <v>0</v>
      </c>
      <c r="K539" s="47" t="s">
        <v>606</v>
      </c>
    </row>
    <row r="540" spans="1:11">
      <c r="A540" s="2">
        <v>43918</v>
      </c>
      <c r="C540" s="47" t="s">
        <v>86</v>
      </c>
      <c r="E540" s="47">
        <v>122</v>
      </c>
      <c r="I540" s="47">
        <v>33</v>
      </c>
      <c r="J540" s="47">
        <v>1</v>
      </c>
      <c r="K540" s="47" t="s">
        <v>607</v>
      </c>
    </row>
    <row r="541" spans="1:11">
      <c r="A541" s="2">
        <v>43918</v>
      </c>
      <c r="C541" s="47" t="s">
        <v>88</v>
      </c>
      <c r="E541" s="47">
        <v>135</v>
      </c>
      <c r="J541" s="47">
        <v>2</v>
      </c>
      <c r="K541" s="47" t="s">
        <v>90</v>
      </c>
    </row>
    <row r="542" spans="1:11">
      <c r="A542" s="2">
        <v>43918</v>
      </c>
      <c r="C542" s="47" t="s">
        <v>94</v>
      </c>
      <c r="E542" s="47">
        <v>48</v>
      </c>
      <c r="F542" s="47">
        <v>7</v>
      </c>
      <c r="I542" s="47">
        <v>3</v>
      </c>
      <c r="K542" s="47" t="s">
        <v>226</v>
      </c>
    </row>
    <row r="543" spans="1:11">
      <c r="A543" s="2">
        <v>43918</v>
      </c>
      <c r="C543" s="47" t="s">
        <v>97</v>
      </c>
      <c r="E543" s="47">
        <v>3310</v>
      </c>
      <c r="F543" s="47">
        <v>364</v>
      </c>
      <c r="G543" s="47">
        <v>60</v>
      </c>
      <c r="J543" s="47">
        <v>72</v>
      </c>
      <c r="K543" s="47" t="s">
        <v>99</v>
      </c>
    </row>
    <row r="544" spans="1:11">
      <c r="A544" s="2">
        <v>43918</v>
      </c>
      <c r="C544" s="47" t="s">
        <v>100</v>
      </c>
      <c r="E544" s="47">
        <v>1017</v>
      </c>
      <c r="F544" s="47">
        <v>142</v>
      </c>
      <c r="G544" s="47">
        <v>21</v>
      </c>
      <c r="H544" s="47">
        <v>19</v>
      </c>
      <c r="J544" s="47">
        <v>25</v>
      </c>
      <c r="K544" s="47" t="s">
        <v>419</v>
      </c>
    </row>
    <row r="545" spans="1:11">
      <c r="A545" s="2">
        <v>43918</v>
      </c>
      <c r="B545" s="47">
        <v>0</v>
      </c>
      <c r="C545" s="47" t="s">
        <v>83</v>
      </c>
      <c r="E545" s="47">
        <v>173</v>
      </c>
      <c r="J545" s="47">
        <v>1</v>
      </c>
      <c r="K545" s="47" t="s">
        <v>85</v>
      </c>
    </row>
    <row r="546" spans="1:11">
      <c r="A546" s="2">
        <v>43918</v>
      </c>
      <c r="B546" s="47">
        <v>0.33333333333333331</v>
      </c>
      <c r="C546" s="47" t="s">
        <v>41</v>
      </c>
      <c r="E546" s="47">
        <v>45</v>
      </c>
      <c r="J546" s="47">
        <v>2</v>
      </c>
      <c r="K546" s="47" t="s">
        <v>43</v>
      </c>
    </row>
    <row r="547" spans="1:11">
      <c r="A547" s="2">
        <v>43918</v>
      </c>
      <c r="B547" s="47">
        <v>0.33333333333333331</v>
      </c>
      <c r="C547" s="47" t="s">
        <v>91</v>
      </c>
      <c r="E547" s="47">
        <v>1727</v>
      </c>
      <c r="F547" s="47">
        <v>385</v>
      </c>
      <c r="G547" s="47">
        <v>69</v>
      </c>
      <c r="H547" s="47">
        <v>60</v>
      </c>
      <c r="J547" s="47">
        <v>87</v>
      </c>
      <c r="K547" s="47" t="s">
        <v>263</v>
      </c>
    </row>
    <row r="548" spans="1:11">
      <c r="A548" s="2">
        <v>43918</v>
      </c>
      <c r="B548" s="47">
        <v>0.33333333333333331</v>
      </c>
      <c r="C548" s="47" t="s">
        <v>102</v>
      </c>
      <c r="E548" s="47">
        <v>101</v>
      </c>
      <c r="F548" s="47">
        <v>12</v>
      </c>
      <c r="G548" s="47">
        <v>5</v>
      </c>
      <c r="I548" s="47">
        <v>21</v>
      </c>
      <c r="J548" s="47">
        <v>1</v>
      </c>
      <c r="K548" s="47" t="s">
        <v>381</v>
      </c>
    </row>
    <row r="549" spans="1:11">
      <c r="A549" s="2">
        <v>43918</v>
      </c>
      <c r="B549" s="47">
        <v>0.41666666666666669</v>
      </c>
      <c r="C549" s="47" t="s">
        <v>50</v>
      </c>
      <c r="E549" s="47">
        <v>569</v>
      </c>
      <c r="F549" s="47">
        <v>79</v>
      </c>
      <c r="G549" s="47">
        <v>11</v>
      </c>
      <c r="I549" s="47">
        <v>211</v>
      </c>
      <c r="J549" s="47">
        <v>13</v>
      </c>
      <c r="K549" s="47" t="s">
        <v>261</v>
      </c>
    </row>
    <row r="550" spans="1:11">
      <c r="A550" s="2">
        <v>43918</v>
      </c>
      <c r="B550" s="47">
        <v>0.45833333333333331</v>
      </c>
      <c r="C550" s="47" t="s">
        <v>68</v>
      </c>
      <c r="E550" s="47">
        <v>317</v>
      </c>
      <c r="J550" s="47">
        <v>4</v>
      </c>
      <c r="K550" s="47" t="s">
        <v>70</v>
      </c>
    </row>
    <row r="551" spans="1:11">
      <c r="A551" s="2">
        <v>43918</v>
      </c>
      <c r="B551" s="47">
        <v>0.60416666666666663</v>
      </c>
      <c r="C551" s="47" t="s">
        <v>104</v>
      </c>
      <c r="E551" s="47">
        <v>1704</v>
      </c>
      <c r="F551" s="47">
        <v>187</v>
      </c>
      <c r="H551" s="47">
        <v>42</v>
      </c>
      <c r="J551" s="47">
        <v>19</v>
      </c>
      <c r="K551" s="47" t="s">
        <v>106</v>
      </c>
    </row>
    <row r="552" spans="1:11">
      <c r="A552" s="2">
        <v>43918</v>
      </c>
      <c r="B552" s="47">
        <v>0.75</v>
      </c>
      <c r="C552" s="47" t="s">
        <v>38</v>
      </c>
      <c r="E552" s="47">
        <v>13</v>
      </c>
      <c r="K552" s="47" t="s">
        <v>40</v>
      </c>
    </row>
    <row r="553" spans="1:11">
      <c r="A553" s="2">
        <v>43919</v>
      </c>
      <c r="C553" s="47" t="s">
        <v>44</v>
      </c>
      <c r="E553" s="47">
        <v>798</v>
      </c>
      <c r="J553" s="47">
        <v>10</v>
      </c>
      <c r="K553" s="47" t="s">
        <v>46</v>
      </c>
    </row>
    <row r="554" spans="1:11">
      <c r="A554" s="2">
        <v>43919</v>
      </c>
      <c r="C554" s="47" t="s">
        <v>47</v>
      </c>
      <c r="E554" s="47">
        <v>511</v>
      </c>
      <c r="F554" s="47">
        <v>99</v>
      </c>
      <c r="G554" s="47">
        <v>15</v>
      </c>
      <c r="H554" s="47">
        <v>14</v>
      </c>
      <c r="I554" s="47">
        <v>115</v>
      </c>
      <c r="J554" s="47">
        <v>6</v>
      </c>
      <c r="K554" s="47" t="s">
        <v>49</v>
      </c>
    </row>
    <row r="555" spans="1:11">
      <c r="A555" s="2">
        <v>43919</v>
      </c>
      <c r="C555" s="47" t="s">
        <v>53</v>
      </c>
      <c r="E555" s="47">
        <v>62</v>
      </c>
      <c r="K555" s="47" t="s">
        <v>265</v>
      </c>
    </row>
    <row r="556" spans="1:11">
      <c r="A556" s="2">
        <v>43919</v>
      </c>
      <c r="C556" s="47" t="s">
        <v>56</v>
      </c>
      <c r="E556" s="47">
        <v>442</v>
      </c>
      <c r="F556" s="47">
        <v>76</v>
      </c>
      <c r="G556" s="47">
        <v>13</v>
      </c>
      <c r="J556" s="47">
        <v>15</v>
      </c>
      <c r="K556" s="47" t="s">
        <v>640</v>
      </c>
    </row>
    <row r="557" spans="1:11">
      <c r="A557" s="2">
        <v>43919</v>
      </c>
      <c r="C557" s="47" t="s">
        <v>58</v>
      </c>
      <c r="D557" s="47">
        <v>10268</v>
      </c>
      <c r="E557" s="47">
        <v>2466</v>
      </c>
      <c r="F557" s="47">
        <v>365</v>
      </c>
      <c r="G557" s="47">
        <v>59</v>
      </c>
      <c r="H557" s="47">
        <v>55</v>
      </c>
      <c r="I557" s="47">
        <v>193</v>
      </c>
      <c r="J557" s="47">
        <v>49</v>
      </c>
      <c r="K557" s="47" t="s">
        <v>60</v>
      </c>
    </row>
    <row r="558" spans="1:11">
      <c r="A558" s="2">
        <v>43919</v>
      </c>
      <c r="C558" s="47" t="s">
        <v>61</v>
      </c>
      <c r="E558" s="47">
        <v>50</v>
      </c>
      <c r="F558" s="47">
        <v>2</v>
      </c>
      <c r="J558" s="47">
        <v>1</v>
      </c>
      <c r="K558" s="47" t="s">
        <v>427</v>
      </c>
    </row>
    <row r="559" spans="1:11">
      <c r="A559" s="2">
        <v>43919</v>
      </c>
      <c r="C559" s="47" t="s">
        <v>63</v>
      </c>
      <c r="E559" s="47">
        <v>519</v>
      </c>
      <c r="F559" s="47">
        <v>63</v>
      </c>
      <c r="J559" s="47">
        <v>15</v>
      </c>
      <c r="K559" s="47" t="s">
        <v>65</v>
      </c>
    </row>
    <row r="560" spans="1:11">
      <c r="A560" s="2">
        <v>43919</v>
      </c>
      <c r="C560" s="47" t="s">
        <v>66</v>
      </c>
      <c r="E560" s="47">
        <v>127</v>
      </c>
      <c r="F560" s="47">
        <v>28</v>
      </c>
      <c r="G560" s="47">
        <v>5</v>
      </c>
      <c r="J560" s="47">
        <v>0</v>
      </c>
      <c r="K560" s="47" t="s">
        <v>433</v>
      </c>
    </row>
    <row r="561" spans="1:11">
      <c r="A561" s="2">
        <v>43919</v>
      </c>
      <c r="C561" s="47" t="s">
        <v>71</v>
      </c>
      <c r="E561" s="47">
        <v>346</v>
      </c>
      <c r="F561" s="47">
        <v>60</v>
      </c>
      <c r="G561" s="47">
        <v>16</v>
      </c>
      <c r="H561" s="47">
        <v>6</v>
      </c>
      <c r="J561" s="47">
        <v>18</v>
      </c>
      <c r="K561" s="47" t="s">
        <v>377</v>
      </c>
    </row>
    <row r="562" spans="1:11">
      <c r="A562" s="2">
        <v>43919</v>
      </c>
      <c r="C562" s="47" t="s">
        <v>73</v>
      </c>
      <c r="E562" s="47">
        <v>59</v>
      </c>
      <c r="F562" s="47">
        <v>4</v>
      </c>
      <c r="K562" s="47" t="s">
        <v>357</v>
      </c>
    </row>
    <row r="563" spans="1:11">
      <c r="A563" s="2">
        <v>43919</v>
      </c>
      <c r="C563" s="47" t="s">
        <v>78</v>
      </c>
      <c r="E563" s="47">
        <v>365</v>
      </c>
      <c r="J563" s="47">
        <v>5</v>
      </c>
      <c r="K563" s="47" t="s">
        <v>80</v>
      </c>
    </row>
    <row r="564" spans="1:11">
      <c r="A564" s="2">
        <v>43919</v>
      </c>
      <c r="C564" s="47" t="s">
        <v>81</v>
      </c>
      <c r="E564" s="47">
        <v>41</v>
      </c>
      <c r="F564" s="47">
        <v>15</v>
      </c>
      <c r="G564" s="47">
        <v>1</v>
      </c>
      <c r="J564" s="47">
        <v>0</v>
      </c>
      <c r="K564" s="47" t="s">
        <v>606</v>
      </c>
    </row>
    <row r="565" spans="1:11">
      <c r="A565" s="2">
        <v>43919</v>
      </c>
      <c r="C565" s="47" t="s">
        <v>86</v>
      </c>
      <c r="E565" s="47">
        <v>128</v>
      </c>
      <c r="I565" s="47">
        <v>33</v>
      </c>
      <c r="J565" s="47">
        <v>2</v>
      </c>
      <c r="K565" s="47" t="s">
        <v>607</v>
      </c>
    </row>
    <row r="566" spans="1:11">
      <c r="A566" s="2">
        <v>43919</v>
      </c>
      <c r="C566" s="47" t="s">
        <v>88</v>
      </c>
      <c r="E566" s="47">
        <v>139</v>
      </c>
      <c r="J566" s="47">
        <v>2</v>
      </c>
      <c r="K566" s="47" t="s">
        <v>90</v>
      </c>
    </row>
    <row r="567" spans="1:11">
      <c r="A567" s="2">
        <v>43919</v>
      </c>
      <c r="C567" s="47" t="s">
        <v>94</v>
      </c>
      <c r="E567" s="47">
        <v>50</v>
      </c>
      <c r="F567" s="47">
        <v>7</v>
      </c>
      <c r="I567" s="47">
        <v>3</v>
      </c>
      <c r="K567" s="47" t="s">
        <v>226</v>
      </c>
    </row>
    <row r="568" spans="1:11">
      <c r="A568" s="2">
        <v>43919</v>
      </c>
      <c r="C568" s="47" t="s">
        <v>97</v>
      </c>
      <c r="E568" s="47">
        <v>3395</v>
      </c>
      <c r="F568" s="47">
        <v>366</v>
      </c>
      <c r="G568" s="47">
        <v>61</v>
      </c>
      <c r="J568" s="47">
        <v>81</v>
      </c>
      <c r="K568" s="47" t="s">
        <v>99</v>
      </c>
    </row>
    <row r="569" spans="1:11">
      <c r="A569" s="2">
        <v>43919</v>
      </c>
      <c r="C569" s="47" t="s">
        <v>100</v>
      </c>
      <c r="E569" s="47">
        <v>1055</v>
      </c>
      <c r="F569" s="47">
        <v>152</v>
      </c>
      <c r="G569" s="47">
        <v>22</v>
      </c>
      <c r="H569" s="47">
        <v>21</v>
      </c>
      <c r="J569" s="47">
        <v>31</v>
      </c>
      <c r="K569" s="47" t="s">
        <v>419</v>
      </c>
    </row>
    <row r="570" spans="1:11">
      <c r="A570" s="2">
        <v>43919</v>
      </c>
      <c r="B570" s="47">
        <v>0</v>
      </c>
      <c r="C570" s="47" t="s">
        <v>83</v>
      </c>
      <c r="E570" s="47">
        <v>190</v>
      </c>
      <c r="J570" s="47">
        <v>2</v>
      </c>
      <c r="K570" s="47" t="s">
        <v>85</v>
      </c>
    </row>
    <row r="571" spans="1:11">
      <c r="A571" s="2">
        <v>43919</v>
      </c>
      <c r="B571" s="47">
        <v>0.33333333333333331</v>
      </c>
      <c r="C571" s="47" t="s">
        <v>41</v>
      </c>
      <c r="E571" s="47">
        <v>48</v>
      </c>
      <c r="J571" s="47">
        <v>2</v>
      </c>
      <c r="K571" s="47" t="s">
        <v>43</v>
      </c>
    </row>
    <row r="572" spans="1:11">
      <c r="A572" s="2">
        <v>43919</v>
      </c>
      <c r="B572" s="47">
        <v>0.33333333333333331</v>
      </c>
      <c r="C572" s="47" t="s">
        <v>91</v>
      </c>
      <c r="E572" s="47">
        <v>1837</v>
      </c>
      <c r="F572" s="47">
        <v>402</v>
      </c>
      <c r="G572" s="47">
        <v>69</v>
      </c>
      <c r="H572" s="47">
        <v>59</v>
      </c>
      <c r="J572" s="47">
        <v>93</v>
      </c>
      <c r="K572" s="47" t="s">
        <v>266</v>
      </c>
    </row>
    <row r="573" spans="1:11">
      <c r="A573" s="2">
        <v>43919</v>
      </c>
      <c r="B573" s="47">
        <v>0.33333333333333331</v>
      </c>
      <c r="C573" s="47" t="s">
        <v>102</v>
      </c>
      <c r="E573" s="47">
        <v>101</v>
      </c>
      <c r="F573" s="47">
        <v>12</v>
      </c>
      <c r="G573" s="47">
        <v>5</v>
      </c>
      <c r="I573" s="47">
        <v>21</v>
      </c>
      <c r="J573" s="47">
        <v>1</v>
      </c>
      <c r="K573" s="47" t="s">
        <v>381</v>
      </c>
    </row>
    <row r="574" spans="1:11">
      <c r="A574" s="2">
        <v>43919</v>
      </c>
      <c r="B574" s="47">
        <v>0.41666666666666669</v>
      </c>
      <c r="C574" s="47" t="s">
        <v>50</v>
      </c>
      <c r="E574" s="47">
        <v>605</v>
      </c>
      <c r="F574" s="47">
        <v>87</v>
      </c>
      <c r="G574" s="47">
        <v>12</v>
      </c>
      <c r="I574" s="47">
        <v>228</v>
      </c>
      <c r="J574" s="47">
        <v>15</v>
      </c>
      <c r="K574" s="47" t="s">
        <v>264</v>
      </c>
    </row>
    <row r="575" spans="1:11">
      <c r="A575" s="2">
        <v>43919</v>
      </c>
      <c r="B575" s="47">
        <v>0.45833333333333331</v>
      </c>
      <c r="C575" s="47" t="s">
        <v>68</v>
      </c>
      <c r="E575" s="47">
        <v>339</v>
      </c>
      <c r="J575" s="47">
        <v>5</v>
      </c>
      <c r="K575" s="47" t="s">
        <v>70</v>
      </c>
    </row>
    <row r="576" spans="1:11">
      <c r="A576" s="2">
        <v>43919</v>
      </c>
      <c r="B576" s="47">
        <v>0.60416666666666663</v>
      </c>
      <c r="C576" s="47" t="s">
        <v>104</v>
      </c>
      <c r="E576" s="47">
        <v>1736</v>
      </c>
      <c r="F576" s="47">
        <v>194</v>
      </c>
      <c r="H576" s="47">
        <v>46</v>
      </c>
      <c r="J576" s="47">
        <v>22</v>
      </c>
      <c r="K576" s="47" t="s">
        <v>106</v>
      </c>
    </row>
    <row r="577" spans="1:11">
      <c r="A577" s="2">
        <v>43920</v>
      </c>
      <c r="C577" s="47" t="s">
        <v>47</v>
      </c>
      <c r="E577" s="47">
        <v>539</v>
      </c>
      <c r="F577" s="47">
        <v>86</v>
      </c>
      <c r="G577" s="47">
        <v>17</v>
      </c>
      <c r="H577" s="47">
        <v>16</v>
      </c>
      <c r="I577" s="47">
        <v>158</v>
      </c>
      <c r="J577" s="47">
        <v>7</v>
      </c>
      <c r="K577" s="47" t="s">
        <v>49</v>
      </c>
    </row>
    <row r="578" spans="1:11">
      <c r="A578" s="2">
        <v>43920</v>
      </c>
      <c r="C578" s="47" t="s">
        <v>53</v>
      </c>
      <c r="E578" s="47">
        <v>64</v>
      </c>
      <c r="K578" s="47" t="s">
        <v>269</v>
      </c>
    </row>
    <row r="579" spans="1:11">
      <c r="A579" s="2">
        <v>43920</v>
      </c>
      <c r="C579" s="47" t="s">
        <v>56</v>
      </c>
      <c r="E579" s="47">
        <v>477</v>
      </c>
      <c r="F579" s="47">
        <v>77</v>
      </c>
      <c r="G579" s="47">
        <v>16</v>
      </c>
      <c r="J579" s="47">
        <v>17</v>
      </c>
      <c r="K579" s="47" t="s">
        <v>640</v>
      </c>
    </row>
    <row r="580" spans="1:11">
      <c r="A580" s="2">
        <v>43920</v>
      </c>
      <c r="C580" s="47" t="s">
        <v>58</v>
      </c>
      <c r="D580" s="47">
        <v>10934</v>
      </c>
      <c r="E580" s="47">
        <v>2673</v>
      </c>
      <c r="F580" s="47">
        <v>382</v>
      </c>
      <c r="G580" s="47">
        <v>57</v>
      </c>
      <c r="H580" s="47">
        <v>54</v>
      </c>
      <c r="I580" s="47">
        <v>216</v>
      </c>
      <c r="J580" s="47">
        <v>59</v>
      </c>
      <c r="K580" s="47" t="s">
        <v>60</v>
      </c>
    </row>
    <row r="581" spans="1:11">
      <c r="A581" s="2">
        <v>43920</v>
      </c>
      <c r="C581" s="47" t="s">
        <v>61</v>
      </c>
      <c r="E581" s="47">
        <v>51</v>
      </c>
      <c r="F581" s="47">
        <v>3</v>
      </c>
      <c r="J581" s="47">
        <v>2</v>
      </c>
      <c r="K581" s="47" t="s">
        <v>427</v>
      </c>
    </row>
    <row r="582" spans="1:11">
      <c r="A582" s="2">
        <v>43920</v>
      </c>
      <c r="C582" s="47" t="s">
        <v>63</v>
      </c>
      <c r="E582" s="47">
        <v>535</v>
      </c>
      <c r="F582" s="47">
        <v>58</v>
      </c>
      <c r="J582" s="47">
        <v>19</v>
      </c>
      <c r="K582" s="47" t="s">
        <v>65</v>
      </c>
    </row>
    <row r="583" spans="1:11">
      <c r="A583" s="2">
        <v>43920</v>
      </c>
      <c r="C583" s="47" t="s">
        <v>66</v>
      </c>
      <c r="E583" s="47">
        <v>128</v>
      </c>
      <c r="F583" s="47">
        <v>28</v>
      </c>
      <c r="G583" s="47">
        <v>5</v>
      </c>
      <c r="J583" s="47">
        <v>0</v>
      </c>
      <c r="K583" s="47" t="s">
        <v>433</v>
      </c>
    </row>
    <row r="584" spans="1:11">
      <c r="A584" s="2">
        <v>43920</v>
      </c>
      <c r="C584" s="47" t="s">
        <v>71</v>
      </c>
      <c r="E584" s="47">
        <v>378</v>
      </c>
      <c r="F584" s="47">
        <v>57</v>
      </c>
      <c r="G584" s="47">
        <v>12</v>
      </c>
      <c r="H584" s="47">
        <v>6</v>
      </c>
      <c r="J584" s="47">
        <v>20</v>
      </c>
      <c r="K584" s="47" t="s">
        <v>377</v>
      </c>
    </row>
    <row r="585" spans="1:11">
      <c r="A585" s="2">
        <v>43920</v>
      </c>
      <c r="C585" s="47" t="s">
        <v>73</v>
      </c>
      <c r="E585" s="47">
        <v>63</v>
      </c>
      <c r="F585" s="47">
        <v>8</v>
      </c>
      <c r="K585" s="47" t="s">
        <v>357</v>
      </c>
    </row>
    <row r="586" spans="1:11">
      <c r="A586" s="2">
        <v>43920</v>
      </c>
      <c r="C586" s="47" t="s">
        <v>75</v>
      </c>
      <c r="E586" s="47">
        <v>46</v>
      </c>
      <c r="K586" s="47" t="s">
        <v>77</v>
      </c>
    </row>
    <row r="587" spans="1:11">
      <c r="A587" s="2">
        <v>43920</v>
      </c>
      <c r="C587" s="47" t="s">
        <v>78</v>
      </c>
      <c r="E587" s="47">
        <v>389</v>
      </c>
      <c r="J587" s="47">
        <v>7</v>
      </c>
      <c r="K587" s="47" t="s">
        <v>80</v>
      </c>
    </row>
    <row r="588" spans="1:11">
      <c r="A588" s="2">
        <v>43920</v>
      </c>
      <c r="C588" s="47" t="s">
        <v>81</v>
      </c>
      <c r="E588" s="47">
        <v>42</v>
      </c>
      <c r="F588" s="47">
        <v>19</v>
      </c>
      <c r="G588" s="47">
        <v>3</v>
      </c>
      <c r="J588" s="47">
        <v>0</v>
      </c>
      <c r="K588" s="47" t="s">
        <v>606</v>
      </c>
    </row>
    <row r="589" spans="1:11">
      <c r="A589" s="2">
        <v>43920</v>
      </c>
      <c r="C589" s="47" t="s">
        <v>86</v>
      </c>
      <c r="E589" s="47">
        <v>135</v>
      </c>
      <c r="I589" s="47">
        <v>33</v>
      </c>
      <c r="J589" s="47">
        <v>2</v>
      </c>
      <c r="K589" s="47" t="s">
        <v>607</v>
      </c>
    </row>
    <row r="590" spans="1:11">
      <c r="A590" s="2">
        <v>43920</v>
      </c>
      <c r="C590" s="47" t="s">
        <v>88</v>
      </c>
      <c r="E590" s="47">
        <v>149</v>
      </c>
      <c r="J590" s="47">
        <v>2</v>
      </c>
      <c r="K590" s="47" t="s">
        <v>90</v>
      </c>
    </row>
    <row r="591" spans="1:11">
      <c r="A591" s="2">
        <v>43920</v>
      </c>
      <c r="C591" s="47" t="s">
        <v>94</v>
      </c>
      <c r="E591" s="47">
        <v>53</v>
      </c>
      <c r="F591" s="47">
        <v>7</v>
      </c>
      <c r="I591" s="47">
        <v>9</v>
      </c>
      <c r="K591" s="47" t="s">
        <v>226</v>
      </c>
    </row>
    <row r="592" spans="1:11">
      <c r="A592" s="2">
        <v>43920</v>
      </c>
      <c r="C592" s="47" t="s">
        <v>97</v>
      </c>
      <c r="E592" s="47">
        <v>3607</v>
      </c>
      <c r="F592" s="47">
        <v>368</v>
      </c>
      <c r="G592" s="47">
        <v>63</v>
      </c>
      <c r="J592" s="47">
        <v>93</v>
      </c>
      <c r="K592" s="47" t="s">
        <v>99</v>
      </c>
    </row>
    <row r="593" spans="1:11">
      <c r="A593" s="2">
        <v>43920</v>
      </c>
      <c r="C593" s="47" t="s">
        <v>100</v>
      </c>
      <c r="E593" s="47">
        <v>1144</v>
      </c>
      <c r="F593" s="47">
        <v>152</v>
      </c>
      <c r="G593" s="47">
        <v>25</v>
      </c>
      <c r="H593" s="47">
        <v>23</v>
      </c>
      <c r="J593" s="47">
        <v>35</v>
      </c>
      <c r="K593" s="47" t="s">
        <v>419</v>
      </c>
    </row>
    <row r="594" spans="1:11">
      <c r="A594" s="2">
        <v>43920</v>
      </c>
      <c r="B594" s="47">
        <v>0.29166666666666669</v>
      </c>
      <c r="C594" s="47" t="s">
        <v>44</v>
      </c>
      <c r="E594" s="47">
        <v>826</v>
      </c>
      <c r="F594" s="47">
        <v>112</v>
      </c>
      <c r="G594" s="47">
        <v>21</v>
      </c>
      <c r="H594" s="47">
        <v>17</v>
      </c>
      <c r="J594" s="47">
        <v>13</v>
      </c>
      <c r="K594" s="47" t="s">
        <v>46</v>
      </c>
    </row>
    <row r="595" spans="1:11">
      <c r="A595" s="2">
        <v>43920</v>
      </c>
      <c r="B595" s="47">
        <v>0.33333333333333331</v>
      </c>
      <c r="C595" s="47" t="s">
        <v>91</v>
      </c>
      <c r="E595" s="47">
        <v>1962</v>
      </c>
      <c r="F595" s="47">
        <v>415</v>
      </c>
      <c r="G595" s="47">
        <v>75</v>
      </c>
      <c r="H595" s="47">
        <v>61</v>
      </c>
      <c r="J595" s="47">
        <v>105</v>
      </c>
      <c r="K595" s="47" t="s">
        <v>270</v>
      </c>
    </row>
    <row r="596" spans="1:11">
      <c r="A596" s="2">
        <v>43920</v>
      </c>
      <c r="B596" s="47">
        <v>0.33333333333333331</v>
      </c>
      <c r="C596" s="47" t="s">
        <v>102</v>
      </c>
      <c r="E596" s="47">
        <v>112</v>
      </c>
      <c r="F596" s="47">
        <v>13</v>
      </c>
      <c r="G596" s="47">
        <v>5</v>
      </c>
      <c r="I596" s="47">
        <v>29</v>
      </c>
      <c r="J596" s="47">
        <v>1</v>
      </c>
      <c r="K596" s="47" t="s">
        <v>381</v>
      </c>
    </row>
    <row r="597" spans="1:11">
      <c r="A597" s="2">
        <v>43920</v>
      </c>
      <c r="B597" s="47">
        <v>0.41666666666666669</v>
      </c>
      <c r="C597" s="47" t="s">
        <v>50</v>
      </c>
      <c r="E597" s="47">
        <v>617</v>
      </c>
      <c r="F597" s="47">
        <v>90</v>
      </c>
      <c r="G597" s="47">
        <v>12</v>
      </c>
      <c r="I597" s="47">
        <v>263</v>
      </c>
      <c r="J597" s="47">
        <v>15</v>
      </c>
      <c r="K597" s="47" t="s">
        <v>268</v>
      </c>
    </row>
    <row r="598" spans="1:11">
      <c r="A598" s="2">
        <v>43920</v>
      </c>
      <c r="B598" s="47">
        <v>0.45833333333333331</v>
      </c>
      <c r="C598" s="47" t="s">
        <v>68</v>
      </c>
      <c r="E598" s="47">
        <v>351</v>
      </c>
      <c r="J598" s="47">
        <v>6</v>
      </c>
      <c r="K598" s="47" t="s">
        <v>70</v>
      </c>
    </row>
    <row r="599" spans="1:11">
      <c r="A599" s="2">
        <v>43920</v>
      </c>
      <c r="B599" s="47">
        <v>0.5</v>
      </c>
      <c r="C599" s="47" t="s">
        <v>38</v>
      </c>
      <c r="E599" s="47">
        <v>14</v>
      </c>
      <c r="K599" s="47" t="s">
        <v>40</v>
      </c>
    </row>
    <row r="600" spans="1:11">
      <c r="A600" s="2">
        <v>43920</v>
      </c>
      <c r="B600" s="47">
        <v>0.60416666666666663</v>
      </c>
      <c r="C600" s="47" t="s">
        <v>104</v>
      </c>
      <c r="E600" s="47">
        <v>1862</v>
      </c>
      <c r="F600" s="47">
        <v>197</v>
      </c>
      <c r="H600" s="47">
        <v>46</v>
      </c>
      <c r="J600" s="47">
        <v>24</v>
      </c>
      <c r="K600" s="47" t="s">
        <v>106</v>
      </c>
    </row>
    <row r="601" spans="1:11">
      <c r="A601" s="2">
        <v>43920</v>
      </c>
      <c r="B601" s="47">
        <v>0.625</v>
      </c>
      <c r="C601" s="47" t="s">
        <v>34</v>
      </c>
      <c r="E601" s="47">
        <v>481</v>
      </c>
      <c r="F601" s="47">
        <v>94</v>
      </c>
      <c r="G601" s="47">
        <v>25</v>
      </c>
      <c r="H601" s="47">
        <v>23</v>
      </c>
      <c r="J601" s="47">
        <v>8</v>
      </c>
      <c r="K601" s="47" t="s">
        <v>267</v>
      </c>
    </row>
    <row r="602" spans="1:11">
      <c r="A602" s="2">
        <v>43920</v>
      </c>
      <c r="B602" s="47">
        <v>0.75</v>
      </c>
      <c r="C602" s="47" t="s">
        <v>41</v>
      </c>
      <c r="E602" s="47">
        <v>50</v>
      </c>
      <c r="J602" s="47">
        <v>2</v>
      </c>
      <c r="K602" s="47" t="s">
        <v>43</v>
      </c>
    </row>
    <row r="603" spans="1:11">
      <c r="A603" s="2">
        <v>43921</v>
      </c>
      <c r="C603" s="47" t="s">
        <v>47</v>
      </c>
      <c r="E603" s="47">
        <v>561</v>
      </c>
      <c r="F603" s="47">
        <v>88</v>
      </c>
      <c r="G603" s="47">
        <v>18</v>
      </c>
      <c r="H603" s="47">
        <v>16</v>
      </c>
      <c r="I603" s="47">
        <v>242</v>
      </c>
      <c r="J603" s="47">
        <v>10</v>
      </c>
      <c r="K603" s="47" t="s">
        <v>49</v>
      </c>
    </row>
    <row r="604" spans="1:11">
      <c r="A604" s="2">
        <v>43921</v>
      </c>
      <c r="C604" s="47" t="s">
        <v>53</v>
      </c>
      <c r="E604" s="47">
        <v>68</v>
      </c>
      <c r="K604" s="47" t="s">
        <v>273</v>
      </c>
    </row>
    <row r="605" spans="1:11">
      <c r="A605" s="2">
        <v>43921</v>
      </c>
      <c r="C605" s="47" t="s">
        <v>56</v>
      </c>
      <c r="E605" s="47">
        <v>491</v>
      </c>
      <c r="F605" s="47">
        <v>77</v>
      </c>
      <c r="G605" s="47">
        <v>20</v>
      </c>
      <c r="J605" s="47">
        <v>20</v>
      </c>
      <c r="K605" s="47" t="s">
        <v>640</v>
      </c>
    </row>
    <row r="606" spans="1:11">
      <c r="A606" s="2">
        <v>43921</v>
      </c>
      <c r="C606" s="47" t="s">
        <v>58</v>
      </c>
      <c r="D606" s="47">
        <v>11694</v>
      </c>
      <c r="E606" s="47">
        <v>2902</v>
      </c>
      <c r="F606" s="47">
        <v>405</v>
      </c>
      <c r="G606" s="47">
        <v>64</v>
      </c>
      <c r="H606" s="47">
        <v>49</v>
      </c>
      <c r="I606" s="47">
        <v>241</v>
      </c>
      <c r="J606" s="47">
        <v>68</v>
      </c>
      <c r="K606" s="47" t="s">
        <v>60</v>
      </c>
    </row>
    <row r="607" spans="1:11">
      <c r="A607" s="2">
        <v>43921</v>
      </c>
      <c r="C607" s="47" t="s">
        <v>61</v>
      </c>
      <c r="E607" s="47">
        <v>53</v>
      </c>
      <c r="F607" s="47">
        <v>5</v>
      </c>
      <c r="J607" s="47">
        <v>2</v>
      </c>
      <c r="K607" s="47" t="s">
        <v>427</v>
      </c>
    </row>
    <row r="608" spans="1:11">
      <c r="A608" s="2">
        <v>43921</v>
      </c>
      <c r="C608" s="47" t="s">
        <v>63</v>
      </c>
      <c r="E608" s="47">
        <v>547</v>
      </c>
      <c r="F608" s="47">
        <v>58</v>
      </c>
      <c r="J608" s="47">
        <v>23</v>
      </c>
      <c r="K608" s="47" t="s">
        <v>65</v>
      </c>
    </row>
    <row r="609" spans="1:11">
      <c r="A609" s="2">
        <v>43921</v>
      </c>
      <c r="C609" s="47" t="s">
        <v>66</v>
      </c>
      <c r="E609" s="47">
        <v>140</v>
      </c>
      <c r="F609" s="47">
        <v>29</v>
      </c>
      <c r="G609" s="47">
        <v>5</v>
      </c>
      <c r="J609" s="47">
        <v>0</v>
      </c>
      <c r="K609" s="47" t="s">
        <v>433</v>
      </c>
    </row>
    <row r="610" spans="1:11">
      <c r="A610" s="2">
        <v>43921</v>
      </c>
      <c r="C610" s="47" t="s">
        <v>71</v>
      </c>
      <c r="E610" s="47">
        <v>402</v>
      </c>
      <c r="F610" s="47">
        <v>59</v>
      </c>
      <c r="G610" s="47">
        <v>14</v>
      </c>
      <c r="H610" s="47">
        <v>8</v>
      </c>
      <c r="J610" s="47">
        <v>22</v>
      </c>
      <c r="K610" s="47" t="s">
        <v>377</v>
      </c>
    </row>
    <row r="611" spans="1:11">
      <c r="A611" s="2">
        <v>43921</v>
      </c>
      <c r="C611" s="47" t="s">
        <v>73</v>
      </c>
      <c r="E611" s="47">
        <v>70</v>
      </c>
      <c r="F611" s="47">
        <v>7</v>
      </c>
      <c r="G611" s="47">
        <v>1</v>
      </c>
      <c r="K611" s="47" t="s">
        <v>357</v>
      </c>
    </row>
    <row r="612" spans="1:11">
      <c r="A612" s="2">
        <v>43921</v>
      </c>
      <c r="C612" s="47" t="s">
        <v>75</v>
      </c>
      <c r="E612" s="47">
        <v>46</v>
      </c>
      <c r="K612" s="47" t="s">
        <v>77</v>
      </c>
    </row>
    <row r="613" spans="1:11">
      <c r="A613" s="2">
        <v>43921</v>
      </c>
      <c r="C613" s="47" t="s">
        <v>78</v>
      </c>
      <c r="E613" s="47">
        <v>394</v>
      </c>
      <c r="J613" s="47">
        <v>7</v>
      </c>
      <c r="K613" s="47" t="s">
        <v>80</v>
      </c>
    </row>
    <row r="614" spans="1:11">
      <c r="A614" s="2">
        <v>43921</v>
      </c>
      <c r="C614" s="47" t="s">
        <v>81</v>
      </c>
      <c r="E614" s="47">
        <v>44</v>
      </c>
      <c r="F614" s="47">
        <v>18</v>
      </c>
      <c r="G614" s="47">
        <v>3</v>
      </c>
      <c r="J614" s="47">
        <v>1</v>
      </c>
      <c r="K614" s="47" t="s">
        <v>606</v>
      </c>
    </row>
    <row r="615" spans="1:11">
      <c r="A615" s="2">
        <v>43921</v>
      </c>
      <c r="C615" s="47" t="s">
        <v>86</v>
      </c>
      <c r="E615" s="47">
        <v>140</v>
      </c>
      <c r="I615" s="47">
        <v>48</v>
      </c>
      <c r="J615" s="47">
        <v>4</v>
      </c>
      <c r="K615" s="47" t="s">
        <v>607</v>
      </c>
    </row>
    <row r="616" spans="1:11">
      <c r="A616" s="2">
        <v>43921</v>
      </c>
      <c r="C616" s="47" t="s">
        <v>88</v>
      </c>
      <c r="E616" s="47">
        <v>155</v>
      </c>
      <c r="J616" s="47">
        <v>3</v>
      </c>
      <c r="K616" s="47" t="s">
        <v>90</v>
      </c>
    </row>
    <row r="617" spans="1:11">
      <c r="A617" s="2">
        <v>43921</v>
      </c>
      <c r="C617" s="47" t="s">
        <v>94</v>
      </c>
      <c r="E617" s="47">
        <v>57</v>
      </c>
      <c r="F617" s="47">
        <v>9</v>
      </c>
      <c r="I617" s="47">
        <v>11</v>
      </c>
      <c r="K617" s="47" t="s">
        <v>226</v>
      </c>
    </row>
    <row r="618" spans="1:11">
      <c r="A618" s="2">
        <v>43921</v>
      </c>
      <c r="C618" s="47" t="s">
        <v>97</v>
      </c>
      <c r="E618" s="47">
        <v>3766</v>
      </c>
      <c r="F618" s="47">
        <v>376</v>
      </c>
      <c r="G618" s="47">
        <v>66</v>
      </c>
      <c r="J618" s="47">
        <v>105</v>
      </c>
      <c r="K618" s="47" t="s">
        <v>99</v>
      </c>
    </row>
    <row r="619" spans="1:11">
      <c r="A619" s="2">
        <v>43921</v>
      </c>
      <c r="C619" s="47" t="s">
        <v>100</v>
      </c>
      <c r="E619" s="47">
        <v>1211</v>
      </c>
      <c r="F619" s="47">
        <v>151</v>
      </c>
      <c r="G619" s="47">
        <v>24</v>
      </c>
      <c r="H619" s="47">
        <v>23</v>
      </c>
      <c r="J619" s="47">
        <v>37</v>
      </c>
      <c r="K619" s="47" t="s">
        <v>419</v>
      </c>
    </row>
    <row r="620" spans="1:11">
      <c r="A620" s="2">
        <v>43921</v>
      </c>
      <c r="B620" s="47">
        <v>0</v>
      </c>
      <c r="C620" s="47" t="s">
        <v>83</v>
      </c>
      <c r="E620" s="47">
        <v>196</v>
      </c>
      <c r="J620" s="47">
        <v>2</v>
      </c>
      <c r="K620" s="47" t="s">
        <v>387</v>
      </c>
    </row>
    <row r="621" spans="1:11">
      <c r="A621" s="2">
        <v>43921</v>
      </c>
      <c r="B621" s="47">
        <v>0.33333333333333331</v>
      </c>
      <c r="C621" s="47" t="s">
        <v>44</v>
      </c>
      <c r="E621" s="47">
        <v>856</v>
      </c>
      <c r="F621" s="47">
        <v>111</v>
      </c>
      <c r="G621" s="47">
        <v>23</v>
      </c>
      <c r="H621" s="47">
        <v>18</v>
      </c>
      <c r="J621" s="47">
        <v>16</v>
      </c>
      <c r="K621" s="47" t="s">
        <v>46</v>
      </c>
    </row>
    <row r="622" spans="1:11">
      <c r="A622" s="2">
        <v>43921</v>
      </c>
      <c r="B622" s="47">
        <v>0.33333333333333331</v>
      </c>
      <c r="C622" s="47" t="s">
        <v>91</v>
      </c>
      <c r="E622" s="47">
        <v>2091</v>
      </c>
      <c r="F622" s="47">
        <v>401</v>
      </c>
      <c r="G622" s="47">
        <v>74</v>
      </c>
      <c r="H622" s="47">
        <v>67</v>
      </c>
      <c r="I622" s="47">
        <v>202</v>
      </c>
      <c r="J622" s="47">
        <v>120</v>
      </c>
      <c r="K622" s="47" t="s">
        <v>274</v>
      </c>
    </row>
    <row r="623" spans="1:11">
      <c r="A623" s="2">
        <v>43921</v>
      </c>
      <c r="B623" s="47">
        <v>0.33333333333333331</v>
      </c>
      <c r="C623" s="47" t="s">
        <v>102</v>
      </c>
      <c r="E623" s="47">
        <v>114</v>
      </c>
      <c r="F623" s="47">
        <v>14</v>
      </c>
      <c r="G623" s="47">
        <v>6</v>
      </c>
      <c r="I623" s="47">
        <v>39</v>
      </c>
      <c r="J623" s="47">
        <v>1</v>
      </c>
      <c r="K623" s="47" t="s">
        <v>381</v>
      </c>
    </row>
    <row r="624" spans="1:11">
      <c r="A624" s="2">
        <v>43921</v>
      </c>
      <c r="B624" s="47">
        <v>0.41666666666666669</v>
      </c>
      <c r="C624" s="47" t="s">
        <v>50</v>
      </c>
      <c r="E624" s="47">
        <v>653</v>
      </c>
      <c r="F624" s="47">
        <v>105</v>
      </c>
      <c r="G624" s="47">
        <v>15</v>
      </c>
      <c r="I624" s="47">
        <v>292</v>
      </c>
      <c r="J624" s="47">
        <v>16</v>
      </c>
      <c r="K624" s="47" t="s">
        <v>272</v>
      </c>
    </row>
    <row r="625" spans="1:11">
      <c r="A625" s="2">
        <v>43921</v>
      </c>
      <c r="B625" s="47">
        <v>0.45833333333333331</v>
      </c>
      <c r="C625" s="47" t="s">
        <v>68</v>
      </c>
      <c r="E625" s="47">
        <v>375</v>
      </c>
      <c r="J625" s="47">
        <v>7</v>
      </c>
      <c r="K625" s="47" t="s">
        <v>70</v>
      </c>
    </row>
    <row r="626" spans="1:11">
      <c r="A626" s="2">
        <v>43921</v>
      </c>
      <c r="B626" s="47">
        <v>0.5</v>
      </c>
      <c r="C626" s="47" t="s">
        <v>38</v>
      </c>
      <c r="E626" s="47">
        <v>14</v>
      </c>
      <c r="K626" s="47" t="s">
        <v>40</v>
      </c>
    </row>
    <row r="627" spans="1:11">
      <c r="A627" s="2">
        <v>43921</v>
      </c>
      <c r="B627" s="47">
        <v>0.60416666666666663</v>
      </c>
      <c r="C627" s="47" t="s">
        <v>104</v>
      </c>
      <c r="E627" s="47">
        <v>1953</v>
      </c>
      <c r="F627" s="47">
        <v>196</v>
      </c>
      <c r="H627" s="47">
        <v>50</v>
      </c>
      <c r="J627" s="47">
        <v>27</v>
      </c>
      <c r="K627" s="47" t="s">
        <v>106</v>
      </c>
    </row>
    <row r="628" spans="1:11">
      <c r="A628" s="2">
        <v>43921</v>
      </c>
      <c r="B628" s="47">
        <v>0.625</v>
      </c>
      <c r="C628" s="47" t="s">
        <v>34</v>
      </c>
      <c r="E628" s="47">
        <v>499</v>
      </c>
      <c r="F628" s="47">
        <v>85</v>
      </c>
      <c r="G628" s="47">
        <v>25</v>
      </c>
      <c r="H628" s="47">
        <v>25</v>
      </c>
      <c r="J628" s="47">
        <v>11</v>
      </c>
      <c r="K628" s="47" t="s">
        <v>271</v>
      </c>
    </row>
    <row r="629" spans="1:11">
      <c r="A629" s="2">
        <v>43921</v>
      </c>
      <c r="B629" s="47">
        <v>0.66666666666666663</v>
      </c>
      <c r="C629" s="47" t="s">
        <v>41</v>
      </c>
      <c r="E629" s="47">
        <v>58</v>
      </c>
      <c r="J629" s="47">
        <v>2</v>
      </c>
      <c r="K629" s="47" t="s">
        <v>43</v>
      </c>
    </row>
    <row r="630" spans="1:11">
      <c r="A630" s="2">
        <v>43922</v>
      </c>
      <c r="C630" s="47" t="s">
        <v>47</v>
      </c>
      <c r="E630" s="47">
        <v>588</v>
      </c>
      <c r="F630" s="47">
        <v>86</v>
      </c>
      <c r="G630" s="47">
        <v>17</v>
      </c>
      <c r="H630" s="47">
        <v>17</v>
      </c>
      <c r="I630" s="47">
        <v>249</v>
      </c>
      <c r="J630" s="47">
        <v>11</v>
      </c>
      <c r="K630" s="47" t="s">
        <v>49</v>
      </c>
    </row>
    <row r="631" spans="1:11">
      <c r="A631" s="2">
        <v>43922</v>
      </c>
      <c r="C631" s="47" t="s">
        <v>53</v>
      </c>
      <c r="E631" s="47">
        <v>72</v>
      </c>
      <c r="K631" s="47" t="s">
        <v>277</v>
      </c>
    </row>
    <row r="632" spans="1:11">
      <c r="A632" s="2">
        <v>43922</v>
      </c>
      <c r="C632" s="47" t="s">
        <v>56</v>
      </c>
      <c r="E632" s="47">
        <v>525</v>
      </c>
      <c r="F632" s="47">
        <v>81</v>
      </c>
      <c r="G632" s="47">
        <v>23</v>
      </c>
      <c r="J632" s="47">
        <v>23</v>
      </c>
      <c r="K632" s="47" t="s">
        <v>640</v>
      </c>
    </row>
    <row r="633" spans="1:11">
      <c r="A633" s="2">
        <v>43922</v>
      </c>
      <c r="C633" s="47" t="s">
        <v>58</v>
      </c>
      <c r="D633" s="47">
        <v>12350</v>
      </c>
      <c r="E633" s="47">
        <v>3059</v>
      </c>
      <c r="F633" s="47">
        <v>406</v>
      </c>
      <c r="G633" s="47">
        <v>64</v>
      </c>
      <c r="H633" s="47">
        <v>58</v>
      </c>
      <c r="I633" s="47">
        <v>260</v>
      </c>
      <c r="J633" s="47">
        <v>77</v>
      </c>
      <c r="K633" s="47" t="s">
        <v>60</v>
      </c>
    </row>
    <row r="634" spans="1:11">
      <c r="A634" s="2">
        <v>43922</v>
      </c>
      <c r="C634" s="47" t="s">
        <v>61</v>
      </c>
      <c r="E634" s="47">
        <v>56</v>
      </c>
      <c r="F634" s="47">
        <v>5</v>
      </c>
      <c r="J634" s="47">
        <v>2</v>
      </c>
      <c r="K634" s="47" t="s">
        <v>427</v>
      </c>
    </row>
    <row r="635" spans="1:11">
      <c r="A635" s="2">
        <v>43922</v>
      </c>
      <c r="C635" s="47" t="s">
        <v>63</v>
      </c>
      <c r="E635" s="47">
        <v>592</v>
      </c>
      <c r="F635" s="47">
        <v>59</v>
      </c>
      <c r="J635" s="47">
        <v>26</v>
      </c>
      <c r="K635" s="47" t="s">
        <v>65</v>
      </c>
    </row>
    <row r="636" spans="1:11">
      <c r="A636" s="2">
        <v>43922</v>
      </c>
      <c r="C636" s="47" t="s">
        <v>66</v>
      </c>
      <c r="E636" s="47">
        <v>145</v>
      </c>
      <c r="F636" s="47">
        <v>29</v>
      </c>
      <c r="G636" s="47">
        <v>5</v>
      </c>
      <c r="J636" s="47">
        <v>0</v>
      </c>
      <c r="K636" s="47" t="s">
        <v>433</v>
      </c>
    </row>
    <row r="637" spans="1:11">
      <c r="A637" s="2">
        <v>43922</v>
      </c>
      <c r="C637" s="47" t="s">
        <v>71</v>
      </c>
      <c r="E637" s="47">
        <v>420</v>
      </c>
      <c r="F637" s="47">
        <v>66</v>
      </c>
      <c r="G637" s="47">
        <v>14</v>
      </c>
      <c r="H637" s="47">
        <v>8</v>
      </c>
      <c r="J637" s="47">
        <v>24</v>
      </c>
      <c r="K637" s="47" t="s">
        <v>377</v>
      </c>
    </row>
    <row r="638" spans="1:11">
      <c r="A638" s="2">
        <v>43922</v>
      </c>
      <c r="C638" s="47" t="s">
        <v>73</v>
      </c>
      <c r="E638" s="47">
        <v>70</v>
      </c>
      <c r="F638" s="47">
        <v>9</v>
      </c>
      <c r="G638" s="47">
        <v>2</v>
      </c>
      <c r="K638" s="47" t="s">
        <v>357</v>
      </c>
    </row>
    <row r="639" spans="1:11">
      <c r="A639" s="2">
        <v>43922</v>
      </c>
      <c r="C639" s="47" t="s">
        <v>75</v>
      </c>
      <c r="E639" s="47">
        <v>48</v>
      </c>
      <c r="K639" s="47" t="s">
        <v>77</v>
      </c>
    </row>
    <row r="640" spans="1:11">
      <c r="A640" s="2">
        <v>43922</v>
      </c>
      <c r="C640" s="47" t="s">
        <v>78</v>
      </c>
      <c r="E640" s="47">
        <v>414</v>
      </c>
      <c r="J640" s="47">
        <v>7</v>
      </c>
      <c r="K640" s="47" t="s">
        <v>80</v>
      </c>
    </row>
    <row r="641" spans="1:11">
      <c r="A641" s="2">
        <v>43922</v>
      </c>
      <c r="C641" s="47" t="s">
        <v>81</v>
      </c>
      <c r="E641" s="47">
        <v>44</v>
      </c>
      <c r="F641" s="47">
        <v>10</v>
      </c>
      <c r="G641" s="47">
        <v>3</v>
      </c>
      <c r="J641" s="47">
        <v>1</v>
      </c>
      <c r="K641" s="47" t="s">
        <v>606</v>
      </c>
    </row>
    <row r="642" spans="1:11">
      <c r="A642" s="2">
        <v>43922</v>
      </c>
      <c r="C642" s="47" t="s">
        <v>86</v>
      </c>
      <c r="E642" s="47">
        <v>146</v>
      </c>
      <c r="I642" s="47">
        <v>65</v>
      </c>
      <c r="J642" s="47">
        <v>4</v>
      </c>
      <c r="K642" s="47" t="s">
        <v>607</v>
      </c>
    </row>
    <row r="643" spans="1:11">
      <c r="A643" s="2">
        <v>43922</v>
      </c>
      <c r="C643" s="47" t="s">
        <v>88</v>
      </c>
      <c r="E643" s="47">
        <v>167</v>
      </c>
      <c r="J643" s="47">
        <v>4</v>
      </c>
      <c r="K643" s="47" t="s">
        <v>90</v>
      </c>
    </row>
    <row r="644" spans="1:11">
      <c r="A644" s="2">
        <v>43922</v>
      </c>
      <c r="C644" s="47" t="s">
        <v>94</v>
      </c>
      <c r="E644" s="47">
        <v>59</v>
      </c>
      <c r="F644" s="47">
        <v>10</v>
      </c>
      <c r="I644" s="47">
        <v>13</v>
      </c>
      <c r="J644" s="47">
        <v>1</v>
      </c>
      <c r="K644" s="47" t="s">
        <v>226</v>
      </c>
    </row>
    <row r="645" spans="1:11">
      <c r="A645" s="2">
        <v>43922</v>
      </c>
      <c r="C645" s="47" t="s">
        <v>97</v>
      </c>
      <c r="E645" s="47">
        <v>3918</v>
      </c>
      <c r="F645" s="47">
        <v>380</v>
      </c>
      <c r="G645" s="47">
        <v>67</v>
      </c>
      <c r="J645" s="47">
        <v>116</v>
      </c>
      <c r="K645" s="47" t="s">
        <v>99</v>
      </c>
    </row>
    <row r="646" spans="1:11">
      <c r="A646" s="2">
        <v>43922</v>
      </c>
      <c r="C646" s="47" t="s">
        <v>100</v>
      </c>
      <c r="E646" s="47">
        <v>1282</v>
      </c>
      <c r="F646" s="47">
        <v>145</v>
      </c>
      <c r="G646" s="47">
        <v>26</v>
      </c>
      <c r="H646" s="47">
        <v>25</v>
      </c>
      <c r="I646" s="47">
        <v>70</v>
      </c>
      <c r="J646" s="47">
        <v>40</v>
      </c>
      <c r="K646" s="47" t="s">
        <v>419</v>
      </c>
    </row>
    <row r="647" spans="1:11">
      <c r="A647" s="2">
        <v>43922</v>
      </c>
      <c r="B647" s="47">
        <v>0</v>
      </c>
      <c r="C647" s="47" t="s">
        <v>83</v>
      </c>
      <c r="E647" s="47">
        <v>216</v>
      </c>
      <c r="J647" s="47">
        <v>3</v>
      </c>
      <c r="K647" s="47" t="s">
        <v>387</v>
      </c>
    </row>
    <row r="648" spans="1:11">
      <c r="A648" s="2">
        <v>43922</v>
      </c>
      <c r="B648" s="47">
        <v>0.33333333333333331</v>
      </c>
      <c r="C648" s="47" t="s">
        <v>44</v>
      </c>
      <c r="E648" s="47">
        <v>909</v>
      </c>
      <c r="F648" s="47">
        <v>115</v>
      </c>
      <c r="G648" s="47">
        <v>26</v>
      </c>
      <c r="H648" s="47">
        <v>21</v>
      </c>
      <c r="J648" s="47">
        <v>20</v>
      </c>
      <c r="K648" s="47" t="s">
        <v>46</v>
      </c>
    </row>
    <row r="649" spans="1:11">
      <c r="A649" s="2">
        <v>43922</v>
      </c>
      <c r="B649" s="47">
        <v>0.33333333333333331</v>
      </c>
      <c r="C649" s="47" t="s">
        <v>91</v>
      </c>
      <c r="E649" s="47">
        <v>2195</v>
      </c>
      <c r="F649" s="47">
        <v>396</v>
      </c>
      <c r="G649" s="47">
        <v>76</v>
      </c>
      <c r="H649" s="47">
        <v>72</v>
      </c>
      <c r="I649" s="47">
        <v>229</v>
      </c>
      <c r="J649" s="47">
        <v>132</v>
      </c>
      <c r="K649" s="47" t="s">
        <v>278</v>
      </c>
    </row>
    <row r="650" spans="1:11">
      <c r="A650" s="2">
        <v>43922</v>
      </c>
      <c r="B650" s="47">
        <v>0.33333333333333331</v>
      </c>
      <c r="C650" s="47" t="s">
        <v>102</v>
      </c>
      <c r="E650" s="47">
        <v>125</v>
      </c>
      <c r="F650" s="47">
        <v>13</v>
      </c>
      <c r="G650" s="47">
        <v>5</v>
      </c>
      <c r="I650" s="47">
        <v>40</v>
      </c>
      <c r="J650" s="47">
        <v>1</v>
      </c>
      <c r="K650" s="47" t="s">
        <v>381</v>
      </c>
    </row>
    <row r="651" spans="1:11">
      <c r="A651" s="2">
        <v>43922</v>
      </c>
      <c r="B651" s="47">
        <v>0.41666666666666669</v>
      </c>
      <c r="C651" s="47" t="s">
        <v>50</v>
      </c>
      <c r="E651" s="47">
        <v>687</v>
      </c>
      <c r="F651" s="47">
        <v>108</v>
      </c>
      <c r="G651" s="47">
        <v>16</v>
      </c>
      <c r="I651" s="47">
        <v>323</v>
      </c>
      <c r="J651" s="47">
        <v>18</v>
      </c>
      <c r="K651" s="47" t="s">
        <v>276</v>
      </c>
    </row>
    <row r="652" spans="1:11">
      <c r="A652" s="2">
        <v>43922</v>
      </c>
      <c r="B652" s="47">
        <v>0.45833333333333331</v>
      </c>
      <c r="C652" s="47" t="s">
        <v>68</v>
      </c>
      <c r="E652" s="47">
        <v>401</v>
      </c>
      <c r="F652" s="47">
        <v>57</v>
      </c>
      <c r="G652" s="47">
        <v>12</v>
      </c>
      <c r="J652" s="47">
        <v>7</v>
      </c>
      <c r="K652" s="47" t="s">
        <v>70</v>
      </c>
    </row>
    <row r="653" spans="1:11">
      <c r="A653" s="2">
        <v>43922</v>
      </c>
      <c r="B653" s="47">
        <v>0.60416666666666663</v>
      </c>
      <c r="C653" s="47" t="s">
        <v>104</v>
      </c>
      <c r="E653" s="47">
        <v>2142</v>
      </c>
      <c r="F653" s="47">
        <v>203</v>
      </c>
      <c r="H653" s="47">
        <v>54</v>
      </c>
      <c r="J653" s="47">
        <v>36</v>
      </c>
      <c r="K653" s="47" t="s">
        <v>106</v>
      </c>
    </row>
    <row r="654" spans="1:11">
      <c r="A654" s="2">
        <v>43922</v>
      </c>
      <c r="B654" s="47">
        <v>0.625</v>
      </c>
      <c r="C654" s="47" t="s">
        <v>34</v>
      </c>
      <c r="E654" s="47">
        <v>549</v>
      </c>
      <c r="F654" s="47">
        <v>94</v>
      </c>
      <c r="G654" s="47">
        <v>27</v>
      </c>
      <c r="H654" s="47">
        <v>27</v>
      </c>
      <c r="J654" s="47">
        <v>11</v>
      </c>
      <c r="K654" s="47" t="s">
        <v>275</v>
      </c>
    </row>
    <row r="655" spans="1:11">
      <c r="A655" s="2">
        <v>43922</v>
      </c>
      <c r="B655" s="47">
        <v>0.70833333333333337</v>
      </c>
      <c r="C655" s="47" t="s">
        <v>41</v>
      </c>
      <c r="E655" s="47">
        <v>61</v>
      </c>
      <c r="J655" s="47">
        <v>3</v>
      </c>
      <c r="K655" s="47" t="s">
        <v>43</v>
      </c>
    </row>
    <row r="656" spans="1:11">
      <c r="A656" s="2">
        <v>43923</v>
      </c>
      <c r="C656" s="47" t="s">
        <v>47</v>
      </c>
      <c r="E656" s="47">
        <v>610</v>
      </c>
      <c r="F656" s="47">
        <v>81</v>
      </c>
      <c r="G656" s="47">
        <v>18</v>
      </c>
      <c r="H656" s="47">
        <v>18</v>
      </c>
      <c r="I656" s="47">
        <v>262</v>
      </c>
      <c r="J656" s="47">
        <v>12</v>
      </c>
      <c r="K656" s="47" t="s">
        <v>49</v>
      </c>
    </row>
    <row r="657" spans="1:11">
      <c r="A657" s="2">
        <v>43923</v>
      </c>
      <c r="C657" s="47" t="s">
        <v>53</v>
      </c>
      <c r="E657" s="47">
        <v>75</v>
      </c>
      <c r="K657" s="47" t="s">
        <v>281</v>
      </c>
    </row>
    <row r="658" spans="1:11">
      <c r="A658" s="2">
        <v>43923</v>
      </c>
      <c r="C658" s="47" t="s">
        <v>56</v>
      </c>
      <c r="E658" s="47">
        <v>550</v>
      </c>
      <c r="F658" s="47">
        <v>80</v>
      </c>
      <c r="G658" s="47">
        <v>23</v>
      </c>
      <c r="I658" s="47">
        <v>46</v>
      </c>
      <c r="J658" s="47">
        <v>26</v>
      </c>
      <c r="K658" s="47" t="s">
        <v>640</v>
      </c>
    </row>
    <row r="659" spans="1:11">
      <c r="A659" s="2">
        <v>43923</v>
      </c>
      <c r="C659" s="47" t="s">
        <v>58</v>
      </c>
      <c r="D659" s="47">
        <v>13297</v>
      </c>
      <c r="E659" s="47">
        <v>3270</v>
      </c>
      <c r="F659" s="47">
        <v>424</v>
      </c>
      <c r="G659" s="47">
        <v>62</v>
      </c>
      <c r="H659" s="47">
        <v>54</v>
      </c>
      <c r="I659" s="47">
        <v>283</v>
      </c>
      <c r="J659" s="47">
        <v>85</v>
      </c>
      <c r="K659" s="47" t="s">
        <v>60</v>
      </c>
    </row>
    <row r="660" spans="1:11">
      <c r="A660" s="2">
        <v>43923</v>
      </c>
      <c r="C660" s="47" t="s">
        <v>61</v>
      </c>
      <c r="E660" s="47">
        <v>58</v>
      </c>
      <c r="F660" s="47">
        <v>5</v>
      </c>
      <c r="J660" s="47">
        <v>2</v>
      </c>
      <c r="K660" s="47" t="s">
        <v>427</v>
      </c>
    </row>
    <row r="661" spans="1:11">
      <c r="A661" s="2">
        <v>43923</v>
      </c>
      <c r="C661" s="47" t="s">
        <v>63</v>
      </c>
      <c r="E661" s="47">
        <v>622</v>
      </c>
      <c r="F661" s="47">
        <v>60</v>
      </c>
      <c r="J661" s="47">
        <v>28</v>
      </c>
      <c r="K661" s="47" t="s">
        <v>65</v>
      </c>
    </row>
    <row r="662" spans="1:11">
      <c r="A662" s="2">
        <v>43923</v>
      </c>
      <c r="C662" s="47" t="s">
        <v>66</v>
      </c>
      <c r="E662" s="47">
        <v>149</v>
      </c>
      <c r="F662" s="47">
        <v>29</v>
      </c>
      <c r="G662" s="47">
        <v>3</v>
      </c>
      <c r="J662" s="47">
        <v>0</v>
      </c>
      <c r="K662" s="47" t="s">
        <v>433</v>
      </c>
    </row>
    <row r="663" spans="1:11">
      <c r="A663" s="2">
        <v>43923</v>
      </c>
      <c r="C663" s="47" t="s">
        <v>71</v>
      </c>
      <c r="E663" s="47">
        <v>430</v>
      </c>
      <c r="F663" s="47">
        <v>61</v>
      </c>
      <c r="G663" s="47">
        <v>12</v>
      </c>
      <c r="H663" s="47">
        <v>10</v>
      </c>
      <c r="J663" s="47">
        <v>27</v>
      </c>
      <c r="K663" s="47" t="s">
        <v>377</v>
      </c>
    </row>
    <row r="664" spans="1:11">
      <c r="A664" s="2">
        <v>43923</v>
      </c>
      <c r="C664" s="47" t="s">
        <v>73</v>
      </c>
      <c r="E664" s="47">
        <v>76</v>
      </c>
      <c r="F664" s="47">
        <v>9</v>
      </c>
      <c r="G664" s="47">
        <v>2</v>
      </c>
      <c r="K664" s="47" t="s">
        <v>357</v>
      </c>
    </row>
    <row r="665" spans="1:11">
      <c r="A665" s="2">
        <v>43923</v>
      </c>
      <c r="C665" s="47" t="s">
        <v>75</v>
      </c>
      <c r="E665" s="47">
        <v>51</v>
      </c>
      <c r="K665" s="47" t="s">
        <v>77</v>
      </c>
    </row>
    <row r="666" spans="1:11">
      <c r="A666" s="2">
        <v>43923</v>
      </c>
      <c r="C666" s="47" t="s">
        <v>78</v>
      </c>
      <c r="E666" s="47">
        <v>455</v>
      </c>
      <c r="F666" s="47">
        <v>64</v>
      </c>
      <c r="G666" s="47">
        <v>11</v>
      </c>
      <c r="I666" s="47">
        <v>49</v>
      </c>
      <c r="J666" s="47">
        <v>8</v>
      </c>
      <c r="K666" s="47" t="s">
        <v>80</v>
      </c>
    </row>
    <row r="667" spans="1:11">
      <c r="A667" s="2">
        <v>43923</v>
      </c>
      <c r="C667" s="47" t="s">
        <v>81</v>
      </c>
      <c r="E667" s="47">
        <v>47</v>
      </c>
      <c r="F667" s="47">
        <v>18</v>
      </c>
      <c r="G667" s="47">
        <v>3</v>
      </c>
      <c r="J667" s="47">
        <v>1</v>
      </c>
      <c r="K667" s="47" t="s">
        <v>606</v>
      </c>
    </row>
    <row r="668" spans="1:11">
      <c r="A668" s="2">
        <v>43923</v>
      </c>
      <c r="C668" s="47" t="s">
        <v>86</v>
      </c>
      <c r="E668" s="47">
        <v>155</v>
      </c>
      <c r="I668" s="47">
        <v>65</v>
      </c>
      <c r="J668" s="47">
        <v>4</v>
      </c>
      <c r="K668" s="47" t="s">
        <v>607</v>
      </c>
    </row>
    <row r="669" spans="1:11">
      <c r="A669" s="2">
        <v>43923</v>
      </c>
      <c r="C669" s="47" t="s">
        <v>88</v>
      </c>
      <c r="E669" s="47">
        <v>180</v>
      </c>
      <c r="J669" s="47">
        <v>4</v>
      </c>
      <c r="K669" s="47" t="s">
        <v>90</v>
      </c>
    </row>
    <row r="670" spans="1:11">
      <c r="A670" s="2">
        <v>43923</v>
      </c>
      <c r="C670" s="47" t="s">
        <v>97</v>
      </c>
      <c r="E670" s="47">
        <v>4052</v>
      </c>
      <c r="F670" s="47">
        <v>370</v>
      </c>
      <c r="G670" s="47">
        <v>68</v>
      </c>
      <c r="J670" s="47">
        <v>135</v>
      </c>
      <c r="K670" s="47" t="s">
        <v>99</v>
      </c>
    </row>
    <row r="671" spans="1:11">
      <c r="A671" s="2">
        <v>43923</v>
      </c>
      <c r="C671" s="47" t="s">
        <v>100</v>
      </c>
      <c r="E671" s="47">
        <v>1334</v>
      </c>
      <c r="F671" s="47">
        <v>145</v>
      </c>
      <c r="G671" s="47">
        <v>28</v>
      </c>
      <c r="H671" s="47">
        <v>24</v>
      </c>
      <c r="I671" s="47">
        <v>88</v>
      </c>
      <c r="J671" s="47">
        <v>47</v>
      </c>
      <c r="K671" s="47" t="s">
        <v>419</v>
      </c>
    </row>
    <row r="672" spans="1:11">
      <c r="A672" s="2">
        <v>43923</v>
      </c>
      <c r="B672" s="47">
        <v>0</v>
      </c>
      <c r="C672" s="47" t="s">
        <v>83</v>
      </c>
      <c r="E672" s="47">
        <v>227</v>
      </c>
      <c r="F672" s="47">
        <v>14</v>
      </c>
      <c r="J672" s="47">
        <v>3</v>
      </c>
      <c r="K672" s="47" t="s">
        <v>387</v>
      </c>
    </row>
    <row r="673" spans="1:11">
      <c r="A673" s="2">
        <v>43923</v>
      </c>
      <c r="B673" s="47">
        <v>0.33333333333333331</v>
      </c>
      <c r="C673" s="47" t="s">
        <v>44</v>
      </c>
      <c r="E673" s="47">
        <v>1003</v>
      </c>
      <c r="F673" s="47">
        <v>104</v>
      </c>
      <c r="G673" s="47">
        <v>24</v>
      </c>
      <c r="H673" s="47">
        <v>20</v>
      </c>
      <c r="J673" s="47">
        <v>23</v>
      </c>
      <c r="K673" s="47" t="s">
        <v>46</v>
      </c>
    </row>
    <row r="674" spans="1:11">
      <c r="A674" s="2">
        <v>43923</v>
      </c>
      <c r="B674" s="47">
        <v>0.33333333333333331</v>
      </c>
      <c r="C674" s="47" t="s">
        <v>91</v>
      </c>
      <c r="E674" s="47">
        <v>2271</v>
      </c>
      <c r="F674" s="47">
        <v>374</v>
      </c>
      <c r="G674" s="47">
        <v>75</v>
      </c>
      <c r="H674" s="47">
        <v>73</v>
      </c>
      <c r="I674" s="47">
        <v>263</v>
      </c>
      <c r="J674" s="47">
        <v>141</v>
      </c>
      <c r="K674" s="47" t="s">
        <v>282</v>
      </c>
    </row>
    <row r="675" spans="1:11">
      <c r="A675" s="2">
        <v>43923</v>
      </c>
      <c r="B675" s="47">
        <v>0.33333333333333331</v>
      </c>
      <c r="C675" s="47" t="s">
        <v>102</v>
      </c>
      <c r="E675" s="47">
        <v>131</v>
      </c>
      <c r="F675" s="47">
        <v>14</v>
      </c>
      <c r="G675" s="47">
        <v>5</v>
      </c>
      <c r="I675" s="47">
        <v>41</v>
      </c>
      <c r="J675" s="47">
        <v>1</v>
      </c>
      <c r="K675" s="47" t="s">
        <v>381</v>
      </c>
    </row>
    <row r="676" spans="1:11">
      <c r="A676" s="2">
        <v>43923</v>
      </c>
      <c r="B676" s="47">
        <v>0.41666666666666669</v>
      </c>
      <c r="C676" s="47" t="s">
        <v>50</v>
      </c>
      <c r="E676" s="47">
        <v>714</v>
      </c>
      <c r="F676" s="47">
        <v>119</v>
      </c>
      <c r="G676" s="47">
        <v>17</v>
      </c>
      <c r="I676" s="47">
        <v>350</v>
      </c>
      <c r="J676" s="47">
        <v>19</v>
      </c>
      <c r="K676" s="47" t="s">
        <v>280</v>
      </c>
    </row>
    <row r="677" spans="1:11">
      <c r="A677" s="2">
        <v>43923</v>
      </c>
      <c r="B677" s="47">
        <v>0.45833333333333331</v>
      </c>
      <c r="C677" s="47" t="s">
        <v>68</v>
      </c>
      <c r="E677" s="47">
        <v>422</v>
      </c>
      <c r="F677" s="47">
        <v>66</v>
      </c>
      <c r="G677" s="47">
        <v>11</v>
      </c>
      <c r="J677" s="47">
        <v>7</v>
      </c>
      <c r="K677" s="47" t="s">
        <v>70</v>
      </c>
    </row>
    <row r="678" spans="1:11">
      <c r="A678" s="2">
        <v>43923</v>
      </c>
      <c r="B678" s="47">
        <v>0.5</v>
      </c>
      <c r="C678" s="47" t="s">
        <v>41</v>
      </c>
      <c r="E678" s="47">
        <v>64</v>
      </c>
      <c r="J678" s="47">
        <v>3</v>
      </c>
      <c r="K678" s="47" t="s">
        <v>43</v>
      </c>
    </row>
    <row r="679" spans="1:11">
      <c r="A679" s="2">
        <v>43923</v>
      </c>
      <c r="B679" s="47">
        <v>0.58333333333333337</v>
      </c>
      <c r="C679" s="47" t="s">
        <v>94</v>
      </c>
      <c r="E679" s="47">
        <v>60</v>
      </c>
      <c r="F679" s="47">
        <v>4</v>
      </c>
      <c r="I679" s="47">
        <v>13</v>
      </c>
      <c r="J679" s="47">
        <v>1</v>
      </c>
      <c r="K679" s="47" t="s">
        <v>226</v>
      </c>
    </row>
    <row r="680" spans="1:11">
      <c r="A680" s="2">
        <v>43923</v>
      </c>
      <c r="B680" s="47">
        <v>0.60416666666666663</v>
      </c>
      <c r="C680" s="47" t="s">
        <v>104</v>
      </c>
      <c r="E680" s="47">
        <v>2306</v>
      </c>
      <c r="F680" s="47">
        <v>200</v>
      </c>
      <c r="H680" s="47">
        <v>53</v>
      </c>
      <c r="J680" s="47">
        <v>39</v>
      </c>
      <c r="K680" s="47" t="s">
        <v>106</v>
      </c>
    </row>
    <row r="681" spans="1:11">
      <c r="A681" s="2">
        <v>43923</v>
      </c>
      <c r="B681" s="47">
        <v>0.625</v>
      </c>
      <c r="C681" s="47" t="s">
        <v>34</v>
      </c>
      <c r="E681" s="47">
        <v>592</v>
      </c>
      <c r="F681" s="47">
        <v>94</v>
      </c>
      <c r="G681" s="47">
        <v>27</v>
      </c>
      <c r="H681" s="47">
        <v>27</v>
      </c>
      <c r="J681" s="47">
        <v>12</v>
      </c>
      <c r="K681" s="47" t="s">
        <v>279</v>
      </c>
    </row>
    <row r="682" spans="1:11">
      <c r="A682" s="2">
        <v>43923</v>
      </c>
      <c r="B682" s="47">
        <v>0.70833333333333337</v>
      </c>
      <c r="C682" s="47" t="s">
        <v>38</v>
      </c>
      <c r="E682" s="47">
        <v>20</v>
      </c>
      <c r="K682" s="47" t="s">
        <v>40</v>
      </c>
    </row>
    <row r="683" spans="1:11">
      <c r="A683" s="2">
        <v>43924</v>
      </c>
      <c r="C683" s="47" t="s">
        <v>47</v>
      </c>
      <c r="E683" s="47">
        <v>625</v>
      </c>
      <c r="F683" s="47">
        <v>82</v>
      </c>
      <c r="G683" s="47">
        <v>18</v>
      </c>
      <c r="H683" s="47">
        <v>18</v>
      </c>
      <c r="I683" s="47">
        <v>266</v>
      </c>
      <c r="J683" s="47">
        <v>14</v>
      </c>
      <c r="K683" s="47" t="s">
        <v>49</v>
      </c>
    </row>
    <row r="684" spans="1:11">
      <c r="A684" s="2">
        <v>43924</v>
      </c>
      <c r="C684" s="47" t="s">
        <v>53</v>
      </c>
      <c r="E684" s="47">
        <v>76</v>
      </c>
      <c r="K684" s="47" t="s">
        <v>281</v>
      </c>
    </row>
    <row r="685" spans="1:11">
      <c r="A685" s="2">
        <v>43924</v>
      </c>
      <c r="C685" s="47" t="s">
        <v>56</v>
      </c>
      <c r="E685" s="47">
        <v>588</v>
      </c>
      <c r="F685" s="47">
        <v>77</v>
      </c>
      <c r="G685" s="47">
        <v>21</v>
      </c>
      <c r="I685" s="47">
        <v>46</v>
      </c>
      <c r="J685" s="47">
        <v>31</v>
      </c>
      <c r="K685" s="47" t="s">
        <v>640</v>
      </c>
    </row>
    <row r="686" spans="1:11">
      <c r="A686" s="2">
        <v>43924</v>
      </c>
      <c r="C686" s="47" t="s">
        <v>58</v>
      </c>
      <c r="D686" s="47">
        <v>14126</v>
      </c>
      <c r="E686" s="47">
        <v>3456</v>
      </c>
      <c r="F686" s="47">
        <v>424</v>
      </c>
      <c r="G686" s="47">
        <v>65</v>
      </c>
      <c r="H686" s="47">
        <v>58</v>
      </c>
      <c r="I686" s="47">
        <v>284</v>
      </c>
      <c r="J686" s="47">
        <v>92</v>
      </c>
      <c r="K686" s="47" t="s">
        <v>60</v>
      </c>
    </row>
    <row r="687" spans="1:11">
      <c r="A687" s="2">
        <v>43924</v>
      </c>
      <c r="C687" s="47" t="s">
        <v>61</v>
      </c>
      <c r="E687" s="47">
        <v>59</v>
      </c>
      <c r="F687" s="47">
        <v>5</v>
      </c>
      <c r="J687" s="47">
        <v>2</v>
      </c>
      <c r="K687" s="47" t="s">
        <v>427</v>
      </c>
    </row>
    <row r="688" spans="1:11">
      <c r="A688" s="2">
        <v>43924</v>
      </c>
      <c r="C688" s="47" t="s">
        <v>63</v>
      </c>
      <c r="E688" s="47">
        <v>649</v>
      </c>
      <c r="F688" s="47">
        <v>51</v>
      </c>
      <c r="J688" s="47">
        <v>30</v>
      </c>
      <c r="K688" s="47" t="s">
        <v>65</v>
      </c>
    </row>
    <row r="689" spans="1:11">
      <c r="A689" s="2">
        <v>43924</v>
      </c>
      <c r="C689" s="47" t="s">
        <v>66</v>
      </c>
      <c r="E689" s="47">
        <v>149</v>
      </c>
      <c r="F689" s="47">
        <v>28</v>
      </c>
      <c r="G689" s="47">
        <v>3</v>
      </c>
      <c r="J689" s="47">
        <v>0</v>
      </c>
      <c r="K689" s="47" t="s">
        <v>433</v>
      </c>
    </row>
    <row r="690" spans="1:11">
      <c r="A690" s="2">
        <v>43924</v>
      </c>
      <c r="C690" s="47" t="s">
        <v>71</v>
      </c>
      <c r="E690" s="47">
        <v>444</v>
      </c>
      <c r="F690" s="47">
        <v>61</v>
      </c>
      <c r="G690" s="47">
        <v>11</v>
      </c>
      <c r="H690" s="47">
        <v>9</v>
      </c>
      <c r="J690" s="47">
        <v>28</v>
      </c>
      <c r="K690" s="47" t="s">
        <v>377</v>
      </c>
    </row>
    <row r="691" spans="1:11">
      <c r="A691" s="2">
        <v>43924</v>
      </c>
      <c r="C691" s="47" t="s">
        <v>73</v>
      </c>
      <c r="E691" s="47">
        <v>79</v>
      </c>
      <c r="F691" s="47">
        <v>10</v>
      </c>
      <c r="G691" s="47">
        <v>2</v>
      </c>
      <c r="K691" s="47" t="s">
        <v>357</v>
      </c>
    </row>
    <row r="692" spans="1:11">
      <c r="A692" s="2">
        <v>43924</v>
      </c>
      <c r="C692" s="47" t="s">
        <v>75</v>
      </c>
      <c r="E692" s="47">
        <v>56</v>
      </c>
      <c r="K692" s="47" t="s">
        <v>77</v>
      </c>
    </row>
    <row r="693" spans="1:11">
      <c r="A693" s="2">
        <v>43924</v>
      </c>
      <c r="C693" s="47" t="s">
        <v>78</v>
      </c>
      <c r="E693" s="47">
        <v>480</v>
      </c>
      <c r="F693" s="47">
        <v>75</v>
      </c>
      <c r="G693" s="47">
        <v>12</v>
      </c>
      <c r="I693" s="47">
        <v>50</v>
      </c>
      <c r="J693" s="47">
        <v>8</v>
      </c>
      <c r="K693" s="47" t="s">
        <v>80</v>
      </c>
    </row>
    <row r="694" spans="1:11">
      <c r="A694" s="2">
        <v>43924</v>
      </c>
      <c r="C694" s="47" t="s">
        <v>81</v>
      </c>
      <c r="E694" s="47">
        <v>47</v>
      </c>
      <c r="F694" s="47">
        <v>9</v>
      </c>
      <c r="G694" s="47">
        <v>3</v>
      </c>
      <c r="J694" s="47">
        <v>1</v>
      </c>
      <c r="K694" s="47" t="s">
        <v>606</v>
      </c>
    </row>
    <row r="695" spans="1:11">
      <c r="A695" s="2">
        <v>43924</v>
      </c>
      <c r="C695" s="47" t="s">
        <v>86</v>
      </c>
      <c r="E695" s="47">
        <v>165</v>
      </c>
      <c r="I695" s="47">
        <v>75</v>
      </c>
      <c r="J695" s="47">
        <v>4</v>
      </c>
      <c r="K695" s="47" t="s">
        <v>607</v>
      </c>
    </row>
    <row r="696" spans="1:11">
      <c r="A696" s="2">
        <v>43924</v>
      </c>
      <c r="C696" s="47" t="s">
        <v>88</v>
      </c>
      <c r="E696" s="47">
        <v>199</v>
      </c>
      <c r="J696" s="47">
        <v>5</v>
      </c>
      <c r="K696" s="47" t="s">
        <v>90</v>
      </c>
    </row>
    <row r="697" spans="1:11">
      <c r="A697" s="2">
        <v>43924</v>
      </c>
      <c r="C697" s="47" t="s">
        <v>97</v>
      </c>
      <c r="E697" s="47">
        <v>4188</v>
      </c>
      <c r="F697" s="47">
        <v>361</v>
      </c>
      <c r="G697" s="47">
        <v>66</v>
      </c>
      <c r="J697" s="47">
        <v>153</v>
      </c>
      <c r="K697" s="47" t="s">
        <v>99</v>
      </c>
    </row>
    <row r="698" spans="1:11">
      <c r="A698" s="2">
        <v>43924</v>
      </c>
      <c r="C698" s="47" t="s">
        <v>100</v>
      </c>
      <c r="E698" s="47">
        <v>1383</v>
      </c>
      <c r="F698" s="47">
        <v>145</v>
      </c>
      <c r="G698" s="47">
        <v>26</v>
      </c>
      <c r="H698" s="47">
        <v>23</v>
      </c>
      <c r="I698" s="47">
        <v>91</v>
      </c>
      <c r="J698" s="47">
        <v>51</v>
      </c>
      <c r="K698" s="47" t="s">
        <v>419</v>
      </c>
    </row>
    <row r="699" spans="1:11">
      <c r="A699" s="2">
        <v>43924</v>
      </c>
      <c r="B699" s="47">
        <v>0</v>
      </c>
      <c r="C699" s="47" t="s">
        <v>83</v>
      </c>
      <c r="E699" s="47">
        <v>237</v>
      </c>
      <c r="F699" s="47">
        <v>17</v>
      </c>
      <c r="J699" s="47">
        <v>3</v>
      </c>
      <c r="K699" s="47" t="s">
        <v>387</v>
      </c>
    </row>
    <row r="700" spans="1:11">
      <c r="A700" s="2">
        <v>43924</v>
      </c>
      <c r="B700" s="47">
        <v>0.33333333333333331</v>
      </c>
      <c r="C700" s="47" t="s">
        <v>41</v>
      </c>
      <c r="E700" s="47">
        <v>65</v>
      </c>
      <c r="J700" s="47">
        <v>3</v>
      </c>
      <c r="K700" s="47" t="s">
        <v>43</v>
      </c>
    </row>
    <row r="701" spans="1:11">
      <c r="A701" s="2">
        <v>43924</v>
      </c>
      <c r="B701" s="47">
        <v>0.33333333333333331</v>
      </c>
      <c r="C701" s="47" t="s">
        <v>44</v>
      </c>
      <c r="E701" s="47">
        <v>1073</v>
      </c>
      <c r="F701" s="47">
        <v>109</v>
      </c>
      <c r="G701" s="47">
        <v>30</v>
      </c>
      <c r="H701" s="47">
        <v>26</v>
      </c>
      <c r="J701" s="47">
        <v>26</v>
      </c>
      <c r="K701" s="47" t="s">
        <v>46</v>
      </c>
    </row>
    <row r="702" spans="1:11">
      <c r="A702" s="2">
        <v>43924</v>
      </c>
      <c r="B702" s="47">
        <v>0.33333333333333331</v>
      </c>
      <c r="C702" s="47" t="s">
        <v>91</v>
      </c>
      <c r="E702" s="47">
        <v>2377</v>
      </c>
      <c r="F702" s="47">
        <v>370</v>
      </c>
      <c r="G702" s="47">
        <v>75</v>
      </c>
      <c r="H702" s="47">
        <v>67</v>
      </c>
      <c r="I702" s="47">
        <v>287</v>
      </c>
      <c r="J702" s="47">
        <v>155</v>
      </c>
      <c r="K702" s="47" t="s">
        <v>285</v>
      </c>
    </row>
    <row r="703" spans="1:11">
      <c r="A703" s="2">
        <v>43924</v>
      </c>
      <c r="B703" s="47">
        <v>0.33333333333333331</v>
      </c>
      <c r="C703" s="47" t="s">
        <v>102</v>
      </c>
      <c r="E703" s="47">
        <v>138</v>
      </c>
      <c r="F703" s="47">
        <v>15</v>
      </c>
      <c r="G703" s="47">
        <v>7</v>
      </c>
      <c r="I703" s="47">
        <v>44</v>
      </c>
      <c r="J703" s="47">
        <v>1</v>
      </c>
      <c r="K703" s="47" t="s">
        <v>381</v>
      </c>
    </row>
    <row r="704" spans="1:11">
      <c r="A704" s="2">
        <v>43924</v>
      </c>
      <c r="B704" s="47">
        <v>0.35416666666666669</v>
      </c>
      <c r="C704" s="47" t="s">
        <v>50</v>
      </c>
      <c r="E704" s="47">
        <v>754</v>
      </c>
      <c r="F704" s="47">
        <v>115</v>
      </c>
      <c r="G704" s="47">
        <v>17</v>
      </c>
      <c r="I704" s="47">
        <v>397</v>
      </c>
      <c r="J704" s="47">
        <v>21</v>
      </c>
      <c r="K704" s="47" t="s">
        <v>284</v>
      </c>
    </row>
    <row r="705" spans="1:11">
      <c r="A705" s="2">
        <v>43924</v>
      </c>
      <c r="B705" s="47">
        <v>0.45833333333333331</v>
      </c>
      <c r="C705" s="47" t="s">
        <v>38</v>
      </c>
      <c r="E705" s="47">
        <v>20</v>
      </c>
      <c r="K705" s="47" t="s">
        <v>40</v>
      </c>
    </row>
    <row r="706" spans="1:11">
      <c r="A706" s="2">
        <v>43924</v>
      </c>
      <c r="B706" s="47">
        <v>0.45833333333333331</v>
      </c>
      <c r="C706" s="47" t="s">
        <v>68</v>
      </c>
      <c r="E706" s="47">
        <v>449</v>
      </c>
      <c r="F706" s="47">
        <v>49</v>
      </c>
      <c r="G706" s="47">
        <v>12</v>
      </c>
      <c r="J706" s="47">
        <v>7</v>
      </c>
      <c r="K706" s="47" t="s">
        <v>70</v>
      </c>
    </row>
    <row r="707" spans="1:11">
      <c r="A707" s="2">
        <v>43924</v>
      </c>
      <c r="B707" s="47">
        <v>0.58333333333333337</v>
      </c>
      <c r="C707" s="47" t="s">
        <v>94</v>
      </c>
      <c r="E707" s="47">
        <v>62</v>
      </c>
      <c r="F707" s="47">
        <v>6</v>
      </c>
      <c r="I707" s="47">
        <v>26</v>
      </c>
      <c r="J707" s="47">
        <v>1</v>
      </c>
      <c r="K707" s="47" t="s">
        <v>226</v>
      </c>
    </row>
    <row r="708" spans="1:11">
      <c r="A708" s="2">
        <v>43924</v>
      </c>
      <c r="B708" s="47">
        <v>0.60416666666666663</v>
      </c>
      <c r="C708" s="47" t="s">
        <v>104</v>
      </c>
      <c r="E708" s="47">
        <v>2434</v>
      </c>
      <c r="F708" s="47">
        <v>207</v>
      </c>
      <c r="H708" s="47">
        <v>57</v>
      </c>
      <c r="J708" s="47">
        <v>41</v>
      </c>
      <c r="K708" s="47" t="s">
        <v>106</v>
      </c>
    </row>
    <row r="709" spans="1:11">
      <c r="A709" s="2">
        <v>43924</v>
      </c>
      <c r="B709" s="47">
        <v>0.625</v>
      </c>
      <c r="C709" s="47" t="s">
        <v>34</v>
      </c>
      <c r="E709" s="47">
        <v>626</v>
      </c>
      <c r="F709" s="47">
        <v>100</v>
      </c>
      <c r="G709" s="47">
        <v>27</v>
      </c>
      <c r="H709" s="47">
        <v>26</v>
      </c>
      <c r="J709" s="47">
        <v>12</v>
      </c>
      <c r="K709" s="47" t="s">
        <v>283</v>
      </c>
    </row>
    <row r="710" spans="1:11">
      <c r="A710" s="2">
        <v>43925</v>
      </c>
      <c r="C710" s="47" t="s">
        <v>47</v>
      </c>
      <c r="E710" s="47">
        <v>656</v>
      </c>
      <c r="F710" s="47">
        <v>73</v>
      </c>
      <c r="G710" s="47">
        <v>19</v>
      </c>
      <c r="H710" s="47">
        <v>17</v>
      </c>
      <c r="I710" s="47">
        <v>298</v>
      </c>
      <c r="J710" s="47">
        <v>19</v>
      </c>
      <c r="K710" s="47" t="s">
        <v>49</v>
      </c>
    </row>
    <row r="711" spans="1:11">
      <c r="A711" s="2">
        <v>43925</v>
      </c>
      <c r="C711" s="47" t="s">
        <v>53</v>
      </c>
      <c r="E711" s="47">
        <v>77</v>
      </c>
      <c r="J711" s="47">
        <v>1</v>
      </c>
      <c r="K711" s="47" t="s">
        <v>287</v>
      </c>
    </row>
    <row r="712" spans="1:11">
      <c r="A712" s="2">
        <v>43925</v>
      </c>
      <c r="C712" s="47" t="s">
        <v>56</v>
      </c>
      <c r="E712" s="47">
        <v>638</v>
      </c>
      <c r="F712" s="47">
        <v>89</v>
      </c>
      <c r="G712" s="47">
        <v>21</v>
      </c>
      <c r="I712" s="47">
        <v>49</v>
      </c>
      <c r="J712" s="47">
        <v>37</v>
      </c>
      <c r="K712" s="47" t="s">
        <v>640</v>
      </c>
    </row>
    <row r="713" spans="1:11">
      <c r="A713" s="2">
        <v>43925</v>
      </c>
      <c r="C713" s="47" t="s">
        <v>58</v>
      </c>
      <c r="D713" s="47">
        <v>14717</v>
      </c>
      <c r="E713" s="47">
        <v>3584</v>
      </c>
      <c r="F713" s="47">
        <v>421</v>
      </c>
      <c r="G713" s="47">
        <v>61</v>
      </c>
      <c r="H713" s="47">
        <v>51</v>
      </c>
      <c r="I713" s="47">
        <v>305</v>
      </c>
      <c r="J713" s="47">
        <v>106</v>
      </c>
      <c r="K713" s="47" t="s">
        <v>60</v>
      </c>
    </row>
    <row r="714" spans="1:11">
      <c r="A714" s="2">
        <v>43925</v>
      </c>
      <c r="C714" s="47" t="s">
        <v>61</v>
      </c>
      <c r="E714" s="47">
        <v>61</v>
      </c>
      <c r="F714" s="47">
        <v>5</v>
      </c>
      <c r="J714" s="47">
        <v>2</v>
      </c>
      <c r="K714" s="47" t="s">
        <v>427</v>
      </c>
    </row>
    <row r="715" spans="1:11">
      <c r="A715" s="2">
        <v>43925</v>
      </c>
      <c r="C715" s="47" t="s">
        <v>63</v>
      </c>
      <c r="E715" s="47">
        <v>657</v>
      </c>
      <c r="F715" s="47">
        <v>52</v>
      </c>
      <c r="J715" s="47">
        <v>30</v>
      </c>
      <c r="K715" s="47" t="s">
        <v>65</v>
      </c>
    </row>
    <row r="716" spans="1:11">
      <c r="A716" s="2">
        <v>43925</v>
      </c>
      <c r="C716" s="47" t="s">
        <v>66</v>
      </c>
      <c r="E716" s="47">
        <v>154</v>
      </c>
      <c r="F716" s="47">
        <v>27</v>
      </c>
      <c r="G716" s="47">
        <v>3</v>
      </c>
      <c r="J716" s="47">
        <v>0</v>
      </c>
      <c r="K716" s="47" t="s">
        <v>433</v>
      </c>
    </row>
    <row r="717" spans="1:11">
      <c r="A717" s="2">
        <v>43925</v>
      </c>
      <c r="C717" s="47" t="s">
        <v>71</v>
      </c>
      <c r="E717" s="47">
        <v>452</v>
      </c>
      <c r="F717" s="47">
        <v>59</v>
      </c>
      <c r="G717" s="47">
        <v>10</v>
      </c>
      <c r="H717" s="47">
        <v>9</v>
      </c>
      <c r="J717" s="47">
        <v>30</v>
      </c>
      <c r="K717" s="47" t="s">
        <v>377</v>
      </c>
    </row>
    <row r="718" spans="1:11">
      <c r="A718" s="2">
        <v>43925</v>
      </c>
      <c r="C718" s="47" t="s">
        <v>73</v>
      </c>
      <c r="E718" s="47">
        <v>80</v>
      </c>
      <c r="F718" s="47">
        <v>10</v>
      </c>
      <c r="G718" s="47">
        <v>2</v>
      </c>
      <c r="K718" s="47" t="s">
        <v>357</v>
      </c>
    </row>
    <row r="719" spans="1:11">
      <c r="A719" s="2">
        <v>43925</v>
      </c>
      <c r="C719" s="47" t="s">
        <v>78</v>
      </c>
      <c r="E719" s="47">
        <v>504</v>
      </c>
      <c r="F719" s="47">
        <v>79</v>
      </c>
      <c r="G719" s="47">
        <v>13</v>
      </c>
      <c r="I719" s="47">
        <v>62</v>
      </c>
      <c r="J719" s="47">
        <v>9</v>
      </c>
      <c r="K719" s="47" t="s">
        <v>80</v>
      </c>
    </row>
    <row r="720" spans="1:11">
      <c r="A720" s="2">
        <v>43925</v>
      </c>
      <c r="C720" s="47" t="s">
        <v>81</v>
      </c>
      <c r="E720" s="47">
        <v>47</v>
      </c>
      <c r="F720" s="47">
        <v>12</v>
      </c>
      <c r="G720" s="47">
        <v>3</v>
      </c>
      <c r="J720" s="47">
        <v>1</v>
      </c>
      <c r="K720" s="47" t="s">
        <v>606</v>
      </c>
    </row>
    <row r="721" spans="1:11">
      <c r="A721" s="2">
        <v>43925</v>
      </c>
      <c r="C721" s="47" t="s">
        <v>86</v>
      </c>
      <c r="E721" s="47">
        <v>168</v>
      </c>
      <c r="I721" s="47">
        <v>92</v>
      </c>
      <c r="J721" s="47">
        <v>5</v>
      </c>
      <c r="K721" s="47" t="s">
        <v>607</v>
      </c>
    </row>
    <row r="722" spans="1:11">
      <c r="A722" s="2">
        <v>43925</v>
      </c>
      <c r="C722" s="47" t="s">
        <v>88</v>
      </c>
      <c r="E722" s="47">
        <v>209</v>
      </c>
      <c r="J722" s="47">
        <v>5</v>
      </c>
      <c r="K722" s="47" t="s">
        <v>90</v>
      </c>
    </row>
    <row r="723" spans="1:11">
      <c r="A723" s="2">
        <v>43925</v>
      </c>
      <c r="C723" s="47" t="s">
        <v>97</v>
      </c>
      <c r="E723" s="47">
        <v>4260</v>
      </c>
      <c r="F723" s="47">
        <v>360</v>
      </c>
      <c r="G723" s="47">
        <v>66</v>
      </c>
      <c r="J723" s="47">
        <v>164</v>
      </c>
      <c r="K723" s="47" t="s">
        <v>99</v>
      </c>
    </row>
    <row r="724" spans="1:11">
      <c r="A724" s="2">
        <v>43925</v>
      </c>
      <c r="C724" s="47" t="s">
        <v>100</v>
      </c>
      <c r="E724" s="47">
        <v>1416</v>
      </c>
      <c r="F724" s="47">
        <v>148</v>
      </c>
      <c r="G724" s="47">
        <v>28</v>
      </c>
      <c r="H724" s="47">
        <v>23</v>
      </c>
      <c r="I724" s="47">
        <v>95</v>
      </c>
      <c r="J724" s="47">
        <v>53</v>
      </c>
      <c r="K724" s="47" t="s">
        <v>419</v>
      </c>
    </row>
    <row r="725" spans="1:11">
      <c r="A725" s="2">
        <v>43925</v>
      </c>
      <c r="B725" s="47">
        <v>0</v>
      </c>
      <c r="C725" s="47" t="s">
        <v>83</v>
      </c>
      <c r="E725" s="47">
        <v>250</v>
      </c>
      <c r="J725" s="47">
        <v>3</v>
      </c>
      <c r="K725" s="47" t="s">
        <v>387</v>
      </c>
    </row>
    <row r="726" spans="1:11">
      <c r="A726" s="2">
        <v>43925</v>
      </c>
      <c r="B726" s="47">
        <v>0.33333333333333331</v>
      </c>
      <c r="C726" s="47" t="s">
        <v>44</v>
      </c>
      <c r="E726" s="47">
        <v>1106</v>
      </c>
      <c r="F726" s="47">
        <v>113</v>
      </c>
      <c r="G726" s="47">
        <v>35</v>
      </c>
      <c r="H726" s="47">
        <v>28</v>
      </c>
      <c r="J726" s="47">
        <v>28</v>
      </c>
      <c r="K726" s="47" t="s">
        <v>46</v>
      </c>
    </row>
    <row r="727" spans="1:11">
      <c r="A727" s="2">
        <v>43925</v>
      </c>
      <c r="B727" s="47">
        <v>0.33333333333333331</v>
      </c>
      <c r="C727" s="47" t="s">
        <v>91</v>
      </c>
      <c r="E727" s="47">
        <v>2442</v>
      </c>
      <c r="F727" s="47">
        <v>363</v>
      </c>
      <c r="G727" s="47">
        <v>72</v>
      </c>
      <c r="H727" s="47">
        <v>67</v>
      </c>
      <c r="I727" s="47">
        <v>314</v>
      </c>
      <c r="J727" s="47">
        <v>165</v>
      </c>
      <c r="K727" s="47" t="s">
        <v>288</v>
      </c>
    </row>
    <row r="728" spans="1:11">
      <c r="A728" s="2">
        <v>43925</v>
      </c>
      <c r="B728" s="47">
        <v>0.33333333333333331</v>
      </c>
      <c r="C728" s="47" t="s">
        <v>102</v>
      </c>
      <c r="E728" s="47">
        <v>146</v>
      </c>
      <c r="F728" s="47">
        <v>14</v>
      </c>
      <c r="G728" s="47">
        <v>7</v>
      </c>
      <c r="I728" s="47">
        <v>46</v>
      </c>
      <c r="J728" s="47">
        <v>2</v>
      </c>
      <c r="K728" s="47" t="s">
        <v>381</v>
      </c>
    </row>
    <row r="729" spans="1:11">
      <c r="A729" s="2">
        <v>43925</v>
      </c>
      <c r="B729" s="47">
        <v>0.42708333333333331</v>
      </c>
      <c r="C729" s="47" t="s">
        <v>50</v>
      </c>
      <c r="E729" s="47">
        <v>767</v>
      </c>
      <c r="F729" s="47">
        <v>112</v>
      </c>
      <c r="G729" s="47">
        <v>16</v>
      </c>
      <c r="I729" s="47">
        <v>434</v>
      </c>
      <c r="J729" s="47">
        <v>24</v>
      </c>
      <c r="K729" s="47" t="s">
        <v>286</v>
      </c>
    </row>
    <row r="730" spans="1:11">
      <c r="A730" s="2">
        <v>43925</v>
      </c>
      <c r="B730" s="47">
        <v>0.45833333333333331</v>
      </c>
      <c r="C730" s="47" t="s">
        <v>38</v>
      </c>
      <c r="E730" s="47">
        <v>21</v>
      </c>
      <c r="K730" s="47" t="s">
        <v>40</v>
      </c>
    </row>
    <row r="731" spans="1:11">
      <c r="A731" s="2">
        <v>43925</v>
      </c>
      <c r="B731" s="47">
        <v>0.45833333333333331</v>
      </c>
      <c r="C731" s="47" t="s">
        <v>68</v>
      </c>
      <c r="E731" s="47">
        <v>469</v>
      </c>
      <c r="F731" s="47">
        <v>49</v>
      </c>
      <c r="G731" s="47">
        <v>12</v>
      </c>
      <c r="J731" s="47">
        <v>7</v>
      </c>
      <c r="K731" s="47" t="s">
        <v>70</v>
      </c>
    </row>
    <row r="732" spans="1:11">
      <c r="A732" s="2">
        <v>43925</v>
      </c>
      <c r="B732" s="47">
        <v>0.54166666666666663</v>
      </c>
      <c r="C732" s="47" t="s">
        <v>41</v>
      </c>
      <c r="E732" s="47">
        <v>66</v>
      </c>
      <c r="J732" s="47">
        <v>3</v>
      </c>
      <c r="K732" s="47" t="s">
        <v>43</v>
      </c>
    </row>
    <row r="733" spans="1:11">
      <c r="A733" s="2">
        <v>43925</v>
      </c>
      <c r="B733" s="47">
        <v>0.60416666666666663</v>
      </c>
      <c r="C733" s="47" t="s">
        <v>104</v>
      </c>
      <c r="E733" s="47">
        <v>2467</v>
      </c>
      <c r="F733" s="47">
        <v>194</v>
      </c>
      <c r="H733" s="47">
        <v>59</v>
      </c>
      <c r="J733" s="47">
        <v>49</v>
      </c>
      <c r="K733" s="47" t="s">
        <v>106</v>
      </c>
    </row>
    <row r="734" spans="1:11">
      <c r="A734" s="2">
        <v>43925</v>
      </c>
      <c r="B734" s="47">
        <v>0.70833333333333337</v>
      </c>
      <c r="C734" s="47" t="s">
        <v>94</v>
      </c>
      <c r="E734" s="47">
        <v>66</v>
      </c>
      <c r="F734" s="47">
        <v>6</v>
      </c>
      <c r="I734" s="47">
        <v>26</v>
      </c>
      <c r="J734" s="47">
        <v>1</v>
      </c>
      <c r="K734" s="47" t="s">
        <v>226</v>
      </c>
    </row>
    <row r="735" spans="1:11">
      <c r="A735" s="2">
        <v>43926</v>
      </c>
      <c r="C735" s="47" t="s">
        <v>47</v>
      </c>
      <c r="E735" s="47">
        <v>670</v>
      </c>
      <c r="F735" s="47">
        <v>73</v>
      </c>
      <c r="G735" s="47">
        <v>19</v>
      </c>
      <c r="H735" s="47">
        <v>17</v>
      </c>
      <c r="I735" s="47">
        <v>369</v>
      </c>
      <c r="J735" s="47">
        <v>19</v>
      </c>
      <c r="K735" s="47" t="s">
        <v>49</v>
      </c>
    </row>
    <row r="736" spans="1:11">
      <c r="A736" s="2">
        <v>43926</v>
      </c>
      <c r="C736" s="47" t="s">
        <v>53</v>
      </c>
      <c r="E736" s="47">
        <v>77</v>
      </c>
      <c r="J736" s="47">
        <v>1</v>
      </c>
      <c r="K736" s="47" t="s">
        <v>55</v>
      </c>
    </row>
    <row r="737" spans="1:11">
      <c r="A737" s="2">
        <v>43926</v>
      </c>
      <c r="C737" s="47" t="s">
        <v>56</v>
      </c>
      <c r="E737" s="47">
        <v>669</v>
      </c>
      <c r="F737" s="47">
        <v>87</v>
      </c>
      <c r="G737" s="47">
        <v>20</v>
      </c>
      <c r="I737" s="47">
        <v>55</v>
      </c>
      <c r="J737" s="47">
        <v>40</v>
      </c>
      <c r="K737" s="47" t="s">
        <v>640</v>
      </c>
    </row>
    <row r="738" spans="1:11">
      <c r="A738" s="2">
        <v>43926</v>
      </c>
      <c r="C738" s="47" t="s">
        <v>58</v>
      </c>
      <c r="D738" s="47">
        <v>15016</v>
      </c>
      <c r="E738" s="47">
        <v>3649</v>
      </c>
      <c r="F738" s="47">
        <v>424</v>
      </c>
      <c r="G738" s="47">
        <v>56</v>
      </c>
      <c r="H738" s="47">
        <v>50</v>
      </c>
      <c r="I738" s="47">
        <v>327</v>
      </c>
      <c r="J738" s="47">
        <v>113</v>
      </c>
      <c r="K738" s="47" t="s">
        <v>60</v>
      </c>
    </row>
    <row r="739" spans="1:11">
      <c r="A739" s="2">
        <v>43926</v>
      </c>
      <c r="C739" s="47" t="s">
        <v>61</v>
      </c>
      <c r="E739" s="47">
        <v>63</v>
      </c>
      <c r="F739" s="47">
        <v>5</v>
      </c>
      <c r="J739" s="47">
        <v>2</v>
      </c>
      <c r="K739" s="47" t="s">
        <v>427</v>
      </c>
    </row>
    <row r="740" spans="1:11">
      <c r="A740" s="2">
        <v>43926</v>
      </c>
      <c r="C740" s="47" t="s">
        <v>63</v>
      </c>
      <c r="E740" s="47">
        <v>668</v>
      </c>
      <c r="F740" s="47">
        <v>49</v>
      </c>
      <c r="J740" s="47">
        <v>33</v>
      </c>
      <c r="K740" s="47" t="s">
        <v>65</v>
      </c>
    </row>
    <row r="741" spans="1:11">
      <c r="A741" s="2">
        <v>43926</v>
      </c>
      <c r="C741" s="47" t="s">
        <v>66</v>
      </c>
      <c r="E741" s="47">
        <v>160</v>
      </c>
      <c r="F741" s="47">
        <v>29</v>
      </c>
      <c r="G741" s="47">
        <v>4</v>
      </c>
      <c r="J741" s="47">
        <v>0</v>
      </c>
      <c r="K741" s="47" t="s">
        <v>433</v>
      </c>
    </row>
    <row r="742" spans="1:11">
      <c r="A742" s="2">
        <v>43926</v>
      </c>
      <c r="C742" s="47" t="s">
        <v>71</v>
      </c>
      <c r="E742" s="47">
        <v>463</v>
      </c>
      <c r="F742" s="47">
        <v>58</v>
      </c>
      <c r="G742" s="47">
        <v>12</v>
      </c>
      <c r="H742" s="47">
        <v>8</v>
      </c>
      <c r="J742" s="47">
        <v>30</v>
      </c>
      <c r="K742" s="47" t="s">
        <v>377</v>
      </c>
    </row>
    <row r="743" spans="1:11">
      <c r="A743" s="2">
        <v>43926</v>
      </c>
      <c r="C743" s="47" t="s">
        <v>73</v>
      </c>
      <c r="E743" s="47">
        <v>80</v>
      </c>
      <c r="F743" s="47">
        <v>9</v>
      </c>
      <c r="G743" s="47">
        <v>2</v>
      </c>
      <c r="K743" s="47" t="s">
        <v>357</v>
      </c>
    </row>
    <row r="744" spans="1:11">
      <c r="A744" s="2">
        <v>43926</v>
      </c>
      <c r="C744" s="47" t="s">
        <v>78</v>
      </c>
      <c r="E744" s="47">
        <v>515</v>
      </c>
      <c r="F744" s="47">
        <v>70</v>
      </c>
      <c r="G744" s="47">
        <v>13</v>
      </c>
      <c r="I744" s="47">
        <v>70</v>
      </c>
      <c r="J744" s="47">
        <v>9</v>
      </c>
      <c r="K744" s="47" t="s">
        <v>80</v>
      </c>
    </row>
    <row r="745" spans="1:11">
      <c r="A745" s="2">
        <v>43926</v>
      </c>
      <c r="C745" s="47" t="s">
        <v>81</v>
      </c>
      <c r="E745" s="47">
        <v>49</v>
      </c>
      <c r="F745" s="47">
        <v>12</v>
      </c>
      <c r="G745" s="47">
        <v>3</v>
      </c>
      <c r="J745" s="47">
        <v>1</v>
      </c>
      <c r="K745" s="47" t="s">
        <v>606</v>
      </c>
    </row>
    <row r="746" spans="1:11">
      <c r="A746" s="2">
        <v>43926</v>
      </c>
      <c r="C746" s="47" t="s">
        <v>86</v>
      </c>
      <c r="E746" s="47">
        <v>170</v>
      </c>
      <c r="I746" s="47">
        <v>93</v>
      </c>
      <c r="J746" s="47">
        <v>5</v>
      </c>
      <c r="K746" s="47" t="s">
        <v>607</v>
      </c>
    </row>
    <row r="747" spans="1:11">
      <c r="A747" s="2">
        <v>43926</v>
      </c>
      <c r="C747" s="47" t="s">
        <v>88</v>
      </c>
      <c r="E747" s="47">
        <v>214</v>
      </c>
      <c r="J747" s="47">
        <v>7</v>
      </c>
      <c r="K747" s="47" t="s">
        <v>90</v>
      </c>
    </row>
    <row r="748" spans="1:11">
      <c r="A748" s="2">
        <v>43926</v>
      </c>
      <c r="C748" s="47" t="s">
        <v>97</v>
      </c>
      <c r="E748" s="47">
        <v>4299</v>
      </c>
      <c r="F748" s="47">
        <v>371</v>
      </c>
      <c r="G748" s="47">
        <v>65</v>
      </c>
      <c r="J748" s="47">
        <v>176</v>
      </c>
      <c r="K748" s="47" t="s">
        <v>99</v>
      </c>
    </row>
    <row r="749" spans="1:11">
      <c r="A749" s="2">
        <v>43926</v>
      </c>
      <c r="C749" s="47" t="s">
        <v>100</v>
      </c>
      <c r="E749" s="47">
        <v>1431</v>
      </c>
      <c r="F749" s="47">
        <v>145</v>
      </c>
      <c r="G749" s="47">
        <v>26</v>
      </c>
      <c r="H749" s="47">
        <v>23</v>
      </c>
      <c r="J749" s="47">
        <v>57</v>
      </c>
      <c r="K749" s="47" t="s">
        <v>419</v>
      </c>
    </row>
    <row r="750" spans="1:11">
      <c r="A750" s="2">
        <v>43926</v>
      </c>
      <c r="B750" s="47">
        <v>0</v>
      </c>
      <c r="C750" s="47" t="s">
        <v>83</v>
      </c>
      <c r="E750" s="47">
        <v>258</v>
      </c>
      <c r="F750" s="47">
        <v>16</v>
      </c>
      <c r="J750" s="47">
        <v>3</v>
      </c>
      <c r="K750" s="47" t="s">
        <v>387</v>
      </c>
    </row>
    <row r="751" spans="1:11">
      <c r="A751" s="2">
        <v>43926</v>
      </c>
      <c r="B751" s="47">
        <v>0.33333333333333331</v>
      </c>
      <c r="C751" s="47" t="s">
        <v>44</v>
      </c>
      <c r="E751" s="47">
        <v>1137</v>
      </c>
      <c r="F751" s="47">
        <v>110</v>
      </c>
      <c r="G751" s="47">
        <v>30</v>
      </c>
      <c r="H751" s="47">
        <v>25</v>
      </c>
      <c r="J751" s="47">
        <v>28</v>
      </c>
      <c r="K751" s="47" t="s">
        <v>46</v>
      </c>
    </row>
    <row r="752" spans="1:11">
      <c r="A752" s="2">
        <v>43926</v>
      </c>
      <c r="B752" s="47">
        <v>0.33333333333333331</v>
      </c>
      <c r="C752" s="47" t="s">
        <v>91</v>
      </c>
      <c r="E752" s="47">
        <v>2508</v>
      </c>
      <c r="F752" s="47">
        <v>362</v>
      </c>
      <c r="G752" s="47">
        <v>74</v>
      </c>
      <c r="H752" s="47">
        <v>61</v>
      </c>
      <c r="I752" s="47">
        <v>340</v>
      </c>
      <c r="J752" s="47">
        <v>177</v>
      </c>
      <c r="K752" s="47" t="s">
        <v>290</v>
      </c>
    </row>
    <row r="753" spans="1:11">
      <c r="A753" s="2">
        <v>43926</v>
      </c>
      <c r="B753" s="47">
        <v>0.33333333333333331</v>
      </c>
      <c r="C753" s="47" t="s">
        <v>102</v>
      </c>
      <c r="E753" s="47">
        <v>146</v>
      </c>
      <c r="F753" s="47">
        <v>14</v>
      </c>
      <c r="G753" s="47">
        <v>7</v>
      </c>
      <c r="I753" s="47">
        <v>46</v>
      </c>
      <c r="J753" s="47">
        <v>2</v>
      </c>
      <c r="K753" s="47" t="s">
        <v>381</v>
      </c>
    </row>
    <row r="754" spans="1:11">
      <c r="A754" s="2">
        <v>43926</v>
      </c>
      <c r="B754" s="47">
        <v>0.42708333333333331</v>
      </c>
      <c r="C754" s="47" t="s">
        <v>50</v>
      </c>
      <c r="E754" s="47">
        <v>789</v>
      </c>
      <c r="F754" s="47">
        <v>106</v>
      </c>
      <c r="G754" s="47">
        <v>15</v>
      </c>
      <c r="I754" s="47">
        <v>460</v>
      </c>
      <c r="J754" s="47">
        <v>26</v>
      </c>
      <c r="K754" s="47" t="s">
        <v>289</v>
      </c>
    </row>
    <row r="755" spans="1:11">
      <c r="A755" s="2">
        <v>43926</v>
      </c>
      <c r="B755" s="47">
        <v>0.45833333333333331</v>
      </c>
      <c r="C755" s="47" t="s">
        <v>68</v>
      </c>
      <c r="E755" s="47">
        <v>478</v>
      </c>
      <c r="F755" s="47">
        <v>49</v>
      </c>
      <c r="G755" s="47">
        <v>12</v>
      </c>
      <c r="J755" s="47">
        <v>9</v>
      </c>
      <c r="K755" s="47" t="s">
        <v>70</v>
      </c>
    </row>
    <row r="756" spans="1:11">
      <c r="A756" s="2">
        <v>43926</v>
      </c>
      <c r="B756" s="47">
        <v>0.54166666666666663</v>
      </c>
      <c r="C756" s="47" t="s">
        <v>41</v>
      </c>
      <c r="E756" s="47">
        <v>67</v>
      </c>
      <c r="J756" s="47">
        <v>3</v>
      </c>
      <c r="K756" s="47" t="s">
        <v>43</v>
      </c>
    </row>
    <row r="757" spans="1:11">
      <c r="A757" s="2">
        <v>43926</v>
      </c>
      <c r="B757" s="47">
        <v>0.60416666666666663</v>
      </c>
      <c r="C757" s="47" t="s">
        <v>104</v>
      </c>
      <c r="E757" s="47">
        <v>2497</v>
      </c>
      <c r="F757" s="47">
        <v>194</v>
      </c>
      <c r="H757" s="47">
        <v>59</v>
      </c>
      <c r="J757" s="47">
        <v>53</v>
      </c>
      <c r="K757" s="47" t="s">
        <v>106</v>
      </c>
    </row>
    <row r="758" spans="1:11">
      <c r="A758" s="2">
        <v>43926</v>
      </c>
      <c r="B758" s="47">
        <v>0.70833333333333337</v>
      </c>
      <c r="C758" s="47" t="s">
        <v>94</v>
      </c>
      <c r="E758" s="47">
        <v>67</v>
      </c>
      <c r="F758" s="47">
        <v>5</v>
      </c>
      <c r="I758" s="47">
        <v>26</v>
      </c>
      <c r="J758" s="47">
        <v>2</v>
      </c>
      <c r="K758" s="47" t="s">
        <v>226</v>
      </c>
    </row>
    <row r="759" spans="1:11">
      <c r="A759" s="2">
        <v>43927</v>
      </c>
      <c r="C759" s="47" t="s">
        <v>47</v>
      </c>
      <c r="E759" s="47">
        <v>682</v>
      </c>
      <c r="F759" s="47">
        <v>67</v>
      </c>
      <c r="G759" s="47">
        <v>17</v>
      </c>
      <c r="H759" s="47">
        <v>17</v>
      </c>
      <c r="I759" s="47">
        <v>412</v>
      </c>
      <c r="J759" s="47">
        <v>19</v>
      </c>
      <c r="K759" s="47" t="s">
        <v>49</v>
      </c>
    </row>
    <row r="760" spans="1:11">
      <c r="A760" s="2">
        <v>43927</v>
      </c>
      <c r="C760" s="47" t="s">
        <v>56</v>
      </c>
      <c r="E760" s="47">
        <v>689</v>
      </c>
      <c r="F760" s="47">
        <v>87</v>
      </c>
      <c r="G760" s="47">
        <v>19</v>
      </c>
      <c r="I760" s="47">
        <v>56</v>
      </c>
      <c r="J760" s="47">
        <v>41</v>
      </c>
      <c r="K760" s="47" t="s">
        <v>640</v>
      </c>
    </row>
    <row r="761" spans="1:11">
      <c r="A761" s="2">
        <v>43927</v>
      </c>
      <c r="C761" s="47" t="s">
        <v>58</v>
      </c>
      <c r="D761" s="47">
        <v>15655</v>
      </c>
      <c r="E761" s="47">
        <v>3768</v>
      </c>
      <c r="F761" s="47">
        <v>418</v>
      </c>
      <c r="G761" s="47">
        <v>56</v>
      </c>
      <c r="H761" s="47">
        <v>50</v>
      </c>
      <c r="I761" s="47">
        <v>345</v>
      </c>
      <c r="J761" s="47">
        <v>125</v>
      </c>
      <c r="K761" s="47" t="s">
        <v>60</v>
      </c>
    </row>
    <row r="762" spans="1:11">
      <c r="A762" s="2">
        <v>43927</v>
      </c>
      <c r="C762" s="47" t="s">
        <v>61</v>
      </c>
      <c r="E762" s="47">
        <v>63</v>
      </c>
      <c r="F762" s="47">
        <v>2</v>
      </c>
      <c r="J762" s="47">
        <v>2</v>
      </c>
      <c r="K762" s="47" t="s">
        <v>427</v>
      </c>
    </row>
    <row r="763" spans="1:11">
      <c r="A763" s="2">
        <v>43927</v>
      </c>
      <c r="C763" s="47" t="s">
        <v>63</v>
      </c>
      <c r="E763" s="47">
        <v>679</v>
      </c>
      <c r="F763" s="47">
        <v>52</v>
      </c>
      <c r="J763" s="47">
        <v>34</v>
      </c>
      <c r="K763" s="47" t="s">
        <v>65</v>
      </c>
    </row>
    <row r="764" spans="1:11">
      <c r="A764" s="2">
        <v>43927</v>
      </c>
      <c r="C764" s="47" t="s">
        <v>66</v>
      </c>
      <c r="E764" s="47">
        <v>164</v>
      </c>
      <c r="F764" s="47">
        <v>27</v>
      </c>
      <c r="G764" s="47">
        <v>4</v>
      </c>
      <c r="J764" s="47">
        <v>0</v>
      </c>
      <c r="K764" s="47" t="s">
        <v>433</v>
      </c>
    </row>
    <row r="765" spans="1:11">
      <c r="A765" s="2">
        <v>43927</v>
      </c>
      <c r="C765" s="47" t="s">
        <v>71</v>
      </c>
      <c r="E765" s="47">
        <v>485</v>
      </c>
      <c r="F765" s="47">
        <v>59</v>
      </c>
      <c r="G765" s="47">
        <v>10</v>
      </c>
      <c r="H765" s="47">
        <v>8</v>
      </c>
      <c r="J765" s="47">
        <v>34</v>
      </c>
      <c r="K765" s="47" t="s">
        <v>377</v>
      </c>
    </row>
    <row r="766" spans="1:11">
      <c r="A766" s="2">
        <v>43927</v>
      </c>
      <c r="C766" s="47" t="s">
        <v>73</v>
      </c>
      <c r="E766" s="47">
        <v>86</v>
      </c>
      <c r="F766" s="47">
        <v>11</v>
      </c>
      <c r="G766" s="47">
        <v>2</v>
      </c>
      <c r="K766" s="47" t="s">
        <v>357</v>
      </c>
    </row>
    <row r="767" spans="1:11">
      <c r="A767" s="2">
        <v>43927</v>
      </c>
      <c r="C767" s="47" t="s">
        <v>78</v>
      </c>
      <c r="E767" s="47">
        <v>532</v>
      </c>
      <c r="F767" s="47">
        <v>70</v>
      </c>
      <c r="G767" s="47">
        <v>12</v>
      </c>
      <c r="I767" s="47">
        <v>75</v>
      </c>
      <c r="J767" s="47">
        <v>11</v>
      </c>
      <c r="K767" s="47" t="s">
        <v>80</v>
      </c>
    </row>
    <row r="768" spans="1:11">
      <c r="A768" s="2">
        <v>43927</v>
      </c>
      <c r="C768" s="47" t="s">
        <v>81</v>
      </c>
      <c r="E768" s="47">
        <v>50</v>
      </c>
      <c r="F768" s="47">
        <v>15</v>
      </c>
      <c r="G768" s="47">
        <v>3</v>
      </c>
      <c r="J768" s="47">
        <v>1</v>
      </c>
      <c r="K768" s="47" t="s">
        <v>606</v>
      </c>
    </row>
    <row r="769" spans="1:11">
      <c r="A769" s="2">
        <v>43927</v>
      </c>
      <c r="C769" s="47" t="s">
        <v>86</v>
      </c>
      <c r="E769" s="47">
        <v>178</v>
      </c>
      <c r="I769" s="47">
        <v>93</v>
      </c>
      <c r="J769" s="47">
        <v>6</v>
      </c>
      <c r="K769" s="47" t="s">
        <v>607</v>
      </c>
    </row>
    <row r="770" spans="1:11">
      <c r="A770" s="2">
        <v>43927</v>
      </c>
      <c r="C770" s="47" t="s">
        <v>88</v>
      </c>
      <c r="E770" s="47">
        <v>220</v>
      </c>
      <c r="F770" s="47">
        <v>34</v>
      </c>
      <c r="G770" s="47">
        <v>14</v>
      </c>
      <c r="J770" s="47">
        <v>7</v>
      </c>
      <c r="K770" s="47" t="s">
        <v>90</v>
      </c>
    </row>
    <row r="771" spans="1:11">
      <c r="A771" s="2">
        <v>43927</v>
      </c>
      <c r="C771" s="47" t="s">
        <v>97</v>
      </c>
      <c r="E771" s="47">
        <v>4417</v>
      </c>
      <c r="F771" s="47">
        <v>356</v>
      </c>
      <c r="G771" s="47">
        <v>63</v>
      </c>
      <c r="J771" s="47">
        <v>192</v>
      </c>
      <c r="K771" s="47" t="s">
        <v>99</v>
      </c>
    </row>
    <row r="772" spans="1:11">
      <c r="A772" s="2">
        <v>43927</v>
      </c>
      <c r="C772" s="47" t="s">
        <v>100</v>
      </c>
      <c r="E772" s="47">
        <v>1497</v>
      </c>
      <c r="F772" s="47">
        <v>132</v>
      </c>
      <c r="G772" s="47">
        <v>26</v>
      </c>
      <c r="H772" s="47">
        <v>22</v>
      </c>
      <c r="I772" s="47">
        <v>105</v>
      </c>
      <c r="J772" s="47">
        <v>60</v>
      </c>
      <c r="K772" s="47" t="s">
        <v>419</v>
      </c>
    </row>
    <row r="773" spans="1:11">
      <c r="A773" s="2">
        <v>43927</v>
      </c>
      <c r="B773" s="47">
        <v>0</v>
      </c>
      <c r="C773" s="47" t="s">
        <v>83</v>
      </c>
      <c r="E773" s="47">
        <v>261</v>
      </c>
      <c r="F773" s="47">
        <v>26</v>
      </c>
      <c r="J773" s="47">
        <v>3</v>
      </c>
      <c r="K773" s="47" t="s">
        <v>387</v>
      </c>
    </row>
    <row r="774" spans="1:11">
      <c r="A774" s="2">
        <v>43927</v>
      </c>
      <c r="B774" s="47">
        <v>0.33333333333333331</v>
      </c>
      <c r="C774" s="47" t="s">
        <v>41</v>
      </c>
      <c r="E774" s="47">
        <v>69</v>
      </c>
      <c r="J774" s="47">
        <v>3</v>
      </c>
      <c r="K774" s="47" t="s">
        <v>43</v>
      </c>
    </row>
    <row r="775" spans="1:11">
      <c r="A775" s="2">
        <v>43927</v>
      </c>
      <c r="B775" s="47">
        <v>0.33333333333333331</v>
      </c>
      <c r="C775" s="47" t="s">
        <v>44</v>
      </c>
      <c r="E775" s="47">
        <v>1173</v>
      </c>
      <c r="F775" s="47">
        <v>117</v>
      </c>
      <c r="G775" s="47">
        <v>35</v>
      </c>
      <c r="H775" s="47">
        <v>30</v>
      </c>
      <c r="J775" s="47">
        <v>31</v>
      </c>
      <c r="K775" s="47" t="s">
        <v>46</v>
      </c>
    </row>
    <row r="776" spans="1:11">
      <c r="A776" s="2">
        <v>43927</v>
      </c>
      <c r="B776" s="47">
        <v>0.33333333333333331</v>
      </c>
      <c r="C776" s="47" t="s">
        <v>91</v>
      </c>
      <c r="E776" s="47">
        <v>2546</v>
      </c>
      <c r="F776" s="47">
        <v>357</v>
      </c>
      <c r="G776" s="47">
        <v>72</v>
      </c>
      <c r="H776" s="47">
        <v>62</v>
      </c>
      <c r="I776" s="47">
        <v>350</v>
      </c>
      <c r="J776" s="47">
        <v>189</v>
      </c>
      <c r="K776" s="47" t="s">
        <v>293</v>
      </c>
    </row>
    <row r="777" spans="1:11">
      <c r="A777" s="2">
        <v>43927</v>
      </c>
      <c r="B777" s="47">
        <v>0.33333333333333331</v>
      </c>
      <c r="C777" s="47" t="s">
        <v>102</v>
      </c>
      <c r="E777" s="47">
        <v>152</v>
      </c>
      <c r="F777" s="47">
        <v>14</v>
      </c>
      <c r="G777" s="47">
        <v>8</v>
      </c>
      <c r="I777" s="47">
        <v>52</v>
      </c>
      <c r="J777" s="47">
        <v>3</v>
      </c>
      <c r="K777" s="47" t="s">
        <v>381</v>
      </c>
    </row>
    <row r="778" spans="1:11">
      <c r="A778" s="2">
        <v>43927</v>
      </c>
      <c r="B778" s="47">
        <v>0.40625</v>
      </c>
      <c r="C778" s="47" t="s">
        <v>50</v>
      </c>
      <c r="E778" s="47">
        <v>798</v>
      </c>
      <c r="F778" s="47">
        <v>99</v>
      </c>
      <c r="G778" s="47">
        <v>13</v>
      </c>
      <c r="I778" s="47">
        <v>481</v>
      </c>
      <c r="J778" s="47">
        <v>26</v>
      </c>
      <c r="K778" s="47" t="s">
        <v>292</v>
      </c>
    </row>
    <row r="779" spans="1:11">
      <c r="A779" s="2">
        <v>43927</v>
      </c>
      <c r="B779" s="47">
        <v>0.45833333333333331</v>
      </c>
      <c r="C779" s="47" t="s">
        <v>38</v>
      </c>
      <c r="E779" s="47">
        <v>21</v>
      </c>
      <c r="K779" s="47" t="s">
        <v>40</v>
      </c>
    </row>
    <row r="780" spans="1:11">
      <c r="A780" s="2">
        <v>43927</v>
      </c>
      <c r="B780" s="47">
        <v>0.45833333333333331</v>
      </c>
      <c r="C780" s="47" t="s">
        <v>68</v>
      </c>
      <c r="E780" s="47">
        <v>497</v>
      </c>
      <c r="F780" s="47">
        <v>61</v>
      </c>
      <c r="G780" s="47">
        <v>6</v>
      </c>
      <c r="J780" s="47">
        <v>9</v>
      </c>
      <c r="K780" s="47" t="s">
        <v>70</v>
      </c>
    </row>
    <row r="781" spans="1:11">
      <c r="A781" s="2">
        <v>43927</v>
      </c>
      <c r="B781" s="47">
        <v>0.58333333333333337</v>
      </c>
      <c r="C781" s="47" t="s">
        <v>94</v>
      </c>
      <c r="E781" s="47">
        <v>67</v>
      </c>
      <c r="F781" s="47">
        <v>9</v>
      </c>
      <c r="I781" s="47">
        <v>34</v>
      </c>
      <c r="J781" s="47">
        <v>2</v>
      </c>
      <c r="K781" s="47" t="s">
        <v>226</v>
      </c>
    </row>
    <row r="782" spans="1:11">
      <c r="A782" s="2">
        <v>43927</v>
      </c>
      <c r="B782" s="47">
        <v>0.60416666666666663</v>
      </c>
      <c r="C782" s="47" t="s">
        <v>104</v>
      </c>
      <c r="E782" s="47">
        <v>2611</v>
      </c>
      <c r="F782" s="47">
        <v>198</v>
      </c>
      <c r="H782" s="47">
        <v>58</v>
      </c>
      <c r="J782" s="47">
        <v>55</v>
      </c>
      <c r="K782" s="47" t="s">
        <v>106</v>
      </c>
    </row>
    <row r="783" spans="1:11">
      <c r="A783" s="2">
        <v>43927</v>
      </c>
      <c r="B783" s="47">
        <v>0.625</v>
      </c>
      <c r="C783" s="47" t="s">
        <v>34</v>
      </c>
      <c r="E783" s="47">
        <v>727</v>
      </c>
      <c r="F783" s="47">
        <v>82</v>
      </c>
      <c r="G783" s="47">
        <v>25</v>
      </c>
      <c r="H783" s="47">
        <v>24</v>
      </c>
      <c r="J783" s="47">
        <v>13</v>
      </c>
      <c r="K783" s="47" t="s">
        <v>291</v>
      </c>
    </row>
    <row r="784" spans="1:11">
      <c r="A784" s="2">
        <v>43927</v>
      </c>
      <c r="B784" s="47">
        <v>0.625</v>
      </c>
      <c r="C784" s="47" t="s">
        <v>75</v>
      </c>
      <c r="E784" s="47">
        <v>60</v>
      </c>
      <c r="I784" s="47">
        <v>1</v>
      </c>
      <c r="J784" s="47">
        <v>0</v>
      </c>
      <c r="K784" s="47" t="s">
        <v>77</v>
      </c>
    </row>
    <row r="785" spans="1:11">
      <c r="A785" s="2">
        <v>43928</v>
      </c>
      <c r="C785" s="47" t="s">
        <v>47</v>
      </c>
      <c r="E785" s="47">
        <v>690</v>
      </c>
      <c r="F785" s="47">
        <v>66</v>
      </c>
      <c r="G785" s="47">
        <v>18</v>
      </c>
      <c r="H785" s="47">
        <v>17</v>
      </c>
      <c r="I785" s="47">
        <v>452</v>
      </c>
      <c r="J785" s="47">
        <v>19</v>
      </c>
      <c r="K785" s="47" t="s">
        <v>49</v>
      </c>
    </row>
    <row r="786" spans="1:11">
      <c r="A786" s="2">
        <v>43928</v>
      </c>
      <c r="C786" s="47" t="s">
        <v>53</v>
      </c>
      <c r="E786" s="47">
        <v>78</v>
      </c>
      <c r="J786" s="47">
        <v>1</v>
      </c>
      <c r="K786" s="47" t="s">
        <v>339</v>
      </c>
    </row>
    <row r="787" spans="1:11">
      <c r="A787" s="2">
        <v>43928</v>
      </c>
      <c r="C787" s="47" t="s">
        <v>56</v>
      </c>
      <c r="E787" s="47">
        <v>729</v>
      </c>
      <c r="F787" s="47">
        <v>78</v>
      </c>
      <c r="G787" s="47">
        <v>22</v>
      </c>
      <c r="I787" s="47">
        <v>73</v>
      </c>
      <c r="J787" s="47">
        <v>44</v>
      </c>
      <c r="K787" s="47" t="s">
        <v>640</v>
      </c>
    </row>
    <row r="788" spans="1:11">
      <c r="A788" s="2">
        <v>43928</v>
      </c>
      <c r="C788" s="47" t="s">
        <v>58</v>
      </c>
      <c r="D788" s="47">
        <v>16496</v>
      </c>
      <c r="E788" s="47">
        <v>3928</v>
      </c>
      <c r="F788" s="47">
        <v>412</v>
      </c>
      <c r="G788" s="47">
        <v>51</v>
      </c>
      <c r="H788" s="47">
        <v>48</v>
      </c>
      <c r="I788" s="47">
        <v>374</v>
      </c>
      <c r="J788" s="47">
        <v>136</v>
      </c>
      <c r="K788" s="47" t="s">
        <v>60</v>
      </c>
    </row>
    <row r="789" spans="1:11">
      <c r="A789" s="2">
        <v>43928</v>
      </c>
      <c r="C789" s="47" t="s">
        <v>61</v>
      </c>
      <c r="E789" s="47">
        <v>63</v>
      </c>
      <c r="F789" s="47">
        <v>2</v>
      </c>
      <c r="J789" s="47">
        <v>2</v>
      </c>
      <c r="K789" s="47" t="s">
        <v>427</v>
      </c>
    </row>
    <row r="790" spans="1:11">
      <c r="A790" s="2">
        <v>43928</v>
      </c>
      <c r="C790" s="47" t="s">
        <v>63</v>
      </c>
      <c r="E790" s="47">
        <v>684</v>
      </c>
      <c r="F790" s="47">
        <v>49</v>
      </c>
      <c r="J790" s="47">
        <v>35</v>
      </c>
      <c r="K790" s="47" t="s">
        <v>65</v>
      </c>
    </row>
    <row r="791" spans="1:11">
      <c r="A791" s="2">
        <v>43928</v>
      </c>
      <c r="C791" s="47" t="s">
        <v>66</v>
      </c>
      <c r="E791" s="47">
        <v>171</v>
      </c>
      <c r="F791" s="47">
        <v>28</v>
      </c>
      <c r="G791" s="47">
        <v>4</v>
      </c>
      <c r="J791" s="47">
        <v>0</v>
      </c>
      <c r="K791" s="47" t="s">
        <v>433</v>
      </c>
    </row>
    <row r="792" spans="1:11">
      <c r="A792" s="2">
        <v>43928</v>
      </c>
      <c r="C792" s="47" t="s">
        <v>71</v>
      </c>
      <c r="E792" s="47">
        <v>509</v>
      </c>
      <c r="F792" s="47">
        <v>64</v>
      </c>
      <c r="G792" s="47">
        <v>10</v>
      </c>
      <c r="H792" s="47">
        <v>5</v>
      </c>
      <c r="J792" s="47">
        <v>37</v>
      </c>
      <c r="K792" s="47" t="s">
        <v>377</v>
      </c>
    </row>
    <row r="793" spans="1:11">
      <c r="A793" s="2">
        <v>43928</v>
      </c>
      <c r="C793" s="47" t="s">
        <v>73</v>
      </c>
      <c r="E793" s="47">
        <v>87</v>
      </c>
      <c r="F793" s="47">
        <v>9</v>
      </c>
      <c r="G793" s="47">
        <v>2</v>
      </c>
      <c r="K793" s="47" t="s">
        <v>357</v>
      </c>
    </row>
    <row r="794" spans="1:11">
      <c r="A794" s="2">
        <v>43928</v>
      </c>
      <c r="C794" s="47" t="s">
        <v>78</v>
      </c>
      <c r="E794" s="47">
        <v>557</v>
      </c>
      <c r="F794" s="47">
        <v>65</v>
      </c>
      <c r="G794" s="47">
        <v>9</v>
      </c>
      <c r="I794" s="47">
        <v>79</v>
      </c>
      <c r="J794" s="47">
        <v>13</v>
      </c>
      <c r="K794" s="47" t="s">
        <v>80</v>
      </c>
    </row>
    <row r="795" spans="1:11">
      <c r="A795" s="2">
        <v>43928</v>
      </c>
      <c r="C795" s="47" t="s">
        <v>86</v>
      </c>
      <c r="E795" s="47">
        <v>185</v>
      </c>
      <c r="I795" s="47">
        <v>105</v>
      </c>
      <c r="J795" s="47">
        <v>7</v>
      </c>
      <c r="K795" s="47" t="s">
        <v>607</v>
      </c>
    </row>
    <row r="796" spans="1:11">
      <c r="A796" s="2">
        <v>43928</v>
      </c>
      <c r="C796" s="47" t="s">
        <v>88</v>
      </c>
      <c r="E796" s="47">
        <v>222</v>
      </c>
      <c r="F796" s="47">
        <v>33</v>
      </c>
      <c r="G796" s="47">
        <v>13</v>
      </c>
      <c r="J796" s="47">
        <v>8</v>
      </c>
      <c r="K796" s="47" t="s">
        <v>90</v>
      </c>
    </row>
    <row r="797" spans="1:11">
      <c r="A797" s="2">
        <v>43928</v>
      </c>
      <c r="C797" s="47" t="s">
        <v>97</v>
      </c>
      <c r="E797" s="47">
        <v>4494</v>
      </c>
      <c r="F797" s="47">
        <v>329</v>
      </c>
      <c r="G797" s="47">
        <v>62</v>
      </c>
      <c r="J797" s="47">
        <v>204</v>
      </c>
      <c r="K797" s="47" t="s">
        <v>99</v>
      </c>
    </row>
    <row r="798" spans="1:11">
      <c r="A798" s="2">
        <v>43928</v>
      </c>
      <c r="C798" s="47" t="s">
        <v>100</v>
      </c>
      <c r="E798" s="47">
        <v>1536</v>
      </c>
      <c r="F798" s="47">
        <v>129</v>
      </c>
      <c r="G798" s="47">
        <v>25</v>
      </c>
      <c r="H798" s="47">
        <v>20</v>
      </c>
      <c r="I798" s="47">
        <v>123</v>
      </c>
      <c r="J798" s="47">
        <v>68</v>
      </c>
      <c r="K798" s="47" t="s">
        <v>419</v>
      </c>
    </row>
    <row r="799" spans="1:11">
      <c r="A799" s="2">
        <v>43928</v>
      </c>
      <c r="B799" s="47">
        <v>0</v>
      </c>
      <c r="C799" s="47" t="s">
        <v>83</v>
      </c>
      <c r="E799" s="47">
        <v>264</v>
      </c>
      <c r="F799" s="47">
        <v>29</v>
      </c>
      <c r="J799" s="47">
        <v>3</v>
      </c>
      <c r="K799" s="47" t="s">
        <v>387</v>
      </c>
    </row>
    <row r="800" spans="1:11">
      <c r="A800" s="2">
        <v>43928</v>
      </c>
      <c r="B800" s="47">
        <v>0.33333333333333331</v>
      </c>
      <c r="C800" s="47" t="s">
        <v>41</v>
      </c>
      <c r="E800" s="47">
        <v>69</v>
      </c>
      <c r="J800" s="47">
        <v>3</v>
      </c>
      <c r="K800" s="47" t="s">
        <v>43</v>
      </c>
    </row>
    <row r="801" spans="1:11">
      <c r="A801" s="2">
        <v>43928</v>
      </c>
      <c r="B801" s="47">
        <v>0.33333333333333331</v>
      </c>
      <c r="C801" s="47" t="s">
        <v>44</v>
      </c>
      <c r="E801" s="47">
        <v>1228</v>
      </c>
      <c r="F801" s="47">
        <v>122</v>
      </c>
      <c r="G801" s="47">
        <v>34</v>
      </c>
      <c r="H801" s="47">
        <v>26</v>
      </c>
      <c r="J801" s="47">
        <v>33</v>
      </c>
      <c r="K801" s="47" t="s">
        <v>46</v>
      </c>
    </row>
    <row r="802" spans="1:11">
      <c r="A802" s="2">
        <v>43928</v>
      </c>
      <c r="B802" s="47">
        <v>0.33333333333333331</v>
      </c>
      <c r="C802" s="47" t="s">
        <v>91</v>
      </c>
      <c r="E802" s="47">
        <v>2599</v>
      </c>
      <c r="F802" s="47">
        <v>335</v>
      </c>
      <c r="G802" s="47">
        <v>72</v>
      </c>
      <c r="H802" s="47">
        <v>65</v>
      </c>
      <c r="I802" s="47">
        <v>388</v>
      </c>
      <c r="J802" s="47">
        <v>198</v>
      </c>
      <c r="K802" s="47" t="s">
        <v>296</v>
      </c>
    </row>
    <row r="803" spans="1:11">
      <c r="A803" s="2">
        <v>43928</v>
      </c>
      <c r="B803" s="47">
        <v>0.33333333333333331</v>
      </c>
      <c r="C803" s="47" t="s">
        <v>102</v>
      </c>
      <c r="E803" s="47">
        <v>157</v>
      </c>
      <c r="F803" s="47">
        <v>15</v>
      </c>
      <c r="G803" s="47">
        <v>8</v>
      </c>
      <c r="I803" s="47">
        <v>54</v>
      </c>
      <c r="J803" s="47">
        <v>3</v>
      </c>
      <c r="K803" s="47" t="s">
        <v>381</v>
      </c>
    </row>
    <row r="804" spans="1:11">
      <c r="A804" s="2">
        <v>43928</v>
      </c>
      <c r="B804" s="47">
        <v>0.39583333333333331</v>
      </c>
      <c r="C804" s="47" t="s">
        <v>50</v>
      </c>
      <c r="E804" s="47">
        <v>808</v>
      </c>
      <c r="F804" s="47">
        <v>101</v>
      </c>
      <c r="G804" s="47">
        <v>13</v>
      </c>
      <c r="I804" s="47">
        <v>508</v>
      </c>
      <c r="J804" s="47">
        <v>28</v>
      </c>
      <c r="K804" s="47" t="s">
        <v>295</v>
      </c>
    </row>
    <row r="805" spans="1:11">
      <c r="A805" s="2">
        <v>43928</v>
      </c>
      <c r="B805" s="47">
        <v>0.39583333333333331</v>
      </c>
      <c r="C805" s="47" t="s">
        <v>81</v>
      </c>
      <c r="E805" s="47">
        <v>50</v>
      </c>
      <c r="F805" s="47">
        <v>14</v>
      </c>
      <c r="G805" s="47">
        <v>3</v>
      </c>
      <c r="J805" s="47">
        <v>1</v>
      </c>
      <c r="K805" s="47" t="s">
        <v>606</v>
      </c>
    </row>
    <row r="806" spans="1:11">
      <c r="A806" s="2">
        <v>43928</v>
      </c>
      <c r="B806" s="47">
        <v>0.45833333333333331</v>
      </c>
      <c r="C806" s="47" t="s">
        <v>38</v>
      </c>
      <c r="E806" s="47">
        <v>21</v>
      </c>
      <c r="K806" s="47" t="s">
        <v>40</v>
      </c>
    </row>
    <row r="807" spans="1:11">
      <c r="A807" s="2">
        <v>43928</v>
      </c>
      <c r="B807" s="47">
        <v>0.45833333333333331</v>
      </c>
      <c r="C807" s="47" t="s">
        <v>68</v>
      </c>
      <c r="E807" s="47">
        <v>509</v>
      </c>
      <c r="F807" s="47">
        <v>57</v>
      </c>
      <c r="G807" s="47">
        <v>6</v>
      </c>
      <c r="J807" s="47">
        <v>9</v>
      </c>
      <c r="K807" s="47" t="s">
        <v>70</v>
      </c>
    </row>
    <row r="808" spans="1:11">
      <c r="A808" s="2">
        <v>43928</v>
      </c>
      <c r="B808" s="47">
        <v>0.58333333333333337</v>
      </c>
      <c r="C808" s="47" t="s">
        <v>94</v>
      </c>
      <c r="E808" s="47">
        <v>68</v>
      </c>
      <c r="F808" s="47">
        <v>7</v>
      </c>
      <c r="I808" s="47">
        <v>42</v>
      </c>
      <c r="J808" s="47">
        <v>2</v>
      </c>
      <c r="K808" s="47" t="s">
        <v>226</v>
      </c>
    </row>
    <row r="809" spans="1:11">
      <c r="A809" s="2">
        <v>43928</v>
      </c>
      <c r="B809" s="47">
        <v>0.60416666666666663</v>
      </c>
      <c r="C809" s="47" t="s">
        <v>75</v>
      </c>
      <c r="E809" s="47">
        <v>60</v>
      </c>
      <c r="F809" s="47">
        <v>2</v>
      </c>
      <c r="J809" s="47">
        <v>0</v>
      </c>
      <c r="K809" s="47" t="s">
        <v>77</v>
      </c>
    </row>
    <row r="810" spans="1:11">
      <c r="A810" s="2">
        <v>43928</v>
      </c>
      <c r="B810" s="47">
        <v>0.60416666666666663</v>
      </c>
      <c r="C810" s="47" t="s">
        <v>104</v>
      </c>
      <c r="E810" s="47">
        <v>2695</v>
      </c>
      <c r="F810" s="47">
        <v>181</v>
      </c>
      <c r="H810" s="47">
        <v>60</v>
      </c>
      <c r="J810" s="47">
        <v>57</v>
      </c>
      <c r="K810" s="47" t="s">
        <v>106</v>
      </c>
    </row>
    <row r="811" spans="1:11">
      <c r="A811" s="2">
        <v>43928</v>
      </c>
      <c r="B811" s="47">
        <v>0.61458333333333337</v>
      </c>
      <c r="C811" s="47" t="s">
        <v>34</v>
      </c>
      <c r="E811" s="47">
        <v>760</v>
      </c>
      <c r="F811" s="47">
        <v>84</v>
      </c>
      <c r="G811" s="47">
        <v>25</v>
      </c>
      <c r="H811" s="47">
        <v>25</v>
      </c>
      <c r="I811" s="47">
        <v>170</v>
      </c>
      <c r="J811" s="47">
        <v>16</v>
      </c>
      <c r="K811" s="47" t="s">
        <v>294</v>
      </c>
    </row>
    <row r="812" spans="1:11">
      <c r="A812" s="2">
        <v>43929</v>
      </c>
      <c r="C812" s="47" t="s">
        <v>47</v>
      </c>
      <c r="E812" s="47">
        <v>694</v>
      </c>
      <c r="F812" s="47">
        <v>65</v>
      </c>
      <c r="G812" s="47">
        <v>18</v>
      </c>
      <c r="H812" s="47">
        <v>17</v>
      </c>
      <c r="I812" s="47">
        <v>461</v>
      </c>
      <c r="J812" s="47">
        <v>21</v>
      </c>
      <c r="K812" s="47" t="s">
        <v>49</v>
      </c>
    </row>
    <row r="813" spans="1:11">
      <c r="A813" s="2">
        <v>43929</v>
      </c>
      <c r="C813" s="47" t="s">
        <v>56</v>
      </c>
      <c r="E813" s="47">
        <v>756</v>
      </c>
      <c r="F813" s="47">
        <v>80</v>
      </c>
      <c r="G813" s="47">
        <v>22</v>
      </c>
      <c r="I813" s="47">
        <v>78</v>
      </c>
      <c r="J813" s="47">
        <v>45</v>
      </c>
      <c r="K813" s="47" t="s">
        <v>640</v>
      </c>
    </row>
    <row r="814" spans="1:11">
      <c r="A814" s="2">
        <v>43929</v>
      </c>
      <c r="C814" s="47" t="s">
        <v>58</v>
      </c>
      <c r="D814" s="47">
        <v>17301</v>
      </c>
      <c r="E814" s="47">
        <v>4059</v>
      </c>
      <c r="F814" s="47">
        <v>402</v>
      </c>
      <c r="G814" s="47">
        <v>49</v>
      </c>
      <c r="H814" s="47">
        <v>47</v>
      </c>
      <c r="I814" s="47">
        <v>442</v>
      </c>
      <c r="J814" s="47">
        <v>150</v>
      </c>
      <c r="K814" s="47" t="s">
        <v>60</v>
      </c>
    </row>
    <row r="815" spans="1:11">
      <c r="A815" s="2">
        <v>43929</v>
      </c>
      <c r="C815" s="47" t="s">
        <v>61</v>
      </c>
      <c r="E815" s="47">
        <v>64</v>
      </c>
      <c r="F815" s="47">
        <v>2</v>
      </c>
      <c r="J815" s="47">
        <v>2</v>
      </c>
      <c r="K815" s="47" t="s">
        <v>427</v>
      </c>
    </row>
    <row r="816" spans="1:11">
      <c r="A816" s="2">
        <v>43929</v>
      </c>
      <c r="C816" s="47" t="s">
        <v>63</v>
      </c>
      <c r="E816" s="47">
        <v>698</v>
      </c>
      <c r="F816" s="47">
        <v>38</v>
      </c>
      <c r="J816" s="47">
        <v>35</v>
      </c>
      <c r="K816" s="47" t="s">
        <v>65</v>
      </c>
    </row>
    <row r="817" spans="1:11">
      <c r="A817" s="2">
        <v>43929</v>
      </c>
      <c r="C817" s="47" t="s">
        <v>66</v>
      </c>
      <c r="E817" s="47">
        <v>174</v>
      </c>
      <c r="F817" s="47">
        <v>31</v>
      </c>
      <c r="G817" s="47">
        <v>4</v>
      </c>
      <c r="J817" s="47">
        <v>1</v>
      </c>
      <c r="K817" s="47" t="s">
        <v>433</v>
      </c>
    </row>
    <row r="818" spans="1:11">
      <c r="A818" s="2">
        <v>43929</v>
      </c>
      <c r="C818" s="47" t="s">
        <v>71</v>
      </c>
      <c r="E818" s="47">
        <v>513</v>
      </c>
      <c r="F818" s="47">
        <v>63</v>
      </c>
      <c r="G818" s="47">
        <v>10</v>
      </c>
      <c r="H818" s="47">
        <v>7</v>
      </c>
      <c r="J818" s="47">
        <v>40</v>
      </c>
      <c r="K818" s="47" t="s">
        <v>377</v>
      </c>
    </row>
    <row r="819" spans="1:11">
      <c r="A819" s="2">
        <v>43929</v>
      </c>
      <c r="C819" s="47" t="s">
        <v>73</v>
      </c>
      <c r="E819" s="47">
        <v>93</v>
      </c>
      <c r="F819" s="47">
        <v>9</v>
      </c>
      <c r="G819" s="47">
        <v>1</v>
      </c>
      <c r="K819" s="47" t="s">
        <v>357</v>
      </c>
    </row>
    <row r="820" spans="1:11">
      <c r="A820" s="2">
        <v>43929</v>
      </c>
      <c r="C820" s="47" t="s">
        <v>78</v>
      </c>
      <c r="E820" s="47">
        <v>578</v>
      </c>
      <c r="F820" s="47">
        <v>52</v>
      </c>
      <c r="G820" s="47">
        <v>12</v>
      </c>
      <c r="I820" s="47">
        <v>89</v>
      </c>
      <c r="J820" s="47">
        <v>15</v>
      </c>
      <c r="K820" s="47" t="s">
        <v>80</v>
      </c>
    </row>
    <row r="821" spans="1:11">
      <c r="A821" s="2">
        <v>43929</v>
      </c>
      <c r="C821" s="47" t="s">
        <v>86</v>
      </c>
      <c r="E821" s="47">
        <v>196</v>
      </c>
      <c r="I821" s="47">
        <v>107</v>
      </c>
      <c r="J821" s="47">
        <v>7</v>
      </c>
      <c r="K821" s="47" t="s">
        <v>607</v>
      </c>
    </row>
    <row r="822" spans="1:11">
      <c r="A822" s="2">
        <v>43929</v>
      </c>
      <c r="C822" s="47" t="s">
        <v>88</v>
      </c>
      <c r="E822" s="47">
        <v>237</v>
      </c>
      <c r="F822" s="47">
        <v>30</v>
      </c>
      <c r="G822" s="47">
        <v>15</v>
      </c>
      <c r="J822" s="47">
        <v>8</v>
      </c>
      <c r="K822" s="47" t="s">
        <v>90</v>
      </c>
    </row>
    <row r="823" spans="1:11">
      <c r="A823" s="2">
        <v>43929</v>
      </c>
      <c r="C823" s="47" t="s">
        <v>97</v>
      </c>
      <c r="E823" s="47">
        <v>4585</v>
      </c>
      <c r="F823" s="47">
        <v>320</v>
      </c>
      <c r="G823" s="47">
        <v>61</v>
      </c>
      <c r="J823" s="47">
        <v>216</v>
      </c>
      <c r="K823" s="47" t="s">
        <v>99</v>
      </c>
    </row>
    <row r="824" spans="1:11">
      <c r="A824" s="2">
        <v>43929</v>
      </c>
      <c r="C824" s="47" t="s">
        <v>100</v>
      </c>
      <c r="E824" s="47">
        <v>1570</v>
      </c>
      <c r="F824" s="47">
        <v>122</v>
      </c>
      <c r="G824" s="47">
        <v>26</v>
      </c>
      <c r="H824" s="47">
        <v>20</v>
      </c>
      <c r="I824" s="47">
        <v>130</v>
      </c>
      <c r="J824" s="47">
        <v>71</v>
      </c>
      <c r="K824" s="47" t="s">
        <v>419</v>
      </c>
    </row>
    <row r="825" spans="1:11">
      <c r="A825" s="2">
        <v>43929</v>
      </c>
      <c r="B825" s="47">
        <v>0</v>
      </c>
      <c r="C825" s="47" t="s">
        <v>83</v>
      </c>
      <c r="E825" s="47">
        <v>276</v>
      </c>
      <c r="F825" s="47">
        <v>22</v>
      </c>
      <c r="J825" s="47">
        <v>3</v>
      </c>
      <c r="K825" s="47" t="s">
        <v>387</v>
      </c>
    </row>
    <row r="826" spans="1:11">
      <c r="A826" s="2">
        <v>43929</v>
      </c>
      <c r="B826" s="47">
        <v>0.33333333333333331</v>
      </c>
      <c r="C826" s="47" t="s">
        <v>41</v>
      </c>
      <c r="E826" s="47">
        <v>72</v>
      </c>
      <c r="J826" s="47">
        <v>3</v>
      </c>
      <c r="K826" s="47" t="s">
        <v>43</v>
      </c>
    </row>
    <row r="827" spans="1:11">
      <c r="A827" s="2">
        <v>43929</v>
      </c>
      <c r="B827" s="47">
        <v>0.33333333333333331</v>
      </c>
      <c r="C827" s="47" t="s">
        <v>44</v>
      </c>
      <c r="E827" s="47">
        <v>1286</v>
      </c>
      <c r="F827" s="47">
        <v>127</v>
      </c>
      <c r="G827" s="47">
        <v>35</v>
      </c>
      <c r="H827" s="47">
        <v>27</v>
      </c>
      <c r="J827" s="47">
        <v>37</v>
      </c>
      <c r="K827" s="47" t="s">
        <v>46</v>
      </c>
    </row>
    <row r="828" spans="1:11">
      <c r="A828" s="2">
        <v>43929</v>
      </c>
      <c r="B828" s="47">
        <v>0.33333333333333331</v>
      </c>
      <c r="C828" s="47" t="s">
        <v>91</v>
      </c>
      <c r="E828" s="47">
        <v>2659</v>
      </c>
      <c r="F828" s="47">
        <v>319</v>
      </c>
      <c r="G828" s="47">
        <v>71</v>
      </c>
      <c r="H828" s="47">
        <v>64</v>
      </c>
      <c r="I828" s="47">
        <v>420</v>
      </c>
      <c r="J828" s="47">
        <v>211</v>
      </c>
      <c r="K828" s="47" t="s">
        <v>299</v>
      </c>
    </row>
    <row r="829" spans="1:11">
      <c r="A829" s="2">
        <v>43929</v>
      </c>
      <c r="B829" s="47">
        <v>0.33333333333333331</v>
      </c>
      <c r="C829" s="47" t="s">
        <v>102</v>
      </c>
      <c r="E829" s="47">
        <v>162</v>
      </c>
      <c r="F829" s="47">
        <v>12</v>
      </c>
      <c r="G829" s="47">
        <v>9</v>
      </c>
      <c r="I829" s="47">
        <v>61</v>
      </c>
      <c r="J829" s="47">
        <v>3</v>
      </c>
      <c r="K829" s="47" t="s">
        <v>381</v>
      </c>
    </row>
    <row r="830" spans="1:11">
      <c r="A830" s="2">
        <v>43929</v>
      </c>
      <c r="B830" s="47">
        <v>0.39583333333333331</v>
      </c>
      <c r="C830" s="47" t="s">
        <v>81</v>
      </c>
      <c r="E830" s="47">
        <v>50</v>
      </c>
      <c r="F830" s="47">
        <v>15</v>
      </c>
      <c r="G830" s="47">
        <v>2</v>
      </c>
      <c r="J830" s="47">
        <v>1</v>
      </c>
      <c r="K830" s="47" t="s">
        <v>606</v>
      </c>
    </row>
    <row r="831" spans="1:11">
      <c r="A831" s="2">
        <v>43929</v>
      </c>
      <c r="B831" s="47">
        <v>0.41666666666666669</v>
      </c>
      <c r="C831" s="47" t="s">
        <v>50</v>
      </c>
      <c r="E831" s="47">
        <v>829</v>
      </c>
      <c r="F831" s="47">
        <v>99</v>
      </c>
      <c r="G831" s="47">
        <v>14</v>
      </c>
      <c r="I831" s="47">
        <v>535</v>
      </c>
      <c r="J831" s="47">
        <v>31</v>
      </c>
      <c r="K831" s="47" t="s">
        <v>298</v>
      </c>
    </row>
    <row r="832" spans="1:11">
      <c r="A832" s="2">
        <v>43929</v>
      </c>
      <c r="B832" s="47">
        <v>0.45833333333333331</v>
      </c>
      <c r="C832" s="47" t="s">
        <v>38</v>
      </c>
      <c r="E832" s="47">
        <v>23</v>
      </c>
      <c r="K832" s="47" t="s">
        <v>40</v>
      </c>
    </row>
    <row r="833" spans="1:11">
      <c r="A833" s="2">
        <v>43929</v>
      </c>
      <c r="B833" s="47">
        <v>0.45833333333333331</v>
      </c>
      <c r="C833" s="47" t="s">
        <v>68</v>
      </c>
      <c r="E833" s="47">
        <v>527</v>
      </c>
      <c r="J833" s="47">
        <v>9</v>
      </c>
      <c r="K833" s="47" t="s">
        <v>70</v>
      </c>
    </row>
    <row r="834" spans="1:11">
      <c r="A834" s="2">
        <v>43929</v>
      </c>
      <c r="B834" s="47">
        <v>0.58333333333333337</v>
      </c>
      <c r="C834" s="47" t="s">
        <v>94</v>
      </c>
      <c r="E834" s="47">
        <v>72</v>
      </c>
      <c r="F834" s="47">
        <v>5</v>
      </c>
      <c r="I834" s="47">
        <v>42</v>
      </c>
      <c r="J834" s="47">
        <v>4</v>
      </c>
      <c r="K834" s="47" t="s">
        <v>96</v>
      </c>
    </row>
    <row r="835" spans="1:11">
      <c r="A835" s="2">
        <v>43929</v>
      </c>
      <c r="B835" s="47">
        <v>0.60416666666666663</v>
      </c>
      <c r="C835" s="47" t="s">
        <v>104</v>
      </c>
      <c r="E835" s="47">
        <v>2790</v>
      </c>
      <c r="F835" s="47">
        <v>170</v>
      </c>
      <c r="H835" s="47">
        <v>56</v>
      </c>
      <c r="J835" s="47">
        <v>65</v>
      </c>
      <c r="K835" s="47" t="s">
        <v>106</v>
      </c>
    </row>
    <row r="836" spans="1:11">
      <c r="A836" s="2">
        <v>43929</v>
      </c>
      <c r="B836" s="47">
        <v>0.61458333333333337</v>
      </c>
      <c r="C836" s="47" t="s">
        <v>34</v>
      </c>
      <c r="E836" s="47">
        <v>788</v>
      </c>
      <c r="F836" s="47">
        <v>79</v>
      </c>
      <c r="G836" s="47">
        <v>23</v>
      </c>
      <c r="H836" s="47">
        <v>23</v>
      </c>
      <c r="I836" s="47">
        <v>220</v>
      </c>
      <c r="J836" s="47">
        <v>16</v>
      </c>
      <c r="K836" s="47" t="s">
        <v>297</v>
      </c>
    </row>
    <row r="837" spans="1:11">
      <c r="A837" s="2">
        <v>43929</v>
      </c>
      <c r="B837" s="47">
        <v>0.625</v>
      </c>
      <c r="C837" s="47" t="s">
        <v>75</v>
      </c>
      <c r="E837" s="47">
        <v>61</v>
      </c>
      <c r="F837" s="47">
        <v>2</v>
      </c>
      <c r="J837" s="47">
        <v>0</v>
      </c>
      <c r="K837" s="47" t="s">
        <v>77</v>
      </c>
    </row>
    <row r="838" spans="1:11">
      <c r="A838" s="2">
        <v>43930</v>
      </c>
      <c r="C838" s="47" t="s">
        <v>47</v>
      </c>
      <c r="E838" s="47">
        <v>711</v>
      </c>
      <c r="F838" s="47">
        <v>62</v>
      </c>
      <c r="G838" s="47">
        <v>18</v>
      </c>
      <c r="H838" s="47">
        <v>16</v>
      </c>
      <c r="I838" s="47">
        <v>485</v>
      </c>
      <c r="J838" s="47">
        <v>21</v>
      </c>
      <c r="K838" s="47" t="s">
        <v>49</v>
      </c>
    </row>
    <row r="839" spans="1:11">
      <c r="A839" s="2">
        <v>43930</v>
      </c>
      <c r="C839" s="47" t="s">
        <v>56</v>
      </c>
      <c r="E839" s="47">
        <v>786</v>
      </c>
      <c r="F839" s="47">
        <v>80</v>
      </c>
      <c r="G839" s="47">
        <v>20</v>
      </c>
      <c r="I839" s="47">
        <v>84</v>
      </c>
      <c r="J839" s="47">
        <v>46</v>
      </c>
      <c r="K839" s="47" t="s">
        <v>640</v>
      </c>
    </row>
    <row r="840" spans="1:11">
      <c r="A840" s="2">
        <v>43930</v>
      </c>
      <c r="C840" s="47" t="s">
        <v>58</v>
      </c>
      <c r="D840" s="47">
        <v>17815</v>
      </c>
      <c r="E840" s="47">
        <v>4152</v>
      </c>
      <c r="F840" s="47">
        <v>393</v>
      </c>
      <c r="G840" s="47">
        <v>47</v>
      </c>
      <c r="H840" s="47">
        <v>45</v>
      </c>
      <c r="J840" s="47">
        <v>159</v>
      </c>
      <c r="K840" s="47" t="s">
        <v>60</v>
      </c>
    </row>
    <row r="841" spans="1:11">
      <c r="A841" s="2">
        <v>43930</v>
      </c>
      <c r="C841" s="47" t="s">
        <v>61</v>
      </c>
      <c r="E841" s="47">
        <v>67</v>
      </c>
      <c r="F841" s="47">
        <v>2</v>
      </c>
      <c r="J841" s="47">
        <v>2</v>
      </c>
      <c r="K841" s="47" t="s">
        <v>427</v>
      </c>
    </row>
    <row r="842" spans="1:11">
      <c r="A842" s="2">
        <v>43930</v>
      </c>
      <c r="C842" s="47" t="s">
        <v>63</v>
      </c>
      <c r="E842" s="47">
        <v>719</v>
      </c>
      <c r="F842" s="47">
        <v>39</v>
      </c>
      <c r="J842" s="47">
        <v>36</v>
      </c>
      <c r="K842" s="47" t="s">
        <v>65</v>
      </c>
    </row>
    <row r="843" spans="1:11">
      <c r="A843" s="2">
        <v>43930</v>
      </c>
      <c r="C843" s="47" t="s">
        <v>66</v>
      </c>
      <c r="E843" s="47">
        <v>179</v>
      </c>
      <c r="F843" s="47">
        <v>28</v>
      </c>
      <c r="G843" s="47">
        <v>5</v>
      </c>
      <c r="J843" s="47">
        <v>1</v>
      </c>
      <c r="K843" s="47" t="s">
        <v>433</v>
      </c>
    </row>
    <row r="844" spans="1:11">
      <c r="A844" s="2">
        <v>43930</v>
      </c>
      <c r="C844" s="47" t="s">
        <v>71</v>
      </c>
      <c r="E844" s="47">
        <v>545</v>
      </c>
      <c r="F844" s="47">
        <v>58</v>
      </c>
      <c r="G844" s="47">
        <v>10</v>
      </c>
      <c r="H844" s="47">
        <v>7</v>
      </c>
      <c r="J844" s="47">
        <v>42</v>
      </c>
      <c r="K844" s="47" t="s">
        <v>377</v>
      </c>
    </row>
    <row r="845" spans="1:11">
      <c r="A845" s="2">
        <v>43930</v>
      </c>
      <c r="C845" s="47" t="s">
        <v>73</v>
      </c>
      <c r="E845" s="47">
        <v>96</v>
      </c>
      <c r="F845" s="47">
        <v>9</v>
      </c>
      <c r="G845" s="47">
        <v>1</v>
      </c>
      <c r="K845" s="47" t="s">
        <v>357</v>
      </c>
    </row>
    <row r="846" spans="1:11">
      <c r="A846" s="2">
        <v>43930</v>
      </c>
      <c r="C846" s="47" t="s">
        <v>78</v>
      </c>
      <c r="E846" s="47">
        <v>604</v>
      </c>
      <c r="F846" s="47">
        <v>52</v>
      </c>
      <c r="G846" s="47">
        <v>13</v>
      </c>
      <c r="I846" s="47">
        <v>92</v>
      </c>
      <c r="J846" s="47">
        <v>16</v>
      </c>
      <c r="K846" s="47" t="s">
        <v>80</v>
      </c>
    </row>
    <row r="847" spans="1:11">
      <c r="A847" s="2">
        <v>43930</v>
      </c>
      <c r="C847" s="47" t="s">
        <v>86</v>
      </c>
      <c r="E847" s="47">
        <v>213</v>
      </c>
      <c r="I847" s="47">
        <v>113</v>
      </c>
      <c r="J847" s="47">
        <v>9</v>
      </c>
      <c r="K847" s="47" t="s">
        <v>607</v>
      </c>
    </row>
    <row r="848" spans="1:11">
      <c r="A848" s="2">
        <v>43930</v>
      </c>
      <c r="C848" s="47" t="s">
        <v>88</v>
      </c>
      <c r="E848" s="47">
        <v>256</v>
      </c>
      <c r="F848" s="47">
        <v>27</v>
      </c>
      <c r="G848" s="47">
        <v>12</v>
      </c>
      <c r="J848" s="47">
        <v>8</v>
      </c>
      <c r="K848" s="47" t="s">
        <v>90</v>
      </c>
    </row>
    <row r="849" spans="1:11">
      <c r="A849" s="2">
        <v>43930</v>
      </c>
      <c r="C849" s="47" t="s">
        <v>97</v>
      </c>
      <c r="E849" s="47">
        <v>4682</v>
      </c>
      <c r="F849" s="47">
        <v>303</v>
      </c>
      <c r="G849" s="47">
        <v>61</v>
      </c>
      <c r="J849" s="47">
        <v>230</v>
      </c>
      <c r="K849" s="47" t="s">
        <v>99</v>
      </c>
    </row>
    <row r="850" spans="1:11">
      <c r="A850" s="2">
        <v>43930</v>
      </c>
      <c r="C850" s="47" t="s">
        <v>100</v>
      </c>
      <c r="E850" s="47">
        <v>1598</v>
      </c>
      <c r="F850" s="47">
        <v>117</v>
      </c>
      <c r="G850" s="47">
        <v>24</v>
      </c>
      <c r="H850" s="47">
        <v>19</v>
      </c>
      <c r="I850" s="47">
        <v>136</v>
      </c>
      <c r="J850" s="47">
        <v>77</v>
      </c>
      <c r="K850" s="47" t="s">
        <v>419</v>
      </c>
    </row>
    <row r="851" spans="1:11">
      <c r="A851" s="2">
        <v>43930</v>
      </c>
      <c r="B851" s="47">
        <v>0</v>
      </c>
      <c r="C851" s="47" t="s">
        <v>83</v>
      </c>
      <c r="E851" s="47">
        <v>282</v>
      </c>
      <c r="F851" s="47">
        <v>23</v>
      </c>
      <c r="J851" s="47">
        <v>5</v>
      </c>
      <c r="K851" s="47" t="s">
        <v>387</v>
      </c>
    </row>
    <row r="852" spans="1:11">
      <c r="A852" s="2">
        <v>43930</v>
      </c>
      <c r="B852" s="47">
        <v>0.33333333333333331</v>
      </c>
      <c r="C852" s="47" t="s">
        <v>41</v>
      </c>
      <c r="E852" s="47">
        <v>74</v>
      </c>
      <c r="J852" s="47">
        <v>3</v>
      </c>
      <c r="K852" s="47" t="s">
        <v>43</v>
      </c>
    </row>
    <row r="853" spans="1:11">
      <c r="A853" s="2">
        <v>43930</v>
      </c>
      <c r="B853" s="47">
        <v>0.33333333333333331</v>
      </c>
      <c r="C853" s="47" t="s">
        <v>44</v>
      </c>
      <c r="E853" s="47">
        <v>1335</v>
      </c>
      <c r="F853" s="47">
        <v>117</v>
      </c>
      <c r="G853" s="47">
        <v>36</v>
      </c>
      <c r="H853" s="47">
        <v>27</v>
      </c>
      <c r="J853" s="47">
        <v>38</v>
      </c>
      <c r="K853" s="47" t="s">
        <v>46</v>
      </c>
    </row>
    <row r="854" spans="1:11">
      <c r="A854" s="2">
        <v>43930</v>
      </c>
      <c r="B854" s="47">
        <v>0.33333333333333331</v>
      </c>
      <c r="C854" s="47" t="s">
        <v>91</v>
      </c>
      <c r="E854" s="47">
        <v>2714</v>
      </c>
      <c r="F854" s="47">
        <v>301</v>
      </c>
      <c r="G854" s="47">
        <v>72</v>
      </c>
      <c r="H854" s="47">
        <v>68</v>
      </c>
      <c r="I854" s="47">
        <v>447</v>
      </c>
      <c r="J854" s="47">
        <v>219</v>
      </c>
      <c r="K854" s="47" t="s">
        <v>93</v>
      </c>
    </row>
    <row r="855" spans="1:11">
      <c r="A855" s="2">
        <v>43930</v>
      </c>
      <c r="B855" s="47">
        <v>0.33333333333333331</v>
      </c>
      <c r="C855" s="47" t="s">
        <v>102</v>
      </c>
      <c r="E855" s="47">
        <v>165</v>
      </c>
      <c r="F855" s="47">
        <v>13</v>
      </c>
      <c r="G855" s="47">
        <v>9</v>
      </c>
      <c r="I855" s="47">
        <v>69</v>
      </c>
      <c r="J855" s="47">
        <v>3</v>
      </c>
      <c r="K855" s="47" t="s">
        <v>381</v>
      </c>
    </row>
    <row r="856" spans="1:11">
      <c r="A856" s="2">
        <v>43930</v>
      </c>
      <c r="B856" s="47">
        <v>0.39583333333333331</v>
      </c>
      <c r="C856" s="47" t="s">
        <v>81</v>
      </c>
      <c r="E856" s="47">
        <v>52</v>
      </c>
      <c r="F856" s="47">
        <v>17</v>
      </c>
      <c r="G856" s="47">
        <v>2</v>
      </c>
      <c r="J856" s="47">
        <v>1</v>
      </c>
      <c r="K856" s="47" t="s">
        <v>606</v>
      </c>
    </row>
    <row r="857" spans="1:11">
      <c r="A857" s="2">
        <v>43930</v>
      </c>
      <c r="B857" s="47">
        <v>0.41666666666666669</v>
      </c>
      <c r="C857" s="47" t="s">
        <v>50</v>
      </c>
      <c r="E857" s="47">
        <v>841</v>
      </c>
      <c r="F857" s="47">
        <v>93</v>
      </c>
      <c r="G857" s="47">
        <v>13</v>
      </c>
      <c r="I857" s="47">
        <v>572</v>
      </c>
      <c r="J857" s="47">
        <v>33</v>
      </c>
      <c r="K857" s="47" t="s">
        <v>52</v>
      </c>
    </row>
    <row r="858" spans="1:11">
      <c r="A858" s="2">
        <v>43930</v>
      </c>
      <c r="B858" s="47">
        <v>0.45833333333333331</v>
      </c>
      <c r="C858" s="47" t="s">
        <v>38</v>
      </c>
      <c r="E858" s="47">
        <v>24</v>
      </c>
      <c r="K858" s="47" t="s">
        <v>40</v>
      </c>
    </row>
    <row r="859" spans="1:11">
      <c r="A859" s="2">
        <v>43930</v>
      </c>
      <c r="B859" s="47">
        <v>0.54166666666666663</v>
      </c>
      <c r="C859" s="47" t="s">
        <v>68</v>
      </c>
      <c r="E859" s="47">
        <v>542</v>
      </c>
      <c r="F859" s="47">
        <v>62</v>
      </c>
      <c r="G859" s="47">
        <v>6</v>
      </c>
      <c r="J859" s="47">
        <v>9</v>
      </c>
      <c r="K859" s="47" t="s">
        <v>70</v>
      </c>
    </row>
    <row r="860" spans="1:11">
      <c r="A860" s="2">
        <v>43930</v>
      </c>
      <c r="B860" s="47">
        <v>0.58333333333333337</v>
      </c>
      <c r="C860" s="47" t="s">
        <v>94</v>
      </c>
      <c r="E860" s="47">
        <v>72</v>
      </c>
      <c r="F860" s="47">
        <v>4</v>
      </c>
      <c r="I860" s="47">
        <v>45</v>
      </c>
      <c r="J860" s="47">
        <v>4</v>
      </c>
      <c r="K860" s="47" t="s">
        <v>96</v>
      </c>
    </row>
    <row r="861" spans="1:11">
      <c r="A861" s="2">
        <v>43930</v>
      </c>
      <c r="B861" s="47">
        <v>0.60416666666666663</v>
      </c>
      <c r="C861" s="47" t="s">
        <v>104</v>
      </c>
      <c r="E861" s="47">
        <v>2887</v>
      </c>
      <c r="F861" s="47">
        <v>165</v>
      </c>
      <c r="H861" s="47">
        <v>55</v>
      </c>
      <c r="J861" s="47">
        <v>66</v>
      </c>
      <c r="K861" s="47" t="s">
        <v>106</v>
      </c>
    </row>
    <row r="862" spans="1:11">
      <c r="A862" s="2">
        <v>43930</v>
      </c>
      <c r="B862" s="47">
        <v>0.61458333333333337</v>
      </c>
      <c r="C862" s="47" t="s">
        <v>34</v>
      </c>
      <c r="E862" s="47">
        <v>822</v>
      </c>
      <c r="F862" s="47">
        <v>87</v>
      </c>
      <c r="G862" s="47">
        <v>22</v>
      </c>
      <c r="H862" s="47">
        <v>21</v>
      </c>
      <c r="I862" s="47">
        <v>250</v>
      </c>
      <c r="J862" s="47">
        <v>17</v>
      </c>
      <c r="K862" s="47" t="s">
        <v>37</v>
      </c>
    </row>
    <row r="863" spans="1:11">
      <c r="A863" s="2">
        <v>43930</v>
      </c>
      <c r="B863" s="47">
        <v>0.625</v>
      </c>
      <c r="C863" s="47" t="s">
        <v>75</v>
      </c>
      <c r="E863" s="47">
        <v>62</v>
      </c>
      <c r="F863" s="47">
        <v>1</v>
      </c>
      <c r="J863" s="47">
        <v>0</v>
      </c>
      <c r="K863" s="47" t="s">
        <v>77</v>
      </c>
    </row>
    <row r="864" spans="1:11">
      <c r="A864" s="2">
        <v>43931</v>
      </c>
      <c r="C864" s="47" t="s">
        <v>47</v>
      </c>
      <c r="E864" s="47">
        <v>722</v>
      </c>
      <c r="F864" s="47">
        <v>54</v>
      </c>
      <c r="G864" s="47">
        <v>17</v>
      </c>
      <c r="H864" s="47">
        <v>15</v>
      </c>
      <c r="I864" s="47">
        <v>502</v>
      </c>
      <c r="J864" s="47">
        <v>22</v>
      </c>
      <c r="K864" s="47" t="s">
        <v>49</v>
      </c>
    </row>
    <row r="865" spans="1:11">
      <c r="A865" s="2">
        <v>43931</v>
      </c>
      <c r="C865" s="47" t="s">
        <v>53</v>
      </c>
      <c r="E865" s="47">
        <v>79</v>
      </c>
      <c r="J865" s="47">
        <v>1</v>
      </c>
      <c r="K865" s="47" t="s">
        <v>311</v>
      </c>
    </row>
    <row r="866" spans="1:11">
      <c r="A866" s="2">
        <v>43931</v>
      </c>
      <c r="C866" s="47" t="s">
        <v>56</v>
      </c>
      <c r="E866" s="47">
        <v>796</v>
      </c>
      <c r="F866" s="47">
        <v>73</v>
      </c>
      <c r="G866" s="47">
        <v>19</v>
      </c>
      <c r="I866" s="47">
        <v>88</v>
      </c>
      <c r="J866" s="47">
        <v>49</v>
      </c>
      <c r="K866" s="47" t="s">
        <v>640</v>
      </c>
    </row>
    <row r="867" spans="1:11">
      <c r="A867" s="2">
        <v>43931</v>
      </c>
      <c r="C867" s="47" t="s">
        <v>58</v>
      </c>
      <c r="D867" s="47">
        <v>18227</v>
      </c>
      <c r="E867" s="47">
        <v>4194</v>
      </c>
      <c r="F867" s="47">
        <v>379</v>
      </c>
      <c r="G867" s="47">
        <v>47</v>
      </c>
      <c r="H867" s="47">
        <v>47</v>
      </c>
      <c r="I867" s="47">
        <v>448</v>
      </c>
      <c r="J867" s="47">
        <v>170</v>
      </c>
      <c r="K867" s="47" t="s">
        <v>60</v>
      </c>
    </row>
    <row r="868" spans="1:11">
      <c r="A868" s="2">
        <v>43931</v>
      </c>
      <c r="C868" s="47" t="s">
        <v>61</v>
      </c>
      <c r="E868" s="47">
        <v>76</v>
      </c>
      <c r="F868" s="47">
        <v>2</v>
      </c>
      <c r="J868" s="47">
        <v>2</v>
      </c>
      <c r="K868" s="47" t="s">
        <v>427</v>
      </c>
    </row>
    <row r="869" spans="1:11">
      <c r="A869" s="2">
        <v>43931</v>
      </c>
      <c r="C869" s="47" t="s">
        <v>63</v>
      </c>
      <c r="E869" s="47">
        <v>730</v>
      </c>
      <c r="F869" s="47">
        <v>35</v>
      </c>
      <c r="J869" s="47">
        <v>36</v>
      </c>
      <c r="K869" s="47" t="s">
        <v>65</v>
      </c>
    </row>
    <row r="870" spans="1:11">
      <c r="A870" s="2">
        <v>43931</v>
      </c>
      <c r="C870" s="47" t="s">
        <v>66</v>
      </c>
      <c r="E870" s="47">
        <v>182</v>
      </c>
      <c r="F870" s="47">
        <v>25</v>
      </c>
      <c r="G870" s="47">
        <v>5</v>
      </c>
      <c r="J870" s="47">
        <v>3</v>
      </c>
      <c r="K870" s="47" t="s">
        <v>433</v>
      </c>
    </row>
    <row r="871" spans="1:11">
      <c r="A871" s="2">
        <v>43931</v>
      </c>
      <c r="C871" s="47" t="s">
        <v>71</v>
      </c>
      <c r="E871" s="47">
        <v>564</v>
      </c>
      <c r="F871" s="47">
        <v>63</v>
      </c>
      <c r="G871" s="47">
        <v>11</v>
      </c>
      <c r="H871" s="47">
        <v>8</v>
      </c>
      <c r="J871" s="47">
        <v>42</v>
      </c>
      <c r="K871" s="47" t="s">
        <v>377</v>
      </c>
    </row>
    <row r="872" spans="1:11">
      <c r="A872" s="2">
        <v>43931</v>
      </c>
      <c r="C872" s="47" t="s">
        <v>73</v>
      </c>
      <c r="E872" s="47">
        <v>100</v>
      </c>
      <c r="F872" s="47">
        <v>7</v>
      </c>
      <c r="G872" s="47">
        <v>1</v>
      </c>
      <c r="K872" s="47" t="s">
        <v>357</v>
      </c>
    </row>
    <row r="873" spans="1:11">
      <c r="A873" s="2">
        <v>43931</v>
      </c>
      <c r="C873" s="47" t="s">
        <v>78</v>
      </c>
      <c r="E873" s="47">
        <v>632</v>
      </c>
      <c r="F873" s="47">
        <v>60</v>
      </c>
      <c r="G873" s="47">
        <v>11</v>
      </c>
      <c r="I873" s="47">
        <v>93</v>
      </c>
      <c r="J873" s="47">
        <v>17</v>
      </c>
      <c r="K873" s="47" t="s">
        <v>80</v>
      </c>
    </row>
    <row r="874" spans="1:11">
      <c r="A874" s="2">
        <v>43931</v>
      </c>
      <c r="C874" s="47" t="s">
        <v>86</v>
      </c>
      <c r="E874" s="47">
        <v>215</v>
      </c>
      <c r="I874" s="47">
        <v>118</v>
      </c>
      <c r="J874" s="47">
        <v>10</v>
      </c>
      <c r="K874" s="47" t="s">
        <v>607</v>
      </c>
    </row>
    <row r="875" spans="1:11">
      <c r="A875" s="2">
        <v>43931</v>
      </c>
      <c r="C875" s="47" t="s">
        <v>88</v>
      </c>
      <c r="E875" s="47">
        <v>265</v>
      </c>
      <c r="F875" s="47">
        <v>32</v>
      </c>
      <c r="G875" s="47">
        <v>13</v>
      </c>
      <c r="J875" s="47">
        <v>8</v>
      </c>
      <c r="K875" s="47" t="s">
        <v>90</v>
      </c>
    </row>
    <row r="876" spans="1:11">
      <c r="A876" s="2">
        <v>43931</v>
      </c>
      <c r="C876" s="47" t="s">
        <v>97</v>
      </c>
      <c r="E876" s="47">
        <v>4731</v>
      </c>
      <c r="F876" s="47">
        <v>294</v>
      </c>
      <c r="G876" s="47">
        <v>63</v>
      </c>
      <c r="J876" s="47">
        <v>237</v>
      </c>
      <c r="K876" s="47" t="s">
        <v>99</v>
      </c>
    </row>
    <row r="877" spans="1:11">
      <c r="A877" s="2">
        <v>43931</v>
      </c>
      <c r="C877" s="47" t="s">
        <v>100</v>
      </c>
      <c r="E877" s="47">
        <v>1627</v>
      </c>
      <c r="F877" s="47">
        <v>115</v>
      </c>
      <c r="G877" s="47">
        <v>24</v>
      </c>
      <c r="H877" s="47">
        <v>18</v>
      </c>
      <c r="I877" s="47">
        <v>136</v>
      </c>
      <c r="J877" s="47">
        <v>83</v>
      </c>
      <c r="K877" s="47" t="s">
        <v>419</v>
      </c>
    </row>
    <row r="878" spans="1:11">
      <c r="A878" s="2">
        <v>43931</v>
      </c>
      <c r="B878" s="47">
        <v>0</v>
      </c>
      <c r="C878" s="47" t="s">
        <v>83</v>
      </c>
      <c r="E878" s="47">
        <v>294</v>
      </c>
      <c r="F878" s="47">
        <v>22</v>
      </c>
      <c r="J878" s="47">
        <v>5</v>
      </c>
      <c r="K878" s="47" t="s">
        <v>387</v>
      </c>
    </row>
    <row r="879" spans="1:11">
      <c r="A879" s="2">
        <v>43931</v>
      </c>
      <c r="B879" s="47">
        <v>0.33333333333333331</v>
      </c>
      <c r="C879" s="47" t="s">
        <v>41</v>
      </c>
      <c r="E879" s="47">
        <v>77</v>
      </c>
      <c r="J879" s="47">
        <v>3</v>
      </c>
      <c r="K879" s="47" t="s">
        <v>43</v>
      </c>
    </row>
    <row r="880" spans="1:11">
      <c r="A880" s="2">
        <v>43931</v>
      </c>
      <c r="B880" s="47">
        <v>0.33333333333333331</v>
      </c>
      <c r="C880" s="47" t="s">
        <v>44</v>
      </c>
      <c r="E880" s="47">
        <v>1375</v>
      </c>
      <c r="F880" s="47">
        <v>107</v>
      </c>
      <c r="G880" s="47">
        <v>33</v>
      </c>
      <c r="H880" s="47">
        <v>25</v>
      </c>
      <c r="J880" s="47">
        <v>42</v>
      </c>
      <c r="K880" s="47" t="s">
        <v>46</v>
      </c>
    </row>
    <row r="881" spans="1:11">
      <c r="A881" s="2">
        <v>43931</v>
      </c>
      <c r="B881" s="47">
        <v>0.33333333333333331</v>
      </c>
      <c r="C881" s="47" t="s">
        <v>91</v>
      </c>
      <c r="E881" s="47">
        <v>2776</v>
      </c>
      <c r="F881" s="47">
        <v>297</v>
      </c>
      <c r="G881" s="47">
        <v>68</v>
      </c>
      <c r="H881" s="47">
        <v>62</v>
      </c>
      <c r="I881" s="47">
        <v>466</v>
      </c>
      <c r="J881" s="47">
        <v>227</v>
      </c>
      <c r="K881" s="47" t="s">
        <v>303</v>
      </c>
    </row>
    <row r="882" spans="1:11">
      <c r="A882" s="2">
        <v>43931</v>
      </c>
      <c r="B882" s="47">
        <v>0.33333333333333331</v>
      </c>
      <c r="C882" s="47" t="s">
        <v>102</v>
      </c>
      <c r="E882" s="47">
        <v>168</v>
      </c>
      <c r="F882" s="47">
        <v>15</v>
      </c>
      <c r="G882" s="47">
        <v>9</v>
      </c>
      <c r="I882" s="47">
        <v>76</v>
      </c>
      <c r="J882" s="47">
        <v>3</v>
      </c>
      <c r="K882" s="47" t="s">
        <v>381</v>
      </c>
    </row>
    <row r="883" spans="1:11">
      <c r="A883" s="2">
        <v>43931</v>
      </c>
      <c r="B883" s="47">
        <v>0.39583333333333331</v>
      </c>
      <c r="C883" s="47" t="s">
        <v>81</v>
      </c>
      <c r="E883" s="47">
        <v>53</v>
      </c>
      <c r="F883" s="47">
        <v>13</v>
      </c>
      <c r="G883" s="47">
        <v>2</v>
      </c>
      <c r="J883" s="47">
        <v>1</v>
      </c>
      <c r="K883" s="47" t="s">
        <v>606</v>
      </c>
    </row>
    <row r="884" spans="1:11">
      <c r="A884" s="2">
        <v>43931</v>
      </c>
      <c r="B884" s="47">
        <v>0.41666666666666669</v>
      </c>
      <c r="C884" s="47" t="s">
        <v>50</v>
      </c>
      <c r="E884" s="47">
        <v>854</v>
      </c>
      <c r="F884" s="47">
        <v>87</v>
      </c>
      <c r="G884" s="47">
        <v>13</v>
      </c>
      <c r="I884" s="47">
        <v>593</v>
      </c>
      <c r="J884" s="47">
        <v>33</v>
      </c>
      <c r="K884" s="47" t="s">
        <v>304</v>
      </c>
    </row>
    <row r="885" spans="1:11">
      <c r="A885" s="2">
        <v>43931</v>
      </c>
      <c r="B885" s="47">
        <v>0.54166666666666663</v>
      </c>
      <c r="C885" s="47" t="s">
        <v>68</v>
      </c>
      <c r="E885" s="47">
        <v>560</v>
      </c>
      <c r="F885" s="47">
        <v>69</v>
      </c>
      <c r="G885" s="47">
        <v>6</v>
      </c>
      <c r="J885" s="47">
        <v>9</v>
      </c>
      <c r="K885" s="47" t="s">
        <v>70</v>
      </c>
    </row>
    <row r="886" spans="1:11">
      <c r="A886" s="2">
        <v>43931</v>
      </c>
      <c r="B886" s="47">
        <v>0.60416666666666663</v>
      </c>
      <c r="C886" s="47" t="s">
        <v>104</v>
      </c>
      <c r="E886" s="47">
        <v>2927</v>
      </c>
      <c r="F886" s="47">
        <v>152</v>
      </c>
      <c r="H886" s="47">
        <v>50</v>
      </c>
      <c r="J886" s="47">
        <v>71</v>
      </c>
      <c r="K886" s="47" t="s">
        <v>106</v>
      </c>
    </row>
    <row r="887" spans="1:11">
      <c r="A887" s="2">
        <v>43931</v>
      </c>
      <c r="B887" s="47">
        <v>0.61458333333333337</v>
      </c>
      <c r="C887" s="47" t="s">
        <v>34</v>
      </c>
      <c r="E887" s="47">
        <v>850</v>
      </c>
      <c r="J887" s="47">
        <v>18</v>
      </c>
      <c r="K887" s="47" t="s">
        <v>310</v>
      </c>
    </row>
    <row r="888" spans="1:11">
      <c r="A888" s="2">
        <v>43931</v>
      </c>
      <c r="B888" s="47">
        <v>0.66666666666666663</v>
      </c>
      <c r="C888" s="47" t="s">
        <v>94</v>
      </c>
      <c r="E888" s="47">
        <v>74</v>
      </c>
      <c r="F888" s="47">
        <v>4</v>
      </c>
      <c r="I888" s="47">
        <v>49</v>
      </c>
      <c r="J888" s="47">
        <v>4</v>
      </c>
      <c r="K888" s="47" t="s">
        <v>96</v>
      </c>
    </row>
    <row r="889" spans="1:11">
      <c r="A889" s="2">
        <v>43932</v>
      </c>
      <c r="C889" s="47" t="s">
        <v>47</v>
      </c>
      <c r="E889" s="47">
        <v>736</v>
      </c>
      <c r="F889" s="47">
        <v>50</v>
      </c>
      <c r="G889" s="47">
        <v>16</v>
      </c>
      <c r="H889" s="47">
        <v>15</v>
      </c>
      <c r="I889" s="47">
        <v>527</v>
      </c>
      <c r="J889" s="47">
        <v>22</v>
      </c>
      <c r="K889" s="47" t="s">
        <v>49</v>
      </c>
    </row>
    <row r="890" spans="1:11">
      <c r="A890" s="2">
        <v>43932</v>
      </c>
      <c r="C890" s="47" t="s">
        <v>53</v>
      </c>
      <c r="E890" s="47">
        <v>79</v>
      </c>
      <c r="J890" s="47">
        <v>1</v>
      </c>
      <c r="K890" s="47" t="s">
        <v>312</v>
      </c>
    </row>
    <row r="891" spans="1:11">
      <c r="A891" s="2">
        <v>43932</v>
      </c>
      <c r="C891" s="47" t="s">
        <v>56</v>
      </c>
      <c r="E891" s="47">
        <v>834</v>
      </c>
      <c r="F891" s="47">
        <v>68</v>
      </c>
      <c r="G891" s="47">
        <v>20</v>
      </c>
      <c r="I891" s="47">
        <v>93</v>
      </c>
      <c r="J891" s="47">
        <v>53</v>
      </c>
      <c r="K891" s="47" t="s">
        <v>640</v>
      </c>
    </row>
    <row r="892" spans="1:11">
      <c r="A892" s="2">
        <v>43932</v>
      </c>
      <c r="C892" s="47" t="s">
        <v>58</v>
      </c>
      <c r="D892" s="47">
        <v>18587</v>
      </c>
      <c r="E892" s="47">
        <v>4243</v>
      </c>
      <c r="F892" s="47">
        <v>364</v>
      </c>
      <c r="G892" s="47">
        <v>48</v>
      </c>
      <c r="H892" s="47">
        <v>44</v>
      </c>
      <c r="I892" s="47">
        <v>463</v>
      </c>
      <c r="J892" s="47">
        <v>178</v>
      </c>
      <c r="K892" s="47" t="s">
        <v>60</v>
      </c>
    </row>
    <row r="893" spans="1:11">
      <c r="A893" s="2">
        <v>43932</v>
      </c>
      <c r="C893" s="47" t="s">
        <v>61</v>
      </c>
      <c r="E893" s="47">
        <v>91</v>
      </c>
      <c r="F893" s="47">
        <v>2</v>
      </c>
      <c r="J893" s="47">
        <v>2</v>
      </c>
      <c r="K893" s="47" t="s">
        <v>427</v>
      </c>
    </row>
    <row r="894" spans="1:11">
      <c r="A894" s="2">
        <v>43932</v>
      </c>
      <c r="C894" s="47" t="s">
        <v>63</v>
      </c>
      <c r="E894" s="47">
        <v>743</v>
      </c>
      <c r="F894" s="47">
        <v>35</v>
      </c>
      <c r="J894" s="47">
        <v>36</v>
      </c>
      <c r="K894" s="47" t="s">
        <v>65</v>
      </c>
    </row>
    <row r="895" spans="1:11">
      <c r="A895" s="2">
        <v>43932</v>
      </c>
      <c r="C895" s="47" t="s">
        <v>66</v>
      </c>
      <c r="E895" s="47">
        <v>183</v>
      </c>
      <c r="F895" s="47">
        <v>23</v>
      </c>
      <c r="G895" s="47">
        <v>5</v>
      </c>
      <c r="J895" s="47">
        <v>3</v>
      </c>
      <c r="K895" s="47" t="s">
        <v>433</v>
      </c>
    </row>
    <row r="896" spans="1:11">
      <c r="A896" s="2">
        <v>43932</v>
      </c>
      <c r="C896" s="47" t="s">
        <v>71</v>
      </c>
      <c r="E896" s="47">
        <v>573</v>
      </c>
      <c r="F896" s="47">
        <v>64</v>
      </c>
      <c r="G896" s="47">
        <v>11</v>
      </c>
      <c r="H896" s="47">
        <v>9</v>
      </c>
      <c r="J896" s="47">
        <v>45</v>
      </c>
      <c r="K896" s="47" t="s">
        <v>377</v>
      </c>
    </row>
    <row r="897" spans="1:11">
      <c r="A897" s="2">
        <v>43932</v>
      </c>
      <c r="C897" s="47" t="s">
        <v>73</v>
      </c>
      <c r="E897" s="47">
        <v>103</v>
      </c>
      <c r="F897" s="47">
        <v>8</v>
      </c>
      <c r="G897" s="47">
        <v>2</v>
      </c>
      <c r="J897" s="47">
        <v>1</v>
      </c>
      <c r="K897" s="47" t="s">
        <v>357</v>
      </c>
    </row>
    <row r="898" spans="1:11">
      <c r="A898" s="2">
        <v>43932</v>
      </c>
      <c r="C898" s="47" t="s">
        <v>78</v>
      </c>
      <c r="E898" s="47">
        <v>641</v>
      </c>
      <c r="F898" s="47">
        <v>60</v>
      </c>
      <c r="G898" s="47">
        <v>11</v>
      </c>
      <c r="I898" s="47">
        <v>102</v>
      </c>
      <c r="J898" s="47">
        <v>18</v>
      </c>
      <c r="K898" s="47" t="s">
        <v>80</v>
      </c>
    </row>
    <row r="899" spans="1:11">
      <c r="A899" s="2">
        <v>43932</v>
      </c>
      <c r="C899" s="47" t="s">
        <v>86</v>
      </c>
      <c r="E899" s="47">
        <v>249</v>
      </c>
      <c r="I899" s="47">
        <v>118</v>
      </c>
      <c r="J899" s="47">
        <v>10</v>
      </c>
      <c r="K899" s="47" t="s">
        <v>607</v>
      </c>
    </row>
    <row r="900" spans="1:11">
      <c r="A900" s="2">
        <v>43932</v>
      </c>
      <c r="C900" s="47" t="s">
        <v>88</v>
      </c>
      <c r="E900" s="47">
        <v>275</v>
      </c>
      <c r="F900" s="47">
        <v>32</v>
      </c>
      <c r="G900" s="47">
        <v>14</v>
      </c>
      <c r="J900" s="47">
        <v>8</v>
      </c>
      <c r="K900" s="47" t="s">
        <v>90</v>
      </c>
    </row>
    <row r="901" spans="1:11">
      <c r="A901" s="2">
        <v>43932</v>
      </c>
      <c r="C901" s="47" t="s">
        <v>97</v>
      </c>
      <c r="E901" s="47">
        <v>4771</v>
      </c>
      <c r="F901" s="47">
        <v>280</v>
      </c>
      <c r="G901" s="47">
        <v>63</v>
      </c>
      <c r="J901" s="47">
        <v>243</v>
      </c>
      <c r="K901" s="47" t="s">
        <v>99</v>
      </c>
    </row>
    <row r="902" spans="1:11">
      <c r="A902" s="2">
        <v>43932</v>
      </c>
      <c r="C902" s="47" t="s">
        <v>100</v>
      </c>
      <c r="E902" s="47">
        <v>1653</v>
      </c>
      <c r="F902" s="47">
        <v>112</v>
      </c>
      <c r="G902" s="47">
        <v>20</v>
      </c>
      <c r="H902" s="47">
        <v>15</v>
      </c>
      <c r="I902" s="47">
        <v>148</v>
      </c>
      <c r="J902" s="47">
        <v>85</v>
      </c>
      <c r="K902" s="47" t="s">
        <v>419</v>
      </c>
    </row>
    <row r="903" spans="1:11">
      <c r="A903" s="2">
        <v>43932</v>
      </c>
      <c r="B903" s="47">
        <v>0</v>
      </c>
      <c r="C903" s="47" t="s">
        <v>83</v>
      </c>
      <c r="E903" s="47">
        <v>306</v>
      </c>
      <c r="J903" s="47">
        <v>6</v>
      </c>
      <c r="K903" s="47" t="s">
        <v>387</v>
      </c>
    </row>
    <row r="904" spans="1:11">
      <c r="A904" s="2">
        <v>43932</v>
      </c>
      <c r="B904" s="47">
        <v>0.33333333333333331</v>
      </c>
      <c r="C904" s="47" t="s">
        <v>44</v>
      </c>
      <c r="E904" s="47">
        <v>1419</v>
      </c>
      <c r="F904" s="47">
        <v>99</v>
      </c>
      <c r="G904" s="47">
        <v>33</v>
      </c>
      <c r="H904" s="47">
        <v>24</v>
      </c>
      <c r="J904" s="47">
        <v>44</v>
      </c>
      <c r="K904" s="47" t="s">
        <v>46</v>
      </c>
    </row>
    <row r="905" spans="1:11">
      <c r="A905" s="2">
        <v>43932</v>
      </c>
      <c r="B905" s="47">
        <v>0.33333333333333331</v>
      </c>
      <c r="C905" s="47" t="s">
        <v>91</v>
      </c>
      <c r="E905" s="47">
        <v>2818</v>
      </c>
      <c r="F905" s="47">
        <v>282</v>
      </c>
      <c r="G905" s="47">
        <v>68</v>
      </c>
      <c r="H905" s="47">
        <v>59</v>
      </c>
      <c r="I905" s="47">
        <v>493</v>
      </c>
      <c r="J905" s="47">
        <v>229</v>
      </c>
      <c r="K905" s="47" t="s">
        <v>313</v>
      </c>
    </row>
    <row r="906" spans="1:11">
      <c r="A906" s="2">
        <v>43932</v>
      </c>
      <c r="B906" s="47">
        <v>0.33333333333333331</v>
      </c>
      <c r="C906" s="47" t="s">
        <v>102</v>
      </c>
      <c r="E906" s="47">
        <v>168</v>
      </c>
      <c r="F906" s="47">
        <v>14</v>
      </c>
      <c r="G906" s="47">
        <v>9</v>
      </c>
      <c r="I906" s="47">
        <v>79</v>
      </c>
      <c r="J906" s="47">
        <v>4</v>
      </c>
      <c r="K906" s="47" t="s">
        <v>381</v>
      </c>
    </row>
    <row r="907" spans="1:11">
      <c r="A907" s="2">
        <v>43932</v>
      </c>
      <c r="B907" s="47">
        <v>0.39583333333333331</v>
      </c>
      <c r="C907" s="47" t="s">
        <v>50</v>
      </c>
      <c r="E907" s="47">
        <v>861</v>
      </c>
      <c r="I907" s="47">
        <v>612</v>
      </c>
      <c r="J907" s="47">
        <v>33</v>
      </c>
      <c r="K907" s="47" t="s">
        <v>302</v>
      </c>
    </row>
    <row r="908" spans="1:11">
      <c r="A908" s="2">
        <v>43932</v>
      </c>
      <c r="B908" s="47">
        <v>0.39583333333333331</v>
      </c>
      <c r="C908" s="47" t="s">
        <v>81</v>
      </c>
      <c r="E908" s="47">
        <v>55</v>
      </c>
      <c r="F908" s="47">
        <v>13</v>
      </c>
      <c r="G908" s="47">
        <v>2</v>
      </c>
      <c r="J908" s="47">
        <v>1</v>
      </c>
      <c r="K908" s="47" t="s">
        <v>606</v>
      </c>
    </row>
    <row r="909" spans="1:11">
      <c r="A909" s="2">
        <v>43932</v>
      </c>
      <c r="B909" s="47">
        <v>0.41666666666666669</v>
      </c>
      <c r="C909" s="47" t="s">
        <v>41</v>
      </c>
      <c r="E909" s="47">
        <v>77</v>
      </c>
      <c r="J909" s="47">
        <v>3</v>
      </c>
      <c r="K909" s="47" t="s">
        <v>43</v>
      </c>
    </row>
    <row r="910" spans="1:11">
      <c r="A910" s="2">
        <v>43932</v>
      </c>
      <c r="B910" s="47">
        <v>0.45833333333333331</v>
      </c>
      <c r="C910" s="47" t="s">
        <v>38</v>
      </c>
      <c r="E910" s="47">
        <v>24</v>
      </c>
      <c r="K910" s="47" t="s">
        <v>40</v>
      </c>
    </row>
    <row r="911" spans="1:11">
      <c r="A911" s="2">
        <v>43932</v>
      </c>
      <c r="B911" s="47">
        <v>0.45833333333333331</v>
      </c>
      <c r="C911" s="47" t="s">
        <v>68</v>
      </c>
      <c r="E911" s="47">
        <v>568</v>
      </c>
      <c r="J911" s="47">
        <v>10</v>
      </c>
      <c r="K911" s="47" t="s">
        <v>70</v>
      </c>
    </row>
    <row r="912" spans="1:11">
      <c r="A912" s="2">
        <v>43932</v>
      </c>
      <c r="B912" s="47">
        <v>0.60416666666666663</v>
      </c>
      <c r="C912" s="47" t="s">
        <v>104</v>
      </c>
      <c r="E912" s="47">
        <v>2985</v>
      </c>
      <c r="F912" s="47">
        <v>149</v>
      </c>
      <c r="H912" s="47">
        <v>50</v>
      </c>
      <c r="J912" s="47">
        <v>77</v>
      </c>
      <c r="K912" s="47" t="s">
        <v>106</v>
      </c>
    </row>
    <row r="913" spans="1:11">
      <c r="A913" s="2">
        <v>43932</v>
      </c>
      <c r="B913" s="47">
        <v>0.66666666666666663</v>
      </c>
      <c r="C913" s="47" t="s">
        <v>94</v>
      </c>
      <c r="E913" s="47">
        <v>75</v>
      </c>
      <c r="F913" s="47">
        <v>8</v>
      </c>
      <c r="I913" s="47">
        <v>50</v>
      </c>
      <c r="J913" s="47">
        <v>4</v>
      </c>
      <c r="K913" s="47" t="s">
        <v>96</v>
      </c>
    </row>
    <row r="914" spans="1:11">
      <c r="A914" s="2">
        <v>43932</v>
      </c>
      <c r="B914" s="47">
        <v>0.70833333333333337</v>
      </c>
      <c r="C914" s="47" t="s">
        <v>34</v>
      </c>
      <c r="E914" s="47">
        <v>878</v>
      </c>
      <c r="F914" s="47">
        <v>76</v>
      </c>
      <c r="G914" s="47">
        <v>23</v>
      </c>
      <c r="H914" s="47">
        <v>21</v>
      </c>
      <c r="I914" s="47">
        <v>300</v>
      </c>
      <c r="J914" s="47">
        <v>18</v>
      </c>
      <c r="K914" s="47" t="s">
        <v>310</v>
      </c>
    </row>
    <row r="915" spans="1:11">
      <c r="A915" s="2">
        <v>43933</v>
      </c>
      <c r="C915" s="47" t="s">
        <v>47</v>
      </c>
      <c r="E915" s="47">
        <v>740</v>
      </c>
      <c r="F915" s="47">
        <v>48</v>
      </c>
      <c r="G915" s="47">
        <v>17</v>
      </c>
      <c r="H915" s="47">
        <v>14</v>
      </c>
      <c r="I915" s="47">
        <v>554</v>
      </c>
      <c r="J915" s="47">
        <v>23</v>
      </c>
      <c r="K915" s="47" t="s">
        <v>49</v>
      </c>
    </row>
    <row r="916" spans="1:11">
      <c r="A916" s="2">
        <v>43933</v>
      </c>
      <c r="C916" s="47" t="s">
        <v>53</v>
      </c>
      <c r="E916" s="47">
        <v>80</v>
      </c>
      <c r="J916" s="47">
        <v>1</v>
      </c>
      <c r="K916" s="47" t="s">
        <v>322</v>
      </c>
    </row>
    <row r="917" spans="1:11">
      <c r="A917" s="2">
        <v>43933</v>
      </c>
      <c r="C917" s="47" t="s">
        <v>56</v>
      </c>
      <c r="E917" s="47">
        <v>846</v>
      </c>
      <c r="F917" s="47">
        <v>65</v>
      </c>
      <c r="G917" s="47">
        <v>19</v>
      </c>
      <c r="I917" s="47">
        <v>97</v>
      </c>
      <c r="J917" s="47">
        <v>54</v>
      </c>
      <c r="K917" s="47" t="s">
        <v>640</v>
      </c>
    </row>
    <row r="918" spans="1:11">
      <c r="A918" s="2">
        <v>43933</v>
      </c>
      <c r="C918" s="47" t="s">
        <v>58</v>
      </c>
      <c r="D918" s="47">
        <v>18762</v>
      </c>
      <c r="E918" s="47">
        <v>4265</v>
      </c>
      <c r="F918" s="47">
        <v>363</v>
      </c>
      <c r="G918" s="47">
        <v>47</v>
      </c>
      <c r="H918" s="47">
        <v>43</v>
      </c>
      <c r="I918" s="47">
        <v>479</v>
      </c>
      <c r="J918" s="47">
        <v>185</v>
      </c>
      <c r="K918" s="47" t="s">
        <v>60</v>
      </c>
    </row>
    <row r="919" spans="1:11">
      <c r="A919" s="2">
        <v>43933</v>
      </c>
      <c r="C919" s="47" t="s">
        <v>61</v>
      </c>
      <c r="E919" s="47">
        <v>91</v>
      </c>
      <c r="F919" s="47">
        <v>2</v>
      </c>
      <c r="J919" s="47">
        <v>2</v>
      </c>
      <c r="K919" s="47" t="s">
        <v>427</v>
      </c>
    </row>
    <row r="920" spans="1:11">
      <c r="A920" s="2">
        <v>43933</v>
      </c>
      <c r="C920" s="47" t="s">
        <v>63</v>
      </c>
      <c r="E920" s="47">
        <v>747</v>
      </c>
      <c r="F920" s="47">
        <v>35</v>
      </c>
      <c r="J920" s="47">
        <v>36</v>
      </c>
      <c r="K920" s="47" t="s">
        <v>65</v>
      </c>
    </row>
    <row r="921" spans="1:11">
      <c r="A921" s="2">
        <v>43933</v>
      </c>
      <c r="C921" s="47" t="s">
        <v>66</v>
      </c>
      <c r="E921" s="47">
        <v>183</v>
      </c>
      <c r="F921" s="47">
        <v>22</v>
      </c>
      <c r="G921" s="47">
        <v>5</v>
      </c>
      <c r="J921" s="47">
        <v>3</v>
      </c>
      <c r="K921" s="47" t="s">
        <v>433</v>
      </c>
    </row>
    <row r="922" spans="1:11">
      <c r="A922" s="2">
        <v>43933</v>
      </c>
      <c r="C922" s="47" t="s">
        <v>71</v>
      </c>
      <c r="E922" s="47">
        <v>583</v>
      </c>
      <c r="F922" s="47">
        <v>67</v>
      </c>
      <c r="G922" s="47">
        <v>10</v>
      </c>
      <c r="H922" s="47">
        <v>10</v>
      </c>
      <c r="J922" s="47">
        <v>50</v>
      </c>
      <c r="K922" s="47" t="s">
        <v>377</v>
      </c>
    </row>
    <row r="923" spans="1:11">
      <c r="A923" s="2">
        <v>43933</v>
      </c>
      <c r="C923" s="47" t="s">
        <v>73</v>
      </c>
      <c r="E923" s="47">
        <v>104</v>
      </c>
      <c r="F923" s="47">
        <v>7</v>
      </c>
      <c r="G923" s="47">
        <v>2</v>
      </c>
      <c r="J923" s="47">
        <v>1</v>
      </c>
      <c r="K923" s="47" t="s">
        <v>357</v>
      </c>
    </row>
    <row r="924" spans="1:11">
      <c r="A924" s="2">
        <v>43933</v>
      </c>
      <c r="C924" s="47" t="s">
        <v>78</v>
      </c>
      <c r="E924" s="47">
        <v>649</v>
      </c>
      <c r="F924" s="47">
        <v>58</v>
      </c>
      <c r="G924" s="47">
        <v>9</v>
      </c>
      <c r="I924" s="47">
        <v>109</v>
      </c>
      <c r="J924" s="47">
        <v>21</v>
      </c>
      <c r="K924" s="47" t="s">
        <v>80</v>
      </c>
    </row>
    <row r="925" spans="1:11">
      <c r="A925" s="2">
        <v>43933</v>
      </c>
      <c r="C925" s="47" t="s">
        <v>86</v>
      </c>
      <c r="E925" s="47">
        <v>251</v>
      </c>
      <c r="I925" s="47">
        <v>119</v>
      </c>
      <c r="J925" s="47">
        <v>11</v>
      </c>
      <c r="K925" s="47" t="s">
        <v>607</v>
      </c>
    </row>
    <row r="926" spans="1:11">
      <c r="A926" s="2">
        <v>43933</v>
      </c>
      <c r="C926" s="47" t="s">
        <v>88</v>
      </c>
      <c r="E926" s="47">
        <v>286</v>
      </c>
      <c r="F926" s="47">
        <v>32</v>
      </c>
      <c r="G926" s="47">
        <v>14</v>
      </c>
      <c r="J926" s="47">
        <v>8</v>
      </c>
      <c r="K926" s="47" t="s">
        <v>90</v>
      </c>
    </row>
    <row r="927" spans="1:11">
      <c r="A927" s="2">
        <v>43933</v>
      </c>
      <c r="C927" s="47" t="s">
        <v>97</v>
      </c>
      <c r="E927" s="47">
        <v>4808</v>
      </c>
      <c r="F927" s="47">
        <v>289</v>
      </c>
      <c r="G927" s="47">
        <v>62</v>
      </c>
      <c r="J927" s="47">
        <v>251</v>
      </c>
      <c r="K927" s="47" t="s">
        <v>99</v>
      </c>
    </row>
    <row r="928" spans="1:11">
      <c r="A928" s="2">
        <v>43933</v>
      </c>
      <c r="C928" s="47" t="s">
        <v>100</v>
      </c>
      <c r="E928" s="47">
        <v>1666</v>
      </c>
      <c r="F928" s="47">
        <v>110</v>
      </c>
      <c r="G928" s="47">
        <v>22</v>
      </c>
      <c r="H928" s="47">
        <v>14</v>
      </c>
      <c r="I928" s="47">
        <v>157</v>
      </c>
      <c r="J928" s="47">
        <v>91</v>
      </c>
      <c r="K928" s="47" t="s">
        <v>419</v>
      </c>
    </row>
    <row r="929" spans="1:11">
      <c r="A929" s="2">
        <v>43933</v>
      </c>
      <c r="B929" s="47">
        <v>0</v>
      </c>
      <c r="C929" s="47" t="s">
        <v>83</v>
      </c>
      <c r="E929" s="47">
        <v>315</v>
      </c>
      <c r="F929" s="47">
        <v>23</v>
      </c>
      <c r="J929" s="47">
        <v>7</v>
      </c>
      <c r="K929" s="47" t="s">
        <v>387</v>
      </c>
    </row>
    <row r="930" spans="1:11">
      <c r="A930" s="2">
        <v>43933</v>
      </c>
      <c r="B930" s="47">
        <v>0.33333333333333331</v>
      </c>
      <c r="C930" s="47" t="s">
        <v>44</v>
      </c>
      <c r="E930" s="47">
        <v>1441</v>
      </c>
      <c r="F930" s="47">
        <v>95</v>
      </c>
      <c r="G930" s="47">
        <v>33</v>
      </c>
      <c r="H930" s="47">
        <v>22</v>
      </c>
      <c r="J930" s="47">
        <v>49</v>
      </c>
      <c r="K930" s="47" t="s">
        <v>46</v>
      </c>
    </row>
    <row r="931" spans="1:11">
      <c r="A931" s="2">
        <v>43933</v>
      </c>
      <c r="B931" s="47">
        <v>0.33333333333333331</v>
      </c>
      <c r="C931" s="47" t="s">
        <v>91</v>
      </c>
      <c r="E931" s="47">
        <v>2869</v>
      </c>
      <c r="F931" s="47">
        <v>269</v>
      </c>
      <c r="G931" s="47">
        <v>63</v>
      </c>
      <c r="H931" s="47">
        <v>56</v>
      </c>
      <c r="I931" s="47">
        <v>511</v>
      </c>
      <c r="J931" s="47">
        <v>244</v>
      </c>
      <c r="K931" s="47" t="s">
        <v>323</v>
      </c>
    </row>
    <row r="932" spans="1:11">
      <c r="A932" s="2">
        <v>43933</v>
      </c>
      <c r="B932" s="47">
        <v>0.33333333333333331</v>
      </c>
      <c r="C932" s="47" t="s">
        <v>102</v>
      </c>
      <c r="E932" s="47">
        <v>168</v>
      </c>
      <c r="F932" s="47">
        <v>13</v>
      </c>
      <c r="G932" s="47">
        <v>9</v>
      </c>
      <c r="I932" s="47">
        <v>80</v>
      </c>
      <c r="J932" s="47">
        <v>5</v>
      </c>
      <c r="K932" s="47" t="s">
        <v>381</v>
      </c>
    </row>
    <row r="933" spans="1:11">
      <c r="A933" s="2">
        <v>43933</v>
      </c>
      <c r="B933" s="47">
        <v>0.39583333333333331</v>
      </c>
      <c r="C933" s="47" t="s">
        <v>81</v>
      </c>
      <c r="E933" s="47">
        <v>57</v>
      </c>
      <c r="F933" s="47">
        <v>16</v>
      </c>
      <c r="G933" s="47">
        <v>2</v>
      </c>
      <c r="J933" s="47">
        <v>1</v>
      </c>
      <c r="K933" s="47" t="s">
        <v>606</v>
      </c>
    </row>
    <row r="934" spans="1:11">
      <c r="A934" s="2">
        <v>43933</v>
      </c>
      <c r="B934" s="47">
        <v>0.41666666666666669</v>
      </c>
      <c r="C934" s="47" t="s">
        <v>50</v>
      </c>
      <c r="E934" s="47">
        <v>877</v>
      </c>
      <c r="F934" s="47">
        <v>86</v>
      </c>
      <c r="G934" s="47">
        <v>12</v>
      </c>
      <c r="I934" s="47">
        <v>629</v>
      </c>
      <c r="J934" s="47">
        <v>33</v>
      </c>
      <c r="K934" s="47" t="s">
        <v>314</v>
      </c>
    </row>
    <row r="935" spans="1:11">
      <c r="A935" s="2">
        <v>43933</v>
      </c>
      <c r="B935" s="47">
        <v>0.45833333333333331</v>
      </c>
      <c r="C935" s="47" t="s">
        <v>68</v>
      </c>
      <c r="E935" s="47">
        <v>576</v>
      </c>
      <c r="F935" s="47">
        <v>60</v>
      </c>
      <c r="G935" s="47">
        <v>5</v>
      </c>
      <c r="J935" s="47">
        <v>10</v>
      </c>
      <c r="K935" s="47" t="s">
        <v>70</v>
      </c>
    </row>
    <row r="936" spans="1:11">
      <c r="A936" s="2">
        <v>43933</v>
      </c>
      <c r="B936" s="47">
        <v>0.60416666666666663</v>
      </c>
      <c r="C936" s="47" t="s">
        <v>104</v>
      </c>
      <c r="E936" s="47">
        <v>3002</v>
      </c>
      <c r="F936" s="47">
        <v>153</v>
      </c>
      <c r="H936" s="47">
        <v>49</v>
      </c>
      <c r="J936" s="47">
        <v>79</v>
      </c>
      <c r="K936" s="47" t="s">
        <v>106</v>
      </c>
    </row>
    <row r="937" spans="1:11">
      <c r="A937" s="2">
        <v>43933</v>
      </c>
      <c r="B937" s="47">
        <v>0.61458333333333337</v>
      </c>
      <c r="C937" s="47" t="s">
        <v>34</v>
      </c>
      <c r="E937" s="47">
        <v>899</v>
      </c>
      <c r="J937" s="47">
        <v>18</v>
      </c>
      <c r="K937" s="47" t="s">
        <v>340</v>
      </c>
    </row>
    <row r="938" spans="1:11">
      <c r="A938" s="2">
        <v>43933</v>
      </c>
      <c r="B938" s="47">
        <v>0.625</v>
      </c>
      <c r="C938" s="47" t="s">
        <v>94</v>
      </c>
      <c r="E938" s="47">
        <v>77</v>
      </c>
      <c r="F938" s="47">
        <v>5</v>
      </c>
      <c r="I938" s="47">
        <v>52</v>
      </c>
      <c r="J938" s="47">
        <v>4</v>
      </c>
      <c r="K938" s="47" t="s">
        <v>96</v>
      </c>
    </row>
    <row r="939" spans="1:11">
      <c r="A939" s="2">
        <v>43934</v>
      </c>
      <c r="C939" s="47" t="s">
        <v>47</v>
      </c>
      <c r="E939" s="47">
        <v>749</v>
      </c>
      <c r="F939" s="47">
        <v>48</v>
      </c>
      <c r="G939" s="47">
        <v>16</v>
      </c>
      <c r="H939" s="47">
        <v>12</v>
      </c>
      <c r="I939" s="47">
        <v>570</v>
      </c>
      <c r="J939" s="47">
        <v>24</v>
      </c>
      <c r="K939" s="47" t="s">
        <v>49</v>
      </c>
    </row>
    <row r="940" spans="1:11">
      <c r="A940" s="2">
        <v>43934</v>
      </c>
      <c r="C940" s="47" t="s">
        <v>53</v>
      </c>
      <c r="E940" s="47">
        <v>80</v>
      </c>
      <c r="J940" s="47">
        <v>1</v>
      </c>
      <c r="K940" s="47" t="s">
        <v>330</v>
      </c>
    </row>
    <row r="941" spans="1:11">
      <c r="A941" s="2">
        <v>43934</v>
      </c>
      <c r="C941" s="47" t="s">
        <v>56</v>
      </c>
      <c r="E941" s="47">
        <v>859</v>
      </c>
      <c r="F941" s="47">
        <v>68</v>
      </c>
      <c r="G941" s="47">
        <v>17</v>
      </c>
      <c r="I941" s="47">
        <v>97</v>
      </c>
      <c r="J941" s="47">
        <v>55</v>
      </c>
      <c r="K941" s="47" t="s">
        <v>640</v>
      </c>
    </row>
    <row r="942" spans="1:11">
      <c r="A942" s="2">
        <v>43934</v>
      </c>
      <c r="C942" s="47" t="s">
        <v>58</v>
      </c>
      <c r="D942" s="47">
        <v>19067</v>
      </c>
      <c r="E942" s="47">
        <v>4315</v>
      </c>
      <c r="F942" s="47">
        <v>364</v>
      </c>
      <c r="G942" s="47">
        <v>47</v>
      </c>
      <c r="H942" s="47">
        <v>42</v>
      </c>
      <c r="I942" s="47">
        <v>490</v>
      </c>
      <c r="J942" s="47">
        <v>188</v>
      </c>
      <c r="K942" s="47" t="s">
        <v>60</v>
      </c>
    </row>
    <row r="943" spans="1:11">
      <c r="A943" s="2">
        <v>43934</v>
      </c>
      <c r="C943" s="47" t="s">
        <v>61</v>
      </c>
      <c r="E943" s="47">
        <v>92</v>
      </c>
      <c r="F943" s="47">
        <v>2</v>
      </c>
      <c r="J943" s="47">
        <v>2</v>
      </c>
      <c r="K943" s="47" t="s">
        <v>427</v>
      </c>
    </row>
    <row r="944" spans="1:11">
      <c r="A944" s="2">
        <v>43934</v>
      </c>
      <c r="C944" s="47" t="s">
        <v>63</v>
      </c>
      <c r="E944" s="47">
        <v>750</v>
      </c>
      <c r="F944" s="47">
        <v>34</v>
      </c>
      <c r="J944" s="47">
        <v>37</v>
      </c>
      <c r="K944" s="47" t="s">
        <v>65</v>
      </c>
    </row>
    <row r="945" spans="1:11">
      <c r="A945" s="2">
        <v>43934</v>
      </c>
      <c r="C945" s="47" t="s">
        <v>66</v>
      </c>
      <c r="E945" s="47">
        <v>184</v>
      </c>
      <c r="F945" s="47">
        <v>24</v>
      </c>
      <c r="G945" s="47">
        <v>5</v>
      </c>
      <c r="J945" s="47">
        <v>3</v>
      </c>
      <c r="K945" s="47" t="s">
        <v>433</v>
      </c>
    </row>
    <row r="946" spans="1:11">
      <c r="A946" s="2">
        <v>43934</v>
      </c>
      <c r="C946" s="47" t="s">
        <v>71</v>
      </c>
      <c r="E946" s="47">
        <v>588</v>
      </c>
      <c r="F946" s="47">
        <v>67</v>
      </c>
      <c r="G946" s="47">
        <v>10</v>
      </c>
      <c r="H946" s="47">
        <v>10</v>
      </c>
      <c r="J946" s="47">
        <v>52</v>
      </c>
      <c r="K946" s="47" t="s">
        <v>377</v>
      </c>
    </row>
    <row r="947" spans="1:11">
      <c r="A947" s="2">
        <v>43934</v>
      </c>
      <c r="C947" s="47" t="s">
        <v>73</v>
      </c>
      <c r="E947" s="47">
        <v>104</v>
      </c>
      <c r="F947" s="47">
        <v>7</v>
      </c>
      <c r="G947" s="47">
        <v>2</v>
      </c>
      <c r="J947" s="47">
        <v>1</v>
      </c>
      <c r="K947" s="47" t="s">
        <v>357</v>
      </c>
    </row>
    <row r="948" spans="1:11">
      <c r="A948" s="2">
        <v>43934</v>
      </c>
      <c r="C948" s="47" t="s">
        <v>78</v>
      </c>
      <c r="E948" s="47">
        <v>657</v>
      </c>
      <c r="F948" s="47">
        <v>58</v>
      </c>
      <c r="G948" s="47">
        <v>10</v>
      </c>
      <c r="I948" s="47">
        <v>119</v>
      </c>
      <c r="J948" s="47">
        <v>21</v>
      </c>
      <c r="K948" s="47" t="s">
        <v>80</v>
      </c>
    </row>
    <row r="949" spans="1:11">
      <c r="A949" s="2">
        <v>43934</v>
      </c>
      <c r="C949" s="47" t="s">
        <v>86</v>
      </c>
      <c r="E949" s="47">
        <v>251</v>
      </c>
      <c r="I949" s="47">
        <v>128</v>
      </c>
      <c r="J949" s="47">
        <v>12</v>
      </c>
      <c r="K949" s="47" t="s">
        <v>607</v>
      </c>
    </row>
    <row r="950" spans="1:11">
      <c r="A950" s="2">
        <v>43934</v>
      </c>
      <c r="C950" s="47" t="s">
        <v>88</v>
      </c>
      <c r="E950" s="47">
        <v>293</v>
      </c>
      <c r="F950" s="47">
        <v>32</v>
      </c>
      <c r="G950" s="47">
        <v>17</v>
      </c>
      <c r="J950" s="47">
        <v>8</v>
      </c>
      <c r="K950" s="47" t="s">
        <v>90</v>
      </c>
    </row>
    <row r="951" spans="1:11">
      <c r="A951" s="2">
        <v>43934</v>
      </c>
      <c r="C951" s="47" t="s">
        <v>97</v>
      </c>
      <c r="E951" s="47">
        <v>4852</v>
      </c>
      <c r="F951" s="47">
        <v>289</v>
      </c>
      <c r="G951" s="47">
        <v>58</v>
      </c>
      <c r="J951" s="47">
        <v>257</v>
      </c>
      <c r="K951" s="47" t="s">
        <v>99</v>
      </c>
    </row>
    <row r="952" spans="1:11">
      <c r="A952" s="2">
        <v>43934</v>
      </c>
      <c r="C952" s="47" t="s">
        <v>100</v>
      </c>
      <c r="E952" s="47">
        <v>1680</v>
      </c>
      <c r="F952" s="47">
        <v>106</v>
      </c>
      <c r="G952" s="47">
        <v>21</v>
      </c>
      <c r="H952" s="47">
        <v>12</v>
      </c>
      <c r="I952" s="47">
        <v>157</v>
      </c>
      <c r="J952" s="47">
        <v>93</v>
      </c>
      <c r="K952" s="47" t="s">
        <v>419</v>
      </c>
    </row>
    <row r="953" spans="1:11">
      <c r="A953" s="2">
        <v>43934</v>
      </c>
      <c r="B953" s="47">
        <v>0</v>
      </c>
      <c r="C953" s="47" t="s">
        <v>83</v>
      </c>
      <c r="E953" s="47">
        <v>321</v>
      </c>
      <c r="F953" s="47">
        <v>23</v>
      </c>
      <c r="J953" s="47">
        <v>7</v>
      </c>
      <c r="K953" s="47" t="s">
        <v>387</v>
      </c>
    </row>
    <row r="954" spans="1:11">
      <c r="A954" s="2">
        <v>43934</v>
      </c>
      <c r="B954" s="47">
        <v>0.33333333333333331</v>
      </c>
      <c r="C954" s="47" t="s">
        <v>41</v>
      </c>
      <c r="E954" s="47">
        <v>78</v>
      </c>
      <c r="J954" s="47">
        <v>3</v>
      </c>
      <c r="K954" s="47" t="s">
        <v>43</v>
      </c>
    </row>
    <row r="955" spans="1:11">
      <c r="A955" s="2">
        <v>43934</v>
      </c>
      <c r="B955" s="47">
        <v>0.33333333333333331</v>
      </c>
      <c r="C955" s="47" t="s">
        <v>44</v>
      </c>
      <c r="E955" s="47">
        <v>1456</v>
      </c>
      <c r="F955" s="47">
        <v>92</v>
      </c>
      <c r="G955" s="47">
        <v>32</v>
      </c>
      <c r="H955" s="47">
        <v>21</v>
      </c>
      <c r="J955" s="47">
        <v>49</v>
      </c>
      <c r="K955" s="47" t="s">
        <v>46</v>
      </c>
    </row>
    <row r="956" spans="1:11">
      <c r="A956" s="2">
        <v>43934</v>
      </c>
      <c r="B956" s="47">
        <v>0.33333333333333331</v>
      </c>
      <c r="C956" s="47" t="s">
        <v>91</v>
      </c>
      <c r="E956" s="47">
        <v>2900</v>
      </c>
      <c r="F956" s="47">
        <v>274</v>
      </c>
      <c r="G956" s="47">
        <v>63</v>
      </c>
      <c r="H956" s="47">
        <v>55</v>
      </c>
      <c r="I956" s="47">
        <v>517</v>
      </c>
      <c r="J956" s="47">
        <v>251</v>
      </c>
      <c r="K956" s="47" t="s">
        <v>331</v>
      </c>
    </row>
    <row r="957" spans="1:11">
      <c r="A957" s="2">
        <v>43934</v>
      </c>
      <c r="B957" s="47">
        <v>0.33333333333333331</v>
      </c>
      <c r="C957" s="47" t="s">
        <v>102</v>
      </c>
      <c r="E957" s="47">
        <v>170</v>
      </c>
      <c r="F957" s="47">
        <v>13</v>
      </c>
      <c r="G957" s="47">
        <v>9</v>
      </c>
      <c r="I957" s="47">
        <v>84</v>
      </c>
      <c r="J957" s="47">
        <v>5</v>
      </c>
      <c r="K957" s="47" t="s">
        <v>381</v>
      </c>
    </row>
    <row r="958" spans="1:11">
      <c r="A958" s="2">
        <v>43934</v>
      </c>
      <c r="B958" s="47">
        <v>0.39583333333333331</v>
      </c>
      <c r="C958" s="47" t="s">
        <v>81</v>
      </c>
      <c r="E958" s="47">
        <v>57</v>
      </c>
      <c r="F958" s="47">
        <v>16</v>
      </c>
      <c r="G958" s="47">
        <v>2</v>
      </c>
      <c r="J958" s="47">
        <v>1</v>
      </c>
      <c r="K958" s="47" t="s">
        <v>606</v>
      </c>
    </row>
    <row r="959" spans="1:11">
      <c r="A959" s="2">
        <v>43934</v>
      </c>
      <c r="B959" s="47">
        <v>0.41666666666666669</v>
      </c>
      <c r="C959" s="47" t="s">
        <v>50</v>
      </c>
      <c r="E959" s="47">
        <v>888</v>
      </c>
      <c r="I959" s="47">
        <v>653</v>
      </c>
      <c r="J959" s="47">
        <v>34</v>
      </c>
      <c r="K959" s="47" t="s">
        <v>324</v>
      </c>
    </row>
    <row r="960" spans="1:11">
      <c r="A960" s="2">
        <v>43934</v>
      </c>
      <c r="B960" s="47">
        <v>0.45833333333333331</v>
      </c>
      <c r="C960" s="47" t="s">
        <v>38</v>
      </c>
      <c r="E960" s="47">
        <v>24</v>
      </c>
      <c r="K960" s="47" t="s">
        <v>40</v>
      </c>
    </row>
    <row r="961" spans="1:11">
      <c r="A961" s="2">
        <v>43934</v>
      </c>
      <c r="B961" s="47">
        <v>0.45833333333333331</v>
      </c>
      <c r="C961" s="47" t="s">
        <v>68</v>
      </c>
      <c r="E961" s="47">
        <v>580</v>
      </c>
      <c r="F961" s="47">
        <v>40</v>
      </c>
      <c r="G961" s="47">
        <v>5</v>
      </c>
      <c r="J961" s="47">
        <v>10</v>
      </c>
      <c r="K961" s="47" t="s">
        <v>70</v>
      </c>
    </row>
    <row r="962" spans="1:11">
      <c r="A962" s="2">
        <v>43934</v>
      </c>
      <c r="B962" s="47">
        <v>0.58333333333333337</v>
      </c>
      <c r="C962" s="47" t="s">
        <v>94</v>
      </c>
      <c r="E962" s="47">
        <v>78</v>
      </c>
      <c r="F962" s="47">
        <v>4</v>
      </c>
      <c r="I962" s="47">
        <v>52</v>
      </c>
      <c r="J962" s="47">
        <v>4</v>
      </c>
      <c r="K962" s="47" t="s">
        <v>96</v>
      </c>
    </row>
    <row r="963" spans="1:11">
      <c r="A963" s="2">
        <v>43934</v>
      </c>
      <c r="B963" s="47">
        <v>0.60416666666666663</v>
      </c>
      <c r="C963" s="47" t="s">
        <v>104</v>
      </c>
      <c r="E963" s="47">
        <v>3019</v>
      </c>
      <c r="F963" s="47">
        <v>154</v>
      </c>
      <c r="H963" s="47">
        <v>50</v>
      </c>
      <c r="J963" s="47">
        <v>83</v>
      </c>
      <c r="K963" s="47" t="s">
        <v>106</v>
      </c>
    </row>
    <row r="964" spans="1:11">
      <c r="A964" s="2">
        <v>43934</v>
      </c>
      <c r="B964" s="47">
        <v>0.61458333333333337</v>
      </c>
      <c r="C964" s="47" t="s">
        <v>34</v>
      </c>
      <c r="E964" s="47">
        <v>906</v>
      </c>
      <c r="J964" s="47">
        <v>19</v>
      </c>
      <c r="K964" s="47" t="s">
        <v>340</v>
      </c>
    </row>
    <row r="965" spans="1:11">
      <c r="A965" s="2">
        <v>43935</v>
      </c>
      <c r="C965" s="47" t="s">
        <v>47</v>
      </c>
      <c r="E965" s="47">
        <v>755</v>
      </c>
      <c r="F965" s="47">
        <v>48</v>
      </c>
      <c r="G965" s="47">
        <v>14</v>
      </c>
      <c r="H965" s="47">
        <v>8</v>
      </c>
      <c r="I965" s="47">
        <v>597</v>
      </c>
      <c r="J965" s="47">
        <v>25</v>
      </c>
      <c r="K965" s="47" t="s">
        <v>49</v>
      </c>
    </row>
    <row r="966" spans="1:11">
      <c r="A966" s="2">
        <v>43935</v>
      </c>
      <c r="C966" s="47" t="s">
        <v>56</v>
      </c>
      <c r="E966" s="47">
        <v>879</v>
      </c>
      <c r="F966" s="47">
        <v>68</v>
      </c>
      <c r="G966" s="47">
        <v>14</v>
      </c>
      <c r="I966" s="47">
        <v>98</v>
      </c>
      <c r="J966" s="47">
        <v>57</v>
      </c>
      <c r="K966" s="47" t="s">
        <v>640</v>
      </c>
    </row>
    <row r="967" spans="1:11">
      <c r="A967" s="2">
        <v>43935</v>
      </c>
      <c r="C967" s="47" t="s">
        <v>58</v>
      </c>
      <c r="D967" s="47">
        <v>19611</v>
      </c>
      <c r="E967" s="47">
        <v>4368</v>
      </c>
      <c r="F967" s="47">
        <v>365</v>
      </c>
      <c r="G967" s="47">
        <v>46</v>
      </c>
      <c r="H967" s="47">
        <v>41</v>
      </c>
      <c r="I967" s="47">
        <v>490</v>
      </c>
      <c r="J967" s="47">
        <v>193</v>
      </c>
      <c r="K967" s="47" t="s">
        <v>60</v>
      </c>
    </row>
    <row r="968" spans="1:11">
      <c r="A968" s="2">
        <v>43935</v>
      </c>
      <c r="C968" s="47" t="s">
        <v>61</v>
      </c>
      <c r="E968" s="47">
        <v>105</v>
      </c>
      <c r="F968" s="47">
        <v>2</v>
      </c>
      <c r="J968" s="47">
        <v>2</v>
      </c>
      <c r="K968" s="47" t="s">
        <v>427</v>
      </c>
    </row>
    <row r="969" spans="1:11">
      <c r="A969" s="2">
        <v>43935</v>
      </c>
      <c r="C969" s="47" t="s">
        <v>63</v>
      </c>
      <c r="E969" s="47">
        <v>753</v>
      </c>
      <c r="F969" s="47">
        <v>34</v>
      </c>
      <c r="J969" s="47">
        <v>37</v>
      </c>
      <c r="K969" s="47" t="s">
        <v>65</v>
      </c>
    </row>
    <row r="970" spans="1:11">
      <c r="A970" s="2">
        <v>43935</v>
      </c>
      <c r="C970" s="47" t="s">
        <v>66</v>
      </c>
      <c r="E970" s="47">
        <v>185</v>
      </c>
      <c r="F970" s="47">
        <v>21</v>
      </c>
      <c r="G970" s="47">
        <v>5</v>
      </c>
      <c r="J970" s="47">
        <v>3</v>
      </c>
      <c r="K970" s="47" t="s">
        <v>433</v>
      </c>
    </row>
    <row r="971" spans="1:11">
      <c r="A971" s="2">
        <v>43935</v>
      </c>
      <c r="C971" s="47" t="s">
        <v>71</v>
      </c>
      <c r="E971" s="47">
        <v>599</v>
      </c>
      <c r="F971" s="47">
        <v>60</v>
      </c>
      <c r="G971" s="47">
        <v>11</v>
      </c>
      <c r="H971" s="47">
        <v>10</v>
      </c>
      <c r="J971" s="47">
        <v>55</v>
      </c>
      <c r="K971" s="47" t="s">
        <v>377</v>
      </c>
    </row>
    <row r="972" spans="1:11">
      <c r="A972" s="2">
        <v>43935</v>
      </c>
      <c r="C972" s="47" t="s">
        <v>73</v>
      </c>
      <c r="E972" s="47">
        <v>105</v>
      </c>
      <c r="F972" s="47">
        <v>7</v>
      </c>
      <c r="G972" s="47">
        <v>2</v>
      </c>
      <c r="J972" s="47">
        <v>1</v>
      </c>
      <c r="K972" s="47" t="s">
        <v>357</v>
      </c>
    </row>
    <row r="973" spans="1:11">
      <c r="A973" s="2">
        <v>43935</v>
      </c>
      <c r="C973" s="47" t="s">
        <v>78</v>
      </c>
      <c r="E973" s="47">
        <v>664</v>
      </c>
      <c r="F973" s="47">
        <v>59</v>
      </c>
      <c r="G973" s="47">
        <v>9</v>
      </c>
      <c r="I973" s="47">
        <v>120</v>
      </c>
      <c r="J973" s="47">
        <v>21</v>
      </c>
      <c r="K973" s="47" t="s">
        <v>80</v>
      </c>
    </row>
    <row r="974" spans="1:11">
      <c r="A974" s="2">
        <v>43935</v>
      </c>
      <c r="C974" s="47" t="s">
        <v>86</v>
      </c>
      <c r="E974" s="47">
        <v>258</v>
      </c>
      <c r="I974" s="47">
        <v>128</v>
      </c>
      <c r="J974" s="47">
        <v>13</v>
      </c>
      <c r="K974" s="47" t="s">
        <v>607</v>
      </c>
    </row>
    <row r="975" spans="1:11">
      <c r="A975" s="2">
        <v>43935</v>
      </c>
      <c r="C975" s="47" t="s">
        <v>88</v>
      </c>
      <c r="E975" s="47">
        <v>297</v>
      </c>
      <c r="F975" s="47">
        <v>35</v>
      </c>
      <c r="G975" s="47">
        <v>16</v>
      </c>
      <c r="J975" s="47">
        <v>10</v>
      </c>
      <c r="K975" s="47" t="s">
        <v>90</v>
      </c>
    </row>
    <row r="976" spans="1:11">
      <c r="A976" s="2">
        <v>43935</v>
      </c>
      <c r="C976" s="47" t="s">
        <v>97</v>
      </c>
      <c r="E976" s="47">
        <v>4919</v>
      </c>
      <c r="F976" s="47">
        <v>272</v>
      </c>
      <c r="G976" s="47">
        <v>57</v>
      </c>
      <c r="J976" s="47">
        <v>267</v>
      </c>
      <c r="K976" s="47" t="s">
        <v>99</v>
      </c>
    </row>
    <row r="977" spans="1:11">
      <c r="A977" s="2">
        <v>43935</v>
      </c>
      <c r="C977" s="47" t="s">
        <v>100</v>
      </c>
      <c r="E977" s="47">
        <v>1707</v>
      </c>
      <c r="F977" s="47">
        <v>100</v>
      </c>
      <c r="G977" s="47">
        <v>20</v>
      </c>
      <c r="H977" s="47">
        <v>11</v>
      </c>
      <c r="I977" s="47">
        <v>165</v>
      </c>
      <c r="J977" s="47">
        <v>94</v>
      </c>
      <c r="K977" s="47" t="s">
        <v>419</v>
      </c>
    </row>
    <row r="978" spans="1:11">
      <c r="A978" s="2">
        <v>43935</v>
      </c>
      <c r="B978" s="47">
        <v>0</v>
      </c>
      <c r="C978" s="47" t="s">
        <v>83</v>
      </c>
      <c r="E978" s="47">
        <v>325</v>
      </c>
      <c r="F978" s="47">
        <v>22</v>
      </c>
      <c r="J978" s="47">
        <v>8</v>
      </c>
      <c r="K978" s="47" t="s">
        <v>387</v>
      </c>
    </row>
    <row r="979" spans="1:11">
      <c r="A979" s="2">
        <v>43935</v>
      </c>
      <c r="B979" s="47">
        <v>0.33333333333333331</v>
      </c>
      <c r="C979" s="47" t="s">
        <v>41</v>
      </c>
      <c r="E979" s="47">
        <v>79</v>
      </c>
      <c r="J979" s="47">
        <v>3</v>
      </c>
      <c r="K979" s="47" t="s">
        <v>43</v>
      </c>
    </row>
    <row r="980" spans="1:11">
      <c r="A980" s="2">
        <v>43935</v>
      </c>
      <c r="B980" s="47">
        <v>0.33333333333333331</v>
      </c>
      <c r="C980" s="47" t="s">
        <v>44</v>
      </c>
      <c r="E980" s="47">
        <v>1470</v>
      </c>
      <c r="F980" s="47">
        <v>85</v>
      </c>
      <c r="G980" s="47">
        <v>31</v>
      </c>
      <c r="H980" s="47">
        <v>21</v>
      </c>
      <c r="J980" s="47">
        <v>49</v>
      </c>
      <c r="K980" s="47" t="s">
        <v>46</v>
      </c>
    </row>
    <row r="981" spans="1:11">
      <c r="A981" s="2">
        <v>43935</v>
      </c>
      <c r="B981" s="47">
        <v>0.33333333333333331</v>
      </c>
      <c r="C981" s="47" t="s">
        <v>91</v>
      </c>
      <c r="E981" s="47">
        <v>2912</v>
      </c>
      <c r="F981" s="47">
        <v>274</v>
      </c>
      <c r="G981" s="47">
        <v>63</v>
      </c>
      <c r="H981" s="47">
        <v>54</v>
      </c>
      <c r="I981" s="47">
        <v>524</v>
      </c>
      <c r="J981" s="47">
        <v>258</v>
      </c>
      <c r="K981" s="47" t="s">
        <v>341</v>
      </c>
    </row>
    <row r="982" spans="1:11">
      <c r="A982" s="2">
        <v>43935</v>
      </c>
      <c r="B982" s="47">
        <v>0.33333333333333331</v>
      </c>
      <c r="C982" s="47" t="s">
        <v>102</v>
      </c>
      <c r="E982" s="47">
        <v>171</v>
      </c>
      <c r="F982" s="47">
        <v>13</v>
      </c>
      <c r="G982" s="47">
        <v>9</v>
      </c>
      <c r="I982" s="47">
        <v>88</v>
      </c>
      <c r="J982" s="47">
        <v>5</v>
      </c>
      <c r="K982" s="47" t="s">
        <v>381</v>
      </c>
    </row>
    <row r="983" spans="1:11">
      <c r="A983" s="2">
        <v>43935</v>
      </c>
      <c r="B983" s="47">
        <v>0.39583333333333331</v>
      </c>
      <c r="C983" s="47" t="s">
        <v>81</v>
      </c>
      <c r="E983" s="47">
        <v>57</v>
      </c>
      <c r="F983" s="47">
        <v>10</v>
      </c>
      <c r="G983" s="47">
        <v>2</v>
      </c>
      <c r="J983" s="47">
        <v>1</v>
      </c>
      <c r="K983" s="47" t="s">
        <v>606</v>
      </c>
    </row>
    <row r="984" spans="1:11">
      <c r="A984" s="2">
        <v>43935</v>
      </c>
      <c r="B984" s="47">
        <v>0.41666666666666669</v>
      </c>
      <c r="C984" s="47" t="s">
        <v>50</v>
      </c>
      <c r="E984" s="47">
        <v>894</v>
      </c>
      <c r="F984" s="47">
        <v>86</v>
      </c>
      <c r="G984" s="47">
        <v>9</v>
      </c>
      <c r="I984" s="47">
        <v>663</v>
      </c>
      <c r="J984" s="47">
        <v>34</v>
      </c>
      <c r="K984" s="47" t="s">
        <v>338</v>
      </c>
    </row>
    <row r="985" spans="1:11">
      <c r="A985" s="2">
        <v>43935</v>
      </c>
      <c r="B985" s="47">
        <v>0.45833333333333331</v>
      </c>
      <c r="C985" s="47" t="s">
        <v>38</v>
      </c>
      <c r="E985" s="47">
        <v>24</v>
      </c>
      <c r="K985" s="47" t="s">
        <v>40</v>
      </c>
    </row>
    <row r="986" spans="1:11">
      <c r="A986" s="2">
        <v>43935</v>
      </c>
      <c r="B986" s="47">
        <v>0.45833333333333331</v>
      </c>
      <c r="C986" s="47" t="s">
        <v>68</v>
      </c>
      <c r="E986" s="47">
        <v>589</v>
      </c>
      <c r="F986" s="47">
        <v>47</v>
      </c>
      <c r="G986" s="47">
        <v>4</v>
      </c>
      <c r="J986" s="47">
        <v>11</v>
      </c>
      <c r="K986" s="47" t="s">
        <v>70</v>
      </c>
    </row>
    <row r="987" spans="1:11">
      <c r="A987" s="2">
        <v>43935</v>
      </c>
      <c r="B987" s="47">
        <v>0.58333333333333337</v>
      </c>
      <c r="C987" s="47" t="s">
        <v>94</v>
      </c>
      <c r="E987" s="47">
        <v>78</v>
      </c>
      <c r="F987" s="47">
        <v>3</v>
      </c>
      <c r="I987" s="47">
        <v>56</v>
      </c>
      <c r="J987" s="47">
        <v>4</v>
      </c>
      <c r="K987" s="47" t="s">
        <v>96</v>
      </c>
    </row>
    <row r="988" spans="1:11">
      <c r="A988" s="2">
        <v>43935</v>
      </c>
      <c r="B988" s="47">
        <v>0.60416666666666663</v>
      </c>
      <c r="C988" s="47" t="s">
        <v>104</v>
      </c>
      <c r="E988" s="47">
        <v>3066</v>
      </c>
      <c r="F988" s="47">
        <v>149</v>
      </c>
      <c r="H988" s="47">
        <v>52</v>
      </c>
      <c r="J988" s="47">
        <v>87</v>
      </c>
      <c r="K988" s="47" t="s">
        <v>106</v>
      </c>
    </row>
    <row r="989" spans="1:11">
      <c r="A989" s="2">
        <v>43935</v>
      </c>
      <c r="B989" s="47">
        <v>0.61458333333333337</v>
      </c>
      <c r="C989" s="47" t="s">
        <v>34</v>
      </c>
      <c r="E989" s="47">
        <v>912</v>
      </c>
      <c r="F989" s="47">
        <v>78</v>
      </c>
      <c r="G989" s="47">
        <v>22</v>
      </c>
      <c r="H989" s="47">
        <v>22</v>
      </c>
      <c r="I989" s="47">
        <v>400</v>
      </c>
      <c r="J989" s="47">
        <v>19</v>
      </c>
      <c r="K989" s="47" t="s">
        <v>340</v>
      </c>
    </row>
    <row r="990" spans="1:11">
      <c r="A990" s="2">
        <v>43935</v>
      </c>
      <c r="B990" s="47">
        <v>0.65625</v>
      </c>
      <c r="C990" s="47" t="s">
        <v>75</v>
      </c>
      <c r="E990" s="47">
        <v>64</v>
      </c>
      <c r="F990" s="47">
        <v>0</v>
      </c>
      <c r="J990" s="47">
        <v>0</v>
      </c>
      <c r="K990" s="47" t="s">
        <v>77</v>
      </c>
    </row>
    <row r="991" spans="1:11">
      <c r="A991" s="2">
        <v>43936</v>
      </c>
      <c r="C991" s="47" t="s">
        <v>47</v>
      </c>
      <c r="E991" s="47">
        <v>768</v>
      </c>
      <c r="F991" s="47">
        <v>45</v>
      </c>
      <c r="G991" s="47">
        <v>9</v>
      </c>
      <c r="H991" s="47">
        <v>7</v>
      </c>
      <c r="I991" s="47">
        <v>610</v>
      </c>
      <c r="J991" s="47">
        <v>25</v>
      </c>
      <c r="K991" s="47" t="s">
        <v>49</v>
      </c>
    </row>
    <row r="992" spans="1:11">
      <c r="A992" s="2">
        <v>43936</v>
      </c>
      <c r="C992" s="47" t="s">
        <v>53</v>
      </c>
      <c r="E992" s="47">
        <v>80</v>
      </c>
      <c r="J992" s="47">
        <v>1</v>
      </c>
      <c r="K992" s="47" t="s">
        <v>344</v>
      </c>
    </row>
    <row r="993" spans="1:11">
      <c r="A993" s="2">
        <v>43936</v>
      </c>
      <c r="C993" s="47" t="s">
        <v>56</v>
      </c>
      <c r="E993" s="47">
        <v>890</v>
      </c>
      <c r="F993" s="47">
        <v>61</v>
      </c>
      <c r="G993" s="47">
        <v>16</v>
      </c>
      <c r="I993" s="47">
        <v>105</v>
      </c>
      <c r="J993" s="47">
        <v>63</v>
      </c>
      <c r="K993" s="47" t="s">
        <v>640</v>
      </c>
    </row>
    <row r="994" spans="1:11">
      <c r="A994" s="2">
        <v>43936</v>
      </c>
      <c r="C994" s="47" t="s">
        <v>58</v>
      </c>
      <c r="D994" s="47">
        <v>20069</v>
      </c>
      <c r="E994" s="47">
        <v>4432</v>
      </c>
      <c r="F994" s="47">
        <v>352</v>
      </c>
      <c r="G994" s="47">
        <v>41</v>
      </c>
      <c r="H994" s="47">
        <v>37</v>
      </c>
      <c r="I994" s="47">
        <v>502</v>
      </c>
      <c r="J994" s="47">
        <v>198</v>
      </c>
      <c r="K994" s="47" t="s">
        <v>60</v>
      </c>
    </row>
    <row r="995" spans="1:11">
      <c r="A995" s="2">
        <v>43936</v>
      </c>
      <c r="C995" s="47" t="s">
        <v>61</v>
      </c>
      <c r="E995" s="47">
        <v>105</v>
      </c>
      <c r="F995" s="47">
        <v>2</v>
      </c>
      <c r="J995" s="47">
        <v>2</v>
      </c>
      <c r="K995" s="47" t="s">
        <v>427</v>
      </c>
    </row>
    <row r="996" spans="1:11">
      <c r="A996" s="2">
        <v>43936</v>
      </c>
      <c r="C996" s="47" t="s">
        <v>63</v>
      </c>
      <c r="E996" s="47">
        <v>759</v>
      </c>
      <c r="F996" s="47">
        <v>36</v>
      </c>
      <c r="J996" s="47">
        <v>38</v>
      </c>
      <c r="K996" s="47" t="s">
        <v>65</v>
      </c>
    </row>
    <row r="997" spans="1:11">
      <c r="A997" s="2">
        <v>43936</v>
      </c>
      <c r="C997" s="47" t="s">
        <v>66</v>
      </c>
      <c r="E997" s="47">
        <v>188</v>
      </c>
      <c r="F997" s="47">
        <v>17</v>
      </c>
      <c r="G997" s="47">
        <v>5</v>
      </c>
      <c r="J997" s="47">
        <v>3</v>
      </c>
      <c r="K997" s="47" t="s">
        <v>433</v>
      </c>
    </row>
    <row r="998" spans="1:11">
      <c r="A998" s="2">
        <v>43936</v>
      </c>
      <c r="C998" s="47" t="s">
        <v>71</v>
      </c>
      <c r="E998" s="47">
        <v>612</v>
      </c>
      <c r="F998" s="47">
        <v>54</v>
      </c>
      <c r="G998" s="47">
        <v>12</v>
      </c>
      <c r="H998" s="47">
        <v>10</v>
      </c>
      <c r="J998" s="47">
        <v>56</v>
      </c>
      <c r="K998" s="47" t="s">
        <v>377</v>
      </c>
    </row>
    <row r="999" spans="1:11">
      <c r="A999" s="2">
        <v>43936</v>
      </c>
      <c r="C999" s="47" t="s">
        <v>73</v>
      </c>
      <c r="E999" s="47">
        <v>106</v>
      </c>
      <c r="F999" s="47">
        <v>7</v>
      </c>
      <c r="G999" s="47">
        <v>2</v>
      </c>
      <c r="J999" s="47">
        <v>2</v>
      </c>
      <c r="K999" s="47" t="s">
        <v>357</v>
      </c>
    </row>
    <row r="1000" spans="1:11">
      <c r="A1000" s="2">
        <v>43936</v>
      </c>
      <c r="C1000" s="47" t="s">
        <v>78</v>
      </c>
      <c r="E1000" s="47">
        <v>676</v>
      </c>
      <c r="F1000" s="47">
        <v>47</v>
      </c>
      <c r="G1000" s="47">
        <v>9</v>
      </c>
      <c r="I1000" s="47">
        <v>123</v>
      </c>
      <c r="J1000" s="47">
        <v>23</v>
      </c>
      <c r="K1000" s="47" t="s">
        <v>80</v>
      </c>
    </row>
    <row r="1001" spans="1:11">
      <c r="A1001" s="2">
        <v>43936</v>
      </c>
      <c r="C1001" s="47" t="s">
        <v>86</v>
      </c>
      <c r="E1001" s="47">
        <v>261</v>
      </c>
      <c r="I1001" s="47">
        <v>144</v>
      </c>
      <c r="J1001" s="47">
        <v>13</v>
      </c>
      <c r="K1001" s="47" t="s">
        <v>607</v>
      </c>
    </row>
    <row r="1002" spans="1:11">
      <c r="A1002" s="2">
        <v>43936</v>
      </c>
      <c r="C1002" s="47" t="s">
        <v>88</v>
      </c>
      <c r="E1002" s="47">
        <v>303</v>
      </c>
      <c r="F1002" s="47">
        <v>28</v>
      </c>
      <c r="G1002" s="47">
        <v>14</v>
      </c>
      <c r="J1002" s="47">
        <v>11</v>
      </c>
      <c r="K1002" s="47" t="s">
        <v>90</v>
      </c>
    </row>
    <row r="1003" spans="1:11">
      <c r="A1003" s="2">
        <v>43936</v>
      </c>
      <c r="C1003" s="47" t="s">
        <v>97</v>
      </c>
      <c r="E1003" s="47">
        <v>4968</v>
      </c>
      <c r="F1003" s="47">
        <v>245</v>
      </c>
      <c r="G1003" s="47">
        <v>53</v>
      </c>
      <c r="J1003" s="47">
        <v>284</v>
      </c>
      <c r="K1003" s="47" t="s">
        <v>99</v>
      </c>
    </row>
    <row r="1004" spans="1:11">
      <c r="A1004" s="2">
        <v>43936</v>
      </c>
      <c r="C1004" s="47" t="s">
        <v>100</v>
      </c>
      <c r="E1004" s="47">
        <v>1723</v>
      </c>
      <c r="F1004" s="47">
        <v>94</v>
      </c>
      <c r="G1004" s="47">
        <v>20</v>
      </c>
      <c r="H1004" s="47">
        <v>12</v>
      </c>
      <c r="I1004" s="47">
        <v>175</v>
      </c>
      <c r="J1004" s="47">
        <v>94</v>
      </c>
      <c r="K1004" s="47" t="s">
        <v>419</v>
      </c>
    </row>
    <row r="1005" spans="1:11">
      <c r="A1005" s="2">
        <v>43936</v>
      </c>
      <c r="B1005" s="47">
        <v>0</v>
      </c>
      <c r="C1005" s="47" t="s">
        <v>83</v>
      </c>
      <c r="E1005" s="47">
        <v>329</v>
      </c>
      <c r="F1005" s="47">
        <v>22</v>
      </c>
      <c r="J1005" s="47">
        <v>8</v>
      </c>
      <c r="K1005" s="47" t="s">
        <v>387</v>
      </c>
    </row>
    <row r="1006" spans="1:11">
      <c r="A1006" s="2">
        <v>43936</v>
      </c>
      <c r="B1006" s="47">
        <v>0.33333333333333331</v>
      </c>
      <c r="C1006" s="47" t="s">
        <v>41</v>
      </c>
      <c r="E1006" s="47">
        <v>79</v>
      </c>
      <c r="J1006" s="47">
        <v>3</v>
      </c>
      <c r="K1006" s="47" t="s">
        <v>43</v>
      </c>
    </row>
    <row r="1007" spans="1:11">
      <c r="A1007" s="2">
        <v>43936</v>
      </c>
      <c r="B1007" s="47">
        <v>0.33333333333333331</v>
      </c>
      <c r="C1007" s="47" t="s">
        <v>44</v>
      </c>
      <c r="E1007" s="47">
        <v>1489</v>
      </c>
      <c r="F1007" s="47">
        <v>82</v>
      </c>
      <c r="G1007" s="47">
        <v>30</v>
      </c>
      <c r="H1007" s="47">
        <v>18</v>
      </c>
      <c r="J1007" s="47">
        <v>53</v>
      </c>
      <c r="K1007" s="47" t="s">
        <v>46</v>
      </c>
    </row>
    <row r="1008" spans="1:11">
      <c r="A1008" s="2">
        <v>43936</v>
      </c>
      <c r="B1008" s="47">
        <v>0.33333333333333331</v>
      </c>
      <c r="C1008" s="47" t="s">
        <v>91</v>
      </c>
      <c r="E1008" s="47">
        <v>2927</v>
      </c>
      <c r="F1008" s="47">
        <v>265</v>
      </c>
      <c r="G1008" s="47">
        <v>60</v>
      </c>
      <c r="H1008" s="47">
        <v>50</v>
      </c>
      <c r="I1008" s="47">
        <v>548</v>
      </c>
      <c r="J1008" s="47">
        <v>263</v>
      </c>
      <c r="K1008" s="47" t="s">
        <v>345</v>
      </c>
    </row>
    <row r="1009" spans="1:11">
      <c r="A1009" s="2">
        <v>43936</v>
      </c>
      <c r="B1009" s="47">
        <v>0.33333333333333331</v>
      </c>
      <c r="C1009" s="47" t="s">
        <v>102</v>
      </c>
      <c r="E1009" s="47">
        <v>171</v>
      </c>
      <c r="F1009" s="47">
        <v>13</v>
      </c>
      <c r="G1009" s="47">
        <v>9</v>
      </c>
      <c r="I1009" s="47">
        <v>92</v>
      </c>
      <c r="J1009" s="47">
        <v>5</v>
      </c>
      <c r="K1009" s="47" t="s">
        <v>381</v>
      </c>
    </row>
    <row r="1010" spans="1:11">
      <c r="A1010" s="2">
        <v>43936</v>
      </c>
      <c r="B1010" s="47">
        <v>0.39583333333333331</v>
      </c>
      <c r="C1010" s="47" t="s">
        <v>81</v>
      </c>
      <c r="E1010" s="47">
        <v>59</v>
      </c>
      <c r="F1010" s="47">
        <v>11</v>
      </c>
      <c r="G1010" s="47">
        <v>2</v>
      </c>
      <c r="J1010" s="47">
        <v>1</v>
      </c>
      <c r="K1010" s="47" t="s">
        <v>606</v>
      </c>
    </row>
    <row r="1011" spans="1:11">
      <c r="A1011" s="2">
        <v>43936</v>
      </c>
      <c r="B1011" s="47">
        <v>0.41666666666666669</v>
      </c>
      <c r="C1011" s="47" t="s">
        <v>50</v>
      </c>
      <c r="E1011" s="47">
        <v>904</v>
      </c>
      <c r="F1011" s="47">
        <v>80</v>
      </c>
      <c r="G1011" s="47">
        <v>7</v>
      </c>
      <c r="I1011" s="47">
        <v>682</v>
      </c>
      <c r="J1011" s="47">
        <v>36</v>
      </c>
      <c r="K1011" s="47" t="s">
        <v>342</v>
      </c>
    </row>
    <row r="1012" spans="1:11">
      <c r="A1012" s="2">
        <v>43936</v>
      </c>
      <c r="B1012" s="47">
        <v>0.45833333333333331</v>
      </c>
      <c r="C1012" s="47" t="s">
        <v>38</v>
      </c>
      <c r="E1012" s="47">
        <v>24</v>
      </c>
      <c r="K1012" s="47" t="s">
        <v>40</v>
      </c>
    </row>
    <row r="1013" spans="1:11">
      <c r="A1013" s="2">
        <v>43936</v>
      </c>
      <c r="B1013" s="47">
        <v>0.45833333333333331</v>
      </c>
      <c r="C1013" s="47" t="s">
        <v>68</v>
      </c>
      <c r="E1013" s="47">
        <v>596</v>
      </c>
      <c r="F1013" s="47">
        <v>46</v>
      </c>
      <c r="G1013" s="47">
        <v>4</v>
      </c>
      <c r="J1013" s="47">
        <v>12</v>
      </c>
      <c r="K1013" s="47" t="s">
        <v>70</v>
      </c>
    </row>
    <row r="1014" spans="1:11">
      <c r="A1014" s="2">
        <v>43936</v>
      </c>
      <c r="B1014" s="47">
        <v>0.60416666666666663</v>
      </c>
      <c r="C1014" s="47" t="s">
        <v>104</v>
      </c>
      <c r="E1014" s="47">
        <v>3113</v>
      </c>
      <c r="F1014" s="47">
        <v>136</v>
      </c>
      <c r="H1014" s="47">
        <v>50</v>
      </c>
      <c r="J1014" s="47">
        <v>91</v>
      </c>
      <c r="K1014" s="47" t="s">
        <v>106</v>
      </c>
    </row>
    <row r="1015" spans="1:11">
      <c r="A1015" s="2">
        <v>43936</v>
      </c>
      <c r="B1015" s="47">
        <v>0.61458333333333337</v>
      </c>
      <c r="C1015" s="47" t="s">
        <v>34</v>
      </c>
      <c r="E1015" s="47">
        <v>929</v>
      </c>
      <c r="F1015" s="47">
        <v>69</v>
      </c>
      <c r="G1015" s="47">
        <v>20</v>
      </c>
      <c r="H1015" s="47">
        <v>20</v>
      </c>
      <c r="I1015" s="47">
        <v>450</v>
      </c>
      <c r="J1015" s="47">
        <v>22</v>
      </c>
      <c r="K1015" s="47" t="s">
        <v>346</v>
      </c>
    </row>
    <row r="1016" spans="1:11">
      <c r="A1016" s="2">
        <v>43936</v>
      </c>
      <c r="B1016" s="47">
        <v>0.64236111111111116</v>
      </c>
      <c r="C1016" s="47" t="s">
        <v>75</v>
      </c>
      <c r="E1016" s="47">
        <v>64</v>
      </c>
      <c r="F1016" s="47">
        <v>0</v>
      </c>
      <c r="J1016" s="47">
        <v>0</v>
      </c>
      <c r="K1016" s="47" t="s">
        <v>77</v>
      </c>
    </row>
    <row r="1017" spans="1:11">
      <c r="A1017" s="2">
        <v>43936</v>
      </c>
      <c r="B1017" s="47">
        <v>0.66666666666666663</v>
      </c>
      <c r="C1017" s="47" t="s">
        <v>94</v>
      </c>
      <c r="E1017" s="47">
        <v>78</v>
      </c>
      <c r="F1017" s="47">
        <v>3</v>
      </c>
      <c r="I1017" s="47">
        <v>62</v>
      </c>
      <c r="J1017" s="47">
        <v>4</v>
      </c>
      <c r="K1017" s="47" t="s">
        <v>96</v>
      </c>
    </row>
    <row r="1018" spans="1:11">
      <c r="A1018" s="2">
        <v>43937</v>
      </c>
      <c r="C1018" s="47" t="s">
        <v>47</v>
      </c>
      <c r="E1018" s="47">
        <v>781</v>
      </c>
      <c r="F1018" s="47">
        <v>46</v>
      </c>
      <c r="G1018" s="47">
        <v>8</v>
      </c>
      <c r="H1018" s="47">
        <v>6</v>
      </c>
      <c r="I1018" s="47">
        <v>623</v>
      </c>
      <c r="J1018" s="47">
        <v>25</v>
      </c>
      <c r="K1018" s="47" t="s">
        <v>49</v>
      </c>
    </row>
    <row r="1019" spans="1:11">
      <c r="A1019" s="2">
        <v>43937</v>
      </c>
      <c r="C1019" s="47" t="s">
        <v>53</v>
      </c>
      <c r="E1019" s="47">
        <v>80</v>
      </c>
      <c r="J1019" s="47">
        <v>1</v>
      </c>
      <c r="K1019" s="47" t="s">
        <v>359</v>
      </c>
    </row>
    <row r="1020" spans="1:11">
      <c r="A1020" s="2">
        <v>43937</v>
      </c>
      <c r="C1020" s="47" t="s">
        <v>56</v>
      </c>
      <c r="E1020" s="47">
        <v>907</v>
      </c>
      <c r="F1020" s="47">
        <v>60</v>
      </c>
      <c r="G1020" s="47">
        <v>15</v>
      </c>
      <c r="I1020" s="47">
        <v>105</v>
      </c>
      <c r="J1020" s="47">
        <v>65</v>
      </c>
      <c r="K1020" s="47" t="s">
        <v>640</v>
      </c>
    </row>
    <row r="1021" spans="1:11">
      <c r="A1021" s="2">
        <v>43937</v>
      </c>
      <c r="C1021" s="47" t="s">
        <v>58</v>
      </c>
      <c r="D1021" s="47">
        <v>20746</v>
      </c>
      <c r="E1021" s="47">
        <v>4497</v>
      </c>
      <c r="F1021" s="47">
        <v>350</v>
      </c>
      <c r="G1021" s="47">
        <v>38</v>
      </c>
      <c r="H1021" s="47">
        <v>33</v>
      </c>
      <c r="I1021" s="47">
        <v>520</v>
      </c>
      <c r="J1021" s="47">
        <v>204</v>
      </c>
      <c r="K1021" s="47" t="s">
        <v>60</v>
      </c>
    </row>
    <row r="1022" spans="1:11">
      <c r="A1022" s="2">
        <v>43937</v>
      </c>
      <c r="C1022" s="47" t="s">
        <v>61</v>
      </c>
      <c r="E1022" s="47">
        <v>106</v>
      </c>
      <c r="F1022" s="47">
        <v>4</v>
      </c>
      <c r="J1022" s="47">
        <v>3</v>
      </c>
      <c r="K1022" s="47" t="s">
        <v>427</v>
      </c>
    </row>
    <row r="1023" spans="1:11">
      <c r="A1023" s="2">
        <v>43937</v>
      </c>
      <c r="C1023" s="47" t="s">
        <v>63</v>
      </c>
      <c r="E1023" s="47">
        <v>764</v>
      </c>
      <c r="F1023" s="47">
        <v>37</v>
      </c>
      <c r="J1023" s="47">
        <v>39</v>
      </c>
      <c r="K1023" s="47" t="s">
        <v>65</v>
      </c>
    </row>
    <row r="1024" spans="1:11">
      <c r="A1024" s="2">
        <v>43937</v>
      </c>
      <c r="C1024" s="47" t="s">
        <v>66</v>
      </c>
      <c r="E1024" s="47">
        <v>189</v>
      </c>
      <c r="F1024" s="47">
        <v>18</v>
      </c>
      <c r="G1024" s="47">
        <v>5</v>
      </c>
      <c r="J1024" s="47">
        <v>3</v>
      </c>
      <c r="K1024" s="47" t="s">
        <v>433</v>
      </c>
    </row>
    <row r="1025" spans="1:11">
      <c r="A1025" s="2">
        <v>43937</v>
      </c>
      <c r="C1025" s="47" t="s">
        <v>71</v>
      </c>
      <c r="E1025" s="47">
        <v>621</v>
      </c>
      <c r="F1025" s="47">
        <v>52</v>
      </c>
      <c r="G1025" s="47">
        <v>11</v>
      </c>
      <c r="H1025" s="47">
        <v>9</v>
      </c>
      <c r="J1025" s="47">
        <v>57</v>
      </c>
      <c r="K1025" s="47" t="s">
        <v>377</v>
      </c>
    </row>
    <row r="1026" spans="1:11">
      <c r="A1026" s="2">
        <v>43937</v>
      </c>
      <c r="C1026" s="47" t="s">
        <v>73</v>
      </c>
      <c r="E1026" s="47">
        <v>106</v>
      </c>
      <c r="F1026" s="47">
        <v>5</v>
      </c>
      <c r="G1026" s="47">
        <v>2</v>
      </c>
      <c r="J1026" s="47">
        <v>2</v>
      </c>
      <c r="K1026" s="47" t="s">
        <v>357</v>
      </c>
    </row>
    <row r="1027" spans="1:11">
      <c r="A1027" s="2">
        <v>43937</v>
      </c>
      <c r="C1027" s="47" t="s">
        <v>78</v>
      </c>
      <c r="E1027" s="47">
        <v>680</v>
      </c>
      <c r="F1027" s="47">
        <v>56</v>
      </c>
      <c r="G1027" s="47">
        <v>7</v>
      </c>
      <c r="I1027" s="47">
        <v>138</v>
      </c>
      <c r="J1027" s="47">
        <v>25</v>
      </c>
      <c r="K1027" s="47" t="s">
        <v>80</v>
      </c>
    </row>
    <row r="1028" spans="1:11">
      <c r="A1028" s="2">
        <v>43937</v>
      </c>
      <c r="C1028" s="47" t="s">
        <v>86</v>
      </c>
      <c r="E1028" s="47">
        <v>265</v>
      </c>
      <c r="I1028" s="47">
        <v>154</v>
      </c>
      <c r="J1028" s="47">
        <v>14</v>
      </c>
      <c r="K1028" s="47" t="s">
        <v>607</v>
      </c>
    </row>
    <row r="1029" spans="1:11">
      <c r="A1029" s="2">
        <v>43937</v>
      </c>
      <c r="C1029" s="47" t="s">
        <v>88</v>
      </c>
      <c r="E1029" s="47">
        <v>309</v>
      </c>
      <c r="F1029" s="47">
        <v>28</v>
      </c>
      <c r="G1029" s="47">
        <v>14</v>
      </c>
      <c r="J1029" s="47">
        <v>11</v>
      </c>
      <c r="K1029" s="47" t="s">
        <v>90</v>
      </c>
    </row>
    <row r="1030" spans="1:11">
      <c r="A1030" s="2">
        <v>43937</v>
      </c>
      <c r="C1030" s="47" t="s">
        <v>97</v>
      </c>
      <c r="E1030" s="47">
        <v>4997</v>
      </c>
      <c r="F1030" s="47">
        <v>236</v>
      </c>
      <c r="G1030" s="47">
        <v>52</v>
      </c>
      <c r="J1030" s="47">
        <v>297</v>
      </c>
      <c r="K1030" s="47" t="s">
        <v>99</v>
      </c>
    </row>
    <row r="1031" spans="1:11">
      <c r="A1031" s="2">
        <v>43937</v>
      </c>
      <c r="C1031" s="47" t="s">
        <v>100</v>
      </c>
      <c r="E1031" s="47">
        <v>1740</v>
      </c>
      <c r="F1031" s="47">
        <v>91</v>
      </c>
      <c r="G1031" s="47">
        <v>17</v>
      </c>
      <c r="H1031" s="47">
        <v>12</v>
      </c>
      <c r="I1031" s="47">
        <v>178</v>
      </c>
      <c r="J1031" s="47">
        <v>95</v>
      </c>
      <c r="K1031" s="47" t="s">
        <v>419</v>
      </c>
    </row>
    <row r="1032" spans="1:11">
      <c r="A1032" s="2">
        <v>43937</v>
      </c>
      <c r="B1032" s="47">
        <v>0</v>
      </c>
      <c r="C1032" s="47" t="s">
        <v>83</v>
      </c>
      <c r="E1032" s="47">
        <v>343</v>
      </c>
      <c r="F1032" s="47">
        <v>22</v>
      </c>
      <c r="J1032" s="47">
        <v>8</v>
      </c>
      <c r="K1032" s="47" t="s">
        <v>387</v>
      </c>
    </row>
    <row r="1033" spans="1:11">
      <c r="A1033" s="2">
        <v>43937</v>
      </c>
      <c r="B1033" s="47">
        <v>0.33333333333333331</v>
      </c>
      <c r="C1033" s="47" t="s">
        <v>41</v>
      </c>
      <c r="E1033" s="47">
        <v>79</v>
      </c>
      <c r="J1033" s="47">
        <v>3</v>
      </c>
      <c r="K1033" s="47" t="s">
        <v>43</v>
      </c>
    </row>
    <row r="1034" spans="1:11">
      <c r="A1034" s="2">
        <v>43937</v>
      </c>
      <c r="B1034" s="47">
        <v>0.33333333333333331</v>
      </c>
      <c r="C1034" s="47" t="s">
        <v>44</v>
      </c>
      <c r="E1034" s="47">
        <v>1515</v>
      </c>
      <c r="F1034" s="47">
        <v>70</v>
      </c>
      <c r="G1034" s="47">
        <v>26</v>
      </c>
      <c r="H1034" s="47">
        <v>12</v>
      </c>
      <c r="J1034" s="47">
        <v>55</v>
      </c>
      <c r="K1034" s="47" t="s">
        <v>46</v>
      </c>
    </row>
    <row r="1035" spans="1:11">
      <c r="A1035" s="2">
        <v>43937</v>
      </c>
      <c r="B1035" s="47">
        <v>0.33333333333333331</v>
      </c>
      <c r="C1035" s="47" t="s">
        <v>91</v>
      </c>
      <c r="E1035" s="47">
        <v>2953</v>
      </c>
      <c r="F1035" s="47">
        <v>249</v>
      </c>
      <c r="G1035" s="47">
        <v>59</v>
      </c>
      <c r="H1035" s="47">
        <v>49</v>
      </c>
      <c r="I1035" s="47">
        <v>568</v>
      </c>
      <c r="J1035" s="47">
        <v>269</v>
      </c>
      <c r="K1035" s="47" t="s">
        <v>360</v>
      </c>
    </row>
    <row r="1036" spans="1:11">
      <c r="A1036" s="2">
        <v>43937</v>
      </c>
      <c r="B1036" s="47">
        <v>0.33333333333333331</v>
      </c>
      <c r="C1036" s="47" t="s">
        <v>102</v>
      </c>
      <c r="E1036" s="47">
        <v>171</v>
      </c>
      <c r="F1036" s="47">
        <v>9</v>
      </c>
      <c r="G1036" s="47">
        <v>7</v>
      </c>
      <c r="I1036" s="47">
        <v>94</v>
      </c>
      <c r="J1036" s="47">
        <v>6</v>
      </c>
      <c r="K1036" s="47" t="s">
        <v>381</v>
      </c>
    </row>
    <row r="1037" spans="1:11">
      <c r="A1037" s="2">
        <v>43937</v>
      </c>
      <c r="B1037" s="47">
        <v>0.375</v>
      </c>
      <c r="C1037" s="47" t="s">
        <v>50</v>
      </c>
      <c r="E1037" s="47">
        <v>912</v>
      </c>
      <c r="F1037" s="47">
        <v>76</v>
      </c>
      <c r="G1037" s="47">
        <v>6</v>
      </c>
      <c r="I1037" s="47">
        <v>711</v>
      </c>
      <c r="J1037" s="47">
        <v>37</v>
      </c>
      <c r="K1037" s="47" t="s">
        <v>343</v>
      </c>
    </row>
    <row r="1038" spans="1:11">
      <c r="A1038" s="2">
        <v>43937</v>
      </c>
      <c r="B1038" s="47">
        <v>0.39583333333333331</v>
      </c>
      <c r="C1038" s="47" t="s">
        <v>81</v>
      </c>
      <c r="E1038" s="47">
        <v>60</v>
      </c>
      <c r="F1038" s="47">
        <v>10</v>
      </c>
      <c r="G1038" s="47">
        <v>2</v>
      </c>
      <c r="J1038" s="47">
        <v>1</v>
      </c>
      <c r="K1038" s="47" t="s">
        <v>606</v>
      </c>
    </row>
    <row r="1039" spans="1:11">
      <c r="A1039" s="2">
        <v>43937</v>
      </c>
      <c r="B1039" s="47">
        <v>0.45833333333333331</v>
      </c>
      <c r="C1039" s="47" t="s">
        <v>38</v>
      </c>
      <c r="E1039" s="47">
        <v>24</v>
      </c>
      <c r="K1039" s="47" t="s">
        <v>40</v>
      </c>
    </row>
    <row r="1040" spans="1:11">
      <c r="A1040" s="2">
        <v>43937</v>
      </c>
      <c r="B1040" s="47">
        <v>0.52083333333333337</v>
      </c>
      <c r="C1040" s="47" t="s">
        <v>68</v>
      </c>
      <c r="E1040" s="47">
        <v>599</v>
      </c>
      <c r="F1040" s="47">
        <v>40</v>
      </c>
      <c r="G1040" s="47">
        <v>3</v>
      </c>
      <c r="J1040" s="47">
        <v>13</v>
      </c>
      <c r="K1040" s="47" t="s">
        <v>70</v>
      </c>
    </row>
    <row r="1041" spans="1:11">
      <c r="A1041" s="2">
        <v>43937</v>
      </c>
      <c r="B1041" s="47">
        <v>0.60416666666666663</v>
      </c>
      <c r="C1041" s="47" t="s">
        <v>104</v>
      </c>
      <c r="E1041" s="47">
        <v>3148</v>
      </c>
      <c r="F1041" s="47">
        <v>135</v>
      </c>
      <c r="H1041" s="47">
        <v>51</v>
      </c>
      <c r="J1041" s="47">
        <v>95</v>
      </c>
      <c r="K1041" s="47" t="s">
        <v>106</v>
      </c>
    </row>
    <row r="1042" spans="1:11">
      <c r="A1042" s="2">
        <v>43937</v>
      </c>
      <c r="B1042" s="47">
        <v>0.61458333333333337</v>
      </c>
      <c r="C1042" s="47" t="s">
        <v>34</v>
      </c>
      <c r="E1042" s="47">
        <v>943</v>
      </c>
      <c r="F1042" s="47">
        <v>61</v>
      </c>
      <c r="G1042" s="47">
        <v>20</v>
      </c>
      <c r="H1042" s="47">
        <v>20</v>
      </c>
      <c r="I1042" s="47">
        <v>500</v>
      </c>
      <c r="J1042" s="47">
        <v>23</v>
      </c>
      <c r="K1042" s="47" t="s">
        <v>358</v>
      </c>
    </row>
    <row r="1043" spans="1:11">
      <c r="A1043" s="2">
        <v>43937</v>
      </c>
      <c r="B1043" s="47">
        <v>0.625</v>
      </c>
      <c r="C1043" s="47" t="s">
        <v>94</v>
      </c>
      <c r="E1043" s="47">
        <v>78</v>
      </c>
      <c r="F1043" s="47">
        <v>2</v>
      </c>
      <c r="I1043" s="47">
        <v>62</v>
      </c>
      <c r="J1043" s="47">
        <v>5</v>
      </c>
      <c r="K1043" s="47" t="s">
        <v>96</v>
      </c>
    </row>
    <row r="1044" spans="1:11">
      <c r="A1044" s="2">
        <v>43937</v>
      </c>
      <c r="B1044" s="47">
        <v>0.64583333333333337</v>
      </c>
      <c r="C1044" s="47" t="s">
        <v>75</v>
      </c>
      <c r="E1044" s="47">
        <v>65</v>
      </c>
      <c r="F1044" s="47">
        <v>0</v>
      </c>
      <c r="J1044" s="47">
        <v>0</v>
      </c>
      <c r="K1044" s="47" t="s">
        <v>77</v>
      </c>
    </row>
    <row r="1045" spans="1:11">
      <c r="A1045" s="2">
        <v>43938</v>
      </c>
      <c r="C1045" s="47" t="s">
        <v>47</v>
      </c>
      <c r="E1045" s="47">
        <v>794</v>
      </c>
      <c r="F1045" s="47">
        <v>40</v>
      </c>
      <c r="G1045" s="47">
        <v>8</v>
      </c>
      <c r="H1045" s="47">
        <v>5</v>
      </c>
      <c r="I1045" s="47">
        <v>632</v>
      </c>
      <c r="J1045" s="47">
        <v>25</v>
      </c>
      <c r="K1045" s="47" t="s">
        <v>49</v>
      </c>
    </row>
    <row r="1046" spans="1:11">
      <c r="A1046" s="2">
        <v>43938</v>
      </c>
      <c r="C1046" s="47" t="s">
        <v>53</v>
      </c>
      <c r="E1046" s="47">
        <v>81</v>
      </c>
      <c r="J1046" s="47">
        <v>1</v>
      </c>
      <c r="K1046" s="47" t="s">
        <v>363</v>
      </c>
    </row>
    <row r="1047" spans="1:11">
      <c r="A1047" s="2">
        <v>43938</v>
      </c>
      <c r="C1047" s="47" t="s">
        <v>56</v>
      </c>
      <c r="E1047" s="47">
        <v>930</v>
      </c>
      <c r="F1047" s="47">
        <v>66</v>
      </c>
      <c r="G1047" s="47">
        <v>13</v>
      </c>
      <c r="I1047" s="47">
        <v>106</v>
      </c>
      <c r="J1047" s="47">
        <v>67</v>
      </c>
      <c r="K1047" s="47" t="s">
        <v>640</v>
      </c>
    </row>
    <row r="1048" spans="1:11">
      <c r="A1048" s="2">
        <v>43938</v>
      </c>
      <c r="C1048" s="47" t="s">
        <v>58</v>
      </c>
      <c r="D1048" s="47">
        <v>21185</v>
      </c>
      <c r="E1048" s="47">
        <v>4557</v>
      </c>
      <c r="F1048" s="47">
        <v>329</v>
      </c>
      <c r="G1048" s="47">
        <v>39</v>
      </c>
      <c r="H1048" s="47">
        <v>33</v>
      </c>
      <c r="I1048" s="47">
        <v>532</v>
      </c>
      <c r="J1048" s="47">
        <v>210</v>
      </c>
      <c r="K1048" s="47" t="s">
        <v>60</v>
      </c>
    </row>
    <row r="1049" spans="1:11">
      <c r="A1049" s="2">
        <v>43938</v>
      </c>
      <c r="C1049" s="47" t="s">
        <v>63</v>
      </c>
      <c r="E1049" s="47">
        <v>770</v>
      </c>
      <c r="F1049" s="47">
        <v>33</v>
      </c>
      <c r="J1049" s="47">
        <v>40</v>
      </c>
      <c r="K1049" s="47" t="s">
        <v>65</v>
      </c>
    </row>
    <row r="1050" spans="1:11">
      <c r="A1050" s="2">
        <v>43938</v>
      </c>
      <c r="C1050" s="47" t="s">
        <v>66</v>
      </c>
      <c r="E1050" s="47">
        <v>191</v>
      </c>
      <c r="F1050" s="47">
        <v>18</v>
      </c>
      <c r="G1050" s="47">
        <v>5</v>
      </c>
      <c r="J1050" s="47">
        <v>3</v>
      </c>
      <c r="K1050" s="47" t="s">
        <v>433</v>
      </c>
    </row>
    <row r="1051" spans="1:11">
      <c r="A1051" s="2">
        <v>43938</v>
      </c>
      <c r="C1051" s="47" t="s">
        <v>71</v>
      </c>
      <c r="E1051" s="47">
        <v>630</v>
      </c>
      <c r="F1051" s="47">
        <v>44</v>
      </c>
      <c r="G1051" s="47">
        <v>10</v>
      </c>
      <c r="H1051" s="47">
        <v>8</v>
      </c>
      <c r="J1051" s="47">
        <v>60</v>
      </c>
      <c r="K1051" s="47" t="s">
        <v>377</v>
      </c>
    </row>
    <row r="1052" spans="1:11">
      <c r="A1052" s="2">
        <v>43938</v>
      </c>
      <c r="C1052" s="47" t="s">
        <v>73</v>
      </c>
      <c r="E1052" s="47">
        <v>107</v>
      </c>
      <c r="F1052" s="47">
        <v>4</v>
      </c>
      <c r="G1052" s="47">
        <v>2</v>
      </c>
      <c r="J1052" s="47">
        <v>3</v>
      </c>
      <c r="K1052" s="47" t="s">
        <v>357</v>
      </c>
    </row>
    <row r="1053" spans="1:11">
      <c r="A1053" s="2">
        <v>43938</v>
      </c>
      <c r="C1053" s="47" t="s">
        <v>78</v>
      </c>
      <c r="E1053" s="47">
        <v>693</v>
      </c>
      <c r="F1053" s="47">
        <v>41</v>
      </c>
      <c r="G1053" s="47">
        <v>9</v>
      </c>
      <c r="I1053" s="47">
        <v>144</v>
      </c>
      <c r="J1053" s="47">
        <v>27</v>
      </c>
      <c r="K1053" s="47" t="s">
        <v>80</v>
      </c>
    </row>
    <row r="1054" spans="1:11">
      <c r="A1054" s="2">
        <v>43938</v>
      </c>
      <c r="C1054" s="47" t="s">
        <v>86</v>
      </c>
      <c r="E1054" s="47">
        <v>266</v>
      </c>
      <c r="I1054" s="47">
        <v>161</v>
      </c>
      <c r="J1054" s="47">
        <v>14</v>
      </c>
      <c r="K1054" s="47" t="s">
        <v>607</v>
      </c>
    </row>
    <row r="1055" spans="1:11">
      <c r="A1055" s="2">
        <v>43938</v>
      </c>
      <c r="C1055" s="47" t="s">
        <v>88</v>
      </c>
      <c r="E1055" s="47">
        <v>322</v>
      </c>
      <c r="F1055" s="47">
        <v>25</v>
      </c>
      <c r="G1055" s="47">
        <v>13</v>
      </c>
      <c r="J1055" s="47">
        <v>12</v>
      </c>
      <c r="K1055" s="47" t="s">
        <v>90</v>
      </c>
    </row>
    <row r="1056" spans="1:11">
      <c r="A1056" s="2">
        <v>43938</v>
      </c>
      <c r="C1056" s="47" t="s">
        <v>97</v>
      </c>
      <c r="E1056" s="47">
        <v>5029</v>
      </c>
      <c r="F1056" s="47">
        <v>220</v>
      </c>
      <c r="G1056" s="47">
        <v>51</v>
      </c>
      <c r="J1056" s="47">
        <v>303</v>
      </c>
      <c r="K1056" s="47" t="s">
        <v>99</v>
      </c>
    </row>
    <row r="1057" spans="1:11">
      <c r="A1057" s="2">
        <v>43938</v>
      </c>
      <c r="C1057" s="47" t="s">
        <v>100</v>
      </c>
      <c r="E1057" s="47">
        <v>1759</v>
      </c>
      <c r="F1057" s="47">
        <v>84</v>
      </c>
      <c r="G1057" s="47">
        <v>16</v>
      </c>
      <c r="H1057" s="47">
        <v>10</v>
      </c>
      <c r="I1057" s="47">
        <v>184</v>
      </c>
      <c r="J1057" s="47">
        <v>99</v>
      </c>
      <c r="K1057" s="47" t="s">
        <v>419</v>
      </c>
    </row>
    <row r="1058" spans="1:11">
      <c r="A1058" s="2">
        <v>43938</v>
      </c>
      <c r="B1058" s="47">
        <v>0</v>
      </c>
      <c r="C1058" s="47" t="s">
        <v>83</v>
      </c>
      <c r="E1058" s="47">
        <v>350</v>
      </c>
      <c r="F1058" s="47">
        <v>20</v>
      </c>
      <c r="J1058" s="47">
        <v>9</v>
      </c>
      <c r="K1058" s="47" t="s">
        <v>387</v>
      </c>
    </row>
    <row r="1059" spans="1:11">
      <c r="A1059" s="2">
        <v>43938</v>
      </c>
      <c r="B1059" s="47">
        <v>0.33333333333333331</v>
      </c>
      <c r="C1059" s="47" t="s">
        <v>44</v>
      </c>
      <c r="E1059" s="47">
        <v>1553</v>
      </c>
      <c r="F1059" s="47">
        <v>69</v>
      </c>
      <c r="G1059" s="47">
        <v>25</v>
      </c>
      <c r="H1059" s="47">
        <v>13</v>
      </c>
      <c r="J1059" s="47">
        <v>67</v>
      </c>
      <c r="K1059" s="47" t="s">
        <v>46</v>
      </c>
    </row>
    <row r="1060" spans="1:11">
      <c r="A1060" s="2">
        <v>43938</v>
      </c>
      <c r="B1060" s="47">
        <v>0.33333333333333331</v>
      </c>
      <c r="C1060" s="47" t="s">
        <v>91</v>
      </c>
      <c r="E1060" s="47">
        <v>2977</v>
      </c>
      <c r="F1060" s="47">
        <v>254</v>
      </c>
      <c r="G1060" s="47">
        <v>57</v>
      </c>
      <c r="H1060" s="47">
        <v>44</v>
      </c>
      <c r="I1060" s="47">
        <v>580</v>
      </c>
      <c r="J1060" s="47">
        <v>270</v>
      </c>
      <c r="K1060" s="47" t="s">
        <v>364</v>
      </c>
    </row>
    <row r="1061" spans="1:11">
      <c r="A1061" s="2">
        <v>43938</v>
      </c>
      <c r="B1061" s="47">
        <v>0.33333333333333331</v>
      </c>
      <c r="C1061" s="47" t="s">
        <v>102</v>
      </c>
      <c r="E1061" s="47">
        <v>172</v>
      </c>
      <c r="F1061" s="47">
        <v>8</v>
      </c>
      <c r="G1061" s="47">
        <v>6</v>
      </c>
      <c r="I1061" s="47">
        <v>96</v>
      </c>
      <c r="J1061" s="47">
        <v>6</v>
      </c>
      <c r="K1061" s="47" t="s">
        <v>381</v>
      </c>
    </row>
    <row r="1062" spans="1:11">
      <c r="A1062" s="2">
        <v>43938</v>
      </c>
      <c r="B1062" s="47">
        <v>0.375</v>
      </c>
      <c r="C1062" s="47" t="s">
        <v>50</v>
      </c>
      <c r="E1062" s="47">
        <v>918</v>
      </c>
      <c r="F1062" s="47">
        <v>68</v>
      </c>
      <c r="G1062" s="47">
        <v>7</v>
      </c>
      <c r="I1062" s="47">
        <v>720</v>
      </c>
      <c r="J1062" s="47">
        <v>37</v>
      </c>
      <c r="K1062" s="47" t="s">
        <v>362</v>
      </c>
    </row>
    <row r="1063" spans="1:11">
      <c r="A1063" s="2">
        <v>43938</v>
      </c>
      <c r="B1063" s="47">
        <v>0.39583333333333331</v>
      </c>
      <c r="C1063" s="47" t="s">
        <v>81</v>
      </c>
      <c r="E1063" s="47">
        <v>60</v>
      </c>
      <c r="F1063" s="47">
        <v>8</v>
      </c>
      <c r="G1063" s="47">
        <v>2</v>
      </c>
      <c r="J1063" s="47">
        <v>1</v>
      </c>
      <c r="K1063" s="47" t="s">
        <v>606</v>
      </c>
    </row>
    <row r="1064" spans="1:11">
      <c r="A1064" s="2">
        <v>43938</v>
      </c>
      <c r="B1064" s="47">
        <v>0.45833333333333331</v>
      </c>
      <c r="C1064" s="47" t="s">
        <v>38</v>
      </c>
      <c r="E1064" s="47">
        <v>24</v>
      </c>
      <c r="K1064" s="47" t="s">
        <v>40</v>
      </c>
    </row>
    <row r="1065" spans="1:11">
      <c r="A1065" s="2">
        <v>43938</v>
      </c>
      <c r="B1065" s="47">
        <v>0.45833333333333331</v>
      </c>
      <c r="C1065" s="47" t="s">
        <v>68</v>
      </c>
      <c r="E1065" s="47">
        <v>607</v>
      </c>
      <c r="F1065" s="47">
        <v>40</v>
      </c>
      <c r="G1065" s="47">
        <v>3</v>
      </c>
      <c r="J1065" s="47">
        <v>14</v>
      </c>
      <c r="K1065" s="47" t="s">
        <v>70</v>
      </c>
    </row>
    <row r="1066" spans="1:11">
      <c r="A1066" s="2">
        <v>43938</v>
      </c>
      <c r="B1066" s="47">
        <v>0.5</v>
      </c>
      <c r="C1066" s="47" t="s">
        <v>41</v>
      </c>
      <c r="E1066" s="47">
        <v>82</v>
      </c>
      <c r="J1066" s="47">
        <v>3</v>
      </c>
      <c r="K1066" s="47" t="s">
        <v>43</v>
      </c>
    </row>
    <row r="1067" spans="1:11">
      <c r="A1067" s="2">
        <v>43938</v>
      </c>
      <c r="B1067" s="47">
        <v>0.54166666666666663</v>
      </c>
      <c r="C1067" s="47" t="s">
        <v>61</v>
      </c>
      <c r="E1067" s="47">
        <v>108</v>
      </c>
      <c r="F1067" s="47">
        <v>4</v>
      </c>
      <c r="J1067" s="47">
        <v>3</v>
      </c>
      <c r="K1067" s="47" t="s">
        <v>427</v>
      </c>
    </row>
    <row r="1068" spans="1:11">
      <c r="A1068" s="2">
        <v>43938</v>
      </c>
      <c r="B1068" s="47">
        <v>0.58333333333333337</v>
      </c>
      <c r="C1068" s="47" t="s">
        <v>94</v>
      </c>
      <c r="E1068" s="47">
        <v>78</v>
      </c>
      <c r="F1068" s="47">
        <v>2</v>
      </c>
      <c r="I1068" s="47">
        <v>66</v>
      </c>
      <c r="J1068" s="47">
        <v>5</v>
      </c>
      <c r="K1068" s="47" t="s">
        <v>96</v>
      </c>
    </row>
    <row r="1069" spans="1:11">
      <c r="A1069" s="2">
        <v>43938</v>
      </c>
      <c r="B1069" s="47">
        <v>0.60416666666666663</v>
      </c>
      <c r="C1069" s="47" t="s">
        <v>104</v>
      </c>
      <c r="E1069" s="47">
        <v>3171</v>
      </c>
      <c r="F1069" s="47">
        <v>123</v>
      </c>
      <c r="H1069" s="47">
        <v>45</v>
      </c>
      <c r="J1069" s="47">
        <v>99</v>
      </c>
      <c r="K1069" s="47" t="s">
        <v>106</v>
      </c>
    </row>
    <row r="1070" spans="1:11">
      <c r="A1070" s="2">
        <v>43938</v>
      </c>
      <c r="B1070" s="47">
        <v>0.61458333333333337</v>
      </c>
      <c r="C1070" s="47" t="s">
        <v>34</v>
      </c>
      <c r="E1070" s="47">
        <v>960</v>
      </c>
      <c r="F1070" s="47">
        <v>58</v>
      </c>
      <c r="G1070" s="47">
        <v>20</v>
      </c>
      <c r="H1070" s="47">
        <v>20</v>
      </c>
      <c r="I1070" s="47">
        <v>540</v>
      </c>
      <c r="J1070" s="47">
        <v>24</v>
      </c>
      <c r="K1070" s="47" t="s">
        <v>361</v>
      </c>
    </row>
    <row r="1071" spans="1:11">
      <c r="A1071" s="2">
        <v>43938</v>
      </c>
      <c r="B1071" s="47">
        <v>0.66666666666666663</v>
      </c>
      <c r="C1071" s="47" t="s">
        <v>75</v>
      </c>
      <c r="E1071" s="47">
        <v>66</v>
      </c>
      <c r="F1071" s="47">
        <v>0</v>
      </c>
      <c r="J1071" s="47">
        <v>0</v>
      </c>
      <c r="K1071" s="47" t="s">
        <v>77</v>
      </c>
    </row>
    <row r="1072" spans="1:11">
      <c r="A1072" s="2">
        <v>43939</v>
      </c>
      <c r="C1072" s="47" t="s">
        <v>47</v>
      </c>
      <c r="E1072" s="47">
        <v>798</v>
      </c>
      <c r="F1072" s="47">
        <v>44</v>
      </c>
      <c r="G1072" s="47">
        <v>7</v>
      </c>
      <c r="H1072" s="47">
        <v>5</v>
      </c>
      <c r="I1072" s="47">
        <v>636</v>
      </c>
      <c r="J1072" s="47">
        <v>25</v>
      </c>
      <c r="K1072" s="47" t="s">
        <v>49</v>
      </c>
    </row>
    <row r="1073" spans="1:11">
      <c r="A1073" s="2">
        <v>43939</v>
      </c>
      <c r="C1073" s="47" t="s">
        <v>53</v>
      </c>
      <c r="E1073" s="47">
        <v>81</v>
      </c>
      <c r="J1073" s="47">
        <v>1</v>
      </c>
      <c r="K1073" s="47" t="s">
        <v>366</v>
      </c>
    </row>
    <row r="1074" spans="1:11">
      <c r="A1074" s="2">
        <v>43939</v>
      </c>
      <c r="C1074" s="47" t="s">
        <v>56</v>
      </c>
      <c r="E1074" s="47">
        <v>956</v>
      </c>
      <c r="F1074" s="47">
        <v>64</v>
      </c>
      <c r="G1074" s="47">
        <v>11</v>
      </c>
      <c r="I1074" s="47">
        <v>109</v>
      </c>
      <c r="J1074" s="47">
        <v>69</v>
      </c>
      <c r="K1074" s="47" t="s">
        <v>640</v>
      </c>
    </row>
    <row r="1075" spans="1:11">
      <c r="A1075" s="2">
        <v>43939</v>
      </c>
      <c r="C1075" s="47" t="s">
        <v>58</v>
      </c>
      <c r="D1075" s="47">
        <v>21626</v>
      </c>
      <c r="E1075" s="47">
        <v>4606</v>
      </c>
      <c r="F1075" s="47">
        <v>315</v>
      </c>
      <c r="G1075" s="47">
        <v>34</v>
      </c>
      <c r="H1075" s="47">
        <v>33</v>
      </c>
      <c r="I1075" s="47">
        <v>553</v>
      </c>
      <c r="J1075" s="47">
        <v>214</v>
      </c>
      <c r="K1075" s="47" t="s">
        <v>60</v>
      </c>
    </row>
    <row r="1076" spans="1:11">
      <c r="A1076" s="2">
        <v>43939</v>
      </c>
      <c r="C1076" s="47" t="s">
        <v>63</v>
      </c>
      <c r="E1076" s="47">
        <v>773</v>
      </c>
      <c r="F1076" s="47">
        <v>29</v>
      </c>
      <c r="J1076" s="47">
        <v>40</v>
      </c>
      <c r="K1076" s="47" t="s">
        <v>65</v>
      </c>
    </row>
    <row r="1077" spans="1:11">
      <c r="A1077" s="2">
        <v>43939</v>
      </c>
      <c r="C1077" s="47" t="s">
        <v>66</v>
      </c>
      <c r="E1077" s="47">
        <v>192</v>
      </c>
      <c r="F1077" s="47">
        <v>17</v>
      </c>
      <c r="G1077" s="47">
        <v>5</v>
      </c>
      <c r="J1077" s="47">
        <v>3</v>
      </c>
      <c r="K1077" s="47" t="s">
        <v>433</v>
      </c>
    </row>
    <row r="1078" spans="1:11">
      <c r="A1078" s="2">
        <v>43939</v>
      </c>
      <c r="C1078" s="47" t="s">
        <v>71</v>
      </c>
      <c r="E1078" s="47">
        <v>633</v>
      </c>
      <c r="F1078" s="47">
        <v>44</v>
      </c>
      <c r="G1078" s="47">
        <v>10</v>
      </c>
      <c r="H1078" s="47">
        <v>8</v>
      </c>
      <c r="J1078" s="47">
        <v>60</v>
      </c>
      <c r="K1078" s="47" t="s">
        <v>377</v>
      </c>
    </row>
    <row r="1079" spans="1:11">
      <c r="A1079" s="2">
        <v>43939</v>
      </c>
      <c r="C1079" s="47" t="s">
        <v>73</v>
      </c>
      <c r="E1079" s="47">
        <v>108</v>
      </c>
      <c r="F1079" s="47">
        <v>4</v>
      </c>
      <c r="G1079" s="47">
        <v>2</v>
      </c>
      <c r="J1079" s="47">
        <v>3</v>
      </c>
      <c r="K1079" s="47" t="s">
        <v>357</v>
      </c>
    </row>
    <row r="1080" spans="1:11">
      <c r="A1080" s="2">
        <v>43939</v>
      </c>
      <c r="C1080" s="47" t="s">
        <v>78</v>
      </c>
      <c r="E1080" s="47">
        <v>699</v>
      </c>
      <c r="F1080" s="47">
        <v>44</v>
      </c>
      <c r="G1080" s="47">
        <v>7</v>
      </c>
      <c r="I1080" s="47">
        <v>150</v>
      </c>
      <c r="J1080" s="47">
        <v>27</v>
      </c>
      <c r="K1080" s="47" t="s">
        <v>80</v>
      </c>
    </row>
    <row r="1081" spans="1:11">
      <c r="A1081" s="2">
        <v>43939</v>
      </c>
      <c r="C1081" s="47" t="s">
        <v>86</v>
      </c>
      <c r="E1081" s="47">
        <v>266</v>
      </c>
      <c r="I1081" s="47">
        <v>176</v>
      </c>
      <c r="J1081" s="47">
        <v>14</v>
      </c>
      <c r="K1081" s="47" t="s">
        <v>607</v>
      </c>
    </row>
    <row r="1082" spans="1:11">
      <c r="A1082" s="2">
        <v>43939</v>
      </c>
      <c r="C1082" s="47" t="s">
        <v>88</v>
      </c>
      <c r="E1082" s="47">
        <v>333</v>
      </c>
      <c r="F1082" s="47">
        <v>23</v>
      </c>
      <c r="G1082" s="47">
        <v>12</v>
      </c>
      <c r="J1082" s="47">
        <v>13</v>
      </c>
      <c r="K1082" s="47" t="s">
        <v>90</v>
      </c>
    </row>
    <row r="1083" spans="1:11">
      <c r="A1083" s="2">
        <v>43939</v>
      </c>
      <c r="C1083" s="47" t="s">
        <v>97</v>
      </c>
      <c r="E1083" s="47">
        <v>5051</v>
      </c>
      <c r="F1083" s="47">
        <v>217</v>
      </c>
      <c r="G1083" s="47">
        <v>48</v>
      </c>
      <c r="J1083" s="47">
        <v>311</v>
      </c>
      <c r="K1083" s="47" t="s">
        <v>99</v>
      </c>
    </row>
    <row r="1084" spans="1:11">
      <c r="A1084" s="2">
        <v>43939</v>
      </c>
      <c r="C1084" s="47" t="s">
        <v>100</v>
      </c>
      <c r="E1084" s="47">
        <v>1768</v>
      </c>
      <c r="F1084" s="47">
        <v>83</v>
      </c>
      <c r="G1084" s="47">
        <v>18</v>
      </c>
      <c r="H1084" s="47">
        <v>10</v>
      </c>
      <c r="I1084" s="47">
        <v>185</v>
      </c>
      <c r="J1084" s="47">
        <v>104</v>
      </c>
      <c r="K1084" s="47" t="s">
        <v>419</v>
      </c>
    </row>
    <row r="1085" spans="1:11">
      <c r="A1085" s="2">
        <v>43939</v>
      </c>
      <c r="B1085" s="47">
        <v>0</v>
      </c>
      <c r="C1085" s="47" t="s">
        <v>83</v>
      </c>
      <c r="E1085" s="47">
        <v>353</v>
      </c>
      <c r="F1085" s="47">
        <v>19</v>
      </c>
      <c r="J1085" s="47">
        <v>10</v>
      </c>
      <c r="K1085" s="47" t="s">
        <v>387</v>
      </c>
    </row>
    <row r="1086" spans="1:11">
      <c r="A1086" s="2">
        <v>43939</v>
      </c>
      <c r="B1086" s="47">
        <v>0.33333333333333331</v>
      </c>
      <c r="C1086" s="47" t="s">
        <v>44</v>
      </c>
      <c r="E1086" s="47">
        <v>1586</v>
      </c>
      <c r="F1086" s="47">
        <v>71</v>
      </c>
      <c r="G1086" s="47">
        <v>22</v>
      </c>
      <c r="H1086" s="47">
        <v>12</v>
      </c>
      <c r="J1086" s="47">
        <v>69</v>
      </c>
      <c r="K1086" s="47" t="s">
        <v>46</v>
      </c>
    </row>
    <row r="1087" spans="1:11">
      <c r="A1087" s="2">
        <v>43939</v>
      </c>
      <c r="B1087" s="47">
        <v>0.33333333333333331</v>
      </c>
      <c r="C1087" s="47" t="s">
        <v>91</v>
      </c>
      <c r="E1087" s="47">
        <v>2994</v>
      </c>
      <c r="F1087" s="47">
        <v>244</v>
      </c>
      <c r="G1087" s="47">
        <v>56</v>
      </c>
      <c r="H1087" s="47">
        <v>42</v>
      </c>
      <c r="I1087" s="47">
        <v>606</v>
      </c>
      <c r="J1087" s="47">
        <v>277</v>
      </c>
      <c r="K1087" s="47" t="s">
        <v>367</v>
      </c>
    </row>
    <row r="1088" spans="1:11">
      <c r="A1088" s="2">
        <v>43939</v>
      </c>
      <c r="B1088" s="47">
        <v>0.33333333333333331</v>
      </c>
      <c r="C1088" s="47" t="s">
        <v>102</v>
      </c>
      <c r="E1088" s="47">
        <v>174</v>
      </c>
      <c r="F1088" s="47">
        <v>6</v>
      </c>
      <c r="G1088" s="47">
        <v>6</v>
      </c>
      <c r="I1088" s="47">
        <v>99</v>
      </c>
      <c r="J1088" s="47">
        <v>7</v>
      </c>
      <c r="K1088" s="47" t="s">
        <v>381</v>
      </c>
    </row>
    <row r="1089" spans="1:11">
      <c r="A1089" s="2">
        <v>43939</v>
      </c>
      <c r="B1089" s="47">
        <v>0.39583333333333331</v>
      </c>
      <c r="C1089" s="47" t="s">
        <v>81</v>
      </c>
      <c r="E1089" s="47">
        <v>61</v>
      </c>
      <c r="F1089" s="47">
        <v>11</v>
      </c>
      <c r="G1089" s="47">
        <v>4</v>
      </c>
      <c r="J1089" s="47">
        <v>1</v>
      </c>
      <c r="K1089" s="47" t="s">
        <v>606</v>
      </c>
    </row>
    <row r="1090" spans="1:11">
      <c r="A1090" s="2">
        <v>43939</v>
      </c>
      <c r="B1090" s="47">
        <v>0.40625</v>
      </c>
      <c r="C1090" s="47" t="s">
        <v>50</v>
      </c>
      <c r="E1090" s="47">
        <v>924</v>
      </c>
      <c r="I1090" s="47">
        <v>753</v>
      </c>
      <c r="J1090" s="47">
        <v>40</v>
      </c>
      <c r="K1090" s="47" t="s">
        <v>365</v>
      </c>
    </row>
    <row r="1091" spans="1:11">
      <c r="A1091" s="2">
        <v>43939</v>
      </c>
      <c r="B1091" s="47">
        <v>0.52083333333333337</v>
      </c>
      <c r="C1091" s="47" t="s">
        <v>68</v>
      </c>
      <c r="E1091" s="47">
        <v>623</v>
      </c>
      <c r="F1091" s="47">
        <v>26</v>
      </c>
      <c r="G1091" s="47">
        <v>4</v>
      </c>
      <c r="J1091" s="47">
        <v>15</v>
      </c>
      <c r="K1091" s="47" t="s">
        <v>70</v>
      </c>
    </row>
    <row r="1092" spans="1:11">
      <c r="A1092" s="2">
        <v>43939</v>
      </c>
      <c r="B1092" s="47">
        <v>0.54166666666666663</v>
      </c>
      <c r="C1092" s="47" t="s">
        <v>61</v>
      </c>
      <c r="E1092" s="47">
        <v>111</v>
      </c>
      <c r="F1092" s="47">
        <v>4</v>
      </c>
      <c r="J1092" s="47">
        <v>3</v>
      </c>
      <c r="K1092" s="47" t="s">
        <v>427</v>
      </c>
    </row>
    <row r="1093" spans="1:11">
      <c r="A1093" s="2">
        <v>43939</v>
      </c>
      <c r="B1093" s="47">
        <v>0.60416666666666663</v>
      </c>
      <c r="C1093" s="47" t="s">
        <v>104</v>
      </c>
      <c r="E1093" s="47">
        <v>3211</v>
      </c>
      <c r="F1093" s="47">
        <v>114</v>
      </c>
      <c r="H1093" s="47">
        <v>44</v>
      </c>
      <c r="J1093" s="47">
        <v>105</v>
      </c>
      <c r="K1093" s="47" t="s">
        <v>106</v>
      </c>
    </row>
    <row r="1094" spans="1:11">
      <c r="A1094" s="2">
        <v>43939</v>
      </c>
      <c r="B1094" s="47">
        <v>0.61458333333333337</v>
      </c>
      <c r="C1094" s="47" t="s">
        <v>34</v>
      </c>
      <c r="E1094" s="47">
        <v>987</v>
      </c>
      <c r="J1094" s="47">
        <v>25</v>
      </c>
      <c r="K1094" s="47" t="s">
        <v>352</v>
      </c>
    </row>
    <row r="1095" spans="1:11">
      <c r="A1095" s="2">
        <v>43939</v>
      </c>
      <c r="B1095" s="47">
        <v>0.625</v>
      </c>
      <c r="C1095" s="47" t="s">
        <v>94</v>
      </c>
      <c r="E1095" s="47">
        <v>78</v>
      </c>
      <c r="F1095" s="47">
        <v>2</v>
      </c>
      <c r="I1095" s="47">
        <v>69</v>
      </c>
      <c r="J1095" s="47">
        <v>5</v>
      </c>
      <c r="K1095" s="47" t="s">
        <v>96</v>
      </c>
    </row>
    <row r="1096" spans="1:11">
      <c r="A1096" s="2">
        <v>43940</v>
      </c>
      <c r="C1096" s="47" t="s">
        <v>47</v>
      </c>
      <c r="E1096" s="47">
        <v>803</v>
      </c>
      <c r="F1096" s="47">
        <v>40</v>
      </c>
      <c r="G1096" s="47">
        <v>7</v>
      </c>
      <c r="H1096" s="47">
        <v>5</v>
      </c>
      <c r="I1096" s="47">
        <v>653</v>
      </c>
      <c r="J1096" s="47">
        <v>25</v>
      </c>
      <c r="K1096" s="47" t="s">
        <v>49</v>
      </c>
    </row>
    <row r="1097" spans="1:11">
      <c r="A1097" s="2">
        <v>43940</v>
      </c>
      <c r="C1097" s="47" t="s">
        <v>53</v>
      </c>
      <c r="E1097" s="47">
        <v>81</v>
      </c>
      <c r="J1097" s="47">
        <v>1</v>
      </c>
      <c r="K1097" s="47" t="s">
        <v>369</v>
      </c>
    </row>
    <row r="1098" spans="1:11">
      <c r="A1098" s="2">
        <v>43940</v>
      </c>
      <c r="C1098" s="47" t="s">
        <v>56</v>
      </c>
      <c r="E1098" s="47">
        <v>980</v>
      </c>
      <c r="F1098" s="47">
        <v>61</v>
      </c>
      <c r="G1098" s="47">
        <v>12</v>
      </c>
      <c r="I1098" s="47">
        <v>113</v>
      </c>
      <c r="J1098" s="47">
        <v>71</v>
      </c>
      <c r="K1098" s="47" t="s">
        <v>640</v>
      </c>
    </row>
    <row r="1099" spans="1:11">
      <c r="A1099" s="2">
        <v>43940</v>
      </c>
      <c r="C1099" s="47" t="s">
        <v>58</v>
      </c>
      <c r="D1099" s="47">
        <v>21808</v>
      </c>
      <c r="E1099" s="47">
        <v>4617</v>
      </c>
      <c r="F1099" s="47">
        <v>315</v>
      </c>
      <c r="G1099" s="47">
        <v>35</v>
      </c>
      <c r="H1099" s="47">
        <v>33</v>
      </c>
      <c r="I1099" s="47">
        <v>558</v>
      </c>
      <c r="J1099" s="47">
        <v>217</v>
      </c>
      <c r="K1099" s="47" t="s">
        <v>60</v>
      </c>
    </row>
    <row r="1100" spans="1:11">
      <c r="A1100" s="2">
        <v>43940</v>
      </c>
      <c r="C1100" s="47" t="s">
        <v>63</v>
      </c>
      <c r="E1100" s="47">
        <v>778</v>
      </c>
      <c r="F1100" s="47">
        <v>28</v>
      </c>
      <c r="J1100" s="47">
        <v>41</v>
      </c>
      <c r="K1100" s="47" t="s">
        <v>65</v>
      </c>
    </row>
    <row r="1101" spans="1:11">
      <c r="A1101" s="2">
        <v>43940</v>
      </c>
      <c r="C1101" s="47" t="s">
        <v>66</v>
      </c>
      <c r="E1101" s="47">
        <v>192</v>
      </c>
      <c r="F1101" s="47">
        <v>16</v>
      </c>
      <c r="G1101" s="47">
        <v>5</v>
      </c>
      <c r="J1101" s="47">
        <v>5</v>
      </c>
      <c r="K1101" s="47" t="s">
        <v>433</v>
      </c>
    </row>
    <row r="1102" spans="1:11">
      <c r="A1102" s="2">
        <v>43940</v>
      </c>
      <c r="C1102" s="47" t="s">
        <v>71</v>
      </c>
      <c r="E1102" s="47">
        <v>634</v>
      </c>
      <c r="F1102" s="47">
        <v>43</v>
      </c>
      <c r="G1102" s="47">
        <v>9</v>
      </c>
      <c r="H1102" s="47">
        <v>4</v>
      </c>
      <c r="J1102" s="47">
        <v>62</v>
      </c>
      <c r="K1102" s="47" t="s">
        <v>377</v>
      </c>
    </row>
    <row r="1103" spans="1:11">
      <c r="A1103" s="2">
        <v>43940</v>
      </c>
      <c r="C1103" s="47" t="s">
        <v>73</v>
      </c>
      <c r="E1103" s="47">
        <v>108</v>
      </c>
      <c r="F1103" s="47">
        <v>4</v>
      </c>
      <c r="G1103" s="47">
        <v>2</v>
      </c>
      <c r="J1103" s="47">
        <v>3</v>
      </c>
      <c r="K1103" s="47" t="s">
        <v>357</v>
      </c>
    </row>
    <row r="1104" spans="1:11">
      <c r="A1104" s="2">
        <v>43940</v>
      </c>
      <c r="C1104" s="47" t="s">
        <v>78</v>
      </c>
      <c r="E1104" s="47">
        <v>705</v>
      </c>
      <c r="F1104" s="47">
        <v>45</v>
      </c>
      <c r="G1104" s="47">
        <v>7</v>
      </c>
      <c r="I1104" s="47">
        <v>150</v>
      </c>
      <c r="J1104" s="47">
        <v>27</v>
      </c>
      <c r="K1104" s="47" t="s">
        <v>80</v>
      </c>
    </row>
    <row r="1105" spans="1:11">
      <c r="A1105" s="2">
        <v>43940</v>
      </c>
      <c r="C1105" s="47" t="s">
        <v>86</v>
      </c>
      <c r="E1105" s="47">
        <v>268</v>
      </c>
      <c r="I1105" s="47">
        <v>180</v>
      </c>
      <c r="J1105" s="47">
        <v>15</v>
      </c>
      <c r="K1105" s="47" t="s">
        <v>607</v>
      </c>
    </row>
    <row r="1106" spans="1:11">
      <c r="A1106" s="2">
        <v>43940</v>
      </c>
      <c r="C1106" s="47" t="s">
        <v>88</v>
      </c>
      <c r="E1106" s="47">
        <v>334</v>
      </c>
      <c r="F1106" s="47">
        <v>23</v>
      </c>
      <c r="G1106" s="47">
        <v>12</v>
      </c>
      <c r="J1106" s="47">
        <v>13</v>
      </c>
      <c r="K1106" s="47" t="s">
        <v>90</v>
      </c>
    </row>
    <row r="1107" spans="1:11">
      <c r="A1107" s="2">
        <v>43940</v>
      </c>
      <c r="C1107" s="47" t="s">
        <v>97</v>
      </c>
      <c r="E1107" s="47">
        <v>5062</v>
      </c>
      <c r="F1107" s="47">
        <v>218</v>
      </c>
      <c r="G1107" s="47">
        <v>47</v>
      </c>
      <c r="J1107" s="47">
        <v>316</v>
      </c>
      <c r="K1107" s="47" t="s">
        <v>99</v>
      </c>
    </row>
    <row r="1108" spans="1:11">
      <c r="A1108" s="2">
        <v>43940</v>
      </c>
      <c r="C1108" s="47" t="s">
        <v>100</v>
      </c>
      <c r="E1108" s="47">
        <v>1775</v>
      </c>
      <c r="F1108" s="47">
        <v>81</v>
      </c>
      <c r="G1108" s="47">
        <v>16</v>
      </c>
      <c r="H1108" s="47">
        <v>9</v>
      </c>
      <c r="I1108" s="47">
        <v>204</v>
      </c>
      <c r="J1108" s="47">
        <v>107</v>
      </c>
      <c r="K1108" s="47" t="s">
        <v>419</v>
      </c>
    </row>
    <row r="1109" spans="1:11">
      <c r="A1109" s="2">
        <v>43940</v>
      </c>
      <c r="B1109" s="47">
        <v>0</v>
      </c>
      <c r="C1109" s="47" t="s">
        <v>83</v>
      </c>
      <c r="E1109" s="47">
        <v>355</v>
      </c>
      <c r="F1109" s="47">
        <v>19</v>
      </c>
      <c r="J1109" s="47">
        <v>11</v>
      </c>
      <c r="K1109" s="47" t="s">
        <v>387</v>
      </c>
    </row>
    <row r="1110" spans="1:11">
      <c r="A1110" s="2">
        <v>43940</v>
      </c>
      <c r="B1110" s="47">
        <v>0.33333333333333331</v>
      </c>
      <c r="C1110" s="47" t="s">
        <v>44</v>
      </c>
      <c r="E1110" s="47">
        <v>1599</v>
      </c>
      <c r="F1110" s="47">
        <v>78</v>
      </c>
      <c r="G1110" s="47">
        <v>20</v>
      </c>
      <c r="H1110" s="47">
        <v>13</v>
      </c>
      <c r="J1110" s="47">
        <v>69</v>
      </c>
      <c r="K1110" s="47" t="s">
        <v>46</v>
      </c>
    </row>
    <row r="1111" spans="1:11">
      <c r="A1111" s="2">
        <v>43940</v>
      </c>
      <c r="B1111" s="47">
        <v>0.33333333333333331</v>
      </c>
      <c r="C1111" s="47" t="s">
        <v>91</v>
      </c>
      <c r="E1111" s="47">
        <v>3032</v>
      </c>
      <c r="F1111" s="47">
        <v>237</v>
      </c>
      <c r="G1111" s="47">
        <v>54</v>
      </c>
      <c r="H1111" s="47">
        <v>42</v>
      </c>
      <c r="I1111" s="47">
        <v>616</v>
      </c>
      <c r="J1111" s="47">
        <v>281</v>
      </c>
      <c r="K1111" s="47" t="s">
        <v>370</v>
      </c>
    </row>
    <row r="1112" spans="1:11">
      <c r="A1112" s="2">
        <v>43940</v>
      </c>
      <c r="B1112" s="47">
        <v>0.33333333333333331</v>
      </c>
      <c r="C1112" s="47" t="s">
        <v>102</v>
      </c>
      <c r="E1112" s="47">
        <v>175</v>
      </c>
      <c r="F1112" s="47">
        <v>11</v>
      </c>
      <c r="G1112" s="47">
        <v>6</v>
      </c>
      <c r="I1112" s="47">
        <v>99</v>
      </c>
      <c r="J1112" s="47">
        <v>7</v>
      </c>
      <c r="K1112" s="47" t="s">
        <v>381</v>
      </c>
    </row>
    <row r="1113" spans="1:11">
      <c r="A1113" s="2">
        <v>43940</v>
      </c>
      <c r="B1113" s="47">
        <v>0.39583333333333331</v>
      </c>
      <c r="C1113" s="47" t="s">
        <v>81</v>
      </c>
      <c r="E1113" s="47">
        <v>62</v>
      </c>
      <c r="F1113" s="47">
        <v>6</v>
      </c>
      <c r="G1113" s="47">
        <v>2</v>
      </c>
      <c r="J1113" s="47">
        <v>1</v>
      </c>
      <c r="K1113" s="47" t="s">
        <v>606</v>
      </c>
    </row>
    <row r="1114" spans="1:11">
      <c r="A1114" s="2">
        <v>43940</v>
      </c>
      <c r="B1114" s="47">
        <v>0.41666666666666669</v>
      </c>
      <c r="C1114" s="47" t="s">
        <v>50</v>
      </c>
      <c r="E1114" s="47">
        <v>927</v>
      </c>
      <c r="I1114" s="47">
        <v>764</v>
      </c>
      <c r="J1114" s="47">
        <v>40</v>
      </c>
      <c r="K1114" s="47" t="s">
        <v>368</v>
      </c>
    </row>
    <row r="1115" spans="1:11">
      <c r="A1115" s="2">
        <v>43940</v>
      </c>
      <c r="B1115" s="47">
        <v>0.45833333333333331</v>
      </c>
      <c r="C1115" s="47" t="s">
        <v>38</v>
      </c>
      <c r="E1115" s="47">
        <v>24</v>
      </c>
      <c r="K1115" s="47" t="s">
        <v>40</v>
      </c>
    </row>
    <row r="1116" spans="1:11">
      <c r="A1116" s="2">
        <v>43940</v>
      </c>
      <c r="B1116" s="47">
        <v>0.45833333333333331</v>
      </c>
      <c r="C1116" s="47" t="s">
        <v>68</v>
      </c>
      <c r="E1116" s="47">
        <v>626</v>
      </c>
      <c r="F1116" s="47">
        <v>26</v>
      </c>
      <c r="G1116" s="47">
        <v>4</v>
      </c>
      <c r="J1116" s="47">
        <v>15</v>
      </c>
      <c r="K1116" s="47" t="s">
        <v>70</v>
      </c>
    </row>
    <row r="1117" spans="1:11">
      <c r="A1117" s="2">
        <v>43940</v>
      </c>
      <c r="B1117" s="47">
        <v>0.54166666666666663</v>
      </c>
      <c r="C1117" s="47" t="s">
        <v>61</v>
      </c>
      <c r="E1117" s="47">
        <v>111</v>
      </c>
      <c r="F1117" s="47">
        <v>4</v>
      </c>
      <c r="J1117" s="47">
        <v>3</v>
      </c>
      <c r="K1117" s="47" t="s">
        <v>427</v>
      </c>
    </row>
    <row r="1118" spans="1:11">
      <c r="A1118" s="2">
        <v>43940</v>
      </c>
      <c r="B1118" s="47">
        <v>0.54166666666666663</v>
      </c>
      <c r="C1118" s="47" t="s">
        <v>94</v>
      </c>
      <c r="E1118" s="47">
        <v>78</v>
      </c>
      <c r="F1118" s="47">
        <v>2</v>
      </c>
      <c r="I1118" s="47">
        <v>69</v>
      </c>
      <c r="J1118" s="47">
        <v>5</v>
      </c>
      <c r="K1118" s="47" t="s">
        <v>96</v>
      </c>
    </row>
    <row r="1119" spans="1:11">
      <c r="A1119" s="2">
        <v>43940</v>
      </c>
      <c r="B1119" s="47">
        <v>0.60416666666666663</v>
      </c>
      <c r="C1119" s="47" t="s">
        <v>104</v>
      </c>
      <c r="E1119" s="47">
        <v>3238</v>
      </c>
      <c r="F1119" s="47">
        <v>116</v>
      </c>
      <c r="H1119" s="47">
        <v>43</v>
      </c>
      <c r="J1119" s="47">
        <v>105</v>
      </c>
      <c r="K1119" s="47" t="s">
        <v>106</v>
      </c>
    </row>
    <row r="1120" spans="1:11">
      <c r="A1120" s="2">
        <v>43940</v>
      </c>
      <c r="B1120" s="47">
        <v>0.61458333333333337</v>
      </c>
      <c r="C1120" s="47" t="s">
        <v>34</v>
      </c>
      <c r="E1120" s="47">
        <v>1003</v>
      </c>
      <c r="J1120" s="47">
        <v>25</v>
      </c>
      <c r="K1120" s="47" t="s">
        <v>352</v>
      </c>
    </row>
    <row r="1121" spans="1:11">
      <c r="A1121" s="2">
        <v>43941</v>
      </c>
      <c r="C1121" s="47" t="s">
        <v>47</v>
      </c>
      <c r="E1121" s="47">
        <v>806</v>
      </c>
      <c r="F1121" s="47">
        <v>40</v>
      </c>
      <c r="G1121" s="47">
        <v>6</v>
      </c>
      <c r="H1121" s="47">
        <v>3</v>
      </c>
      <c r="I1121" s="47">
        <v>664</v>
      </c>
      <c r="J1121" s="47">
        <v>25</v>
      </c>
      <c r="K1121" s="47" t="s">
        <v>49</v>
      </c>
    </row>
    <row r="1122" spans="1:11">
      <c r="A1122" s="2">
        <v>43941</v>
      </c>
      <c r="C1122" s="47" t="s">
        <v>53</v>
      </c>
      <c r="E1122" s="47">
        <v>81</v>
      </c>
      <c r="J1122" s="47">
        <v>1</v>
      </c>
      <c r="K1122" s="47" t="s">
        <v>354</v>
      </c>
    </row>
    <row r="1123" spans="1:11">
      <c r="A1123" s="2">
        <v>43941</v>
      </c>
      <c r="C1123" s="47" t="s">
        <v>56</v>
      </c>
      <c r="E1123" s="47">
        <v>989</v>
      </c>
      <c r="F1123" s="47">
        <v>62</v>
      </c>
      <c r="G1123" s="47">
        <v>11</v>
      </c>
      <c r="I1123" s="47">
        <v>113</v>
      </c>
      <c r="J1123" s="47">
        <v>72</v>
      </c>
      <c r="K1123" s="47" t="s">
        <v>640</v>
      </c>
    </row>
    <row r="1124" spans="1:11">
      <c r="A1124" s="2">
        <v>43941</v>
      </c>
      <c r="C1124" s="47" t="s">
        <v>58</v>
      </c>
      <c r="D1124" s="47">
        <v>22182</v>
      </c>
      <c r="E1124" s="47">
        <v>4644</v>
      </c>
      <c r="F1124" s="47">
        <v>321</v>
      </c>
      <c r="G1124" s="47">
        <v>34</v>
      </c>
      <c r="H1124" s="47">
        <v>29</v>
      </c>
      <c r="I1124" s="47">
        <v>561</v>
      </c>
      <c r="J1124" s="47">
        <v>219</v>
      </c>
      <c r="K1124" s="47" t="s">
        <v>60</v>
      </c>
    </row>
    <row r="1125" spans="1:11">
      <c r="A1125" s="2">
        <v>43941</v>
      </c>
      <c r="C1125" s="47" t="s">
        <v>63</v>
      </c>
      <c r="E1125" s="47">
        <v>785</v>
      </c>
      <c r="F1125" s="47">
        <v>29</v>
      </c>
      <c r="J1125" s="47">
        <v>42</v>
      </c>
      <c r="K1125" s="47" t="s">
        <v>65</v>
      </c>
    </row>
    <row r="1126" spans="1:11">
      <c r="A1126" s="2">
        <v>43941</v>
      </c>
      <c r="C1126" s="47" t="s">
        <v>66</v>
      </c>
      <c r="E1126" s="47">
        <v>195</v>
      </c>
      <c r="F1126" s="47">
        <v>14</v>
      </c>
      <c r="G1126" s="47">
        <v>4</v>
      </c>
      <c r="J1126" s="47">
        <v>6</v>
      </c>
      <c r="K1126" s="47" t="s">
        <v>433</v>
      </c>
    </row>
    <row r="1127" spans="1:11">
      <c r="A1127" s="2">
        <v>43941</v>
      </c>
      <c r="C1127" s="47" t="s">
        <v>71</v>
      </c>
      <c r="E1127" s="47">
        <v>644</v>
      </c>
      <c r="F1127" s="47">
        <v>44</v>
      </c>
      <c r="G1127" s="47">
        <v>10</v>
      </c>
      <c r="H1127" s="47">
        <v>5</v>
      </c>
      <c r="J1127" s="47">
        <v>65</v>
      </c>
      <c r="K1127" s="47" t="s">
        <v>377</v>
      </c>
    </row>
    <row r="1128" spans="1:11">
      <c r="A1128" s="2">
        <v>43941</v>
      </c>
      <c r="C1128" s="47" t="s">
        <v>73</v>
      </c>
      <c r="E1128" s="47">
        <v>108</v>
      </c>
      <c r="F1128" s="47">
        <v>4</v>
      </c>
      <c r="G1128" s="47">
        <v>2</v>
      </c>
      <c r="J1128" s="47">
        <v>3</v>
      </c>
      <c r="K1128" s="47" t="s">
        <v>357</v>
      </c>
    </row>
    <row r="1129" spans="1:11">
      <c r="A1129" s="2">
        <v>43941</v>
      </c>
      <c r="C1129" s="47" t="s">
        <v>78</v>
      </c>
      <c r="E1129" s="47">
        <v>711</v>
      </c>
      <c r="F1129" s="47">
        <v>42</v>
      </c>
      <c r="G1129" s="47">
        <v>7</v>
      </c>
      <c r="I1129" s="47">
        <v>159</v>
      </c>
      <c r="J1129" s="47">
        <v>27</v>
      </c>
      <c r="K1129" s="47" t="s">
        <v>80</v>
      </c>
    </row>
    <row r="1130" spans="1:11">
      <c r="A1130" s="2">
        <v>43941</v>
      </c>
      <c r="C1130" s="47" t="s">
        <v>86</v>
      </c>
      <c r="E1130" s="47">
        <v>272</v>
      </c>
      <c r="I1130" s="47">
        <v>180</v>
      </c>
      <c r="J1130" s="47">
        <v>15</v>
      </c>
      <c r="K1130" s="47" t="s">
        <v>607</v>
      </c>
    </row>
    <row r="1131" spans="1:11">
      <c r="A1131" s="2">
        <v>43941</v>
      </c>
      <c r="C1131" s="47" t="s">
        <v>88</v>
      </c>
      <c r="E1131" s="47">
        <v>336</v>
      </c>
      <c r="F1131" s="47">
        <v>24</v>
      </c>
      <c r="G1131" s="47">
        <v>12</v>
      </c>
      <c r="J1131" s="47">
        <v>13</v>
      </c>
      <c r="K1131" s="47" t="s">
        <v>90</v>
      </c>
    </row>
    <row r="1132" spans="1:11">
      <c r="A1132" s="2">
        <v>43941</v>
      </c>
      <c r="C1132" s="47" t="s">
        <v>97</v>
      </c>
      <c r="E1132" s="47">
        <v>5094</v>
      </c>
      <c r="F1132" s="47">
        <v>201</v>
      </c>
      <c r="G1132" s="47">
        <v>41</v>
      </c>
      <c r="J1132" s="47">
        <v>327</v>
      </c>
      <c r="K1132" s="47" t="s">
        <v>99</v>
      </c>
    </row>
    <row r="1133" spans="1:11">
      <c r="A1133" s="2">
        <v>43941</v>
      </c>
      <c r="C1133" s="47" t="s">
        <v>100</v>
      </c>
      <c r="E1133" s="47">
        <v>1792</v>
      </c>
      <c r="F1133" s="47">
        <v>76</v>
      </c>
      <c r="G1133" s="47">
        <v>15</v>
      </c>
      <c r="H1133" s="47">
        <v>9</v>
      </c>
      <c r="I1133" s="47">
        <v>206</v>
      </c>
      <c r="J1133" s="47">
        <v>110</v>
      </c>
      <c r="K1133" s="47" t="s">
        <v>419</v>
      </c>
    </row>
    <row r="1134" spans="1:11">
      <c r="A1134" s="2">
        <v>43941</v>
      </c>
      <c r="B1134" s="47">
        <v>0</v>
      </c>
      <c r="C1134" s="47" t="s">
        <v>83</v>
      </c>
      <c r="E1134" s="47">
        <v>355</v>
      </c>
      <c r="F1134" s="47">
        <v>19</v>
      </c>
      <c r="J1134" s="47">
        <v>11</v>
      </c>
      <c r="K1134" s="47" t="s">
        <v>387</v>
      </c>
    </row>
    <row r="1135" spans="1:11">
      <c r="A1135" s="2">
        <v>43941</v>
      </c>
      <c r="B1135" s="47">
        <v>0.33333333333333331</v>
      </c>
      <c r="C1135" s="47" t="s">
        <v>44</v>
      </c>
      <c r="E1135" s="47">
        <v>1613</v>
      </c>
      <c r="F1135" s="47">
        <v>71</v>
      </c>
      <c r="G1135" s="47">
        <v>19</v>
      </c>
      <c r="H1135" s="47">
        <v>11</v>
      </c>
      <c r="J1135" s="47">
        <v>73</v>
      </c>
      <c r="K1135" s="47" t="s">
        <v>46</v>
      </c>
    </row>
    <row r="1136" spans="1:11">
      <c r="A1136" s="2">
        <v>43941</v>
      </c>
      <c r="B1136" s="47">
        <v>0.33333333333333331</v>
      </c>
      <c r="C1136" s="47" t="s">
        <v>91</v>
      </c>
      <c r="E1136" s="47">
        <v>3058</v>
      </c>
      <c r="F1136" s="47">
        <v>237</v>
      </c>
      <c r="G1136" s="47">
        <v>55</v>
      </c>
      <c r="H1136" s="47">
        <v>42</v>
      </c>
      <c r="I1136" s="47">
        <v>621</v>
      </c>
      <c r="J1136" s="47">
        <v>288</v>
      </c>
      <c r="K1136" s="47" t="s">
        <v>355</v>
      </c>
    </row>
    <row r="1137" spans="1:11">
      <c r="A1137" s="2">
        <v>43941</v>
      </c>
      <c r="B1137" s="47">
        <v>0.33333333333333331</v>
      </c>
      <c r="C1137" s="47" t="s">
        <v>102</v>
      </c>
      <c r="E1137" s="47">
        <v>175</v>
      </c>
      <c r="F1137" s="47">
        <v>11</v>
      </c>
      <c r="G1137" s="47">
        <v>5</v>
      </c>
      <c r="I1137" s="47">
        <v>99</v>
      </c>
      <c r="J1137" s="47">
        <v>7</v>
      </c>
      <c r="K1137" s="47" t="s">
        <v>381</v>
      </c>
    </row>
    <row r="1138" spans="1:11">
      <c r="A1138" s="2">
        <v>43941</v>
      </c>
      <c r="B1138" s="47">
        <v>0.39583333333333331</v>
      </c>
      <c r="C1138" s="47" t="s">
        <v>50</v>
      </c>
      <c r="E1138" s="47">
        <v>928</v>
      </c>
      <c r="I1138" s="47">
        <v>770</v>
      </c>
      <c r="J1138" s="47">
        <v>42</v>
      </c>
      <c r="K1138" s="47" t="s">
        <v>353</v>
      </c>
    </row>
    <row r="1139" spans="1:11">
      <c r="A1139" s="2">
        <v>43941</v>
      </c>
      <c r="B1139" s="47">
        <v>0.39583333333333331</v>
      </c>
      <c r="C1139" s="47" t="s">
        <v>81</v>
      </c>
      <c r="E1139" s="47">
        <v>63</v>
      </c>
      <c r="F1139" s="47">
        <v>6</v>
      </c>
      <c r="G1139" s="47">
        <v>2</v>
      </c>
      <c r="J1139" s="47">
        <v>1</v>
      </c>
      <c r="K1139" s="47" t="s">
        <v>606</v>
      </c>
    </row>
    <row r="1140" spans="1:11">
      <c r="A1140" s="2">
        <v>43941</v>
      </c>
      <c r="B1140" s="47">
        <v>0.45833333333333331</v>
      </c>
      <c r="C1140" s="47" t="s">
        <v>38</v>
      </c>
      <c r="E1140" s="47">
        <v>24</v>
      </c>
      <c r="K1140" s="47" t="s">
        <v>40</v>
      </c>
    </row>
    <row r="1141" spans="1:11">
      <c r="A1141" s="2">
        <v>43941</v>
      </c>
      <c r="B1141" s="47">
        <v>0.45833333333333331</v>
      </c>
      <c r="C1141" s="47" t="s">
        <v>68</v>
      </c>
      <c r="E1141" s="47">
        <v>633</v>
      </c>
      <c r="F1141" s="47">
        <v>33</v>
      </c>
      <c r="G1141" s="47">
        <v>5</v>
      </c>
      <c r="J1141" s="47">
        <v>15</v>
      </c>
      <c r="K1141" s="47" t="s">
        <v>70</v>
      </c>
    </row>
    <row r="1142" spans="1:11">
      <c r="A1142" s="2">
        <v>43941</v>
      </c>
      <c r="B1142" s="47">
        <v>0.54166666666666663</v>
      </c>
      <c r="C1142" s="47" t="s">
        <v>41</v>
      </c>
      <c r="E1142" s="47">
        <v>86</v>
      </c>
      <c r="J1142" s="47">
        <v>3</v>
      </c>
      <c r="K1142" s="47" t="s">
        <v>43</v>
      </c>
    </row>
    <row r="1143" spans="1:11">
      <c r="A1143" s="2">
        <v>43941</v>
      </c>
      <c r="B1143" s="47">
        <v>0.54166666666666663</v>
      </c>
      <c r="C1143" s="47" t="s">
        <v>61</v>
      </c>
      <c r="E1143" s="47">
        <v>114</v>
      </c>
      <c r="F1143" s="47">
        <v>5</v>
      </c>
      <c r="J1143" s="47">
        <v>5</v>
      </c>
      <c r="K1143" s="47" t="s">
        <v>427</v>
      </c>
    </row>
    <row r="1144" spans="1:11">
      <c r="A1144" s="2">
        <v>43941</v>
      </c>
      <c r="B1144" s="47">
        <v>0.58333333333333337</v>
      </c>
      <c r="C1144" s="47" t="s">
        <v>94</v>
      </c>
      <c r="E1144" s="47">
        <v>78</v>
      </c>
      <c r="F1144" s="47">
        <v>2</v>
      </c>
      <c r="I1144" s="47">
        <v>69</v>
      </c>
      <c r="J1144" s="47">
        <v>5</v>
      </c>
      <c r="K1144" s="47" t="s">
        <v>96</v>
      </c>
    </row>
    <row r="1145" spans="1:11">
      <c r="A1145" s="2">
        <v>43941</v>
      </c>
      <c r="B1145" s="47">
        <v>0.60416666666666663</v>
      </c>
      <c r="C1145" s="47" t="s">
        <v>104</v>
      </c>
      <c r="E1145" s="47">
        <v>3254</v>
      </c>
      <c r="F1145" s="47">
        <v>121</v>
      </c>
      <c r="H1145" s="47">
        <v>43</v>
      </c>
      <c r="J1145" s="47">
        <v>107</v>
      </c>
      <c r="K1145" s="47" t="s">
        <v>106</v>
      </c>
    </row>
    <row r="1146" spans="1:11">
      <c r="A1146" s="2">
        <v>43941</v>
      </c>
      <c r="B1146" s="47">
        <v>0.61458333333333337</v>
      </c>
      <c r="C1146" s="47" t="s">
        <v>34</v>
      </c>
      <c r="E1146" s="47">
        <v>1012</v>
      </c>
      <c r="F1146" s="47">
        <v>45</v>
      </c>
      <c r="G1146" s="47">
        <v>16</v>
      </c>
      <c r="H1146" s="47">
        <v>16</v>
      </c>
      <c r="I1146" s="47">
        <v>640</v>
      </c>
      <c r="J1146" s="47">
        <v>28</v>
      </c>
      <c r="K1146" s="47" t="s">
        <v>352</v>
      </c>
    </row>
    <row r="1147" spans="1:11">
      <c r="A1147" s="2">
        <v>43941</v>
      </c>
      <c r="B1147" s="47">
        <v>0.625</v>
      </c>
      <c r="C1147" s="47" t="s">
        <v>75</v>
      </c>
      <c r="E1147" s="47">
        <v>67</v>
      </c>
      <c r="F1147" s="47">
        <v>0</v>
      </c>
      <c r="J1147" s="47">
        <v>0</v>
      </c>
      <c r="K1147" s="47" t="s">
        <v>77</v>
      </c>
    </row>
    <row r="1148" spans="1:11">
      <c r="A1148" s="2">
        <v>43942</v>
      </c>
      <c r="C1148" s="47" t="s">
        <v>47</v>
      </c>
      <c r="E1148" s="47">
        <v>809</v>
      </c>
      <c r="F1148" s="47">
        <v>33</v>
      </c>
      <c r="G1148" s="47">
        <v>3</v>
      </c>
      <c r="H1148" s="47">
        <v>3</v>
      </c>
      <c r="I1148" s="47">
        <v>679</v>
      </c>
      <c r="J1148" s="47">
        <v>26</v>
      </c>
      <c r="K1148" s="47" t="s">
        <v>49</v>
      </c>
    </row>
    <row r="1149" spans="1:11">
      <c r="A1149" s="2">
        <v>43942</v>
      </c>
      <c r="C1149" s="47" t="s">
        <v>53</v>
      </c>
      <c r="E1149" s="47">
        <v>81</v>
      </c>
      <c r="J1149" s="47">
        <v>1</v>
      </c>
      <c r="K1149" s="47" t="s">
        <v>372</v>
      </c>
    </row>
    <row r="1150" spans="1:11">
      <c r="A1150" s="2">
        <v>43942</v>
      </c>
      <c r="C1150" s="47" t="s">
        <v>56</v>
      </c>
      <c r="E1150" s="47">
        <v>995</v>
      </c>
      <c r="F1150" s="47">
        <v>60</v>
      </c>
      <c r="G1150" s="47">
        <v>8</v>
      </c>
      <c r="I1150" s="47">
        <v>115</v>
      </c>
      <c r="J1150" s="47">
        <v>74</v>
      </c>
      <c r="K1150" s="47" t="s">
        <v>640</v>
      </c>
    </row>
    <row r="1151" spans="1:11">
      <c r="A1151" s="2">
        <v>43942</v>
      </c>
      <c r="C1151" s="47" t="s">
        <v>58</v>
      </c>
      <c r="D1151" s="47">
        <v>22593</v>
      </c>
      <c r="E1151" s="47">
        <v>4670</v>
      </c>
      <c r="F1151" s="47">
        <v>304</v>
      </c>
      <c r="G1151" s="47">
        <v>32</v>
      </c>
      <c r="H1151" s="47">
        <v>29</v>
      </c>
      <c r="I1151" s="47">
        <v>581</v>
      </c>
      <c r="J1151" s="47">
        <v>224</v>
      </c>
      <c r="K1151" s="47" t="s">
        <v>60</v>
      </c>
    </row>
    <row r="1152" spans="1:11">
      <c r="A1152" s="2">
        <v>43942</v>
      </c>
      <c r="C1152" s="47" t="s">
        <v>63</v>
      </c>
      <c r="E1152" s="47">
        <v>787</v>
      </c>
      <c r="F1152" s="47">
        <v>27</v>
      </c>
      <c r="J1152" s="47">
        <v>43</v>
      </c>
      <c r="K1152" s="47" t="s">
        <v>65</v>
      </c>
    </row>
    <row r="1153" spans="1:11">
      <c r="A1153" s="2">
        <v>43942</v>
      </c>
      <c r="C1153" s="47" t="s">
        <v>66</v>
      </c>
      <c r="E1153" s="47">
        <v>195</v>
      </c>
      <c r="F1153" s="47">
        <v>12</v>
      </c>
      <c r="G1153" s="47">
        <v>4</v>
      </c>
      <c r="J1153" s="47">
        <v>6</v>
      </c>
      <c r="K1153" s="47" t="s">
        <v>433</v>
      </c>
    </row>
    <row r="1154" spans="1:11">
      <c r="A1154" s="2">
        <v>43942</v>
      </c>
      <c r="C1154" s="47" t="s">
        <v>71</v>
      </c>
      <c r="E1154" s="47">
        <v>649</v>
      </c>
      <c r="F1154" s="47">
        <v>37</v>
      </c>
      <c r="G1154" s="47">
        <v>7</v>
      </c>
      <c r="H1154" s="47">
        <v>4</v>
      </c>
      <c r="J1154" s="47">
        <v>66</v>
      </c>
      <c r="K1154" s="47" t="s">
        <v>377</v>
      </c>
    </row>
    <row r="1155" spans="1:11">
      <c r="A1155" s="2">
        <v>43942</v>
      </c>
      <c r="C1155" s="47" t="s">
        <v>73</v>
      </c>
      <c r="E1155" s="47">
        <v>108</v>
      </c>
      <c r="F1155" s="47">
        <v>4</v>
      </c>
      <c r="G1155" s="47">
        <v>1</v>
      </c>
      <c r="J1155" s="47">
        <v>3</v>
      </c>
      <c r="K1155" s="47" t="s">
        <v>357</v>
      </c>
    </row>
    <row r="1156" spans="1:11">
      <c r="A1156" s="2">
        <v>43942</v>
      </c>
      <c r="C1156" s="47" t="s">
        <v>78</v>
      </c>
      <c r="E1156" s="47">
        <v>718</v>
      </c>
      <c r="F1156" s="47">
        <v>48</v>
      </c>
      <c r="G1156" s="47">
        <v>8</v>
      </c>
      <c r="I1156" s="47">
        <v>159</v>
      </c>
      <c r="J1156" s="47">
        <v>29</v>
      </c>
      <c r="K1156" s="47" t="s">
        <v>80</v>
      </c>
    </row>
    <row r="1157" spans="1:11">
      <c r="A1157" s="2">
        <v>43942</v>
      </c>
      <c r="C1157" s="47" t="s">
        <v>88</v>
      </c>
      <c r="E1157" s="47">
        <v>340</v>
      </c>
      <c r="F1157" s="47">
        <v>24</v>
      </c>
      <c r="G1157" s="47">
        <v>12</v>
      </c>
      <c r="J1157" s="47">
        <v>13</v>
      </c>
      <c r="K1157" s="47" t="s">
        <v>90</v>
      </c>
    </row>
    <row r="1158" spans="1:11">
      <c r="A1158" s="2">
        <v>43942</v>
      </c>
      <c r="C1158" s="47" t="s">
        <v>97</v>
      </c>
      <c r="E1158" s="47">
        <v>5126</v>
      </c>
      <c r="F1158" s="47">
        <v>188</v>
      </c>
      <c r="G1158" s="47">
        <v>41</v>
      </c>
      <c r="J1158" s="47">
        <v>335</v>
      </c>
      <c r="K1158" s="47" t="s">
        <v>99</v>
      </c>
    </row>
    <row r="1159" spans="1:11">
      <c r="A1159" s="2">
        <v>43942</v>
      </c>
      <c r="C1159" s="47" t="s">
        <v>100</v>
      </c>
      <c r="E1159" s="47">
        <v>1799</v>
      </c>
      <c r="F1159" s="47">
        <v>73</v>
      </c>
      <c r="G1159" s="47">
        <v>14</v>
      </c>
      <c r="H1159" s="47">
        <v>11</v>
      </c>
      <c r="I1159" s="47">
        <v>210</v>
      </c>
      <c r="J1159" s="47">
        <v>115</v>
      </c>
      <c r="K1159" s="47" t="s">
        <v>419</v>
      </c>
    </row>
    <row r="1160" spans="1:11">
      <c r="A1160" s="2">
        <v>43942</v>
      </c>
      <c r="B1160" s="47">
        <v>0</v>
      </c>
      <c r="C1160" s="47" t="s">
        <v>83</v>
      </c>
      <c r="E1160" s="47">
        <v>359</v>
      </c>
      <c r="F1160" s="47">
        <v>19</v>
      </c>
      <c r="J1160" s="47">
        <v>11</v>
      </c>
      <c r="K1160" s="47" t="s">
        <v>387</v>
      </c>
    </row>
    <row r="1161" spans="1:11">
      <c r="A1161" s="2">
        <v>43942</v>
      </c>
      <c r="B1161" s="47">
        <v>0.33333333333333331</v>
      </c>
      <c r="C1161" s="47" t="s">
        <v>44</v>
      </c>
      <c r="E1161" s="47">
        <v>1622</v>
      </c>
      <c r="F1161" s="47">
        <v>66</v>
      </c>
      <c r="G1161" s="47">
        <v>17</v>
      </c>
      <c r="H1161" s="47">
        <v>11</v>
      </c>
      <c r="J1161" s="47">
        <v>77</v>
      </c>
      <c r="K1161" s="47" t="s">
        <v>46</v>
      </c>
    </row>
    <row r="1162" spans="1:11">
      <c r="A1162" s="2">
        <v>43942</v>
      </c>
      <c r="B1162" s="47">
        <v>0.33333333333333331</v>
      </c>
      <c r="C1162" s="47" t="s">
        <v>91</v>
      </c>
      <c r="E1162" s="47">
        <v>3065</v>
      </c>
      <c r="F1162" s="47">
        <v>236</v>
      </c>
      <c r="G1162" s="47">
        <v>54</v>
      </c>
      <c r="H1162" s="47">
        <v>36</v>
      </c>
      <c r="I1162" s="47">
        <v>639</v>
      </c>
      <c r="J1162" s="47">
        <v>291</v>
      </c>
      <c r="K1162" s="47" t="s">
        <v>373</v>
      </c>
    </row>
    <row r="1163" spans="1:11">
      <c r="A1163" s="2">
        <v>43942</v>
      </c>
      <c r="B1163" s="47">
        <v>0.33333333333333331</v>
      </c>
      <c r="C1163" s="47" t="s">
        <v>102</v>
      </c>
      <c r="E1163" s="47">
        <v>176</v>
      </c>
      <c r="F1163" s="47">
        <v>9</v>
      </c>
      <c r="G1163" s="47">
        <v>4</v>
      </c>
      <c r="I1163" s="47">
        <v>99</v>
      </c>
      <c r="J1163" s="47">
        <v>8</v>
      </c>
      <c r="K1163" s="47" t="s">
        <v>381</v>
      </c>
    </row>
    <row r="1164" spans="1:11">
      <c r="A1164" s="2">
        <v>43942</v>
      </c>
      <c r="B1164" s="47">
        <v>0.38541666666666669</v>
      </c>
      <c r="C1164" s="47" t="s">
        <v>50</v>
      </c>
      <c r="E1164" s="47">
        <v>928</v>
      </c>
      <c r="F1164" s="47">
        <v>54</v>
      </c>
      <c r="G1164" s="47">
        <v>9</v>
      </c>
      <c r="I1164" s="47">
        <v>781</v>
      </c>
      <c r="J1164" s="47">
        <v>44</v>
      </c>
      <c r="K1164" s="47" t="s">
        <v>356</v>
      </c>
    </row>
    <row r="1165" spans="1:11">
      <c r="A1165" s="2">
        <v>43942</v>
      </c>
      <c r="B1165" s="47">
        <v>0.39583333333333331</v>
      </c>
      <c r="C1165" s="47" t="s">
        <v>81</v>
      </c>
      <c r="E1165" s="47">
        <v>63</v>
      </c>
      <c r="F1165" s="47">
        <v>10</v>
      </c>
      <c r="G1165" s="47">
        <v>2</v>
      </c>
      <c r="J1165" s="47">
        <v>2</v>
      </c>
      <c r="K1165" s="47" t="s">
        <v>606</v>
      </c>
    </row>
    <row r="1166" spans="1:11">
      <c r="A1166" s="2">
        <v>43942</v>
      </c>
      <c r="B1166" s="47">
        <v>0.41666666666666669</v>
      </c>
      <c r="C1166" s="47" t="s">
        <v>86</v>
      </c>
      <c r="E1166" s="47">
        <v>276</v>
      </c>
      <c r="I1166" s="47">
        <v>192</v>
      </c>
      <c r="J1166" s="47">
        <v>16</v>
      </c>
      <c r="K1166" s="47" t="s">
        <v>607</v>
      </c>
    </row>
    <row r="1167" spans="1:11">
      <c r="A1167" s="2">
        <v>43942</v>
      </c>
      <c r="B1167" s="47">
        <v>0.45833333333333331</v>
      </c>
      <c r="C1167" s="47" t="s">
        <v>38</v>
      </c>
      <c r="E1167" s="47">
        <v>24</v>
      </c>
      <c r="K1167" s="47" t="s">
        <v>40</v>
      </c>
    </row>
    <row r="1168" spans="1:11">
      <c r="A1168" s="2">
        <v>43942</v>
      </c>
      <c r="B1168" s="47">
        <v>0.47916666666666669</v>
      </c>
      <c r="C1168" s="47" t="s">
        <v>75</v>
      </c>
      <c r="E1168" s="47">
        <v>67</v>
      </c>
      <c r="F1168" s="47">
        <v>0</v>
      </c>
      <c r="J1168" s="47">
        <v>0</v>
      </c>
      <c r="K1168" s="47" t="s">
        <v>77</v>
      </c>
    </row>
    <row r="1169" spans="1:11">
      <c r="A1169" s="2">
        <v>43942</v>
      </c>
      <c r="B1169" s="47">
        <v>0.5</v>
      </c>
      <c r="C1169" s="47" t="s">
        <v>68</v>
      </c>
      <c r="E1169" s="47">
        <v>643</v>
      </c>
      <c r="F1169" s="47">
        <v>35</v>
      </c>
      <c r="G1169" s="47">
        <v>5</v>
      </c>
      <c r="J1169" s="47">
        <v>15</v>
      </c>
      <c r="K1169" s="47" t="s">
        <v>70</v>
      </c>
    </row>
    <row r="1170" spans="1:11">
      <c r="A1170" s="2">
        <v>43942</v>
      </c>
      <c r="B1170" s="47">
        <v>0.54166666666666663</v>
      </c>
      <c r="C1170" s="47" t="s">
        <v>41</v>
      </c>
      <c r="E1170" s="47">
        <v>86</v>
      </c>
      <c r="J1170" s="47">
        <v>3</v>
      </c>
      <c r="K1170" s="47" t="s">
        <v>43</v>
      </c>
    </row>
    <row r="1171" spans="1:11">
      <c r="A1171" s="2">
        <v>43942</v>
      </c>
      <c r="B1171" s="47">
        <v>0.5625</v>
      </c>
      <c r="C1171" s="47" t="s">
        <v>61</v>
      </c>
      <c r="E1171" s="47">
        <v>115</v>
      </c>
      <c r="F1171" s="47">
        <v>3</v>
      </c>
      <c r="J1171" s="47">
        <v>6</v>
      </c>
      <c r="K1171" s="47" t="s">
        <v>427</v>
      </c>
    </row>
    <row r="1172" spans="1:11">
      <c r="A1172" s="2">
        <v>43942</v>
      </c>
      <c r="B1172" s="47">
        <v>0.60416666666666663</v>
      </c>
      <c r="C1172" s="47" t="s">
        <v>104</v>
      </c>
      <c r="E1172" s="47">
        <v>3280</v>
      </c>
      <c r="F1172" s="47">
        <v>110</v>
      </c>
      <c r="H1172" s="47">
        <v>41</v>
      </c>
      <c r="J1172" s="47">
        <v>109</v>
      </c>
      <c r="K1172" s="47" t="s">
        <v>106</v>
      </c>
    </row>
    <row r="1173" spans="1:11">
      <c r="A1173" s="2">
        <v>43942</v>
      </c>
      <c r="B1173" s="47">
        <v>0.61458333333333337</v>
      </c>
      <c r="C1173" s="47" t="s">
        <v>34</v>
      </c>
      <c r="E1173" s="47">
        <v>1017</v>
      </c>
      <c r="F1173" s="47">
        <v>43</v>
      </c>
      <c r="G1173" s="47">
        <v>18</v>
      </c>
      <c r="H1173" s="47">
        <v>18</v>
      </c>
      <c r="I1173" s="47">
        <v>680</v>
      </c>
      <c r="J1173" s="47">
        <v>29</v>
      </c>
      <c r="K1173" s="47" t="s">
        <v>371</v>
      </c>
    </row>
    <row r="1174" spans="1:11">
      <c r="A1174" s="2">
        <v>43942</v>
      </c>
      <c r="B1174" s="47">
        <v>0.70833333333333337</v>
      </c>
      <c r="C1174" s="47" t="s">
        <v>94</v>
      </c>
      <c r="E1174" s="47">
        <v>78</v>
      </c>
      <c r="F1174" s="47">
        <v>2</v>
      </c>
      <c r="I1174" s="47">
        <v>69</v>
      </c>
      <c r="J1174" s="47">
        <v>5</v>
      </c>
      <c r="K1174" s="47" t="s">
        <v>96</v>
      </c>
    </row>
    <row r="1175" spans="1:11">
      <c r="A1175" s="2">
        <v>43943</v>
      </c>
      <c r="C1175" s="47" t="s">
        <v>47</v>
      </c>
      <c r="E1175" s="47">
        <v>811</v>
      </c>
      <c r="F1175" s="47">
        <v>33</v>
      </c>
      <c r="G1175" s="47">
        <v>3</v>
      </c>
      <c r="H1175" s="47">
        <v>3</v>
      </c>
      <c r="I1175" s="47">
        <v>683</v>
      </c>
      <c r="J1175" s="47">
        <v>26</v>
      </c>
      <c r="K1175" s="47" t="s">
        <v>49</v>
      </c>
    </row>
    <row r="1176" spans="1:11">
      <c r="A1176" s="2">
        <v>43943</v>
      </c>
      <c r="C1176" s="47" t="s">
        <v>53</v>
      </c>
      <c r="E1176" s="47">
        <v>81</v>
      </c>
      <c r="J1176" s="47">
        <v>1</v>
      </c>
      <c r="K1176" s="47" t="s">
        <v>376</v>
      </c>
    </row>
    <row r="1177" spans="1:11">
      <c r="A1177" s="2">
        <v>43943</v>
      </c>
      <c r="C1177" s="47" t="s">
        <v>56</v>
      </c>
      <c r="E1177" s="47">
        <v>1006</v>
      </c>
      <c r="F1177" s="47">
        <v>57</v>
      </c>
      <c r="G1177" s="47">
        <v>5</v>
      </c>
      <c r="I1177" s="47">
        <v>116</v>
      </c>
      <c r="J1177" s="47">
        <v>76</v>
      </c>
      <c r="K1177" s="47" t="s">
        <v>640</v>
      </c>
    </row>
    <row r="1178" spans="1:11">
      <c r="A1178" s="2">
        <v>43943</v>
      </c>
      <c r="C1178" s="47" t="s">
        <v>58</v>
      </c>
      <c r="D1178" s="47">
        <v>22941</v>
      </c>
      <c r="E1178" s="47">
        <v>4691</v>
      </c>
      <c r="F1178" s="47">
        <v>288</v>
      </c>
      <c r="G1178" s="47">
        <v>30</v>
      </c>
      <c r="H1178" s="47">
        <v>27</v>
      </c>
      <c r="I1178" s="47">
        <v>589</v>
      </c>
      <c r="J1178" s="47">
        <v>229</v>
      </c>
      <c r="K1178" s="47" t="s">
        <v>60</v>
      </c>
    </row>
    <row r="1179" spans="1:11">
      <c r="A1179" s="2">
        <v>43943</v>
      </c>
      <c r="C1179" s="47" t="s">
        <v>63</v>
      </c>
      <c r="E1179" s="47">
        <v>791</v>
      </c>
      <c r="F1179" s="47">
        <v>26</v>
      </c>
      <c r="J1179" s="47">
        <v>43</v>
      </c>
      <c r="K1179" s="47" t="s">
        <v>65</v>
      </c>
    </row>
    <row r="1180" spans="1:11">
      <c r="A1180" s="2">
        <v>43943</v>
      </c>
      <c r="C1180" s="47" t="s">
        <v>66</v>
      </c>
      <c r="E1180" s="47">
        <v>196</v>
      </c>
      <c r="F1180" s="47">
        <v>12</v>
      </c>
      <c r="G1180" s="47">
        <v>4</v>
      </c>
      <c r="J1180" s="47">
        <v>6</v>
      </c>
      <c r="K1180" s="47" t="s">
        <v>433</v>
      </c>
    </row>
    <row r="1181" spans="1:11">
      <c r="A1181" s="2">
        <v>43943</v>
      </c>
      <c r="C1181" s="47" t="s">
        <v>71</v>
      </c>
      <c r="E1181" s="47">
        <v>656</v>
      </c>
      <c r="F1181" s="47">
        <v>37</v>
      </c>
      <c r="G1181" s="47">
        <v>6</v>
      </c>
      <c r="H1181" s="47">
        <v>4</v>
      </c>
      <c r="J1181" s="47">
        <v>68</v>
      </c>
      <c r="K1181" s="47" t="s">
        <v>377</v>
      </c>
    </row>
    <row r="1182" spans="1:11">
      <c r="A1182" s="2">
        <v>43943</v>
      </c>
      <c r="C1182" s="47" t="s">
        <v>73</v>
      </c>
      <c r="E1182" s="47">
        <v>108</v>
      </c>
      <c r="F1182" s="47">
        <v>4</v>
      </c>
      <c r="G1182" s="47">
        <v>1</v>
      </c>
      <c r="J1182" s="47">
        <v>3</v>
      </c>
      <c r="K1182" s="47" t="s">
        <v>357</v>
      </c>
    </row>
    <row r="1183" spans="1:11">
      <c r="A1183" s="2">
        <v>43943</v>
      </c>
      <c r="C1183" s="47" t="s">
        <v>78</v>
      </c>
      <c r="E1183" s="47">
        <v>724</v>
      </c>
      <c r="F1183" s="47">
        <v>52</v>
      </c>
      <c r="G1183" s="47">
        <v>6</v>
      </c>
      <c r="I1183" s="47">
        <v>162</v>
      </c>
      <c r="J1183" s="47">
        <v>29</v>
      </c>
      <c r="K1183" s="47" t="s">
        <v>80</v>
      </c>
    </row>
    <row r="1184" spans="1:11">
      <c r="A1184" s="2">
        <v>43943</v>
      </c>
      <c r="C1184" s="47" t="s">
        <v>88</v>
      </c>
      <c r="E1184" s="47">
        <v>341</v>
      </c>
      <c r="F1184" s="47">
        <v>23</v>
      </c>
      <c r="G1184" s="47">
        <v>9</v>
      </c>
      <c r="J1184" s="47">
        <v>14</v>
      </c>
      <c r="K1184" s="47" t="s">
        <v>90</v>
      </c>
    </row>
    <row r="1185" spans="1:11">
      <c r="A1185" s="2">
        <v>43943</v>
      </c>
      <c r="C1185" s="47" t="s">
        <v>97</v>
      </c>
      <c r="E1185" s="47">
        <v>5147</v>
      </c>
      <c r="F1185" s="47">
        <v>174</v>
      </c>
      <c r="G1185" s="47">
        <v>40</v>
      </c>
      <c r="J1185" s="47">
        <v>340</v>
      </c>
      <c r="K1185" s="47" t="s">
        <v>99</v>
      </c>
    </row>
    <row r="1186" spans="1:11">
      <c r="A1186" s="2">
        <v>43943</v>
      </c>
      <c r="C1186" s="47" t="s">
        <v>100</v>
      </c>
      <c r="E1186" s="47">
        <v>1805</v>
      </c>
      <c r="F1186" s="47">
        <v>74</v>
      </c>
      <c r="G1186" s="47">
        <v>13</v>
      </c>
      <c r="H1186" s="47">
        <v>11</v>
      </c>
      <c r="I1186" s="47">
        <v>210</v>
      </c>
      <c r="J1186" s="47">
        <v>118</v>
      </c>
      <c r="K1186" s="47" t="s">
        <v>419</v>
      </c>
    </row>
    <row r="1187" spans="1:11">
      <c r="A1187" s="2">
        <v>43943</v>
      </c>
      <c r="B1187" s="47">
        <v>0</v>
      </c>
      <c r="C1187" s="47" t="s">
        <v>83</v>
      </c>
      <c r="E1187" s="47">
        <v>368</v>
      </c>
      <c r="F1187" s="47">
        <v>18</v>
      </c>
      <c r="J1187" s="47">
        <v>11</v>
      </c>
      <c r="K1187" s="47" t="s">
        <v>387</v>
      </c>
    </row>
    <row r="1188" spans="1:11">
      <c r="A1188" s="2">
        <v>43943</v>
      </c>
      <c r="B1188" s="47">
        <v>0.33333333333333331</v>
      </c>
      <c r="C1188" s="47" t="s">
        <v>44</v>
      </c>
      <c r="E1188" s="47">
        <v>1643</v>
      </c>
      <c r="F1188" s="47">
        <v>67</v>
      </c>
      <c r="G1188" s="47">
        <v>14</v>
      </c>
      <c r="H1188" s="47">
        <v>10</v>
      </c>
      <c r="J1188" s="47">
        <v>77</v>
      </c>
      <c r="K1188" s="47" t="s">
        <v>46</v>
      </c>
    </row>
    <row r="1189" spans="1:11">
      <c r="A1189" s="2">
        <v>43943</v>
      </c>
      <c r="B1189" s="47">
        <v>0.33333333333333331</v>
      </c>
      <c r="C1189" s="47" t="s">
        <v>91</v>
      </c>
      <c r="E1189" s="47">
        <v>3089</v>
      </c>
      <c r="F1189" s="47">
        <v>213</v>
      </c>
      <c r="G1189" s="47">
        <v>42</v>
      </c>
      <c r="H1189" s="47">
        <v>32</v>
      </c>
      <c r="I1189" s="47">
        <v>661</v>
      </c>
      <c r="J1189" s="47">
        <v>295</v>
      </c>
      <c r="K1189" s="47" t="s">
        <v>378</v>
      </c>
    </row>
    <row r="1190" spans="1:11">
      <c r="A1190" s="2">
        <v>43943</v>
      </c>
      <c r="B1190" s="47">
        <v>0.33333333333333331</v>
      </c>
      <c r="C1190" s="47" t="s">
        <v>102</v>
      </c>
      <c r="E1190" s="47">
        <v>176</v>
      </c>
      <c r="F1190" s="47">
        <v>6</v>
      </c>
      <c r="G1190" s="47">
        <v>3</v>
      </c>
      <c r="I1190" s="47">
        <v>131</v>
      </c>
      <c r="J1190" s="47">
        <v>8</v>
      </c>
      <c r="K1190" s="47" t="s">
        <v>381</v>
      </c>
    </row>
    <row r="1191" spans="1:11">
      <c r="A1191" s="2">
        <v>43943</v>
      </c>
      <c r="B1191" s="47">
        <v>0.39583333333333331</v>
      </c>
      <c r="C1191" s="47" t="s">
        <v>81</v>
      </c>
      <c r="E1191" s="47">
        <v>63</v>
      </c>
      <c r="F1191" s="47">
        <v>10</v>
      </c>
      <c r="G1191" s="47">
        <v>2</v>
      </c>
      <c r="J1191" s="47">
        <v>3</v>
      </c>
      <c r="K1191" s="47" t="s">
        <v>606</v>
      </c>
    </row>
    <row r="1192" spans="1:11">
      <c r="A1192" s="2">
        <v>43943</v>
      </c>
      <c r="B1192" s="47">
        <v>0.40625</v>
      </c>
      <c r="C1192" s="47" t="s">
        <v>50</v>
      </c>
      <c r="E1192" s="47">
        <v>928</v>
      </c>
      <c r="F1192" s="47">
        <v>49</v>
      </c>
      <c r="G1192" s="47">
        <v>7</v>
      </c>
      <c r="I1192" s="47">
        <v>786</v>
      </c>
      <c r="J1192" s="47">
        <v>45</v>
      </c>
      <c r="K1192" s="47" t="s">
        <v>374</v>
      </c>
    </row>
    <row r="1193" spans="1:11">
      <c r="A1193" s="2">
        <v>43943</v>
      </c>
      <c r="B1193" s="47">
        <v>0.41666666666666669</v>
      </c>
      <c r="C1193" s="47" t="s">
        <v>86</v>
      </c>
      <c r="E1193" s="47">
        <v>282</v>
      </c>
      <c r="I1193" s="47">
        <v>194</v>
      </c>
      <c r="J1193" s="47">
        <v>16</v>
      </c>
      <c r="K1193" s="47" t="s">
        <v>607</v>
      </c>
    </row>
    <row r="1194" spans="1:11">
      <c r="A1194" s="2">
        <v>43943</v>
      </c>
      <c r="B1194" s="47">
        <v>0.45833333333333331</v>
      </c>
      <c r="C1194" s="47" t="s">
        <v>38</v>
      </c>
      <c r="E1194" s="47">
        <v>24</v>
      </c>
      <c r="K1194" s="47" t="s">
        <v>40</v>
      </c>
    </row>
    <row r="1195" spans="1:11">
      <c r="A1195" s="2">
        <v>43943</v>
      </c>
      <c r="B1195" s="47">
        <v>0.45833333333333331</v>
      </c>
      <c r="C1195" s="47" t="s">
        <v>68</v>
      </c>
      <c r="E1195" s="47">
        <v>648</v>
      </c>
      <c r="J1195" s="47">
        <v>15</v>
      </c>
      <c r="K1195" s="47" t="s">
        <v>70</v>
      </c>
    </row>
    <row r="1196" spans="1:11">
      <c r="A1196" s="2">
        <v>43943</v>
      </c>
      <c r="B1196" s="47">
        <v>0.5625</v>
      </c>
      <c r="C1196" s="47" t="s">
        <v>61</v>
      </c>
      <c r="E1196" s="47">
        <v>117</v>
      </c>
      <c r="F1196" s="47">
        <v>3</v>
      </c>
      <c r="J1196" s="47">
        <v>6</v>
      </c>
      <c r="K1196" s="47" t="s">
        <v>427</v>
      </c>
    </row>
    <row r="1197" spans="1:11">
      <c r="A1197" s="2">
        <v>43943</v>
      </c>
      <c r="B1197" s="47">
        <v>0.60416666666666663</v>
      </c>
      <c r="C1197" s="47" t="s">
        <v>104</v>
      </c>
      <c r="E1197" s="47">
        <v>3320</v>
      </c>
      <c r="F1197" s="47">
        <v>110</v>
      </c>
      <c r="H1197" s="47">
        <v>44</v>
      </c>
      <c r="J1197" s="47">
        <v>110</v>
      </c>
      <c r="K1197" s="47" t="s">
        <v>106</v>
      </c>
    </row>
    <row r="1198" spans="1:11">
      <c r="A1198" s="2">
        <v>43943</v>
      </c>
      <c r="B1198" s="47">
        <v>0.61458333333333337</v>
      </c>
      <c r="C1198" s="47" t="s">
        <v>34</v>
      </c>
      <c r="E1198" s="47">
        <v>1026</v>
      </c>
      <c r="F1198" s="47">
        <v>37</v>
      </c>
      <c r="G1198" s="47">
        <v>15</v>
      </c>
      <c r="H1198" s="47">
        <v>15</v>
      </c>
      <c r="I1198" s="47">
        <v>710</v>
      </c>
      <c r="J1198" s="47">
        <v>31</v>
      </c>
      <c r="K1198" s="47" t="s">
        <v>375</v>
      </c>
    </row>
    <row r="1199" spans="1:11">
      <c r="A1199" s="2">
        <v>43943</v>
      </c>
      <c r="B1199" s="47">
        <v>0.625</v>
      </c>
      <c r="C1199" s="47" t="s">
        <v>94</v>
      </c>
      <c r="E1199" s="47">
        <v>78</v>
      </c>
      <c r="F1199" s="47">
        <v>3</v>
      </c>
      <c r="I1199" s="47">
        <v>69</v>
      </c>
      <c r="J1199" s="47">
        <v>5</v>
      </c>
      <c r="K1199" s="47" t="s">
        <v>96</v>
      </c>
    </row>
    <row r="1200" spans="1:11">
      <c r="A1200" s="2">
        <v>43943</v>
      </c>
      <c r="B1200" s="47">
        <v>0.66666666666666663</v>
      </c>
      <c r="C1200" s="47" t="s">
        <v>75</v>
      </c>
      <c r="E1200" s="47">
        <v>67</v>
      </c>
      <c r="F1200" s="47">
        <v>0</v>
      </c>
      <c r="J1200" s="47">
        <v>0</v>
      </c>
      <c r="K1200" s="47" t="s">
        <v>77</v>
      </c>
    </row>
    <row r="1201" spans="1:11">
      <c r="A1201" s="2">
        <v>43943</v>
      </c>
      <c r="B1201" s="47">
        <v>0.75</v>
      </c>
      <c r="C1201" s="47" t="s">
        <v>41</v>
      </c>
      <c r="E1201" s="47">
        <v>87</v>
      </c>
      <c r="J1201" s="47">
        <v>3</v>
      </c>
      <c r="K1201" s="47" t="s">
        <v>43</v>
      </c>
    </row>
    <row r="1202" spans="1:11">
      <c r="A1202" s="2">
        <v>43944</v>
      </c>
      <c r="C1202" s="47" t="s">
        <v>47</v>
      </c>
      <c r="E1202" s="47">
        <v>811</v>
      </c>
      <c r="F1202" s="47">
        <v>32</v>
      </c>
      <c r="G1202" s="47">
        <v>3</v>
      </c>
      <c r="H1202" s="47">
        <v>2</v>
      </c>
      <c r="I1202" s="47">
        <v>692</v>
      </c>
      <c r="J1202" s="47">
        <v>26</v>
      </c>
      <c r="K1202" s="47" t="s">
        <v>49</v>
      </c>
    </row>
    <row r="1203" spans="1:11">
      <c r="A1203" s="2">
        <v>43944</v>
      </c>
      <c r="C1203" s="47" t="s">
        <v>53</v>
      </c>
      <c r="E1203" s="47">
        <v>81</v>
      </c>
      <c r="J1203" s="47">
        <v>1</v>
      </c>
      <c r="K1203" s="47" t="s">
        <v>384</v>
      </c>
    </row>
    <row r="1204" spans="1:11">
      <c r="A1204" s="2">
        <v>43944</v>
      </c>
      <c r="C1204" s="47" t="s">
        <v>56</v>
      </c>
      <c r="E1204" s="47">
        <v>1014</v>
      </c>
      <c r="F1204" s="47">
        <v>57</v>
      </c>
      <c r="G1204" s="47">
        <v>5</v>
      </c>
      <c r="I1204" s="47">
        <v>118</v>
      </c>
      <c r="J1204" s="47">
        <v>76</v>
      </c>
      <c r="K1204" s="47" t="s">
        <v>640</v>
      </c>
    </row>
    <row r="1205" spans="1:11">
      <c r="A1205" s="2">
        <v>43944</v>
      </c>
      <c r="C1205" s="47" t="s">
        <v>58</v>
      </c>
      <c r="D1205" s="47">
        <v>23403</v>
      </c>
      <c r="E1205" s="47">
        <v>4721</v>
      </c>
      <c r="F1205" s="47">
        <v>284</v>
      </c>
      <c r="G1205" s="47">
        <v>29</v>
      </c>
      <c r="H1205" s="47">
        <v>27</v>
      </c>
      <c r="I1205" s="47">
        <v>592</v>
      </c>
      <c r="J1205" s="47">
        <v>233</v>
      </c>
      <c r="K1205" s="47" t="s">
        <v>60</v>
      </c>
    </row>
    <row r="1206" spans="1:11">
      <c r="A1206" s="2">
        <v>43944</v>
      </c>
      <c r="C1206" s="47" t="s">
        <v>63</v>
      </c>
      <c r="E1206" s="47">
        <v>794</v>
      </c>
      <c r="F1206" s="47">
        <v>26</v>
      </c>
      <c r="J1206" s="47">
        <v>43</v>
      </c>
      <c r="K1206" s="47" t="s">
        <v>65</v>
      </c>
    </row>
    <row r="1207" spans="1:11">
      <c r="A1207" s="2">
        <v>43944</v>
      </c>
      <c r="C1207" s="47" t="s">
        <v>66</v>
      </c>
      <c r="E1207" s="47">
        <v>196</v>
      </c>
      <c r="F1207" s="47">
        <v>11</v>
      </c>
      <c r="G1207" s="47">
        <v>4</v>
      </c>
      <c r="J1207" s="47">
        <v>6</v>
      </c>
      <c r="K1207" s="47" t="s">
        <v>433</v>
      </c>
    </row>
    <row r="1208" spans="1:11">
      <c r="A1208" s="2">
        <v>43944</v>
      </c>
      <c r="C1208" s="47" t="s">
        <v>71</v>
      </c>
      <c r="E1208" s="47">
        <v>663</v>
      </c>
      <c r="F1208" s="47">
        <v>35</v>
      </c>
      <c r="G1208" s="47">
        <v>6</v>
      </c>
      <c r="H1208" s="47">
        <v>4</v>
      </c>
      <c r="J1208" s="47">
        <v>68</v>
      </c>
      <c r="K1208" s="47" t="s">
        <v>377</v>
      </c>
    </row>
    <row r="1209" spans="1:11">
      <c r="A1209" s="2">
        <v>43944</v>
      </c>
      <c r="C1209" s="47" t="s">
        <v>73</v>
      </c>
      <c r="E1209" s="47">
        <v>108</v>
      </c>
      <c r="F1209" s="47">
        <v>4</v>
      </c>
      <c r="G1209" s="47">
        <v>1</v>
      </c>
      <c r="J1209" s="47">
        <v>3</v>
      </c>
      <c r="K1209" s="47" t="s">
        <v>357</v>
      </c>
    </row>
    <row r="1210" spans="1:11">
      <c r="A1210" s="2">
        <v>43944</v>
      </c>
      <c r="C1210" s="47" t="s">
        <v>78</v>
      </c>
      <c r="E1210" s="47">
        <v>736</v>
      </c>
      <c r="F1210" s="47">
        <v>37</v>
      </c>
      <c r="G1210" s="47">
        <v>2</v>
      </c>
      <c r="I1210" s="47">
        <v>170</v>
      </c>
      <c r="J1210" s="47">
        <v>31</v>
      </c>
      <c r="K1210" s="47" t="s">
        <v>80</v>
      </c>
    </row>
    <row r="1211" spans="1:11">
      <c r="A1211" s="2">
        <v>43944</v>
      </c>
      <c r="C1211" s="47" t="s">
        <v>88</v>
      </c>
      <c r="E1211" s="47">
        <v>354</v>
      </c>
      <c r="F1211" s="47">
        <v>21</v>
      </c>
      <c r="G1211" s="47">
        <v>9</v>
      </c>
      <c r="J1211" s="47">
        <v>14</v>
      </c>
      <c r="K1211" s="47" t="s">
        <v>90</v>
      </c>
    </row>
    <row r="1212" spans="1:11">
      <c r="A1212" s="2">
        <v>43944</v>
      </c>
      <c r="C1212" s="47" t="s">
        <v>97</v>
      </c>
      <c r="E1212" s="47">
        <v>5180</v>
      </c>
      <c r="F1212" s="47">
        <v>174</v>
      </c>
      <c r="G1212" s="47">
        <v>38</v>
      </c>
      <c r="J1212" s="47">
        <v>350</v>
      </c>
      <c r="K1212" s="47" t="s">
        <v>99</v>
      </c>
    </row>
    <row r="1213" spans="1:11">
      <c r="A1213" s="2">
        <v>43944</v>
      </c>
      <c r="C1213" s="47" t="s">
        <v>100</v>
      </c>
      <c r="E1213" s="47">
        <v>1821</v>
      </c>
      <c r="F1213" s="47">
        <v>70</v>
      </c>
      <c r="G1213" s="47">
        <v>13</v>
      </c>
      <c r="H1213" s="47">
        <v>10</v>
      </c>
      <c r="I1213" s="47">
        <v>211</v>
      </c>
      <c r="J1213" s="47">
        <v>123</v>
      </c>
      <c r="K1213" s="47" t="s">
        <v>419</v>
      </c>
    </row>
    <row r="1214" spans="1:11">
      <c r="A1214" s="2">
        <v>43944</v>
      </c>
      <c r="B1214" s="47">
        <v>0</v>
      </c>
      <c r="C1214" s="47" t="s">
        <v>83</v>
      </c>
      <c r="E1214" s="47">
        <v>375</v>
      </c>
      <c r="F1214" s="47">
        <v>15</v>
      </c>
      <c r="J1214" s="47">
        <v>12</v>
      </c>
      <c r="K1214" s="47" t="s">
        <v>387</v>
      </c>
    </row>
    <row r="1215" spans="1:11">
      <c r="A1215" s="2">
        <v>43944</v>
      </c>
      <c r="B1215" s="47">
        <v>0.33333333333333331</v>
      </c>
      <c r="C1215" s="47" t="s">
        <v>44</v>
      </c>
      <c r="E1215" s="47">
        <v>1670</v>
      </c>
      <c r="F1215" s="47">
        <v>66</v>
      </c>
      <c r="G1215" s="47">
        <v>11</v>
      </c>
      <c r="H1215" s="47">
        <v>7</v>
      </c>
      <c r="J1215" s="47">
        <v>79</v>
      </c>
      <c r="K1215" s="47" t="s">
        <v>46</v>
      </c>
    </row>
    <row r="1216" spans="1:11">
      <c r="A1216" s="2">
        <v>43944</v>
      </c>
      <c r="B1216" s="47">
        <v>0.33333333333333331</v>
      </c>
      <c r="C1216" s="47" t="s">
        <v>91</v>
      </c>
      <c r="E1216" s="47">
        <v>3106</v>
      </c>
      <c r="F1216" s="47">
        <v>215</v>
      </c>
      <c r="G1216" s="47">
        <v>41</v>
      </c>
      <c r="H1216" s="47">
        <v>32</v>
      </c>
      <c r="I1216" s="47">
        <v>676</v>
      </c>
      <c r="J1216" s="47">
        <v>298</v>
      </c>
      <c r="K1216" s="47" t="s">
        <v>383</v>
      </c>
    </row>
    <row r="1217" spans="1:11">
      <c r="A1217" s="2">
        <v>43944</v>
      </c>
      <c r="B1217" s="47">
        <v>0.33333333333333331</v>
      </c>
      <c r="C1217" s="47" t="s">
        <v>102</v>
      </c>
      <c r="E1217" s="47">
        <v>178</v>
      </c>
      <c r="F1217" s="47">
        <v>6</v>
      </c>
      <c r="G1217" s="47">
        <v>3</v>
      </c>
      <c r="I1217" s="47">
        <v>133</v>
      </c>
      <c r="J1217" s="47">
        <v>8</v>
      </c>
      <c r="K1217" s="47" t="s">
        <v>381</v>
      </c>
    </row>
    <row r="1218" spans="1:11">
      <c r="A1218" s="2">
        <v>43944</v>
      </c>
      <c r="B1218" s="47">
        <v>0.375</v>
      </c>
      <c r="C1218" s="47" t="s">
        <v>50</v>
      </c>
      <c r="E1218" s="47">
        <v>931</v>
      </c>
      <c r="F1218" s="47">
        <v>42</v>
      </c>
      <c r="G1218" s="47">
        <v>7</v>
      </c>
      <c r="I1218" s="47">
        <v>793</v>
      </c>
      <c r="J1218" s="47">
        <v>45</v>
      </c>
      <c r="K1218" s="47" t="s">
        <v>386</v>
      </c>
    </row>
    <row r="1219" spans="1:11">
      <c r="A1219" s="2">
        <v>43944</v>
      </c>
      <c r="B1219" s="47">
        <v>0.39583333333333331</v>
      </c>
      <c r="C1219" s="47" t="s">
        <v>81</v>
      </c>
      <c r="E1219" s="47">
        <v>65</v>
      </c>
      <c r="F1219" s="47">
        <v>8</v>
      </c>
      <c r="G1219" s="47">
        <v>2</v>
      </c>
      <c r="J1219" s="47">
        <v>3</v>
      </c>
      <c r="K1219" s="47" t="s">
        <v>606</v>
      </c>
    </row>
    <row r="1220" spans="1:11">
      <c r="A1220" s="2">
        <v>43944</v>
      </c>
      <c r="B1220" s="47">
        <v>0.41666666666666669</v>
      </c>
      <c r="C1220" s="47" t="s">
        <v>86</v>
      </c>
      <c r="E1220" s="47">
        <v>282</v>
      </c>
      <c r="I1220" s="47">
        <v>198</v>
      </c>
      <c r="J1220" s="47">
        <v>16</v>
      </c>
      <c r="K1220" s="47" t="s">
        <v>607</v>
      </c>
    </row>
    <row r="1221" spans="1:11">
      <c r="A1221" s="2">
        <v>43944</v>
      </c>
      <c r="B1221" s="47">
        <v>0.45833333333333331</v>
      </c>
      <c r="C1221" s="47" t="s">
        <v>38</v>
      </c>
      <c r="E1221" s="47">
        <v>25</v>
      </c>
      <c r="K1221" s="47" t="s">
        <v>40</v>
      </c>
    </row>
    <row r="1222" spans="1:11">
      <c r="A1222" s="2">
        <v>43944</v>
      </c>
      <c r="B1222" s="47">
        <v>0.45833333333333331</v>
      </c>
      <c r="C1222" s="47" t="s">
        <v>68</v>
      </c>
      <c r="E1222" s="47">
        <v>654</v>
      </c>
      <c r="F1222" s="47">
        <v>38</v>
      </c>
      <c r="G1222" s="47">
        <v>7</v>
      </c>
      <c r="J1222" s="47">
        <v>15</v>
      </c>
      <c r="K1222" s="47" t="s">
        <v>70</v>
      </c>
    </row>
    <row r="1223" spans="1:11">
      <c r="A1223" s="2">
        <v>43944</v>
      </c>
      <c r="B1223" s="47">
        <v>0.54166666666666663</v>
      </c>
      <c r="C1223" s="47" t="s">
        <v>75</v>
      </c>
      <c r="E1223" s="47">
        <v>68</v>
      </c>
      <c r="F1223" s="47">
        <v>0</v>
      </c>
      <c r="J1223" s="47">
        <v>0</v>
      </c>
      <c r="K1223" s="47" t="s">
        <v>77</v>
      </c>
    </row>
    <row r="1224" spans="1:11">
      <c r="A1224" s="2">
        <v>43944</v>
      </c>
      <c r="B1224" s="47">
        <v>0.5625</v>
      </c>
      <c r="C1224" s="47" t="s">
        <v>61</v>
      </c>
      <c r="E1224" s="47">
        <v>117</v>
      </c>
      <c r="F1224" s="47">
        <v>3</v>
      </c>
      <c r="J1224" s="47">
        <v>6</v>
      </c>
      <c r="K1224" s="47" t="s">
        <v>427</v>
      </c>
    </row>
    <row r="1225" spans="1:11">
      <c r="A1225" s="2">
        <v>43944</v>
      </c>
      <c r="B1225" s="47">
        <v>0.58333333333333337</v>
      </c>
      <c r="C1225" s="47" t="s">
        <v>41</v>
      </c>
      <c r="E1225" s="47">
        <v>88</v>
      </c>
      <c r="F1225" s="47">
        <v>5</v>
      </c>
      <c r="G1225" s="47">
        <v>2</v>
      </c>
      <c r="J1225" s="47">
        <v>3</v>
      </c>
      <c r="K1225" s="47" t="s">
        <v>43</v>
      </c>
    </row>
    <row r="1226" spans="1:11">
      <c r="A1226" s="2">
        <v>43944</v>
      </c>
      <c r="B1226" s="47">
        <v>0.60416666666666663</v>
      </c>
      <c r="C1226" s="47" t="s">
        <v>104</v>
      </c>
      <c r="E1226" s="47">
        <v>3337</v>
      </c>
      <c r="F1226" s="47">
        <v>96</v>
      </c>
      <c r="H1226" s="47">
        <v>44</v>
      </c>
      <c r="J1226" s="47">
        <v>113</v>
      </c>
      <c r="K1226" s="47" t="s">
        <v>106</v>
      </c>
    </row>
    <row r="1227" spans="1:11">
      <c r="A1227" s="2">
        <v>43944</v>
      </c>
      <c r="B1227" s="47">
        <v>0.61458333333333337</v>
      </c>
      <c r="C1227" s="47" t="s">
        <v>34</v>
      </c>
      <c r="E1227" s="47">
        <v>1037</v>
      </c>
      <c r="F1227" s="47">
        <v>35</v>
      </c>
      <c r="G1227" s="47">
        <v>14</v>
      </c>
      <c r="H1227" s="47">
        <v>14</v>
      </c>
      <c r="I1227" s="47">
        <v>750</v>
      </c>
      <c r="J1227" s="47">
        <v>31</v>
      </c>
      <c r="K1227" s="47" t="s">
        <v>382</v>
      </c>
    </row>
    <row r="1228" spans="1:11">
      <c r="A1228" s="2">
        <v>43944</v>
      </c>
      <c r="B1228" s="47">
        <v>0.625</v>
      </c>
      <c r="C1228" s="47" t="s">
        <v>94</v>
      </c>
      <c r="E1228" s="47">
        <v>78</v>
      </c>
      <c r="F1228" s="47">
        <v>4</v>
      </c>
      <c r="I1228" s="47">
        <v>69</v>
      </c>
      <c r="J1228" s="47">
        <v>5</v>
      </c>
      <c r="K1228" s="47" t="s">
        <v>96</v>
      </c>
    </row>
    <row r="1229" spans="1:11">
      <c r="A1229" s="2">
        <v>43945</v>
      </c>
      <c r="C1229" s="47" t="s">
        <v>47</v>
      </c>
      <c r="E1229" s="47">
        <v>813</v>
      </c>
      <c r="F1229" s="47">
        <v>24</v>
      </c>
      <c r="G1229" s="47">
        <v>2</v>
      </c>
      <c r="H1229" s="47">
        <v>1</v>
      </c>
      <c r="I1229" s="47">
        <v>698</v>
      </c>
      <c r="J1229" s="47">
        <v>30</v>
      </c>
      <c r="K1229" s="47" t="s">
        <v>49</v>
      </c>
    </row>
    <row r="1230" spans="1:11">
      <c r="A1230" s="2">
        <v>43945</v>
      </c>
      <c r="C1230" s="47" t="s">
        <v>53</v>
      </c>
      <c r="E1230" s="47">
        <v>82</v>
      </c>
      <c r="J1230" s="47">
        <v>1</v>
      </c>
      <c r="K1230" s="47" t="s">
        <v>390</v>
      </c>
    </row>
    <row r="1231" spans="1:11">
      <c r="A1231" s="2">
        <v>43945</v>
      </c>
      <c r="C1231" s="47" t="s">
        <v>56</v>
      </c>
      <c r="E1231" s="47">
        <v>1021</v>
      </c>
      <c r="F1231" s="47">
        <v>55</v>
      </c>
      <c r="G1231" s="47">
        <v>8</v>
      </c>
      <c r="I1231" s="47">
        <v>119</v>
      </c>
      <c r="J1231" s="47">
        <v>76</v>
      </c>
      <c r="K1231" s="47" t="s">
        <v>640</v>
      </c>
    </row>
    <row r="1232" spans="1:11">
      <c r="A1232" s="2">
        <v>43945</v>
      </c>
      <c r="C1232" s="47" t="s">
        <v>58</v>
      </c>
      <c r="D1232" s="47">
        <v>23795</v>
      </c>
      <c r="E1232" s="47">
        <v>4741</v>
      </c>
      <c r="F1232" s="47">
        <v>278</v>
      </c>
      <c r="G1232" s="47">
        <v>26</v>
      </c>
      <c r="H1232" s="47">
        <v>25</v>
      </c>
      <c r="I1232" s="47">
        <v>600</v>
      </c>
      <c r="J1232" s="47">
        <v>238</v>
      </c>
      <c r="K1232" s="47" t="s">
        <v>60</v>
      </c>
    </row>
    <row r="1233" spans="1:11">
      <c r="A1233" s="2">
        <v>43945</v>
      </c>
      <c r="C1233" s="47" t="s">
        <v>63</v>
      </c>
      <c r="E1233" s="47">
        <v>799</v>
      </c>
      <c r="F1233" s="47">
        <v>29</v>
      </c>
      <c r="J1233" s="47">
        <v>44</v>
      </c>
      <c r="K1233" s="47" t="s">
        <v>65</v>
      </c>
    </row>
    <row r="1234" spans="1:11">
      <c r="A1234" s="2">
        <v>43945</v>
      </c>
      <c r="C1234" s="47" t="s">
        <v>66</v>
      </c>
      <c r="E1234" s="47">
        <v>196</v>
      </c>
      <c r="F1234" s="47">
        <v>12</v>
      </c>
      <c r="G1234" s="47">
        <v>4</v>
      </c>
      <c r="J1234" s="47">
        <v>6</v>
      </c>
      <c r="K1234" s="47" t="s">
        <v>433</v>
      </c>
    </row>
    <row r="1235" spans="1:11">
      <c r="A1235" s="2">
        <v>43945</v>
      </c>
      <c r="C1235" s="47" t="s">
        <v>71</v>
      </c>
      <c r="E1235" s="47">
        <v>666</v>
      </c>
      <c r="F1235" s="47">
        <v>36</v>
      </c>
      <c r="G1235" s="47">
        <v>6</v>
      </c>
      <c r="H1235" s="47">
        <v>4</v>
      </c>
      <c r="J1235" s="47">
        <v>70</v>
      </c>
      <c r="K1235" s="47" t="s">
        <v>377</v>
      </c>
    </row>
    <row r="1236" spans="1:11">
      <c r="A1236" s="2">
        <v>43945</v>
      </c>
      <c r="C1236" s="47" t="s">
        <v>73</v>
      </c>
      <c r="E1236" s="47">
        <v>108</v>
      </c>
      <c r="F1236" s="47">
        <v>3</v>
      </c>
      <c r="G1236" s="47">
        <v>0</v>
      </c>
      <c r="J1236" s="47">
        <v>3</v>
      </c>
      <c r="K1236" s="47" t="s">
        <v>357</v>
      </c>
    </row>
    <row r="1237" spans="1:11">
      <c r="A1237" s="2">
        <v>43945</v>
      </c>
      <c r="C1237" s="47" t="s">
        <v>78</v>
      </c>
      <c r="E1237" s="47">
        <v>745</v>
      </c>
      <c r="F1237" s="47">
        <v>43</v>
      </c>
      <c r="G1237" s="47">
        <v>4</v>
      </c>
      <c r="I1237" s="47">
        <v>175</v>
      </c>
      <c r="J1237" s="47">
        <v>31</v>
      </c>
      <c r="K1237" s="47" t="s">
        <v>80</v>
      </c>
    </row>
    <row r="1238" spans="1:11">
      <c r="A1238" s="2">
        <v>43945</v>
      </c>
      <c r="C1238" s="47" t="s">
        <v>88</v>
      </c>
      <c r="E1238" s="47">
        <v>359</v>
      </c>
      <c r="F1238" s="47">
        <v>21</v>
      </c>
      <c r="G1238" s="47">
        <v>9</v>
      </c>
      <c r="J1238" s="47">
        <v>14</v>
      </c>
      <c r="K1238" s="47" t="s">
        <v>90</v>
      </c>
    </row>
    <row r="1239" spans="1:11">
      <c r="A1239" s="2">
        <v>43945</v>
      </c>
      <c r="C1239" s="47" t="s">
        <v>97</v>
      </c>
      <c r="E1239" s="47">
        <v>5203</v>
      </c>
      <c r="F1239" s="47">
        <v>162</v>
      </c>
      <c r="G1239" s="47">
        <v>35</v>
      </c>
      <c r="J1239" s="47">
        <v>353</v>
      </c>
      <c r="K1239" s="47" t="s">
        <v>99</v>
      </c>
    </row>
    <row r="1240" spans="1:11">
      <c r="A1240" s="2">
        <v>43945</v>
      </c>
      <c r="C1240" s="47" t="s">
        <v>100</v>
      </c>
      <c r="E1240" s="47">
        <v>1830</v>
      </c>
      <c r="F1240" s="47">
        <v>66</v>
      </c>
      <c r="G1240" s="47">
        <v>14</v>
      </c>
      <c r="H1240" s="47">
        <v>10</v>
      </c>
      <c r="I1240" s="47">
        <v>218</v>
      </c>
      <c r="J1240" s="47">
        <v>127</v>
      </c>
      <c r="K1240" s="47" t="s">
        <v>419</v>
      </c>
    </row>
    <row r="1241" spans="1:11">
      <c r="A1241" s="2">
        <v>43945</v>
      </c>
      <c r="B1241" s="47">
        <v>0</v>
      </c>
      <c r="C1241" s="47" t="s">
        <v>83</v>
      </c>
      <c r="E1241" s="47">
        <v>376</v>
      </c>
      <c r="F1241" s="47">
        <v>15</v>
      </c>
      <c r="J1241" s="47">
        <v>14</v>
      </c>
      <c r="K1241" s="47" t="s">
        <v>387</v>
      </c>
    </row>
    <row r="1242" spans="1:11">
      <c r="A1242" s="2">
        <v>43945</v>
      </c>
      <c r="B1242" s="47">
        <v>0.33333333333333331</v>
      </c>
      <c r="C1242" s="47" t="s">
        <v>44</v>
      </c>
      <c r="E1242" s="47">
        <v>1694</v>
      </c>
      <c r="F1242" s="47">
        <v>60</v>
      </c>
      <c r="G1242" s="47">
        <v>11</v>
      </c>
      <c r="H1242" s="47">
        <v>8</v>
      </c>
      <c r="J1242" s="47">
        <v>82</v>
      </c>
      <c r="K1242" s="47" t="s">
        <v>46</v>
      </c>
    </row>
    <row r="1243" spans="1:11">
      <c r="A1243" s="2">
        <v>43945</v>
      </c>
      <c r="B1243" s="47">
        <v>0.33333333333333331</v>
      </c>
      <c r="C1243" s="47" t="s">
        <v>91</v>
      </c>
      <c r="E1243" s="47">
        <v>3121</v>
      </c>
      <c r="F1243" s="47">
        <v>214</v>
      </c>
      <c r="G1243" s="47">
        <v>42</v>
      </c>
      <c r="H1243" s="47">
        <v>33</v>
      </c>
      <c r="I1243" s="47">
        <v>682</v>
      </c>
      <c r="J1243" s="47">
        <v>299</v>
      </c>
      <c r="K1243" s="47" t="s">
        <v>391</v>
      </c>
    </row>
    <row r="1244" spans="1:11">
      <c r="A1244" s="2">
        <v>43945</v>
      </c>
      <c r="B1244" s="47">
        <v>0.33333333333333331</v>
      </c>
      <c r="C1244" s="47" t="s">
        <v>102</v>
      </c>
      <c r="E1244" s="47">
        <v>180</v>
      </c>
      <c r="F1244" s="47">
        <v>6</v>
      </c>
      <c r="G1244" s="47">
        <v>3</v>
      </c>
      <c r="I1244" s="47">
        <v>133</v>
      </c>
      <c r="J1244" s="47">
        <v>8</v>
      </c>
      <c r="K1244" s="47" t="s">
        <v>381</v>
      </c>
    </row>
    <row r="1245" spans="1:11">
      <c r="A1245" s="2">
        <v>43945</v>
      </c>
      <c r="B1245" s="47">
        <v>0.38541666666666669</v>
      </c>
      <c r="C1245" s="47" t="s">
        <v>50</v>
      </c>
      <c r="E1245" s="47">
        <v>936</v>
      </c>
      <c r="F1245" s="47">
        <v>40</v>
      </c>
      <c r="G1245" s="47">
        <v>7</v>
      </c>
      <c r="I1245" s="47">
        <v>800</v>
      </c>
      <c r="J1245" s="47">
        <v>46</v>
      </c>
      <c r="K1245" s="47" t="s">
        <v>385</v>
      </c>
    </row>
    <row r="1246" spans="1:11">
      <c r="A1246" s="2">
        <v>43945</v>
      </c>
      <c r="B1246" s="47">
        <v>0.39583333333333331</v>
      </c>
      <c r="C1246" s="47" t="s">
        <v>41</v>
      </c>
      <c r="E1246" s="47">
        <v>88</v>
      </c>
      <c r="F1246" s="47">
        <v>4</v>
      </c>
      <c r="G1246" s="47">
        <v>2</v>
      </c>
      <c r="J1246" s="47">
        <v>3</v>
      </c>
      <c r="K1246" s="47" t="s">
        <v>43</v>
      </c>
    </row>
    <row r="1247" spans="1:11">
      <c r="A1247" s="2">
        <v>43945</v>
      </c>
      <c r="B1247" s="47">
        <v>0.39583333333333331</v>
      </c>
      <c r="C1247" s="47" t="s">
        <v>81</v>
      </c>
      <c r="E1247" s="47">
        <v>70</v>
      </c>
      <c r="F1247" s="47">
        <v>4</v>
      </c>
      <c r="G1247" s="47">
        <v>1</v>
      </c>
      <c r="J1247" s="47">
        <v>3</v>
      </c>
      <c r="K1247" s="47" t="s">
        <v>606</v>
      </c>
    </row>
    <row r="1248" spans="1:11">
      <c r="A1248" s="2">
        <v>43945</v>
      </c>
      <c r="B1248" s="47">
        <v>0.41666666666666669</v>
      </c>
      <c r="C1248" s="47" t="s">
        <v>86</v>
      </c>
      <c r="E1248" s="47">
        <v>284</v>
      </c>
      <c r="I1248" s="47">
        <v>206</v>
      </c>
      <c r="J1248" s="47">
        <v>16</v>
      </c>
      <c r="K1248" s="47" t="s">
        <v>607</v>
      </c>
    </row>
    <row r="1249" spans="1:11">
      <c r="A1249" s="2">
        <v>43945</v>
      </c>
      <c r="B1249" s="47">
        <v>0.45833333333333331</v>
      </c>
      <c r="C1249" s="47" t="s">
        <v>38</v>
      </c>
      <c r="E1249" s="47">
        <v>25</v>
      </c>
      <c r="K1249" s="47" t="s">
        <v>40</v>
      </c>
    </row>
    <row r="1250" spans="1:11">
      <c r="A1250" s="2">
        <v>43945</v>
      </c>
      <c r="B1250" s="47">
        <v>0.45833333333333331</v>
      </c>
      <c r="C1250" s="47" t="s">
        <v>68</v>
      </c>
      <c r="E1250" s="47">
        <v>660</v>
      </c>
      <c r="J1250" s="47">
        <v>16</v>
      </c>
      <c r="K1250" s="47" t="s">
        <v>70</v>
      </c>
    </row>
    <row r="1251" spans="1:11">
      <c r="A1251" s="2">
        <v>43945</v>
      </c>
      <c r="B1251" s="47">
        <v>0.54166666666666663</v>
      </c>
      <c r="C1251" s="47" t="s">
        <v>61</v>
      </c>
      <c r="E1251" s="47">
        <v>117</v>
      </c>
      <c r="F1251" s="47">
        <v>3</v>
      </c>
      <c r="J1251" s="47">
        <v>7</v>
      </c>
      <c r="K1251" s="47" t="s">
        <v>427</v>
      </c>
    </row>
    <row r="1252" spans="1:11">
      <c r="A1252" s="2">
        <v>43945</v>
      </c>
      <c r="B1252" s="47">
        <v>0.58333333333333337</v>
      </c>
      <c r="C1252" s="47" t="s">
        <v>94</v>
      </c>
      <c r="E1252" s="47">
        <v>78</v>
      </c>
      <c r="F1252" s="47">
        <v>3</v>
      </c>
      <c r="I1252" s="47">
        <v>69</v>
      </c>
      <c r="J1252" s="47">
        <v>5</v>
      </c>
      <c r="K1252" s="47" t="s">
        <v>96</v>
      </c>
    </row>
    <row r="1253" spans="1:11">
      <c r="A1253" s="2">
        <v>43945</v>
      </c>
      <c r="B1253" s="47">
        <v>0.60416666666666663</v>
      </c>
      <c r="C1253" s="47" t="s">
        <v>104</v>
      </c>
      <c r="E1253" s="47">
        <v>3366</v>
      </c>
      <c r="F1253" s="47">
        <v>83</v>
      </c>
      <c r="H1253" s="47">
        <v>42</v>
      </c>
      <c r="J1253" s="47">
        <v>114</v>
      </c>
      <c r="K1253" s="47" t="s">
        <v>106</v>
      </c>
    </row>
    <row r="1254" spans="1:11">
      <c r="A1254" s="2">
        <v>43945</v>
      </c>
      <c r="B1254" s="47">
        <v>0.61458333333333337</v>
      </c>
      <c r="C1254" s="47" t="s">
        <v>34</v>
      </c>
      <c r="E1254" s="47">
        <v>1052</v>
      </c>
      <c r="F1254" s="47">
        <v>40</v>
      </c>
      <c r="G1254" s="47">
        <v>14</v>
      </c>
      <c r="H1254" s="47">
        <v>14</v>
      </c>
      <c r="I1254" s="47">
        <v>780</v>
      </c>
      <c r="J1254" s="47">
        <v>31</v>
      </c>
      <c r="K1254" s="47" t="s">
        <v>389</v>
      </c>
    </row>
    <row r="1255" spans="1:11">
      <c r="A1255" s="2">
        <v>43945</v>
      </c>
      <c r="B1255" s="47">
        <v>0.70833333333333337</v>
      </c>
      <c r="C1255" s="47" t="s">
        <v>75</v>
      </c>
      <c r="E1255" s="47">
        <v>71</v>
      </c>
      <c r="F1255" s="47">
        <v>0</v>
      </c>
      <c r="J1255" s="47">
        <v>0</v>
      </c>
      <c r="K1255" s="47" t="s">
        <v>77</v>
      </c>
    </row>
    <row r="1256" spans="1:11">
      <c r="A1256" s="2">
        <v>43946</v>
      </c>
      <c r="C1256" s="47" t="s">
        <v>47</v>
      </c>
      <c r="E1256" s="47">
        <v>816</v>
      </c>
      <c r="F1256" s="47">
        <v>23</v>
      </c>
      <c r="G1256" s="47">
        <v>1</v>
      </c>
      <c r="H1256" s="47">
        <v>0</v>
      </c>
      <c r="I1256" s="47">
        <v>710</v>
      </c>
      <c r="J1256" s="47">
        <v>30</v>
      </c>
      <c r="K1256" s="47" t="s">
        <v>49</v>
      </c>
    </row>
    <row r="1257" spans="1:11">
      <c r="A1257" s="2">
        <v>43946</v>
      </c>
      <c r="C1257" s="47" t="s">
        <v>53</v>
      </c>
      <c r="E1257" s="47">
        <v>82</v>
      </c>
      <c r="J1257" s="47">
        <v>1</v>
      </c>
      <c r="K1257" s="47" t="s">
        <v>397</v>
      </c>
    </row>
    <row r="1258" spans="1:11">
      <c r="A1258" s="2">
        <v>43946</v>
      </c>
      <c r="C1258" s="47" t="s">
        <v>56</v>
      </c>
      <c r="E1258" s="47">
        <v>1029</v>
      </c>
      <c r="F1258" s="47">
        <v>54</v>
      </c>
      <c r="G1258" s="47">
        <v>7</v>
      </c>
      <c r="I1258" s="47">
        <v>119</v>
      </c>
      <c r="J1258" s="47">
        <v>76</v>
      </c>
      <c r="K1258" s="47" t="s">
        <v>640</v>
      </c>
    </row>
    <row r="1259" spans="1:11">
      <c r="A1259" s="2">
        <v>43946</v>
      </c>
      <c r="C1259" s="47" t="s">
        <v>58</v>
      </c>
      <c r="D1259" s="47">
        <v>24153</v>
      </c>
      <c r="E1259" s="47">
        <v>4754</v>
      </c>
      <c r="F1259" s="47">
        <v>271</v>
      </c>
      <c r="G1259" s="47">
        <v>27</v>
      </c>
      <c r="H1259" s="47">
        <v>26</v>
      </c>
      <c r="J1259" s="47">
        <v>239</v>
      </c>
      <c r="K1259" s="47" t="s">
        <v>60</v>
      </c>
    </row>
    <row r="1260" spans="1:11">
      <c r="A1260" s="2">
        <v>43946</v>
      </c>
      <c r="C1260" s="47" t="s">
        <v>63</v>
      </c>
      <c r="E1260" s="47">
        <v>800</v>
      </c>
      <c r="F1260" s="47">
        <v>28</v>
      </c>
      <c r="J1260" s="47">
        <v>44</v>
      </c>
      <c r="K1260" s="47" t="s">
        <v>65</v>
      </c>
    </row>
    <row r="1261" spans="1:11">
      <c r="A1261" s="2">
        <v>43946</v>
      </c>
      <c r="C1261" s="47" t="s">
        <v>66</v>
      </c>
      <c r="E1261" s="47">
        <v>196</v>
      </c>
      <c r="F1261" s="47">
        <v>12</v>
      </c>
      <c r="G1261" s="47">
        <v>4</v>
      </c>
      <c r="J1261" s="47">
        <v>6</v>
      </c>
      <c r="K1261" s="47" t="s">
        <v>433</v>
      </c>
    </row>
    <row r="1262" spans="1:11">
      <c r="A1262" s="2">
        <v>43946</v>
      </c>
      <c r="C1262" s="47" t="s">
        <v>71</v>
      </c>
      <c r="E1262" s="47">
        <v>667</v>
      </c>
      <c r="F1262" s="47">
        <v>35</v>
      </c>
      <c r="G1262" s="47">
        <v>4</v>
      </c>
      <c r="H1262" s="47">
        <v>3</v>
      </c>
      <c r="J1262" s="47">
        <v>71</v>
      </c>
      <c r="K1262" s="47" t="s">
        <v>377</v>
      </c>
    </row>
    <row r="1263" spans="1:11">
      <c r="A1263" s="2">
        <v>43946</v>
      </c>
      <c r="C1263" s="47" t="s">
        <v>73</v>
      </c>
      <c r="E1263" s="47">
        <v>108</v>
      </c>
      <c r="F1263" s="47">
        <v>3</v>
      </c>
      <c r="G1263" s="47">
        <v>0</v>
      </c>
      <c r="J1263" s="47">
        <v>3</v>
      </c>
      <c r="K1263" s="47" t="s">
        <v>357</v>
      </c>
    </row>
    <row r="1264" spans="1:11">
      <c r="A1264" s="2">
        <v>43946</v>
      </c>
      <c r="C1264" s="47" t="s">
        <v>78</v>
      </c>
      <c r="E1264" s="47">
        <v>753</v>
      </c>
      <c r="J1264" s="47">
        <v>31</v>
      </c>
      <c r="K1264" s="47" t="s">
        <v>80</v>
      </c>
    </row>
    <row r="1265" spans="1:11">
      <c r="A1265" s="2">
        <v>43946</v>
      </c>
      <c r="C1265" s="47" t="s">
        <v>88</v>
      </c>
      <c r="E1265" s="47">
        <v>360</v>
      </c>
      <c r="F1265" s="47">
        <v>23</v>
      </c>
      <c r="G1265" s="47">
        <v>8</v>
      </c>
      <c r="J1265" s="47">
        <v>14</v>
      </c>
      <c r="K1265" s="47" t="s">
        <v>90</v>
      </c>
    </row>
    <row r="1266" spans="1:11">
      <c r="A1266" s="2">
        <v>43946</v>
      </c>
      <c r="C1266" s="47" t="s">
        <v>97</v>
      </c>
      <c r="E1266" s="47">
        <v>5216</v>
      </c>
      <c r="F1266" s="47">
        <v>167</v>
      </c>
      <c r="G1266" s="47">
        <v>35</v>
      </c>
      <c r="J1266" s="47">
        <v>363</v>
      </c>
      <c r="K1266" s="47" t="s">
        <v>99</v>
      </c>
    </row>
    <row r="1267" spans="1:11">
      <c r="A1267" s="2">
        <v>43946</v>
      </c>
      <c r="C1267" s="47" t="s">
        <v>100</v>
      </c>
      <c r="E1267" s="47">
        <v>1835</v>
      </c>
      <c r="F1267" s="47">
        <v>68</v>
      </c>
      <c r="G1267" s="47">
        <v>14</v>
      </c>
      <c r="H1267" s="47">
        <v>10</v>
      </c>
      <c r="I1267" s="47">
        <v>218</v>
      </c>
      <c r="J1267" s="47">
        <v>129</v>
      </c>
      <c r="K1267" s="47" t="s">
        <v>419</v>
      </c>
    </row>
    <row r="1268" spans="1:11">
      <c r="A1268" s="2">
        <v>43946</v>
      </c>
      <c r="B1268" s="47">
        <v>0</v>
      </c>
      <c r="C1268" s="47" t="s">
        <v>83</v>
      </c>
      <c r="E1268" s="47">
        <v>379</v>
      </c>
      <c r="F1268" s="47">
        <v>13</v>
      </c>
      <c r="J1268" s="47">
        <v>14</v>
      </c>
      <c r="K1268" s="47" t="s">
        <v>387</v>
      </c>
    </row>
    <row r="1269" spans="1:11">
      <c r="A1269" s="2">
        <v>43946</v>
      </c>
      <c r="B1269" s="47">
        <v>6.9444444444444447E-4</v>
      </c>
      <c r="C1269" s="47" t="s">
        <v>86</v>
      </c>
      <c r="E1269" s="47">
        <v>287</v>
      </c>
      <c r="I1269" s="47">
        <v>215</v>
      </c>
      <c r="J1269" s="47">
        <v>17</v>
      </c>
      <c r="K1269" s="47" t="s">
        <v>607</v>
      </c>
    </row>
    <row r="1270" spans="1:11">
      <c r="A1270" s="2">
        <v>43946</v>
      </c>
      <c r="B1270" s="47">
        <v>0.33333333333333331</v>
      </c>
      <c r="C1270" s="47" t="s">
        <v>44</v>
      </c>
      <c r="E1270" s="47">
        <v>1708</v>
      </c>
      <c r="F1270" s="47">
        <v>61</v>
      </c>
      <c r="G1270" s="47">
        <v>11</v>
      </c>
      <c r="H1270" s="47">
        <v>10</v>
      </c>
      <c r="J1270" s="47">
        <v>83</v>
      </c>
      <c r="K1270" s="47" t="s">
        <v>46</v>
      </c>
    </row>
    <row r="1271" spans="1:11">
      <c r="A1271" s="2">
        <v>43946</v>
      </c>
      <c r="B1271" s="47">
        <v>0.33333333333333331</v>
      </c>
      <c r="C1271" s="47" t="s">
        <v>91</v>
      </c>
      <c r="E1271" s="47">
        <v>3142</v>
      </c>
      <c r="F1271" s="47">
        <v>198</v>
      </c>
      <c r="G1271" s="47">
        <v>40</v>
      </c>
      <c r="H1271" s="47">
        <v>30</v>
      </c>
      <c r="I1271" s="47">
        <v>698</v>
      </c>
      <c r="J1271" s="47">
        <v>304</v>
      </c>
      <c r="K1271" s="47" t="s">
        <v>398</v>
      </c>
    </row>
    <row r="1272" spans="1:11">
      <c r="A1272" s="2">
        <v>43946</v>
      </c>
      <c r="B1272" s="47">
        <v>0.33333333333333331</v>
      </c>
      <c r="C1272" s="47" t="s">
        <v>102</v>
      </c>
      <c r="E1272" s="47">
        <v>181</v>
      </c>
      <c r="F1272" s="47">
        <v>6</v>
      </c>
      <c r="G1272" s="47">
        <v>3</v>
      </c>
      <c r="I1272" s="47">
        <v>133</v>
      </c>
      <c r="J1272" s="47">
        <v>8</v>
      </c>
      <c r="K1272" s="47" t="s">
        <v>381</v>
      </c>
    </row>
    <row r="1273" spans="1:11">
      <c r="A1273" s="2">
        <v>43946</v>
      </c>
      <c r="B1273" s="47">
        <v>0.39583333333333331</v>
      </c>
      <c r="C1273" s="47" t="s">
        <v>50</v>
      </c>
      <c r="E1273" s="47">
        <v>938</v>
      </c>
      <c r="J1273" s="47">
        <v>46</v>
      </c>
      <c r="K1273" s="47" t="s">
        <v>409</v>
      </c>
    </row>
    <row r="1274" spans="1:11">
      <c r="A1274" s="2">
        <v>43946</v>
      </c>
      <c r="B1274" s="47">
        <v>0.39583333333333331</v>
      </c>
      <c r="C1274" s="47" t="s">
        <v>81</v>
      </c>
      <c r="E1274" s="47">
        <v>71</v>
      </c>
      <c r="F1274" s="47">
        <v>6</v>
      </c>
      <c r="G1274" s="47">
        <v>1</v>
      </c>
      <c r="J1274" s="47">
        <v>5</v>
      </c>
      <c r="K1274" s="47" t="s">
        <v>606</v>
      </c>
    </row>
    <row r="1275" spans="1:11">
      <c r="A1275" s="2">
        <v>43946</v>
      </c>
      <c r="B1275" s="47">
        <v>0.45833333333333331</v>
      </c>
      <c r="C1275" s="47" t="s">
        <v>38</v>
      </c>
      <c r="E1275" s="47">
        <v>25</v>
      </c>
      <c r="K1275" s="47" t="s">
        <v>40</v>
      </c>
    </row>
    <row r="1276" spans="1:11">
      <c r="A1276" s="2">
        <v>43946</v>
      </c>
      <c r="B1276" s="47">
        <v>0.5</v>
      </c>
      <c r="C1276" s="47" t="s">
        <v>68</v>
      </c>
      <c r="E1276" s="47">
        <v>667</v>
      </c>
      <c r="F1276" s="47">
        <v>32</v>
      </c>
      <c r="G1276" s="47">
        <v>8</v>
      </c>
      <c r="J1276" s="47">
        <v>16</v>
      </c>
      <c r="K1276" s="47" t="s">
        <v>70</v>
      </c>
    </row>
    <row r="1277" spans="1:11">
      <c r="A1277" s="2">
        <v>43946</v>
      </c>
      <c r="B1277" s="47">
        <v>0.5</v>
      </c>
      <c r="C1277" s="47" t="s">
        <v>94</v>
      </c>
      <c r="E1277" s="47">
        <v>78</v>
      </c>
      <c r="F1277" s="47">
        <v>3</v>
      </c>
      <c r="I1277" s="47">
        <v>69</v>
      </c>
      <c r="J1277" s="47">
        <v>5</v>
      </c>
      <c r="K1277" s="47" t="s">
        <v>96</v>
      </c>
    </row>
    <row r="1278" spans="1:11">
      <c r="A1278" s="2">
        <v>43946</v>
      </c>
      <c r="B1278" s="47">
        <v>0.54166666666666663</v>
      </c>
      <c r="C1278" s="47" t="s">
        <v>61</v>
      </c>
      <c r="E1278" s="47">
        <v>120</v>
      </c>
      <c r="F1278" s="47">
        <v>3</v>
      </c>
      <c r="J1278" s="47">
        <v>7</v>
      </c>
      <c r="K1278" s="47" t="s">
        <v>427</v>
      </c>
    </row>
    <row r="1279" spans="1:11">
      <c r="A1279" s="2">
        <v>43946</v>
      </c>
      <c r="B1279" s="47">
        <v>0.60416666666666663</v>
      </c>
      <c r="C1279" s="47" t="s">
        <v>104</v>
      </c>
      <c r="E1279" s="47">
        <v>3397</v>
      </c>
      <c r="F1279" s="47">
        <v>77</v>
      </c>
      <c r="H1279" s="47">
        <v>38</v>
      </c>
      <c r="J1279" s="47">
        <v>115</v>
      </c>
      <c r="K1279" s="47" t="s">
        <v>106</v>
      </c>
    </row>
    <row r="1280" spans="1:11">
      <c r="A1280" s="2">
        <v>43947</v>
      </c>
      <c r="C1280" s="47" t="s">
        <v>47</v>
      </c>
      <c r="E1280" s="47">
        <v>816</v>
      </c>
      <c r="F1280" s="47">
        <v>21</v>
      </c>
      <c r="G1280" s="47">
        <v>0</v>
      </c>
      <c r="H1280" s="47">
        <v>0</v>
      </c>
      <c r="I1280" s="47">
        <v>724</v>
      </c>
      <c r="J1280" s="47">
        <v>30</v>
      </c>
      <c r="K1280" s="47" t="s">
        <v>49</v>
      </c>
    </row>
    <row r="1281" spans="1:11">
      <c r="A1281" s="2">
        <v>43947</v>
      </c>
      <c r="C1281" s="47" t="s">
        <v>53</v>
      </c>
      <c r="E1281" s="47">
        <v>82</v>
      </c>
      <c r="J1281" s="47">
        <v>1</v>
      </c>
      <c r="K1281" s="47" t="s">
        <v>399</v>
      </c>
    </row>
    <row r="1282" spans="1:11">
      <c r="A1282" s="2">
        <v>43947</v>
      </c>
      <c r="C1282" s="47" t="s">
        <v>56</v>
      </c>
      <c r="E1282" s="47">
        <v>1033</v>
      </c>
      <c r="F1282" s="47">
        <v>54</v>
      </c>
      <c r="G1282" s="47">
        <v>5</v>
      </c>
      <c r="I1282" s="47">
        <v>120</v>
      </c>
      <c r="J1282" s="47">
        <v>77</v>
      </c>
      <c r="K1282" s="47" t="s">
        <v>640</v>
      </c>
    </row>
    <row r="1283" spans="1:11">
      <c r="A1283" s="2">
        <v>43947</v>
      </c>
      <c r="C1283" s="47" t="s">
        <v>58</v>
      </c>
      <c r="D1283" s="47">
        <v>24347</v>
      </c>
      <c r="E1283" s="47">
        <v>4760</v>
      </c>
      <c r="F1283" s="47">
        <v>271</v>
      </c>
      <c r="G1283" s="47">
        <v>25</v>
      </c>
      <c r="H1283" s="47">
        <v>24</v>
      </c>
      <c r="I1283" s="47">
        <v>610</v>
      </c>
      <c r="J1283" s="47">
        <v>241</v>
      </c>
      <c r="K1283" s="47" t="s">
        <v>60</v>
      </c>
    </row>
    <row r="1284" spans="1:11">
      <c r="A1284" s="2">
        <v>43947</v>
      </c>
      <c r="C1284" s="47" t="s">
        <v>63</v>
      </c>
      <c r="E1284" s="47">
        <v>802</v>
      </c>
      <c r="F1284" s="47">
        <v>28</v>
      </c>
      <c r="J1284" s="47">
        <v>44</v>
      </c>
      <c r="K1284" s="47" t="s">
        <v>65</v>
      </c>
    </row>
    <row r="1285" spans="1:11">
      <c r="A1285" s="2">
        <v>43947</v>
      </c>
      <c r="C1285" s="47" t="s">
        <v>66</v>
      </c>
      <c r="E1285" s="47">
        <v>196</v>
      </c>
      <c r="F1285" s="47">
        <v>12</v>
      </c>
      <c r="G1285" s="47">
        <v>4</v>
      </c>
      <c r="J1285" s="47">
        <v>6</v>
      </c>
      <c r="K1285" s="47" t="s">
        <v>433</v>
      </c>
    </row>
    <row r="1286" spans="1:11">
      <c r="A1286" s="2">
        <v>43947</v>
      </c>
      <c r="C1286" s="47" t="s">
        <v>71</v>
      </c>
      <c r="E1286" s="47">
        <v>668</v>
      </c>
      <c r="F1286" s="47">
        <v>32</v>
      </c>
      <c r="G1286" s="47">
        <v>3</v>
      </c>
      <c r="H1286" s="47">
        <v>3</v>
      </c>
      <c r="J1286" s="47">
        <v>73</v>
      </c>
      <c r="K1286" s="47" t="s">
        <v>377</v>
      </c>
    </row>
    <row r="1287" spans="1:11">
      <c r="A1287" s="2">
        <v>43947</v>
      </c>
      <c r="C1287" s="47" t="s">
        <v>73</v>
      </c>
      <c r="E1287" s="47">
        <v>110</v>
      </c>
      <c r="F1287" s="47">
        <v>3</v>
      </c>
      <c r="G1287" s="47">
        <v>0</v>
      </c>
      <c r="J1287" s="47">
        <v>3</v>
      </c>
      <c r="K1287" s="47" t="s">
        <v>357</v>
      </c>
    </row>
    <row r="1288" spans="1:11">
      <c r="A1288" s="2">
        <v>43947</v>
      </c>
      <c r="C1288" s="47" t="s">
        <v>78</v>
      </c>
      <c r="E1288" s="47">
        <v>761</v>
      </c>
      <c r="F1288" s="47">
        <v>38</v>
      </c>
      <c r="G1288" s="47">
        <v>4</v>
      </c>
      <c r="I1288" s="47">
        <v>176</v>
      </c>
      <c r="J1288" s="47">
        <v>31</v>
      </c>
      <c r="K1288" s="47" t="s">
        <v>80</v>
      </c>
    </row>
    <row r="1289" spans="1:11">
      <c r="A1289" s="2">
        <v>43947</v>
      </c>
      <c r="C1289" s="47" t="s">
        <v>88</v>
      </c>
      <c r="E1289" s="47">
        <v>361</v>
      </c>
      <c r="F1289" s="47">
        <v>21</v>
      </c>
      <c r="G1289" s="47">
        <v>8</v>
      </c>
      <c r="J1289" s="47">
        <v>16</v>
      </c>
      <c r="K1289" s="47" t="s">
        <v>90</v>
      </c>
    </row>
    <row r="1290" spans="1:11">
      <c r="A1290" s="2">
        <v>43947</v>
      </c>
      <c r="C1290" s="47" t="s">
        <v>97</v>
      </c>
      <c r="E1290" s="47">
        <v>5228</v>
      </c>
      <c r="F1290" s="47">
        <v>175</v>
      </c>
      <c r="G1290" s="47">
        <v>35</v>
      </c>
      <c r="J1290" s="47">
        <v>366</v>
      </c>
      <c r="K1290" s="47" t="s">
        <v>99</v>
      </c>
    </row>
    <row r="1291" spans="1:11">
      <c r="A1291" s="2">
        <v>43947</v>
      </c>
      <c r="C1291" s="47" t="s">
        <v>100</v>
      </c>
      <c r="E1291" s="47">
        <v>1837</v>
      </c>
      <c r="F1291" s="47">
        <v>70</v>
      </c>
      <c r="G1291" s="47">
        <v>15</v>
      </c>
      <c r="H1291" s="47">
        <v>9</v>
      </c>
      <c r="I1291" s="47">
        <v>218</v>
      </c>
      <c r="J1291" s="47">
        <v>131</v>
      </c>
      <c r="K1291" s="47" t="s">
        <v>419</v>
      </c>
    </row>
    <row r="1292" spans="1:11">
      <c r="A1292" s="2">
        <v>43947</v>
      </c>
      <c r="B1292" s="47">
        <v>0</v>
      </c>
      <c r="C1292" s="47" t="s">
        <v>83</v>
      </c>
      <c r="E1292" s="47">
        <v>380</v>
      </c>
      <c r="F1292" s="47">
        <v>12</v>
      </c>
      <c r="J1292" s="47">
        <v>15</v>
      </c>
      <c r="K1292" s="47" t="s">
        <v>387</v>
      </c>
    </row>
    <row r="1293" spans="1:11">
      <c r="A1293" s="2">
        <v>43947</v>
      </c>
      <c r="B1293" s="47">
        <v>6.9444444444444447E-4</v>
      </c>
      <c r="C1293" s="47" t="s">
        <v>86</v>
      </c>
      <c r="E1293" s="47">
        <v>293</v>
      </c>
      <c r="I1293" s="47">
        <v>216</v>
      </c>
      <c r="J1293" s="47">
        <v>18</v>
      </c>
      <c r="K1293" s="47" t="s">
        <v>607</v>
      </c>
    </row>
    <row r="1294" spans="1:11">
      <c r="A1294" s="2">
        <v>43947</v>
      </c>
      <c r="B1294" s="47">
        <v>0.33333333333333331</v>
      </c>
      <c r="C1294" s="47" t="s">
        <v>44</v>
      </c>
      <c r="E1294" s="47">
        <v>1714</v>
      </c>
      <c r="F1294" s="47">
        <v>54</v>
      </c>
      <c r="G1294" s="47">
        <v>9</v>
      </c>
      <c r="H1294" s="47">
        <v>9</v>
      </c>
      <c r="J1294" s="47">
        <v>83</v>
      </c>
      <c r="K1294" s="47" t="s">
        <v>46</v>
      </c>
    </row>
    <row r="1295" spans="1:11">
      <c r="A1295" s="2">
        <v>43947</v>
      </c>
      <c r="B1295" s="47">
        <v>0.33333333333333331</v>
      </c>
      <c r="C1295" s="47" t="s">
        <v>91</v>
      </c>
      <c r="E1295" s="47">
        <v>3161</v>
      </c>
      <c r="F1295" s="47">
        <v>192</v>
      </c>
      <c r="G1295" s="47">
        <v>37</v>
      </c>
      <c r="H1295" s="47">
        <v>26</v>
      </c>
      <c r="I1295" s="47">
        <v>704</v>
      </c>
      <c r="J1295" s="47">
        <v>306</v>
      </c>
      <c r="K1295" s="47" t="s">
        <v>400</v>
      </c>
    </row>
    <row r="1296" spans="1:11">
      <c r="A1296" s="2">
        <v>43947</v>
      </c>
      <c r="B1296" s="47">
        <v>0.33333333333333331</v>
      </c>
      <c r="C1296" s="47" t="s">
        <v>102</v>
      </c>
      <c r="E1296" s="47">
        <v>181</v>
      </c>
      <c r="F1296" s="47">
        <v>6</v>
      </c>
      <c r="G1296" s="47">
        <v>3</v>
      </c>
      <c r="I1296" s="47">
        <v>133</v>
      </c>
      <c r="J1296" s="47">
        <v>8</v>
      </c>
      <c r="K1296" s="47" t="s">
        <v>381</v>
      </c>
    </row>
    <row r="1297" spans="1:11">
      <c r="A1297" s="2">
        <v>43947</v>
      </c>
      <c r="B1297" s="47">
        <v>0.39583333333333331</v>
      </c>
      <c r="C1297" s="47" t="s">
        <v>50</v>
      </c>
      <c r="E1297" s="47">
        <v>940</v>
      </c>
      <c r="J1297" s="47">
        <v>46</v>
      </c>
      <c r="K1297" s="47" t="s">
        <v>409</v>
      </c>
    </row>
    <row r="1298" spans="1:11">
      <c r="A1298" s="2">
        <v>43947</v>
      </c>
      <c r="B1298" s="47">
        <v>0.39583333333333331</v>
      </c>
      <c r="C1298" s="47" t="s">
        <v>81</v>
      </c>
      <c r="E1298" s="47">
        <v>72</v>
      </c>
      <c r="F1298" s="47">
        <v>9</v>
      </c>
      <c r="G1298" s="47">
        <v>2</v>
      </c>
      <c r="J1298" s="47">
        <v>5</v>
      </c>
      <c r="K1298" s="47" t="s">
        <v>606</v>
      </c>
    </row>
    <row r="1299" spans="1:11">
      <c r="A1299" s="2">
        <v>43947</v>
      </c>
      <c r="B1299" s="47">
        <v>0.5</v>
      </c>
      <c r="C1299" s="47" t="s">
        <v>68</v>
      </c>
      <c r="E1299" s="47">
        <v>670</v>
      </c>
      <c r="F1299" s="47">
        <v>26</v>
      </c>
      <c r="G1299" s="47">
        <v>7</v>
      </c>
      <c r="J1299" s="47">
        <v>16</v>
      </c>
      <c r="K1299" s="47" t="s">
        <v>70</v>
      </c>
    </row>
    <row r="1300" spans="1:11">
      <c r="A1300" s="2">
        <v>43947</v>
      </c>
      <c r="B1300" s="47">
        <v>0.5</v>
      </c>
      <c r="C1300" s="47" t="s">
        <v>94</v>
      </c>
      <c r="E1300" s="47">
        <v>80</v>
      </c>
      <c r="F1300" s="47">
        <v>3</v>
      </c>
      <c r="I1300" s="47">
        <v>69</v>
      </c>
      <c r="J1300" s="47">
        <v>5</v>
      </c>
      <c r="K1300" s="47" t="s">
        <v>96</v>
      </c>
    </row>
    <row r="1301" spans="1:11">
      <c r="A1301" s="2">
        <v>43947</v>
      </c>
      <c r="B1301" s="47">
        <v>0.54166666666666663</v>
      </c>
      <c r="C1301" s="47" t="s">
        <v>61</v>
      </c>
      <c r="E1301" s="47">
        <v>120</v>
      </c>
      <c r="F1301" s="47">
        <v>3</v>
      </c>
      <c r="J1301" s="47">
        <v>7</v>
      </c>
      <c r="K1301" s="47" t="s">
        <v>427</v>
      </c>
    </row>
    <row r="1302" spans="1:11">
      <c r="A1302" s="2">
        <v>43947</v>
      </c>
      <c r="B1302" s="47">
        <v>0.60416666666666663</v>
      </c>
      <c r="C1302" s="47" t="s">
        <v>104</v>
      </c>
      <c r="E1302" s="47">
        <v>3400</v>
      </c>
      <c r="F1302" s="47">
        <v>75</v>
      </c>
      <c r="H1302" s="47">
        <v>26</v>
      </c>
      <c r="J1302" s="47">
        <v>115</v>
      </c>
      <c r="K1302" s="47" t="s">
        <v>106</v>
      </c>
    </row>
    <row r="1303" spans="1:11">
      <c r="A1303" s="2">
        <v>43948</v>
      </c>
      <c r="C1303" s="47" t="s">
        <v>47</v>
      </c>
      <c r="E1303" s="47">
        <v>816</v>
      </c>
      <c r="F1303" s="47">
        <v>17</v>
      </c>
      <c r="G1303" s="47">
        <v>1</v>
      </c>
      <c r="H1303" s="47">
        <v>0</v>
      </c>
      <c r="I1303" s="47">
        <v>738</v>
      </c>
      <c r="J1303" s="47">
        <v>30</v>
      </c>
      <c r="K1303" s="47" t="s">
        <v>49</v>
      </c>
    </row>
    <row r="1304" spans="1:11">
      <c r="A1304" s="2">
        <v>43948</v>
      </c>
      <c r="C1304" s="47" t="s">
        <v>53</v>
      </c>
      <c r="E1304" s="47">
        <v>82</v>
      </c>
      <c r="J1304" s="47">
        <v>1</v>
      </c>
      <c r="K1304" s="47" t="s">
        <v>412</v>
      </c>
    </row>
    <row r="1305" spans="1:11">
      <c r="A1305" s="2">
        <v>43948</v>
      </c>
      <c r="C1305" s="47" t="s">
        <v>56</v>
      </c>
      <c r="E1305" s="47">
        <v>1040</v>
      </c>
      <c r="F1305" s="47">
        <v>55</v>
      </c>
      <c r="G1305" s="47">
        <v>5</v>
      </c>
      <c r="I1305" s="47">
        <v>120</v>
      </c>
      <c r="J1305" s="47">
        <v>78</v>
      </c>
      <c r="K1305" s="47" t="s">
        <v>640</v>
      </c>
    </row>
    <row r="1306" spans="1:11">
      <c r="A1306" s="2">
        <v>43948</v>
      </c>
      <c r="C1306" s="47" t="s">
        <v>58</v>
      </c>
      <c r="D1306" s="47">
        <v>24620</v>
      </c>
      <c r="E1306" s="47">
        <v>4769</v>
      </c>
      <c r="F1306" s="47">
        <v>270</v>
      </c>
      <c r="G1306" s="47">
        <v>26</v>
      </c>
      <c r="H1306" s="47">
        <v>24</v>
      </c>
      <c r="I1306" s="47">
        <v>610</v>
      </c>
      <c r="J1306" s="47">
        <v>243</v>
      </c>
      <c r="K1306" s="47" t="s">
        <v>60</v>
      </c>
    </row>
    <row r="1307" spans="1:11">
      <c r="A1307" s="2">
        <v>43948</v>
      </c>
      <c r="C1307" s="47" t="s">
        <v>63</v>
      </c>
      <c r="E1307" s="47">
        <v>807</v>
      </c>
      <c r="F1307" s="47">
        <v>29</v>
      </c>
      <c r="J1307" s="47">
        <v>45</v>
      </c>
      <c r="K1307" s="47" t="s">
        <v>65</v>
      </c>
    </row>
    <row r="1308" spans="1:11">
      <c r="A1308" s="2">
        <v>43948</v>
      </c>
      <c r="C1308" s="47" t="s">
        <v>66</v>
      </c>
      <c r="E1308" s="47">
        <v>196</v>
      </c>
      <c r="F1308" s="47">
        <v>10</v>
      </c>
      <c r="G1308" s="47">
        <v>4</v>
      </c>
      <c r="J1308" s="47">
        <v>7</v>
      </c>
      <c r="K1308" s="47" t="s">
        <v>433</v>
      </c>
    </row>
    <row r="1309" spans="1:11">
      <c r="A1309" s="2">
        <v>43948</v>
      </c>
      <c r="C1309" s="47" t="s">
        <v>71</v>
      </c>
      <c r="E1309" s="47">
        <v>673</v>
      </c>
      <c r="F1309" s="47">
        <v>28</v>
      </c>
      <c r="G1309" s="47">
        <v>3</v>
      </c>
      <c r="H1309" s="47">
        <v>3</v>
      </c>
      <c r="J1309" s="47">
        <v>73</v>
      </c>
      <c r="K1309" s="47" t="s">
        <v>377</v>
      </c>
    </row>
    <row r="1310" spans="1:11">
      <c r="A1310" s="2">
        <v>43948</v>
      </c>
      <c r="C1310" s="47" t="s">
        <v>73</v>
      </c>
      <c r="E1310" s="47">
        <v>110</v>
      </c>
      <c r="F1310" s="47">
        <v>2</v>
      </c>
      <c r="G1310" s="47">
        <v>0</v>
      </c>
      <c r="J1310" s="47">
        <v>3</v>
      </c>
      <c r="K1310" s="47" t="s">
        <v>357</v>
      </c>
    </row>
    <row r="1311" spans="1:11">
      <c r="A1311" s="2">
        <v>43948</v>
      </c>
      <c r="C1311" s="47" t="s">
        <v>78</v>
      </c>
      <c r="E1311" s="47">
        <v>767</v>
      </c>
      <c r="F1311" s="47">
        <v>39</v>
      </c>
      <c r="G1311" s="47">
        <v>2</v>
      </c>
      <c r="I1311" s="47">
        <v>176</v>
      </c>
      <c r="J1311" s="47">
        <v>31</v>
      </c>
      <c r="K1311" s="47" t="s">
        <v>80</v>
      </c>
    </row>
    <row r="1312" spans="1:11">
      <c r="A1312" s="2">
        <v>43948</v>
      </c>
      <c r="C1312" s="47" t="s">
        <v>88</v>
      </c>
      <c r="E1312" s="47">
        <v>361</v>
      </c>
      <c r="F1312" s="47">
        <v>21</v>
      </c>
      <c r="G1312" s="47">
        <v>8</v>
      </c>
      <c r="J1312" s="47">
        <v>17</v>
      </c>
      <c r="K1312" s="47" t="s">
        <v>90</v>
      </c>
    </row>
    <row r="1313" spans="1:11">
      <c r="A1313" s="2">
        <v>43948</v>
      </c>
      <c r="C1313" s="47" t="s">
        <v>97</v>
      </c>
      <c r="E1313" s="47">
        <v>5252</v>
      </c>
      <c r="F1313" s="47">
        <v>166</v>
      </c>
      <c r="G1313" s="47">
        <v>33</v>
      </c>
      <c r="J1313" s="47">
        <v>370</v>
      </c>
      <c r="K1313" s="47" t="s">
        <v>99</v>
      </c>
    </row>
    <row r="1314" spans="1:11">
      <c r="A1314" s="2">
        <v>43948</v>
      </c>
      <c r="C1314" s="47" t="s">
        <v>100</v>
      </c>
      <c r="E1314" s="47">
        <v>1850</v>
      </c>
      <c r="F1314" s="47">
        <v>60</v>
      </c>
      <c r="G1314" s="47">
        <v>14</v>
      </c>
      <c r="H1314" s="47">
        <v>10</v>
      </c>
      <c r="I1314" s="47">
        <v>220</v>
      </c>
      <c r="J1314" s="47">
        <v>132</v>
      </c>
      <c r="K1314" s="47" t="s">
        <v>419</v>
      </c>
    </row>
    <row r="1315" spans="1:11">
      <c r="A1315" s="2">
        <v>43948</v>
      </c>
      <c r="B1315" s="47">
        <v>0</v>
      </c>
      <c r="C1315" s="47" t="s">
        <v>83</v>
      </c>
      <c r="E1315" s="47">
        <v>382</v>
      </c>
      <c r="F1315" s="47">
        <v>13</v>
      </c>
      <c r="J1315" s="47">
        <v>15</v>
      </c>
      <c r="K1315" s="47" t="s">
        <v>387</v>
      </c>
    </row>
    <row r="1316" spans="1:11">
      <c r="A1316" s="2">
        <v>43948</v>
      </c>
      <c r="B1316" s="47">
        <v>0.33333333333333331</v>
      </c>
      <c r="C1316" s="47" t="s">
        <v>44</v>
      </c>
      <c r="E1316" s="47">
        <v>1722</v>
      </c>
      <c r="F1316" s="47">
        <v>54</v>
      </c>
      <c r="G1316" s="47">
        <v>10</v>
      </c>
      <c r="H1316" s="47">
        <v>9</v>
      </c>
      <c r="J1316" s="47">
        <v>83</v>
      </c>
      <c r="K1316" s="47" t="s">
        <v>46</v>
      </c>
    </row>
    <row r="1317" spans="1:11">
      <c r="A1317" s="2">
        <v>43948</v>
      </c>
      <c r="B1317" s="47">
        <v>0.33333333333333331</v>
      </c>
      <c r="C1317" s="47" t="s">
        <v>91</v>
      </c>
      <c r="E1317" s="47">
        <v>3169</v>
      </c>
      <c r="F1317" s="47">
        <v>188</v>
      </c>
      <c r="G1317" s="47">
        <v>34</v>
      </c>
      <c r="H1317" s="47">
        <v>25</v>
      </c>
      <c r="I1317" s="47">
        <v>709</v>
      </c>
      <c r="J1317" s="47">
        <v>311</v>
      </c>
      <c r="K1317" s="47" t="s">
        <v>410</v>
      </c>
    </row>
    <row r="1318" spans="1:11">
      <c r="A1318" s="2">
        <v>43948</v>
      </c>
      <c r="B1318" s="47">
        <v>0.33333333333333331</v>
      </c>
      <c r="C1318" s="47" t="s">
        <v>102</v>
      </c>
      <c r="E1318" s="47">
        <v>185</v>
      </c>
      <c r="F1318" s="47">
        <v>7</v>
      </c>
      <c r="G1318" s="47">
        <v>3</v>
      </c>
      <c r="I1318" s="47">
        <v>134</v>
      </c>
      <c r="J1318" s="47">
        <v>8</v>
      </c>
      <c r="K1318" s="47" t="s">
        <v>381</v>
      </c>
    </row>
    <row r="1319" spans="1:11">
      <c r="A1319" s="2">
        <v>43948</v>
      </c>
      <c r="B1319" s="47">
        <v>0.39583333333333331</v>
      </c>
      <c r="C1319" s="47" t="s">
        <v>81</v>
      </c>
      <c r="E1319" s="47">
        <v>73</v>
      </c>
      <c r="F1319" s="47">
        <v>12</v>
      </c>
      <c r="G1319" s="47">
        <v>3</v>
      </c>
      <c r="J1319" s="47">
        <v>5</v>
      </c>
      <c r="K1319" s="47" t="s">
        <v>606</v>
      </c>
    </row>
    <row r="1320" spans="1:11">
      <c r="A1320" s="2">
        <v>43948</v>
      </c>
      <c r="B1320" s="47">
        <v>0.41666666666666669</v>
      </c>
      <c r="C1320" s="47" t="s">
        <v>86</v>
      </c>
      <c r="E1320" s="47">
        <v>293</v>
      </c>
      <c r="I1320" s="47">
        <v>216</v>
      </c>
      <c r="J1320" s="47">
        <v>18</v>
      </c>
      <c r="K1320" s="47" t="s">
        <v>607</v>
      </c>
    </row>
    <row r="1321" spans="1:11">
      <c r="A1321" s="2">
        <v>43948</v>
      </c>
      <c r="B1321" s="47">
        <v>0.42708333333333331</v>
      </c>
      <c r="C1321" s="47" t="s">
        <v>41</v>
      </c>
      <c r="E1321" s="47">
        <v>94</v>
      </c>
      <c r="F1321" s="47">
        <v>2</v>
      </c>
      <c r="G1321" s="47">
        <v>2</v>
      </c>
      <c r="J1321" s="47">
        <v>3</v>
      </c>
      <c r="K1321" s="47" t="s">
        <v>43</v>
      </c>
    </row>
    <row r="1322" spans="1:11">
      <c r="A1322" s="2">
        <v>43948</v>
      </c>
      <c r="B1322" s="47">
        <v>0.4375</v>
      </c>
      <c r="C1322" s="47" t="s">
        <v>50</v>
      </c>
      <c r="E1322" s="47">
        <v>941</v>
      </c>
      <c r="J1322" s="47">
        <v>46</v>
      </c>
      <c r="K1322" s="47" t="s">
        <v>409</v>
      </c>
    </row>
    <row r="1323" spans="1:11">
      <c r="A1323" s="2">
        <v>43948</v>
      </c>
      <c r="B1323" s="47">
        <v>0.45833333333333331</v>
      </c>
      <c r="C1323" s="47" t="s">
        <v>38</v>
      </c>
      <c r="E1323" s="47">
        <v>25</v>
      </c>
      <c r="K1323" s="47" t="s">
        <v>40</v>
      </c>
    </row>
    <row r="1324" spans="1:11">
      <c r="A1324" s="2">
        <v>43948</v>
      </c>
      <c r="B1324" s="47">
        <v>0.5</v>
      </c>
      <c r="C1324" s="47" t="s">
        <v>68</v>
      </c>
      <c r="E1324" s="47">
        <v>674</v>
      </c>
      <c r="F1324" s="47">
        <v>32</v>
      </c>
      <c r="G1324" s="47">
        <v>7</v>
      </c>
      <c r="J1324" s="47">
        <v>16</v>
      </c>
      <c r="K1324" s="47" t="s">
        <v>70</v>
      </c>
    </row>
    <row r="1325" spans="1:11">
      <c r="A1325" s="2">
        <v>43948</v>
      </c>
      <c r="B1325" s="47">
        <v>0.5625</v>
      </c>
      <c r="C1325" s="47" t="s">
        <v>61</v>
      </c>
      <c r="E1325" s="47">
        <v>121</v>
      </c>
      <c r="F1325" s="47">
        <v>3</v>
      </c>
      <c r="J1325" s="47">
        <v>7</v>
      </c>
      <c r="K1325" s="47" t="s">
        <v>427</v>
      </c>
    </row>
    <row r="1326" spans="1:11">
      <c r="A1326" s="2">
        <v>43948</v>
      </c>
      <c r="B1326" s="47">
        <v>0.58333333333333337</v>
      </c>
      <c r="C1326" s="47" t="s">
        <v>94</v>
      </c>
      <c r="E1326" s="47">
        <v>83</v>
      </c>
      <c r="F1326" s="47">
        <v>4</v>
      </c>
      <c r="I1326" s="47">
        <v>69</v>
      </c>
      <c r="J1326" s="47">
        <v>5</v>
      </c>
      <c r="K1326" s="47" t="s">
        <v>96</v>
      </c>
    </row>
    <row r="1327" spans="1:11">
      <c r="A1327" s="2">
        <v>43948</v>
      </c>
      <c r="B1327" s="47">
        <v>0.60416666666666663</v>
      </c>
      <c r="C1327" s="47" t="s">
        <v>104</v>
      </c>
      <c r="E1327" s="47">
        <v>3418</v>
      </c>
      <c r="F1327" s="47">
        <v>73</v>
      </c>
      <c r="H1327" s="47">
        <v>24</v>
      </c>
      <c r="J1327" s="47">
        <v>119</v>
      </c>
      <c r="K1327" s="47" t="s">
        <v>106</v>
      </c>
    </row>
    <row r="1328" spans="1:11">
      <c r="A1328" s="2">
        <v>43948</v>
      </c>
      <c r="B1328" s="47">
        <v>0.61458333333333337</v>
      </c>
      <c r="C1328" s="47" t="s">
        <v>34</v>
      </c>
      <c r="E1328" s="47">
        <v>1088</v>
      </c>
      <c r="F1328" s="47">
        <v>42</v>
      </c>
      <c r="G1328" s="47">
        <v>15</v>
      </c>
      <c r="H1328" s="47">
        <v>14</v>
      </c>
      <c r="I1328" s="47">
        <v>830</v>
      </c>
      <c r="J1328" s="47">
        <v>33</v>
      </c>
      <c r="K1328" s="47" t="s">
        <v>408</v>
      </c>
    </row>
    <row r="1329" spans="1:11">
      <c r="A1329" s="2">
        <v>43948</v>
      </c>
      <c r="B1329" s="47">
        <v>0.64583333333333337</v>
      </c>
      <c r="C1329" s="47" t="s">
        <v>75</v>
      </c>
      <c r="E1329" s="47">
        <v>75</v>
      </c>
      <c r="F1329" s="47">
        <v>0</v>
      </c>
      <c r="J1329" s="47">
        <v>0</v>
      </c>
      <c r="K1329" s="47" t="s">
        <v>77</v>
      </c>
    </row>
    <row r="1330" spans="1:11">
      <c r="A1330" s="2">
        <v>43949</v>
      </c>
      <c r="C1330" s="47" t="s">
        <v>47</v>
      </c>
      <c r="E1330" s="47">
        <v>818</v>
      </c>
      <c r="F1330" s="47">
        <v>15</v>
      </c>
      <c r="G1330" s="47">
        <v>1</v>
      </c>
      <c r="H1330" s="47">
        <v>0</v>
      </c>
      <c r="I1330" s="47">
        <v>747</v>
      </c>
      <c r="J1330" s="47">
        <v>30</v>
      </c>
      <c r="K1330" s="47" t="s">
        <v>49</v>
      </c>
    </row>
    <row r="1331" spans="1:11">
      <c r="A1331" s="2">
        <v>43949</v>
      </c>
      <c r="C1331" s="47" t="s">
        <v>53</v>
      </c>
      <c r="E1331" s="47">
        <v>82</v>
      </c>
      <c r="J1331" s="47">
        <v>1</v>
      </c>
      <c r="K1331" s="47" t="s">
        <v>418</v>
      </c>
    </row>
    <row r="1332" spans="1:11">
      <c r="A1332" s="2">
        <v>43949</v>
      </c>
      <c r="C1332" s="47" t="s">
        <v>56</v>
      </c>
      <c r="E1332" s="47">
        <v>1044</v>
      </c>
      <c r="F1332" s="47">
        <v>49</v>
      </c>
      <c r="G1332" s="47">
        <v>5</v>
      </c>
      <c r="I1332" s="47">
        <v>121</v>
      </c>
      <c r="J1332" s="47">
        <v>78</v>
      </c>
      <c r="K1332" s="47" t="s">
        <v>640</v>
      </c>
    </row>
    <row r="1333" spans="1:11">
      <c r="A1333" s="2">
        <v>43949</v>
      </c>
      <c r="C1333" s="47" t="s">
        <v>58</v>
      </c>
      <c r="D1333" s="47">
        <v>25000</v>
      </c>
      <c r="E1333" s="47">
        <v>4785</v>
      </c>
      <c r="F1333" s="47">
        <v>277</v>
      </c>
      <c r="G1333" s="47">
        <v>23</v>
      </c>
      <c r="H1333" s="47">
        <v>21</v>
      </c>
      <c r="I1333" s="47">
        <v>617</v>
      </c>
      <c r="J1333" s="47">
        <v>244</v>
      </c>
      <c r="K1333" s="47" t="s">
        <v>60</v>
      </c>
    </row>
    <row r="1334" spans="1:11">
      <c r="A1334" s="2">
        <v>43949</v>
      </c>
      <c r="C1334" s="47" t="s">
        <v>63</v>
      </c>
      <c r="E1334" s="47">
        <v>809</v>
      </c>
      <c r="F1334" s="47">
        <v>27</v>
      </c>
      <c r="J1334" s="47">
        <v>45</v>
      </c>
      <c r="K1334" s="47" t="s">
        <v>65</v>
      </c>
    </row>
    <row r="1335" spans="1:11">
      <c r="A1335" s="2">
        <v>43949</v>
      </c>
      <c r="C1335" s="47" t="s">
        <v>66</v>
      </c>
      <c r="E1335" s="47">
        <v>197</v>
      </c>
      <c r="F1335" s="47">
        <v>10</v>
      </c>
      <c r="G1335" s="47">
        <v>5</v>
      </c>
      <c r="J1335" s="47">
        <v>7</v>
      </c>
      <c r="K1335" s="47" t="s">
        <v>433</v>
      </c>
    </row>
    <row r="1336" spans="1:11">
      <c r="A1336" s="2">
        <v>43949</v>
      </c>
      <c r="C1336" s="47" t="s">
        <v>68</v>
      </c>
      <c r="E1336" s="47">
        <v>677</v>
      </c>
      <c r="F1336" s="47">
        <v>29</v>
      </c>
      <c r="G1336" s="47">
        <v>7</v>
      </c>
      <c r="J1336" s="47">
        <v>17</v>
      </c>
      <c r="K1336" s="47" t="s">
        <v>70</v>
      </c>
    </row>
    <row r="1337" spans="1:11">
      <c r="A1337" s="2">
        <v>43949</v>
      </c>
      <c r="C1337" s="47" t="s">
        <v>71</v>
      </c>
      <c r="E1337" s="47">
        <v>676</v>
      </c>
      <c r="F1337" s="47">
        <v>26</v>
      </c>
      <c r="G1337" s="47">
        <v>3</v>
      </c>
      <c r="H1337" s="47">
        <v>3</v>
      </c>
      <c r="J1337" s="47">
        <v>74</v>
      </c>
      <c r="K1337" s="47" t="s">
        <v>377</v>
      </c>
    </row>
    <row r="1338" spans="1:11">
      <c r="A1338" s="2">
        <v>43949</v>
      </c>
      <c r="C1338" s="47" t="s">
        <v>73</v>
      </c>
      <c r="E1338" s="47">
        <v>111</v>
      </c>
      <c r="F1338" s="47">
        <v>2</v>
      </c>
      <c r="G1338" s="47">
        <v>0</v>
      </c>
      <c r="J1338" s="47">
        <v>3</v>
      </c>
      <c r="K1338" s="47" t="s">
        <v>357</v>
      </c>
    </row>
    <row r="1339" spans="1:11">
      <c r="A1339" s="2">
        <v>43949</v>
      </c>
      <c r="C1339" s="47" t="s">
        <v>78</v>
      </c>
      <c r="E1339" s="47">
        <v>775</v>
      </c>
      <c r="F1339" s="47">
        <v>44</v>
      </c>
      <c r="G1339" s="47">
        <v>3</v>
      </c>
      <c r="I1339" s="47">
        <v>176</v>
      </c>
      <c r="J1339" s="47">
        <v>33</v>
      </c>
      <c r="K1339" s="47" t="s">
        <v>80</v>
      </c>
    </row>
    <row r="1340" spans="1:11">
      <c r="A1340" s="2">
        <v>43949</v>
      </c>
      <c r="C1340" s="47" t="s">
        <v>88</v>
      </c>
      <c r="E1340" s="47">
        <v>362</v>
      </c>
      <c r="F1340" s="47">
        <v>21</v>
      </c>
      <c r="G1340" s="47">
        <v>8</v>
      </c>
      <c r="J1340" s="47">
        <v>17</v>
      </c>
      <c r="K1340" s="47" t="s">
        <v>90</v>
      </c>
    </row>
    <row r="1341" spans="1:11">
      <c r="A1341" s="2">
        <v>43949</v>
      </c>
      <c r="C1341" s="47" t="s">
        <v>97</v>
      </c>
      <c r="E1341" s="47">
        <v>5273</v>
      </c>
      <c r="F1341" s="47">
        <v>156</v>
      </c>
      <c r="G1341" s="47">
        <v>32</v>
      </c>
      <c r="J1341" s="47">
        <v>375</v>
      </c>
      <c r="K1341" s="47" t="s">
        <v>99</v>
      </c>
    </row>
    <row r="1342" spans="1:11">
      <c r="A1342" s="2">
        <v>43949</v>
      </c>
      <c r="C1342" s="47" t="s">
        <v>100</v>
      </c>
      <c r="E1342" s="47">
        <v>1852</v>
      </c>
      <c r="F1342" s="47">
        <v>56</v>
      </c>
      <c r="G1342" s="47">
        <v>13</v>
      </c>
      <c r="H1342" s="47">
        <v>9</v>
      </c>
      <c r="I1342" s="47">
        <v>233</v>
      </c>
      <c r="J1342" s="47">
        <v>135</v>
      </c>
      <c r="K1342" s="47" t="s">
        <v>419</v>
      </c>
    </row>
    <row r="1343" spans="1:11">
      <c r="A1343" s="2">
        <v>43949</v>
      </c>
      <c r="B1343" s="47">
        <v>0</v>
      </c>
      <c r="C1343" s="47" t="s">
        <v>83</v>
      </c>
      <c r="E1343" s="47">
        <v>383</v>
      </c>
      <c r="F1343" s="47">
        <v>13</v>
      </c>
      <c r="J1343" s="47">
        <v>15</v>
      </c>
      <c r="K1343" s="47" t="s">
        <v>387</v>
      </c>
    </row>
    <row r="1344" spans="1:11">
      <c r="A1344" s="2">
        <v>43949</v>
      </c>
      <c r="B1344" s="47">
        <v>0.33333333333333331</v>
      </c>
      <c r="C1344" s="47" t="s">
        <v>44</v>
      </c>
      <c r="E1344" s="47">
        <v>1733</v>
      </c>
      <c r="F1344" s="47">
        <v>47</v>
      </c>
      <c r="G1344" s="47">
        <v>7</v>
      </c>
      <c r="H1344" s="47">
        <v>7</v>
      </c>
      <c r="J1344" s="47">
        <v>83</v>
      </c>
      <c r="K1344" s="47" t="s">
        <v>46</v>
      </c>
    </row>
    <row r="1345" spans="1:11">
      <c r="A1345" s="2">
        <v>43949</v>
      </c>
      <c r="B1345" s="47">
        <v>0.33333333333333331</v>
      </c>
      <c r="C1345" s="47" t="s">
        <v>91</v>
      </c>
      <c r="E1345" s="47">
        <v>3176</v>
      </c>
      <c r="F1345" s="47">
        <v>186</v>
      </c>
      <c r="G1345" s="47">
        <v>30</v>
      </c>
      <c r="H1345" s="47">
        <v>22</v>
      </c>
      <c r="I1345" s="47">
        <v>712</v>
      </c>
      <c r="J1345" s="47">
        <v>316</v>
      </c>
      <c r="K1345" s="47" t="s">
        <v>420</v>
      </c>
    </row>
    <row r="1346" spans="1:11">
      <c r="A1346" s="2">
        <v>43949</v>
      </c>
      <c r="B1346" s="47">
        <v>0.33333333333333331</v>
      </c>
      <c r="C1346" s="47" t="s">
        <v>102</v>
      </c>
      <c r="E1346" s="47">
        <v>185</v>
      </c>
      <c r="F1346" s="47">
        <v>7</v>
      </c>
      <c r="G1346" s="47">
        <v>3</v>
      </c>
      <c r="I1346" s="47">
        <v>134</v>
      </c>
      <c r="J1346" s="47">
        <v>8</v>
      </c>
      <c r="K1346" s="47" t="s">
        <v>381</v>
      </c>
    </row>
    <row r="1347" spans="1:11">
      <c r="A1347" s="2">
        <v>43949</v>
      </c>
      <c r="B1347" s="47">
        <v>0.39583333333333331</v>
      </c>
      <c r="C1347" s="47" t="s">
        <v>50</v>
      </c>
      <c r="E1347" s="47">
        <v>943</v>
      </c>
      <c r="F1347" s="47">
        <v>28</v>
      </c>
      <c r="G1347" s="47">
        <v>7</v>
      </c>
      <c r="J1347" s="47">
        <v>49</v>
      </c>
      <c r="K1347" s="47" t="s">
        <v>413</v>
      </c>
    </row>
    <row r="1348" spans="1:11">
      <c r="A1348" s="2">
        <v>43949</v>
      </c>
      <c r="B1348" s="47">
        <v>0.39583333333333331</v>
      </c>
      <c r="C1348" s="47" t="s">
        <v>81</v>
      </c>
      <c r="E1348" s="47">
        <v>74</v>
      </c>
      <c r="F1348" s="47">
        <v>10</v>
      </c>
      <c r="G1348" s="47">
        <v>2</v>
      </c>
      <c r="J1348" s="47">
        <v>6</v>
      </c>
      <c r="K1348" s="47" t="s">
        <v>606</v>
      </c>
    </row>
    <row r="1349" spans="1:11">
      <c r="A1349" s="2">
        <v>43949</v>
      </c>
      <c r="B1349" s="47">
        <v>0.40277777777777779</v>
      </c>
      <c r="C1349" s="47" t="s">
        <v>41</v>
      </c>
      <c r="E1349" s="47">
        <v>94</v>
      </c>
      <c r="F1349" s="47">
        <v>4</v>
      </c>
      <c r="G1349" s="47">
        <v>2</v>
      </c>
      <c r="J1349" s="47">
        <v>3</v>
      </c>
      <c r="K1349" s="47" t="s">
        <v>43</v>
      </c>
    </row>
    <row r="1350" spans="1:11">
      <c r="A1350" s="2">
        <v>43949</v>
      </c>
      <c r="B1350" s="47">
        <v>0.41666666666666669</v>
      </c>
      <c r="C1350" s="47" t="s">
        <v>86</v>
      </c>
      <c r="E1350" s="47">
        <v>295</v>
      </c>
      <c r="I1350" s="47">
        <v>223</v>
      </c>
      <c r="J1350" s="47">
        <v>20</v>
      </c>
      <c r="K1350" s="47" t="s">
        <v>607</v>
      </c>
    </row>
    <row r="1351" spans="1:11">
      <c r="A1351" s="2">
        <v>43949</v>
      </c>
      <c r="B1351" s="47">
        <v>0.45833333333333331</v>
      </c>
      <c r="C1351" s="47" t="s">
        <v>38</v>
      </c>
      <c r="E1351" s="47">
        <v>25</v>
      </c>
      <c r="K1351" s="47" t="s">
        <v>40</v>
      </c>
    </row>
    <row r="1352" spans="1:11">
      <c r="A1352" s="2">
        <v>43949</v>
      </c>
      <c r="B1352" s="47">
        <v>0.5</v>
      </c>
      <c r="C1352" s="47" t="s">
        <v>94</v>
      </c>
      <c r="E1352" s="47">
        <v>85</v>
      </c>
      <c r="F1352" s="47">
        <v>5</v>
      </c>
      <c r="I1352" s="47">
        <v>71</v>
      </c>
      <c r="J1352" s="47">
        <v>5</v>
      </c>
      <c r="K1352" s="47" t="s">
        <v>96</v>
      </c>
    </row>
    <row r="1353" spans="1:11">
      <c r="A1353" s="2">
        <v>43949</v>
      </c>
      <c r="B1353" s="47">
        <v>0.5625</v>
      </c>
      <c r="C1353" s="47" t="s">
        <v>61</v>
      </c>
      <c r="E1353" s="47">
        <v>121</v>
      </c>
      <c r="F1353" s="47">
        <v>3</v>
      </c>
      <c r="J1353" s="47">
        <v>8</v>
      </c>
      <c r="K1353" s="47" t="s">
        <v>427</v>
      </c>
    </row>
    <row r="1354" spans="1:11">
      <c r="A1354" s="2">
        <v>43949</v>
      </c>
      <c r="B1354" s="47">
        <v>0.60416666666666663</v>
      </c>
      <c r="C1354" s="47" t="s">
        <v>104</v>
      </c>
      <c r="E1354" s="47">
        <v>3433</v>
      </c>
      <c r="F1354" s="47">
        <v>84</v>
      </c>
      <c r="H1354" s="47">
        <v>19</v>
      </c>
      <c r="J1354" s="47">
        <v>119</v>
      </c>
      <c r="K1354" s="47" t="s">
        <v>106</v>
      </c>
    </row>
    <row r="1355" spans="1:11">
      <c r="A1355" s="2">
        <v>43949</v>
      </c>
      <c r="B1355" s="47">
        <v>0.61458333333333337</v>
      </c>
      <c r="C1355" s="47" t="s">
        <v>34</v>
      </c>
      <c r="E1355" s="47">
        <v>1093</v>
      </c>
      <c r="F1355" s="47">
        <v>39</v>
      </c>
      <c r="G1355" s="47">
        <v>12</v>
      </c>
      <c r="H1355" s="47">
        <v>11</v>
      </c>
      <c r="I1355" s="47">
        <v>840</v>
      </c>
      <c r="J1355" s="47">
        <v>33</v>
      </c>
      <c r="K1355" s="47" t="s">
        <v>421</v>
      </c>
    </row>
    <row r="1356" spans="1:11">
      <c r="A1356" s="2">
        <v>43949</v>
      </c>
      <c r="B1356" s="47">
        <v>0.63541666666666663</v>
      </c>
      <c r="C1356" s="47" t="s">
        <v>75</v>
      </c>
      <c r="E1356" s="47">
        <v>78</v>
      </c>
      <c r="F1356" s="47">
        <v>1</v>
      </c>
      <c r="J1356" s="47">
        <v>0</v>
      </c>
      <c r="K1356" s="47" t="s">
        <v>77</v>
      </c>
    </row>
    <row r="1357" spans="1:11">
      <c r="A1357" s="2">
        <v>43950</v>
      </c>
      <c r="C1357" s="47" t="s">
        <v>47</v>
      </c>
      <c r="E1357" s="47">
        <v>822</v>
      </c>
      <c r="F1357" s="47">
        <v>12</v>
      </c>
      <c r="G1357" s="47">
        <v>1</v>
      </c>
      <c r="H1357" s="47">
        <v>1</v>
      </c>
      <c r="I1357" s="47">
        <v>752</v>
      </c>
      <c r="J1357" s="47">
        <v>30</v>
      </c>
      <c r="K1357" s="47" t="s">
        <v>49</v>
      </c>
    </row>
    <row r="1358" spans="1:11">
      <c r="A1358" s="2">
        <v>43950</v>
      </c>
      <c r="C1358" s="47" t="s">
        <v>53</v>
      </c>
      <c r="E1358" s="47">
        <v>82</v>
      </c>
      <c r="K1358" s="47" t="s">
        <v>422</v>
      </c>
    </row>
    <row r="1359" spans="1:11">
      <c r="A1359" s="2">
        <v>43950</v>
      </c>
      <c r="C1359" s="47" t="s">
        <v>56</v>
      </c>
      <c r="E1359" s="47">
        <v>1057</v>
      </c>
      <c r="F1359" s="47">
        <v>48</v>
      </c>
      <c r="G1359" s="47">
        <v>7</v>
      </c>
      <c r="I1359" s="47">
        <v>123</v>
      </c>
      <c r="J1359" s="47">
        <v>78</v>
      </c>
      <c r="K1359" s="47" t="s">
        <v>640</v>
      </c>
    </row>
    <row r="1360" spans="1:11">
      <c r="A1360" s="2">
        <v>43950</v>
      </c>
      <c r="C1360" s="47" t="s">
        <v>63</v>
      </c>
      <c r="E1360" s="47">
        <v>811</v>
      </c>
      <c r="F1360" s="47">
        <v>23</v>
      </c>
      <c r="J1360" s="47">
        <v>45</v>
      </c>
      <c r="K1360" s="47" t="s">
        <v>65</v>
      </c>
    </row>
    <row r="1361" spans="1:11">
      <c r="A1361" s="2">
        <v>43950</v>
      </c>
      <c r="C1361" s="47" t="s">
        <v>66</v>
      </c>
      <c r="E1361" s="47">
        <v>197</v>
      </c>
      <c r="F1361" s="47">
        <v>9</v>
      </c>
      <c r="G1361" s="47">
        <v>5</v>
      </c>
      <c r="J1361" s="47">
        <v>7</v>
      </c>
      <c r="K1361" s="47" t="s">
        <v>433</v>
      </c>
    </row>
    <row r="1362" spans="1:11">
      <c r="A1362" s="2">
        <v>43950</v>
      </c>
      <c r="C1362" s="47" t="s">
        <v>68</v>
      </c>
      <c r="E1362" s="47">
        <v>687</v>
      </c>
      <c r="F1362" s="47">
        <v>31</v>
      </c>
      <c r="G1362" s="47">
        <v>8</v>
      </c>
      <c r="J1362" s="47">
        <v>17</v>
      </c>
      <c r="K1362" s="47" t="s">
        <v>70</v>
      </c>
    </row>
    <row r="1363" spans="1:11">
      <c r="A1363" s="2">
        <v>43950</v>
      </c>
      <c r="C1363" s="47" t="s">
        <v>71</v>
      </c>
      <c r="E1363" s="47">
        <v>677</v>
      </c>
      <c r="F1363" s="47">
        <v>26</v>
      </c>
      <c r="G1363" s="47">
        <v>4</v>
      </c>
      <c r="H1363" s="47">
        <v>4</v>
      </c>
      <c r="K1363" s="47" t="s">
        <v>377</v>
      </c>
    </row>
    <row r="1364" spans="1:11">
      <c r="A1364" s="2">
        <v>43950</v>
      </c>
      <c r="C1364" s="47" t="s">
        <v>73</v>
      </c>
      <c r="E1364" s="47">
        <v>111</v>
      </c>
      <c r="F1364" s="47">
        <v>2</v>
      </c>
      <c r="G1364" s="47">
        <v>0</v>
      </c>
      <c r="J1364" s="47">
        <v>3</v>
      </c>
      <c r="K1364" s="47" t="s">
        <v>357</v>
      </c>
    </row>
    <row r="1365" spans="1:11">
      <c r="A1365" s="2">
        <v>43950</v>
      </c>
      <c r="C1365" s="47" t="s">
        <v>78</v>
      </c>
      <c r="E1365" s="47">
        <v>776</v>
      </c>
      <c r="F1365" s="47">
        <v>44</v>
      </c>
      <c r="G1365" s="47">
        <v>10</v>
      </c>
      <c r="I1365" s="47">
        <v>176</v>
      </c>
      <c r="J1365" s="47">
        <v>33</v>
      </c>
      <c r="K1365" s="47" t="s">
        <v>80</v>
      </c>
    </row>
    <row r="1366" spans="1:11">
      <c r="A1366" s="2">
        <v>43950</v>
      </c>
      <c r="C1366" s="47" t="s">
        <v>88</v>
      </c>
      <c r="E1366" s="47">
        <v>363</v>
      </c>
      <c r="F1366" s="47">
        <v>15</v>
      </c>
      <c r="G1366" s="47">
        <v>7</v>
      </c>
      <c r="J1366" s="47">
        <v>17</v>
      </c>
      <c r="K1366" s="47" t="s">
        <v>90</v>
      </c>
    </row>
    <row r="1367" spans="1:11">
      <c r="A1367" s="2">
        <v>43950</v>
      </c>
      <c r="C1367" s="47" t="s">
        <v>97</v>
      </c>
      <c r="E1367" s="47">
        <v>5283</v>
      </c>
      <c r="F1367" s="47">
        <v>146</v>
      </c>
      <c r="G1367" s="47">
        <v>31</v>
      </c>
      <c r="J1367" s="47">
        <v>376</v>
      </c>
      <c r="K1367" s="47" t="s">
        <v>99</v>
      </c>
    </row>
    <row r="1368" spans="1:11">
      <c r="A1368" s="2">
        <v>43950</v>
      </c>
      <c r="C1368" s="47" t="s">
        <v>100</v>
      </c>
      <c r="E1368" s="47">
        <v>1853</v>
      </c>
      <c r="F1368" s="47">
        <v>56</v>
      </c>
      <c r="G1368" s="47">
        <v>11</v>
      </c>
      <c r="H1368" s="47">
        <v>9</v>
      </c>
      <c r="I1368" s="47">
        <v>237</v>
      </c>
      <c r="J1368" s="47">
        <v>136</v>
      </c>
      <c r="K1368" s="47" t="s">
        <v>419</v>
      </c>
    </row>
    <row r="1369" spans="1:11">
      <c r="A1369" s="2">
        <v>43950</v>
      </c>
      <c r="B1369" s="47">
        <v>0</v>
      </c>
      <c r="C1369" s="47" t="s">
        <v>83</v>
      </c>
      <c r="E1369" s="47">
        <v>384</v>
      </c>
      <c r="F1369" s="47">
        <v>12</v>
      </c>
      <c r="J1369" s="47">
        <v>15</v>
      </c>
      <c r="K1369" s="47" t="s">
        <v>387</v>
      </c>
    </row>
    <row r="1370" spans="1:11">
      <c r="A1370" s="2">
        <v>43950</v>
      </c>
      <c r="B1370" s="47">
        <v>0.33333333333333331</v>
      </c>
      <c r="C1370" s="47" t="s">
        <v>44</v>
      </c>
      <c r="E1370" s="47">
        <v>1741</v>
      </c>
      <c r="F1370" s="47">
        <v>44</v>
      </c>
      <c r="G1370" s="47">
        <v>10</v>
      </c>
      <c r="H1370" s="47">
        <v>10</v>
      </c>
      <c r="J1370" s="47">
        <v>83</v>
      </c>
      <c r="K1370" s="47" t="s">
        <v>46</v>
      </c>
    </row>
    <row r="1371" spans="1:11">
      <c r="A1371" s="2">
        <v>43950</v>
      </c>
      <c r="B1371" s="47">
        <v>0.33333333333333331</v>
      </c>
      <c r="C1371" s="47" t="s">
        <v>91</v>
      </c>
      <c r="E1371" s="47">
        <v>3191</v>
      </c>
      <c r="F1371" s="47">
        <v>172</v>
      </c>
      <c r="G1371" s="47">
        <v>29</v>
      </c>
      <c r="H1371" s="47">
        <v>21</v>
      </c>
      <c r="I1371" s="47">
        <v>728</v>
      </c>
      <c r="J1371" s="47">
        <v>318</v>
      </c>
      <c r="K1371" s="47" t="s">
        <v>423</v>
      </c>
    </row>
    <row r="1372" spans="1:11">
      <c r="A1372" s="2">
        <v>43950</v>
      </c>
      <c r="B1372" s="47">
        <v>0.33333333333333331</v>
      </c>
      <c r="C1372" s="47" t="s">
        <v>102</v>
      </c>
      <c r="E1372" s="47">
        <v>185</v>
      </c>
      <c r="F1372" s="47">
        <v>6</v>
      </c>
      <c r="G1372" s="47">
        <v>3</v>
      </c>
      <c r="I1372" s="47">
        <v>135</v>
      </c>
      <c r="J1372" s="47">
        <v>8</v>
      </c>
      <c r="K1372" s="47" t="s">
        <v>381</v>
      </c>
    </row>
    <row r="1373" spans="1:11">
      <c r="A1373" s="2">
        <v>43950</v>
      </c>
      <c r="B1373" s="47">
        <v>0.39583333333333331</v>
      </c>
      <c r="C1373" s="47" t="s">
        <v>81</v>
      </c>
      <c r="E1373" s="47">
        <v>74</v>
      </c>
      <c r="F1373" s="47">
        <v>12</v>
      </c>
      <c r="G1373" s="47">
        <v>2</v>
      </c>
      <c r="J1373" s="47">
        <v>6</v>
      </c>
      <c r="K1373" s="47" t="s">
        <v>606</v>
      </c>
    </row>
    <row r="1374" spans="1:11">
      <c r="A1374" s="2">
        <v>43950</v>
      </c>
      <c r="B1374" s="47">
        <v>0.41666666666666669</v>
      </c>
      <c r="C1374" s="47" t="s">
        <v>86</v>
      </c>
      <c r="E1374" s="47">
        <v>295</v>
      </c>
      <c r="I1374" s="47">
        <v>224</v>
      </c>
      <c r="J1374" s="47">
        <v>20</v>
      </c>
      <c r="K1374" s="47" t="s">
        <v>607</v>
      </c>
    </row>
    <row r="1375" spans="1:11">
      <c r="A1375" s="2">
        <v>43950</v>
      </c>
      <c r="B1375" s="47">
        <v>0.43055555555555558</v>
      </c>
      <c r="C1375" s="47" t="s">
        <v>41</v>
      </c>
      <c r="E1375" s="47">
        <v>94</v>
      </c>
      <c r="F1375" s="47">
        <v>2</v>
      </c>
      <c r="G1375" s="47">
        <v>2</v>
      </c>
      <c r="J1375" s="47">
        <v>3</v>
      </c>
      <c r="K1375" s="47" t="s">
        <v>43</v>
      </c>
    </row>
    <row r="1376" spans="1:11">
      <c r="A1376" s="2">
        <v>43950</v>
      </c>
      <c r="B1376" s="47">
        <v>0.4375</v>
      </c>
      <c r="C1376" s="47" t="s">
        <v>50</v>
      </c>
      <c r="E1376" s="47">
        <v>946</v>
      </c>
      <c r="F1376" s="47">
        <v>26</v>
      </c>
      <c r="G1376" s="47">
        <v>7</v>
      </c>
      <c r="I1376" s="47">
        <v>810</v>
      </c>
      <c r="J1376" s="47">
        <v>49</v>
      </c>
      <c r="K1376" s="47" t="s">
        <v>417</v>
      </c>
    </row>
    <row r="1377" spans="1:11">
      <c r="A1377" s="2">
        <v>43950</v>
      </c>
      <c r="B1377" s="47">
        <v>0.45833333333333331</v>
      </c>
      <c r="C1377" s="47" t="s">
        <v>38</v>
      </c>
      <c r="E1377" s="47">
        <v>25</v>
      </c>
      <c r="K1377" s="47" t="s">
        <v>40</v>
      </c>
    </row>
    <row r="1378" spans="1:11">
      <c r="A1378" s="2">
        <v>43950</v>
      </c>
      <c r="B1378" s="47">
        <v>0.5</v>
      </c>
      <c r="C1378" s="47" t="s">
        <v>58</v>
      </c>
      <c r="D1378" s="47">
        <v>25223</v>
      </c>
      <c r="E1378" s="47">
        <v>4927</v>
      </c>
      <c r="F1378" s="47">
        <v>252</v>
      </c>
      <c r="G1378" s="47">
        <v>19</v>
      </c>
      <c r="H1378" s="47">
        <v>18</v>
      </c>
      <c r="I1378" s="47">
        <v>640</v>
      </c>
      <c r="J1378" s="47">
        <v>248</v>
      </c>
      <c r="K1378" s="47" t="s">
        <v>434</v>
      </c>
    </row>
    <row r="1379" spans="1:11">
      <c r="A1379" s="2">
        <v>43950</v>
      </c>
      <c r="B1379" s="47">
        <v>0.5625</v>
      </c>
      <c r="C1379" s="47" t="s">
        <v>61</v>
      </c>
      <c r="E1379" s="47">
        <v>122</v>
      </c>
      <c r="F1379" s="47">
        <v>3</v>
      </c>
      <c r="J1379" s="47">
        <v>9</v>
      </c>
      <c r="K1379" s="47" t="s">
        <v>427</v>
      </c>
    </row>
    <row r="1380" spans="1:11">
      <c r="A1380" s="2">
        <v>43950</v>
      </c>
      <c r="B1380" s="47">
        <v>0.58333333333333337</v>
      </c>
      <c r="C1380" s="47" t="s">
        <v>94</v>
      </c>
      <c r="E1380" s="47">
        <v>85</v>
      </c>
      <c r="F1380" s="47">
        <v>5</v>
      </c>
      <c r="I1380" s="47">
        <v>71</v>
      </c>
      <c r="J1380" s="47">
        <v>5</v>
      </c>
      <c r="K1380" s="47" t="s">
        <v>96</v>
      </c>
    </row>
    <row r="1381" spans="1:11">
      <c r="A1381" s="2">
        <v>43950</v>
      </c>
      <c r="B1381" s="47">
        <v>0.60416666666666663</v>
      </c>
      <c r="C1381" s="47" t="s">
        <v>104</v>
      </c>
      <c r="E1381" s="47">
        <v>3462</v>
      </c>
      <c r="F1381" s="47">
        <v>82</v>
      </c>
      <c r="H1381" s="47">
        <v>19</v>
      </c>
      <c r="J1381" s="47">
        <v>121</v>
      </c>
      <c r="K1381" s="47" t="s">
        <v>106</v>
      </c>
    </row>
    <row r="1382" spans="1:11">
      <c r="A1382" s="2">
        <v>43950</v>
      </c>
      <c r="B1382" s="47">
        <v>0.61458333333333337</v>
      </c>
      <c r="C1382" s="47" t="s">
        <v>34</v>
      </c>
      <c r="E1382" s="47">
        <v>1099</v>
      </c>
      <c r="F1382" s="47">
        <v>38</v>
      </c>
      <c r="G1382" s="47">
        <v>10</v>
      </c>
      <c r="H1382" s="47">
        <v>9</v>
      </c>
      <c r="I1382" s="47">
        <v>850</v>
      </c>
      <c r="J1382" s="47">
        <v>33</v>
      </c>
      <c r="K1382" s="47" t="s">
        <v>416</v>
      </c>
    </row>
    <row r="1383" spans="1:11">
      <c r="A1383" s="2">
        <v>43950</v>
      </c>
      <c r="B1383" s="47">
        <v>0.63541666666666663</v>
      </c>
      <c r="C1383" s="47" t="s">
        <v>75</v>
      </c>
      <c r="E1383" s="47">
        <v>78</v>
      </c>
      <c r="F1383" s="47">
        <v>2</v>
      </c>
      <c r="J1383" s="47">
        <v>0</v>
      </c>
      <c r="K1383" s="47" t="s">
        <v>77</v>
      </c>
    </row>
    <row r="1384" spans="1:11">
      <c r="A1384" s="2">
        <v>43951</v>
      </c>
      <c r="C1384" s="47" t="s">
        <v>47</v>
      </c>
      <c r="E1384" s="47">
        <v>824</v>
      </c>
      <c r="F1384" s="47">
        <v>9</v>
      </c>
      <c r="G1384" s="47">
        <v>1</v>
      </c>
      <c r="H1384" s="47">
        <v>1</v>
      </c>
      <c r="I1384" s="47">
        <v>756</v>
      </c>
      <c r="J1384" s="47">
        <v>30</v>
      </c>
      <c r="K1384" s="47" t="s">
        <v>49</v>
      </c>
    </row>
    <row r="1385" spans="1:11">
      <c r="A1385" s="2">
        <v>43951</v>
      </c>
      <c r="C1385" s="47" t="s">
        <v>53</v>
      </c>
      <c r="E1385" s="47">
        <v>82</v>
      </c>
      <c r="K1385" s="47" t="s">
        <v>435</v>
      </c>
    </row>
    <row r="1386" spans="1:11">
      <c r="A1386" s="2">
        <v>43951</v>
      </c>
      <c r="C1386" s="47" t="s">
        <v>56</v>
      </c>
      <c r="E1386" s="47">
        <v>1070</v>
      </c>
      <c r="F1386" s="47">
        <v>46</v>
      </c>
      <c r="G1386" s="47">
        <v>6</v>
      </c>
      <c r="I1386" s="47">
        <v>123</v>
      </c>
      <c r="J1386" s="47">
        <v>78</v>
      </c>
      <c r="K1386" s="47" t="s">
        <v>640</v>
      </c>
    </row>
    <row r="1387" spans="1:11">
      <c r="A1387" s="2">
        <v>43951</v>
      </c>
      <c r="C1387" s="47" t="s">
        <v>63</v>
      </c>
      <c r="E1387" s="47">
        <v>813</v>
      </c>
      <c r="F1387" s="47">
        <v>21</v>
      </c>
      <c r="J1387" s="47">
        <v>45</v>
      </c>
      <c r="K1387" s="47" t="s">
        <v>65</v>
      </c>
    </row>
    <row r="1388" spans="1:11">
      <c r="A1388" s="2">
        <v>43951</v>
      </c>
      <c r="C1388" s="47" t="s">
        <v>66</v>
      </c>
      <c r="E1388" s="47">
        <v>198</v>
      </c>
      <c r="F1388" s="47">
        <v>8</v>
      </c>
      <c r="G1388" s="47">
        <v>5</v>
      </c>
      <c r="J1388" s="47">
        <v>7</v>
      </c>
      <c r="K1388" s="47" t="s">
        <v>433</v>
      </c>
    </row>
    <row r="1389" spans="1:11">
      <c r="A1389" s="2">
        <v>43951</v>
      </c>
      <c r="C1389" s="47" t="s">
        <v>68</v>
      </c>
      <c r="E1389" s="47">
        <v>694</v>
      </c>
      <c r="F1389" s="47">
        <v>31</v>
      </c>
      <c r="G1389" s="47">
        <v>8</v>
      </c>
      <c r="J1389" s="47">
        <v>17</v>
      </c>
      <c r="K1389" s="47" t="s">
        <v>70</v>
      </c>
    </row>
    <row r="1390" spans="1:11">
      <c r="A1390" s="2">
        <v>43951</v>
      </c>
      <c r="C1390" s="47" t="s">
        <v>71</v>
      </c>
      <c r="F1390" s="47">
        <v>25</v>
      </c>
      <c r="G1390" s="47">
        <v>5</v>
      </c>
      <c r="H1390" s="47">
        <v>4</v>
      </c>
      <c r="K1390" s="47" t="s">
        <v>377</v>
      </c>
    </row>
    <row r="1391" spans="1:11">
      <c r="A1391" s="2">
        <v>43951</v>
      </c>
      <c r="C1391" s="47" t="s">
        <v>73</v>
      </c>
      <c r="E1391" s="47">
        <v>113</v>
      </c>
      <c r="F1391" s="47">
        <v>1</v>
      </c>
      <c r="G1391" s="47">
        <v>0</v>
      </c>
      <c r="J1391" s="47">
        <v>3</v>
      </c>
      <c r="K1391" s="47" t="s">
        <v>357</v>
      </c>
    </row>
    <row r="1392" spans="1:11">
      <c r="A1392" s="2">
        <v>43951</v>
      </c>
      <c r="C1392" s="47" t="s">
        <v>78</v>
      </c>
      <c r="E1392" s="47">
        <v>780</v>
      </c>
      <c r="F1392" s="47">
        <v>37</v>
      </c>
      <c r="G1392" s="47">
        <v>3</v>
      </c>
      <c r="I1392" s="47">
        <v>184</v>
      </c>
      <c r="J1392" s="47">
        <v>33</v>
      </c>
      <c r="K1392" s="47" t="s">
        <v>80</v>
      </c>
    </row>
    <row r="1393" spans="1:11">
      <c r="A1393" s="2">
        <v>43951</v>
      </c>
      <c r="C1393" s="47" t="s">
        <v>88</v>
      </c>
      <c r="E1393" s="47">
        <v>365</v>
      </c>
      <c r="F1393" s="47">
        <v>14</v>
      </c>
      <c r="G1393" s="47">
        <v>7</v>
      </c>
      <c r="J1393" s="47">
        <v>17</v>
      </c>
      <c r="K1393" s="47" t="s">
        <v>90</v>
      </c>
    </row>
    <row r="1394" spans="1:11">
      <c r="A1394" s="2">
        <v>43951</v>
      </c>
      <c r="C1394" s="47" t="s">
        <v>97</v>
      </c>
      <c r="E1394" s="47">
        <v>5284</v>
      </c>
      <c r="F1394" s="47">
        <v>142</v>
      </c>
      <c r="G1394" s="47">
        <v>27</v>
      </c>
      <c r="J1394" s="47">
        <v>377</v>
      </c>
      <c r="K1394" s="47" t="s">
        <v>99</v>
      </c>
    </row>
    <row r="1395" spans="1:11">
      <c r="A1395" s="2">
        <v>43951</v>
      </c>
      <c r="B1395" s="47">
        <v>0</v>
      </c>
      <c r="C1395" s="47" t="s">
        <v>83</v>
      </c>
      <c r="E1395" s="47">
        <v>388</v>
      </c>
      <c r="F1395" s="47">
        <v>12</v>
      </c>
      <c r="J1395" s="47">
        <v>15</v>
      </c>
      <c r="K1395" s="47" t="s">
        <v>387</v>
      </c>
    </row>
    <row r="1396" spans="1:11">
      <c r="A1396" s="2">
        <v>43951</v>
      </c>
      <c r="B1396" s="47">
        <v>0.33333333333333331</v>
      </c>
      <c r="C1396" s="47" t="s">
        <v>44</v>
      </c>
      <c r="E1396" s="47">
        <v>1757</v>
      </c>
      <c r="F1396" s="47">
        <v>39</v>
      </c>
      <c r="G1396" s="47">
        <v>9</v>
      </c>
      <c r="H1396" s="47">
        <v>9</v>
      </c>
      <c r="J1396" s="47">
        <v>85</v>
      </c>
      <c r="K1396" s="47" t="s">
        <v>46</v>
      </c>
    </row>
    <row r="1397" spans="1:11">
      <c r="A1397" s="2">
        <v>43951</v>
      </c>
      <c r="B1397" s="47">
        <v>0.33333333333333331</v>
      </c>
      <c r="C1397" s="47" t="s">
        <v>91</v>
      </c>
      <c r="E1397" s="47">
        <v>3210</v>
      </c>
      <c r="F1397" s="47">
        <v>162</v>
      </c>
      <c r="G1397" s="47">
        <v>30</v>
      </c>
      <c r="H1397" s="47">
        <v>23</v>
      </c>
      <c r="I1397" s="47">
        <v>739</v>
      </c>
      <c r="J1397" s="47">
        <v>321</v>
      </c>
      <c r="K1397" s="47" t="s">
        <v>436</v>
      </c>
    </row>
    <row r="1398" spans="1:11">
      <c r="A1398" s="2">
        <v>43951</v>
      </c>
      <c r="B1398" s="47">
        <v>0.33333333333333331</v>
      </c>
      <c r="C1398" s="47" t="s">
        <v>102</v>
      </c>
      <c r="E1398" s="47">
        <v>189</v>
      </c>
      <c r="F1398" s="47">
        <v>6</v>
      </c>
      <c r="G1398" s="47">
        <v>3</v>
      </c>
      <c r="I1398" s="47">
        <v>135</v>
      </c>
      <c r="J1398" s="47">
        <v>8</v>
      </c>
      <c r="K1398" s="47" t="s">
        <v>381</v>
      </c>
    </row>
    <row r="1399" spans="1:11">
      <c r="A1399" s="2">
        <v>43951</v>
      </c>
      <c r="B1399" s="47">
        <v>0.375</v>
      </c>
      <c r="C1399" s="47" t="s">
        <v>50</v>
      </c>
      <c r="E1399" s="47">
        <v>951</v>
      </c>
      <c r="F1399" s="47">
        <v>24</v>
      </c>
      <c r="G1399" s="47">
        <v>8</v>
      </c>
      <c r="I1399" s="47">
        <v>828</v>
      </c>
      <c r="J1399" s="47">
        <v>50</v>
      </c>
      <c r="K1399" s="47" t="s">
        <v>424</v>
      </c>
    </row>
    <row r="1400" spans="1:11">
      <c r="A1400" s="2">
        <v>43951</v>
      </c>
      <c r="B1400" s="47">
        <v>0.39583333333333331</v>
      </c>
      <c r="C1400" s="47" t="s">
        <v>81</v>
      </c>
      <c r="E1400" s="47">
        <v>75</v>
      </c>
      <c r="F1400" s="47">
        <v>8</v>
      </c>
      <c r="G1400" s="47">
        <v>2</v>
      </c>
      <c r="J1400" s="47">
        <v>6</v>
      </c>
      <c r="K1400" s="47" t="s">
        <v>606</v>
      </c>
    </row>
    <row r="1401" spans="1:11">
      <c r="A1401" s="2">
        <v>43951</v>
      </c>
      <c r="B1401" s="47">
        <v>0.41666666666666669</v>
      </c>
      <c r="C1401" s="47" t="s">
        <v>86</v>
      </c>
      <c r="E1401" s="47">
        <v>302</v>
      </c>
      <c r="I1401" s="47">
        <v>239</v>
      </c>
      <c r="J1401" s="47">
        <v>20</v>
      </c>
      <c r="K1401" s="47" t="s">
        <v>607</v>
      </c>
    </row>
    <row r="1402" spans="1:11">
      <c r="A1402" s="2">
        <v>43951</v>
      </c>
      <c r="B1402" s="47">
        <v>0.45833333333333331</v>
      </c>
      <c r="C1402" s="47" t="s">
        <v>38</v>
      </c>
      <c r="E1402" s="47">
        <v>25</v>
      </c>
      <c r="K1402" s="47" t="s">
        <v>40</v>
      </c>
    </row>
    <row r="1403" spans="1:11">
      <c r="A1403" s="2">
        <v>43951</v>
      </c>
      <c r="B1403" s="47">
        <v>0.54166666666666663</v>
      </c>
      <c r="C1403" s="47" t="s">
        <v>61</v>
      </c>
      <c r="E1403" s="47">
        <v>122</v>
      </c>
      <c r="F1403" s="47">
        <v>2</v>
      </c>
      <c r="J1403" s="47">
        <v>10</v>
      </c>
      <c r="K1403" s="47" t="s">
        <v>427</v>
      </c>
    </row>
    <row r="1404" spans="1:11">
      <c r="A1404" s="2">
        <v>43951</v>
      </c>
      <c r="B1404" s="47">
        <v>0.5625</v>
      </c>
      <c r="C1404" s="47" t="s">
        <v>41</v>
      </c>
      <c r="E1404" s="47">
        <v>95</v>
      </c>
      <c r="F1404" s="47">
        <v>2</v>
      </c>
      <c r="G1404" s="47">
        <v>2</v>
      </c>
      <c r="J1404" s="47">
        <v>3</v>
      </c>
      <c r="K1404" s="47" t="s">
        <v>43</v>
      </c>
    </row>
    <row r="1405" spans="1:11">
      <c r="A1405" s="2">
        <v>43951</v>
      </c>
      <c r="B1405" s="47">
        <v>0.60416666666666663</v>
      </c>
      <c r="C1405" s="47" t="s">
        <v>104</v>
      </c>
      <c r="E1405" s="47">
        <v>3473</v>
      </c>
      <c r="F1405" s="47">
        <v>61</v>
      </c>
      <c r="H1405" s="47">
        <v>15</v>
      </c>
      <c r="J1405" s="47">
        <v>123</v>
      </c>
      <c r="K1405" s="47" t="s">
        <v>106</v>
      </c>
    </row>
    <row r="1406" spans="1:11">
      <c r="A1406" s="2">
        <v>43951</v>
      </c>
      <c r="B1406" s="47">
        <v>0.61458333333333337</v>
      </c>
      <c r="C1406" s="47" t="s">
        <v>34</v>
      </c>
      <c r="E1406" s="47">
        <v>1108</v>
      </c>
      <c r="F1406" s="47">
        <v>33</v>
      </c>
      <c r="G1406" s="47">
        <v>9</v>
      </c>
      <c r="H1406" s="47">
        <v>8</v>
      </c>
      <c r="I1406" s="47">
        <v>870</v>
      </c>
      <c r="J1406" s="47">
        <v>33</v>
      </c>
      <c r="K1406" s="47" t="s">
        <v>431</v>
      </c>
    </row>
    <row r="1407" spans="1:11">
      <c r="A1407" s="2">
        <v>43951</v>
      </c>
      <c r="B1407" s="47">
        <v>0.625</v>
      </c>
      <c r="C1407" s="47" t="s">
        <v>100</v>
      </c>
      <c r="E1407" s="47">
        <v>1866</v>
      </c>
      <c r="F1407" s="47">
        <v>55</v>
      </c>
      <c r="G1407" s="47">
        <v>11</v>
      </c>
      <c r="H1407" s="47">
        <v>9</v>
      </c>
      <c r="I1407" s="47">
        <v>238</v>
      </c>
      <c r="J1407" s="47">
        <v>137</v>
      </c>
      <c r="K1407" s="47" t="s">
        <v>432</v>
      </c>
    </row>
    <row r="1408" spans="1:11">
      <c r="A1408" s="2">
        <v>43951</v>
      </c>
      <c r="B1408" s="47">
        <v>0.66666666666666663</v>
      </c>
      <c r="C1408" s="47" t="s">
        <v>75</v>
      </c>
      <c r="E1408" s="47">
        <v>78</v>
      </c>
      <c r="F1408" s="47">
        <v>0</v>
      </c>
      <c r="J1408" s="47">
        <v>0</v>
      </c>
      <c r="K1408" s="47" t="s">
        <v>77</v>
      </c>
    </row>
    <row r="1409" spans="1:11">
      <c r="A1409" s="2">
        <v>43951</v>
      </c>
      <c r="B1409" s="47">
        <v>0.66666666666666663</v>
      </c>
      <c r="C1409" s="47" t="s">
        <v>94</v>
      </c>
      <c r="E1409" s="47">
        <v>86</v>
      </c>
      <c r="F1409" s="47">
        <v>4</v>
      </c>
      <c r="I1409" s="47">
        <v>71</v>
      </c>
      <c r="J1409" s="47">
        <v>5</v>
      </c>
      <c r="K1409" s="47" t="s">
        <v>96</v>
      </c>
    </row>
    <row r="1410" spans="1:11">
      <c r="A1410" s="2">
        <v>43952</v>
      </c>
      <c r="C1410" s="47" t="s">
        <v>47</v>
      </c>
      <c r="E1410" s="47">
        <v>825</v>
      </c>
      <c r="F1410" s="47">
        <v>8</v>
      </c>
      <c r="G1410" s="47">
        <v>1</v>
      </c>
      <c r="H1410" s="47">
        <v>1</v>
      </c>
      <c r="I1410" s="47">
        <v>758</v>
      </c>
      <c r="J1410" s="47">
        <v>32</v>
      </c>
      <c r="K1410" s="47" t="s">
        <v>49</v>
      </c>
    </row>
    <row r="1411" spans="1:11">
      <c r="A1411" s="2">
        <v>43952</v>
      </c>
      <c r="C1411" s="47" t="s">
        <v>53</v>
      </c>
      <c r="E1411" s="47">
        <v>82</v>
      </c>
      <c r="K1411" s="47" t="s">
        <v>693</v>
      </c>
    </row>
    <row r="1412" spans="1:11">
      <c r="A1412" s="2">
        <v>43952</v>
      </c>
      <c r="C1412" s="47" t="s">
        <v>56</v>
      </c>
      <c r="E1412" s="47">
        <v>1078</v>
      </c>
      <c r="F1412" s="47">
        <v>43</v>
      </c>
      <c r="G1412" s="47">
        <v>5</v>
      </c>
      <c r="I1412" s="47">
        <v>123</v>
      </c>
      <c r="J1412" s="47">
        <v>78</v>
      </c>
      <c r="K1412" s="47" t="s">
        <v>640</v>
      </c>
    </row>
    <row r="1413" spans="1:11">
      <c r="A1413" s="2">
        <v>43952</v>
      </c>
      <c r="C1413" s="47" t="s">
        <v>68</v>
      </c>
      <c r="E1413" s="47">
        <v>703</v>
      </c>
      <c r="F1413" s="47">
        <v>40</v>
      </c>
      <c r="G1413" s="47">
        <v>8</v>
      </c>
      <c r="J1413" s="47">
        <v>17</v>
      </c>
      <c r="K1413" s="47" t="s">
        <v>70</v>
      </c>
    </row>
    <row r="1414" spans="1:11">
      <c r="A1414" s="2">
        <v>43952</v>
      </c>
      <c r="C1414" s="47" t="s">
        <v>78</v>
      </c>
      <c r="E1414" s="47">
        <v>788</v>
      </c>
      <c r="F1414" s="47">
        <v>36</v>
      </c>
      <c r="G1414" s="47">
        <v>3</v>
      </c>
      <c r="I1414" s="47">
        <v>187</v>
      </c>
      <c r="J1414" s="47">
        <v>33</v>
      </c>
      <c r="K1414" s="47" t="s">
        <v>80</v>
      </c>
    </row>
    <row r="1415" spans="1:11">
      <c r="A1415" s="2">
        <v>43952</v>
      </c>
      <c r="C1415" s="47" t="s">
        <v>88</v>
      </c>
      <c r="E1415" s="47">
        <v>367</v>
      </c>
      <c r="F1415" s="47">
        <v>14</v>
      </c>
      <c r="G1415" s="47">
        <v>7</v>
      </c>
      <c r="J1415" s="47">
        <v>17</v>
      </c>
      <c r="K1415" s="47" t="s">
        <v>90</v>
      </c>
    </row>
    <row r="1416" spans="1:11">
      <c r="A1416" s="2">
        <v>43952</v>
      </c>
      <c r="B1416" s="47">
        <v>0</v>
      </c>
      <c r="C1416" s="47" t="s">
        <v>83</v>
      </c>
      <c r="E1416" s="47">
        <v>390</v>
      </c>
      <c r="F1416" s="47">
        <v>12</v>
      </c>
      <c r="J1416" s="47">
        <v>15</v>
      </c>
      <c r="K1416" s="47" t="s">
        <v>387</v>
      </c>
    </row>
    <row r="1417" spans="1:11">
      <c r="A1417" s="2">
        <v>43952</v>
      </c>
      <c r="B1417" s="47">
        <v>0.33333333333333331</v>
      </c>
      <c r="C1417" s="47" t="s">
        <v>44</v>
      </c>
      <c r="E1417" s="47">
        <v>1767</v>
      </c>
      <c r="F1417" s="47">
        <v>40</v>
      </c>
      <c r="G1417" s="47">
        <v>9</v>
      </c>
      <c r="H1417" s="47">
        <v>7</v>
      </c>
      <c r="J1417" s="47">
        <v>86</v>
      </c>
      <c r="K1417" s="47" t="s">
        <v>46</v>
      </c>
    </row>
    <row r="1418" spans="1:11">
      <c r="A1418" s="2">
        <v>43952</v>
      </c>
      <c r="B1418" s="47">
        <v>0.33333333333333331</v>
      </c>
      <c r="C1418" s="47" t="s">
        <v>91</v>
      </c>
      <c r="E1418" s="47">
        <v>3218</v>
      </c>
      <c r="F1418" s="47">
        <v>142</v>
      </c>
      <c r="G1418" s="47">
        <v>25</v>
      </c>
      <c r="H1418" s="47">
        <v>20</v>
      </c>
      <c r="I1418" s="47">
        <v>764</v>
      </c>
      <c r="J1418" s="47">
        <v>322</v>
      </c>
      <c r="K1418" s="47" t="s">
        <v>723</v>
      </c>
    </row>
    <row r="1419" spans="1:11">
      <c r="A1419" s="2">
        <v>43952</v>
      </c>
      <c r="B1419" s="47">
        <v>0.33333333333333331</v>
      </c>
      <c r="C1419" s="47" t="s">
        <v>102</v>
      </c>
      <c r="E1419" s="47">
        <v>189</v>
      </c>
      <c r="F1419" s="47">
        <v>4</v>
      </c>
      <c r="G1419" s="47">
        <v>1</v>
      </c>
      <c r="I1419" s="47">
        <v>136</v>
      </c>
      <c r="J1419" s="47">
        <v>8</v>
      </c>
      <c r="K1419" s="47" t="s">
        <v>381</v>
      </c>
    </row>
    <row r="1420" spans="1:11">
      <c r="A1420" s="2">
        <v>43952</v>
      </c>
      <c r="B1420" s="47">
        <v>0.39583333333333331</v>
      </c>
      <c r="C1420" s="47" t="s">
        <v>81</v>
      </c>
      <c r="E1420" s="47">
        <v>75</v>
      </c>
      <c r="F1420" s="47">
        <v>7</v>
      </c>
      <c r="G1420" s="47">
        <v>2</v>
      </c>
      <c r="J1420" s="47">
        <v>6</v>
      </c>
      <c r="K1420" s="47" t="s">
        <v>606</v>
      </c>
    </row>
    <row r="1421" spans="1:11">
      <c r="A1421" s="2">
        <v>43952</v>
      </c>
      <c r="B1421" s="47">
        <v>0.41666666666666669</v>
      </c>
      <c r="C1421" s="47" t="s">
        <v>86</v>
      </c>
      <c r="E1421" s="47">
        <v>303</v>
      </c>
      <c r="I1421" s="47">
        <v>242</v>
      </c>
      <c r="J1421" s="47">
        <v>21</v>
      </c>
      <c r="K1421" s="47" t="s">
        <v>607</v>
      </c>
    </row>
    <row r="1422" spans="1:11">
      <c r="A1422" s="2">
        <v>43952</v>
      </c>
      <c r="B1422" s="47">
        <v>0.45833333333333331</v>
      </c>
      <c r="C1422" s="47" t="s">
        <v>38</v>
      </c>
      <c r="E1422" s="47">
        <v>25</v>
      </c>
      <c r="K1422" s="47" t="s">
        <v>40</v>
      </c>
    </row>
    <row r="1423" spans="1:11">
      <c r="A1423" s="2">
        <v>43952</v>
      </c>
      <c r="B1423" s="47">
        <v>0.5</v>
      </c>
      <c r="C1423" s="47" t="s">
        <v>58</v>
      </c>
      <c r="F1423" s="47">
        <v>238</v>
      </c>
      <c r="G1423" s="47">
        <v>18</v>
      </c>
      <c r="H1423" s="47">
        <v>17</v>
      </c>
      <c r="I1423" s="47">
        <v>658</v>
      </c>
      <c r="K1423" s="47" t="s">
        <v>434</v>
      </c>
    </row>
    <row r="1424" spans="1:11">
      <c r="A1424" s="2">
        <v>43952</v>
      </c>
      <c r="B1424" s="47">
        <v>0.52083333333333337</v>
      </c>
      <c r="C1424" s="47" t="s">
        <v>41</v>
      </c>
      <c r="E1424" s="47">
        <v>96</v>
      </c>
      <c r="F1424" s="47">
        <v>6</v>
      </c>
      <c r="G1424" s="47">
        <v>2</v>
      </c>
      <c r="J1424" s="47">
        <v>3</v>
      </c>
      <c r="K1424" s="47" t="s">
        <v>43</v>
      </c>
    </row>
    <row r="1425" spans="1:11">
      <c r="A1425" s="2">
        <v>43952</v>
      </c>
      <c r="B1425" s="47">
        <v>0.54166666666666663</v>
      </c>
      <c r="C1425" s="47" t="s">
        <v>61</v>
      </c>
      <c r="E1425" s="47">
        <v>122</v>
      </c>
      <c r="F1425" s="47">
        <v>2</v>
      </c>
      <c r="J1425" s="47">
        <v>11</v>
      </c>
      <c r="K1425" s="47" t="s">
        <v>427</v>
      </c>
    </row>
    <row r="1426" spans="1:11">
      <c r="A1426" s="2">
        <v>43952</v>
      </c>
      <c r="B1426" s="47">
        <v>0.60416666666666663</v>
      </c>
      <c r="C1426" s="47" t="s">
        <v>104</v>
      </c>
      <c r="E1426" s="47">
        <v>3486</v>
      </c>
      <c r="F1426" s="47">
        <v>43</v>
      </c>
      <c r="H1426" s="47">
        <v>14</v>
      </c>
      <c r="J1426" s="47">
        <v>123</v>
      </c>
      <c r="K1426" s="47" t="s">
        <v>106</v>
      </c>
    </row>
    <row r="1427" spans="1:11">
      <c r="A1427" s="2">
        <v>43952</v>
      </c>
      <c r="B1427" s="47">
        <v>0.61458333333333337</v>
      </c>
      <c r="C1427" s="47" t="s">
        <v>34</v>
      </c>
      <c r="E1427" s="47">
        <v>1112</v>
      </c>
      <c r="F1427" s="47">
        <v>34</v>
      </c>
      <c r="G1427" s="47">
        <v>11</v>
      </c>
      <c r="H1427" s="47">
        <v>8</v>
      </c>
      <c r="I1427" s="47">
        <v>890</v>
      </c>
      <c r="J1427" s="47">
        <v>34</v>
      </c>
      <c r="K1427" s="47" t="s">
        <v>682</v>
      </c>
    </row>
    <row r="1428" spans="1:11">
      <c r="A1428" s="2">
        <v>43952</v>
      </c>
      <c r="B1428" s="47">
        <v>0.625</v>
      </c>
      <c r="C1428" s="47" t="s">
        <v>75</v>
      </c>
      <c r="E1428" s="47">
        <v>78</v>
      </c>
      <c r="F1428" s="47">
        <v>0</v>
      </c>
      <c r="J1428" s="47">
        <v>0</v>
      </c>
      <c r="K1428" s="47" t="s">
        <v>77</v>
      </c>
    </row>
    <row r="1429" spans="1:11">
      <c r="A1429" s="2">
        <v>43952</v>
      </c>
      <c r="B1429" s="47">
        <v>0.625</v>
      </c>
      <c r="C1429" s="47" t="s">
        <v>100</v>
      </c>
      <c r="E1429" s="47">
        <v>1871</v>
      </c>
      <c r="F1429" s="47">
        <v>55</v>
      </c>
      <c r="G1429" s="47">
        <v>10</v>
      </c>
      <c r="H1429" s="47">
        <v>9</v>
      </c>
      <c r="I1429" s="47">
        <v>239</v>
      </c>
      <c r="J1429" s="47">
        <v>138</v>
      </c>
      <c r="K1429" s="47" t="s">
        <v>715</v>
      </c>
    </row>
    <row r="1430" spans="1:11">
      <c r="A1430" s="2">
        <v>43952</v>
      </c>
      <c r="B1430" s="47">
        <v>0.64583333333333337</v>
      </c>
      <c r="C1430" s="47" t="s">
        <v>94</v>
      </c>
      <c r="E1430" s="47">
        <v>87</v>
      </c>
      <c r="F1430" s="47">
        <v>3</v>
      </c>
      <c r="I1430" s="47">
        <v>72</v>
      </c>
      <c r="J1430" s="47">
        <v>6</v>
      </c>
      <c r="K1430" s="47" t="s">
        <v>96</v>
      </c>
    </row>
  </sheetData>
  <pageMargins left="0.7" right="0.7" top="0.78740157499999996" bottom="0.78740157499999996" header="0.3" footer="0.3"/>
  <pageSetup paperSize="9"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6BB9B-51F9-4E8D-9C74-7DAF34210F52}">
  <dimension ref="A1:G107"/>
  <sheetViews>
    <sheetView workbookViewId="0">
      <selection activeCell="I54" sqref="I54"/>
    </sheetView>
  </sheetViews>
  <sheetFormatPr baseColWidth="10" defaultRowHeight="14.5"/>
  <cols>
    <col min="1" max="1" width="9.90625" bestFit="1" customWidth="1"/>
    <col min="2" max="2" width="7.1796875" bestFit="1" customWidth="1"/>
    <col min="3" max="3" width="8.90625" bestFit="1" customWidth="1"/>
    <col min="4" max="4" width="11.90625" bestFit="1" customWidth="1"/>
    <col min="5" max="5" width="11.81640625" bestFit="1" customWidth="1"/>
    <col min="6" max="6" width="12.1796875" bestFit="1" customWidth="1"/>
    <col min="7" max="7" width="15" bestFit="1" customWidth="1"/>
  </cols>
  <sheetData>
    <row r="1" spans="1:7">
      <c r="A1" t="s">
        <v>437</v>
      </c>
      <c r="B1" t="s">
        <v>438</v>
      </c>
      <c r="C1" t="s">
        <v>439</v>
      </c>
      <c r="D1" t="s">
        <v>440</v>
      </c>
      <c r="E1" t="s">
        <v>441</v>
      </c>
      <c r="F1" t="s">
        <v>442</v>
      </c>
      <c r="G1" t="s">
        <v>443</v>
      </c>
    </row>
    <row r="2" spans="1:7">
      <c r="A2" s="2">
        <v>43835</v>
      </c>
      <c r="B2" s="1" t="s">
        <v>444</v>
      </c>
      <c r="C2">
        <v>1</v>
      </c>
      <c r="D2">
        <v>139</v>
      </c>
      <c r="E2">
        <v>173</v>
      </c>
      <c r="F2">
        <v>207</v>
      </c>
      <c r="G2">
        <v>146</v>
      </c>
    </row>
    <row r="3" spans="1:7">
      <c r="A3" s="2">
        <v>43835</v>
      </c>
      <c r="B3" s="1" t="s">
        <v>445</v>
      </c>
      <c r="C3">
        <v>1</v>
      </c>
      <c r="D3">
        <v>1161</v>
      </c>
      <c r="E3">
        <v>1252</v>
      </c>
      <c r="F3">
        <v>1343</v>
      </c>
      <c r="G3">
        <v>1151</v>
      </c>
    </row>
    <row r="4" spans="1:7">
      <c r="A4" s="2">
        <v>43842</v>
      </c>
      <c r="B4" s="1" t="s">
        <v>444</v>
      </c>
      <c r="C4">
        <v>2</v>
      </c>
      <c r="D4">
        <v>138</v>
      </c>
      <c r="E4">
        <v>172</v>
      </c>
      <c r="F4">
        <v>206</v>
      </c>
      <c r="G4">
        <v>163</v>
      </c>
    </row>
    <row r="5" spans="1:7">
      <c r="A5" s="2">
        <v>43842</v>
      </c>
      <c r="B5" s="1" t="s">
        <v>445</v>
      </c>
      <c r="C5">
        <v>2</v>
      </c>
      <c r="D5">
        <v>1166</v>
      </c>
      <c r="E5">
        <v>1257</v>
      </c>
      <c r="F5">
        <v>1348</v>
      </c>
      <c r="G5">
        <v>1180</v>
      </c>
    </row>
    <row r="6" spans="1:7">
      <c r="A6" s="2">
        <v>43849</v>
      </c>
      <c r="B6" s="1" t="s">
        <v>444</v>
      </c>
      <c r="C6">
        <v>3</v>
      </c>
      <c r="D6">
        <v>138</v>
      </c>
      <c r="E6">
        <v>172</v>
      </c>
      <c r="F6">
        <v>206</v>
      </c>
      <c r="G6">
        <v>181</v>
      </c>
    </row>
    <row r="7" spans="1:7">
      <c r="A7" s="2">
        <v>43849</v>
      </c>
      <c r="B7" s="1" t="s">
        <v>445</v>
      </c>
      <c r="C7">
        <v>3</v>
      </c>
      <c r="D7">
        <v>1171</v>
      </c>
      <c r="E7">
        <v>1262</v>
      </c>
      <c r="F7">
        <v>1354</v>
      </c>
      <c r="G7">
        <v>1204</v>
      </c>
    </row>
    <row r="8" spans="1:7">
      <c r="A8" s="2">
        <v>43856</v>
      </c>
      <c r="B8" s="1" t="s">
        <v>444</v>
      </c>
      <c r="C8">
        <v>4</v>
      </c>
      <c r="D8">
        <v>138</v>
      </c>
      <c r="E8">
        <v>172</v>
      </c>
      <c r="F8">
        <v>205</v>
      </c>
      <c r="G8">
        <v>176</v>
      </c>
    </row>
    <row r="9" spans="1:7">
      <c r="A9" s="2">
        <v>43856</v>
      </c>
      <c r="B9" s="1" t="s">
        <v>445</v>
      </c>
      <c r="C9">
        <v>4</v>
      </c>
      <c r="D9">
        <v>1176</v>
      </c>
      <c r="E9">
        <v>1267</v>
      </c>
      <c r="F9">
        <v>1359</v>
      </c>
      <c r="G9">
        <v>1215</v>
      </c>
    </row>
    <row r="10" spans="1:7">
      <c r="A10" s="2">
        <v>43863</v>
      </c>
      <c r="B10" s="1" t="s">
        <v>444</v>
      </c>
      <c r="C10">
        <v>5</v>
      </c>
      <c r="D10">
        <v>137</v>
      </c>
      <c r="E10">
        <v>171</v>
      </c>
      <c r="F10">
        <v>205</v>
      </c>
      <c r="G10">
        <v>159</v>
      </c>
    </row>
    <row r="11" spans="1:7">
      <c r="A11" s="2">
        <v>43863</v>
      </c>
      <c r="B11" s="1" t="s">
        <v>445</v>
      </c>
      <c r="C11">
        <v>5</v>
      </c>
      <c r="D11">
        <v>1180</v>
      </c>
      <c r="E11">
        <v>1272</v>
      </c>
      <c r="F11">
        <v>1364</v>
      </c>
      <c r="G11">
        <v>1245</v>
      </c>
    </row>
    <row r="12" spans="1:7">
      <c r="A12" s="2">
        <v>43870</v>
      </c>
      <c r="B12" s="1" t="s">
        <v>444</v>
      </c>
      <c r="C12">
        <v>6</v>
      </c>
      <c r="D12">
        <v>137</v>
      </c>
      <c r="E12">
        <v>171</v>
      </c>
      <c r="F12">
        <v>204</v>
      </c>
      <c r="G12">
        <v>182</v>
      </c>
    </row>
    <row r="13" spans="1:7">
      <c r="A13" s="2">
        <v>43870</v>
      </c>
      <c r="B13" s="1" t="s">
        <v>445</v>
      </c>
      <c r="C13">
        <v>6</v>
      </c>
      <c r="D13">
        <v>1185</v>
      </c>
      <c r="E13">
        <v>1277</v>
      </c>
      <c r="F13">
        <v>1369</v>
      </c>
      <c r="G13">
        <v>1177</v>
      </c>
    </row>
    <row r="14" spans="1:7">
      <c r="A14" s="2">
        <v>43877</v>
      </c>
      <c r="B14" s="1" t="s">
        <v>444</v>
      </c>
      <c r="C14">
        <v>7</v>
      </c>
      <c r="D14">
        <v>137</v>
      </c>
      <c r="E14">
        <v>170</v>
      </c>
      <c r="F14">
        <v>204</v>
      </c>
      <c r="G14">
        <v>161</v>
      </c>
    </row>
    <row r="15" spans="1:7">
      <c r="A15" s="2">
        <v>43877</v>
      </c>
      <c r="B15" s="1" t="s">
        <v>445</v>
      </c>
      <c r="C15">
        <v>7</v>
      </c>
      <c r="D15">
        <v>1187</v>
      </c>
      <c r="E15">
        <v>1279</v>
      </c>
      <c r="F15">
        <v>1371</v>
      </c>
      <c r="G15">
        <v>1195</v>
      </c>
    </row>
    <row r="16" spans="1:7">
      <c r="A16" s="2">
        <v>43884</v>
      </c>
      <c r="B16" s="1" t="s">
        <v>444</v>
      </c>
      <c r="C16">
        <v>8</v>
      </c>
      <c r="D16">
        <v>136</v>
      </c>
      <c r="E16">
        <v>170</v>
      </c>
      <c r="F16">
        <v>204</v>
      </c>
      <c r="G16">
        <v>177</v>
      </c>
    </row>
    <row r="17" spans="1:7">
      <c r="A17" s="2">
        <v>43884</v>
      </c>
      <c r="B17" s="1" t="s">
        <v>445</v>
      </c>
      <c r="C17">
        <v>8</v>
      </c>
      <c r="D17">
        <v>1179</v>
      </c>
      <c r="E17">
        <v>1271</v>
      </c>
      <c r="F17">
        <v>1363</v>
      </c>
      <c r="G17">
        <v>1154</v>
      </c>
    </row>
    <row r="18" spans="1:7">
      <c r="A18" s="2">
        <v>43891</v>
      </c>
      <c r="B18" s="1" t="s">
        <v>444</v>
      </c>
      <c r="C18">
        <v>9</v>
      </c>
      <c r="D18">
        <v>136</v>
      </c>
      <c r="E18">
        <v>170</v>
      </c>
      <c r="F18">
        <v>203</v>
      </c>
      <c r="G18">
        <v>166</v>
      </c>
    </row>
    <row r="19" spans="1:7">
      <c r="A19" s="2">
        <v>43891</v>
      </c>
      <c r="B19" s="1" t="s">
        <v>445</v>
      </c>
      <c r="C19">
        <v>9</v>
      </c>
      <c r="D19">
        <v>1172</v>
      </c>
      <c r="E19">
        <v>1263</v>
      </c>
      <c r="F19">
        <v>1355</v>
      </c>
      <c r="G19">
        <v>1141</v>
      </c>
    </row>
    <row r="20" spans="1:7">
      <c r="A20" s="2">
        <v>43898</v>
      </c>
      <c r="B20" s="1" t="s">
        <v>444</v>
      </c>
      <c r="C20">
        <v>10</v>
      </c>
      <c r="D20">
        <v>135</v>
      </c>
      <c r="E20">
        <v>169</v>
      </c>
      <c r="F20">
        <v>202</v>
      </c>
      <c r="G20">
        <v>159</v>
      </c>
    </row>
    <row r="21" spans="1:7">
      <c r="A21" s="2">
        <v>43898</v>
      </c>
      <c r="B21" s="1" t="s">
        <v>445</v>
      </c>
      <c r="C21">
        <v>10</v>
      </c>
      <c r="D21">
        <v>1153</v>
      </c>
      <c r="E21">
        <v>1243</v>
      </c>
      <c r="F21">
        <v>1334</v>
      </c>
      <c r="G21">
        <v>1159</v>
      </c>
    </row>
    <row r="22" spans="1:7">
      <c r="A22" s="2">
        <v>43905</v>
      </c>
      <c r="B22" s="1" t="s">
        <v>444</v>
      </c>
      <c r="C22">
        <v>11</v>
      </c>
      <c r="D22">
        <v>135</v>
      </c>
      <c r="E22">
        <v>168</v>
      </c>
      <c r="F22">
        <v>201</v>
      </c>
      <c r="G22">
        <v>146</v>
      </c>
    </row>
    <row r="23" spans="1:7">
      <c r="A23" s="2">
        <v>43905</v>
      </c>
      <c r="B23" s="1" t="s">
        <v>445</v>
      </c>
      <c r="C23">
        <v>11</v>
      </c>
      <c r="D23">
        <v>1134</v>
      </c>
      <c r="E23">
        <v>1224</v>
      </c>
      <c r="F23">
        <v>1314</v>
      </c>
      <c r="G23">
        <v>1205</v>
      </c>
    </row>
    <row r="24" spans="1:7">
      <c r="A24" s="2">
        <v>43912</v>
      </c>
      <c r="B24" s="1" t="s">
        <v>444</v>
      </c>
      <c r="C24">
        <v>12</v>
      </c>
      <c r="D24">
        <v>134</v>
      </c>
      <c r="E24">
        <v>167</v>
      </c>
      <c r="F24">
        <v>200</v>
      </c>
      <c r="G24">
        <v>173.9</v>
      </c>
    </row>
    <row r="25" spans="1:7">
      <c r="A25" s="2">
        <v>43912</v>
      </c>
      <c r="B25" s="1" t="s">
        <v>445</v>
      </c>
      <c r="C25">
        <v>12</v>
      </c>
      <c r="D25">
        <v>1110</v>
      </c>
      <c r="E25">
        <v>1199</v>
      </c>
      <c r="F25">
        <v>1289</v>
      </c>
      <c r="G25">
        <v>1323.6</v>
      </c>
    </row>
    <row r="26" spans="1:7">
      <c r="A26" s="2">
        <v>43919</v>
      </c>
      <c r="B26" s="1" t="s">
        <v>444</v>
      </c>
      <c r="C26">
        <v>13</v>
      </c>
      <c r="D26">
        <v>132</v>
      </c>
      <c r="E26">
        <v>166</v>
      </c>
      <c r="F26">
        <v>199</v>
      </c>
      <c r="G26">
        <v>204.9</v>
      </c>
    </row>
    <row r="27" spans="1:7">
      <c r="A27" s="2">
        <v>43919</v>
      </c>
      <c r="B27" s="1" t="s">
        <v>445</v>
      </c>
      <c r="C27">
        <v>13</v>
      </c>
      <c r="D27">
        <v>1086</v>
      </c>
      <c r="E27">
        <v>1175</v>
      </c>
      <c r="F27">
        <v>1263</v>
      </c>
      <c r="G27">
        <v>1412.2</v>
      </c>
    </row>
    <row r="28" spans="1:7">
      <c r="A28" s="2">
        <v>43926</v>
      </c>
      <c r="B28" s="1" t="s">
        <v>444</v>
      </c>
      <c r="C28">
        <v>14</v>
      </c>
      <c r="D28">
        <v>131</v>
      </c>
      <c r="E28">
        <v>165</v>
      </c>
      <c r="F28">
        <v>198</v>
      </c>
      <c r="G28">
        <v>180.2</v>
      </c>
    </row>
    <row r="29" spans="1:7">
      <c r="A29" s="2">
        <v>43926</v>
      </c>
      <c r="B29" s="1" t="s">
        <v>445</v>
      </c>
      <c r="C29">
        <v>14</v>
      </c>
      <c r="D29">
        <v>1065</v>
      </c>
      <c r="E29">
        <v>1153</v>
      </c>
      <c r="F29">
        <v>1240</v>
      </c>
      <c r="G29">
        <v>1679.7</v>
      </c>
    </row>
    <row r="30" spans="1:7">
      <c r="A30" s="2">
        <v>43933</v>
      </c>
      <c r="B30" s="1" t="s">
        <v>444</v>
      </c>
      <c r="C30">
        <v>15</v>
      </c>
      <c r="D30">
        <v>130</v>
      </c>
      <c r="E30">
        <v>163</v>
      </c>
      <c r="F30">
        <v>196</v>
      </c>
      <c r="G30">
        <v>179.3</v>
      </c>
    </row>
    <row r="31" spans="1:7">
      <c r="A31" s="2">
        <v>43933</v>
      </c>
      <c r="B31" s="1" t="s">
        <v>445</v>
      </c>
      <c r="C31">
        <v>15</v>
      </c>
      <c r="D31">
        <v>1046</v>
      </c>
      <c r="E31">
        <v>1133</v>
      </c>
      <c r="F31">
        <v>1219</v>
      </c>
      <c r="G31">
        <v>1473.8</v>
      </c>
    </row>
    <row r="32" spans="1:7">
      <c r="A32" s="2">
        <v>43940</v>
      </c>
      <c r="B32" s="1" t="s">
        <v>444</v>
      </c>
      <c r="C32">
        <v>16</v>
      </c>
      <c r="D32">
        <v>129</v>
      </c>
      <c r="E32">
        <v>162</v>
      </c>
      <c r="F32">
        <v>195</v>
      </c>
      <c r="G32">
        <v>187.7</v>
      </c>
    </row>
    <row r="33" spans="1:7">
      <c r="A33" s="2">
        <v>43940</v>
      </c>
      <c r="B33" s="1" t="s">
        <v>445</v>
      </c>
      <c r="C33">
        <v>16</v>
      </c>
      <c r="D33">
        <v>1026</v>
      </c>
      <c r="E33">
        <v>1112</v>
      </c>
      <c r="F33">
        <v>1198</v>
      </c>
      <c r="G33">
        <v>1438.2</v>
      </c>
    </row>
    <row r="34" spans="1:7">
      <c r="A34" s="2">
        <v>43947</v>
      </c>
      <c r="B34" s="1" t="s">
        <v>444</v>
      </c>
      <c r="C34">
        <v>17</v>
      </c>
      <c r="D34">
        <v>128</v>
      </c>
      <c r="E34">
        <v>161</v>
      </c>
      <c r="F34">
        <v>194</v>
      </c>
    </row>
    <row r="35" spans="1:7">
      <c r="A35" s="2">
        <v>43947</v>
      </c>
      <c r="B35" s="1" t="s">
        <v>445</v>
      </c>
      <c r="C35">
        <v>17</v>
      </c>
      <c r="D35">
        <v>1010</v>
      </c>
      <c r="E35">
        <v>1095</v>
      </c>
      <c r="F35">
        <v>1180</v>
      </c>
    </row>
    <row r="36" spans="1:7">
      <c r="A36" s="2">
        <v>43954</v>
      </c>
      <c r="B36" s="1" t="s">
        <v>444</v>
      </c>
      <c r="C36">
        <v>18</v>
      </c>
      <c r="D36">
        <v>127</v>
      </c>
      <c r="E36">
        <v>160</v>
      </c>
      <c r="F36">
        <v>193</v>
      </c>
    </row>
    <row r="37" spans="1:7">
      <c r="A37" s="2">
        <v>43954</v>
      </c>
      <c r="B37" s="1" t="s">
        <v>445</v>
      </c>
      <c r="C37">
        <v>18</v>
      </c>
      <c r="D37">
        <v>994</v>
      </c>
      <c r="E37">
        <v>1078</v>
      </c>
      <c r="F37">
        <v>1163</v>
      </c>
    </row>
    <row r="38" spans="1:7">
      <c r="A38" s="2">
        <v>43961</v>
      </c>
      <c r="B38" s="1" t="s">
        <v>444</v>
      </c>
      <c r="C38">
        <v>19</v>
      </c>
      <c r="D38">
        <v>127</v>
      </c>
      <c r="E38">
        <v>159</v>
      </c>
      <c r="F38">
        <v>192</v>
      </c>
    </row>
    <row r="39" spans="1:7">
      <c r="A39" s="2">
        <v>43961</v>
      </c>
      <c r="B39" s="1" t="s">
        <v>445</v>
      </c>
      <c r="C39">
        <v>19</v>
      </c>
      <c r="D39">
        <v>981</v>
      </c>
      <c r="E39">
        <v>1065</v>
      </c>
      <c r="F39">
        <v>1149</v>
      </c>
    </row>
    <row r="40" spans="1:7">
      <c r="A40" s="2">
        <v>43968</v>
      </c>
      <c r="B40" s="1" t="s">
        <v>444</v>
      </c>
      <c r="C40">
        <v>20</v>
      </c>
      <c r="D40">
        <v>126</v>
      </c>
      <c r="E40">
        <v>158</v>
      </c>
      <c r="F40">
        <v>191</v>
      </c>
    </row>
    <row r="41" spans="1:7">
      <c r="A41" s="2">
        <v>43968</v>
      </c>
      <c r="B41" s="1" t="s">
        <v>445</v>
      </c>
      <c r="C41">
        <v>20</v>
      </c>
      <c r="D41">
        <v>969</v>
      </c>
      <c r="E41">
        <v>1052</v>
      </c>
      <c r="F41">
        <v>1136</v>
      </c>
    </row>
    <row r="42" spans="1:7">
      <c r="A42" s="2">
        <v>43975</v>
      </c>
      <c r="B42" s="1" t="s">
        <v>444</v>
      </c>
      <c r="C42">
        <v>21</v>
      </c>
      <c r="D42">
        <v>125</v>
      </c>
      <c r="E42">
        <v>157</v>
      </c>
      <c r="F42">
        <v>190</v>
      </c>
    </row>
    <row r="43" spans="1:7">
      <c r="A43" s="2">
        <v>43975</v>
      </c>
      <c r="B43" s="1" t="s">
        <v>445</v>
      </c>
      <c r="C43">
        <v>21</v>
      </c>
      <c r="D43">
        <v>959</v>
      </c>
      <c r="E43">
        <v>1042</v>
      </c>
      <c r="F43">
        <v>1126</v>
      </c>
    </row>
    <row r="44" spans="1:7">
      <c r="A44" s="2">
        <v>43982</v>
      </c>
      <c r="B44" s="1" t="s">
        <v>444</v>
      </c>
      <c r="C44">
        <v>22</v>
      </c>
      <c r="D44">
        <v>125</v>
      </c>
      <c r="E44">
        <v>157</v>
      </c>
      <c r="F44">
        <v>189</v>
      </c>
    </row>
    <row r="45" spans="1:7">
      <c r="A45" s="2">
        <v>43982</v>
      </c>
      <c r="B45" s="1" t="s">
        <v>445</v>
      </c>
      <c r="C45">
        <v>22</v>
      </c>
      <c r="D45">
        <v>956</v>
      </c>
      <c r="E45">
        <v>1039</v>
      </c>
      <c r="F45">
        <v>1122</v>
      </c>
    </row>
    <row r="46" spans="1:7">
      <c r="A46" s="2">
        <v>43989</v>
      </c>
      <c r="B46" s="1" t="s">
        <v>444</v>
      </c>
      <c r="C46">
        <v>23</v>
      </c>
      <c r="D46">
        <v>125</v>
      </c>
      <c r="E46">
        <v>157</v>
      </c>
      <c r="F46">
        <v>189</v>
      </c>
    </row>
    <row r="47" spans="1:7">
      <c r="A47" s="2">
        <v>43989</v>
      </c>
      <c r="B47" s="1" t="s">
        <v>445</v>
      </c>
      <c r="C47">
        <v>23</v>
      </c>
      <c r="D47">
        <v>952</v>
      </c>
      <c r="E47">
        <v>1035</v>
      </c>
      <c r="F47">
        <v>1118</v>
      </c>
    </row>
    <row r="48" spans="1:7">
      <c r="A48" s="2">
        <v>43996</v>
      </c>
      <c r="B48" s="1" t="s">
        <v>444</v>
      </c>
      <c r="C48">
        <v>24</v>
      </c>
      <c r="D48">
        <v>125</v>
      </c>
      <c r="E48">
        <v>157</v>
      </c>
      <c r="F48">
        <v>189</v>
      </c>
    </row>
    <row r="49" spans="1:6">
      <c r="A49" s="2">
        <v>43996</v>
      </c>
      <c r="B49" s="1" t="s">
        <v>445</v>
      </c>
      <c r="C49">
        <v>24</v>
      </c>
      <c r="D49">
        <v>950</v>
      </c>
      <c r="E49">
        <v>1033</v>
      </c>
      <c r="F49">
        <v>1115</v>
      </c>
    </row>
    <row r="50" spans="1:6">
      <c r="A50" s="2">
        <v>44003</v>
      </c>
      <c r="B50" s="1" t="s">
        <v>444</v>
      </c>
      <c r="C50">
        <v>25</v>
      </c>
      <c r="D50">
        <v>124</v>
      </c>
      <c r="E50">
        <v>157</v>
      </c>
      <c r="F50">
        <v>189</v>
      </c>
    </row>
    <row r="51" spans="1:6">
      <c r="A51" s="2">
        <v>44003</v>
      </c>
      <c r="B51" s="1" t="s">
        <v>445</v>
      </c>
      <c r="C51">
        <v>25</v>
      </c>
      <c r="D51">
        <v>952</v>
      </c>
      <c r="E51">
        <v>1035</v>
      </c>
      <c r="F51">
        <v>1117</v>
      </c>
    </row>
    <row r="52" spans="1:6">
      <c r="A52" s="2">
        <v>44010</v>
      </c>
      <c r="B52" s="1" t="s">
        <v>444</v>
      </c>
      <c r="C52">
        <v>26</v>
      </c>
      <c r="D52">
        <v>124</v>
      </c>
      <c r="E52">
        <v>157</v>
      </c>
      <c r="F52">
        <v>189</v>
      </c>
    </row>
    <row r="53" spans="1:6">
      <c r="A53" s="2">
        <v>44010</v>
      </c>
      <c r="B53" s="1" t="s">
        <v>445</v>
      </c>
      <c r="C53">
        <v>26</v>
      </c>
      <c r="D53">
        <v>953</v>
      </c>
      <c r="E53">
        <v>1036</v>
      </c>
      <c r="F53">
        <v>1119</v>
      </c>
    </row>
    <row r="54" spans="1:6">
      <c r="A54" s="2">
        <v>44017</v>
      </c>
      <c r="B54" s="1" t="s">
        <v>444</v>
      </c>
      <c r="C54">
        <v>27</v>
      </c>
      <c r="D54">
        <v>124</v>
      </c>
      <c r="E54">
        <v>157</v>
      </c>
      <c r="F54">
        <v>189</v>
      </c>
    </row>
    <row r="55" spans="1:6">
      <c r="A55" s="2">
        <v>44017</v>
      </c>
      <c r="B55" s="1" t="s">
        <v>445</v>
      </c>
      <c r="C55">
        <v>27</v>
      </c>
      <c r="D55">
        <v>956</v>
      </c>
      <c r="E55">
        <v>1039</v>
      </c>
      <c r="F55">
        <v>1122</v>
      </c>
    </row>
    <row r="56" spans="1:6">
      <c r="A56" s="2">
        <v>44024</v>
      </c>
      <c r="B56" s="1" t="s">
        <v>444</v>
      </c>
      <c r="C56">
        <v>28</v>
      </c>
      <c r="D56">
        <v>124</v>
      </c>
      <c r="E56">
        <v>157</v>
      </c>
      <c r="F56">
        <v>189</v>
      </c>
    </row>
    <row r="57" spans="1:6">
      <c r="A57" s="2">
        <v>44024</v>
      </c>
      <c r="B57" s="1" t="s">
        <v>445</v>
      </c>
      <c r="C57">
        <v>28</v>
      </c>
      <c r="D57">
        <v>956</v>
      </c>
      <c r="E57">
        <v>1039</v>
      </c>
      <c r="F57">
        <v>1122</v>
      </c>
    </row>
    <row r="58" spans="1:6">
      <c r="A58" s="2">
        <v>44031</v>
      </c>
      <c r="B58" s="1" t="s">
        <v>444</v>
      </c>
      <c r="C58">
        <v>29</v>
      </c>
      <c r="D58">
        <v>124</v>
      </c>
      <c r="E58">
        <v>157</v>
      </c>
      <c r="F58">
        <v>189</v>
      </c>
    </row>
    <row r="59" spans="1:6">
      <c r="A59" s="2">
        <v>44031</v>
      </c>
      <c r="B59" s="1" t="s">
        <v>445</v>
      </c>
      <c r="C59">
        <v>29</v>
      </c>
      <c r="D59">
        <v>956</v>
      </c>
      <c r="E59">
        <v>1039</v>
      </c>
      <c r="F59">
        <v>1122</v>
      </c>
    </row>
    <row r="60" spans="1:6">
      <c r="A60" s="2">
        <v>44038</v>
      </c>
      <c r="B60" s="1" t="s">
        <v>444</v>
      </c>
      <c r="C60">
        <v>30</v>
      </c>
      <c r="D60">
        <v>124</v>
      </c>
      <c r="E60">
        <v>156</v>
      </c>
      <c r="F60">
        <v>188</v>
      </c>
    </row>
    <row r="61" spans="1:6">
      <c r="A61" s="2">
        <v>44038</v>
      </c>
      <c r="B61" s="1" t="s">
        <v>445</v>
      </c>
      <c r="C61">
        <v>30</v>
      </c>
      <c r="D61">
        <v>955</v>
      </c>
      <c r="E61">
        <v>1038</v>
      </c>
      <c r="F61">
        <v>1121</v>
      </c>
    </row>
    <row r="62" spans="1:6">
      <c r="A62" s="2">
        <v>44045</v>
      </c>
      <c r="B62" s="1" t="s">
        <v>444</v>
      </c>
      <c r="C62">
        <v>31</v>
      </c>
      <c r="D62">
        <v>124</v>
      </c>
      <c r="E62">
        <v>156</v>
      </c>
      <c r="F62">
        <v>188</v>
      </c>
    </row>
    <row r="63" spans="1:6">
      <c r="A63" s="2">
        <v>44045</v>
      </c>
      <c r="B63" s="1" t="s">
        <v>445</v>
      </c>
      <c r="C63">
        <v>31</v>
      </c>
      <c r="D63">
        <v>954</v>
      </c>
      <c r="E63">
        <v>1037</v>
      </c>
      <c r="F63">
        <v>1120</v>
      </c>
    </row>
    <row r="64" spans="1:6">
      <c r="A64" s="2">
        <v>44052</v>
      </c>
      <c r="B64" s="1" t="s">
        <v>444</v>
      </c>
      <c r="C64">
        <v>32</v>
      </c>
      <c r="D64">
        <v>123</v>
      </c>
      <c r="E64">
        <v>156</v>
      </c>
      <c r="F64">
        <v>188</v>
      </c>
    </row>
    <row r="65" spans="1:6">
      <c r="A65" s="2">
        <v>44052</v>
      </c>
      <c r="B65" s="1" t="s">
        <v>445</v>
      </c>
      <c r="C65">
        <v>32</v>
      </c>
      <c r="D65">
        <v>953</v>
      </c>
      <c r="E65">
        <v>1036</v>
      </c>
      <c r="F65">
        <v>1119</v>
      </c>
    </row>
    <row r="66" spans="1:6">
      <c r="A66" s="2">
        <v>44059</v>
      </c>
      <c r="B66" s="1" t="s">
        <v>444</v>
      </c>
      <c r="C66">
        <v>33</v>
      </c>
      <c r="D66">
        <v>123</v>
      </c>
      <c r="E66">
        <v>155</v>
      </c>
      <c r="F66">
        <v>187</v>
      </c>
    </row>
    <row r="67" spans="1:6">
      <c r="A67" s="2">
        <v>44059</v>
      </c>
      <c r="B67" s="1" t="s">
        <v>445</v>
      </c>
      <c r="C67">
        <v>33</v>
      </c>
      <c r="D67">
        <v>952</v>
      </c>
      <c r="E67">
        <v>1035</v>
      </c>
      <c r="F67">
        <v>1118</v>
      </c>
    </row>
    <row r="68" spans="1:6">
      <c r="A68" s="2">
        <v>44066</v>
      </c>
      <c r="B68" s="1" t="s">
        <v>444</v>
      </c>
      <c r="C68">
        <v>34</v>
      </c>
      <c r="D68">
        <v>123</v>
      </c>
      <c r="E68">
        <v>155</v>
      </c>
      <c r="F68">
        <v>187</v>
      </c>
    </row>
    <row r="69" spans="1:6">
      <c r="A69" s="2">
        <v>44066</v>
      </c>
      <c r="B69" s="1" t="s">
        <v>445</v>
      </c>
      <c r="C69">
        <v>34</v>
      </c>
      <c r="D69">
        <v>953</v>
      </c>
      <c r="E69">
        <v>1036</v>
      </c>
      <c r="F69">
        <v>1119</v>
      </c>
    </row>
    <row r="70" spans="1:6">
      <c r="A70" s="2">
        <v>44073</v>
      </c>
      <c r="B70" s="1" t="s">
        <v>444</v>
      </c>
      <c r="C70">
        <v>35</v>
      </c>
      <c r="D70">
        <v>123</v>
      </c>
      <c r="E70">
        <v>155</v>
      </c>
      <c r="F70">
        <v>188</v>
      </c>
    </row>
    <row r="71" spans="1:6">
      <c r="A71" s="2">
        <v>44073</v>
      </c>
      <c r="B71" s="1" t="s">
        <v>445</v>
      </c>
      <c r="C71">
        <v>35</v>
      </c>
      <c r="D71">
        <v>959</v>
      </c>
      <c r="E71">
        <v>1042</v>
      </c>
      <c r="F71">
        <v>1126</v>
      </c>
    </row>
    <row r="72" spans="1:6">
      <c r="A72" s="2">
        <v>44080</v>
      </c>
      <c r="B72" s="1" t="s">
        <v>444</v>
      </c>
      <c r="C72">
        <v>36</v>
      </c>
      <c r="D72">
        <v>124</v>
      </c>
      <c r="E72">
        <v>156</v>
      </c>
      <c r="F72">
        <v>188</v>
      </c>
    </row>
    <row r="73" spans="1:6">
      <c r="A73" s="2">
        <v>44080</v>
      </c>
      <c r="B73" s="1" t="s">
        <v>445</v>
      </c>
      <c r="C73">
        <v>36</v>
      </c>
      <c r="D73">
        <v>965</v>
      </c>
      <c r="E73">
        <v>1048</v>
      </c>
      <c r="F73">
        <v>1132</v>
      </c>
    </row>
    <row r="74" spans="1:6">
      <c r="A74" s="2">
        <v>44087</v>
      </c>
      <c r="B74" s="1" t="s">
        <v>444</v>
      </c>
      <c r="C74">
        <v>37</v>
      </c>
      <c r="D74">
        <v>124</v>
      </c>
      <c r="E74">
        <v>156</v>
      </c>
      <c r="F74">
        <v>188</v>
      </c>
    </row>
    <row r="75" spans="1:6">
      <c r="A75" s="2">
        <v>44087</v>
      </c>
      <c r="B75" s="1" t="s">
        <v>445</v>
      </c>
      <c r="C75">
        <v>37</v>
      </c>
      <c r="D75">
        <v>973</v>
      </c>
      <c r="E75">
        <v>1056</v>
      </c>
      <c r="F75">
        <v>1140</v>
      </c>
    </row>
    <row r="76" spans="1:6">
      <c r="A76" s="2">
        <v>44094</v>
      </c>
      <c r="B76" s="1" t="s">
        <v>444</v>
      </c>
      <c r="C76">
        <v>38</v>
      </c>
      <c r="D76">
        <v>124</v>
      </c>
      <c r="E76">
        <v>156</v>
      </c>
      <c r="F76">
        <v>189</v>
      </c>
    </row>
    <row r="77" spans="1:6">
      <c r="A77" s="2">
        <v>44094</v>
      </c>
      <c r="B77" s="1" t="s">
        <v>445</v>
      </c>
      <c r="C77">
        <v>38</v>
      </c>
      <c r="D77">
        <v>982</v>
      </c>
      <c r="E77">
        <v>1067</v>
      </c>
      <c r="F77">
        <v>1151</v>
      </c>
    </row>
    <row r="78" spans="1:6">
      <c r="A78" s="2">
        <v>44101</v>
      </c>
      <c r="B78" s="1" t="s">
        <v>444</v>
      </c>
      <c r="C78">
        <v>39</v>
      </c>
      <c r="D78">
        <v>125</v>
      </c>
      <c r="E78">
        <v>157</v>
      </c>
      <c r="F78">
        <v>189</v>
      </c>
    </row>
    <row r="79" spans="1:6">
      <c r="A79" s="2">
        <v>44101</v>
      </c>
      <c r="B79" s="1" t="s">
        <v>445</v>
      </c>
      <c r="C79">
        <v>39</v>
      </c>
      <c r="D79">
        <v>992</v>
      </c>
      <c r="E79">
        <v>1077</v>
      </c>
      <c r="F79">
        <v>1161</v>
      </c>
    </row>
    <row r="80" spans="1:6">
      <c r="A80" s="2">
        <v>44108</v>
      </c>
      <c r="B80" s="1" t="s">
        <v>444</v>
      </c>
      <c r="C80">
        <v>40</v>
      </c>
      <c r="D80">
        <v>125</v>
      </c>
      <c r="E80">
        <v>157</v>
      </c>
      <c r="F80">
        <v>190</v>
      </c>
    </row>
    <row r="81" spans="1:6">
      <c r="A81" s="2">
        <v>44108</v>
      </c>
      <c r="B81" s="1" t="s">
        <v>445</v>
      </c>
      <c r="C81">
        <v>40</v>
      </c>
      <c r="D81">
        <v>1002</v>
      </c>
      <c r="E81">
        <v>1087</v>
      </c>
      <c r="F81">
        <v>1172</v>
      </c>
    </row>
    <row r="82" spans="1:6">
      <c r="A82" s="2">
        <v>44115</v>
      </c>
      <c r="B82" s="1" t="s">
        <v>444</v>
      </c>
      <c r="C82">
        <v>41</v>
      </c>
      <c r="D82">
        <v>125</v>
      </c>
      <c r="E82">
        <v>158</v>
      </c>
      <c r="F82">
        <v>190</v>
      </c>
    </row>
    <row r="83" spans="1:6">
      <c r="A83" s="2">
        <v>44115</v>
      </c>
      <c r="B83" s="1" t="s">
        <v>445</v>
      </c>
      <c r="C83">
        <v>41</v>
      </c>
      <c r="D83">
        <v>1011</v>
      </c>
      <c r="E83">
        <v>1097</v>
      </c>
      <c r="F83">
        <v>1182</v>
      </c>
    </row>
    <row r="84" spans="1:6">
      <c r="A84" s="2">
        <v>44122</v>
      </c>
      <c r="B84" s="1" t="s">
        <v>444</v>
      </c>
      <c r="C84">
        <v>42</v>
      </c>
      <c r="D84">
        <v>126</v>
      </c>
      <c r="E84">
        <v>158</v>
      </c>
      <c r="F84">
        <v>190</v>
      </c>
    </row>
    <row r="85" spans="1:6">
      <c r="A85" s="2">
        <v>44122</v>
      </c>
      <c r="B85" s="1" t="s">
        <v>445</v>
      </c>
      <c r="C85">
        <v>42</v>
      </c>
      <c r="D85">
        <v>1021</v>
      </c>
      <c r="E85">
        <v>1107</v>
      </c>
      <c r="F85">
        <v>1192</v>
      </c>
    </row>
    <row r="86" spans="1:6">
      <c r="A86" s="2">
        <v>44129</v>
      </c>
      <c r="B86" s="1" t="s">
        <v>444</v>
      </c>
      <c r="C86">
        <v>43</v>
      </c>
      <c r="D86">
        <v>126</v>
      </c>
      <c r="E86">
        <v>158</v>
      </c>
      <c r="F86">
        <v>191</v>
      </c>
    </row>
    <row r="87" spans="1:6">
      <c r="A87" s="2">
        <v>44129</v>
      </c>
      <c r="B87" s="1" t="s">
        <v>445</v>
      </c>
      <c r="C87">
        <v>43</v>
      </c>
      <c r="D87">
        <v>1029</v>
      </c>
      <c r="E87">
        <v>1115</v>
      </c>
      <c r="F87">
        <v>1201</v>
      </c>
    </row>
    <row r="88" spans="1:6">
      <c r="A88" s="2">
        <v>44136</v>
      </c>
      <c r="B88" s="1" t="s">
        <v>444</v>
      </c>
      <c r="C88">
        <v>44</v>
      </c>
      <c r="D88">
        <v>126</v>
      </c>
      <c r="E88">
        <v>158</v>
      </c>
      <c r="F88">
        <v>191</v>
      </c>
    </row>
    <row r="89" spans="1:6">
      <c r="A89" s="2">
        <v>44136</v>
      </c>
      <c r="B89" s="1" t="s">
        <v>445</v>
      </c>
      <c r="C89">
        <v>44</v>
      </c>
      <c r="D89">
        <v>1037</v>
      </c>
      <c r="E89">
        <v>1124</v>
      </c>
      <c r="F89">
        <v>1210</v>
      </c>
    </row>
    <row r="90" spans="1:6">
      <c r="A90" s="2">
        <v>44143</v>
      </c>
      <c r="B90" s="1" t="s">
        <v>444</v>
      </c>
      <c r="C90">
        <v>45</v>
      </c>
      <c r="D90">
        <v>126</v>
      </c>
      <c r="E90">
        <v>159</v>
      </c>
      <c r="F90">
        <v>191</v>
      </c>
    </row>
    <row r="91" spans="1:6">
      <c r="A91" s="2">
        <v>44143</v>
      </c>
      <c r="B91" s="1" t="s">
        <v>445</v>
      </c>
      <c r="C91">
        <v>45</v>
      </c>
      <c r="D91">
        <v>1049</v>
      </c>
      <c r="E91">
        <v>1136</v>
      </c>
      <c r="F91">
        <v>1223</v>
      </c>
    </row>
    <row r="92" spans="1:6">
      <c r="A92" s="2">
        <v>44150</v>
      </c>
      <c r="B92" s="1" t="s">
        <v>444</v>
      </c>
      <c r="C92">
        <v>46</v>
      </c>
      <c r="D92">
        <v>126</v>
      </c>
      <c r="E92">
        <v>159</v>
      </c>
      <c r="F92">
        <v>191</v>
      </c>
    </row>
    <row r="93" spans="1:6">
      <c r="A93" s="2">
        <v>44150</v>
      </c>
      <c r="B93" s="1" t="s">
        <v>445</v>
      </c>
      <c r="C93">
        <v>46</v>
      </c>
      <c r="D93">
        <v>1061</v>
      </c>
      <c r="E93">
        <v>1148</v>
      </c>
      <c r="F93">
        <v>1235</v>
      </c>
    </row>
    <row r="94" spans="1:6">
      <c r="A94" s="2">
        <v>44157</v>
      </c>
      <c r="B94" s="1" t="s">
        <v>444</v>
      </c>
      <c r="C94">
        <v>47</v>
      </c>
      <c r="D94">
        <v>127</v>
      </c>
      <c r="E94">
        <v>159</v>
      </c>
      <c r="F94">
        <v>192</v>
      </c>
    </row>
    <row r="95" spans="1:6">
      <c r="A95" s="2">
        <v>44157</v>
      </c>
      <c r="B95" s="1" t="s">
        <v>445</v>
      </c>
      <c r="C95">
        <v>47</v>
      </c>
      <c r="D95">
        <v>1073</v>
      </c>
      <c r="E95">
        <v>1161</v>
      </c>
      <c r="F95">
        <v>1248</v>
      </c>
    </row>
    <row r="96" spans="1:6">
      <c r="A96" s="2">
        <v>44164</v>
      </c>
      <c r="B96" s="1" t="s">
        <v>444</v>
      </c>
      <c r="C96">
        <v>48</v>
      </c>
      <c r="D96">
        <v>127</v>
      </c>
      <c r="E96">
        <v>160</v>
      </c>
      <c r="F96">
        <v>192</v>
      </c>
    </row>
    <row r="97" spans="1:6">
      <c r="A97" s="2">
        <v>44164</v>
      </c>
      <c r="B97" s="1" t="s">
        <v>445</v>
      </c>
      <c r="C97">
        <v>48</v>
      </c>
      <c r="D97">
        <v>1084</v>
      </c>
      <c r="E97">
        <v>1172</v>
      </c>
      <c r="F97">
        <v>1261</v>
      </c>
    </row>
    <row r="98" spans="1:6">
      <c r="A98" s="2">
        <v>44171</v>
      </c>
      <c r="B98" s="1" t="s">
        <v>444</v>
      </c>
      <c r="C98">
        <v>49</v>
      </c>
      <c r="D98">
        <v>128</v>
      </c>
      <c r="E98">
        <v>160</v>
      </c>
      <c r="F98">
        <v>193</v>
      </c>
    </row>
    <row r="99" spans="1:6">
      <c r="A99" s="2">
        <v>44171</v>
      </c>
      <c r="B99" s="1" t="s">
        <v>445</v>
      </c>
      <c r="C99">
        <v>49</v>
      </c>
      <c r="D99">
        <v>1096</v>
      </c>
      <c r="E99">
        <v>1184</v>
      </c>
      <c r="F99">
        <v>1273</v>
      </c>
    </row>
    <row r="100" spans="1:6">
      <c r="A100" s="2">
        <v>44178</v>
      </c>
      <c r="B100" s="1" t="s">
        <v>444</v>
      </c>
      <c r="C100">
        <v>50</v>
      </c>
      <c r="D100">
        <v>128</v>
      </c>
      <c r="E100">
        <v>161</v>
      </c>
      <c r="F100">
        <v>193</v>
      </c>
    </row>
    <row r="101" spans="1:6">
      <c r="A101" s="2">
        <v>44178</v>
      </c>
      <c r="B101" s="1" t="s">
        <v>445</v>
      </c>
      <c r="C101">
        <v>50</v>
      </c>
      <c r="D101">
        <v>1105</v>
      </c>
      <c r="E101">
        <v>1194</v>
      </c>
      <c r="F101">
        <v>1283</v>
      </c>
    </row>
    <row r="102" spans="1:6">
      <c r="A102" s="2">
        <v>44185</v>
      </c>
      <c r="B102" s="1" t="s">
        <v>444</v>
      </c>
      <c r="C102">
        <v>51</v>
      </c>
      <c r="D102">
        <v>128</v>
      </c>
      <c r="E102">
        <v>161</v>
      </c>
      <c r="F102">
        <v>194</v>
      </c>
    </row>
    <row r="103" spans="1:6">
      <c r="A103" s="2">
        <v>44185</v>
      </c>
      <c r="B103" s="1" t="s">
        <v>445</v>
      </c>
      <c r="C103">
        <v>51</v>
      </c>
      <c r="D103">
        <v>1114</v>
      </c>
      <c r="E103">
        <v>1203</v>
      </c>
      <c r="F103">
        <v>1292</v>
      </c>
    </row>
    <row r="104" spans="1:6">
      <c r="A104" s="2">
        <v>44192</v>
      </c>
      <c r="B104" s="1" t="s">
        <v>444</v>
      </c>
      <c r="C104">
        <v>52</v>
      </c>
      <c r="D104">
        <v>129</v>
      </c>
      <c r="E104">
        <v>162</v>
      </c>
      <c r="F104">
        <v>194</v>
      </c>
    </row>
    <row r="105" spans="1:6">
      <c r="A105" s="2">
        <v>44192</v>
      </c>
      <c r="B105" s="1" t="s">
        <v>445</v>
      </c>
      <c r="C105">
        <v>52</v>
      </c>
      <c r="D105">
        <v>1122</v>
      </c>
      <c r="E105">
        <v>1212</v>
      </c>
      <c r="F105">
        <v>1302</v>
      </c>
    </row>
    <row r="106" spans="1:6">
      <c r="A106" s="2">
        <v>44199</v>
      </c>
      <c r="B106" s="1" t="s">
        <v>444</v>
      </c>
      <c r="C106">
        <v>53</v>
      </c>
      <c r="D106">
        <v>129</v>
      </c>
      <c r="E106">
        <v>162</v>
      </c>
      <c r="F106">
        <v>195</v>
      </c>
    </row>
    <row r="107" spans="1:6">
      <c r="A107" s="2">
        <v>44199</v>
      </c>
      <c r="B107" s="1" t="s">
        <v>445</v>
      </c>
      <c r="C107">
        <v>53</v>
      </c>
      <c r="D107">
        <v>1131</v>
      </c>
      <c r="E107">
        <v>1221</v>
      </c>
      <c r="F107">
        <v>1311</v>
      </c>
    </row>
  </sheetData>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6F51D-51BB-4A2D-A9BF-C53B2A76C9E1}">
  <sheetPr codeName="Tabelle3"/>
  <dimension ref="A3:D72"/>
  <sheetViews>
    <sheetView workbookViewId="0">
      <selection sqref="A1:XFD1048576"/>
    </sheetView>
  </sheetViews>
  <sheetFormatPr baseColWidth="10" defaultRowHeight="14.5"/>
  <cols>
    <col min="1" max="1" width="20.7265625" bestFit="1" customWidth="1"/>
    <col min="2" max="2" width="22.08984375" bestFit="1" customWidth="1"/>
    <col min="3" max="3" width="25.54296875" bestFit="1" customWidth="1"/>
    <col min="4" max="4" width="26.36328125" bestFit="1" customWidth="1"/>
    <col min="5" max="5" width="22.08984375" bestFit="1" customWidth="1"/>
    <col min="6" max="6" width="25.54296875" bestFit="1" customWidth="1"/>
    <col min="7" max="7" width="26.36328125" bestFit="1" customWidth="1"/>
    <col min="8" max="8" width="22.08984375" bestFit="1" customWidth="1"/>
    <col min="9" max="9" width="25.54296875" bestFit="1" customWidth="1"/>
    <col min="10" max="10" width="26.36328125" bestFit="1" customWidth="1"/>
    <col min="11" max="11" width="22.08984375" bestFit="1" customWidth="1"/>
    <col min="12" max="12" width="25.54296875" bestFit="1" customWidth="1"/>
    <col min="13" max="13" width="26.36328125" bestFit="1" customWidth="1"/>
    <col min="14" max="14" width="22.08984375" bestFit="1" customWidth="1"/>
    <col min="15" max="15" width="25.54296875" bestFit="1" customWidth="1"/>
    <col min="16" max="16" width="26.36328125" bestFit="1" customWidth="1"/>
    <col min="17" max="17" width="22.08984375" bestFit="1" customWidth="1"/>
    <col min="18" max="18" width="25.54296875" bestFit="1" customWidth="1"/>
    <col min="19" max="19" width="26.36328125" bestFit="1" customWidth="1"/>
    <col min="20" max="20" width="22.08984375" bestFit="1" customWidth="1"/>
    <col min="21" max="21" width="25.54296875" bestFit="1" customWidth="1"/>
    <col min="22" max="22" width="26.36328125" bestFit="1" customWidth="1"/>
    <col min="23" max="23" width="22.08984375" bestFit="1" customWidth="1"/>
    <col min="24" max="24" width="25.54296875" bestFit="1" customWidth="1"/>
    <col min="25" max="25" width="26.36328125" bestFit="1" customWidth="1"/>
    <col min="26" max="26" width="22.08984375" bestFit="1" customWidth="1"/>
    <col min="27" max="27" width="25.54296875" bestFit="1" customWidth="1"/>
    <col min="28" max="28" width="26.36328125" bestFit="1" customWidth="1"/>
    <col min="29" max="29" width="22.08984375" bestFit="1" customWidth="1"/>
    <col min="30" max="30" width="25.54296875" bestFit="1" customWidth="1"/>
    <col min="31" max="31" width="26.36328125" bestFit="1" customWidth="1"/>
    <col min="32" max="32" width="22.08984375" bestFit="1" customWidth="1"/>
    <col min="33" max="33" width="25.54296875" bestFit="1" customWidth="1"/>
    <col min="34" max="34" width="26.36328125" bestFit="1" customWidth="1"/>
    <col min="35" max="35" width="22.08984375" bestFit="1" customWidth="1"/>
    <col min="36" max="36" width="25.54296875" bestFit="1" customWidth="1"/>
    <col min="37" max="37" width="26.36328125" bestFit="1" customWidth="1"/>
    <col min="38" max="38" width="22.08984375" bestFit="1" customWidth="1"/>
    <col min="39" max="39" width="25.54296875" bestFit="1" customWidth="1"/>
    <col min="40" max="40" width="26.36328125" bestFit="1" customWidth="1"/>
    <col min="41" max="41" width="22.08984375" bestFit="1" customWidth="1"/>
    <col min="42" max="42" width="25.54296875" bestFit="1" customWidth="1"/>
    <col min="43" max="43" width="26.36328125" bestFit="1" customWidth="1"/>
    <col min="44" max="44" width="22.08984375" bestFit="1" customWidth="1"/>
    <col min="45" max="45" width="25.54296875" bestFit="1" customWidth="1"/>
    <col min="46" max="46" width="26.36328125" bestFit="1" customWidth="1"/>
    <col min="47" max="47" width="22.08984375" bestFit="1" customWidth="1"/>
    <col min="48" max="48" width="25.54296875" bestFit="1" customWidth="1"/>
    <col min="49" max="49" width="26.36328125" bestFit="1" customWidth="1"/>
    <col min="50" max="50" width="22.08984375" bestFit="1" customWidth="1"/>
    <col min="51" max="51" width="25.54296875" bestFit="1" customWidth="1"/>
    <col min="52" max="52" width="26.36328125" bestFit="1" customWidth="1"/>
    <col min="53" max="53" width="22.08984375" bestFit="1" customWidth="1"/>
    <col min="54" max="54" width="25.54296875" bestFit="1" customWidth="1"/>
    <col min="55" max="55" width="26.36328125" bestFit="1" customWidth="1"/>
    <col min="56" max="56" width="22.08984375" bestFit="1" customWidth="1"/>
    <col min="57" max="57" width="25.54296875" bestFit="1" customWidth="1"/>
    <col min="58" max="58" width="26.36328125" bestFit="1" customWidth="1"/>
    <col min="59" max="59" width="22.08984375" bestFit="1" customWidth="1"/>
    <col min="60" max="60" width="25.54296875" bestFit="1" customWidth="1"/>
    <col min="61" max="61" width="26.36328125" bestFit="1" customWidth="1"/>
    <col min="62" max="62" width="22.08984375" bestFit="1" customWidth="1"/>
    <col min="63" max="63" width="25.54296875" bestFit="1" customWidth="1"/>
    <col min="64" max="64" width="26.36328125" bestFit="1" customWidth="1"/>
    <col min="65" max="65" width="22.08984375" bestFit="1" customWidth="1"/>
    <col min="66" max="66" width="25.54296875" bestFit="1" customWidth="1"/>
    <col min="67" max="67" width="26.36328125" bestFit="1" customWidth="1"/>
    <col min="68" max="68" width="22.08984375" bestFit="1" customWidth="1"/>
    <col min="69" max="69" width="25.54296875" bestFit="1" customWidth="1"/>
    <col min="70" max="70" width="26.36328125" bestFit="1" customWidth="1"/>
    <col min="71" max="71" width="22.08984375" bestFit="1" customWidth="1"/>
    <col min="72" max="72" width="25.54296875" bestFit="1" customWidth="1"/>
    <col min="73" max="73" width="26.36328125" bestFit="1" customWidth="1"/>
    <col min="74" max="74" width="22.08984375" bestFit="1" customWidth="1"/>
    <col min="75" max="75" width="25.54296875" bestFit="1" customWidth="1"/>
    <col min="76" max="76" width="26.36328125" bestFit="1" customWidth="1"/>
    <col min="77" max="77" width="22.08984375" bestFit="1" customWidth="1"/>
    <col min="78" max="78" width="25.54296875" bestFit="1" customWidth="1"/>
    <col min="79" max="79" width="26.36328125" bestFit="1" customWidth="1"/>
    <col min="80" max="80" width="22.08984375" bestFit="1" customWidth="1"/>
    <col min="81" max="81" width="25.54296875" bestFit="1" customWidth="1"/>
    <col min="82" max="82" width="26.36328125" bestFit="1" customWidth="1"/>
    <col min="83" max="83" width="22.08984375" bestFit="1" customWidth="1"/>
    <col min="84" max="84" width="25.54296875" bestFit="1" customWidth="1"/>
    <col min="85" max="85" width="26.36328125" bestFit="1" customWidth="1"/>
    <col min="86" max="86" width="29.6328125" bestFit="1" customWidth="1"/>
    <col min="87" max="87" width="33.1796875" bestFit="1" customWidth="1"/>
    <col min="88" max="88" width="33.90625" bestFit="1" customWidth="1"/>
  </cols>
  <sheetData>
    <row r="3" spans="1:4">
      <c r="A3" s="16" t="s">
        <v>319</v>
      </c>
      <c r="B3" t="s">
        <v>406</v>
      </c>
      <c r="C3" t="s">
        <v>404</v>
      </c>
      <c r="D3" t="s">
        <v>405</v>
      </c>
    </row>
    <row r="4" spans="1:4">
      <c r="A4" s="46">
        <v>43886</v>
      </c>
      <c r="B4" s="1">
        <v>1</v>
      </c>
      <c r="C4" s="1"/>
      <c r="D4" s="1">
        <v>0</v>
      </c>
    </row>
    <row r="5" spans="1:4">
      <c r="A5" s="46">
        <v>43887</v>
      </c>
      <c r="B5" s="1">
        <v>1</v>
      </c>
      <c r="C5" s="1"/>
      <c r="D5" s="1">
        <v>0</v>
      </c>
    </row>
    <row r="6" spans="1:4">
      <c r="A6" s="46">
        <v>43888</v>
      </c>
      <c r="B6" s="1">
        <v>5</v>
      </c>
      <c r="C6" s="1"/>
      <c r="D6" s="1">
        <v>0</v>
      </c>
    </row>
    <row r="7" spans="1:4">
      <c r="A7" s="46">
        <v>43889</v>
      </c>
      <c r="B7" s="1">
        <v>12</v>
      </c>
      <c r="C7" s="1"/>
      <c r="D7" s="1">
        <v>0</v>
      </c>
    </row>
    <row r="8" spans="1:4">
      <c r="A8" s="46">
        <v>43890</v>
      </c>
      <c r="B8" s="1">
        <v>17</v>
      </c>
      <c r="C8" s="1"/>
      <c r="D8" s="1">
        <v>0</v>
      </c>
    </row>
    <row r="9" spans="1:4">
      <c r="A9" s="46">
        <v>43891</v>
      </c>
      <c r="B9" s="1">
        <v>25</v>
      </c>
      <c r="C9" s="1">
        <v>0</v>
      </c>
      <c r="D9" s="1">
        <v>0</v>
      </c>
    </row>
    <row r="10" spans="1:4">
      <c r="A10" s="46">
        <v>43892</v>
      </c>
      <c r="B10" s="1">
        <v>37</v>
      </c>
      <c r="C10" s="1">
        <v>0</v>
      </c>
      <c r="D10" s="1">
        <v>0</v>
      </c>
    </row>
    <row r="11" spans="1:4">
      <c r="A11" s="46">
        <v>43893</v>
      </c>
      <c r="B11" s="1">
        <v>48</v>
      </c>
      <c r="C11" s="1">
        <v>0</v>
      </c>
      <c r="D11" s="1">
        <v>0</v>
      </c>
    </row>
    <row r="12" spans="1:4">
      <c r="A12" s="46">
        <v>43894</v>
      </c>
      <c r="B12" s="1">
        <v>74</v>
      </c>
      <c r="C12" s="1">
        <v>0</v>
      </c>
      <c r="D12" s="1">
        <v>0</v>
      </c>
    </row>
    <row r="13" spans="1:4">
      <c r="A13" s="46">
        <v>43895</v>
      </c>
      <c r="B13" s="1">
        <v>108</v>
      </c>
      <c r="C13" s="1">
        <v>0</v>
      </c>
      <c r="D13" s="1">
        <v>0</v>
      </c>
    </row>
    <row r="14" spans="1:4">
      <c r="A14" s="46">
        <v>43896</v>
      </c>
      <c r="B14" s="1">
        <v>158</v>
      </c>
      <c r="C14" s="1">
        <v>1</v>
      </c>
      <c r="D14" s="1">
        <v>1</v>
      </c>
    </row>
    <row r="15" spans="1:4">
      <c r="A15" s="46">
        <v>43897</v>
      </c>
      <c r="B15" s="1">
        <v>209</v>
      </c>
      <c r="C15" s="1">
        <v>0</v>
      </c>
      <c r="D15" s="1">
        <v>1</v>
      </c>
    </row>
    <row r="16" spans="1:4">
      <c r="A16" s="46">
        <v>43898</v>
      </c>
      <c r="B16" s="1">
        <v>272</v>
      </c>
      <c r="C16" s="1">
        <v>0</v>
      </c>
      <c r="D16" s="1">
        <v>2</v>
      </c>
    </row>
    <row r="17" spans="1:4">
      <c r="A17" s="46">
        <v>43899</v>
      </c>
      <c r="B17" s="1">
        <v>387</v>
      </c>
      <c r="C17" s="1">
        <v>3</v>
      </c>
      <c r="D17" s="1">
        <v>2</v>
      </c>
    </row>
    <row r="18" spans="1:4">
      <c r="A18" s="46">
        <v>43900</v>
      </c>
      <c r="B18" s="1">
        <v>410</v>
      </c>
      <c r="C18" s="1">
        <v>7</v>
      </c>
      <c r="D18" s="1">
        <v>4</v>
      </c>
    </row>
    <row r="19" spans="1:4">
      <c r="A19" s="46">
        <v>43901</v>
      </c>
      <c r="B19" s="1">
        <v>592</v>
      </c>
      <c r="C19" s="1">
        <v>9</v>
      </c>
      <c r="D19" s="1">
        <v>4</v>
      </c>
    </row>
    <row r="20" spans="1:4">
      <c r="A20" s="46">
        <v>43902</v>
      </c>
      <c r="B20" s="1">
        <v>1016</v>
      </c>
      <c r="C20" s="1">
        <v>10</v>
      </c>
      <c r="D20" s="1">
        <v>8</v>
      </c>
    </row>
    <row r="21" spans="1:4">
      <c r="A21" s="46">
        <v>43903</v>
      </c>
      <c r="B21" s="1">
        <v>1349</v>
      </c>
      <c r="C21" s="1">
        <v>9</v>
      </c>
      <c r="D21" s="1">
        <v>9</v>
      </c>
    </row>
    <row r="22" spans="1:4">
      <c r="A22" s="46">
        <v>43904</v>
      </c>
      <c r="B22" s="1">
        <v>1652</v>
      </c>
      <c r="C22" s="1">
        <v>7</v>
      </c>
      <c r="D22" s="1">
        <v>13</v>
      </c>
    </row>
    <row r="23" spans="1:4">
      <c r="A23" s="46">
        <v>43905</v>
      </c>
      <c r="B23" s="1">
        <v>1836</v>
      </c>
      <c r="C23" s="1">
        <v>6</v>
      </c>
      <c r="D23" s="1">
        <v>20</v>
      </c>
    </row>
    <row r="24" spans="1:4">
      <c r="A24" s="46">
        <v>43906</v>
      </c>
      <c r="B24" s="1">
        <v>2705</v>
      </c>
      <c r="C24" s="1">
        <v>13</v>
      </c>
      <c r="D24" s="1">
        <v>30</v>
      </c>
    </row>
    <row r="25" spans="1:4">
      <c r="A25" s="46">
        <v>43907</v>
      </c>
      <c r="B25" s="1">
        <v>3475</v>
      </c>
      <c r="C25" s="1">
        <v>44</v>
      </c>
      <c r="D25" s="1">
        <v>36</v>
      </c>
    </row>
    <row r="26" spans="1:4">
      <c r="A26" s="46">
        <v>43908</v>
      </c>
      <c r="B26" s="1">
        <v>4773</v>
      </c>
      <c r="C26" s="1">
        <v>62</v>
      </c>
      <c r="D26" s="1">
        <v>48</v>
      </c>
    </row>
    <row r="27" spans="1:4">
      <c r="A27" s="46">
        <v>43909</v>
      </c>
      <c r="B27" s="1">
        <v>5658</v>
      </c>
      <c r="C27" s="1">
        <v>65</v>
      </c>
      <c r="D27" s="1">
        <v>57</v>
      </c>
    </row>
    <row r="28" spans="1:4">
      <c r="A28" s="46">
        <v>43910</v>
      </c>
      <c r="B28" s="1">
        <v>6923</v>
      </c>
      <c r="C28" s="1">
        <v>70</v>
      </c>
      <c r="D28" s="1">
        <v>78</v>
      </c>
    </row>
    <row r="29" spans="1:4">
      <c r="A29" s="46">
        <v>43911</v>
      </c>
      <c r="B29" s="1">
        <v>7288</v>
      </c>
      <c r="C29" s="1">
        <v>83</v>
      </c>
      <c r="D29" s="1">
        <v>97</v>
      </c>
    </row>
    <row r="30" spans="1:4">
      <c r="A30" s="46">
        <v>43912</v>
      </c>
      <c r="B30" s="1">
        <v>7595</v>
      </c>
      <c r="C30" s="1">
        <v>99</v>
      </c>
      <c r="D30" s="1">
        <v>109</v>
      </c>
    </row>
    <row r="31" spans="1:4">
      <c r="A31" s="46">
        <v>43913</v>
      </c>
      <c r="B31" s="1">
        <v>9718</v>
      </c>
      <c r="C31" s="1">
        <v>119</v>
      </c>
      <c r="D31" s="1">
        <v>143</v>
      </c>
    </row>
    <row r="32" spans="1:4">
      <c r="A32" s="46">
        <v>43914</v>
      </c>
      <c r="B32" s="1">
        <v>10823</v>
      </c>
      <c r="C32" s="1">
        <v>271</v>
      </c>
      <c r="D32" s="1">
        <v>165</v>
      </c>
    </row>
    <row r="33" spans="1:4">
      <c r="A33" s="46">
        <v>43915</v>
      </c>
      <c r="B33" s="1">
        <v>11823</v>
      </c>
      <c r="C33" s="1">
        <v>324</v>
      </c>
      <c r="D33" s="1">
        <v>200</v>
      </c>
    </row>
    <row r="34" spans="1:4">
      <c r="A34" s="46">
        <v>43916</v>
      </c>
      <c r="B34" s="1">
        <v>13058</v>
      </c>
      <c r="C34" s="1">
        <v>404</v>
      </c>
      <c r="D34" s="1">
        <v>245</v>
      </c>
    </row>
    <row r="35" spans="1:4">
      <c r="A35" s="46">
        <v>43917</v>
      </c>
      <c r="B35" s="1">
        <v>14392</v>
      </c>
      <c r="C35" s="1">
        <v>473</v>
      </c>
      <c r="D35" s="1">
        <v>282</v>
      </c>
    </row>
    <row r="36" spans="1:4">
      <c r="A36" s="46">
        <v>43918</v>
      </c>
      <c r="B36" s="1">
        <v>14824</v>
      </c>
      <c r="C36" s="1">
        <v>543</v>
      </c>
      <c r="D36" s="1">
        <v>331</v>
      </c>
    </row>
    <row r="37" spans="1:4">
      <c r="A37" s="46">
        <v>43919</v>
      </c>
      <c r="B37" s="1">
        <v>15409</v>
      </c>
      <c r="C37" s="1">
        <v>593</v>
      </c>
      <c r="D37" s="1">
        <v>375</v>
      </c>
    </row>
    <row r="38" spans="1:4">
      <c r="A38" s="46">
        <v>43920</v>
      </c>
      <c r="B38" s="1">
        <v>16748</v>
      </c>
      <c r="C38" s="1">
        <v>708</v>
      </c>
      <c r="D38" s="1">
        <v>437</v>
      </c>
    </row>
    <row r="39" spans="1:4">
      <c r="A39" s="46">
        <v>43921</v>
      </c>
      <c r="B39" s="1">
        <v>17856</v>
      </c>
      <c r="C39" s="1">
        <v>1075</v>
      </c>
      <c r="D39" s="1">
        <v>504</v>
      </c>
    </row>
    <row r="40" spans="1:4">
      <c r="A40" s="46">
        <v>43922</v>
      </c>
      <c r="B40" s="1">
        <v>18890</v>
      </c>
      <c r="C40" s="1">
        <v>1249</v>
      </c>
      <c r="D40" s="1">
        <v>567</v>
      </c>
    </row>
    <row r="41" spans="1:4">
      <c r="A41" s="46">
        <v>43923</v>
      </c>
      <c r="B41" s="1">
        <v>19924</v>
      </c>
      <c r="C41" s="1">
        <v>1460</v>
      </c>
      <c r="D41" s="1">
        <v>628</v>
      </c>
    </row>
    <row r="42" spans="1:4">
      <c r="A42" s="46">
        <v>43924</v>
      </c>
      <c r="B42" s="1">
        <v>20878</v>
      </c>
      <c r="C42" s="1">
        <v>1566</v>
      </c>
      <c r="D42" s="1">
        <v>689</v>
      </c>
    </row>
    <row r="43" spans="1:4">
      <c r="A43" s="46">
        <v>43925</v>
      </c>
      <c r="B43" s="1">
        <v>20763</v>
      </c>
      <c r="C43" s="1">
        <v>1721</v>
      </c>
      <c r="D43" s="1">
        <v>744</v>
      </c>
    </row>
    <row r="44" spans="1:4">
      <c r="A44" s="46">
        <v>43926</v>
      </c>
      <c r="B44" s="1">
        <v>21124</v>
      </c>
      <c r="C44" s="1">
        <v>1786</v>
      </c>
      <c r="D44" s="1">
        <v>796</v>
      </c>
    </row>
    <row r="45" spans="1:4">
      <c r="A45" s="46">
        <v>43927</v>
      </c>
      <c r="B45" s="1">
        <v>22492</v>
      </c>
      <c r="C45" s="1">
        <v>2004</v>
      </c>
      <c r="D45" s="1">
        <v>866</v>
      </c>
    </row>
    <row r="46" spans="1:4">
      <c r="A46" s="46">
        <v>43928</v>
      </c>
      <c r="B46" s="1">
        <v>23221</v>
      </c>
      <c r="C46" s="1">
        <v>2368</v>
      </c>
      <c r="D46" s="1">
        <v>927</v>
      </c>
    </row>
    <row r="47" spans="1:4">
      <c r="A47" s="46">
        <v>43929</v>
      </c>
      <c r="B47" s="1">
        <v>23812</v>
      </c>
      <c r="C47" s="1">
        <v>2585</v>
      </c>
      <c r="D47" s="1">
        <v>994</v>
      </c>
    </row>
    <row r="48" spans="1:4">
      <c r="A48" s="46">
        <v>43930</v>
      </c>
      <c r="B48" s="1">
        <v>24480</v>
      </c>
      <c r="C48" s="1">
        <v>2293</v>
      </c>
      <c r="D48" s="1">
        <v>1045</v>
      </c>
    </row>
    <row r="49" spans="1:4">
      <c r="A49" s="46">
        <v>43931</v>
      </c>
      <c r="B49" s="1">
        <v>24921</v>
      </c>
      <c r="C49" s="1">
        <v>2569</v>
      </c>
      <c r="D49" s="1">
        <v>1096</v>
      </c>
    </row>
    <row r="50" spans="1:4">
      <c r="A50" s="46">
        <v>43932</v>
      </c>
      <c r="B50" s="1">
        <v>25408</v>
      </c>
      <c r="C50" s="1">
        <v>2985</v>
      </c>
      <c r="D50" s="1">
        <v>1134</v>
      </c>
    </row>
    <row r="51" spans="1:4">
      <c r="A51" s="46">
        <v>43933</v>
      </c>
      <c r="B51" s="1">
        <v>25580</v>
      </c>
      <c r="C51" s="1">
        <v>2787</v>
      </c>
      <c r="D51" s="1">
        <v>1187</v>
      </c>
    </row>
    <row r="52" spans="1:4">
      <c r="A52" s="46">
        <v>43934</v>
      </c>
      <c r="B52" s="1">
        <v>25931</v>
      </c>
      <c r="C52" s="1">
        <v>2867</v>
      </c>
      <c r="D52" s="1">
        <v>1220</v>
      </c>
    </row>
    <row r="53" spans="1:4">
      <c r="A53" s="46">
        <v>43935</v>
      </c>
      <c r="B53" s="1">
        <v>26235</v>
      </c>
      <c r="C53" s="1">
        <v>3329</v>
      </c>
      <c r="D53" s="1">
        <v>1257</v>
      </c>
    </row>
    <row r="54" spans="1:4">
      <c r="A54" s="46">
        <v>43936</v>
      </c>
      <c r="B54" s="1">
        <v>26633</v>
      </c>
      <c r="C54" s="1">
        <v>3493</v>
      </c>
      <c r="D54" s="1">
        <v>1311</v>
      </c>
    </row>
    <row r="55" spans="1:4">
      <c r="A55" s="46">
        <v>43937</v>
      </c>
      <c r="B55" s="1">
        <v>26932</v>
      </c>
      <c r="C55" s="1">
        <v>3653</v>
      </c>
      <c r="D55" s="1">
        <v>1356</v>
      </c>
    </row>
    <row r="56" spans="1:4">
      <c r="A56" s="46">
        <v>43938</v>
      </c>
      <c r="B56" s="1">
        <v>27255</v>
      </c>
      <c r="C56" s="1">
        <v>3761</v>
      </c>
      <c r="D56" s="1">
        <v>1402</v>
      </c>
    </row>
    <row r="57" spans="1:4">
      <c r="A57" s="46">
        <v>43939</v>
      </c>
      <c r="B57" s="1">
        <v>27366</v>
      </c>
      <c r="C57" s="1">
        <v>3336</v>
      </c>
      <c r="D57" s="1">
        <v>1441</v>
      </c>
    </row>
    <row r="58" spans="1:4">
      <c r="A58" s="46">
        <v>43940</v>
      </c>
      <c r="B58" s="1">
        <v>27567</v>
      </c>
      <c r="C58" s="1">
        <v>3406</v>
      </c>
      <c r="D58" s="1">
        <v>1465</v>
      </c>
    </row>
    <row r="59" spans="1:4">
      <c r="A59" s="46">
        <v>43941</v>
      </c>
      <c r="B59" s="1">
        <v>27917</v>
      </c>
      <c r="C59" s="1">
        <v>4082</v>
      </c>
      <c r="D59" s="1">
        <v>1510</v>
      </c>
    </row>
    <row r="60" spans="1:4">
      <c r="A60" s="46">
        <v>43942</v>
      </c>
      <c r="B60" s="1">
        <v>28076</v>
      </c>
      <c r="C60" s="1">
        <v>4204</v>
      </c>
      <c r="D60" s="1">
        <v>1551</v>
      </c>
    </row>
    <row r="61" spans="1:4">
      <c r="A61" s="46">
        <v>43943</v>
      </c>
      <c r="B61" s="1">
        <v>28273</v>
      </c>
      <c r="C61" s="1">
        <v>4311</v>
      </c>
      <c r="D61" s="1">
        <v>1578</v>
      </c>
    </row>
    <row r="62" spans="1:4">
      <c r="A62" s="46">
        <v>43944</v>
      </c>
      <c r="B62" s="1">
        <v>28490</v>
      </c>
      <c r="C62" s="1">
        <v>4402</v>
      </c>
      <c r="D62" s="1">
        <v>1608</v>
      </c>
    </row>
    <row r="63" spans="1:4">
      <c r="A63" s="46">
        <v>43945</v>
      </c>
      <c r="B63" s="1">
        <v>28681</v>
      </c>
      <c r="C63" s="1">
        <v>4480</v>
      </c>
      <c r="D63" s="1">
        <v>1637</v>
      </c>
    </row>
    <row r="64" spans="1:4">
      <c r="A64" s="46">
        <v>43946</v>
      </c>
      <c r="B64" s="1">
        <v>27609</v>
      </c>
      <c r="C64" s="1">
        <v>2162</v>
      </c>
      <c r="D64" s="1">
        <v>1627</v>
      </c>
    </row>
    <row r="65" spans="1:4">
      <c r="A65" s="46">
        <v>43947</v>
      </c>
      <c r="B65" s="1">
        <v>27665</v>
      </c>
      <c r="C65" s="1">
        <v>2970</v>
      </c>
      <c r="D65" s="1">
        <v>1643</v>
      </c>
    </row>
    <row r="66" spans="1:4">
      <c r="A66" s="46">
        <v>43948</v>
      </c>
      <c r="B66" s="1">
        <v>29066</v>
      </c>
      <c r="C66" s="1">
        <v>3822</v>
      </c>
      <c r="D66" s="1">
        <v>1699</v>
      </c>
    </row>
    <row r="67" spans="1:4">
      <c r="A67" s="46">
        <v>43949</v>
      </c>
      <c r="B67" s="1">
        <v>29179</v>
      </c>
      <c r="C67" s="1">
        <v>3874</v>
      </c>
      <c r="D67" s="1">
        <v>1724</v>
      </c>
    </row>
    <row r="68" spans="1:4">
      <c r="A68" s="17" t="s">
        <v>403</v>
      </c>
      <c r="B68" s="1"/>
      <c r="C68" s="1"/>
      <c r="D68" s="1"/>
    </row>
    <row r="69" spans="1:4">
      <c r="A69" s="46">
        <v>43950</v>
      </c>
      <c r="B69" s="1">
        <v>24500</v>
      </c>
      <c r="C69" s="1">
        <v>4740</v>
      </c>
      <c r="D69" s="1">
        <v>1412</v>
      </c>
    </row>
    <row r="70" spans="1:4">
      <c r="A70" s="46">
        <v>43951</v>
      </c>
      <c r="B70" s="1">
        <v>23948</v>
      </c>
      <c r="C70" s="1">
        <v>4183</v>
      </c>
      <c r="D70" s="1">
        <v>1422</v>
      </c>
    </row>
    <row r="71" spans="1:4">
      <c r="A71" s="46">
        <v>43952</v>
      </c>
      <c r="B71" s="1">
        <v>8200</v>
      </c>
      <c r="C71" s="1">
        <v>1427</v>
      </c>
      <c r="D71" s="1">
        <v>586</v>
      </c>
    </row>
    <row r="72" spans="1:4">
      <c r="A72" s="17" t="s">
        <v>320</v>
      </c>
      <c r="B72" s="1">
        <v>942293</v>
      </c>
      <c r="C72" s="1">
        <v>98873</v>
      </c>
      <c r="D72" s="1">
        <v>41323</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972D-0B3E-4092-BD86-0F51E3C7EA42}">
  <sheetPr codeName="Tabelle4"/>
  <dimension ref="A3:AC71"/>
  <sheetViews>
    <sheetView workbookViewId="0">
      <selection activeCell="AF12" sqref="AF12"/>
    </sheetView>
  </sheetViews>
  <sheetFormatPr baseColWidth="10" defaultRowHeight="14.5"/>
  <cols>
    <col min="1" max="1" width="21.36328125" bestFit="1" customWidth="1"/>
    <col min="2" max="2" width="22" bestFit="1" customWidth="1"/>
    <col min="3" max="3" width="3.08984375" bestFit="1" customWidth="1"/>
    <col min="4" max="4" width="3.81640625" bestFit="1" customWidth="1"/>
    <col min="5" max="5" width="2.54296875" bestFit="1" customWidth="1"/>
    <col min="6" max="6" width="3.08984375" bestFit="1" customWidth="1"/>
    <col min="7" max="9" width="3.81640625" bestFit="1" customWidth="1"/>
    <col min="10" max="10" width="2.54296875" bestFit="1" customWidth="1"/>
    <col min="11" max="11" width="4.81640625" bestFit="1" customWidth="1"/>
    <col min="12" max="12" width="2.90625" bestFit="1" customWidth="1"/>
    <col min="13" max="13" width="3.1796875" bestFit="1" customWidth="1"/>
    <col min="14" max="16" width="3.81640625" bestFit="1" customWidth="1"/>
    <col min="17" max="17" width="3.90625" bestFit="1" customWidth="1"/>
    <col min="18" max="18" width="4" bestFit="1" customWidth="1"/>
    <col min="19" max="19" width="3.81640625" bestFit="1" customWidth="1"/>
    <col min="20" max="20" width="3" bestFit="1" customWidth="1"/>
    <col min="21" max="21" width="2.7265625" bestFit="1" customWidth="1"/>
    <col min="22" max="22" width="3.81640625" bestFit="1" customWidth="1"/>
    <col min="23" max="23" width="4.81640625" bestFit="1" customWidth="1"/>
    <col min="24" max="24" width="3.1796875" bestFit="1" customWidth="1"/>
    <col min="25" max="25" width="4.81640625" bestFit="1" customWidth="1"/>
    <col min="26" max="27" width="3.81640625" bestFit="1" customWidth="1"/>
    <col min="28" max="28" width="3.08984375" bestFit="1" customWidth="1"/>
    <col min="29" max="30" width="14.36328125" bestFit="1" customWidth="1"/>
  </cols>
  <sheetData>
    <row r="3" spans="1:29">
      <c r="A3" s="16" t="s">
        <v>425</v>
      </c>
      <c r="B3" s="16" t="s">
        <v>321</v>
      </c>
    </row>
    <row r="4" spans="1:29">
      <c r="A4" s="16" t="s">
        <v>319</v>
      </c>
      <c r="B4" t="s">
        <v>56</v>
      </c>
      <c r="C4" t="s">
        <v>83</v>
      </c>
      <c r="D4" t="s">
        <v>34</v>
      </c>
      <c r="E4" t="s">
        <v>38</v>
      </c>
      <c r="F4" t="s">
        <v>41</v>
      </c>
      <c r="G4" t="s">
        <v>44</v>
      </c>
      <c r="H4" t="s">
        <v>47</v>
      </c>
      <c r="I4" t="s">
        <v>50</v>
      </c>
      <c r="J4" t="s">
        <v>53</v>
      </c>
      <c r="K4" t="s">
        <v>58</v>
      </c>
      <c r="L4" t="s">
        <v>61</v>
      </c>
      <c r="M4" t="s">
        <v>63</v>
      </c>
      <c r="N4" t="s">
        <v>66</v>
      </c>
      <c r="O4" t="s">
        <v>68</v>
      </c>
      <c r="P4" t="s">
        <v>71</v>
      </c>
      <c r="Q4" t="s">
        <v>73</v>
      </c>
      <c r="R4" t="s">
        <v>75</v>
      </c>
      <c r="S4" t="s">
        <v>78</v>
      </c>
      <c r="T4" t="s">
        <v>81</v>
      </c>
      <c r="U4" t="s">
        <v>86</v>
      </c>
      <c r="V4" t="s">
        <v>88</v>
      </c>
      <c r="W4" t="s">
        <v>91</v>
      </c>
      <c r="X4" t="s">
        <v>94</v>
      </c>
      <c r="Y4" t="s">
        <v>97</v>
      </c>
      <c r="Z4" t="s">
        <v>100</v>
      </c>
      <c r="AA4" t="s">
        <v>102</v>
      </c>
      <c r="AB4" t="s">
        <v>104</v>
      </c>
      <c r="AC4" t="s">
        <v>320</v>
      </c>
    </row>
    <row r="5" spans="1:29">
      <c r="A5" s="46">
        <v>43886</v>
      </c>
      <c r="B5" s="1"/>
      <c r="C5" s="1"/>
      <c r="D5" s="1"/>
      <c r="E5" s="1"/>
      <c r="F5" s="1"/>
      <c r="G5" s="1"/>
      <c r="H5" s="1"/>
      <c r="I5" s="1"/>
      <c r="J5" s="1"/>
      <c r="K5" s="1">
        <v>0</v>
      </c>
      <c r="L5" s="1"/>
      <c r="M5" s="1"/>
      <c r="N5" s="1"/>
      <c r="O5" s="1"/>
      <c r="P5" s="1"/>
      <c r="Q5" s="1"/>
      <c r="R5" s="1"/>
      <c r="S5" s="1"/>
      <c r="T5" s="1"/>
      <c r="U5" s="1"/>
      <c r="V5" s="1"/>
      <c r="W5" s="1"/>
      <c r="X5" s="1"/>
      <c r="Y5" s="1"/>
      <c r="Z5" s="1"/>
      <c r="AA5" s="1"/>
      <c r="AB5" s="1"/>
      <c r="AC5" s="1">
        <v>0</v>
      </c>
    </row>
    <row r="6" spans="1:29">
      <c r="A6" s="46">
        <v>43887</v>
      </c>
      <c r="B6" s="1"/>
      <c r="C6" s="1"/>
      <c r="D6" s="1"/>
      <c r="E6" s="1"/>
      <c r="F6" s="1"/>
      <c r="G6" s="1"/>
      <c r="H6" s="1"/>
      <c r="I6" s="1"/>
      <c r="J6" s="1"/>
      <c r="K6" s="1">
        <v>0</v>
      </c>
      <c r="L6" s="1"/>
      <c r="M6" s="1"/>
      <c r="N6" s="1"/>
      <c r="O6" s="1"/>
      <c r="P6" s="1"/>
      <c r="Q6" s="1"/>
      <c r="R6" s="1"/>
      <c r="S6" s="1"/>
      <c r="T6" s="1"/>
      <c r="U6" s="1"/>
      <c r="V6" s="1"/>
      <c r="W6" s="1"/>
      <c r="X6" s="1"/>
      <c r="Y6" s="1"/>
      <c r="Z6" s="1"/>
      <c r="AA6" s="1"/>
      <c r="AB6" s="1"/>
      <c r="AC6" s="1">
        <v>0</v>
      </c>
    </row>
    <row r="7" spans="1:29">
      <c r="A7" s="46">
        <v>43888</v>
      </c>
      <c r="B7" s="1"/>
      <c r="C7" s="1"/>
      <c r="D7" s="1"/>
      <c r="E7" s="1"/>
      <c r="F7" s="1"/>
      <c r="G7" s="1"/>
      <c r="H7" s="1"/>
      <c r="I7" s="1"/>
      <c r="J7" s="1"/>
      <c r="K7" s="1">
        <v>0</v>
      </c>
      <c r="L7" s="1"/>
      <c r="M7" s="1"/>
      <c r="N7" s="1">
        <v>0</v>
      </c>
      <c r="O7" s="1"/>
      <c r="P7" s="1"/>
      <c r="Q7" s="1"/>
      <c r="R7" s="1"/>
      <c r="S7" s="1"/>
      <c r="T7" s="1"/>
      <c r="U7" s="1"/>
      <c r="V7" s="1"/>
      <c r="W7" s="1"/>
      <c r="X7" s="1"/>
      <c r="Y7" s="1"/>
      <c r="Z7" s="1"/>
      <c r="AA7" s="1"/>
      <c r="AB7" s="1"/>
      <c r="AC7" s="1">
        <v>0</v>
      </c>
    </row>
    <row r="8" spans="1:29">
      <c r="A8" s="46">
        <v>43889</v>
      </c>
      <c r="B8" s="1"/>
      <c r="C8" s="1"/>
      <c r="D8" s="1"/>
      <c r="E8" s="1"/>
      <c r="F8" s="1"/>
      <c r="G8" s="1"/>
      <c r="H8" s="1"/>
      <c r="I8" s="1"/>
      <c r="J8" s="1"/>
      <c r="K8" s="1">
        <v>0</v>
      </c>
      <c r="L8" s="1"/>
      <c r="M8" s="1"/>
      <c r="N8" s="1">
        <v>0</v>
      </c>
      <c r="O8" s="1"/>
      <c r="P8" s="1"/>
      <c r="Q8" s="1"/>
      <c r="R8" s="1"/>
      <c r="S8" s="1"/>
      <c r="T8" s="1"/>
      <c r="U8" s="1"/>
      <c r="V8" s="1"/>
      <c r="W8" s="1"/>
      <c r="X8" s="1"/>
      <c r="Y8" s="1"/>
      <c r="Z8" s="1">
        <v>0</v>
      </c>
      <c r="AA8" s="1"/>
      <c r="AB8" s="1"/>
      <c r="AC8" s="1">
        <v>0</v>
      </c>
    </row>
    <row r="9" spans="1:29">
      <c r="A9" s="46">
        <v>43890</v>
      </c>
      <c r="B9" s="1"/>
      <c r="C9" s="1"/>
      <c r="D9" s="1"/>
      <c r="E9" s="1"/>
      <c r="F9" s="1"/>
      <c r="G9" s="1"/>
      <c r="H9" s="1"/>
      <c r="I9" s="1"/>
      <c r="J9" s="1"/>
      <c r="K9" s="1">
        <v>0</v>
      </c>
      <c r="L9" s="1"/>
      <c r="M9" s="1"/>
      <c r="N9" s="1">
        <v>0</v>
      </c>
      <c r="O9" s="1"/>
      <c r="P9" s="1"/>
      <c r="Q9" s="1"/>
      <c r="R9" s="1"/>
      <c r="S9" s="1"/>
      <c r="T9" s="1"/>
      <c r="U9" s="1"/>
      <c r="V9" s="1"/>
      <c r="W9" s="1"/>
      <c r="X9" s="1"/>
      <c r="Y9" s="1"/>
      <c r="Z9" s="1">
        <v>0</v>
      </c>
      <c r="AA9" s="1">
        <v>0</v>
      </c>
      <c r="AB9" s="1"/>
      <c r="AC9" s="1">
        <v>0</v>
      </c>
    </row>
    <row r="10" spans="1:29">
      <c r="A10" s="46">
        <v>43891</v>
      </c>
      <c r="B10" s="1"/>
      <c r="C10" s="1"/>
      <c r="D10" s="1"/>
      <c r="E10" s="1"/>
      <c r="F10" s="1"/>
      <c r="G10" s="1"/>
      <c r="H10" s="1"/>
      <c r="I10" s="1"/>
      <c r="J10" s="1"/>
      <c r="K10" s="1">
        <v>0</v>
      </c>
      <c r="L10" s="1"/>
      <c r="M10" s="1"/>
      <c r="N10" s="1">
        <v>0</v>
      </c>
      <c r="O10" s="1"/>
      <c r="P10" s="1"/>
      <c r="Q10" s="1"/>
      <c r="R10" s="1"/>
      <c r="S10" s="1"/>
      <c r="T10" s="1"/>
      <c r="U10" s="1"/>
      <c r="V10" s="1"/>
      <c r="W10" s="1"/>
      <c r="X10" s="1"/>
      <c r="Y10" s="1"/>
      <c r="Z10" s="1">
        <v>0</v>
      </c>
      <c r="AA10" s="1">
        <v>0</v>
      </c>
      <c r="AB10" s="1"/>
      <c r="AC10" s="1">
        <v>0</v>
      </c>
    </row>
    <row r="11" spans="1:29">
      <c r="A11" s="46">
        <v>43892</v>
      </c>
      <c r="B11" s="1"/>
      <c r="C11" s="1"/>
      <c r="D11" s="1"/>
      <c r="E11" s="1"/>
      <c r="F11" s="1"/>
      <c r="G11" s="1"/>
      <c r="H11" s="1"/>
      <c r="I11" s="1"/>
      <c r="J11" s="1"/>
      <c r="K11" s="1">
        <v>0</v>
      </c>
      <c r="L11" s="1"/>
      <c r="M11" s="1"/>
      <c r="N11" s="1">
        <v>0</v>
      </c>
      <c r="O11" s="1"/>
      <c r="P11" s="1"/>
      <c r="Q11" s="1"/>
      <c r="R11" s="1"/>
      <c r="S11" s="1"/>
      <c r="T11" s="1"/>
      <c r="U11" s="1"/>
      <c r="V11" s="1"/>
      <c r="W11" s="1"/>
      <c r="X11" s="1"/>
      <c r="Y11" s="1"/>
      <c r="Z11" s="1">
        <v>0</v>
      </c>
      <c r="AA11" s="1">
        <v>0</v>
      </c>
      <c r="AB11" s="1"/>
      <c r="AC11" s="1">
        <v>0</v>
      </c>
    </row>
    <row r="12" spans="1:29">
      <c r="A12" s="46">
        <v>43893</v>
      </c>
      <c r="B12" s="1"/>
      <c r="C12" s="1"/>
      <c r="D12" s="1"/>
      <c r="E12" s="1"/>
      <c r="F12" s="1"/>
      <c r="G12" s="1"/>
      <c r="H12" s="1"/>
      <c r="I12" s="1"/>
      <c r="J12" s="1"/>
      <c r="K12" s="1">
        <v>0</v>
      </c>
      <c r="L12" s="1"/>
      <c r="M12" s="1"/>
      <c r="N12" s="1">
        <v>0</v>
      </c>
      <c r="O12" s="1"/>
      <c r="P12" s="1"/>
      <c r="Q12" s="1"/>
      <c r="R12" s="1"/>
      <c r="S12" s="1"/>
      <c r="T12" s="1"/>
      <c r="U12" s="1"/>
      <c r="V12" s="1"/>
      <c r="W12" s="1"/>
      <c r="X12" s="1"/>
      <c r="Y12" s="1"/>
      <c r="Z12" s="1">
        <v>0</v>
      </c>
      <c r="AA12" s="1">
        <v>0</v>
      </c>
      <c r="AB12" s="1"/>
      <c r="AC12" s="1">
        <v>0</v>
      </c>
    </row>
    <row r="13" spans="1:29">
      <c r="A13" s="46">
        <v>43894</v>
      </c>
      <c r="B13" s="1"/>
      <c r="C13" s="1"/>
      <c r="D13" s="1"/>
      <c r="E13" s="1"/>
      <c r="F13" s="1"/>
      <c r="G13" s="1"/>
      <c r="H13" s="1"/>
      <c r="I13" s="1"/>
      <c r="J13" s="1"/>
      <c r="K13" s="1">
        <v>0</v>
      </c>
      <c r="L13" s="1"/>
      <c r="M13" s="1"/>
      <c r="N13" s="1">
        <v>0</v>
      </c>
      <c r="O13" s="1"/>
      <c r="P13" s="1"/>
      <c r="Q13" s="1"/>
      <c r="R13" s="1"/>
      <c r="S13" s="1"/>
      <c r="T13" s="1"/>
      <c r="U13" s="1"/>
      <c r="V13" s="1"/>
      <c r="W13" s="1"/>
      <c r="X13" s="1"/>
      <c r="Y13" s="1">
        <v>1</v>
      </c>
      <c r="Z13" s="1">
        <v>0</v>
      </c>
      <c r="AA13" s="1">
        <v>0</v>
      </c>
      <c r="AB13" s="1"/>
      <c r="AC13" s="1">
        <v>1</v>
      </c>
    </row>
    <row r="14" spans="1:29">
      <c r="A14" s="46">
        <v>43895</v>
      </c>
      <c r="B14" s="1"/>
      <c r="C14" s="1"/>
      <c r="D14" s="1"/>
      <c r="E14" s="1"/>
      <c r="F14" s="1"/>
      <c r="G14" s="1"/>
      <c r="H14" s="1"/>
      <c r="I14" s="1"/>
      <c r="J14" s="1"/>
      <c r="K14" s="1">
        <v>0</v>
      </c>
      <c r="L14" s="1"/>
      <c r="M14" s="1"/>
      <c r="N14" s="1">
        <v>0</v>
      </c>
      <c r="O14" s="1"/>
      <c r="P14" s="1"/>
      <c r="Q14" s="1"/>
      <c r="R14" s="1"/>
      <c r="S14" s="1"/>
      <c r="T14" s="1"/>
      <c r="U14" s="1"/>
      <c r="V14" s="1"/>
      <c r="W14" s="1"/>
      <c r="X14" s="1"/>
      <c r="Y14" s="1">
        <v>1</v>
      </c>
      <c r="Z14" s="1">
        <v>0</v>
      </c>
      <c r="AA14" s="1">
        <v>0</v>
      </c>
      <c r="AB14" s="1"/>
      <c r="AC14" s="1">
        <v>1</v>
      </c>
    </row>
    <row r="15" spans="1:29">
      <c r="A15" s="46">
        <v>43896</v>
      </c>
      <c r="B15" s="1"/>
      <c r="C15" s="1"/>
      <c r="D15" s="1"/>
      <c r="E15" s="1"/>
      <c r="F15" s="1"/>
      <c r="G15" s="1"/>
      <c r="H15" s="1">
        <v>2</v>
      </c>
      <c r="I15" s="1"/>
      <c r="J15" s="1"/>
      <c r="K15" s="1">
        <v>0</v>
      </c>
      <c r="L15" s="1"/>
      <c r="M15" s="1"/>
      <c r="N15" s="1">
        <v>0</v>
      </c>
      <c r="O15" s="1"/>
      <c r="P15" s="1"/>
      <c r="Q15" s="1"/>
      <c r="R15" s="1"/>
      <c r="S15" s="1"/>
      <c r="T15" s="1"/>
      <c r="U15" s="1"/>
      <c r="V15" s="1"/>
      <c r="W15" s="1"/>
      <c r="X15" s="1"/>
      <c r="Y15" s="1">
        <v>2</v>
      </c>
      <c r="Z15" s="1">
        <v>0</v>
      </c>
      <c r="AA15" s="1">
        <v>0</v>
      </c>
      <c r="AB15" s="1"/>
      <c r="AC15" s="1">
        <v>4</v>
      </c>
    </row>
    <row r="16" spans="1:29">
      <c r="A16" s="46">
        <v>43897</v>
      </c>
      <c r="B16" s="1"/>
      <c r="C16" s="1"/>
      <c r="D16" s="1"/>
      <c r="E16" s="1"/>
      <c r="F16" s="1"/>
      <c r="G16" s="1"/>
      <c r="H16" s="1">
        <v>2</v>
      </c>
      <c r="I16" s="1"/>
      <c r="J16" s="1"/>
      <c r="K16" s="1">
        <v>0</v>
      </c>
      <c r="L16" s="1"/>
      <c r="M16" s="1"/>
      <c r="N16" s="1">
        <v>0</v>
      </c>
      <c r="O16" s="1"/>
      <c r="P16" s="1"/>
      <c r="Q16" s="1"/>
      <c r="R16" s="1"/>
      <c r="S16" s="1"/>
      <c r="T16" s="1"/>
      <c r="U16" s="1"/>
      <c r="V16" s="1"/>
      <c r="W16" s="1"/>
      <c r="X16" s="1"/>
      <c r="Y16" s="1">
        <v>4</v>
      </c>
      <c r="Z16" s="1">
        <v>0</v>
      </c>
      <c r="AA16" s="1">
        <v>0</v>
      </c>
      <c r="AB16" s="1"/>
      <c r="AC16" s="1">
        <v>6</v>
      </c>
    </row>
    <row r="17" spans="1:29">
      <c r="A17" s="46">
        <v>43898</v>
      </c>
      <c r="B17" s="1"/>
      <c r="C17" s="1"/>
      <c r="D17" s="1"/>
      <c r="E17" s="1"/>
      <c r="F17" s="1"/>
      <c r="G17" s="1"/>
      <c r="H17" s="1">
        <v>2</v>
      </c>
      <c r="I17" s="1"/>
      <c r="J17" s="1"/>
      <c r="K17" s="1">
        <v>0</v>
      </c>
      <c r="L17" s="1"/>
      <c r="M17" s="1"/>
      <c r="N17" s="1">
        <v>0</v>
      </c>
      <c r="O17" s="1"/>
      <c r="P17" s="1"/>
      <c r="Q17" s="1"/>
      <c r="R17" s="1"/>
      <c r="S17" s="1"/>
      <c r="T17" s="1"/>
      <c r="U17" s="1"/>
      <c r="V17" s="1"/>
      <c r="W17" s="1"/>
      <c r="X17" s="1"/>
      <c r="Y17" s="1">
        <v>3</v>
      </c>
      <c r="Z17" s="1">
        <v>1</v>
      </c>
      <c r="AA17" s="1">
        <v>0</v>
      </c>
      <c r="AB17" s="1"/>
      <c r="AC17" s="1">
        <v>6</v>
      </c>
    </row>
    <row r="18" spans="1:29">
      <c r="A18" s="46">
        <v>43899</v>
      </c>
      <c r="B18" s="1"/>
      <c r="C18" s="1"/>
      <c r="D18" s="1"/>
      <c r="E18" s="1"/>
      <c r="F18" s="1"/>
      <c r="G18" s="1"/>
      <c r="H18" s="1">
        <v>4</v>
      </c>
      <c r="I18" s="1"/>
      <c r="J18" s="1"/>
      <c r="K18" s="1">
        <v>3</v>
      </c>
      <c r="L18" s="1"/>
      <c r="M18" s="1"/>
      <c r="N18" s="1">
        <v>0</v>
      </c>
      <c r="O18" s="1"/>
      <c r="P18" s="1"/>
      <c r="Q18" s="1"/>
      <c r="R18" s="1"/>
      <c r="S18" s="1"/>
      <c r="T18" s="1"/>
      <c r="U18" s="1"/>
      <c r="V18" s="1"/>
      <c r="W18" s="1"/>
      <c r="X18" s="1"/>
      <c r="Y18" s="1">
        <v>5</v>
      </c>
      <c r="Z18" s="1">
        <v>1</v>
      </c>
      <c r="AA18" s="1">
        <v>0</v>
      </c>
      <c r="AB18" s="1"/>
      <c r="AC18" s="1">
        <v>13</v>
      </c>
    </row>
    <row r="19" spans="1:29">
      <c r="A19" s="46">
        <v>43900</v>
      </c>
      <c r="B19" s="1"/>
      <c r="C19" s="1"/>
      <c r="D19" s="1"/>
      <c r="E19" s="1"/>
      <c r="F19" s="1"/>
      <c r="G19" s="1"/>
      <c r="H19" s="1">
        <v>1</v>
      </c>
      <c r="I19" s="1"/>
      <c r="J19" s="1"/>
      <c r="K19" s="1">
        <v>4</v>
      </c>
      <c r="L19" s="1"/>
      <c r="M19" s="1"/>
      <c r="N19" s="1">
        <v>0</v>
      </c>
      <c r="O19" s="1"/>
      <c r="P19" s="1"/>
      <c r="Q19" s="1"/>
      <c r="R19" s="1"/>
      <c r="S19" s="1"/>
      <c r="T19" s="1"/>
      <c r="U19" s="1"/>
      <c r="V19" s="1"/>
      <c r="W19" s="1"/>
      <c r="X19" s="1"/>
      <c r="Y19" s="1">
        <v>8</v>
      </c>
      <c r="Z19" s="1">
        <v>1</v>
      </c>
      <c r="AA19" s="1">
        <v>0</v>
      </c>
      <c r="AB19" s="1"/>
      <c r="AC19" s="1">
        <v>14</v>
      </c>
    </row>
    <row r="20" spans="1:29">
      <c r="A20" s="46">
        <v>43901</v>
      </c>
      <c r="B20" s="1"/>
      <c r="C20" s="1"/>
      <c r="D20" s="1"/>
      <c r="E20" s="1"/>
      <c r="F20" s="1"/>
      <c r="G20" s="1"/>
      <c r="H20" s="1">
        <v>1</v>
      </c>
      <c r="I20" s="1">
        <v>2</v>
      </c>
      <c r="J20" s="1"/>
      <c r="K20" s="1">
        <v>6</v>
      </c>
      <c r="L20" s="1"/>
      <c r="M20" s="1"/>
      <c r="N20" s="1">
        <v>0</v>
      </c>
      <c r="O20" s="1"/>
      <c r="P20" s="1"/>
      <c r="Q20" s="1"/>
      <c r="R20" s="1"/>
      <c r="S20" s="1"/>
      <c r="T20" s="1"/>
      <c r="U20" s="1"/>
      <c r="V20" s="1"/>
      <c r="W20" s="1"/>
      <c r="X20" s="1"/>
      <c r="Y20" s="1">
        <v>7</v>
      </c>
      <c r="Z20" s="1">
        <v>1</v>
      </c>
      <c r="AA20" s="1">
        <v>0</v>
      </c>
      <c r="AB20" s="1"/>
      <c r="AC20" s="1">
        <v>17</v>
      </c>
    </row>
    <row r="21" spans="1:29">
      <c r="A21" s="46">
        <v>43902</v>
      </c>
      <c r="B21" s="1"/>
      <c r="C21" s="1"/>
      <c r="D21" s="1"/>
      <c r="E21" s="1"/>
      <c r="F21" s="1"/>
      <c r="G21" s="1"/>
      <c r="H21" s="1">
        <v>3</v>
      </c>
      <c r="I21" s="1"/>
      <c r="J21" s="1"/>
      <c r="K21" s="1">
        <v>6</v>
      </c>
      <c r="L21" s="1"/>
      <c r="M21" s="1"/>
      <c r="N21" s="1">
        <v>0</v>
      </c>
      <c r="O21" s="1"/>
      <c r="P21" s="1"/>
      <c r="Q21" s="1"/>
      <c r="R21" s="1"/>
      <c r="S21" s="1"/>
      <c r="T21" s="1"/>
      <c r="U21" s="1"/>
      <c r="V21" s="1"/>
      <c r="W21" s="1"/>
      <c r="X21" s="1"/>
      <c r="Y21" s="1">
        <v>6</v>
      </c>
      <c r="Z21" s="1">
        <v>1</v>
      </c>
      <c r="AA21" s="1">
        <v>0</v>
      </c>
      <c r="AB21" s="1"/>
      <c r="AC21" s="1">
        <v>16</v>
      </c>
    </row>
    <row r="22" spans="1:29">
      <c r="A22" s="46">
        <v>43903</v>
      </c>
      <c r="B22" s="1"/>
      <c r="C22" s="1"/>
      <c r="D22" s="1"/>
      <c r="E22" s="1"/>
      <c r="F22" s="1"/>
      <c r="G22" s="1"/>
      <c r="H22" s="1">
        <v>3</v>
      </c>
      <c r="I22" s="1"/>
      <c r="J22" s="1"/>
      <c r="K22" s="1">
        <v>7</v>
      </c>
      <c r="L22" s="1"/>
      <c r="M22" s="1"/>
      <c r="N22" s="1">
        <v>0</v>
      </c>
      <c r="O22" s="1"/>
      <c r="P22" s="1"/>
      <c r="Q22" s="1"/>
      <c r="R22" s="1"/>
      <c r="S22" s="1"/>
      <c r="T22" s="1"/>
      <c r="U22" s="1"/>
      <c r="V22" s="1"/>
      <c r="W22" s="1">
        <v>13</v>
      </c>
      <c r="X22" s="1"/>
      <c r="Y22" s="1">
        <v>7</v>
      </c>
      <c r="Z22" s="1">
        <v>1</v>
      </c>
      <c r="AA22" s="1">
        <v>0</v>
      </c>
      <c r="AB22" s="1"/>
      <c r="AC22" s="1">
        <v>31</v>
      </c>
    </row>
    <row r="23" spans="1:29">
      <c r="A23" s="46">
        <v>43904</v>
      </c>
      <c r="B23" s="1"/>
      <c r="C23" s="1"/>
      <c r="D23" s="1"/>
      <c r="E23" s="1"/>
      <c r="F23" s="1"/>
      <c r="G23" s="1"/>
      <c r="H23" s="1">
        <v>2</v>
      </c>
      <c r="I23" s="1"/>
      <c r="J23" s="1"/>
      <c r="K23" s="1">
        <v>8</v>
      </c>
      <c r="L23" s="1"/>
      <c r="M23" s="1"/>
      <c r="N23" s="1">
        <v>0</v>
      </c>
      <c r="O23" s="1"/>
      <c r="P23" s="1"/>
      <c r="Q23" s="1"/>
      <c r="R23" s="1"/>
      <c r="S23" s="1"/>
      <c r="T23" s="1"/>
      <c r="U23" s="1"/>
      <c r="V23" s="1"/>
      <c r="W23" s="1"/>
      <c r="X23" s="1"/>
      <c r="Y23" s="1">
        <v>10</v>
      </c>
      <c r="Z23" s="1">
        <v>1</v>
      </c>
      <c r="AA23" s="1">
        <v>0</v>
      </c>
      <c r="AB23" s="1"/>
      <c r="AC23" s="1">
        <v>21</v>
      </c>
    </row>
    <row r="24" spans="1:29">
      <c r="A24" s="46">
        <v>43905</v>
      </c>
      <c r="B24" s="1"/>
      <c r="C24" s="1"/>
      <c r="D24" s="1"/>
      <c r="E24" s="1"/>
      <c r="F24" s="1"/>
      <c r="G24" s="1"/>
      <c r="H24" s="1">
        <v>2</v>
      </c>
      <c r="I24" s="1"/>
      <c r="J24" s="1"/>
      <c r="K24" s="1">
        <v>12</v>
      </c>
      <c r="L24" s="1"/>
      <c r="M24" s="1"/>
      <c r="N24" s="1">
        <v>0</v>
      </c>
      <c r="O24" s="1"/>
      <c r="P24" s="1"/>
      <c r="Q24" s="1"/>
      <c r="R24" s="1"/>
      <c r="S24" s="1"/>
      <c r="T24" s="1"/>
      <c r="U24" s="1"/>
      <c r="V24" s="1"/>
      <c r="W24" s="1"/>
      <c r="X24" s="1"/>
      <c r="Y24" s="1">
        <v>10</v>
      </c>
      <c r="Z24" s="1">
        <v>1</v>
      </c>
      <c r="AA24" s="1">
        <v>0</v>
      </c>
      <c r="AB24" s="1"/>
      <c r="AC24" s="1">
        <v>25</v>
      </c>
    </row>
    <row r="25" spans="1:29">
      <c r="A25" s="46">
        <v>43906</v>
      </c>
      <c r="B25" s="1"/>
      <c r="C25" s="1"/>
      <c r="D25" s="1"/>
      <c r="E25" s="1"/>
      <c r="F25" s="1"/>
      <c r="G25" s="1"/>
      <c r="H25" s="1">
        <v>4</v>
      </c>
      <c r="I25" s="1"/>
      <c r="J25" s="1"/>
      <c r="K25" s="1">
        <v>10</v>
      </c>
      <c r="L25" s="1"/>
      <c r="M25" s="1"/>
      <c r="N25" s="1">
        <v>0</v>
      </c>
      <c r="O25" s="1"/>
      <c r="P25" s="1"/>
      <c r="Q25" s="1"/>
      <c r="R25" s="1"/>
      <c r="S25" s="1"/>
      <c r="T25" s="1"/>
      <c r="U25" s="1"/>
      <c r="V25" s="1"/>
      <c r="W25" s="1"/>
      <c r="X25" s="1"/>
      <c r="Y25" s="1">
        <v>20</v>
      </c>
      <c r="Z25" s="1">
        <v>2</v>
      </c>
      <c r="AA25" s="1">
        <v>0</v>
      </c>
      <c r="AB25" s="1"/>
      <c r="AC25" s="1">
        <v>36</v>
      </c>
    </row>
    <row r="26" spans="1:29">
      <c r="A26" s="46">
        <v>43907</v>
      </c>
      <c r="B26" s="1"/>
      <c r="C26" s="1"/>
      <c r="D26" s="1"/>
      <c r="E26" s="1"/>
      <c r="F26" s="1"/>
      <c r="G26" s="1"/>
      <c r="H26" s="1">
        <v>5</v>
      </c>
      <c r="I26" s="1"/>
      <c r="J26" s="1"/>
      <c r="K26" s="1">
        <v>19</v>
      </c>
      <c r="L26" s="1"/>
      <c r="M26" s="1"/>
      <c r="N26" s="1">
        <v>0</v>
      </c>
      <c r="O26" s="1"/>
      <c r="P26" s="1"/>
      <c r="Q26" s="1"/>
      <c r="R26" s="1"/>
      <c r="S26" s="1"/>
      <c r="T26" s="1"/>
      <c r="U26" s="1"/>
      <c r="V26" s="1"/>
      <c r="W26" s="1"/>
      <c r="X26" s="1"/>
      <c r="Y26" s="1">
        <v>24</v>
      </c>
      <c r="Z26" s="1">
        <v>2</v>
      </c>
      <c r="AA26" s="1">
        <v>0</v>
      </c>
      <c r="AB26" s="1"/>
      <c r="AC26" s="1">
        <v>50</v>
      </c>
    </row>
    <row r="27" spans="1:29">
      <c r="A27" s="46">
        <v>43908</v>
      </c>
      <c r="B27" s="1">
        <v>5</v>
      </c>
      <c r="C27" s="1"/>
      <c r="D27" s="1"/>
      <c r="E27" s="1"/>
      <c r="F27" s="1"/>
      <c r="G27" s="1"/>
      <c r="H27" s="1">
        <v>2</v>
      </c>
      <c r="I27" s="1"/>
      <c r="J27" s="1"/>
      <c r="K27" s="1">
        <v>20</v>
      </c>
      <c r="L27" s="1"/>
      <c r="M27" s="1"/>
      <c r="N27" s="1">
        <v>0</v>
      </c>
      <c r="O27" s="1"/>
      <c r="P27" s="1"/>
      <c r="Q27" s="1"/>
      <c r="R27" s="1"/>
      <c r="S27" s="1"/>
      <c r="T27" s="1"/>
      <c r="U27" s="1"/>
      <c r="V27" s="1"/>
      <c r="W27" s="1"/>
      <c r="X27" s="1"/>
      <c r="Y27" s="1">
        <v>24</v>
      </c>
      <c r="Z27" s="1">
        <v>2</v>
      </c>
      <c r="AA27" s="1">
        <v>0</v>
      </c>
      <c r="AB27" s="1"/>
      <c r="AC27" s="1">
        <v>53</v>
      </c>
    </row>
    <row r="28" spans="1:29">
      <c r="A28" s="46">
        <v>43909</v>
      </c>
      <c r="B28" s="1">
        <v>5</v>
      </c>
      <c r="C28" s="1"/>
      <c r="D28" s="1">
        <v>6</v>
      </c>
      <c r="E28" s="1"/>
      <c r="F28" s="1"/>
      <c r="G28" s="1"/>
      <c r="H28" s="1">
        <v>2</v>
      </c>
      <c r="I28" s="1"/>
      <c r="J28" s="1"/>
      <c r="K28" s="1">
        <v>19</v>
      </c>
      <c r="L28" s="1"/>
      <c r="M28" s="1"/>
      <c r="N28" s="1">
        <v>0</v>
      </c>
      <c r="O28" s="1"/>
      <c r="P28" s="1"/>
      <c r="Q28" s="1"/>
      <c r="R28" s="1"/>
      <c r="S28" s="1"/>
      <c r="T28" s="1"/>
      <c r="U28" s="1"/>
      <c r="V28" s="1"/>
      <c r="W28" s="1">
        <v>33</v>
      </c>
      <c r="X28" s="1"/>
      <c r="Y28" s="1">
        <v>23</v>
      </c>
      <c r="Z28" s="1">
        <v>5</v>
      </c>
      <c r="AA28" s="1">
        <v>0</v>
      </c>
      <c r="AB28" s="1"/>
      <c r="AC28" s="1">
        <v>93</v>
      </c>
    </row>
    <row r="29" spans="1:29">
      <c r="A29" s="46">
        <v>43910</v>
      </c>
      <c r="B29" s="1">
        <v>6</v>
      </c>
      <c r="C29" s="1"/>
      <c r="D29" s="1">
        <v>4</v>
      </c>
      <c r="E29" s="1"/>
      <c r="F29" s="1"/>
      <c r="G29" s="1"/>
      <c r="H29" s="1">
        <v>2</v>
      </c>
      <c r="I29" s="1"/>
      <c r="J29" s="1"/>
      <c r="K29" s="1">
        <v>22</v>
      </c>
      <c r="L29" s="1"/>
      <c r="M29" s="1"/>
      <c r="N29" s="1">
        <v>1</v>
      </c>
      <c r="O29" s="1"/>
      <c r="P29" s="1"/>
      <c r="Q29" s="1"/>
      <c r="R29" s="1"/>
      <c r="S29" s="1"/>
      <c r="T29" s="1"/>
      <c r="U29" s="1"/>
      <c r="V29" s="1"/>
      <c r="W29" s="1">
        <v>35</v>
      </c>
      <c r="X29" s="1"/>
      <c r="Y29" s="1">
        <v>23</v>
      </c>
      <c r="Z29" s="1">
        <v>6</v>
      </c>
      <c r="AA29" s="1">
        <v>0</v>
      </c>
      <c r="AB29" s="1"/>
      <c r="AC29" s="1">
        <v>99</v>
      </c>
    </row>
    <row r="30" spans="1:29">
      <c r="A30" s="46">
        <v>43911</v>
      </c>
      <c r="B30" s="1">
        <v>6</v>
      </c>
      <c r="C30" s="1"/>
      <c r="D30" s="1"/>
      <c r="E30" s="1"/>
      <c r="F30" s="1"/>
      <c r="G30" s="1"/>
      <c r="H30" s="1">
        <v>4</v>
      </c>
      <c r="I30" s="1"/>
      <c r="J30" s="1"/>
      <c r="K30" s="1">
        <v>25</v>
      </c>
      <c r="L30" s="1"/>
      <c r="M30" s="1"/>
      <c r="N30" s="1">
        <v>1</v>
      </c>
      <c r="O30" s="1"/>
      <c r="P30" s="1"/>
      <c r="Q30" s="1"/>
      <c r="R30" s="1"/>
      <c r="S30" s="1"/>
      <c r="T30" s="1"/>
      <c r="U30" s="1"/>
      <c r="V30" s="1"/>
      <c r="W30" s="1">
        <v>40</v>
      </c>
      <c r="X30" s="1"/>
      <c r="Y30" s="1">
        <v>24</v>
      </c>
      <c r="Z30" s="1">
        <v>8</v>
      </c>
      <c r="AA30" s="1">
        <v>0</v>
      </c>
      <c r="AB30" s="1"/>
      <c r="AC30" s="1">
        <v>108</v>
      </c>
    </row>
    <row r="31" spans="1:29">
      <c r="A31" s="46">
        <v>43912</v>
      </c>
      <c r="B31" s="1">
        <v>8</v>
      </c>
      <c r="C31" s="1"/>
      <c r="D31" s="1"/>
      <c r="E31" s="1"/>
      <c r="F31" s="1"/>
      <c r="G31" s="1"/>
      <c r="H31" s="1">
        <v>7</v>
      </c>
      <c r="I31" s="1"/>
      <c r="J31" s="1"/>
      <c r="K31" s="1">
        <v>36</v>
      </c>
      <c r="L31" s="1"/>
      <c r="M31" s="1"/>
      <c r="N31" s="1">
        <v>2</v>
      </c>
      <c r="O31" s="1"/>
      <c r="P31" s="1"/>
      <c r="Q31" s="1"/>
      <c r="R31" s="1"/>
      <c r="S31" s="1"/>
      <c r="T31" s="1"/>
      <c r="U31" s="1"/>
      <c r="V31" s="1"/>
      <c r="W31" s="1">
        <v>46</v>
      </c>
      <c r="X31" s="1"/>
      <c r="Y31" s="1">
        <v>30</v>
      </c>
      <c r="Z31" s="1">
        <v>11</v>
      </c>
      <c r="AA31" s="1">
        <v>0</v>
      </c>
      <c r="AB31" s="1"/>
      <c r="AC31" s="1">
        <v>140</v>
      </c>
    </row>
    <row r="32" spans="1:29">
      <c r="A32" s="46">
        <v>43913</v>
      </c>
      <c r="B32" s="1">
        <v>7</v>
      </c>
      <c r="C32" s="1"/>
      <c r="D32" s="1">
        <v>3</v>
      </c>
      <c r="E32" s="1"/>
      <c r="F32" s="1"/>
      <c r="G32" s="1"/>
      <c r="H32" s="1">
        <v>10</v>
      </c>
      <c r="I32" s="1"/>
      <c r="J32" s="1"/>
      <c r="K32" s="1">
        <v>43</v>
      </c>
      <c r="L32" s="1"/>
      <c r="M32" s="1"/>
      <c r="N32" s="1">
        <v>3</v>
      </c>
      <c r="O32" s="1"/>
      <c r="P32" s="1">
        <v>11</v>
      </c>
      <c r="Q32" s="1"/>
      <c r="R32" s="1"/>
      <c r="S32" s="1"/>
      <c r="T32" s="1"/>
      <c r="U32" s="1"/>
      <c r="V32" s="1"/>
      <c r="W32" s="1">
        <v>45</v>
      </c>
      <c r="X32" s="1"/>
      <c r="Y32" s="1">
        <v>39</v>
      </c>
      <c r="Z32" s="1">
        <v>12</v>
      </c>
      <c r="AA32" s="1">
        <v>0</v>
      </c>
      <c r="AB32" s="1"/>
      <c r="AC32" s="1">
        <v>173</v>
      </c>
    </row>
    <row r="33" spans="1:29">
      <c r="A33" s="46">
        <v>43914</v>
      </c>
      <c r="B33" s="1">
        <v>7</v>
      </c>
      <c r="C33" s="1"/>
      <c r="D33" s="1">
        <v>2</v>
      </c>
      <c r="E33" s="1"/>
      <c r="F33" s="1"/>
      <c r="G33" s="1"/>
      <c r="H33" s="1">
        <v>11</v>
      </c>
      <c r="I33" s="1"/>
      <c r="J33" s="1"/>
      <c r="K33" s="1">
        <v>41</v>
      </c>
      <c r="L33" s="1"/>
      <c r="M33" s="1"/>
      <c r="N33" s="1">
        <v>4</v>
      </c>
      <c r="O33" s="1"/>
      <c r="P33" s="1">
        <v>8</v>
      </c>
      <c r="Q33" s="1"/>
      <c r="R33" s="1"/>
      <c r="S33" s="1"/>
      <c r="T33" s="1"/>
      <c r="U33" s="1"/>
      <c r="V33" s="1"/>
      <c r="W33" s="1">
        <v>50</v>
      </c>
      <c r="X33" s="1"/>
      <c r="Y33" s="1">
        <v>40</v>
      </c>
      <c r="Z33" s="1">
        <v>13</v>
      </c>
      <c r="AA33" s="1">
        <v>0</v>
      </c>
      <c r="AB33" s="1"/>
      <c r="AC33" s="1">
        <v>176</v>
      </c>
    </row>
    <row r="34" spans="1:29">
      <c r="A34" s="46">
        <v>43915</v>
      </c>
      <c r="B34" s="1">
        <v>7</v>
      </c>
      <c r="C34" s="1"/>
      <c r="D34" s="1">
        <v>5</v>
      </c>
      <c r="E34" s="1"/>
      <c r="F34" s="1"/>
      <c r="G34" s="1"/>
      <c r="H34" s="1">
        <v>8</v>
      </c>
      <c r="I34" s="1"/>
      <c r="J34" s="1"/>
      <c r="K34" s="1">
        <v>50</v>
      </c>
      <c r="L34" s="1"/>
      <c r="M34" s="1"/>
      <c r="N34" s="1">
        <v>4</v>
      </c>
      <c r="O34" s="1"/>
      <c r="P34" s="1">
        <v>10</v>
      </c>
      <c r="Q34" s="1"/>
      <c r="R34" s="1"/>
      <c r="S34" s="1"/>
      <c r="T34" s="1">
        <v>1</v>
      </c>
      <c r="U34" s="1"/>
      <c r="V34" s="1"/>
      <c r="W34" s="1">
        <v>57</v>
      </c>
      <c r="X34" s="1"/>
      <c r="Y34" s="1">
        <v>51</v>
      </c>
      <c r="Z34" s="1">
        <v>15</v>
      </c>
      <c r="AA34" s="1">
        <v>1</v>
      </c>
      <c r="AB34" s="1"/>
      <c r="AC34" s="1">
        <v>209</v>
      </c>
    </row>
    <row r="35" spans="1:29">
      <c r="A35" s="46">
        <v>43916</v>
      </c>
      <c r="B35" s="1">
        <v>5</v>
      </c>
      <c r="C35" s="1"/>
      <c r="D35" s="1">
        <v>10</v>
      </c>
      <c r="E35" s="1"/>
      <c r="F35" s="1"/>
      <c r="G35" s="1"/>
      <c r="H35" s="1">
        <v>9</v>
      </c>
      <c r="I35" s="1">
        <v>8</v>
      </c>
      <c r="J35" s="1"/>
      <c r="K35" s="1">
        <v>52</v>
      </c>
      <c r="L35" s="1"/>
      <c r="M35" s="1"/>
      <c r="N35" s="1">
        <v>4</v>
      </c>
      <c r="O35" s="1"/>
      <c r="P35" s="1">
        <v>9</v>
      </c>
      <c r="Q35" s="1"/>
      <c r="R35" s="1"/>
      <c r="S35" s="1"/>
      <c r="T35" s="1">
        <v>1</v>
      </c>
      <c r="U35" s="1"/>
      <c r="V35" s="1"/>
      <c r="W35" s="1">
        <v>60</v>
      </c>
      <c r="X35" s="1"/>
      <c r="Y35" s="1">
        <v>55</v>
      </c>
      <c r="Z35" s="1">
        <v>19</v>
      </c>
      <c r="AA35" s="1">
        <v>1</v>
      </c>
      <c r="AB35" s="1"/>
      <c r="AC35" s="1">
        <v>233</v>
      </c>
    </row>
    <row r="36" spans="1:29">
      <c r="A36" s="46">
        <v>43917</v>
      </c>
      <c r="B36" s="1">
        <v>8</v>
      </c>
      <c r="C36" s="1"/>
      <c r="D36" s="1">
        <v>12</v>
      </c>
      <c r="E36" s="1"/>
      <c r="F36" s="1"/>
      <c r="G36" s="1"/>
      <c r="H36" s="1">
        <v>11</v>
      </c>
      <c r="I36" s="1">
        <v>8</v>
      </c>
      <c r="J36" s="1"/>
      <c r="K36" s="1">
        <v>54</v>
      </c>
      <c r="L36" s="1"/>
      <c r="M36" s="1"/>
      <c r="N36" s="1">
        <v>6</v>
      </c>
      <c r="O36" s="1"/>
      <c r="P36" s="1">
        <v>9</v>
      </c>
      <c r="Q36" s="1"/>
      <c r="R36" s="1"/>
      <c r="S36" s="1"/>
      <c r="T36" s="1">
        <v>1</v>
      </c>
      <c r="U36" s="1"/>
      <c r="V36" s="1"/>
      <c r="W36" s="1">
        <v>61</v>
      </c>
      <c r="X36" s="1"/>
      <c r="Y36" s="1">
        <v>59</v>
      </c>
      <c r="Z36" s="1">
        <v>20</v>
      </c>
      <c r="AA36" s="1">
        <v>5</v>
      </c>
      <c r="AB36" s="1"/>
      <c r="AC36" s="1">
        <v>254</v>
      </c>
    </row>
    <row r="37" spans="1:29">
      <c r="A37" s="46">
        <v>43918</v>
      </c>
      <c r="B37" s="1">
        <v>12</v>
      </c>
      <c r="C37" s="1"/>
      <c r="D37" s="1"/>
      <c r="E37" s="1"/>
      <c r="F37" s="1"/>
      <c r="G37" s="1"/>
      <c r="H37" s="1">
        <v>14</v>
      </c>
      <c r="I37" s="1">
        <v>11</v>
      </c>
      <c r="J37" s="1"/>
      <c r="K37" s="1">
        <v>59</v>
      </c>
      <c r="L37" s="1"/>
      <c r="M37" s="1"/>
      <c r="N37" s="1">
        <v>5</v>
      </c>
      <c r="O37" s="1"/>
      <c r="P37" s="1">
        <v>11</v>
      </c>
      <c r="Q37" s="1"/>
      <c r="R37" s="1"/>
      <c r="S37" s="1"/>
      <c r="T37" s="1">
        <v>1</v>
      </c>
      <c r="U37" s="1"/>
      <c r="V37" s="1"/>
      <c r="W37" s="1">
        <v>69</v>
      </c>
      <c r="X37" s="1"/>
      <c r="Y37" s="1">
        <v>60</v>
      </c>
      <c r="Z37" s="1">
        <v>21</v>
      </c>
      <c r="AA37" s="1">
        <v>5</v>
      </c>
      <c r="AB37" s="1"/>
      <c r="AC37" s="1">
        <v>268</v>
      </c>
    </row>
    <row r="38" spans="1:29">
      <c r="A38" s="46">
        <v>43919</v>
      </c>
      <c r="B38" s="1">
        <v>13</v>
      </c>
      <c r="C38" s="1"/>
      <c r="D38" s="1"/>
      <c r="E38" s="1"/>
      <c r="F38" s="1"/>
      <c r="G38" s="1"/>
      <c r="H38" s="1">
        <v>15</v>
      </c>
      <c r="I38" s="1">
        <v>12</v>
      </c>
      <c r="J38" s="1"/>
      <c r="K38" s="1">
        <v>59</v>
      </c>
      <c r="L38" s="1"/>
      <c r="M38" s="1"/>
      <c r="N38" s="1">
        <v>5</v>
      </c>
      <c r="O38" s="1"/>
      <c r="P38" s="1">
        <v>16</v>
      </c>
      <c r="Q38" s="1"/>
      <c r="R38" s="1"/>
      <c r="S38" s="1"/>
      <c r="T38" s="1">
        <v>1</v>
      </c>
      <c r="U38" s="1"/>
      <c r="V38" s="1"/>
      <c r="W38" s="1">
        <v>69</v>
      </c>
      <c r="X38" s="1"/>
      <c r="Y38" s="1">
        <v>61</v>
      </c>
      <c r="Z38" s="1">
        <v>22</v>
      </c>
      <c r="AA38" s="1">
        <v>5</v>
      </c>
      <c r="AB38" s="1"/>
      <c r="AC38" s="1">
        <v>278</v>
      </c>
    </row>
    <row r="39" spans="1:29">
      <c r="A39" s="46">
        <v>43920</v>
      </c>
      <c r="B39" s="1">
        <v>16</v>
      </c>
      <c r="C39" s="1"/>
      <c r="D39" s="1">
        <v>25</v>
      </c>
      <c r="E39" s="1"/>
      <c r="F39" s="1"/>
      <c r="G39" s="1">
        <v>21</v>
      </c>
      <c r="H39" s="1">
        <v>17</v>
      </c>
      <c r="I39" s="1">
        <v>12</v>
      </c>
      <c r="J39" s="1"/>
      <c r="K39" s="1">
        <v>57</v>
      </c>
      <c r="L39" s="1"/>
      <c r="M39" s="1"/>
      <c r="N39" s="1">
        <v>5</v>
      </c>
      <c r="O39" s="1"/>
      <c r="P39" s="1">
        <v>12</v>
      </c>
      <c r="Q39" s="1"/>
      <c r="R39" s="1"/>
      <c r="S39" s="1"/>
      <c r="T39" s="1">
        <v>3</v>
      </c>
      <c r="U39" s="1"/>
      <c r="V39" s="1"/>
      <c r="W39" s="1">
        <v>75</v>
      </c>
      <c r="X39" s="1"/>
      <c r="Y39" s="1">
        <v>63</v>
      </c>
      <c r="Z39" s="1">
        <v>25</v>
      </c>
      <c r="AA39" s="1">
        <v>5</v>
      </c>
      <c r="AB39" s="1"/>
      <c r="AC39" s="1">
        <v>336</v>
      </c>
    </row>
    <row r="40" spans="1:29">
      <c r="A40" s="46">
        <v>43921</v>
      </c>
      <c r="B40" s="1">
        <v>20</v>
      </c>
      <c r="C40" s="1"/>
      <c r="D40" s="1">
        <v>25</v>
      </c>
      <c r="E40" s="1"/>
      <c r="F40" s="1"/>
      <c r="G40" s="1">
        <v>23</v>
      </c>
      <c r="H40" s="1">
        <v>18</v>
      </c>
      <c r="I40" s="1">
        <v>15</v>
      </c>
      <c r="J40" s="1"/>
      <c r="K40" s="1">
        <v>64</v>
      </c>
      <c r="L40" s="1"/>
      <c r="M40" s="1"/>
      <c r="N40" s="1">
        <v>5</v>
      </c>
      <c r="O40" s="1"/>
      <c r="P40" s="1">
        <v>14</v>
      </c>
      <c r="Q40" s="1">
        <v>1</v>
      </c>
      <c r="R40" s="1"/>
      <c r="S40" s="1"/>
      <c r="T40" s="1">
        <v>3</v>
      </c>
      <c r="U40" s="1"/>
      <c r="V40" s="1"/>
      <c r="W40" s="1">
        <v>74</v>
      </c>
      <c r="X40" s="1"/>
      <c r="Y40" s="1">
        <v>66</v>
      </c>
      <c r="Z40" s="1">
        <v>24</v>
      </c>
      <c r="AA40" s="1">
        <v>6</v>
      </c>
      <c r="AB40" s="1"/>
      <c r="AC40" s="1">
        <v>358</v>
      </c>
    </row>
    <row r="41" spans="1:29">
      <c r="A41" s="46">
        <v>43922</v>
      </c>
      <c r="B41" s="1">
        <v>23</v>
      </c>
      <c r="C41" s="1"/>
      <c r="D41" s="1">
        <v>27</v>
      </c>
      <c r="E41" s="1"/>
      <c r="F41" s="1"/>
      <c r="G41" s="1">
        <v>26</v>
      </c>
      <c r="H41" s="1">
        <v>17</v>
      </c>
      <c r="I41" s="1">
        <v>16</v>
      </c>
      <c r="J41" s="1"/>
      <c r="K41" s="1">
        <v>64</v>
      </c>
      <c r="L41" s="1"/>
      <c r="M41" s="1"/>
      <c r="N41" s="1">
        <v>5</v>
      </c>
      <c r="O41" s="1">
        <v>12</v>
      </c>
      <c r="P41" s="1">
        <v>14</v>
      </c>
      <c r="Q41" s="1">
        <v>2</v>
      </c>
      <c r="R41" s="1"/>
      <c r="S41" s="1"/>
      <c r="T41" s="1">
        <v>3</v>
      </c>
      <c r="U41" s="1"/>
      <c r="V41" s="1"/>
      <c r="W41" s="1">
        <v>76</v>
      </c>
      <c r="X41" s="1"/>
      <c r="Y41" s="1">
        <v>67</v>
      </c>
      <c r="Z41" s="1">
        <v>26</v>
      </c>
      <c r="AA41" s="1">
        <v>5</v>
      </c>
      <c r="AB41" s="1"/>
      <c r="AC41" s="1">
        <v>383</v>
      </c>
    </row>
    <row r="42" spans="1:29">
      <c r="A42" s="46">
        <v>43923</v>
      </c>
      <c r="B42" s="1">
        <v>23</v>
      </c>
      <c r="C42" s="1"/>
      <c r="D42" s="1">
        <v>27</v>
      </c>
      <c r="E42" s="1"/>
      <c r="F42" s="1"/>
      <c r="G42" s="1">
        <v>24</v>
      </c>
      <c r="H42" s="1">
        <v>18</v>
      </c>
      <c r="I42" s="1">
        <v>17</v>
      </c>
      <c r="J42" s="1"/>
      <c r="K42" s="1">
        <v>62</v>
      </c>
      <c r="L42" s="1"/>
      <c r="M42" s="1"/>
      <c r="N42" s="1">
        <v>3</v>
      </c>
      <c r="O42" s="1">
        <v>11</v>
      </c>
      <c r="P42" s="1">
        <v>12</v>
      </c>
      <c r="Q42" s="1">
        <v>2</v>
      </c>
      <c r="R42" s="1"/>
      <c r="S42" s="1">
        <v>11</v>
      </c>
      <c r="T42" s="1">
        <v>3</v>
      </c>
      <c r="U42" s="1"/>
      <c r="V42" s="1"/>
      <c r="W42" s="1">
        <v>75</v>
      </c>
      <c r="X42" s="1"/>
      <c r="Y42" s="1">
        <v>68</v>
      </c>
      <c r="Z42" s="1">
        <v>28</v>
      </c>
      <c r="AA42" s="1">
        <v>5</v>
      </c>
      <c r="AB42" s="1"/>
      <c r="AC42" s="1">
        <v>389</v>
      </c>
    </row>
    <row r="43" spans="1:29">
      <c r="A43" s="46">
        <v>43924</v>
      </c>
      <c r="B43" s="1">
        <v>21</v>
      </c>
      <c r="C43" s="1"/>
      <c r="D43" s="1">
        <v>27</v>
      </c>
      <c r="E43" s="1"/>
      <c r="F43" s="1"/>
      <c r="G43" s="1">
        <v>30</v>
      </c>
      <c r="H43" s="1">
        <v>18</v>
      </c>
      <c r="I43" s="1">
        <v>17</v>
      </c>
      <c r="J43" s="1"/>
      <c r="K43" s="1">
        <v>65</v>
      </c>
      <c r="L43" s="1"/>
      <c r="M43" s="1"/>
      <c r="N43" s="1">
        <v>3</v>
      </c>
      <c r="O43" s="1">
        <v>12</v>
      </c>
      <c r="P43" s="1">
        <v>11</v>
      </c>
      <c r="Q43" s="1">
        <v>2</v>
      </c>
      <c r="R43" s="1"/>
      <c r="S43" s="1">
        <v>12</v>
      </c>
      <c r="T43" s="1">
        <v>3</v>
      </c>
      <c r="U43" s="1"/>
      <c r="V43" s="1"/>
      <c r="W43" s="1">
        <v>75</v>
      </c>
      <c r="X43" s="1"/>
      <c r="Y43" s="1">
        <v>66</v>
      </c>
      <c r="Z43" s="1">
        <v>26</v>
      </c>
      <c r="AA43" s="1">
        <v>7</v>
      </c>
      <c r="AB43" s="1"/>
      <c r="AC43" s="1">
        <v>395</v>
      </c>
    </row>
    <row r="44" spans="1:29">
      <c r="A44" s="46">
        <v>43925</v>
      </c>
      <c r="B44" s="1">
        <v>21</v>
      </c>
      <c r="C44" s="1"/>
      <c r="D44" s="1"/>
      <c r="E44" s="1"/>
      <c r="F44" s="1"/>
      <c r="G44" s="1">
        <v>35</v>
      </c>
      <c r="H44" s="1">
        <v>19</v>
      </c>
      <c r="I44" s="1">
        <v>16</v>
      </c>
      <c r="J44" s="1"/>
      <c r="K44" s="1">
        <v>61</v>
      </c>
      <c r="L44" s="1"/>
      <c r="M44" s="1"/>
      <c r="N44" s="1">
        <v>3</v>
      </c>
      <c r="O44" s="1">
        <v>12</v>
      </c>
      <c r="P44" s="1">
        <v>10</v>
      </c>
      <c r="Q44" s="1">
        <v>2</v>
      </c>
      <c r="R44" s="1"/>
      <c r="S44" s="1">
        <v>13</v>
      </c>
      <c r="T44" s="1">
        <v>3</v>
      </c>
      <c r="U44" s="1"/>
      <c r="V44" s="1"/>
      <c r="W44" s="1">
        <v>72</v>
      </c>
      <c r="X44" s="1"/>
      <c r="Y44" s="1">
        <v>66</v>
      </c>
      <c r="Z44" s="1">
        <v>28</v>
      </c>
      <c r="AA44" s="1">
        <v>7</v>
      </c>
      <c r="AB44" s="1"/>
      <c r="AC44" s="1">
        <v>368</v>
      </c>
    </row>
    <row r="45" spans="1:29">
      <c r="A45" s="46">
        <v>43926</v>
      </c>
      <c r="B45" s="1">
        <v>20</v>
      </c>
      <c r="C45" s="1"/>
      <c r="D45" s="1"/>
      <c r="E45" s="1"/>
      <c r="F45" s="1"/>
      <c r="G45" s="1">
        <v>30</v>
      </c>
      <c r="H45" s="1">
        <v>19</v>
      </c>
      <c r="I45" s="1">
        <v>15</v>
      </c>
      <c r="J45" s="1"/>
      <c r="K45" s="1">
        <v>56</v>
      </c>
      <c r="L45" s="1"/>
      <c r="M45" s="1"/>
      <c r="N45" s="1">
        <v>4</v>
      </c>
      <c r="O45" s="1">
        <v>12</v>
      </c>
      <c r="P45" s="1">
        <v>12</v>
      </c>
      <c r="Q45" s="1">
        <v>2</v>
      </c>
      <c r="R45" s="1"/>
      <c r="S45" s="1">
        <v>13</v>
      </c>
      <c r="T45" s="1">
        <v>3</v>
      </c>
      <c r="U45" s="1"/>
      <c r="V45" s="1"/>
      <c r="W45" s="1">
        <v>74</v>
      </c>
      <c r="X45" s="1"/>
      <c r="Y45" s="1">
        <v>65</v>
      </c>
      <c r="Z45" s="1">
        <v>26</v>
      </c>
      <c r="AA45" s="1">
        <v>7</v>
      </c>
      <c r="AB45" s="1"/>
      <c r="AC45" s="1">
        <v>358</v>
      </c>
    </row>
    <row r="46" spans="1:29">
      <c r="A46" s="46">
        <v>43927</v>
      </c>
      <c r="B46" s="1">
        <v>19</v>
      </c>
      <c r="C46" s="1"/>
      <c r="D46" s="1">
        <v>25</v>
      </c>
      <c r="E46" s="1"/>
      <c r="F46" s="1"/>
      <c r="G46" s="1">
        <v>35</v>
      </c>
      <c r="H46" s="1">
        <v>17</v>
      </c>
      <c r="I46" s="1">
        <v>13</v>
      </c>
      <c r="J46" s="1"/>
      <c r="K46" s="1">
        <v>56</v>
      </c>
      <c r="L46" s="1"/>
      <c r="M46" s="1"/>
      <c r="N46" s="1">
        <v>4</v>
      </c>
      <c r="O46" s="1">
        <v>6</v>
      </c>
      <c r="P46" s="1">
        <v>10</v>
      </c>
      <c r="Q46" s="1">
        <v>2</v>
      </c>
      <c r="R46" s="1"/>
      <c r="S46" s="1">
        <v>12</v>
      </c>
      <c r="T46" s="1">
        <v>3</v>
      </c>
      <c r="U46" s="1"/>
      <c r="V46" s="1">
        <v>14</v>
      </c>
      <c r="W46" s="1">
        <v>72</v>
      </c>
      <c r="X46" s="1"/>
      <c r="Y46" s="1">
        <v>63</v>
      </c>
      <c r="Z46" s="1">
        <v>26</v>
      </c>
      <c r="AA46" s="1">
        <v>8</v>
      </c>
      <c r="AB46" s="1"/>
      <c r="AC46" s="1">
        <v>385</v>
      </c>
    </row>
    <row r="47" spans="1:29">
      <c r="A47" s="46">
        <v>43928</v>
      </c>
      <c r="B47" s="1">
        <v>22</v>
      </c>
      <c r="C47" s="1"/>
      <c r="D47" s="1">
        <v>25</v>
      </c>
      <c r="E47" s="1"/>
      <c r="F47" s="1"/>
      <c r="G47" s="1">
        <v>34</v>
      </c>
      <c r="H47" s="1">
        <v>18</v>
      </c>
      <c r="I47" s="1">
        <v>13</v>
      </c>
      <c r="J47" s="1"/>
      <c r="K47" s="1">
        <v>51</v>
      </c>
      <c r="L47" s="1"/>
      <c r="M47" s="1"/>
      <c r="N47" s="1">
        <v>4</v>
      </c>
      <c r="O47" s="1">
        <v>6</v>
      </c>
      <c r="P47" s="1">
        <v>10</v>
      </c>
      <c r="Q47" s="1">
        <v>2</v>
      </c>
      <c r="R47" s="1"/>
      <c r="S47" s="1">
        <v>9</v>
      </c>
      <c r="T47" s="1">
        <v>3</v>
      </c>
      <c r="U47" s="1"/>
      <c r="V47" s="1">
        <v>13</v>
      </c>
      <c r="W47" s="1">
        <v>72</v>
      </c>
      <c r="X47" s="1"/>
      <c r="Y47" s="1">
        <v>62</v>
      </c>
      <c r="Z47" s="1">
        <v>25</v>
      </c>
      <c r="AA47" s="1">
        <v>8</v>
      </c>
      <c r="AB47" s="1"/>
      <c r="AC47" s="1">
        <v>377</v>
      </c>
    </row>
    <row r="48" spans="1:29">
      <c r="A48" s="46">
        <v>43929</v>
      </c>
      <c r="B48" s="1">
        <v>22</v>
      </c>
      <c r="C48" s="1"/>
      <c r="D48" s="1">
        <v>23</v>
      </c>
      <c r="E48" s="1"/>
      <c r="F48" s="1"/>
      <c r="G48" s="1">
        <v>35</v>
      </c>
      <c r="H48" s="1">
        <v>18</v>
      </c>
      <c r="I48" s="1">
        <v>14</v>
      </c>
      <c r="J48" s="1"/>
      <c r="K48" s="1">
        <v>49</v>
      </c>
      <c r="L48" s="1"/>
      <c r="M48" s="1"/>
      <c r="N48" s="1">
        <v>4</v>
      </c>
      <c r="O48" s="1"/>
      <c r="P48" s="1">
        <v>10</v>
      </c>
      <c r="Q48" s="1">
        <v>1</v>
      </c>
      <c r="R48" s="1"/>
      <c r="S48" s="1">
        <v>12</v>
      </c>
      <c r="T48" s="1">
        <v>2</v>
      </c>
      <c r="U48" s="1"/>
      <c r="V48" s="1">
        <v>15</v>
      </c>
      <c r="W48" s="1">
        <v>71</v>
      </c>
      <c r="X48" s="1"/>
      <c r="Y48" s="1">
        <v>61</v>
      </c>
      <c r="Z48" s="1">
        <v>26</v>
      </c>
      <c r="AA48" s="1">
        <v>9</v>
      </c>
      <c r="AB48" s="1"/>
      <c r="AC48" s="1">
        <v>372</v>
      </c>
    </row>
    <row r="49" spans="1:29">
      <c r="A49" s="46">
        <v>43930</v>
      </c>
      <c r="B49" s="1">
        <v>20</v>
      </c>
      <c r="C49" s="1"/>
      <c r="D49" s="1">
        <v>22</v>
      </c>
      <c r="E49" s="1"/>
      <c r="F49" s="1"/>
      <c r="G49" s="1">
        <v>36</v>
      </c>
      <c r="H49" s="1">
        <v>18</v>
      </c>
      <c r="I49" s="1">
        <v>13</v>
      </c>
      <c r="J49" s="1"/>
      <c r="K49" s="1">
        <v>47</v>
      </c>
      <c r="L49" s="1"/>
      <c r="M49" s="1"/>
      <c r="N49" s="1">
        <v>5</v>
      </c>
      <c r="O49" s="1">
        <v>6</v>
      </c>
      <c r="P49" s="1">
        <v>10</v>
      </c>
      <c r="Q49" s="1">
        <v>1</v>
      </c>
      <c r="R49" s="1"/>
      <c r="S49" s="1">
        <v>13</v>
      </c>
      <c r="T49" s="1">
        <v>2</v>
      </c>
      <c r="U49" s="1"/>
      <c r="V49" s="1">
        <v>12</v>
      </c>
      <c r="W49" s="1">
        <v>72</v>
      </c>
      <c r="X49" s="1"/>
      <c r="Y49" s="1">
        <v>61</v>
      </c>
      <c r="Z49" s="1">
        <v>24</v>
      </c>
      <c r="AA49" s="1">
        <v>9</v>
      </c>
      <c r="AB49" s="1"/>
      <c r="AC49" s="1">
        <v>371</v>
      </c>
    </row>
    <row r="50" spans="1:29">
      <c r="A50" s="46">
        <v>43931</v>
      </c>
      <c r="B50" s="1">
        <v>19</v>
      </c>
      <c r="C50" s="1"/>
      <c r="D50" s="1"/>
      <c r="E50" s="1"/>
      <c r="F50" s="1"/>
      <c r="G50" s="1">
        <v>33</v>
      </c>
      <c r="H50" s="1">
        <v>17</v>
      </c>
      <c r="I50" s="1">
        <v>13</v>
      </c>
      <c r="J50" s="1"/>
      <c r="K50" s="1">
        <v>47</v>
      </c>
      <c r="L50" s="1"/>
      <c r="M50" s="1"/>
      <c r="N50" s="1">
        <v>5</v>
      </c>
      <c r="O50" s="1">
        <v>6</v>
      </c>
      <c r="P50" s="1">
        <v>11</v>
      </c>
      <c r="Q50" s="1">
        <v>1</v>
      </c>
      <c r="R50" s="1"/>
      <c r="S50" s="1">
        <v>11</v>
      </c>
      <c r="T50" s="1">
        <v>2</v>
      </c>
      <c r="U50" s="1"/>
      <c r="V50" s="1">
        <v>13</v>
      </c>
      <c r="W50" s="1">
        <v>68</v>
      </c>
      <c r="X50" s="1"/>
      <c r="Y50" s="1">
        <v>63</v>
      </c>
      <c r="Z50" s="1">
        <v>24</v>
      </c>
      <c r="AA50" s="1">
        <v>9</v>
      </c>
      <c r="AB50" s="1"/>
      <c r="AC50" s="1">
        <v>342</v>
      </c>
    </row>
    <row r="51" spans="1:29">
      <c r="A51" s="46">
        <v>43932</v>
      </c>
      <c r="B51" s="1">
        <v>20</v>
      </c>
      <c r="C51" s="1"/>
      <c r="D51" s="1">
        <v>23</v>
      </c>
      <c r="E51" s="1"/>
      <c r="F51" s="1"/>
      <c r="G51" s="1">
        <v>33</v>
      </c>
      <c r="H51" s="1">
        <v>16</v>
      </c>
      <c r="I51" s="1"/>
      <c r="J51" s="1"/>
      <c r="K51" s="1">
        <v>48</v>
      </c>
      <c r="L51" s="1"/>
      <c r="M51" s="1"/>
      <c r="N51" s="1">
        <v>5</v>
      </c>
      <c r="O51" s="1"/>
      <c r="P51" s="1">
        <v>11</v>
      </c>
      <c r="Q51" s="1">
        <v>2</v>
      </c>
      <c r="R51" s="1"/>
      <c r="S51" s="1">
        <v>11</v>
      </c>
      <c r="T51" s="1">
        <v>2</v>
      </c>
      <c r="U51" s="1"/>
      <c r="V51" s="1">
        <v>14</v>
      </c>
      <c r="W51" s="1">
        <v>68</v>
      </c>
      <c r="X51" s="1"/>
      <c r="Y51" s="1">
        <v>63</v>
      </c>
      <c r="Z51" s="1">
        <v>20</v>
      </c>
      <c r="AA51" s="1">
        <v>9</v>
      </c>
      <c r="AB51" s="1"/>
      <c r="AC51" s="1">
        <v>345</v>
      </c>
    </row>
    <row r="52" spans="1:29">
      <c r="A52" s="46">
        <v>43933</v>
      </c>
      <c r="B52" s="1">
        <v>19</v>
      </c>
      <c r="C52" s="1"/>
      <c r="D52" s="1"/>
      <c r="E52" s="1"/>
      <c r="F52" s="1"/>
      <c r="G52" s="1">
        <v>33</v>
      </c>
      <c r="H52" s="1">
        <v>17</v>
      </c>
      <c r="I52" s="1">
        <v>12</v>
      </c>
      <c r="J52" s="1"/>
      <c r="K52" s="1">
        <v>47</v>
      </c>
      <c r="L52" s="1"/>
      <c r="M52" s="1"/>
      <c r="N52" s="1">
        <v>5</v>
      </c>
      <c r="O52" s="1">
        <v>5</v>
      </c>
      <c r="P52" s="1">
        <v>10</v>
      </c>
      <c r="Q52" s="1">
        <v>2</v>
      </c>
      <c r="R52" s="1"/>
      <c r="S52" s="1">
        <v>9</v>
      </c>
      <c r="T52" s="1">
        <v>2</v>
      </c>
      <c r="U52" s="1"/>
      <c r="V52" s="1">
        <v>14</v>
      </c>
      <c r="W52" s="1">
        <v>63</v>
      </c>
      <c r="X52" s="1"/>
      <c r="Y52" s="1">
        <v>62</v>
      </c>
      <c r="Z52" s="1">
        <v>22</v>
      </c>
      <c r="AA52" s="1">
        <v>9</v>
      </c>
      <c r="AB52" s="1"/>
      <c r="AC52" s="1">
        <v>331</v>
      </c>
    </row>
    <row r="53" spans="1:29">
      <c r="A53" s="46">
        <v>43934</v>
      </c>
      <c r="B53" s="1">
        <v>17</v>
      </c>
      <c r="C53" s="1"/>
      <c r="D53" s="1"/>
      <c r="E53" s="1"/>
      <c r="F53" s="1"/>
      <c r="G53" s="1">
        <v>32</v>
      </c>
      <c r="H53" s="1">
        <v>16</v>
      </c>
      <c r="I53" s="1"/>
      <c r="J53" s="1"/>
      <c r="K53" s="1">
        <v>47</v>
      </c>
      <c r="L53" s="1"/>
      <c r="M53" s="1"/>
      <c r="N53" s="1">
        <v>5</v>
      </c>
      <c r="O53" s="1">
        <v>5</v>
      </c>
      <c r="P53" s="1">
        <v>10</v>
      </c>
      <c r="Q53" s="1">
        <v>2</v>
      </c>
      <c r="R53" s="1"/>
      <c r="S53" s="1">
        <v>10</v>
      </c>
      <c r="T53" s="1">
        <v>2</v>
      </c>
      <c r="U53" s="1"/>
      <c r="V53" s="1">
        <v>17</v>
      </c>
      <c r="W53" s="1">
        <v>63</v>
      </c>
      <c r="X53" s="1"/>
      <c r="Y53" s="1">
        <v>58</v>
      </c>
      <c r="Z53" s="1">
        <v>21</v>
      </c>
      <c r="AA53" s="1">
        <v>9</v>
      </c>
      <c r="AB53" s="1"/>
      <c r="AC53" s="1">
        <v>314</v>
      </c>
    </row>
    <row r="54" spans="1:29">
      <c r="A54" s="46">
        <v>43935</v>
      </c>
      <c r="B54" s="1">
        <v>14</v>
      </c>
      <c r="C54" s="1"/>
      <c r="D54" s="1">
        <v>22</v>
      </c>
      <c r="E54" s="1"/>
      <c r="F54" s="1"/>
      <c r="G54" s="1">
        <v>31</v>
      </c>
      <c r="H54" s="1">
        <v>14</v>
      </c>
      <c r="I54" s="1">
        <v>9</v>
      </c>
      <c r="J54" s="1"/>
      <c r="K54" s="1">
        <v>46</v>
      </c>
      <c r="L54" s="1"/>
      <c r="M54" s="1"/>
      <c r="N54" s="1">
        <v>5</v>
      </c>
      <c r="O54" s="1">
        <v>4</v>
      </c>
      <c r="P54" s="1">
        <v>11</v>
      </c>
      <c r="Q54" s="1">
        <v>2</v>
      </c>
      <c r="R54" s="1"/>
      <c r="S54" s="1">
        <v>9</v>
      </c>
      <c r="T54" s="1">
        <v>2</v>
      </c>
      <c r="U54" s="1"/>
      <c r="V54" s="1">
        <v>16</v>
      </c>
      <c r="W54" s="1">
        <v>63</v>
      </c>
      <c r="X54" s="1"/>
      <c r="Y54" s="1">
        <v>57</v>
      </c>
      <c r="Z54" s="1">
        <v>20</v>
      </c>
      <c r="AA54" s="1">
        <v>9</v>
      </c>
      <c r="AB54" s="1"/>
      <c r="AC54" s="1">
        <v>334</v>
      </c>
    </row>
    <row r="55" spans="1:29">
      <c r="A55" s="46">
        <v>43936</v>
      </c>
      <c r="B55" s="1">
        <v>16</v>
      </c>
      <c r="C55" s="1"/>
      <c r="D55" s="1">
        <v>20</v>
      </c>
      <c r="E55" s="1"/>
      <c r="F55" s="1"/>
      <c r="G55" s="1">
        <v>30</v>
      </c>
      <c r="H55" s="1">
        <v>9</v>
      </c>
      <c r="I55" s="1">
        <v>7</v>
      </c>
      <c r="J55" s="1"/>
      <c r="K55" s="1">
        <v>41</v>
      </c>
      <c r="L55" s="1"/>
      <c r="M55" s="1"/>
      <c r="N55" s="1">
        <v>5</v>
      </c>
      <c r="O55" s="1">
        <v>4</v>
      </c>
      <c r="P55" s="1">
        <v>12</v>
      </c>
      <c r="Q55" s="1">
        <v>2</v>
      </c>
      <c r="R55" s="1"/>
      <c r="S55" s="1">
        <v>9</v>
      </c>
      <c r="T55" s="1">
        <v>2</v>
      </c>
      <c r="U55" s="1"/>
      <c r="V55" s="1">
        <v>14</v>
      </c>
      <c r="W55" s="1">
        <v>60</v>
      </c>
      <c r="X55" s="1"/>
      <c r="Y55" s="1">
        <v>53</v>
      </c>
      <c r="Z55" s="1">
        <v>20</v>
      </c>
      <c r="AA55" s="1">
        <v>9</v>
      </c>
      <c r="AB55" s="1"/>
      <c r="AC55" s="1">
        <v>313</v>
      </c>
    </row>
    <row r="56" spans="1:29">
      <c r="A56" s="46">
        <v>43937</v>
      </c>
      <c r="B56" s="1">
        <v>15</v>
      </c>
      <c r="C56" s="1"/>
      <c r="D56" s="1">
        <v>20</v>
      </c>
      <c r="E56" s="1"/>
      <c r="F56" s="1"/>
      <c r="G56" s="1">
        <v>26</v>
      </c>
      <c r="H56" s="1">
        <v>8</v>
      </c>
      <c r="I56" s="1">
        <v>6</v>
      </c>
      <c r="J56" s="1"/>
      <c r="K56" s="1">
        <v>38</v>
      </c>
      <c r="L56" s="1"/>
      <c r="M56" s="1"/>
      <c r="N56" s="1">
        <v>5</v>
      </c>
      <c r="O56" s="1">
        <v>3</v>
      </c>
      <c r="P56" s="1">
        <v>11</v>
      </c>
      <c r="Q56" s="1">
        <v>2</v>
      </c>
      <c r="R56" s="1"/>
      <c r="S56" s="1">
        <v>7</v>
      </c>
      <c r="T56" s="1">
        <v>2</v>
      </c>
      <c r="U56" s="1"/>
      <c r="V56" s="1">
        <v>14</v>
      </c>
      <c r="W56" s="1">
        <v>59</v>
      </c>
      <c r="X56" s="1"/>
      <c r="Y56" s="1">
        <v>52</v>
      </c>
      <c r="Z56" s="1">
        <v>17</v>
      </c>
      <c r="AA56" s="1">
        <v>7</v>
      </c>
      <c r="AB56" s="1"/>
      <c r="AC56" s="1">
        <v>292</v>
      </c>
    </row>
    <row r="57" spans="1:29">
      <c r="A57" s="46">
        <v>43938</v>
      </c>
      <c r="B57" s="1">
        <v>13</v>
      </c>
      <c r="C57" s="1"/>
      <c r="D57" s="1">
        <v>20</v>
      </c>
      <c r="E57" s="1"/>
      <c r="F57" s="1"/>
      <c r="G57" s="1">
        <v>25</v>
      </c>
      <c r="H57" s="1">
        <v>8</v>
      </c>
      <c r="I57" s="1">
        <v>7</v>
      </c>
      <c r="J57" s="1"/>
      <c r="K57" s="1">
        <v>39</v>
      </c>
      <c r="L57" s="1"/>
      <c r="M57" s="1"/>
      <c r="N57" s="1">
        <v>5</v>
      </c>
      <c r="O57" s="1">
        <v>3</v>
      </c>
      <c r="P57" s="1">
        <v>10</v>
      </c>
      <c r="Q57" s="1">
        <v>2</v>
      </c>
      <c r="R57" s="1"/>
      <c r="S57" s="1">
        <v>9</v>
      </c>
      <c r="T57" s="1">
        <v>2</v>
      </c>
      <c r="U57" s="1"/>
      <c r="V57" s="1">
        <v>13</v>
      </c>
      <c r="W57" s="1">
        <v>57</v>
      </c>
      <c r="X57" s="1"/>
      <c r="Y57" s="1">
        <v>51</v>
      </c>
      <c r="Z57" s="1">
        <v>16</v>
      </c>
      <c r="AA57" s="1">
        <v>6</v>
      </c>
      <c r="AB57" s="1"/>
      <c r="AC57" s="1">
        <v>286</v>
      </c>
    </row>
    <row r="58" spans="1:29">
      <c r="A58" s="46">
        <v>43939</v>
      </c>
      <c r="B58" s="1">
        <v>11</v>
      </c>
      <c r="C58" s="1"/>
      <c r="D58" s="1"/>
      <c r="E58" s="1"/>
      <c r="F58" s="1"/>
      <c r="G58" s="1">
        <v>22</v>
      </c>
      <c r="H58" s="1">
        <v>7</v>
      </c>
      <c r="I58" s="1"/>
      <c r="J58" s="1"/>
      <c r="K58" s="1">
        <v>34</v>
      </c>
      <c r="L58" s="1"/>
      <c r="M58" s="1"/>
      <c r="N58" s="1">
        <v>5</v>
      </c>
      <c r="O58" s="1">
        <v>4</v>
      </c>
      <c r="P58" s="1">
        <v>10</v>
      </c>
      <c r="Q58" s="1">
        <v>2</v>
      </c>
      <c r="R58" s="1"/>
      <c r="S58" s="1">
        <v>7</v>
      </c>
      <c r="T58" s="1">
        <v>4</v>
      </c>
      <c r="U58" s="1"/>
      <c r="V58" s="1">
        <v>12</v>
      </c>
      <c r="W58" s="1">
        <v>56</v>
      </c>
      <c r="X58" s="1"/>
      <c r="Y58" s="1">
        <v>48</v>
      </c>
      <c r="Z58" s="1">
        <v>18</v>
      </c>
      <c r="AA58" s="1">
        <v>6</v>
      </c>
      <c r="AB58" s="1"/>
      <c r="AC58" s="1">
        <v>246</v>
      </c>
    </row>
    <row r="59" spans="1:29">
      <c r="A59" s="46">
        <v>43940</v>
      </c>
      <c r="B59" s="1">
        <v>12</v>
      </c>
      <c r="C59" s="1"/>
      <c r="D59" s="1"/>
      <c r="E59" s="1"/>
      <c r="F59" s="1"/>
      <c r="G59" s="1">
        <v>20</v>
      </c>
      <c r="H59" s="1">
        <v>7</v>
      </c>
      <c r="I59" s="1"/>
      <c r="J59" s="1"/>
      <c r="K59" s="1">
        <v>35</v>
      </c>
      <c r="L59" s="1"/>
      <c r="M59" s="1"/>
      <c r="N59" s="1">
        <v>5</v>
      </c>
      <c r="O59" s="1">
        <v>4</v>
      </c>
      <c r="P59" s="1">
        <v>9</v>
      </c>
      <c r="Q59" s="1">
        <v>2</v>
      </c>
      <c r="R59" s="1"/>
      <c r="S59" s="1">
        <v>7</v>
      </c>
      <c r="T59" s="1">
        <v>2</v>
      </c>
      <c r="U59" s="1"/>
      <c r="V59" s="1">
        <v>12</v>
      </c>
      <c r="W59" s="1">
        <v>54</v>
      </c>
      <c r="X59" s="1"/>
      <c r="Y59" s="1">
        <v>47</v>
      </c>
      <c r="Z59" s="1">
        <v>16</v>
      </c>
      <c r="AA59" s="1">
        <v>6</v>
      </c>
      <c r="AB59" s="1"/>
      <c r="AC59" s="1">
        <v>238</v>
      </c>
    </row>
    <row r="60" spans="1:29">
      <c r="A60" s="46">
        <v>43941</v>
      </c>
      <c r="B60" s="1">
        <v>11</v>
      </c>
      <c r="C60" s="1"/>
      <c r="D60" s="1">
        <v>16</v>
      </c>
      <c r="E60" s="1"/>
      <c r="F60" s="1"/>
      <c r="G60" s="1">
        <v>19</v>
      </c>
      <c r="H60" s="1">
        <v>6</v>
      </c>
      <c r="I60" s="1"/>
      <c r="J60" s="1"/>
      <c r="K60" s="1">
        <v>34</v>
      </c>
      <c r="L60" s="1"/>
      <c r="M60" s="1"/>
      <c r="N60" s="1">
        <v>4</v>
      </c>
      <c r="O60" s="1">
        <v>5</v>
      </c>
      <c r="P60" s="1">
        <v>10</v>
      </c>
      <c r="Q60" s="1">
        <v>2</v>
      </c>
      <c r="R60" s="1"/>
      <c r="S60" s="1">
        <v>7</v>
      </c>
      <c r="T60" s="1">
        <v>2</v>
      </c>
      <c r="U60" s="1"/>
      <c r="V60" s="1">
        <v>12</v>
      </c>
      <c r="W60" s="1">
        <v>55</v>
      </c>
      <c r="X60" s="1"/>
      <c r="Y60" s="1">
        <v>41</v>
      </c>
      <c r="Z60" s="1">
        <v>15</v>
      </c>
      <c r="AA60" s="1">
        <v>5</v>
      </c>
      <c r="AB60" s="1"/>
      <c r="AC60" s="1">
        <v>244</v>
      </c>
    </row>
    <row r="61" spans="1:29">
      <c r="A61" s="46">
        <v>43942</v>
      </c>
      <c r="B61" s="1">
        <v>8</v>
      </c>
      <c r="C61" s="1"/>
      <c r="D61" s="1">
        <v>18</v>
      </c>
      <c r="E61" s="1"/>
      <c r="F61" s="1"/>
      <c r="G61" s="1">
        <v>17</v>
      </c>
      <c r="H61" s="1">
        <v>3</v>
      </c>
      <c r="I61" s="1">
        <v>9</v>
      </c>
      <c r="J61" s="1"/>
      <c r="K61" s="1">
        <v>32</v>
      </c>
      <c r="L61" s="1"/>
      <c r="M61" s="1"/>
      <c r="N61" s="1">
        <v>4</v>
      </c>
      <c r="O61" s="1">
        <v>5</v>
      </c>
      <c r="P61" s="1">
        <v>7</v>
      </c>
      <c r="Q61" s="1">
        <v>1</v>
      </c>
      <c r="R61" s="1"/>
      <c r="S61" s="1">
        <v>8</v>
      </c>
      <c r="T61" s="1">
        <v>2</v>
      </c>
      <c r="U61" s="1"/>
      <c r="V61" s="1">
        <v>12</v>
      </c>
      <c r="W61" s="1">
        <v>54</v>
      </c>
      <c r="X61" s="1"/>
      <c r="Y61" s="1">
        <v>41</v>
      </c>
      <c r="Z61" s="1">
        <v>14</v>
      </c>
      <c r="AA61" s="1">
        <v>4</v>
      </c>
      <c r="AB61" s="1"/>
      <c r="AC61" s="1">
        <v>239</v>
      </c>
    </row>
    <row r="62" spans="1:29">
      <c r="A62" s="46">
        <v>43943</v>
      </c>
      <c r="B62" s="1">
        <v>5</v>
      </c>
      <c r="C62" s="1"/>
      <c r="D62" s="1">
        <v>15</v>
      </c>
      <c r="E62" s="1"/>
      <c r="F62" s="1"/>
      <c r="G62" s="1">
        <v>14</v>
      </c>
      <c r="H62" s="1">
        <v>3</v>
      </c>
      <c r="I62" s="1">
        <v>7</v>
      </c>
      <c r="J62" s="1"/>
      <c r="K62" s="1">
        <v>30</v>
      </c>
      <c r="L62" s="1"/>
      <c r="M62" s="1"/>
      <c r="N62" s="1">
        <v>4</v>
      </c>
      <c r="O62" s="1"/>
      <c r="P62" s="1">
        <v>6</v>
      </c>
      <c r="Q62" s="1">
        <v>1</v>
      </c>
      <c r="R62" s="1"/>
      <c r="S62" s="1">
        <v>6</v>
      </c>
      <c r="T62" s="1">
        <v>2</v>
      </c>
      <c r="U62" s="1"/>
      <c r="V62" s="1">
        <v>9</v>
      </c>
      <c r="W62" s="1">
        <v>42</v>
      </c>
      <c r="X62" s="1"/>
      <c r="Y62" s="1">
        <v>40</v>
      </c>
      <c r="Z62" s="1">
        <v>13</v>
      </c>
      <c r="AA62" s="1">
        <v>3</v>
      </c>
      <c r="AB62" s="1"/>
      <c r="AC62" s="1">
        <v>200</v>
      </c>
    </row>
    <row r="63" spans="1:29">
      <c r="A63" s="46">
        <v>43944</v>
      </c>
      <c r="B63" s="1">
        <v>5</v>
      </c>
      <c r="C63" s="1"/>
      <c r="D63" s="1">
        <v>14</v>
      </c>
      <c r="E63" s="1"/>
      <c r="F63" s="1">
        <v>2</v>
      </c>
      <c r="G63" s="1">
        <v>11</v>
      </c>
      <c r="H63" s="1">
        <v>3</v>
      </c>
      <c r="I63" s="1">
        <v>7</v>
      </c>
      <c r="J63" s="1"/>
      <c r="K63" s="1">
        <v>29</v>
      </c>
      <c r="L63" s="1"/>
      <c r="M63" s="1"/>
      <c r="N63" s="1">
        <v>4</v>
      </c>
      <c r="O63" s="1">
        <v>7</v>
      </c>
      <c r="P63" s="1">
        <v>6</v>
      </c>
      <c r="Q63" s="1">
        <v>1</v>
      </c>
      <c r="R63" s="1"/>
      <c r="S63" s="1">
        <v>2</v>
      </c>
      <c r="T63" s="1">
        <v>2</v>
      </c>
      <c r="U63" s="1"/>
      <c r="V63" s="1">
        <v>9</v>
      </c>
      <c r="W63" s="1">
        <v>41</v>
      </c>
      <c r="X63" s="1"/>
      <c r="Y63" s="1">
        <v>38</v>
      </c>
      <c r="Z63" s="1">
        <v>13</v>
      </c>
      <c r="AA63" s="1">
        <v>3</v>
      </c>
      <c r="AB63" s="1"/>
      <c r="AC63" s="1">
        <v>197</v>
      </c>
    </row>
    <row r="64" spans="1:29">
      <c r="A64" s="46">
        <v>43945</v>
      </c>
      <c r="B64" s="1">
        <v>8</v>
      </c>
      <c r="C64" s="1"/>
      <c r="D64" s="1">
        <v>14</v>
      </c>
      <c r="E64" s="1"/>
      <c r="F64" s="1">
        <v>2</v>
      </c>
      <c r="G64" s="1">
        <v>11</v>
      </c>
      <c r="H64" s="1">
        <v>2</v>
      </c>
      <c r="I64" s="1">
        <v>7</v>
      </c>
      <c r="J64" s="1"/>
      <c r="K64" s="1">
        <v>26</v>
      </c>
      <c r="L64" s="1"/>
      <c r="M64" s="1"/>
      <c r="N64" s="1">
        <v>4</v>
      </c>
      <c r="O64" s="1"/>
      <c r="P64" s="1">
        <v>6</v>
      </c>
      <c r="Q64" s="1">
        <v>0</v>
      </c>
      <c r="R64" s="1"/>
      <c r="S64" s="1">
        <v>4</v>
      </c>
      <c r="T64" s="1">
        <v>1</v>
      </c>
      <c r="U64" s="1"/>
      <c r="V64" s="1">
        <v>9</v>
      </c>
      <c r="W64" s="1">
        <v>42</v>
      </c>
      <c r="X64" s="1"/>
      <c r="Y64" s="1">
        <v>35</v>
      </c>
      <c r="Z64" s="1">
        <v>14</v>
      </c>
      <c r="AA64" s="1">
        <v>3</v>
      </c>
      <c r="AB64" s="1"/>
      <c r="AC64" s="1">
        <v>188</v>
      </c>
    </row>
    <row r="65" spans="1:29">
      <c r="A65" s="46">
        <v>43946</v>
      </c>
      <c r="B65" s="1">
        <v>7</v>
      </c>
      <c r="C65" s="1"/>
      <c r="D65" s="1"/>
      <c r="E65" s="1"/>
      <c r="F65" s="1"/>
      <c r="G65" s="1">
        <v>11</v>
      </c>
      <c r="H65" s="1">
        <v>1</v>
      </c>
      <c r="I65" s="1"/>
      <c r="J65" s="1"/>
      <c r="K65" s="1">
        <v>27</v>
      </c>
      <c r="L65" s="1"/>
      <c r="M65" s="1"/>
      <c r="N65" s="1">
        <v>4</v>
      </c>
      <c r="O65" s="1">
        <v>8</v>
      </c>
      <c r="P65" s="1">
        <v>4</v>
      </c>
      <c r="Q65" s="1">
        <v>0</v>
      </c>
      <c r="R65" s="1"/>
      <c r="S65" s="1"/>
      <c r="T65" s="1">
        <v>1</v>
      </c>
      <c r="U65" s="1"/>
      <c r="V65" s="1">
        <v>8</v>
      </c>
      <c r="W65" s="1">
        <v>40</v>
      </c>
      <c r="X65" s="1"/>
      <c r="Y65" s="1">
        <v>35</v>
      </c>
      <c r="Z65" s="1">
        <v>14</v>
      </c>
      <c r="AA65" s="1">
        <v>3</v>
      </c>
      <c r="AB65" s="1"/>
      <c r="AC65" s="1">
        <v>163</v>
      </c>
    </row>
    <row r="66" spans="1:29">
      <c r="A66" s="46">
        <v>43947</v>
      </c>
      <c r="B66" s="1">
        <v>5</v>
      </c>
      <c r="C66" s="1"/>
      <c r="D66" s="1"/>
      <c r="E66" s="1"/>
      <c r="F66" s="1"/>
      <c r="G66" s="1">
        <v>9</v>
      </c>
      <c r="H66" s="1">
        <v>0</v>
      </c>
      <c r="I66" s="1"/>
      <c r="J66" s="1"/>
      <c r="K66" s="1">
        <v>25</v>
      </c>
      <c r="L66" s="1"/>
      <c r="M66" s="1"/>
      <c r="N66" s="1">
        <v>4</v>
      </c>
      <c r="O66" s="1">
        <v>7</v>
      </c>
      <c r="P66" s="1">
        <v>3</v>
      </c>
      <c r="Q66" s="1">
        <v>0</v>
      </c>
      <c r="R66" s="1"/>
      <c r="S66" s="1">
        <v>4</v>
      </c>
      <c r="T66" s="1">
        <v>2</v>
      </c>
      <c r="U66" s="1"/>
      <c r="V66" s="1">
        <v>8</v>
      </c>
      <c r="W66" s="1">
        <v>37</v>
      </c>
      <c r="X66" s="1"/>
      <c r="Y66" s="1">
        <v>35</v>
      </c>
      <c r="Z66" s="1">
        <v>15</v>
      </c>
      <c r="AA66" s="1">
        <v>3</v>
      </c>
      <c r="AB66" s="1"/>
      <c r="AC66" s="1">
        <v>157</v>
      </c>
    </row>
    <row r="67" spans="1:29">
      <c r="A67" s="46">
        <v>43948</v>
      </c>
      <c r="B67" s="1">
        <v>5</v>
      </c>
      <c r="C67" s="1"/>
      <c r="D67" s="1">
        <v>15</v>
      </c>
      <c r="E67" s="1"/>
      <c r="F67" s="1">
        <v>2</v>
      </c>
      <c r="G67" s="1">
        <v>10</v>
      </c>
      <c r="H67" s="1">
        <v>1</v>
      </c>
      <c r="I67" s="1"/>
      <c r="J67" s="1"/>
      <c r="K67" s="1">
        <v>26</v>
      </c>
      <c r="L67" s="1"/>
      <c r="M67" s="1"/>
      <c r="N67" s="1">
        <v>4</v>
      </c>
      <c r="O67" s="1">
        <v>7</v>
      </c>
      <c r="P67" s="1">
        <v>3</v>
      </c>
      <c r="Q67" s="1">
        <v>0</v>
      </c>
      <c r="R67" s="1"/>
      <c r="S67" s="1">
        <v>2</v>
      </c>
      <c r="T67" s="1">
        <v>3</v>
      </c>
      <c r="U67" s="1"/>
      <c r="V67" s="1">
        <v>8</v>
      </c>
      <c r="W67" s="1">
        <v>34</v>
      </c>
      <c r="X67" s="1"/>
      <c r="Y67" s="1">
        <v>33</v>
      </c>
      <c r="Z67" s="1">
        <v>14</v>
      </c>
      <c r="AA67" s="1">
        <v>3</v>
      </c>
      <c r="AB67" s="1"/>
      <c r="AC67" s="1">
        <v>170</v>
      </c>
    </row>
    <row r="68" spans="1:29">
      <c r="A68" s="46">
        <v>43949</v>
      </c>
      <c r="B68" s="1">
        <v>5</v>
      </c>
      <c r="C68" s="1"/>
      <c r="D68" s="1">
        <v>12</v>
      </c>
      <c r="E68" s="1"/>
      <c r="F68" s="1">
        <v>2</v>
      </c>
      <c r="G68" s="1">
        <v>7</v>
      </c>
      <c r="H68" s="1">
        <v>1</v>
      </c>
      <c r="I68" s="1">
        <v>7</v>
      </c>
      <c r="J68" s="1"/>
      <c r="K68" s="1">
        <v>23</v>
      </c>
      <c r="L68" s="1"/>
      <c r="M68" s="1"/>
      <c r="N68" s="1">
        <v>5</v>
      </c>
      <c r="O68" s="1">
        <v>7</v>
      </c>
      <c r="P68" s="1">
        <v>3</v>
      </c>
      <c r="Q68" s="1">
        <v>0</v>
      </c>
      <c r="R68" s="1"/>
      <c r="S68" s="1">
        <v>3</v>
      </c>
      <c r="T68" s="1">
        <v>2</v>
      </c>
      <c r="U68" s="1"/>
      <c r="V68" s="1">
        <v>8</v>
      </c>
      <c r="W68" s="1">
        <v>30</v>
      </c>
      <c r="X68" s="1"/>
      <c r="Y68" s="1">
        <v>32</v>
      </c>
      <c r="Z68" s="1">
        <v>13</v>
      </c>
      <c r="AA68" s="1">
        <v>3</v>
      </c>
      <c r="AB68" s="1"/>
      <c r="AC68" s="1">
        <v>163</v>
      </c>
    </row>
    <row r="69" spans="1:29">
      <c r="A69" s="46">
        <v>43950</v>
      </c>
      <c r="B69" s="1">
        <v>7</v>
      </c>
      <c r="C69" s="1"/>
      <c r="D69" s="1">
        <v>10</v>
      </c>
      <c r="E69" s="1"/>
      <c r="F69" s="1">
        <v>2</v>
      </c>
      <c r="G69" s="1">
        <v>10</v>
      </c>
      <c r="H69" s="1">
        <v>1</v>
      </c>
      <c r="I69" s="1">
        <v>7</v>
      </c>
      <c r="J69" s="1"/>
      <c r="K69" s="1">
        <v>21</v>
      </c>
      <c r="L69" s="1"/>
      <c r="M69" s="1"/>
      <c r="N69" s="1">
        <v>5</v>
      </c>
      <c r="O69" s="1">
        <v>8</v>
      </c>
      <c r="P69" s="1">
        <v>4</v>
      </c>
      <c r="Q69" s="1">
        <v>0</v>
      </c>
      <c r="R69" s="1"/>
      <c r="S69" s="1">
        <v>10</v>
      </c>
      <c r="T69" s="1">
        <v>2</v>
      </c>
      <c r="U69" s="1"/>
      <c r="V69" s="1">
        <v>7</v>
      </c>
      <c r="W69" s="1">
        <v>29</v>
      </c>
      <c r="X69" s="1"/>
      <c r="Y69" s="1">
        <v>31</v>
      </c>
      <c r="Z69" s="1">
        <v>11</v>
      </c>
      <c r="AA69" s="1">
        <v>3</v>
      </c>
      <c r="AB69" s="1"/>
      <c r="AC69" s="1">
        <v>168</v>
      </c>
    </row>
    <row r="70" spans="1:29">
      <c r="A70" s="46">
        <v>43951</v>
      </c>
      <c r="B70" s="1">
        <v>6</v>
      </c>
      <c r="C70" s="1"/>
      <c r="D70" s="1">
        <v>9</v>
      </c>
      <c r="E70" s="1"/>
      <c r="F70" s="1">
        <v>2</v>
      </c>
      <c r="G70" s="1">
        <v>9</v>
      </c>
      <c r="H70" s="1">
        <v>1</v>
      </c>
      <c r="I70" s="1">
        <v>8</v>
      </c>
      <c r="J70" s="1"/>
      <c r="K70" s="1"/>
      <c r="L70" s="1"/>
      <c r="M70" s="1"/>
      <c r="N70" s="1">
        <v>5</v>
      </c>
      <c r="O70" s="1">
        <v>8</v>
      </c>
      <c r="P70" s="1">
        <v>5</v>
      </c>
      <c r="Q70" s="1">
        <v>0</v>
      </c>
      <c r="R70" s="1"/>
      <c r="S70" s="1">
        <v>3</v>
      </c>
      <c r="T70" s="1">
        <v>2</v>
      </c>
      <c r="U70" s="1"/>
      <c r="V70" s="1">
        <v>7</v>
      </c>
      <c r="W70" s="1">
        <v>30</v>
      </c>
      <c r="X70" s="1"/>
      <c r="Y70" s="1">
        <v>27</v>
      </c>
      <c r="Z70" s="1">
        <v>11</v>
      </c>
      <c r="AA70" s="1">
        <v>3</v>
      </c>
      <c r="AB70" s="1"/>
      <c r="AC70" s="1">
        <v>136</v>
      </c>
    </row>
    <row r="71" spans="1:29">
      <c r="A71" s="17" t="s">
        <v>320</v>
      </c>
      <c r="B71" s="1">
        <v>544</v>
      </c>
      <c r="C71" s="1"/>
      <c r="D71" s="1">
        <v>496</v>
      </c>
      <c r="E71" s="1"/>
      <c r="F71" s="1">
        <v>12</v>
      </c>
      <c r="G71" s="1">
        <v>742</v>
      </c>
      <c r="H71" s="1">
        <v>464</v>
      </c>
      <c r="I71" s="1">
        <v>308</v>
      </c>
      <c r="J71" s="1"/>
      <c r="K71" s="1">
        <v>1882</v>
      </c>
      <c r="L71" s="1"/>
      <c r="M71" s="1"/>
      <c r="N71" s="1">
        <v>177</v>
      </c>
      <c r="O71" s="1">
        <v>177</v>
      </c>
      <c r="P71" s="1">
        <v>361</v>
      </c>
      <c r="Q71" s="1">
        <v>41</v>
      </c>
      <c r="R71" s="1"/>
      <c r="S71" s="1">
        <v>233</v>
      </c>
      <c r="T71" s="1">
        <v>79</v>
      </c>
      <c r="U71" s="1"/>
      <c r="V71" s="1">
        <v>290</v>
      </c>
      <c r="W71" s="1">
        <v>2431</v>
      </c>
      <c r="X71" s="1"/>
      <c r="Y71" s="1">
        <v>2247</v>
      </c>
      <c r="Z71" s="1">
        <v>791</v>
      </c>
      <c r="AA71" s="1">
        <v>208</v>
      </c>
      <c r="AB71" s="1"/>
      <c r="AC71" s="1">
        <v>11483</v>
      </c>
    </row>
  </sheetData>
  <pageMargins left="0.7" right="0.7" top="0.78740157499999996" bottom="0.78740157499999996"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EFC9B-ECFA-4109-BAE5-30321641E705}">
  <dimension ref="A3:O58"/>
  <sheetViews>
    <sheetView workbookViewId="0">
      <selection activeCell="N54" sqref="N54"/>
    </sheetView>
  </sheetViews>
  <sheetFormatPr baseColWidth="10" defaultRowHeight="14.5"/>
  <cols>
    <col min="1" max="1" width="20.7265625" bestFit="1" customWidth="1"/>
    <col min="2" max="2" width="22" bestFit="1" customWidth="1"/>
    <col min="3" max="3" width="4.81640625" bestFit="1" customWidth="1"/>
    <col min="4" max="4" width="11.6328125" bestFit="1" customWidth="1"/>
    <col min="5" max="5" width="4.81640625" bestFit="1" customWidth="1"/>
    <col min="6" max="6" width="12.36328125" bestFit="1" customWidth="1"/>
    <col min="7" max="7" width="4.81640625" bestFit="1" customWidth="1"/>
    <col min="8" max="8" width="15" bestFit="1" customWidth="1"/>
    <col min="9" max="9" width="6.81640625" bestFit="1" customWidth="1"/>
    <col min="10" max="10" width="5.6328125" bestFit="1" customWidth="1"/>
    <col min="11" max="11" width="15" bestFit="1" customWidth="1"/>
    <col min="12" max="12" width="6.81640625" bestFit="1" customWidth="1"/>
    <col min="13" max="13" width="5.6328125" bestFit="1" customWidth="1"/>
    <col min="14" max="14" width="27.6328125" bestFit="1" customWidth="1"/>
    <col min="15" max="15" width="27.54296875" bestFit="1" customWidth="1"/>
    <col min="16" max="16" width="27.90625" bestFit="1" customWidth="1"/>
    <col min="17" max="17" width="30.7265625" bestFit="1" customWidth="1"/>
    <col min="18" max="62" width="4.81640625" bestFit="1" customWidth="1"/>
    <col min="63" max="63" width="5.6328125" bestFit="1" customWidth="1"/>
    <col min="64" max="64" width="20.26953125" bestFit="1" customWidth="1"/>
    <col min="65" max="67" width="4.81640625" bestFit="1" customWidth="1"/>
    <col min="68" max="79" width="3.81640625" bestFit="1" customWidth="1"/>
    <col min="80" max="124" width="4.81640625" bestFit="1" customWidth="1"/>
    <col min="125" max="125" width="5.6328125" bestFit="1" customWidth="1"/>
    <col min="126" max="126" width="23.1796875" bestFit="1" customWidth="1"/>
    <col min="127" max="131" width="3.81640625" bestFit="1" customWidth="1"/>
    <col min="132" max="136" width="5.81640625" bestFit="1" customWidth="1"/>
    <col min="137" max="155" width="3.81640625" bestFit="1" customWidth="1"/>
    <col min="156" max="159" width="4.81640625" bestFit="1" customWidth="1"/>
    <col min="160" max="160" width="6.81640625" bestFit="1" customWidth="1"/>
    <col min="161" max="162" width="4.81640625" bestFit="1" customWidth="1"/>
    <col min="163" max="163" width="6.81640625" bestFit="1" customWidth="1"/>
    <col min="164" max="165" width="4.81640625" bestFit="1" customWidth="1"/>
    <col min="166" max="166" width="6.81640625" bestFit="1" customWidth="1"/>
    <col min="167" max="168" width="4.81640625" bestFit="1" customWidth="1"/>
    <col min="169" max="169" width="6.81640625" bestFit="1" customWidth="1"/>
    <col min="170" max="171" width="4.81640625" bestFit="1" customWidth="1"/>
    <col min="172" max="172" width="6.81640625" bestFit="1" customWidth="1"/>
    <col min="173" max="186" width="4.81640625" bestFit="1" customWidth="1"/>
    <col min="187" max="187" width="5.6328125" bestFit="1" customWidth="1"/>
    <col min="188" max="188" width="27.54296875" bestFit="1" customWidth="1"/>
    <col min="189" max="189" width="27.90625" bestFit="1" customWidth="1"/>
    <col min="190" max="190" width="30.7265625" bestFit="1" customWidth="1"/>
  </cols>
  <sheetData>
    <row r="3" spans="1:15">
      <c r="B3" s="16" t="s">
        <v>321</v>
      </c>
    </row>
    <row r="4" spans="1:15">
      <c r="B4" t="s">
        <v>636</v>
      </c>
      <c r="D4" t="s">
        <v>637</v>
      </c>
      <c r="F4" t="s">
        <v>638</v>
      </c>
      <c r="H4" t="s">
        <v>639</v>
      </c>
      <c r="O4" t="s">
        <v>625</v>
      </c>
    </row>
    <row r="5" spans="1:15">
      <c r="A5" s="16" t="s">
        <v>319</v>
      </c>
      <c r="B5" t="s">
        <v>444</v>
      </c>
      <c r="C5" t="s">
        <v>445</v>
      </c>
      <c r="D5" t="s">
        <v>444</v>
      </c>
      <c r="E5" t="s">
        <v>445</v>
      </c>
      <c r="F5" t="s">
        <v>444</v>
      </c>
      <c r="G5" t="s">
        <v>445</v>
      </c>
      <c r="H5" t="s">
        <v>444</v>
      </c>
      <c r="I5" t="s">
        <v>445</v>
      </c>
    </row>
    <row r="6" spans="1:15">
      <c r="A6" s="17">
        <v>1</v>
      </c>
      <c r="B6" s="1">
        <v>139</v>
      </c>
      <c r="C6" s="1">
        <v>1161</v>
      </c>
      <c r="D6" s="1">
        <v>173</v>
      </c>
      <c r="E6" s="1">
        <v>1252</v>
      </c>
      <c r="F6" s="1">
        <v>207</v>
      </c>
      <c r="G6" s="1">
        <v>1343</v>
      </c>
      <c r="H6" s="1">
        <v>146</v>
      </c>
      <c r="I6" s="1">
        <v>1151</v>
      </c>
    </row>
    <row r="7" spans="1:15">
      <c r="A7" s="17">
        <v>2</v>
      </c>
      <c r="B7" s="1">
        <v>138</v>
      </c>
      <c r="C7" s="1">
        <v>1166</v>
      </c>
      <c r="D7" s="1">
        <v>172</v>
      </c>
      <c r="E7" s="1">
        <v>1257</v>
      </c>
      <c r="F7" s="1">
        <v>206</v>
      </c>
      <c r="G7" s="1">
        <v>1348</v>
      </c>
      <c r="H7" s="1">
        <v>163</v>
      </c>
      <c r="I7" s="1">
        <v>1180</v>
      </c>
    </row>
    <row r="8" spans="1:15">
      <c r="A8" s="17">
        <v>3</v>
      </c>
      <c r="B8" s="1">
        <v>138</v>
      </c>
      <c r="C8" s="1">
        <v>1171</v>
      </c>
      <c r="D8" s="1">
        <v>172</v>
      </c>
      <c r="E8" s="1">
        <v>1262</v>
      </c>
      <c r="F8" s="1">
        <v>206</v>
      </c>
      <c r="G8" s="1">
        <v>1354</v>
      </c>
      <c r="H8" s="1">
        <v>181</v>
      </c>
      <c r="I8" s="1">
        <v>1204</v>
      </c>
    </row>
    <row r="9" spans="1:15">
      <c r="A9" s="17">
        <v>4</v>
      </c>
      <c r="B9" s="1">
        <v>138</v>
      </c>
      <c r="C9" s="1">
        <v>1176</v>
      </c>
      <c r="D9" s="1">
        <v>172</v>
      </c>
      <c r="E9" s="1">
        <v>1267</v>
      </c>
      <c r="F9" s="1">
        <v>205</v>
      </c>
      <c r="G9" s="1">
        <v>1359</v>
      </c>
      <c r="H9" s="1">
        <v>176</v>
      </c>
      <c r="I9" s="1">
        <v>1215</v>
      </c>
    </row>
    <row r="10" spans="1:15">
      <c r="A10" s="17">
        <v>5</v>
      </c>
      <c r="B10" s="1">
        <v>137</v>
      </c>
      <c r="C10" s="1">
        <v>1180</v>
      </c>
      <c r="D10" s="1">
        <v>171</v>
      </c>
      <c r="E10" s="1">
        <v>1272</v>
      </c>
      <c r="F10" s="1">
        <v>205</v>
      </c>
      <c r="G10" s="1">
        <v>1364</v>
      </c>
      <c r="H10" s="1">
        <v>159</v>
      </c>
      <c r="I10" s="1">
        <v>1245</v>
      </c>
    </row>
    <row r="11" spans="1:15">
      <c r="A11" s="17">
        <v>6</v>
      </c>
      <c r="B11" s="1">
        <v>137</v>
      </c>
      <c r="C11" s="1">
        <v>1185</v>
      </c>
      <c r="D11" s="1">
        <v>171</v>
      </c>
      <c r="E11" s="1">
        <v>1277</v>
      </c>
      <c r="F11" s="1">
        <v>204</v>
      </c>
      <c r="G11" s="1">
        <v>1369</v>
      </c>
      <c r="H11" s="1">
        <v>182</v>
      </c>
      <c r="I11" s="1">
        <v>1177</v>
      </c>
    </row>
    <row r="12" spans="1:15">
      <c r="A12" s="17">
        <v>7</v>
      </c>
      <c r="B12" s="1">
        <v>137</v>
      </c>
      <c r="C12" s="1">
        <v>1187</v>
      </c>
      <c r="D12" s="1">
        <v>170</v>
      </c>
      <c r="E12" s="1">
        <v>1279</v>
      </c>
      <c r="F12" s="1">
        <v>204</v>
      </c>
      <c r="G12" s="1">
        <v>1371</v>
      </c>
      <c r="H12" s="1">
        <v>161</v>
      </c>
      <c r="I12" s="1">
        <v>1195</v>
      </c>
    </row>
    <row r="13" spans="1:15">
      <c r="A13" s="17">
        <v>8</v>
      </c>
      <c r="B13" s="1">
        <v>136</v>
      </c>
      <c r="C13" s="1">
        <v>1179</v>
      </c>
      <c r="D13" s="1">
        <v>170</v>
      </c>
      <c r="E13" s="1">
        <v>1271</v>
      </c>
      <c r="F13" s="1">
        <v>204</v>
      </c>
      <c r="G13" s="1">
        <v>1363</v>
      </c>
      <c r="H13" s="1">
        <v>177</v>
      </c>
      <c r="I13" s="1">
        <v>1154</v>
      </c>
    </row>
    <row r="14" spans="1:15">
      <c r="A14" s="17">
        <v>9</v>
      </c>
      <c r="B14" s="1">
        <v>136</v>
      </c>
      <c r="C14" s="1">
        <v>1172</v>
      </c>
      <c r="D14" s="1">
        <v>170</v>
      </c>
      <c r="E14" s="1">
        <v>1263</v>
      </c>
      <c r="F14" s="1">
        <v>203</v>
      </c>
      <c r="G14" s="1">
        <v>1355</v>
      </c>
      <c r="H14" s="1">
        <v>166</v>
      </c>
      <c r="I14" s="1">
        <v>1141</v>
      </c>
    </row>
    <row r="15" spans="1:15">
      <c r="A15" s="17">
        <v>10</v>
      </c>
      <c r="B15" s="1">
        <v>135</v>
      </c>
      <c r="C15" s="1">
        <v>1153</v>
      </c>
      <c r="D15" s="1">
        <v>169</v>
      </c>
      <c r="E15" s="1">
        <v>1243</v>
      </c>
      <c r="F15" s="1">
        <v>202</v>
      </c>
      <c r="G15" s="1">
        <v>1334</v>
      </c>
      <c r="H15" s="1">
        <v>159</v>
      </c>
      <c r="I15" s="1">
        <v>1159</v>
      </c>
    </row>
    <row r="16" spans="1:15">
      <c r="A16" s="17">
        <v>11</v>
      </c>
      <c r="B16" s="1">
        <v>135</v>
      </c>
      <c r="C16" s="1">
        <v>1134</v>
      </c>
      <c r="D16" s="1">
        <v>168</v>
      </c>
      <c r="E16" s="1">
        <v>1224</v>
      </c>
      <c r="F16" s="1">
        <v>201</v>
      </c>
      <c r="G16" s="1">
        <v>1314</v>
      </c>
      <c r="H16" s="1">
        <v>146</v>
      </c>
      <c r="I16" s="1">
        <v>1205</v>
      </c>
    </row>
    <row r="17" spans="1:9">
      <c r="A17" s="17">
        <v>12</v>
      </c>
      <c r="B17" s="1">
        <v>134</v>
      </c>
      <c r="C17" s="1">
        <v>1110</v>
      </c>
      <c r="D17" s="1">
        <v>167</v>
      </c>
      <c r="E17" s="1">
        <v>1199</v>
      </c>
      <c r="F17" s="1">
        <v>200</v>
      </c>
      <c r="G17" s="1">
        <v>1289</v>
      </c>
      <c r="H17" s="1">
        <v>173.9</v>
      </c>
      <c r="I17" s="1">
        <v>1323.6</v>
      </c>
    </row>
    <row r="18" spans="1:9">
      <c r="A18" s="17">
        <v>13</v>
      </c>
      <c r="B18" s="1">
        <v>132</v>
      </c>
      <c r="C18" s="1">
        <v>1086</v>
      </c>
      <c r="D18" s="1">
        <v>166</v>
      </c>
      <c r="E18" s="1">
        <v>1175</v>
      </c>
      <c r="F18" s="1">
        <v>199</v>
      </c>
      <c r="G18" s="1">
        <v>1263</v>
      </c>
      <c r="H18" s="1">
        <v>204.9</v>
      </c>
      <c r="I18" s="1">
        <v>1412.2</v>
      </c>
    </row>
    <row r="19" spans="1:9">
      <c r="A19" s="17">
        <v>14</v>
      </c>
      <c r="B19" s="1">
        <v>131</v>
      </c>
      <c r="C19" s="1">
        <v>1065</v>
      </c>
      <c r="D19" s="1">
        <v>165</v>
      </c>
      <c r="E19" s="1">
        <v>1153</v>
      </c>
      <c r="F19" s="1">
        <v>198</v>
      </c>
      <c r="G19" s="1">
        <v>1240</v>
      </c>
      <c r="H19" s="1">
        <v>180.2</v>
      </c>
      <c r="I19" s="1">
        <v>1679.7</v>
      </c>
    </row>
    <row r="20" spans="1:9">
      <c r="A20" s="17">
        <v>15</v>
      </c>
      <c r="B20" s="1">
        <v>130</v>
      </c>
      <c r="C20" s="1">
        <v>1046</v>
      </c>
      <c r="D20" s="1">
        <v>163</v>
      </c>
      <c r="E20" s="1">
        <v>1133</v>
      </c>
      <c r="F20" s="1">
        <v>196</v>
      </c>
      <c r="G20" s="1">
        <v>1219</v>
      </c>
      <c r="H20" s="1">
        <v>179.3</v>
      </c>
      <c r="I20" s="1">
        <v>1473.8</v>
      </c>
    </row>
    <row r="21" spans="1:9">
      <c r="A21" s="17">
        <v>16</v>
      </c>
      <c r="B21" s="1">
        <v>129</v>
      </c>
      <c r="C21" s="1">
        <v>1026</v>
      </c>
      <c r="D21" s="1">
        <v>162</v>
      </c>
      <c r="E21" s="1">
        <v>1112</v>
      </c>
      <c r="F21" s="1">
        <v>195</v>
      </c>
      <c r="G21" s="1">
        <v>1198</v>
      </c>
      <c r="H21" s="1">
        <v>187.7</v>
      </c>
      <c r="I21" s="1">
        <v>1438.2</v>
      </c>
    </row>
    <row r="22" spans="1:9">
      <c r="A22" s="17">
        <v>17</v>
      </c>
      <c r="B22" s="1">
        <v>128</v>
      </c>
      <c r="C22" s="1">
        <v>1010</v>
      </c>
      <c r="D22" s="1">
        <v>161</v>
      </c>
      <c r="E22" s="1">
        <v>1095</v>
      </c>
      <c r="F22" s="1">
        <v>194</v>
      </c>
      <c r="G22" s="1">
        <v>1180</v>
      </c>
      <c r="H22" s="1"/>
      <c r="I22" s="1"/>
    </row>
    <row r="23" spans="1:9">
      <c r="A23" s="17">
        <v>18</v>
      </c>
      <c r="B23" s="1">
        <v>127</v>
      </c>
      <c r="C23" s="1">
        <v>994</v>
      </c>
      <c r="D23" s="1">
        <v>160</v>
      </c>
      <c r="E23" s="1">
        <v>1078</v>
      </c>
      <c r="F23" s="1">
        <v>193</v>
      </c>
      <c r="G23" s="1">
        <v>1163</v>
      </c>
      <c r="H23" s="1"/>
      <c r="I23" s="1"/>
    </row>
    <row r="24" spans="1:9">
      <c r="A24" s="17">
        <v>19</v>
      </c>
      <c r="B24" s="1">
        <v>127</v>
      </c>
      <c r="C24" s="1">
        <v>981</v>
      </c>
      <c r="D24" s="1">
        <v>159</v>
      </c>
      <c r="E24" s="1">
        <v>1065</v>
      </c>
      <c r="F24" s="1">
        <v>192</v>
      </c>
      <c r="G24" s="1">
        <v>1149</v>
      </c>
      <c r="H24" s="1"/>
      <c r="I24" s="1"/>
    </row>
    <row r="25" spans="1:9">
      <c r="A25" s="17">
        <v>20</v>
      </c>
      <c r="B25" s="1">
        <v>126</v>
      </c>
      <c r="C25" s="1">
        <v>969</v>
      </c>
      <c r="D25" s="1">
        <v>158</v>
      </c>
      <c r="E25" s="1">
        <v>1052</v>
      </c>
      <c r="F25" s="1">
        <v>191</v>
      </c>
      <c r="G25" s="1">
        <v>1136</v>
      </c>
      <c r="H25" s="1"/>
      <c r="I25" s="1"/>
    </row>
    <row r="26" spans="1:9">
      <c r="A26" s="17">
        <v>21</v>
      </c>
      <c r="B26" s="1">
        <v>125</v>
      </c>
      <c r="C26" s="1">
        <v>959</v>
      </c>
      <c r="D26" s="1">
        <v>157</v>
      </c>
      <c r="E26" s="1">
        <v>1042</v>
      </c>
      <c r="F26" s="1">
        <v>190</v>
      </c>
      <c r="G26" s="1">
        <v>1126</v>
      </c>
      <c r="H26" s="1"/>
      <c r="I26" s="1"/>
    </row>
    <row r="27" spans="1:9">
      <c r="A27" s="17">
        <v>22</v>
      </c>
      <c r="B27" s="1">
        <v>125</v>
      </c>
      <c r="C27" s="1">
        <v>956</v>
      </c>
      <c r="D27" s="1">
        <v>157</v>
      </c>
      <c r="E27" s="1">
        <v>1039</v>
      </c>
      <c r="F27" s="1">
        <v>189</v>
      </c>
      <c r="G27" s="1">
        <v>1122</v>
      </c>
      <c r="H27" s="1"/>
      <c r="I27" s="1"/>
    </row>
    <row r="28" spans="1:9">
      <c r="A28" s="17">
        <v>23</v>
      </c>
      <c r="B28" s="1">
        <v>125</v>
      </c>
      <c r="C28" s="1">
        <v>952</v>
      </c>
      <c r="D28" s="1">
        <v>157</v>
      </c>
      <c r="E28" s="1">
        <v>1035</v>
      </c>
      <c r="F28" s="1">
        <v>189</v>
      </c>
      <c r="G28" s="1">
        <v>1118</v>
      </c>
      <c r="H28" s="1"/>
      <c r="I28" s="1"/>
    </row>
    <row r="29" spans="1:9">
      <c r="A29" s="17">
        <v>24</v>
      </c>
      <c r="B29" s="1">
        <v>125</v>
      </c>
      <c r="C29" s="1">
        <v>950</v>
      </c>
      <c r="D29" s="1">
        <v>157</v>
      </c>
      <c r="E29" s="1">
        <v>1033</v>
      </c>
      <c r="F29" s="1">
        <v>189</v>
      </c>
      <c r="G29" s="1">
        <v>1115</v>
      </c>
      <c r="H29" s="1"/>
      <c r="I29" s="1"/>
    </row>
    <row r="30" spans="1:9">
      <c r="A30" s="17">
        <v>25</v>
      </c>
      <c r="B30" s="1">
        <v>124</v>
      </c>
      <c r="C30" s="1">
        <v>952</v>
      </c>
      <c r="D30" s="1">
        <v>157</v>
      </c>
      <c r="E30" s="1">
        <v>1035</v>
      </c>
      <c r="F30" s="1">
        <v>189</v>
      </c>
      <c r="G30" s="1">
        <v>1117</v>
      </c>
      <c r="H30" s="1"/>
      <c r="I30" s="1"/>
    </row>
    <row r="31" spans="1:9">
      <c r="A31" s="17">
        <v>26</v>
      </c>
      <c r="B31" s="1">
        <v>124</v>
      </c>
      <c r="C31" s="1">
        <v>953</v>
      </c>
      <c r="D31" s="1">
        <v>157</v>
      </c>
      <c r="E31" s="1">
        <v>1036</v>
      </c>
      <c r="F31" s="1">
        <v>189</v>
      </c>
      <c r="G31" s="1">
        <v>1119</v>
      </c>
      <c r="H31" s="1"/>
      <c r="I31" s="1"/>
    </row>
    <row r="32" spans="1:9">
      <c r="A32" s="17">
        <v>27</v>
      </c>
      <c r="B32" s="1">
        <v>124</v>
      </c>
      <c r="C32" s="1">
        <v>956</v>
      </c>
      <c r="D32" s="1">
        <v>157</v>
      </c>
      <c r="E32" s="1">
        <v>1039</v>
      </c>
      <c r="F32" s="1">
        <v>189</v>
      </c>
      <c r="G32" s="1">
        <v>1122</v>
      </c>
      <c r="H32" s="1"/>
      <c r="I32" s="1"/>
    </row>
    <row r="33" spans="1:9">
      <c r="A33" s="17">
        <v>28</v>
      </c>
      <c r="B33" s="1">
        <v>124</v>
      </c>
      <c r="C33" s="1">
        <v>956</v>
      </c>
      <c r="D33" s="1">
        <v>157</v>
      </c>
      <c r="E33" s="1">
        <v>1039</v>
      </c>
      <c r="F33" s="1">
        <v>189</v>
      </c>
      <c r="G33" s="1">
        <v>1122</v>
      </c>
      <c r="H33" s="1"/>
      <c r="I33" s="1"/>
    </row>
    <row r="34" spans="1:9">
      <c r="A34" s="17">
        <v>29</v>
      </c>
      <c r="B34" s="1">
        <v>124</v>
      </c>
      <c r="C34" s="1">
        <v>956</v>
      </c>
      <c r="D34" s="1">
        <v>157</v>
      </c>
      <c r="E34" s="1">
        <v>1039</v>
      </c>
      <c r="F34" s="1">
        <v>189</v>
      </c>
      <c r="G34" s="1">
        <v>1122</v>
      </c>
      <c r="H34" s="1"/>
      <c r="I34" s="1"/>
    </row>
    <row r="35" spans="1:9">
      <c r="A35" s="17">
        <v>30</v>
      </c>
      <c r="B35" s="1">
        <v>124</v>
      </c>
      <c r="C35" s="1">
        <v>955</v>
      </c>
      <c r="D35" s="1">
        <v>156</v>
      </c>
      <c r="E35" s="1">
        <v>1038</v>
      </c>
      <c r="F35" s="1">
        <v>188</v>
      </c>
      <c r="G35" s="1">
        <v>1121</v>
      </c>
      <c r="H35" s="1"/>
      <c r="I35" s="1"/>
    </row>
    <row r="36" spans="1:9">
      <c r="A36" s="17">
        <v>31</v>
      </c>
      <c r="B36" s="1">
        <v>124</v>
      </c>
      <c r="C36" s="1">
        <v>954</v>
      </c>
      <c r="D36" s="1">
        <v>156</v>
      </c>
      <c r="E36" s="1">
        <v>1037</v>
      </c>
      <c r="F36" s="1">
        <v>188</v>
      </c>
      <c r="G36" s="1">
        <v>1120</v>
      </c>
      <c r="H36" s="1"/>
      <c r="I36" s="1"/>
    </row>
    <row r="37" spans="1:9">
      <c r="A37" s="17">
        <v>32</v>
      </c>
      <c r="B37" s="1">
        <v>123</v>
      </c>
      <c r="C37" s="1">
        <v>953</v>
      </c>
      <c r="D37" s="1">
        <v>156</v>
      </c>
      <c r="E37" s="1">
        <v>1036</v>
      </c>
      <c r="F37" s="1">
        <v>188</v>
      </c>
      <c r="G37" s="1">
        <v>1119</v>
      </c>
      <c r="H37" s="1"/>
      <c r="I37" s="1"/>
    </row>
    <row r="38" spans="1:9">
      <c r="A38" s="17">
        <v>33</v>
      </c>
      <c r="B38" s="1">
        <v>123</v>
      </c>
      <c r="C38" s="1">
        <v>952</v>
      </c>
      <c r="D38" s="1">
        <v>155</v>
      </c>
      <c r="E38" s="1">
        <v>1035</v>
      </c>
      <c r="F38" s="1">
        <v>187</v>
      </c>
      <c r="G38" s="1">
        <v>1118</v>
      </c>
      <c r="H38" s="1"/>
      <c r="I38" s="1"/>
    </row>
    <row r="39" spans="1:9">
      <c r="A39" s="17">
        <v>34</v>
      </c>
      <c r="B39" s="1">
        <v>123</v>
      </c>
      <c r="C39" s="1">
        <v>953</v>
      </c>
      <c r="D39" s="1">
        <v>155</v>
      </c>
      <c r="E39" s="1">
        <v>1036</v>
      </c>
      <c r="F39" s="1">
        <v>187</v>
      </c>
      <c r="G39" s="1">
        <v>1119</v>
      </c>
      <c r="H39" s="1"/>
      <c r="I39" s="1"/>
    </row>
    <row r="40" spans="1:9">
      <c r="A40" s="17">
        <v>35</v>
      </c>
      <c r="B40" s="1">
        <v>123</v>
      </c>
      <c r="C40" s="1">
        <v>959</v>
      </c>
      <c r="D40" s="1">
        <v>155</v>
      </c>
      <c r="E40" s="1">
        <v>1042</v>
      </c>
      <c r="F40" s="1">
        <v>188</v>
      </c>
      <c r="G40" s="1">
        <v>1126</v>
      </c>
      <c r="H40" s="1"/>
      <c r="I40" s="1"/>
    </row>
    <row r="41" spans="1:9">
      <c r="A41" s="17">
        <v>36</v>
      </c>
      <c r="B41" s="1">
        <v>124</v>
      </c>
      <c r="C41" s="1">
        <v>965</v>
      </c>
      <c r="D41" s="1">
        <v>156</v>
      </c>
      <c r="E41" s="1">
        <v>1048</v>
      </c>
      <c r="F41" s="1">
        <v>188</v>
      </c>
      <c r="G41" s="1">
        <v>1132</v>
      </c>
      <c r="H41" s="1"/>
      <c r="I41" s="1"/>
    </row>
    <row r="42" spans="1:9">
      <c r="A42" s="17">
        <v>37</v>
      </c>
      <c r="B42" s="1">
        <v>124</v>
      </c>
      <c r="C42" s="1">
        <v>973</v>
      </c>
      <c r="D42" s="1">
        <v>156</v>
      </c>
      <c r="E42" s="1">
        <v>1056</v>
      </c>
      <c r="F42" s="1">
        <v>188</v>
      </c>
      <c r="G42" s="1">
        <v>1140</v>
      </c>
      <c r="H42" s="1"/>
      <c r="I42" s="1"/>
    </row>
    <row r="43" spans="1:9">
      <c r="A43" s="17">
        <v>38</v>
      </c>
      <c r="B43" s="1">
        <v>124</v>
      </c>
      <c r="C43" s="1">
        <v>982</v>
      </c>
      <c r="D43" s="1">
        <v>156</v>
      </c>
      <c r="E43" s="1">
        <v>1067</v>
      </c>
      <c r="F43" s="1">
        <v>189</v>
      </c>
      <c r="G43" s="1">
        <v>1151</v>
      </c>
      <c r="H43" s="1"/>
      <c r="I43" s="1"/>
    </row>
    <row r="44" spans="1:9">
      <c r="A44" s="17">
        <v>39</v>
      </c>
      <c r="B44" s="1">
        <v>125</v>
      </c>
      <c r="C44" s="1">
        <v>992</v>
      </c>
      <c r="D44" s="1">
        <v>157</v>
      </c>
      <c r="E44" s="1">
        <v>1077</v>
      </c>
      <c r="F44" s="1">
        <v>189</v>
      </c>
      <c r="G44" s="1">
        <v>1161</v>
      </c>
      <c r="H44" s="1"/>
      <c r="I44" s="1"/>
    </row>
    <row r="45" spans="1:9">
      <c r="A45" s="17">
        <v>40</v>
      </c>
      <c r="B45" s="1">
        <v>125</v>
      </c>
      <c r="C45" s="1">
        <v>1002</v>
      </c>
      <c r="D45" s="1">
        <v>157</v>
      </c>
      <c r="E45" s="1">
        <v>1087</v>
      </c>
      <c r="F45" s="1">
        <v>190</v>
      </c>
      <c r="G45" s="1">
        <v>1172</v>
      </c>
      <c r="H45" s="1"/>
      <c r="I45" s="1"/>
    </row>
    <row r="46" spans="1:9">
      <c r="A46" s="17">
        <v>41</v>
      </c>
      <c r="B46" s="1">
        <v>125</v>
      </c>
      <c r="C46" s="1">
        <v>1011</v>
      </c>
      <c r="D46" s="1">
        <v>158</v>
      </c>
      <c r="E46" s="1">
        <v>1097</v>
      </c>
      <c r="F46" s="1">
        <v>190</v>
      </c>
      <c r="G46" s="1">
        <v>1182</v>
      </c>
      <c r="H46" s="1"/>
      <c r="I46" s="1"/>
    </row>
    <row r="47" spans="1:9">
      <c r="A47" s="17">
        <v>42</v>
      </c>
      <c r="B47" s="1">
        <v>126</v>
      </c>
      <c r="C47" s="1">
        <v>1021</v>
      </c>
      <c r="D47" s="1">
        <v>158</v>
      </c>
      <c r="E47" s="1">
        <v>1107</v>
      </c>
      <c r="F47" s="1">
        <v>190</v>
      </c>
      <c r="G47" s="1">
        <v>1192</v>
      </c>
      <c r="H47" s="1"/>
      <c r="I47" s="1"/>
    </row>
    <row r="48" spans="1:9">
      <c r="A48" s="17">
        <v>43</v>
      </c>
      <c r="B48" s="1">
        <v>126</v>
      </c>
      <c r="C48" s="1">
        <v>1029</v>
      </c>
      <c r="D48" s="1">
        <v>158</v>
      </c>
      <c r="E48" s="1">
        <v>1115</v>
      </c>
      <c r="F48" s="1">
        <v>191</v>
      </c>
      <c r="G48" s="1">
        <v>1201</v>
      </c>
      <c r="H48" s="1"/>
      <c r="I48" s="1"/>
    </row>
    <row r="49" spans="1:9">
      <c r="A49" s="17">
        <v>44</v>
      </c>
      <c r="B49" s="1">
        <v>126</v>
      </c>
      <c r="C49" s="1">
        <v>1037</v>
      </c>
      <c r="D49" s="1">
        <v>158</v>
      </c>
      <c r="E49" s="1">
        <v>1124</v>
      </c>
      <c r="F49" s="1">
        <v>191</v>
      </c>
      <c r="G49" s="1">
        <v>1210</v>
      </c>
      <c r="H49" s="1"/>
      <c r="I49" s="1"/>
    </row>
    <row r="50" spans="1:9">
      <c r="A50" s="17">
        <v>45</v>
      </c>
      <c r="B50" s="1">
        <v>126</v>
      </c>
      <c r="C50" s="1">
        <v>1049</v>
      </c>
      <c r="D50" s="1">
        <v>159</v>
      </c>
      <c r="E50" s="1">
        <v>1136</v>
      </c>
      <c r="F50" s="1">
        <v>191</v>
      </c>
      <c r="G50" s="1">
        <v>1223</v>
      </c>
      <c r="H50" s="1"/>
      <c r="I50" s="1"/>
    </row>
    <row r="51" spans="1:9">
      <c r="A51" s="17">
        <v>46</v>
      </c>
      <c r="B51" s="1">
        <v>126</v>
      </c>
      <c r="C51" s="1">
        <v>1061</v>
      </c>
      <c r="D51" s="1">
        <v>159</v>
      </c>
      <c r="E51" s="1">
        <v>1148</v>
      </c>
      <c r="F51" s="1">
        <v>191</v>
      </c>
      <c r="G51" s="1">
        <v>1235</v>
      </c>
      <c r="H51" s="1"/>
      <c r="I51" s="1"/>
    </row>
    <row r="52" spans="1:9">
      <c r="A52" s="17">
        <v>47</v>
      </c>
      <c r="B52" s="1">
        <v>127</v>
      </c>
      <c r="C52" s="1">
        <v>1073</v>
      </c>
      <c r="D52" s="1">
        <v>159</v>
      </c>
      <c r="E52" s="1">
        <v>1161</v>
      </c>
      <c r="F52" s="1">
        <v>192</v>
      </c>
      <c r="G52" s="1">
        <v>1248</v>
      </c>
      <c r="H52" s="1"/>
      <c r="I52" s="1"/>
    </row>
    <row r="53" spans="1:9">
      <c r="A53" s="17">
        <v>48</v>
      </c>
      <c r="B53" s="1">
        <v>127</v>
      </c>
      <c r="C53" s="1">
        <v>1084</v>
      </c>
      <c r="D53" s="1">
        <v>160</v>
      </c>
      <c r="E53" s="1">
        <v>1172</v>
      </c>
      <c r="F53" s="1">
        <v>192</v>
      </c>
      <c r="G53" s="1">
        <v>1261</v>
      </c>
      <c r="H53" s="1"/>
      <c r="I53" s="1"/>
    </row>
    <row r="54" spans="1:9">
      <c r="A54" s="17">
        <v>49</v>
      </c>
      <c r="B54" s="1">
        <v>128</v>
      </c>
      <c r="C54" s="1">
        <v>1096</v>
      </c>
      <c r="D54" s="1">
        <v>160</v>
      </c>
      <c r="E54" s="1">
        <v>1184</v>
      </c>
      <c r="F54" s="1">
        <v>193</v>
      </c>
      <c r="G54" s="1">
        <v>1273</v>
      </c>
      <c r="H54" s="1"/>
      <c r="I54" s="1"/>
    </row>
    <row r="55" spans="1:9">
      <c r="A55" s="17">
        <v>50</v>
      </c>
      <c r="B55" s="1">
        <v>128</v>
      </c>
      <c r="C55" s="1">
        <v>1105</v>
      </c>
      <c r="D55" s="1">
        <v>161</v>
      </c>
      <c r="E55" s="1">
        <v>1194</v>
      </c>
      <c r="F55" s="1">
        <v>193</v>
      </c>
      <c r="G55" s="1">
        <v>1283</v>
      </c>
      <c r="H55" s="1"/>
      <c r="I55" s="1"/>
    </row>
    <row r="56" spans="1:9">
      <c r="A56" s="17">
        <v>51</v>
      </c>
      <c r="B56" s="1">
        <v>128</v>
      </c>
      <c r="C56" s="1">
        <v>1114</v>
      </c>
      <c r="D56" s="1">
        <v>161</v>
      </c>
      <c r="E56" s="1">
        <v>1203</v>
      </c>
      <c r="F56" s="1">
        <v>194</v>
      </c>
      <c r="G56" s="1">
        <v>1292</v>
      </c>
      <c r="H56" s="1"/>
      <c r="I56" s="1"/>
    </row>
    <row r="57" spans="1:9">
      <c r="A57" s="17">
        <v>52</v>
      </c>
      <c r="B57" s="1">
        <v>129</v>
      </c>
      <c r="C57" s="1">
        <v>1122</v>
      </c>
      <c r="D57" s="1">
        <v>162</v>
      </c>
      <c r="E57" s="1">
        <v>1212</v>
      </c>
      <c r="F57" s="1">
        <v>194</v>
      </c>
      <c r="G57" s="1">
        <v>1302</v>
      </c>
      <c r="H57" s="1"/>
      <c r="I57" s="1"/>
    </row>
    <row r="58" spans="1:9">
      <c r="A58" s="17">
        <v>53</v>
      </c>
      <c r="B58" s="1">
        <v>129</v>
      </c>
      <c r="C58" s="1">
        <v>1131</v>
      </c>
      <c r="D58" s="1">
        <v>162</v>
      </c>
      <c r="E58" s="1">
        <v>1221</v>
      </c>
      <c r="F58" s="1">
        <v>195</v>
      </c>
      <c r="G58" s="1">
        <v>1311</v>
      </c>
      <c r="H58" s="1"/>
      <c r="I58" s="1"/>
    </row>
  </sheetData>
  <pageMargins left="0.7" right="0.7" top="0.78740157499999996" bottom="0.78740157499999996"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53260-071C-42BC-9DC0-774571999768}">
  <sheetPr codeName="Tabelle6"/>
  <dimension ref="A1:Y32"/>
  <sheetViews>
    <sheetView workbookViewId="0">
      <selection activeCell="D1" sqref="D1:D1048576"/>
    </sheetView>
  </sheetViews>
  <sheetFormatPr baseColWidth="10" defaultRowHeight="14.5"/>
  <cols>
    <col min="1" max="1" width="14.6328125" customWidth="1"/>
    <col min="4" max="4" width="10.90625" style="49"/>
  </cols>
  <sheetData>
    <row r="1" spans="1:25">
      <c r="A1" s="7" t="s">
        <v>315</v>
      </c>
      <c r="B1" s="7" t="s">
        <v>316</v>
      </c>
      <c r="C1" s="8" t="s">
        <v>380</v>
      </c>
      <c r="D1" s="50" t="s">
        <v>379</v>
      </c>
      <c r="E1" s="7" t="s">
        <v>317</v>
      </c>
      <c r="F1" s="8"/>
      <c r="H1" s="8"/>
      <c r="I1" s="8"/>
      <c r="J1" s="8"/>
      <c r="K1" s="8"/>
      <c r="L1" s="8"/>
      <c r="M1" s="8"/>
      <c r="N1" s="8"/>
      <c r="O1" s="8"/>
      <c r="P1" s="8"/>
      <c r="Q1" s="8"/>
      <c r="R1" s="8"/>
      <c r="S1" s="8"/>
      <c r="T1" s="8"/>
      <c r="U1" s="8"/>
      <c r="V1" s="8"/>
      <c r="W1" s="8"/>
      <c r="X1" s="8"/>
      <c r="Y1" s="8"/>
    </row>
    <row r="2" spans="1:25">
      <c r="A2" t="s">
        <v>318</v>
      </c>
      <c r="B2" t="s">
        <v>34</v>
      </c>
      <c r="C2" s="9" t="str">
        <f>kt_latest!E2</f>
        <v>Aargau</v>
      </c>
      <c r="D2" s="51">
        <f>kt_latest!R2</f>
        <v>34</v>
      </c>
      <c r="E2" s="5">
        <v>878</v>
      </c>
      <c r="F2" s="9"/>
      <c r="H2" s="9"/>
      <c r="I2" s="9"/>
      <c r="J2" s="9"/>
      <c r="K2" s="9"/>
      <c r="L2" s="9"/>
      <c r="M2" s="9"/>
      <c r="N2" s="9"/>
      <c r="O2" s="9"/>
      <c r="P2" s="11"/>
      <c r="Q2" s="11"/>
      <c r="R2" s="9"/>
      <c r="S2" s="9"/>
      <c r="T2" s="11"/>
      <c r="U2" s="9"/>
      <c r="V2" s="11"/>
      <c r="W2" s="9"/>
      <c r="X2" s="9"/>
      <c r="Y2" s="9"/>
    </row>
    <row r="3" spans="1:25">
      <c r="A3" t="s">
        <v>318</v>
      </c>
      <c r="B3" t="s">
        <v>38</v>
      </c>
      <c r="C3" s="10" t="str">
        <f>kt_latest!E3</f>
        <v>Appenzell Innerrhoden</v>
      </c>
      <c r="D3" s="52">
        <v>0</v>
      </c>
      <c r="E3" s="6">
        <v>24</v>
      </c>
      <c r="F3" s="10"/>
      <c r="H3" s="10"/>
      <c r="I3" s="10"/>
      <c r="J3" s="10"/>
      <c r="K3" s="10"/>
      <c r="L3" s="10"/>
      <c r="M3" s="10"/>
      <c r="N3" s="10"/>
      <c r="O3" s="10"/>
      <c r="P3" s="12"/>
      <c r="Q3" s="12"/>
      <c r="R3" s="10"/>
      <c r="S3" s="10"/>
      <c r="T3" s="12"/>
      <c r="U3" s="10"/>
      <c r="V3" s="12"/>
      <c r="W3" s="10"/>
      <c r="X3" s="10"/>
      <c r="Y3" s="10"/>
    </row>
    <row r="4" spans="1:25">
      <c r="A4" t="s">
        <v>318</v>
      </c>
      <c r="B4" t="s">
        <v>41</v>
      </c>
      <c r="C4" s="9" t="str">
        <f>kt_latest!E4</f>
        <v>Appenzell Ausserrhoden</v>
      </c>
      <c r="D4" s="51">
        <f>kt_latest!R3</f>
        <v>0</v>
      </c>
      <c r="E4" s="5">
        <v>77</v>
      </c>
      <c r="F4" s="9"/>
      <c r="H4" s="9"/>
      <c r="I4" s="9"/>
      <c r="J4" s="9"/>
      <c r="K4" s="9"/>
      <c r="L4" s="9"/>
      <c r="M4" s="9"/>
      <c r="N4" s="9"/>
      <c r="O4" s="9"/>
      <c r="P4" s="11"/>
      <c r="Q4" s="11"/>
      <c r="R4" s="9"/>
      <c r="S4" s="9"/>
      <c r="T4" s="11"/>
      <c r="U4" s="9"/>
      <c r="V4" s="11"/>
      <c r="W4" s="9"/>
      <c r="X4" s="9"/>
      <c r="Y4" s="9"/>
    </row>
    <row r="5" spans="1:25">
      <c r="A5" t="s">
        <v>318</v>
      </c>
      <c r="B5" t="s">
        <v>44</v>
      </c>
      <c r="C5" s="10" t="str">
        <f>kt_latest!E5</f>
        <v>Bern/Berne</v>
      </c>
      <c r="D5" s="52">
        <f>kt_latest!R5</f>
        <v>86</v>
      </c>
      <c r="E5" s="6">
        <v>1419</v>
      </c>
      <c r="F5" s="10"/>
      <c r="H5" s="10"/>
      <c r="I5" s="10"/>
      <c r="J5" s="10"/>
      <c r="K5" s="10"/>
      <c r="L5" s="10"/>
      <c r="M5" s="10"/>
      <c r="N5" s="10"/>
      <c r="O5" s="10"/>
      <c r="P5" s="12"/>
      <c r="Q5" s="12"/>
      <c r="R5" s="10"/>
      <c r="S5" s="10"/>
      <c r="T5" s="12"/>
      <c r="U5" s="10"/>
      <c r="V5" s="12"/>
      <c r="W5" s="10"/>
      <c r="X5" s="10"/>
      <c r="Y5" s="10"/>
    </row>
    <row r="6" spans="1:25">
      <c r="A6" t="s">
        <v>318</v>
      </c>
      <c r="B6" t="s">
        <v>47</v>
      </c>
      <c r="C6" s="9" t="str">
        <f>kt_latest!E6</f>
        <v>Basel-Landschaft</v>
      </c>
      <c r="D6" s="51">
        <f>kt_latest!R6</f>
        <v>32</v>
      </c>
      <c r="E6" s="5">
        <v>736</v>
      </c>
      <c r="F6" s="9"/>
      <c r="H6" s="9"/>
      <c r="I6" s="9"/>
      <c r="J6" s="9"/>
      <c r="K6" s="9"/>
      <c r="L6" s="9"/>
      <c r="M6" s="9"/>
      <c r="N6" s="9"/>
      <c r="O6" s="9"/>
      <c r="P6" s="11"/>
      <c r="Q6" s="11"/>
      <c r="R6" s="9"/>
      <c r="S6" s="9"/>
      <c r="T6" s="11"/>
      <c r="U6" s="9"/>
      <c r="V6" s="11"/>
      <c r="W6" s="9"/>
      <c r="X6" s="9"/>
      <c r="Y6" s="9"/>
    </row>
    <row r="7" spans="1:25">
      <c r="A7" t="s">
        <v>318</v>
      </c>
      <c r="B7" t="s">
        <v>50</v>
      </c>
      <c r="C7" s="10" t="str">
        <f>kt_latest!E7</f>
        <v>Basel-Stadt</v>
      </c>
      <c r="D7" s="52">
        <f>kt_latest!R7</f>
        <v>50</v>
      </c>
      <c r="E7" s="6">
        <v>882</v>
      </c>
      <c r="F7" s="10"/>
      <c r="H7" s="10"/>
      <c r="I7" s="10"/>
      <c r="J7" s="10"/>
      <c r="K7" s="10"/>
      <c r="L7" s="10"/>
      <c r="M7" s="10"/>
      <c r="N7" s="10"/>
      <c r="O7" s="10"/>
      <c r="P7" s="12"/>
      <c r="Q7" s="12"/>
      <c r="R7" s="10"/>
      <c r="S7" s="10"/>
      <c r="T7" s="12"/>
      <c r="U7" s="10"/>
      <c r="V7" s="12"/>
      <c r="W7" s="10"/>
      <c r="X7" s="10"/>
      <c r="Y7" s="10"/>
    </row>
    <row r="8" spans="1:25">
      <c r="A8" t="s">
        <v>318</v>
      </c>
      <c r="B8" t="s">
        <v>56</v>
      </c>
      <c r="C8" s="10" t="str">
        <f>kt_latest!E9</f>
        <v>Fribourg</v>
      </c>
      <c r="D8" s="52">
        <f>kt_latest!R9</f>
        <v>78</v>
      </c>
      <c r="E8" s="6">
        <v>846</v>
      </c>
      <c r="F8" s="10"/>
      <c r="H8" s="10"/>
      <c r="I8" s="10"/>
      <c r="J8" s="10"/>
      <c r="K8" s="10"/>
      <c r="L8" s="10"/>
      <c r="M8" s="10"/>
      <c r="N8" s="10"/>
      <c r="O8" s="10"/>
      <c r="P8" s="12"/>
      <c r="Q8" s="12"/>
      <c r="R8" s="10"/>
      <c r="S8" s="10"/>
      <c r="T8" s="12"/>
      <c r="U8" s="10"/>
      <c r="V8" s="12"/>
      <c r="W8" s="10"/>
      <c r="X8" s="10"/>
      <c r="Y8" s="10"/>
    </row>
    <row r="9" spans="1:25">
      <c r="A9" t="s">
        <v>318</v>
      </c>
      <c r="B9" t="s">
        <v>58</v>
      </c>
      <c r="C9" s="9" t="str">
        <f>kt_latest!E10</f>
        <v>Genève</v>
      </c>
      <c r="D9" s="51">
        <f>kt_latest!R10</f>
        <v>244</v>
      </c>
      <c r="E9" s="5">
        <v>4310</v>
      </c>
      <c r="F9" s="9"/>
      <c r="H9" s="9"/>
      <c r="I9" s="9"/>
      <c r="J9" s="9"/>
      <c r="K9" s="9"/>
      <c r="L9" s="9"/>
      <c r="M9" s="9"/>
      <c r="N9" s="9"/>
      <c r="O9" s="9"/>
      <c r="P9" s="11"/>
      <c r="Q9" s="11"/>
      <c r="R9" s="9"/>
      <c r="S9" s="9"/>
      <c r="T9" s="11"/>
      <c r="U9" s="9"/>
      <c r="V9" s="11"/>
      <c r="W9" s="9"/>
      <c r="X9" s="9"/>
      <c r="Y9" s="9"/>
    </row>
    <row r="10" spans="1:25">
      <c r="A10" t="s">
        <v>318</v>
      </c>
      <c r="B10" t="s">
        <v>61</v>
      </c>
      <c r="C10" s="10" t="str">
        <f>kt_latest!E11</f>
        <v>Glarus</v>
      </c>
      <c r="D10" s="52">
        <f>kt_latest!R11</f>
        <v>11</v>
      </c>
      <c r="E10" s="6">
        <v>91</v>
      </c>
      <c r="F10" s="10"/>
      <c r="H10" s="10"/>
      <c r="I10" s="10"/>
      <c r="J10" s="10"/>
      <c r="K10" s="10"/>
      <c r="L10" s="10"/>
      <c r="M10" s="10"/>
      <c r="N10" s="10"/>
      <c r="O10" s="10"/>
      <c r="P10" s="12"/>
      <c r="Q10" s="12"/>
      <c r="R10" s="10"/>
      <c r="S10" s="10"/>
      <c r="T10" s="12"/>
      <c r="U10" s="10"/>
      <c r="V10" s="12"/>
      <c r="W10" s="10"/>
      <c r="X10" s="10"/>
      <c r="Y10" s="10"/>
    </row>
    <row r="11" spans="1:25">
      <c r="A11" t="s">
        <v>318</v>
      </c>
      <c r="B11" t="s">
        <v>63</v>
      </c>
      <c r="C11" s="9" t="str">
        <f>kt_latest!E12</f>
        <v>Graubünden/Grigioni</v>
      </c>
      <c r="D11" s="51">
        <f>kt_latest!R12</f>
        <v>45</v>
      </c>
      <c r="E11" s="5">
        <v>715</v>
      </c>
      <c r="F11" s="9"/>
      <c r="H11" s="9"/>
      <c r="I11" s="9"/>
      <c r="J11" s="9"/>
      <c r="K11" s="9"/>
      <c r="L11" s="9"/>
      <c r="M11" s="9"/>
      <c r="N11" s="9"/>
      <c r="O11" s="9"/>
      <c r="P11" s="11"/>
      <c r="Q11" s="11"/>
      <c r="R11" s="9"/>
      <c r="S11" s="9"/>
      <c r="T11" s="11"/>
      <c r="U11" s="9"/>
      <c r="V11" s="11"/>
      <c r="W11" s="9"/>
      <c r="X11" s="9"/>
      <c r="Y11" s="9"/>
    </row>
    <row r="12" spans="1:25">
      <c r="A12" t="s">
        <v>318</v>
      </c>
      <c r="B12" t="s">
        <v>66</v>
      </c>
      <c r="C12" s="10" t="str">
        <f>kt_latest!E13</f>
        <v>Jura</v>
      </c>
      <c r="D12" s="52">
        <f>kt_latest!R13</f>
        <v>7</v>
      </c>
      <c r="E12" s="6">
        <v>183</v>
      </c>
      <c r="F12" s="10"/>
      <c r="H12" s="10"/>
      <c r="I12" s="10"/>
      <c r="J12" s="10"/>
      <c r="K12" s="10"/>
      <c r="L12" s="10"/>
      <c r="M12" s="10"/>
      <c r="N12" s="10"/>
      <c r="O12" s="10"/>
      <c r="P12" s="12"/>
      <c r="Q12" s="12"/>
      <c r="R12" s="10"/>
      <c r="S12" s="10"/>
      <c r="T12" s="12"/>
      <c r="U12" s="10"/>
      <c r="V12" s="12"/>
      <c r="W12" s="10"/>
      <c r="X12" s="10"/>
      <c r="Y12" s="10"/>
    </row>
    <row r="13" spans="1:25">
      <c r="A13" t="s">
        <v>318</v>
      </c>
      <c r="B13" t="s">
        <v>68</v>
      </c>
      <c r="C13" s="9" t="str">
        <f>kt_latest!E14</f>
        <v>Luzern</v>
      </c>
      <c r="D13" s="51">
        <f>kt_latest!R14</f>
        <v>17</v>
      </c>
      <c r="E13" s="5">
        <v>568</v>
      </c>
      <c r="F13" s="9"/>
      <c r="H13" s="9"/>
      <c r="I13" s="9"/>
      <c r="J13" s="9"/>
      <c r="K13" s="9"/>
      <c r="L13" s="9"/>
      <c r="M13" s="9"/>
      <c r="N13" s="9"/>
      <c r="O13" s="9"/>
      <c r="P13" s="11"/>
      <c r="Q13" s="11"/>
      <c r="R13" s="9"/>
      <c r="S13" s="9"/>
      <c r="T13" s="11"/>
      <c r="U13" s="9"/>
      <c r="V13" s="11"/>
      <c r="W13" s="9"/>
      <c r="X13" s="9"/>
      <c r="Y13" s="9"/>
    </row>
    <row r="14" spans="1:25">
      <c r="A14" t="s">
        <v>318</v>
      </c>
      <c r="B14" t="s">
        <v>71</v>
      </c>
      <c r="C14" s="10" t="str">
        <f>kt_latest!E15</f>
        <v>Neuchâtel</v>
      </c>
      <c r="D14" s="52">
        <f>kt_latest!R15</f>
        <v>74</v>
      </c>
      <c r="E14" s="6">
        <v>552</v>
      </c>
      <c r="F14" s="10"/>
      <c r="H14" s="10"/>
      <c r="I14" s="10"/>
      <c r="J14" s="10"/>
      <c r="K14" s="10"/>
      <c r="L14" s="10"/>
      <c r="M14" s="10"/>
      <c r="N14" s="10"/>
      <c r="O14" s="10"/>
      <c r="P14" s="12"/>
      <c r="Q14" s="12"/>
      <c r="R14" s="10"/>
      <c r="S14" s="10"/>
      <c r="T14" s="12"/>
      <c r="U14" s="10"/>
      <c r="V14" s="12"/>
      <c r="W14" s="10"/>
      <c r="X14" s="10"/>
      <c r="Y14" s="10"/>
    </row>
    <row r="15" spans="1:25">
      <c r="A15" t="s">
        <v>318</v>
      </c>
      <c r="B15" t="s">
        <v>73</v>
      </c>
      <c r="C15" s="9" t="str">
        <f>kt_latest!E16</f>
        <v>Nidwalden</v>
      </c>
      <c r="D15" s="51">
        <f>kt_latest!R16</f>
        <v>3</v>
      </c>
      <c r="E15" s="5">
        <v>103</v>
      </c>
      <c r="F15" s="9"/>
      <c r="H15" s="9"/>
      <c r="I15" s="9"/>
      <c r="J15" s="9"/>
      <c r="K15" s="9"/>
      <c r="L15" s="9"/>
      <c r="M15" s="9"/>
      <c r="N15" s="9"/>
      <c r="O15" s="9"/>
      <c r="P15" s="11"/>
      <c r="Q15" s="11"/>
      <c r="R15" s="9"/>
      <c r="S15" s="9"/>
      <c r="T15" s="11"/>
      <c r="U15" s="9"/>
      <c r="V15" s="11"/>
      <c r="W15" s="9"/>
      <c r="X15" s="9"/>
      <c r="Y15" s="9"/>
    </row>
    <row r="16" spans="1:25">
      <c r="A16" t="s">
        <v>318</v>
      </c>
      <c r="B16" t="s">
        <v>75</v>
      </c>
      <c r="C16" s="10" t="str">
        <f>kt_latest!E17</f>
        <v>Obwalden</v>
      </c>
      <c r="D16" s="52">
        <f>kt_latest!R17</f>
        <v>0</v>
      </c>
      <c r="E16" s="6">
        <v>62</v>
      </c>
      <c r="F16" s="10"/>
      <c r="H16" s="10"/>
      <c r="I16" s="10"/>
      <c r="J16" s="10"/>
      <c r="K16" s="10"/>
      <c r="L16" s="10"/>
      <c r="M16" s="10"/>
      <c r="N16" s="10"/>
      <c r="O16" s="10"/>
      <c r="P16" s="12"/>
      <c r="Q16" s="12"/>
      <c r="R16" s="10"/>
      <c r="S16" s="10"/>
      <c r="T16" s="12"/>
      <c r="U16" s="10"/>
      <c r="V16" s="12"/>
      <c r="W16" s="10"/>
      <c r="X16" s="10"/>
      <c r="Y16" s="10"/>
    </row>
    <row r="17" spans="1:25">
      <c r="A17" t="s">
        <v>318</v>
      </c>
      <c r="B17" t="s">
        <v>78</v>
      </c>
      <c r="C17" s="9" t="str">
        <f>kt_latest!E18</f>
        <v>St. Gallen</v>
      </c>
      <c r="D17" s="51">
        <f>kt_latest!R18</f>
        <v>33</v>
      </c>
      <c r="E17" s="5">
        <v>649</v>
      </c>
      <c r="F17" s="9"/>
      <c r="H17" s="9"/>
      <c r="I17" s="9"/>
      <c r="J17" s="9"/>
      <c r="K17" s="9"/>
      <c r="L17" s="9"/>
      <c r="M17" s="9"/>
      <c r="N17" s="9"/>
      <c r="O17" s="9"/>
      <c r="P17" s="11"/>
      <c r="Q17" s="11"/>
      <c r="R17" s="9"/>
      <c r="S17" s="9"/>
      <c r="T17" s="11"/>
      <c r="U17" s="9"/>
      <c r="V17" s="11"/>
      <c r="W17" s="9"/>
      <c r="X17" s="9"/>
      <c r="Y17" s="9"/>
    </row>
    <row r="18" spans="1:25">
      <c r="A18" t="s">
        <v>318</v>
      </c>
      <c r="B18" t="s">
        <v>81</v>
      </c>
      <c r="C18" s="10" t="str">
        <f>kt_latest!E19</f>
        <v>Schaffhausen</v>
      </c>
      <c r="D18" s="52">
        <f>kt_latest!R19</f>
        <v>6</v>
      </c>
      <c r="E18" s="6">
        <v>57</v>
      </c>
      <c r="F18" s="10"/>
      <c r="H18" s="10"/>
      <c r="I18" s="10"/>
      <c r="J18" s="10"/>
      <c r="K18" s="10"/>
      <c r="L18" s="10"/>
      <c r="M18" s="10"/>
      <c r="N18" s="10"/>
      <c r="O18" s="10"/>
      <c r="P18" s="12"/>
      <c r="Q18" s="12"/>
      <c r="R18" s="10"/>
      <c r="S18" s="10"/>
      <c r="T18" s="12"/>
      <c r="U18" s="10"/>
      <c r="V18" s="12"/>
      <c r="W18" s="10"/>
      <c r="X18" s="10"/>
      <c r="Y18" s="10"/>
    </row>
    <row r="19" spans="1:25">
      <c r="A19" t="s">
        <v>318</v>
      </c>
      <c r="B19" t="s">
        <v>83</v>
      </c>
      <c r="C19" s="9" t="str">
        <f>kt_latest!E20</f>
        <v>Solothurn</v>
      </c>
      <c r="D19" s="51">
        <f>kt_latest!R20</f>
        <v>15</v>
      </c>
      <c r="E19" s="5">
        <v>306</v>
      </c>
      <c r="F19" s="9"/>
      <c r="H19" s="9"/>
      <c r="I19" s="9"/>
      <c r="J19" s="9"/>
      <c r="K19" s="9"/>
      <c r="L19" s="9"/>
      <c r="M19" s="9"/>
      <c r="N19" s="9"/>
      <c r="O19" s="9"/>
      <c r="P19" s="11"/>
      <c r="Q19" s="11"/>
      <c r="R19" s="9"/>
      <c r="S19" s="9"/>
      <c r="T19" s="11"/>
      <c r="U19" s="9"/>
      <c r="V19" s="11"/>
      <c r="W19" s="9"/>
      <c r="X19" s="9"/>
      <c r="Y19" s="9"/>
    </row>
    <row r="20" spans="1:25">
      <c r="A20" t="s">
        <v>318</v>
      </c>
      <c r="B20" t="s">
        <v>86</v>
      </c>
      <c r="C20" s="10" t="str">
        <f>kt_latest!E21</f>
        <v>Schwyz</v>
      </c>
      <c r="D20" s="52">
        <f>kt_latest!R21</f>
        <v>21</v>
      </c>
      <c r="E20" s="6">
        <v>251</v>
      </c>
      <c r="F20" s="10"/>
      <c r="H20" s="10"/>
      <c r="I20" s="10"/>
      <c r="J20" s="10"/>
      <c r="K20" s="10"/>
      <c r="L20" s="10"/>
      <c r="M20" s="10"/>
      <c r="N20" s="10"/>
      <c r="O20" s="10"/>
      <c r="P20" s="12"/>
      <c r="Q20" s="12"/>
      <c r="R20" s="10"/>
      <c r="S20" s="10"/>
      <c r="T20" s="12"/>
      <c r="U20" s="10"/>
      <c r="V20" s="12"/>
      <c r="W20" s="10"/>
      <c r="X20" s="10"/>
      <c r="Y20" s="10"/>
    </row>
    <row r="21" spans="1:25">
      <c r="A21" t="s">
        <v>318</v>
      </c>
      <c r="B21" t="s">
        <v>88</v>
      </c>
      <c r="C21" s="9" t="str">
        <f>kt_latest!E22</f>
        <v>Thurgau</v>
      </c>
      <c r="D21" s="51">
        <f>kt_latest!R22</f>
        <v>17</v>
      </c>
      <c r="E21" s="5">
        <v>274</v>
      </c>
      <c r="F21" s="9"/>
      <c r="H21" s="9"/>
      <c r="I21" s="9"/>
      <c r="J21" s="9"/>
      <c r="K21" s="9"/>
      <c r="L21" s="9"/>
      <c r="M21" s="9"/>
      <c r="N21" s="9"/>
      <c r="O21" s="9"/>
      <c r="P21" s="11"/>
      <c r="Q21" s="11"/>
      <c r="R21" s="9"/>
      <c r="S21" s="9"/>
      <c r="T21" s="11"/>
      <c r="U21" s="9"/>
      <c r="V21" s="11"/>
      <c r="W21" s="9"/>
      <c r="X21" s="9"/>
      <c r="Y21" s="9"/>
    </row>
    <row r="22" spans="1:25">
      <c r="A22" t="s">
        <v>318</v>
      </c>
      <c r="B22" t="s">
        <v>91</v>
      </c>
      <c r="C22" s="10" t="str">
        <f>kt_latest!E23</f>
        <v>Ticino</v>
      </c>
      <c r="D22" s="52">
        <f>kt_latest!R23</f>
        <v>322</v>
      </c>
      <c r="E22" s="6">
        <v>2869</v>
      </c>
      <c r="F22" s="10"/>
      <c r="H22" s="10"/>
      <c r="I22" s="10"/>
      <c r="J22" s="10"/>
      <c r="K22" s="10"/>
      <c r="L22" s="10"/>
      <c r="M22" s="10"/>
      <c r="N22" s="10"/>
      <c r="O22" s="10"/>
      <c r="P22" s="12"/>
      <c r="Q22" s="12"/>
      <c r="R22" s="10"/>
      <c r="S22" s="10"/>
      <c r="T22" s="12"/>
      <c r="U22" s="10"/>
      <c r="V22" s="12"/>
      <c r="W22" s="10"/>
      <c r="X22" s="10"/>
      <c r="Y22" s="10"/>
    </row>
    <row r="23" spans="1:25">
      <c r="A23" t="s">
        <v>318</v>
      </c>
      <c r="B23" t="s">
        <v>94</v>
      </c>
      <c r="C23" s="9" t="str">
        <f>kt_latest!E24</f>
        <v>Uri</v>
      </c>
      <c r="D23" s="51">
        <f>kt_latest!R24</f>
        <v>6</v>
      </c>
      <c r="E23" s="5">
        <v>75</v>
      </c>
      <c r="F23" s="9"/>
      <c r="H23" s="9"/>
      <c r="I23" s="9"/>
      <c r="J23" s="9"/>
      <c r="K23" s="9"/>
      <c r="L23" s="9"/>
      <c r="M23" s="9"/>
      <c r="N23" s="9"/>
      <c r="O23" s="9"/>
      <c r="P23" s="11"/>
      <c r="Q23" s="11"/>
      <c r="R23" s="9"/>
      <c r="S23" s="9"/>
      <c r="T23" s="11"/>
      <c r="U23" s="9"/>
      <c r="V23" s="11"/>
      <c r="W23" s="9"/>
      <c r="X23" s="9"/>
      <c r="Y23" s="9"/>
    </row>
    <row r="24" spans="1:25">
      <c r="A24" t="s">
        <v>318</v>
      </c>
      <c r="B24" t="s">
        <v>97</v>
      </c>
      <c r="C24" s="10" t="str">
        <f>kt_latest!E25</f>
        <v>Vaud</v>
      </c>
      <c r="D24" s="52">
        <f>kt_latest!R25</f>
        <v>377</v>
      </c>
      <c r="E24" s="6">
        <v>4524</v>
      </c>
      <c r="F24" s="10"/>
      <c r="H24" s="10"/>
      <c r="I24" s="10"/>
      <c r="J24" s="10"/>
      <c r="K24" s="10"/>
      <c r="L24" s="10"/>
      <c r="M24" s="10"/>
      <c r="N24" s="10"/>
      <c r="O24" s="10"/>
      <c r="P24" s="12"/>
      <c r="Q24" s="12"/>
      <c r="R24" s="10"/>
      <c r="S24" s="10"/>
      <c r="T24" s="12"/>
      <c r="U24" s="10"/>
      <c r="V24" s="12"/>
      <c r="W24" s="10"/>
      <c r="X24" s="10"/>
      <c r="Y24" s="10"/>
    </row>
    <row r="25" spans="1:25">
      <c r="A25" t="s">
        <v>318</v>
      </c>
      <c r="B25" t="s">
        <v>100</v>
      </c>
      <c r="C25" s="9" t="str">
        <f>kt_latest!E26</f>
        <v>Valais/Wallis</v>
      </c>
      <c r="D25" s="51">
        <f>kt_latest!R26</f>
        <v>138</v>
      </c>
      <c r="E25" s="5">
        <v>1592</v>
      </c>
      <c r="F25" s="9"/>
      <c r="H25" s="9"/>
      <c r="I25" s="9"/>
      <c r="J25" s="9"/>
      <c r="K25" s="9"/>
      <c r="L25" s="9"/>
      <c r="M25" s="9"/>
      <c r="N25" s="9"/>
      <c r="O25" s="9"/>
      <c r="P25" s="11"/>
      <c r="Q25" s="11"/>
      <c r="R25" s="9"/>
      <c r="S25" s="9"/>
      <c r="T25" s="11"/>
      <c r="U25" s="9"/>
      <c r="V25" s="11"/>
      <c r="W25" s="9"/>
      <c r="X25" s="9"/>
      <c r="Y25" s="9"/>
    </row>
    <row r="26" spans="1:25">
      <c r="A26" t="s">
        <v>318</v>
      </c>
      <c r="B26" t="s">
        <v>102</v>
      </c>
      <c r="C26" t="str">
        <f>kt_latest!E27</f>
        <v>Zug</v>
      </c>
      <c r="D26" s="49">
        <f>kt_latest!R27</f>
        <v>8</v>
      </c>
      <c r="E26" s="6">
        <v>168</v>
      </c>
      <c r="F26" s="10"/>
      <c r="H26" s="10"/>
      <c r="I26" s="10"/>
      <c r="J26" s="10"/>
      <c r="K26" s="10"/>
      <c r="L26" s="10"/>
      <c r="M26" s="10"/>
      <c r="N26" s="10"/>
      <c r="O26" s="10"/>
      <c r="P26" s="12"/>
      <c r="Q26" s="12"/>
      <c r="R26" s="10"/>
      <c r="S26" s="10"/>
      <c r="T26" s="12"/>
      <c r="U26" s="10"/>
      <c r="V26" s="12"/>
      <c r="W26" s="10"/>
      <c r="X26" s="10"/>
      <c r="Y26" s="10"/>
    </row>
    <row r="27" spans="1:25">
      <c r="A27" t="s">
        <v>318</v>
      </c>
      <c r="B27" t="s">
        <v>104</v>
      </c>
      <c r="C27" t="str">
        <f>kt_latest!E28</f>
        <v>Zürich</v>
      </c>
      <c r="D27" s="49">
        <f>kt_latest!R28</f>
        <v>123</v>
      </c>
      <c r="E27" s="5">
        <v>2987</v>
      </c>
      <c r="F27" s="9"/>
      <c r="H27" s="9"/>
      <c r="I27" s="9"/>
      <c r="J27" s="9"/>
      <c r="K27" s="9"/>
      <c r="L27" s="9"/>
      <c r="M27" s="9"/>
      <c r="N27" s="9"/>
      <c r="O27" s="9"/>
      <c r="P27" s="11"/>
      <c r="Q27" s="11"/>
      <c r="R27" s="9"/>
      <c r="S27" s="9"/>
      <c r="T27" s="11"/>
      <c r="U27" s="9"/>
      <c r="V27" s="11"/>
      <c r="W27" s="9"/>
      <c r="X27" s="9"/>
      <c r="Y27" s="9"/>
    </row>
    <row r="32" spans="1:25">
      <c r="A32" s="11"/>
    </row>
  </sheetData>
  <pageMargins left="0.7" right="0.7" top="0.78740157499999996" bottom="0.78740157499999996" header="0.3" footer="0.3"/>
  <pageSetup paperSize="9" orientation="portrait"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CF6CC-7984-4330-8823-F82CE39F5044}">
  <sheetPr codeName="Tabelle2"/>
  <dimension ref="A1:C22"/>
  <sheetViews>
    <sheetView workbookViewId="0">
      <selection activeCell="C12" sqref="C12"/>
    </sheetView>
  </sheetViews>
  <sheetFormatPr baseColWidth="10" defaultRowHeight="14.5"/>
  <cols>
    <col min="1" max="1" width="14.81640625" style="2" customWidth="1"/>
    <col min="2" max="2" width="16.26953125" customWidth="1"/>
    <col min="3" max="3" width="22.26953125" customWidth="1"/>
  </cols>
  <sheetData>
    <row r="1" spans="1:3">
      <c r="A1" s="2" t="s">
        <v>327</v>
      </c>
      <c r="B1" t="s">
        <v>328</v>
      </c>
    </row>
    <row r="2" spans="1:3">
      <c r="B2">
        <f>MAX(ch_latest!G1:'ch_latest'!G216)</f>
        <v>29483</v>
      </c>
      <c r="C2" s="18"/>
    </row>
    <row r="4" spans="1:3">
      <c r="A4" s="2" t="s">
        <v>329</v>
      </c>
      <c r="B4" t="s">
        <v>6</v>
      </c>
      <c r="C4" t="s">
        <v>14</v>
      </c>
    </row>
    <row r="5" spans="1:3">
      <c r="B5">
        <f>INDEX(ch_latest!L2:'ch_latest'!L216,COUNTA(ch_latest!L2:'ch_latest'!L216)+1)</f>
        <v>73</v>
      </c>
      <c r="C5">
        <f>INDEX(ch_latest!Q2:'ch_latest'!Q216,COUNTA(ch_latest!Q2:'ch_latest'!Q216))</f>
        <v>173.82888500000001</v>
      </c>
    </row>
    <row r="6" spans="1:3">
      <c r="B6" s="21"/>
    </row>
    <row r="7" spans="1:3">
      <c r="A7" s="2" t="s">
        <v>333</v>
      </c>
      <c r="B7" t="s">
        <v>332</v>
      </c>
    </row>
    <row r="8" spans="1:3">
      <c r="A8" s="2" t="s">
        <v>334</v>
      </c>
      <c r="B8">
        <f>INDEX(ch_latest!I1:'ch_latest'!I216,COUNTA(ch_latest!I1:'ch_latest'!I216))</f>
        <v>4850</v>
      </c>
    </row>
    <row r="9" spans="1:3">
      <c r="A9" s="2" t="s">
        <v>335</v>
      </c>
      <c r="B9">
        <f>INDEX(ch_latest!I1:'ch_latest'!I216,COUNTA(ch_latest!I1:'ch_latest'!I216)-1)</f>
        <v>4819</v>
      </c>
    </row>
    <row r="10" spans="1:3">
      <c r="A10" s="2" t="s">
        <v>336</v>
      </c>
      <c r="B10">
        <f>B8-B9</f>
        <v>31</v>
      </c>
    </row>
    <row r="11" spans="1:3">
      <c r="B11" s="19"/>
    </row>
    <row r="12" spans="1:3">
      <c r="A12" s="2" t="s">
        <v>347</v>
      </c>
      <c r="B12" s="2">
        <f>INDEX(ch_latest!A1:'ch_latest'!A216,COUNTA(ch_latest!A1:'ch_latest'!A216))</f>
        <v>43952</v>
      </c>
      <c r="C12" s="4">
        <f>INDEX(ch_latest!B1:'ch_latest'!B216,COUNTA(ch_latest!B1:'ch_latest'!B216))</f>
        <v>43952.669351851851</v>
      </c>
    </row>
    <row r="13" spans="1:3">
      <c r="B13" s="20"/>
    </row>
    <row r="14" spans="1:3">
      <c r="A14" s="2" t="s">
        <v>414</v>
      </c>
      <c r="B14" t="s">
        <v>415</v>
      </c>
    </row>
    <row r="15" spans="1:3">
      <c r="A15" s="2" t="s">
        <v>335</v>
      </c>
      <c r="B15">
        <f>INDEX(ch_latest!E1:'ch_latest'!E216,COUNTA(ch_latest!E1:'ch_latest'!E216))</f>
        <v>966</v>
      </c>
    </row>
    <row r="16" spans="1:3">
      <c r="A16" s="2" t="s">
        <v>334</v>
      </c>
      <c r="B16">
        <f>INDEX(ch_latest!E1:'ch_latest'!E216,COUNTA(ch_latest!E1:'ch_latest'!E216)-1)</f>
        <v>998</v>
      </c>
    </row>
    <row r="17" spans="1:2">
      <c r="A17" s="2" t="s">
        <v>336</v>
      </c>
      <c r="B17">
        <f>B15-B16</f>
        <v>-32</v>
      </c>
    </row>
    <row r="19" spans="1:2">
      <c r="A19" s="2" t="s">
        <v>428</v>
      </c>
      <c r="B19" t="s">
        <v>429</v>
      </c>
    </row>
    <row r="20" spans="1:2">
      <c r="A20" s="2" t="s">
        <v>335</v>
      </c>
      <c r="B20">
        <f>INDEX(ch_latest!D6:'ch_latest'!D221,COUNTA(ch_latest!D6:'ch_latest'!D221))</f>
        <v>169</v>
      </c>
    </row>
    <row r="21" spans="1:2">
      <c r="A21" s="2" t="s">
        <v>334</v>
      </c>
      <c r="B21">
        <f>INDEX(ch_latest!D6:'ch_latest'!D221,COUNTA(ch_latest!D6:'ch_latest'!D221)-1)</f>
        <v>172</v>
      </c>
    </row>
    <row r="22" spans="1:2">
      <c r="A22" s="2" t="s">
        <v>336</v>
      </c>
      <c r="B22">
        <f>B20-B21</f>
        <v>-3</v>
      </c>
    </row>
  </sheetData>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D8EF25-BBF0-467A-95E0-77469F65D118}">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127E88CF-0494-47BA-BDEB-04927C2BB250}">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2D07BDB7-FD87-4315-93A1-B8F768B62F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13</vt:i4>
      </vt:variant>
      <vt:variant>
        <vt:lpstr>Benannte Bereiche</vt:lpstr>
      </vt:variant>
      <vt:variant>
        <vt:i4>1</vt:i4>
      </vt:variant>
    </vt:vector>
  </HeadingPairs>
  <TitlesOfParts>
    <vt:vector size="14" baseType="lpstr">
      <vt:lpstr>pivot_Sterblichkeit_2010-2019</vt:lpstr>
      <vt:lpstr>Sterblichkeit_2010-2019</vt:lpstr>
      <vt:lpstr>Graphs</vt:lpstr>
      <vt:lpstr>Readme</vt:lpstr>
      <vt:lpstr>ch_latest</vt:lpstr>
      <vt:lpstr>kt_latest</vt:lpstr>
      <vt:lpstr>Fallzahlen_CH</vt:lpstr>
      <vt:lpstr>Sterblichkeit</vt:lpstr>
      <vt:lpstr>pivot_ch_days</vt:lpstr>
      <vt:lpstr>pivot_icu</vt:lpstr>
      <vt:lpstr>pivot_sterblichkeit</vt:lpstr>
      <vt:lpstr>Map death</vt:lpstr>
      <vt:lpstr>analyse</vt:lpstr>
      <vt:lpstr>Graphs!Druckbereich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tgdbepe4</dc:creator>
  <cp:lastModifiedBy>tgdbepe4</cp:lastModifiedBy>
  <cp:lastPrinted>2020-04-13T12:33:32Z</cp:lastPrinted>
  <dcterms:created xsi:type="dcterms:W3CDTF">2020-04-08T15:29:54Z</dcterms:created>
  <dcterms:modified xsi:type="dcterms:W3CDTF">2020-05-01T16:37:57Z</dcterms:modified>
</cp:coreProperties>
</file>