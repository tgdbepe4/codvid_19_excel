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harts/chartEx2.xml" ContentType="application/vnd.ms-office.chartex+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13_ncr:1_{D9D6F093-D5B2-4A57-A402-4B9F21615B8F}" xr6:coauthVersionLast="45" xr6:coauthVersionMax="45" xr10:uidLastSave="{00000000-0000-0000-0000-000000000000}"/>
  <bookViews>
    <workbookView xWindow="20" yWindow="20" windowWidth="29200" windowHeight="20860" tabRatio="888" activeTab="2" xr2:uid="{B7984E8D-725D-425C-9EA3-75DA3EFF58B2}"/>
  </bookViews>
  <sheets>
    <sheet name="Graphs" sheetId="4" r:id="rId1"/>
    <sheet name="Readme" sheetId="29"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externalReferences>
    <externalReference r:id="rId14"/>
  </externalReference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Datenbasis">OFFSET(Fallzahlen_CH!$A$1,,,COUNTA(Fallzahlen_CH!$A:$A),COUNTA(Fallzahlen_CH!$1:$1))</definedName>
    <definedName name="_xlnm.Print_Area" localSheetId="0">Graphs!$A$2:$F$65</definedName>
    <definedName name="ExterneDaten_1" localSheetId="2" hidden="1">ch_latest!$A$1:$R$74</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Fallzahlen_CH!$A$1:$K$1573</definedName>
    <definedName name="ExterneDaten_5" localSheetId="2" hidden="1">ch_latest!#REF!</definedName>
  </definedNames>
  <calcPr calcId="191029" refMode="R1C1"/>
  <pivotCaches>
    <pivotCache cacheId="17923" r:id="rId15"/>
    <pivotCache cacheId="17927" r:id="rId16"/>
    <pivotCache cacheId="17931" r:id="rId17"/>
    <pivotCache cacheId="17935"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 l="1"/>
  <c r="B21" i="24"/>
  <c r="B22" i="24" l="1"/>
  <c r="C4" i="4" s="1"/>
  <c r="D4" i="15"/>
  <c r="D4" i="4" l="1"/>
  <c r="C3" i="4"/>
  <c r="B3" i="4"/>
  <c r="E3" i="4" l="1"/>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refreshOnLoad="1" saveData="1">
    <dbPr connection="Provider=Microsoft.Mashup.OleDb.1;Data Source=$Workbook$;Location=dd-covid19-openzh-switzerland-latest;Extended Properties=&quot;&quot;" command="SELECT * FROM [dd-covid19-openzh-switzerland-latest]"/>
  </connection>
  <connection id="4" xr16:uid="{113FAE5C-BC36-48CB-BF55-B1990952B4B3}" keepAlive="1" name="Abfrage - master" description="Verbindung mit der Abfrage 'master' in der Arbeitsmappe." type="5" refreshedVersion="6" refreshOnLoad="1" saveData="1">
    <dbPr connection="Provider=Microsoft.Mashup.OleDb.1;Data Source=$Workbook$;Location=master;Extended Properties=&quot;&quot;" command="SELECT * FROM [master]"/>
  </connection>
  <connection id="5" xr16:uid="{8199119D-2721-4BCF-AA99-8FD9EFDE399E}" keepAlive="1" name="Abfrage - master (2)" description="Verbindung mit der Abfrage 'master (2)' in der Arbeitsmappe." type="5" refreshedVersion="6" saveData="1">
    <dbPr connection="Provider=Microsoft.Mashup.OleDb.1;Data Source=$Workbook$;Location=master (2);Extended Properties=&quot;&quot;" command="SELECT * FROM [master (2)]"/>
  </connection>
</connections>
</file>

<file path=xl/sharedStrings.xml><?xml version="1.0" encoding="utf-8"?>
<sst xmlns="http://schemas.openxmlformats.org/spreadsheetml/2006/main" count="5515" uniqueCount="737">
  <si>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</si>
  <si>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</si>
  <si>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</si>
  <si>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</si>
  <si>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</si>
  <si>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</si>
  <si>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</si>
  <si>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</si>
  <si>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</si>
  <si>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</si>
  <si>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</si>
  <si>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</si>
  <si>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</si>
  <si>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</si>
  <si>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</si>
  <si>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</si>
  <si>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</si>
  <si>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</si>
  <si>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</si>
  <si>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</si>
  <si>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</si>
  <si>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</si>
  <si>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</si>
  <si>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</si>
  <si>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</si>
  <si>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</si>
  <si>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</si>
  <si>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</si>
  <si>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</si>
  <si>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</si>
  <si>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</si>
  <si>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</si>
  <si>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</si>
  <si>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</si>
  <si>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</si>
  <si>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</si>
  <si>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</si>
  <si>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</si>
  <si>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</si>
  <si>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</si>
  <si>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</si>
  <si>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</si>
  <si>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</si>
  <si>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</si>
  <si>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</si>
  <si>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</si>
  <si>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</si>
  <si>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</si>
  <si>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</si>
  <si>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</si>
  <si>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</si>
  <si>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</si>
  <si>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</si>
  <si>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</si>
  <si>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</si>
  <si>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</si>
  <si>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</si>
  <si>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</si>
  <si>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</si>
  <si>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</si>
  <si>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</si>
  <si>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</si>
  <si>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</si>
  <si>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</si>
  <si>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</si>
  <si>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</si>
  <si>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</si>
  <si>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</si>
  <si>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</si>
  <si>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</si>
  <si>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</si>
  <si>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</si>
  <si>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</si>
  <si>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</si>
  <si>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</si>
  <si>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</si>
  <si>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</si>
  <si>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</si>
  <si>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</si>
  <si>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</si>
  <si>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</si>
  <si>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</si>
  <si>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</si>
  <si>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</si>
  <si>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</si>
  <si>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</si>
  <si>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</si>
  <si>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</si>
  <si>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</si>
  <si>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</si>
  <si>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</si>
  <si>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</si>
  <si>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</si>
  <si>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</si>
  <si>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</si>
  <si>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</si>
  <si>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</si>
  <si>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</si>
  <si>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</si>
  <si>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</si>
  <si>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</si>
  <si>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</si>
  <si>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</si>
  <si>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</si>
  <si>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</si>
  <si>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</si>
  <si>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</si>
  <si>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</si>
  <si>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</si>
  <si>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</si>
  <si>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</si>
  <si>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</si>
  <si>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</si>
  <si>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</si>
  <si>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</si>
  <si>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</si>
  <si>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</si>
  <si>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</si>
  <si>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</si>
  <si>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</si>
  <si>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</si>
  <si>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</si>
  <si>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</si>
  <si>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</si>
  <si>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</si>
  <si>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</si>
  <si>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</si>
  <si>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</si>
  <si>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</si>
  <si>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</si>
  <si>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</si>
  <si>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</si>
  <si>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</si>
  <si>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</si>
  <si>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</si>
  <si>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</si>
  <si>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</si>
  <si>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</si>
  <si>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</si>
  <si>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</si>
  <si>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</si>
  <si>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</si>
  <si>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</si>
  <si>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</si>
  <si>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</si>
  <si>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</si>
  <si>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</si>
  <si>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</si>
  <si>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</si>
  <si>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</si>
  <si>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</si>
  <si>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</si>
  <si>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</si>
  <si>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</si>
  <si>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</si>
  <si>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</si>
  <si>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</si>
  <si>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</si>
  <si>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</si>
  <si>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</si>
  <si>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</si>
  <si>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</si>
  <si>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</si>
  <si>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</si>
  <si>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</si>
  <si>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</si>
  <si>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</si>
  <si>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</si>
  <si>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</si>
  <si>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</si>
  <si>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</si>
  <si>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</si>
  <si>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</si>
  <si>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</si>
  <si>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</si>
  <si>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</si>
  <si>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</si>
  <si>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</si>
  <si>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</si>
  <si>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</si>
  <si>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</si>
  <si>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</si>
  <si>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</si>
  <si>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</si>
  <si>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</si>
  <si>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</si>
  <si>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</si>
  <si>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</si>
  <si>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</si>
  <si>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</si>
  <si>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</si>
  <si>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</si>
  <si>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</si>
  <si>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</si>
  <si>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</si>
  <si>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</si>
  <si>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</si>
  <si>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</si>
  <si>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</si>
  <si>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</si>
  <si>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</si>
  <si>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</si>
  <si>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</si>
  <si>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</si>
  <si>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</si>
  <si>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</si>
  <si>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</si>
  <si>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</si>
  <si>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</si>
  <si>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</si>
  <si>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</si>
  <si>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</si>
  <si>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</si>
  <si>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</si>
  <si>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</si>
  <si>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</si>
  <si>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</si>
  <si>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</si>
  <si>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</si>
  <si>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</si>
  <si>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</si>
  <si>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</si>
  <si>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</si>
  <si>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</si>
  <si>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</si>
  <si>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</si>
  <si>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</si>
  <si>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</si>
  <si>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</si>
  <si>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</si>
  <si>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</si>
  <si>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</si>
  <si>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</si>
  <si>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https://www.coronavirus.bs.ch/nm/2020-tagesbulletin-coronavirus-573-bestaetigte-faelle-im-kanton-basel-stadt-gd.html</t>
  </si>
  <si>
    <t>https://www.regierung.li/de/mitteilungen/223346/?typ=news</t>
  </si>
  <si>
    <t>https://www.coronavirus.bs.ch/nm/2020-tagesbulletin-coronavirus-609-bestaetigte-faelle-im-kanton-basel-stadt-gd.html</t>
  </si>
  <si>
    <t>https://www.regierung.li/de/mitteilungen/223347/?typ=news</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</si>
  <si>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</si>
  <si>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</si>
  <si>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</si>
  <si>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</si>
  <si>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</si>
  <si>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</si>
  <si>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</si>
  <si>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</si>
  <si>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</si>
  <si>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</si>
  <si>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</si>
  <si>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</si>
  <si>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</si>
  <si>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</si>
  <si>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https://www.gd.bs.ch//nm/2020-tagesbulletin-coronavirus-771-bestaetigte-faelle-im-kanton-basel-stadt-gd.html</t>
  </si>
  <si>
    <t>https://www.regierung.li/media/attachments/168-corona-person-verstorben-0404.pdf?t=637216219078826521</t>
  </si>
  <si>
    <t>https://www.gd.bs.ch//nm/2020-tagesbulletin-coronavirus-794-bestaetigte-faelle-im-kanton-basel-stadt-gd.html</t>
  </si>
  <si>
    <t>https://www.ag.ch/media/kanton_aargau/themen_1/coronavirus_1/lagebulletins/200406_KFS_Coronavirus_Lagebulletin_27.pdf</t>
  </si>
  <si>
    <t>https://www.coronavirus.bs.ch/nm/2020-tagesbulletin-coronavirus-803-bestaetigte-faelle-im-kanton-basel-stadt-gd.html</t>
  </si>
  <si>
    <t>https://www.ag.ch/media/kanton_aargau/themen_1/coronavirus_1/lagebulletins/200407_KFS_Coronavirus_Lagebulletin_28.pdf</t>
  </si>
  <si>
    <t>https://www.gd.bs.ch//nm/2020-tagesbulletin-coronavirus-813-bestaetigte-faelle-im-kanton-basel-stadt-gd.html</t>
  </si>
  <si>
    <t>https://www.ag.ch/media/kanton_aargau/themen_1/coronavirus_1/lagebulletins/200408_KFS_Coronavirus_Lagebulletin_29.pdf</t>
  </si>
  <si>
    <t>https://www.gd.bs.ch//nm/2020-tagesbulletin-coronavirus-834-bestaetigte-faelle-im-kanton-basel-stadt-gd.html</t>
  </si>
  <si>
    <t>new_hosp</t>
  </si>
  <si>
    <t>TotalPosTests1</t>
  </si>
  <si>
    <t>https://www.gd.bs.ch//nm/2020-tagesbulletin-coronavirus-866-bestaetigte-faelle-im-kanton-basel-stadt-gd.html</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</si>
  <si>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</si>
  <si>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</si>
  <si>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</si>
  <si>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</si>
  <si>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</si>
  <si>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</si>
  <si>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</si>
  <si>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</si>
  <si>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</si>
  <si>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</si>
  <si>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</si>
  <si>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</si>
  <si>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</si>
  <si>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</si>
  <si>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</si>
  <si>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</si>
  <si>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</si>
  <si>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</si>
  <si>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</si>
  <si>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</si>
  <si>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</si>
  <si>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</si>
  <si>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</si>
  <si>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</si>
  <si>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</si>
  <si>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</si>
  <si>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</si>
  <si>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</si>
  <si>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</si>
  <si>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</si>
  <si>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</si>
  <si>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</si>
  <si>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</si>
  <si>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</si>
  <si>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</si>
  <si>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</si>
  <si>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</si>
  <si>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</si>
  <si>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</si>
  <si>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</si>
  <si>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</si>
  <si>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</si>
  <si>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</si>
  <si>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</si>
  <si>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</si>
  <si>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</si>
  <si>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</si>
  <si>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</si>
  <si>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</si>
  <si>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</si>
  <si>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</si>
  <si>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</si>
  <si>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</si>
  <si>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https://www.gd.bs.ch//nm/2020-tagesbulletin-coronavirus-929-bestaetigte-faelle-im-kanton-basel-stadt-gd.html</t>
  </si>
  <si>
    <t>https://www.regierung.li/media/attachments/198-corona-kein-zusaetzlicher-fall-0418.pdf?t=637228301134424983</t>
  </si>
  <si>
    <t>https://www.gd.bs.ch//nm/2020-tagesbulletin-coronavirus-932-bestaetigte-faelle-im-kanton-basel-stadt-gd.html</t>
  </si>
  <si>
    <t>https://www.regierung.li/media/attachments/199-corona-keine-neuen-faelle-0419.pdf?t=637229165752237624</t>
  </si>
  <si>
    <t>https://www.ag.ch/media/kanton_aargau/themen_1/coronavirus_1/lagebulletins/200421_KFS_Coronavirus_Lagebulletin_37.pdf</t>
  </si>
  <si>
    <t>https://www.regierung.li/media/attachments/207-corona-keine-neuen-Faelle-0421.pdf?t=637230900737305962</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</si>
  <si>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</si>
  <si>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</si>
  <si>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</si>
  <si>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</si>
  <si>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death</t>
  </si>
  <si>
    <t>Bez</t>
  </si>
  <si>
    <t>https://www.zg.ch/behoerden/gesundheitsdirektion/statistikfachstelle/themen/gesundheit/corona</t>
  </si>
  <si>
    <t>https://www.ag.ch/media/kanton_aargau/themen_1/coronavirus_1/lagebulletins/200423_KFS_Coronavirus_Lagebulletin_39.pdf</t>
  </si>
  <si>
    <t>https://www.regierung.li/de/mitteilungen/223424/?typ=news</t>
  </si>
  <si>
    <t>https://www.gd.bs.ch//nm/2020-tagesbulletin-coronavirus-936-bestaetigte-faelle-im-kanton-basel-stadt-gd.html</t>
  </si>
  <si>
    <t>https://www.gd.bs.ch//nm/2020-tagesbulletin-coronavirus-931-bestaetigte-faelle-im-kanton-basel-stadt-gd.html</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</si>
  <si>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</si>
  <si>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</si>
  <si>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</si>
  <si>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</si>
  <si>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abbreviation_canton_and_fl</t>
  </si>
  <si>
    <t>ncumul_tested</t>
  </si>
  <si>
    <t>ncumul_conf</t>
  </si>
  <si>
    <t>ncumul_released</t>
  </si>
  <si>
    <t>ncumul_deceased</t>
  </si>
  <si>
    <t>https://www.regierung.li/de/mitteilungen/223427/?typ=news</t>
  </si>
  <si>
    <t>https://www.regierung.li/de/mitteilungen/223428/?typ=news</t>
  </si>
  <si>
    <t>ncumul_hosp</t>
  </si>
  <si>
    <t>ncumul_ICU</t>
  </si>
  <si>
    <t>(Leer)</t>
  </si>
  <si>
    <t>Summe von ncumul_released</t>
  </si>
  <si>
    <t>Summe von ncumul_deceased</t>
  </si>
  <si>
    <t>Summe von ncumul_conf</t>
  </si>
  <si>
    <t>Column1</t>
  </si>
  <si>
    <t>https://www.ag.ch/media/kanton_aargau/themen_1/coronavirus_1/lagebulletins/200427_KFS_Coronavirus_Lagebulletin_41.pdf</t>
  </si>
  <si>
    <t>https://www.gd.bs.ch//nm/2020-tagesbulletin-coronavirus-941-bestaetigte-faelle-im-kanton-basel-stadt-gd.html</t>
  </si>
  <si>
    <t>_1</t>
  </si>
  <si>
    <t>https://www.regierung.li/de/mitteilungen/223429/?typ=content&amp;nid=11076</t>
  </si>
  <si>
    <t>https://www.gd.bs.ch//nm/2020-tagesbulletin-coronavirus-943-bestaetigte-faelle-im-kanton-basel-stadt-gd.html</t>
  </si>
  <si>
    <t>New Hospitalized</t>
  </si>
  <si>
    <t>new hospitalized</t>
  </si>
  <si>
    <t>https://www.ag.ch/media/kanton_aargau/themen_1/coronavirus_1/lagebulletins/200429_KFS_Coronavirus_Lagebulletin_43.pdf</t>
  </si>
  <si>
    <t>https://www.gd.bs.ch//nm/2020-tagesbulletin-coronavirus-946-bestaetigte-faelle-im-kanton-basel-stadt-gd.html</t>
  </si>
  <si>
    <t>https://www.regierung.li/de/mitteilungen/223435/?typ=content&amp;nid=11076</t>
  </si>
  <si>
    <t>https://www.ag.ch/media/kanton_aargau/themen_1/coronavirus_1/lagebulletins/200428_KFS_Coronavirus_Lagebulletin_42.pdf</t>
  </si>
  <si>
    <t>https://www.regierung.li/media/attachments/228-corona-information-lockerungen-0429.pdf?t=637237803125206694</t>
  </si>
  <si>
    <t>https://www.gd.bs.ch//nm/2020-tagesbulletin-coronavirus-951-bestaetigte-faelle-im-kanton-basel-stadt-gd.html</t>
  </si>
  <si>
    <t>Summe von ncumul_ICU</t>
  </si>
  <si>
    <t>Intensive care</t>
  </si>
  <si>
    <t>ICU</t>
  </si>
  <si>
    <t>icu</t>
  </si>
  <si>
    <t>https://www.ag.ch/media/kanton_aargau/themen_1/coronavirus_1/lagebulletins/200430_KFS_Coronavirus_Lagebulletin_44.pdf</t>
  </si>
  <si>
    <t>https://www.ge.ch/document/20094/telecharger</t>
  </si>
  <si>
    <t>https://www.regierung.li/media/attachments/229-corona-massnahmen-0430.pdf?t=637238673125266621</t>
  </si>
  <si>
    <t>Endend</t>
  </si>
  <si>
    <t>Alter</t>
  </si>
  <si>
    <t>Woche</t>
  </si>
  <si>
    <t>untGrenze</t>
  </si>
  <si>
    <t>Erwartung</t>
  </si>
  <si>
    <t>obeGrenze</t>
  </si>
  <si>
    <t>hochrechnung</t>
  </si>
  <si>
    <t>0-64</t>
  </si>
  <si>
    <t>65+</t>
  </si>
  <si>
    <t>01</t>
  </si>
  <si>
    <t>47.40966</t>
  </si>
  <si>
    <t>8.15688</t>
  </si>
  <si>
    <t>0</t>
  </si>
  <si>
    <t>8</t>
  </si>
  <si>
    <t>16</t>
  </si>
  <si>
    <t>47.317264</t>
  </si>
  <si>
    <t>9.416754</t>
  </si>
  <si>
    <t>25</t>
  </si>
  <si>
    <t>1</t>
  </si>
  <si>
    <t>155.28</t>
  </si>
  <si>
    <t>0.0</t>
  </si>
  <si>
    <t>15</t>
  </si>
  <si>
    <t>47.416351999999996</t>
  </si>
  <si>
    <t>9.36791</t>
  </si>
  <si>
    <t>2</t>
  </si>
  <si>
    <t>5.435</t>
  </si>
  <si>
    <t>3</t>
  </si>
  <si>
    <t>02</t>
  </si>
  <si>
    <t>46.823608</t>
  </si>
  <si>
    <t>7.636667</t>
  </si>
  <si>
    <t>85</t>
  </si>
  <si>
    <t>13</t>
  </si>
  <si>
    <t>47.45176</t>
  </si>
  <si>
    <t>7.702414</t>
  </si>
  <si>
    <t>-3</t>
  </si>
  <si>
    <t>30</t>
  </si>
  <si>
    <t>12</t>
  </si>
  <si>
    <t>47.564869</t>
  </si>
  <si>
    <t>7.615259</t>
  </si>
  <si>
    <t>235</t>
  </si>
  <si>
    <t>-2</t>
  </si>
  <si>
    <t>24</t>
  </si>
  <si>
    <t>25.786</t>
  </si>
  <si>
    <t>5</t>
  </si>
  <si>
    <t>00</t>
  </si>
  <si>
    <t>47.166667</t>
  </si>
  <si>
    <t>9.509722</t>
  </si>
  <si>
    <t>900</t>
  </si>
  <si>
    <t>82</t>
  </si>
  <si>
    <t>212.44</t>
  </si>
  <si>
    <t>2.591</t>
  </si>
  <si>
    <t>10</t>
  </si>
  <si>
    <t>46.718391</t>
  </si>
  <si>
    <t>7.074008</t>
  </si>
  <si>
    <t>6</t>
  </si>
  <si>
    <t>46.220528</t>
  </si>
  <si>
    <t>6.132935</t>
  </si>
  <si>
    <t>21</t>
  </si>
  <si>
    <t>08</t>
  </si>
  <si>
    <t>46.931042000000005</t>
  </si>
  <si>
    <t>9.065751</t>
  </si>
  <si>
    <t>-1</t>
  </si>
  <si>
    <t>46.656248</t>
  </si>
  <si>
    <t>9.628198</t>
  </si>
  <si>
    <t>23</t>
  </si>
  <si>
    <t>22.739</t>
  </si>
  <si>
    <t>26</t>
  </si>
  <si>
    <t>47.350744</t>
  </si>
  <si>
    <t>7.156107</t>
  </si>
  <si>
    <t>9.55</t>
  </si>
  <si>
    <t>7</t>
  </si>
  <si>
    <t>03</t>
  </si>
  <si>
    <t>47.067763</t>
  </si>
  <si>
    <t>8.1102</t>
  </si>
  <si>
    <t>17</t>
  </si>
  <si>
    <t>46.995534</t>
  </si>
  <si>
    <t>6.780126</t>
  </si>
  <si>
    <t>4</t>
  </si>
  <si>
    <t>07</t>
  </si>
  <si>
    <t>46.926755</t>
  </si>
  <si>
    <t>8.405302</t>
  </si>
  <si>
    <t>6.977</t>
  </si>
  <si>
    <t>06</t>
  </si>
  <si>
    <t>46.804527</t>
  </si>
  <si>
    <t>8.144317000000001</t>
  </si>
  <si>
    <t>47.1832</t>
  </si>
  <si>
    <t>9.274744</t>
  </si>
  <si>
    <t>6.539</t>
  </si>
  <si>
    <t>14</t>
  </si>
  <si>
    <t>47.71357</t>
  </si>
  <si>
    <t>8.59167</t>
  </si>
  <si>
    <t>7.371</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</si>
  <si>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</si>
  <si>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</si>
  <si>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</si>
  <si>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</si>
  <si>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</si>
  <si>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</si>
  <si>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</si>
  <si>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</si>
  <si>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</si>
  <si>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</si>
  <si>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</si>
  <si>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</si>
  <si>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</si>
  <si>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</si>
  <si>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</si>
  <si>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</si>
  <si>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</si>
  <si>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</si>
  <si>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</si>
  <si>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</si>
  <si>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</si>
  <si>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09</t>
  </si>
  <si>
    <t>47.157296</t>
  </si>
  <si>
    <t>8.537294</t>
  </si>
  <si>
    <t>6.38</t>
  </si>
  <si>
    <t>47.41275</t>
  </si>
  <si>
    <t>8.65508</t>
  </si>
  <si>
    <t>113</t>
  </si>
  <si>
    <t>262.79</t>
  </si>
  <si>
    <t xml:space="preserve"> </t>
  </si>
  <si>
    <t>Untere Grenze</t>
  </si>
  <si>
    <t>Erwartungen</t>
  </si>
  <si>
    <t>Obere Grenze</t>
  </si>
  <si>
    <t>Hochrechnungen</t>
  </si>
  <si>
    <t>KJ</t>
  </si>
  <si>
    <t>Kalenderwoche</t>
  </si>
  <si>
    <t>Anzahl_Todesfalle</t>
  </si>
  <si>
    <t>Exzess</t>
  </si>
  <si>
    <t>Todesfalle</t>
  </si>
  <si>
    <t>Gesamt: Todesfalle</t>
  </si>
  <si>
    <t>Gesamt: Erwartungen</t>
  </si>
  <si>
    <t>34</t>
  </si>
  <si>
    <t>https://www.ag.ch/media/kanton_aargau/themen_1/coronavirus_1/lagebulletins/200501_KFS_Coronavirus_Lagebulletin_45.pdf</t>
  </si>
  <si>
    <t>https://www.regierung.li/media/attachments/230-corona-immer-noch-82-0501.pdf?t=637239528964359340</t>
  </si>
  <si>
    <t>https://www4.ti.ch/fileadmin/DSS/DSP/UMC/malattie_infettive/Coronavirus/dati/COVID19_Dati_TI_per_github.xlsx</t>
  </si>
  <si>
    <t>8.729</t>
  </si>
  <si>
    <t>53</t>
  </si>
  <si>
    <t>https://www.regierung.li/media/attachments/231-corona-samstag-keine-neuen-faelle-0502.pdf?t=637240398540917983</t>
  </si>
  <si>
    <t>https://www.gr.ch/DE/institutionen/verwaltung/djsg/ga/coronavirus/_layouts/15/GenericDataFeed/feed.aspx?PageID=26&amp;ID=g_1175d522_e609_4287_93af_d14c9efd5218&amp;FORMAT=JSONRAW</t>
  </si>
  <si>
    <t>4.428</t>
  </si>
  <si>
    <t>60.633871</t>
  </si>
  <si>
    <t>97</t>
  </si>
  <si>
    <t>175.72</t>
  </si>
  <si>
    <t>https://www.regierung.li/de/mitteilungen/223445/?typ=news</t>
  </si>
  <si>
    <t>305</t>
  </si>
  <si>
    <t>193.9</t>
  </si>
  <si>
    <t>https://www.gd.bs.ch//nm/2020-tagesbulletin-coronavirus-958-bestaetigte-faelle-im-kanton-basel-stadt-gd.html</t>
  </si>
  <si>
    <t>29.777</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</si>
  <si>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</si>
  <si>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</si>
  <si>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</si>
  <si>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</si>
  <si>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</si>
  <si>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</si>
  <si>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</si>
  <si>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</si>
  <si>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</si>
  <si>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</si>
  <si>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</si>
  <si>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</si>
  <si>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</si>
  <si>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</si>
  <si>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</si>
  <si>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</si>
  <si>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</si>
  <si>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</si>
  <si>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</si>
  <si>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</si>
  <si>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</si>
  <si>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</si>
  <si>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</si>
  <si>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</si>
  <si>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</si>
  <si>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</si>
  <si>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</si>
  <si>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</si>
  <si>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</si>
  <si>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</si>
  <si>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</si>
  <si>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</si>
  <si>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</si>
  <si>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</si>
  <si>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</si>
  <si>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</si>
  <si>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</si>
  <si>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</si>
  <si>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</si>
  <si>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</si>
  <si>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</si>
  <si>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</si>
  <si>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</si>
  <si>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</si>
  <si>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</si>
  <si>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</si>
  <si>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</si>
  <si>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</si>
  <si>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13. Apr</t>
  </si>
  <si>
    <t>14. Apr</t>
  </si>
  <si>
    <t>15. Apr</t>
  </si>
  <si>
    <t>16. Apr</t>
  </si>
  <si>
    <t>17. Apr</t>
  </si>
  <si>
    <t>18. Apr</t>
  </si>
  <si>
    <t>19. Apr</t>
  </si>
  <si>
    <t>20. Apr</t>
  </si>
  <si>
    <t>21. Apr</t>
  </si>
  <si>
    <t>22. Apr</t>
  </si>
  <si>
    <t>23. Apr</t>
  </si>
  <si>
    <t>24. Apr</t>
  </si>
  <si>
    <t>25. Apr</t>
  </si>
  <si>
    <t>26. Apr</t>
  </si>
  <si>
    <t>27. Apr</t>
  </si>
  <si>
    <t>28. Apr</t>
  </si>
  <si>
    <t>29. Apr</t>
  </si>
  <si>
    <t>30. Apr</t>
  </si>
  <si>
    <t>01. Mai</t>
  </si>
  <si>
    <t>02. Mai</t>
  </si>
  <si>
    <t>03. Mai</t>
  </si>
  <si>
    <t>04. Mai</t>
  </si>
  <si>
    <t>91</t>
  </si>
  <si>
    <t>250.69</t>
  </si>
  <si>
    <t>https://www.ag.ch/media/kanton_aargau/themen_1/coronavirus_1/lagebulletins/200504_KFS_Coronavirus_Lagebulletin_46.pdf</t>
  </si>
  <si>
    <t>5.365</t>
  </si>
  <si>
    <t>39.830836</t>
  </si>
  <si>
    <t>42.697</t>
  </si>
  <si>
    <t>79</t>
  </si>
  <si>
    <t>210.11</t>
  </si>
  <si>
    <t>https://www.gd.bs.ch//nm/2020-tagesbulletin-coronavirus-959-bestaetigte-faelle-im-kanton-basel-stadt-gd.html</t>
  </si>
  <si>
    <t>2020-05-05 01:00:00</t>
  </si>
  <si>
    <t>25.389</t>
  </si>
  <si>
    <t>131</t>
  </si>
  <si>
    <t>136.889256</t>
  </si>
  <si>
    <t>05. Mai</t>
  </si>
  <si>
    <t>https://www.ag.ch/media/kanton_aargau/themen_1/coronavirus_1/lagebulletins/200505_KFS_Coronavirus_Lagebulletin_47.pdf</t>
  </si>
  <si>
    <t>334.440522</t>
  </si>
  <si>
    <t>https://www.gd.bs.ch//nm/2020-tagesbulletin-coronavirus-962-bestaetigte-faelle-im-kanton-basel-stadt-gd.html</t>
  </si>
  <si>
    <t>https://www.regierung.li/media/attachments/238-corona-oeffnung-von-bildungseinrichtungen-0505.pdf?t=637243077631918468</t>
  </si>
  <si>
    <t>https://www.gl.ch/public/upload/assets/28096/COVID-19_Fallzahlen_Kanton_Glarus.xlsx</t>
  </si>
  <si>
    <t>689</t>
  </si>
  <si>
    <t>-4</t>
  </si>
  <si>
    <t>387.08</t>
  </si>
  <si>
    <t>272.056589</t>
  </si>
  <si>
    <t>2020-05-06 01:00:00</t>
  </si>
  <si>
    <t>14.622</t>
  </si>
  <si>
    <t>38.096825</t>
  </si>
  <si>
    <t>20</t>
  </si>
  <si>
    <t>19.284</t>
  </si>
  <si>
    <t>74</t>
  </si>
  <si>
    <t>https://www.vs.ch/de/web/coronavirus</t>
  </si>
  <si>
    <t>8.243</t>
  </si>
  <si>
    <t>428.016045</t>
  </si>
  <si>
    <t>06. Mai</t>
  </si>
  <si>
    <t>https://www.fr.ch/sites/default/files/2020-05/statistiques_situation_FR_0605.xlsx</t>
  </si>
  <si>
    <t>1107</t>
  </si>
  <si>
    <t>351.32</t>
  </si>
  <si>
    <t>130.55497</t>
  </si>
  <si>
    <t>709</t>
  </si>
  <si>
    <t>174.42</t>
  </si>
  <si>
    <t>407.799137</t>
  </si>
  <si>
    <t>374</t>
  </si>
  <si>
    <t>136.6</t>
  </si>
  <si>
    <t>183.430994</t>
  </si>
  <si>
    <t>2020-05-06 11:00:00</t>
  </si>
  <si>
    <t>125</t>
  </si>
  <si>
    <t>310.17</t>
  </si>
  <si>
    <t>142.665779</t>
  </si>
  <si>
    <t>-5</t>
  </si>
  <si>
    <t>32</t>
  </si>
  <si>
    <t>2020-05-06 06:00:00</t>
  </si>
  <si>
    <t>3245</t>
  </si>
  <si>
    <t>-8</t>
  </si>
  <si>
    <t>109</t>
  </si>
  <si>
    <t>917.44</t>
  </si>
  <si>
    <t>93.582</t>
  </si>
  <si>
    <t>802</t>
  </si>
  <si>
    <t>414.79483</t>
  </si>
  <si>
    <t>125.721235</t>
  </si>
  <si>
    <t>5335</t>
  </si>
  <si>
    <t>-9</t>
  </si>
  <si>
    <t>105</t>
  </si>
  <si>
    <t>672.68</t>
  </si>
  <si>
    <t>48.922</t>
  </si>
  <si>
    <t>542.080022</t>
  </si>
  <si>
    <t>267.204492</t>
  </si>
  <si>
    <t>2020-05-06 09:00:00</t>
  </si>
  <si>
    <t>1804</t>
  </si>
  <si>
    <t>174.96</t>
  </si>
  <si>
    <t>167.239189</t>
  </si>
  <si>
    <t>76.23306</t>
  </si>
  <si>
    <t>830</t>
  </si>
  <si>
    <t>289.2</t>
  </si>
  <si>
    <t>11.498</t>
  </si>
  <si>
    <t>774</t>
  </si>
  <si>
    <t>573.577547</t>
  </si>
  <si>
    <t>112.62753</t>
  </si>
  <si>
    <t>2020-05-06 12:00:00</t>
  </si>
  <si>
    <t>77.099642</t>
  </si>
  <si>
    <t>22.482781</t>
  </si>
  <si>
    <t>2020-05-06 12:30:00</t>
  </si>
  <si>
    <t>3526</t>
  </si>
  <si>
    <t>234.39</t>
  </si>
  <si>
    <t>303.768457</t>
  </si>
  <si>
    <t>https://www.ag.ch/media/kanton_aargau/themen_1/coronavirus_1/lagebulletins/200506_KFS_Coronavirus_Lagebulletin_48.pdf</t>
  </si>
  <si>
    <t>2020-05-06 12:45:00</t>
  </si>
  <si>
    <t>1141</t>
  </si>
  <si>
    <t>170.04</t>
  </si>
  <si>
    <t>960</t>
  </si>
  <si>
    <t>134.618478</t>
  </si>
  <si>
    <t>1192.212311</t>
  </si>
  <si>
    <t>210</t>
  </si>
  <si>
    <t>1897</t>
  </si>
  <si>
    <t>49</t>
  </si>
  <si>
    <t>555.49</t>
  </si>
  <si>
    <t>42.753</t>
  </si>
  <si>
    <t>595.947362</t>
  </si>
  <si>
    <t>61.500538</t>
  </si>
  <si>
    <t>https://www.jura.ch/Htdocs/Files/v/34356.xlsx/Departements/CHA/SIC/Carrousel/Coronavirus/Cornavirus/Chiffres/donnees_06_05.xlsx?download=1</t>
  </si>
  <si>
    <t>201</t>
  </si>
  <si>
    <t>274.22</t>
  </si>
  <si>
    <t>230.467094</t>
  </si>
  <si>
    <t>https://www.regierung.li/media/attachments/246-corona-keine-neuen-faelle-0506.pdf?t=637243865310890323</t>
  </si>
  <si>
    <t>2020-05-06 10:00:00</t>
  </si>
  <si>
    <t>27239</t>
  </si>
  <si>
    <t>4958</t>
  </si>
  <si>
    <t>231</t>
  </si>
  <si>
    <t>1001.21</t>
  </si>
  <si>
    <t>51.292</t>
  </si>
  <si>
    <t>671</t>
  </si>
  <si>
    <t>11.0</t>
  </si>
  <si>
    <t>857.421895</t>
  </si>
  <si>
    <t>291.696007</t>
  </si>
  <si>
    <t>https://sh.ch/CMS/get/file/1142c079-5d62-4035-b9ea-04901bfcdfe9</t>
  </si>
  <si>
    <t>https://www.sz.ch/public/upload/assets/46502/COVID-19_Fallzahlen_Kanton_Schwyz.xlsx</t>
  </si>
  <si>
    <t>07. Mai</t>
  </si>
  <si>
    <t>2020-05-07 07:05:00</t>
  </si>
  <si>
    <t>818</t>
  </si>
  <si>
    <t>413.34</t>
  </si>
  <si>
    <t>707.008708</t>
  </si>
  <si>
    <t>2020-05-06 13:00:00</t>
  </si>
  <si>
    <t>2020-05-07 01:00:00</t>
  </si>
  <si>
    <t>795</t>
  </si>
  <si>
    <t>157.52</t>
  </si>
  <si>
    <t>181.945634</t>
  </si>
  <si>
    <t>2020-05-07 07:30:00</t>
  </si>
  <si>
    <t>76</t>
  </si>
  <si>
    <t>93.37</t>
  </si>
  <si>
    <t>261.659235</t>
  </si>
  <si>
    <t>406</t>
  </si>
  <si>
    <t>149.59</t>
  </si>
  <si>
    <t>98.763339</t>
  </si>
  <si>
    <t>2020-05-07 08:00:00</t>
  </si>
  <si>
    <t>264</t>
  </si>
  <si>
    <t>1055.315634</t>
  </si>
  <si>
    <t>https://www.gd.bs.ch//nm/2020-tagesbulletin-coronavirus-965-bestaetigte-faelle-im-kanton-basel-stadt-gd.html</t>
  </si>
  <si>
    <t>2020-05-07 09:03:26</t>
  </si>
  <si>
    <t>965</t>
  </si>
  <si>
    <t>497.68</t>
  </si>
  <si>
    <t>870</t>
  </si>
  <si>
    <t>332.707638</t>
  </si>
  <si>
    <t>2020-05-07 06:00:00</t>
  </si>
  <si>
    <t>192</t>
  </si>
  <si>
    <t>153.11</t>
  </si>
  <si>
    <t>143</t>
  </si>
  <si>
    <t>220.069682</t>
  </si>
  <si>
    <t>https://www.fr.ch/sites/default/files/2020-05/statistiques_situation_FR_0705.xlsx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</si>
</sst>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6" formatCode="0\ &quot;days&quot;"/>
    <numFmt numFmtId="167" formatCode="&quot;+&quot;\ #,##0\ &quot; new released&quot;"/>
    <numFmt numFmtId="168" formatCode="\ #,##0\ &quot; new today&quot;"/>
    <numFmt numFmtId="169" formatCode="&quot;+&quot;#,##0\ &quot; new today&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6"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4" fontId="0" fillId="0" borderId="0" xfId="0" applyNumberFormat="1" applyAlignment="1">
      <alignment horizontal="left"/>
    </xf>
    <xf numFmtId="2" fontId="0" fillId="0" borderId="0" xfId="0" applyNumberFormat="1"/>
    <xf numFmtId="167"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168" fontId="6" fillId="2" borderId="2" xfId="0" applyNumberFormat="1" applyFont="1" applyFill="1" applyBorder="1" applyAlignment="1">
      <alignment horizontal="center"/>
    </xf>
    <xf numFmtId="169" fontId="9" fillId="2" borderId="2" xfId="0" applyNumberFormat="1" applyFont="1" applyFill="1" applyBorder="1" applyAlignment="1">
      <alignment horizontal="center"/>
    </xf>
    <xf numFmtId="0" fontId="22" fillId="2" borderId="0" xfId="0" applyFont="1" applyFill="1" applyBorder="1" applyAlignment="1">
      <alignment horizontal="center" vertical="center"/>
    </xf>
  </cellXfs>
  <cellStyles count="2">
    <cellStyle name="Link" xfId="1" builtinId="8"/>
    <cellStyle name="Standard" xfId="0" builtinId="0"/>
  </cellStyles>
  <dxfs count="67">
    <dxf>
      <numFmt numFmtId="0" formatCode="General"/>
    </dxf>
    <dxf>
      <numFmt numFmtId="19" formatCode="dd/mm/yyyy"/>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2" formatCode="0.00"/>
    </dxf>
    <dxf>
      <numFmt numFmtId="2" formatCode="0.00"/>
    </dxf>
    <dxf>
      <numFmt numFmtId="1" formatCode="0"/>
    </dxf>
    <dxf>
      <numFmt numFmtId="1" formatCode="0"/>
    </dxf>
  </dxfs>
  <tableStyles count="0" defaultTableStyle="TableStyleMedium2" defaultPivotStyle="PivotStyleLight16"/>
  <colors>
    <mruColors>
      <color rgb="FF33CCFF"/>
      <color rgb="FFFF66FF"/>
      <color rgb="FF33CC33"/>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ch_latest!$I$2:$I$74</c:f>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4901</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ch_latest!$G$2:$G$74</c:f>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ch_latest!$J$2:$J$74</c:f>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1473</c:v>
                </c:pt>
                <c:pt idx="55">
                  <c:v>1515</c:v>
                </c:pt>
                <c:pt idx="56">
                  <c:v>1556</c:v>
                </c:pt>
                <c:pt idx="57">
                  <c:v>1583</c:v>
                </c:pt>
                <c:pt idx="58">
                  <c:v>1613</c:v>
                </c:pt>
                <c:pt idx="59">
                  <c:v>1642</c:v>
                </c:pt>
                <c:pt idx="60">
                  <c:v>1666</c:v>
                </c:pt>
                <c:pt idx="61">
                  <c:v>1683</c:v>
                </c:pt>
                <c:pt idx="62">
                  <c:v>1705</c:v>
                </c:pt>
                <c:pt idx="63">
                  <c:v>1730</c:v>
                </c:pt>
                <c:pt idx="64">
                  <c:v>1738</c:v>
                </c:pt>
                <c:pt idx="65">
                  <c:v>1756</c:v>
                </c:pt>
                <c:pt idx="66">
                  <c:v>1768</c:v>
                </c:pt>
                <c:pt idx="67">
                  <c:v>1780</c:v>
                </c:pt>
                <c:pt idx="68">
                  <c:v>1786</c:v>
                </c:pt>
                <c:pt idx="69">
                  <c:v>1791</c:v>
                </c:pt>
                <c:pt idx="70">
                  <c:v>1802</c:v>
                </c:pt>
                <c:pt idx="71">
                  <c:v>1806</c:v>
                </c:pt>
                <c:pt idx="72">
                  <c:v>1806</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c:ext uri="{02D57815-91ED-43cb-92C2-25804820EDAC}">
                        <c15:formulaRef>
                          <c15:sqref>ch_latest!$D$2:$D$74</c15:sqref>
                        </c15:formulaRef>
                      </c:ext>
                    </c:extLst>
                    <c:numCache>
                      <c:formatCode>0</c:formatCode>
                      <c:ptCount val="73"/>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ch_latest!$E$2:$E$74</c15:sqref>
                        </c15:formulaRef>
                      </c:ext>
                    </c:extLst>
                    <c:numCache>
                      <c:formatCode>0</c:formatCode>
                      <c:ptCount val="73"/>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2174</c:v>
                      </c:pt>
                      <c:pt idx="35">
                        <c:v>2202</c:v>
                      </c:pt>
                      <c:pt idx="36">
                        <c:v>2281</c:v>
                      </c:pt>
                      <c:pt idx="37">
                        <c:v>2345</c:v>
                      </c:pt>
                      <c:pt idx="38">
                        <c:v>2327</c:v>
                      </c:pt>
                      <c:pt idx="39">
                        <c:v>2315</c:v>
                      </c:pt>
                      <c:pt idx="40">
                        <c:v>2300</c:v>
                      </c:pt>
                      <c:pt idx="41">
                        <c:v>2305</c:v>
                      </c:pt>
                      <c:pt idx="42">
                        <c:v>2223</c:v>
                      </c:pt>
                      <c:pt idx="43">
                        <c:v>2133</c:v>
                      </c:pt>
                      <c:pt idx="44">
                        <c:v>2065</c:v>
                      </c:pt>
                      <c:pt idx="45">
                        <c:v>2005</c:v>
                      </c:pt>
                      <c:pt idx="46">
                        <c:v>1930</c:v>
                      </c:pt>
                      <c:pt idx="47">
                        <c:v>1907</c:v>
                      </c:pt>
                      <c:pt idx="48">
                        <c:v>1890</c:v>
                      </c:pt>
                      <c:pt idx="49">
                        <c:v>1850</c:v>
                      </c:pt>
                      <c:pt idx="50">
                        <c:v>1726</c:v>
                      </c:pt>
                      <c:pt idx="51">
                        <c:v>1670</c:v>
                      </c:pt>
                      <c:pt idx="52">
                        <c:v>1571</c:v>
                      </c:pt>
                      <c:pt idx="53">
                        <c:v>1520</c:v>
                      </c:pt>
                      <c:pt idx="54">
                        <c:v>1512</c:v>
                      </c:pt>
                      <c:pt idx="55">
                        <c:v>1490</c:v>
                      </c:pt>
                      <c:pt idx="56">
                        <c:v>1412</c:v>
                      </c:pt>
                      <c:pt idx="57">
                        <c:v>1348</c:v>
                      </c:pt>
                      <c:pt idx="58">
                        <c:v>1295</c:v>
                      </c:pt>
                      <c:pt idx="59">
                        <c:v>1252</c:v>
                      </c:pt>
                      <c:pt idx="60">
                        <c:v>1224</c:v>
                      </c:pt>
                      <c:pt idx="61">
                        <c:v>1203</c:v>
                      </c:pt>
                      <c:pt idx="62">
                        <c:v>1179</c:v>
                      </c:pt>
                      <c:pt idx="63">
                        <c:v>1150</c:v>
                      </c:pt>
                      <c:pt idx="64">
                        <c:v>1080</c:v>
                      </c:pt>
                      <c:pt idx="65">
                        <c:v>1001</c:v>
                      </c:pt>
                      <c:pt idx="66">
                        <c:v>949</c:v>
                      </c:pt>
                      <c:pt idx="67">
                        <c:v>902</c:v>
                      </c:pt>
                      <c:pt idx="68">
                        <c:v>899</c:v>
                      </c:pt>
                      <c:pt idx="69">
                        <c:v>875</c:v>
                      </c:pt>
                      <c:pt idx="70">
                        <c:v>846</c:v>
                      </c:pt>
                      <c:pt idx="71">
                        <c:v>823</c:v>
                      </c:pt>
                      <c:pt idx="72">
                        <c:v>820</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ch_latest!$F$2:$F$74</c15:sqref>
                        </c15:formulaRef>
                      </c:ext>
                    </c:extLst>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ch_latest!$H$2:$H$74</c15:sqref>
                        </c15:formulaRef>
                      </c:ext>
                    </c:extLst>
                    <c:numCache>
                      <c:formatCode>0</c:formatCode>
                      <c:ptCount val="73"/>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ch_latest!$K$2:$K$74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ch_latest!$L$2:$L$74</c15:sqref>
                        </c15:formulaRef>
                      </c:ext>
                    </c:extLst>
                    <c:numCache>
                      <c:formatCode>0</c:formatCode>
                      <c:ptCount val="73"/>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107</c:v>
                      </c:pt>
                      <c:pt idx="67">
                        <c:v>79</c:v>
                      </c:pt>
                      <c:pt idx="68">
                        <c:v>57</c:v>
                      </c:pt>
                      <c:pt idx="69">
                        <c:v>54</c:v>
                      </c:pt>
                      <c:pt idx="70">
                        <c:v>41</c:v>
                      </c:pt>
                      <c:pt idx="71">
                        <c:v>51</c:v>
                      </c:pt>
                      <c:pt idx="72">
                        <c:v>9</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ch_latest!$M$2:$M$74</c15:sqref>
                        </c15:formulaRef>
                      </c:ext>
                    </c:extLst>
                    <c:numCache>
                      <c:formatCode>0</c:formatCode>
                      <c:ptCount val="73"/>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29694</c:v>
                      </c:pt>
                      <c:pt idx="68">
                        <c:v>29773</c:v>
                      </c:pt>
                      <c:pt idx="69">
                        <c:v>29830</c:v>
                      </c:pt>
                      <c:pt idx="70">
                        <c:v>29884</c:v>
                      </c:pt>
                      <c:pt idx="71">
                        <c:v>29925</c:v>
                      </c:pt>
                      <c:pt idx="72">
                        <c:v>29976</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ch_latest!$N$2:$N$74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ch_latest!$O$2:$O$74</c15:sqref>
                        </c15:formulaRef>
                      </c:ext>
                    </c:extLst>
                    <c:numCache>
                      <c:formatCode>0</c:formatCode>
                      <c:ptCount val="73"/>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24</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6</c:v>
                      </c:pt>
                      <c:pt idx="69">
                        <c:v>5</c:v>
                      </c:pt>
                      <c:pt idx="70">
                        <c:v>11</c:v>
                      </c:pt>
                      <c:pt idx="71">
                        <c:v>4</c:v>
                      </c:pt>
                      <c:pt idx="72">
                        <c:v>0</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ch_latest!$P$2:$P$74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1473</c:v>
                      </c:pt>
                      <c:pt idx="56">
                        <c:v>1515</c:v>
                      </c:pt>
                      <c:pt idx="57">
                        <c:v>1556</c:v>
                      </c:pt>
                      <c:pt idx="58">
                        <c:v>1583</c:v>
                      </c:pt>
                      <c:pt idx="59">
                        <c:v>1613</c:v>
                      </c:pt>
                      <c:pt idx="60">
                        <c:v>1642</c:v>
                      </c:pt>
                      <c:pt idx="61">
                        <c:v>1666</c:v>
                      </c:pt>
                      <c:pt idx="62">
                        <c:v>1683</c:v>
                      </c:pt>
                      <c:pt idx="63">
                        <c:v>1705</c:v>
                      </c:pt>
                      <c:pt idx="64">
                        <c:v>1730</c:v>
                      </c:pt>
                      <c:pt idx="65">
                        <c:v>1738</c:v>
                      </c:pt>
                      <c:pt idx="66">
                        <c:v>1756</c:v>
                      </c:pt>
                      <c:pt idx="67">
                        <c:v>1768</c:v>
                      </c:pt>
                      <c:pt idx="68">
                        <c:v>1780</c:v>
                      </c:pt>
                      <c:pt idx="69">
                        <c:v>1786</c:v>
                      </c:pt>
                      <c:pt idx="70">
                        <c:v>1791</c:v>
                      </c:pt>
                      <c:pt idx="71">
                        <c:v>1802</c:v>
                      </c:pt>
                      <c:pt idx="72">
                        <c:v>1806</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ch_latest!$Q$2:$Q$74</c15:sqref>
                        </c15:formulaRef>
                      </c:ext>
                    </c:extLst>
                    <c:numCache>
                      <c:formatCode>General</c:formatCode>
                      <c:ptCount val="73"/>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150.72206399999999</c:v>
                      </c:pt>
                      <c:pt idx="67">
                        <c:v>174.64662300000001</c:v>
                      </c:pt>
                      <c:pt idx="68">
                        <c:v>196.69371699999999</c:v>
                      </c:pt>
                      <c:pt idx="69">
                        <c:v>235.80887799999999</c:v>
                      </c:pt>
                      <c:pt idx="70">
                        <c:v>305.10452299999997</c:v>
                      </c:pt>
                      <c:pt idx="71">
                        <c:v>366.66475500000001</c:v>
                      </c:pt>
                      <c:pt idx="72">
                        <c:v>488.45419199999998</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ch_latest!$R$2:$R$74</c15:sqref>
                        </c15:formulaRef>
                      </c:ext>
                    </c:extLst>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22.302595</c:v>
                      </c:pt>
                      <c:pt idx="55">
                        <c:v>24.348374</c:v>
                      </c:pt>
                      <c:pt idx="56">
                        <c:v>25.741959000000001</c:v>
                      </c:pt>
                      <c:pt idx="57">
                        <c:v>29.405031000000001</c:v>
                      </c:pt>
                      <c:pt idx="58">
                        <c:v>32.322952000000001</c:v>
                      </c:pt>
                      <c:pt idx="59">
                        <c:v>31.908777000000001</c:v>
                      </c:pt>
                      <c:pt idx="60">
                        <c:v>36.477550999999998</c:v>
                      </c:pt>
                      <c:pt idx="61">
                        <c:v>44.172297</c:v>
                      </c:pt>
                      <c:pt idx="62">
                        <c:v>46.680771</c:v>
                      </c:pt>
                      <c:pt idx="63">
                        <c:v>49.492406000000003</c:v>
                      </c:pt>
                      <c:pt idx="64">
                        <c:v>60.994982999999998</c:v>
                      </c:pt>
                      <c:pt idx="65">
                        <c:v>65.872296000000006</c:v>
                      </c:pt>
                      <c:pt idx="66">
                        <c:v>70.340209000000002</c:v>
                      </c:pt>
                      <c:pt idx="67">
                        <c:v>80.508165000000005</c:v>
                      </c:pt>
                      <c:pt idx="68">
                        <c:v>108.79015200000001</c:v>
                      </c:pt>
                      <c:pt idx="69">
                        <c:v>115.374174</c:v>
                      </c:pt>
                      <c:pt idx="70">
                        <c:v>134.02610100000001</c:v>
                      </c:pt>
                      <c:pt idx="71">
                        <c:v>162.974649</c:v>
                      </c:pt>
                      <c:pt idx="72">
                        <c:v>238.99829199999999</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ch_latest!$E$2:$E$74</c:f>
              <c:numCache>
                <c:formatCode>0</c:formatCode>
                <c:ptCount val="73"/>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2174</c:v>
                </c:pt>
                <c:pt idx="35">
                  <c:v>2202</c:v>
                </c:pt>
                <c:pt idx="36">
                  <c:v>2281</c:v>
                </c:pt>
                <c:pt idx="37">
                  <c:v>2345</c:v>
                </c:pt>
                <c:pt idx="38">
                  <c:v>2327</c:v>
                </c:pt>
                <c:pt idx="39">
                  <c:v>2315</c:v>
                </c:pt>
                <c:pt idx="40">
                  <c:v>2300</c:v>
                </c:pt>
                <c:pt idx="41">
                  <c:v>2305</c:v>
                </c:pt>
                <c:pt idx="42">
                  <c:v>2223</c:v>
                </c:pt>
                <c:pt idx="43">
                  <c:v>2133</c:v>
                </c:pt>
                <c:pt idx="44">
                  <c:v>2065</c:v>
                </c:pt>
                <c:pt idx="45">
                  <c:v>2005</c:v>
                </c:pt>
                <c:pt idx="46">
                  <c:v>1930</c:v>
                </c:pt>
                <c:pt idx="47">
                  <c:v>1907</c:v>
                </c:pt>
                <c:pt idx="48">
                  <c:v>1890</c:v>
                </c:pt>
                <c:pt idx="49">
                  <c:v>1850</c:v>
                </c:pt>
                <c:pt idx="50">
                  <c:v>1726</c:v>
                </c:pt>
                <c:pt idx="51">
                  <c:v>1670</c:v>
                </c:pt>
                <c:pt idx="52">
                  <c:v>1571</c:v>
                </c:pt>
                <c:pt idx="53">
                  <c:v>1520</c:v>
                </c:pt>
                <c:pt idx="54">
                  <c:v>1512</c:v>
                </c:pt>
                <c:pt idx="55">
                  <c:v>1490</c:v>
                </c:pt>
                <c:pt idx="56">
                  <c:v>1412</c:v>
                </c:pt>
                <c:pt idx="57">
                  <c:v>1348</c:v>
                </c:pt>
                <c:pt idx="58">
                  <c:v>1295</c:v>
                </c:pt>
                <c:pt idx="59">
                  <c:v>1252</c:v>
                </c:pt>
                <c:pt idx="60">
                  <c:v>1224</c:v>
                </c:pt>
                <c:pt idx="61">
                  <c:v>1203</c:v>
                </c:pt>
                <c:pt idx="62">
                  <c:v>1179</c:v>
                </c:pt>
                <c:pt idx="63">
                  <c:v>1150</c:v>
                </c:pt>
                <c:pt idx="64">
                  <c:v>1080</c:v>
                </c:pt>
                <c:pt idx="65">
                  <c:v>1001</c:v>
                </c:pt>
                <c:pt idx="66">
                  <c:v>949</c:v>
                </c:pt>
                <c:pt idx="67">
                  <c:v>902</c:v>
                </c:pt>
                <c:pt idx="68">
                  <c:v>899</c:v>
                </c:pt>
                <c:pt idx="69">
                  <c:v>875</c:v>
                </c:pt>
                <c:pt idx="70">
                  <c:v>846</c:v>
                </c:pt>
                <c:pt idx="71">
                  <c:v>823</c:v>
                </c:pt>
                <c:pt idx="72">
                  <c:v>820</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ch_latest!$A$2:$C$74</c:f>
              <c:multiLvlStrCache>
                <c:ptCount val="73"/>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pt idx="69">
                    <c:v>CH</c:v>
                  </c:pt>
                  <c:pt idx="70">
                    <c:v>CH</c:v>
                  </c:pt>
                  <c:pt idx="71">
                    <c:v>CH</c:v>
                  </c:pt>
                  <c:pt idx="72">
                    <c:v>CH</c:v>
                  </c:pt>
                </c:lvl>
                <c:lvl>
                  <c:pt idx="0">
                    <c:v>07.05.2020 09:03</c:v>
                  </c:pt>
                  <c:pt idx="1">
                    <c:v>07.05.2020 09:03</c:v>
                  </c:pt>
                  <c:pt idx="2">
                    <c:v>07.05.2020 09:03</c:v>
                  </c:pt>
                  <c:pt idx="3">
                    <c:v>07.05.2020 09:03</c:v>
                  </c:pt>
                  <c:pt idx="4">
                    <c:v>07.05.2020 09:03</c:v>
                  </c:pt>
                  <c:pt idx="5">
                    <c:v>07.05.2020 09:03</c:v>
                  </c:pt>
                  <c:pt idx="6">
                    <c:v>07.05.2020 09:03</c:v>
                  </c:pt>
                  <c:pt idx="7">
                    <c:v>07.05.2020 09:03</c:v>
                  </c:pt>
                  <c:pt idx="8">
                    <c:v>07.05.2020 09:03</c:v>
                  </c:pt>
                  <c:pt idx="9">
                    <c:v>07.05.2020 09:03</c:v>
                  </c:pt>
                  <c:pt idx="10">
                    <c:v>07.05.2020 09:03</c:v>
                  </c:pt>
                  <c:pt idx="11">
                    <c:v>07.05.2020 09:03</c:v>
                  </c:pt>
                  <c:pt idx="12">
                    <c:v>07.05.2020 09:03</c:v>
                  </c:pt>
                  <c:pt idx="13">
                    <c:v>07.05.2020 09:03</c:v>
                  </c:pt>
                  <c:pt idx="14">
                    <c:v>07.05.2020 09:03</c:v>
                  </c:pt>
                  <c:pt idx="15">
                    <c:v>07.05.2020 09:03</c:v>
                  </c:pt>
                  <c:pt idx="16">
                    <c:v>07.05.2020 09:03</c:v>
                  </c:pt>
                  <c:pt idx="17">
                    <c:v>07.05.2020 09:03</c:v>
                  </c:pt>
                  <c:pt idx="18">
                    <c:v>07.05.2020 09:03</c:v>
                  </c:pt>
                  <c:pt idx="19">
                    <c:v>07.05.2020 09:03</c:v>
                  </c:pt>
                  <c:pt idx="20">
                    <c:v>07.05.2020 09:03</c:v>
                  </c:pt>
                  <c:pt idx="21">
                    <c:v>07.05.2020 09:03</c:v>
                  </c:pt>
                  <c:pt idx="22">
                    <c:v>07.05.2020 09:03</c:v>
                  </c:pt>
                  <c:pt idx="23">
                    <c:v>07.05.2020 09:03</c:v>
                  </c:pt>
                  <c:pt idx="24">
                    <c:v>07.05.2020 09:03</c:v>
                  </c:pt>
                  <c:pt idx="25">
                    <c:v>07.05.2020 09:03</c:v>
                  </c:pt>
                  <c:pt idx="26">
                    <c:v>07.05.2020 09:03</c:v>
                  </c:pt>
                  <c:pt idx="27">
                    <c:v>07.05.2020 09:03</c:v>
                  </c:pt>
                  <c:pt idx="28">
                    <c:v>07.05.2020 09:03</c:v>
                  </c:pt>
                  <c:pt idx="29">
                    <c:v>07.05.2020 09:03</c:v>
                  </c:pt>
                  <c:pt idx="30">
                    <c:v>07.05.2020 09:03</c:v>
                  </c:pt>
                  <c:pt idx="31">
                    <c:v>07.05.2020 09:03</c:v>
                  </c:pt>
                  <c:pt idx="32">
                    <c:v>07.05.2020 09:03</c:v>
                  </c:pt>
                  <c:pt idx="33">
                    <c:v>07.05.2020 09:03</c:v>
                  </c:pt>
                  <c:pt idx="34">
                    <c:v>07.05.2020 09:03</c:v>
                  </c:pt>
                  <c:pt idx="35">
                    <c:v>07.05.2020 09:03</c:v>
                  </c:pt>
                  <c:pt idx="36">
                    <c:v>07.05.2020 09:03</c:v>
                  </c:pt>
                  <c:pt idx="37">
                    <c:v>07.05.2020 09:03</c:v>
                  </c:pt>
                  <c:pt idx="38">
                    <c:v>07.05.2020 09:03</c:v>
                  </c:pt>
                  <c:pt idx="39">
                    <c:v>07.05.2020 09:03</c:v>
                  </c:pt>
                  <c:pt idx="40">
                    <c:v>07.05.2020 09:03</c:v>
                  </c:pt>
                  <c:pt idx="41">
                    <c:v>07.05.2020 09:03</c:v>
                  </c:pt>
                  <c:pt idx="42">
                    <c:v>07.05.2020 09:03</c:v>
                  </c:pt>
                  <c:pt idx="43">
                    <c:v>07.05.2020 09:03</c:v>
                  </c:pt>
                  <c:pt idx="44">
                    <c:v>07.05.2020 09:03</c:v>
                  </c:pt>
                  <c:pt idx="45">
                    <c:v>07.05.2020 09:03</c:v>
                  </c:pt>
                  <c:pt idx="46">
                    <c:v>07.05.2020 09:03</c:v>
                  </c:pt>
                  <c:pt idx="47">
                    <c:v>07.05.2020 09:03</c:v>
                  </c:pt>
                  <c:pt idx="48">
                    <c:v>07.05.2020 09:03</c:v>
                  </c:pt>
                  <c:pt idx="49">
                    <c:v>07.05.2020 09:03</c:v>
                  </c:pt>
                  <c:pt idx="50">
                    <c:v>07.05.2020 09:03</c:v>
                  </c:pt>
                  <c:pt idx="51">
                    <c:v>07.05.2020 09:03</c:v>
                  </c:pt>
                  <c:pt idx="52">
                    <c:v>07.05.2020 09:03</c:v>
                  </c:pt>
                  <c:pt idx="53">
                    <c:v>07.05.2020 09:03</c:v>
                  </c:pt>
                  <c:pt idx="54">
                    <c:v>07.05.2020 09:03</c:v>
                  </c:pt>
                  <c:pt idx="55">
                    <c:v>07.05.2020 09:03</c:v>
                  </c:pt>
                  <c:pt idx="56">
                    <c:v>07.05.2020 09:03</c:v>
                  </c:pt>
                  <c:pt idx="57">
                    <c:v>07.05.2020 09:03</c:v>
                  </c:pt>
                  <c:pt idx="58">
                    <c:v>07.05.2020 09:03</c:v>
                  </c:pt>
                  <c:pt idx="59">
                    <c:v>07.05.2020 09:03</c:v>
                  </c:pt>
                  <c:pt idx="60">
                    <c:v>07.05.2020 09:03</c:v>
                  </c:pt>
                  <c:pt idx="61">
                    <c:v>07.05.2020 09:03</c:v>
                  </c:pt>
                  <c:pt idx="62">
                    <c:v>07.05.2020 09:03</c:v>
                  </c:pt>
                  <c:pt idx="63">
                    <c:v>07.05.2020 09:03</c:v>
                  </c:pt>
                  <c:pt idx="64">
                    <c:v>07.05.2020 09:03</c:v>
                  </c:pt>
                  <c:pt idx="65">
                    <c:v>07.05.2020 09:03</c:v>
                  </c:pt>
                  <c:pt idx="66">
                    <c:v>07.05.2020 09:03</c:v>
                  </c:pt>
                  <c:pt idx="67">
                    <c:v>07.05.2020 09:03</c:v>
                  </c:pt>
                  <c:pt idx="68">
                    <c:v>07.05.2020 09:03</c:v>
                  </c:pt>
                  <c:pt idx="69">
                    <c:v>07.05.2020 09:03</c:v>
                  </c:pt>
                  <c:pt idx="70">
                    <c:v>07.05.2020 09:03</c:v>
                  </c:pt>
                  <c:pt idx="71">
                    <c:v>07.05.2020 09:03</c:v>
                  </c:pt>
                  <c:pt idx="72">
                    <c:v>07.05.2020 09:03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pt idx="69">
                    <c:v>04.05.2020</c:v>
                  </c:pt>
                  <c:pt idx="70">
                    <c:v>05.05.2020</c:v>
                  </c:pt>
                  <c:pt idx="71">
                    <c:v>06.05.2020</c:v>
                  </c:pt>
                  <c:pt idx="72">
                    <c:v>07.05.2020</c:v>
                  </c:pt>
                </c:lvl>
              </c:multiLvlStrCache>
            </c:multiLvlStrRef>
          </c:cat>
          <c:val>
            <c:numRef>
              <c:f>ch_latest!$D$2:$D$74</c:f>
              <c:numCache>
                <c:formatCode>0</c:formatCode>
                <c:ptCount val="73"/>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c:ext uri="{02D57815-91ED-43cb-92C2-25804820EDAC}">
                        <c15:formulaRef>
                          <c15:sqref>ch_latest!$F$2:$F$74</c15:sqref>
                        </c15:formulaRef>
                      </c:ext>
                    </c:extLst>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ch_latest!$G$2:$G$74</c15:sqref>
                        </c15:formulaRef>
                      </c:ext>
                    </c:extLst>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ch_latest!$H$2:$H$74</c15:sqref>
                        </c15:formulaRef>
                      </c:ext>
                    </c:extLst>
                    <c:numCache>
                      <c:formatCode>0</c:formatCode>
                      <c:ptCount val="73"/>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ch_latest!$I$2:$I$74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4901</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ch_latest!$K$2:$K$74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ch_latest!$L$2:$L$74</c15:sqref>
                        </c15:formulaRef>
                      </c:ext>
                    </c:extLst>
                    <c:numCache>
                      <c:formatCode>0</c:formatCode>
                      <c:ptCount val="73"/>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107</c:v>
                      </c:pt>
                      <c:pt idx="67">
                        <c:v>79</c:v>
                      </c:pt>
                      <c:pt idx="68">
                        <c:v>57</c:v>
                      </c:pt>
                      <c:pt idx="69">
                        <c:v>54</c:v>
                      </c:pt>
                      <c:pt idx="70">
                        <c:v>41</c:v>
                      </c:pt>
                      <c:pt idx="71">
                        <c:v>51</c:v>
                      </c:pt>
                      <c:pt idx="72">
                        <c:v>9</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ch_latest!$M$2:$M$74</c15:sqref>
                        </c15:formulaRef>
                      </c:ext>
                    </c:extLst>
                    <c:numCache>
                      <c:formatCode>0</c:formatCode>
                      <c:ptCount val="73"/>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29694</c:v>
                      </c:pt>
                      <c:pt idx="68">
                        <c:v>29773</c:v>
                      </c:pt>
                      <c:pt idx="69">
                        <c:v>29830</c:v>
                      </c:pt>
                      <c:pt idx="70">
                        <c:v>29884</c:v>
                      </c:pt>
                      <c:pt idx="71">
                        <c:v>29925</c:v>
                      </c:pt>
                      <c:pt idx="72">
                        <c:v>29976</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ch_latest!$N$2:$N$74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ch_latest!$O$2:$O$74</c15:sqref>
                        </c15:formulaRef>
                      </c:ext>
                    </c:extLst>
                    <c:numCache>
                      <c:formatCode>0</c:formatCode>
                      <c:ptCount val="73"/>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24</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6</c:v>
                      </c:pt>
                      <c:pt idx="69">
                        <c:v>5</c:v>
                      </c:pt>
                      <c:pt idx="70">
                        <c:v>11</c:v>
                      </c:pt>
                      <c:pt idx="71">
                        <c:v>4</c:v>
                      </c:pt>
                      <c:pt idx="72">
                        <c:v>0</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ch_latest!$P$2:$P$74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1473</c:v>
                      </c:pt>
                      <c:pt idx="56">
                        <c:v>1515</c:v>
                      </c:pt>
                      <c:pt idx="57">
                        <c:v>1556</c:v>
                      </c:pt>
                      <c:pt idx="58">
                        <c:v>1583</c:v>
                      </c:pt>
                      <c:pt idx="59">
                        <c:v>1613</c:v>
                      </c:pt>
                      <c:pt idx="60">
                        <c:v>1642</c:v>
                      </c:pt>
                      <c:pt idx="61">
                        <c:v>1666</c:v>
                      </c:pt>
                      <c:pt idx="62">
                        <c:v>1683</c:v>
                      </c:pt>
                      <c:pt idx="63">
                        <c:v>1705</c:v>
                      </c:pt>
                      <c:pt idx="64">
                        <c:v>1730</c:v>
                      </c:pt>
                      <c:pt idx="65">
                        <c:v>1738</c:v>
                      </c:pt>
                      <c:pt idx="66">
                        <c:v>1756</c:v>
                      </c:pt>
                      <c:pt idx="67">
                        <c:v>1768</c:v>
                      </c:pt>
                      <c:pt idx="68">
                        <c:v>1780</c:v>
                      </c:pt>
                      <c:pt idx="69">
                        <c:v>1786</c:v>
                      </c:pt>
                      <c:pt idx="70">
                        <c:v>1791</c:v>
                      </c:pt>
                      <c:pt idx="71">
                        <c:v>1802</c:v>
                      </c:pt>
                      <c:pt idx="72">
                        <c:v>1806</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ch_latest!$Q$2:$Q$74</c15:sqref>
                        </c15:formulaRef>
                      </c:ext>
                    </c:extLst>
                    <c:numCache>
                      <c:formatCode>General</c:formatCode>
                      <c:ptCount val="73"/>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150.72206399999999</c:v>
                      </c:pt>
                      <c:pt idx="67">
                        <c:v>174.64662300000001</c:v>
                      </c:pt>
                      <c:pt idx="68">
                        <c:v>196.69371699999999</c:v>
                      </c:pt>
                      <c:pt idx="69">
                        <c:v>235.80887799999999</c:v>
                      </c:pt>
                      <c:pt idx="70">
                        <c:v>305.10452299999997</c:v>
                      </c:pt>
                      <c:pt idx="71">
                        <c:v>366.66475500000001</c:v>
                      </c:pt>
                      <c:pt idx="72">
                        <c:v>488.45419199999998</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ch_latest!$R$2:$R$74</c15:sqref>
                        </c15:formulaRef>
                      </c:ext>
                    </c:extLst>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22.302595</c:v>
                      </c:pt>
                      <c:pt idx="55">
                        <c:v>24.348374</c:v>
                      </c:pt>
                      <c:pt idx="56">
                        <c:v>25.741959000000001</c:v>
                      </c:pt>
                      <c:pt idx="57">
                        <c:v>29.405031000000001</c:v>
                      </c:pt>
                      <c:pt idx="58">
                        <c:v>32.322952000000001</c:v>
                      </c:pt>
                      <c:pt idx="59">
                        <c:v>31.908777000000001</c:v>
                      </c:pt>
                      <c:pt idx="60">
                        <c:v>36.477550999999998</c:v>
                      </c:pt>
                      <c:pt idx="61">
                        <c:v>44.172297</c:v>
                      </c:pt>
                      <c:pt idx="62">
                        <c:v>46.680771</c:v>
                      </c:pt>
                      <c:pt idx="63">
                        <c:v>49.492406000000003</c:v>
                      </c:pt>
                      <c:pt idx="64">
                        <c:v>60.994982999999998</c:v>
                      </c:pt>
                      <c:pt idx="65">
                        <c:v>65.872296000000006</c:v>
                      </c:pt>
                      <c:pt idx="66">
                        <c:v>70.340209000000002</c:v>
                      </c:pt>
                      <c:pt idx="67">
                        <c:v>80.508165000000005</c:v>
                      </c:pt>
                      <c:pt idx="68">
                        <c:v>108.79015200000001</c:v>
                      </c:pt>
                      <c:pt idx="69">
                        <c:v>115.374174</c:v>
                      </c:pt>
                      <c:pt idx="70">
                        <c:v>134.02610100000001</c:v>
                      </c:pt>
                      <c:pt idx="71">
                        <c:v>162.974649</c:v>
                      </c:pt>
                      <c:pt idx="72">
                        <c:v>238.99829199999999</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ch_latest!$J$2:$J$74</c:f>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1473</c:v>
                </c:pt>
                <c:pt idx="55">
                  <c:v>1515</c:v>
                </c:pt>
                <c:pt idx="56">
                  <c:v>1556</c:v>
                </c:pt>
                <c:pt idx="57">
                  <c:v>1583</c:v>
                </c:pt>
                <c:pt idx="58">
                  <c:v>1613</c:v>
                </c:pt>
                <c:pt idx="59">
                  <c:v>1642</c:v>
                </c:pt>
                <c:pt idx="60">
                  <c:v>1666</c:v>
                </c:pt>
                <c:pt idx="61">
                  <c:v>1683</c:v>
                </c:pt>
                <c:pt idx="62">
                  <c:v>1705</c:v>
                </c:pt>
                <c:pt idx="63">
                  <c:v>1730</c:v>
                </c:pt>
                <c:pt idx="64">
                  <c:v>1738</c:v>
                </c:pt>
                <c:pt idx="65">
                  <c:v>1756</c:v>
                </c:pt>
                <c:pt idx="66">
                  <c:v>1768</c:v>
                </c:pt>
                <c:pt idx="67">
                  <c:v>1780</c:v>
                </c:pt>
                <c:pt idx="68">
                  <c:v>1786</c:v>
                </c:pt>
                <c:pt idx="69">
                  <c:v>1791</c:v>
                </c:pt>
                <c:pt idx="70">
                  <c:v>1802</c:v>
                </c:pt>
                <c:pt idx="71">
                  <c:v>1806</c:v>
                </c:pt>
                <c:pt idx="72">
                  <c:v>1806</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ch_latest!$Q$2:$Q$74</c:f>
              <c:numCache>
                <c:formatCode>General</c:formatCode>
                <c:ptCount val="73"/>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150.72206399999999</c:v>
                </c:pt>
                <c:pt idx="67">
                  <c:v>174.64662300000001</c:v>
                </c:pt>
                <c:pt idx="68">
                  <c:v>196.69371699999999</c:v>
                </c:pt>
                <c:pt idx="69">
                  <c:v>235.80887799999999</c:v>
                </c:pt>
                <c:pt idx="70">
                  <c:v>305.10452299999997</c:v>
                </c:pt>
                <c:pt idx="71">
                  <c:v>366.66475500000001</c:v>
                </c:pt>
                <c:pt idx="72">
                  <c:v>488.45419199999998</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c:ext uri="{02D57815-91ED-43cb-92C2-25804820EDAC}">
                        <c15:formulaRef>
                          <c15:sqref>ch_latest!$D$2:$D$74</c15:sqref>
                        </c15:formulaRef>
                      </c:ext>
                    </c:extLst>
                    <c:numCache>
                      <c:formatCode>0</c:formatCode>
                      <c:ptCount val="73"/>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ch_latest!$E$2:$E$74</c15:sqref>
                        </c15:formulaRef>
                      </c:ext>
                    </c:extLst>
                    <c:numCache>
                      <c:formatCode>0</c:formatCode>
                      <c:ptCount val="73"/>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2174</c:v>
                      </c:pt>
                      <c:pt idx="35">
                        <c:v>2202</c:v>
                      </c:pt>
                      <c:pt idx="36">
                        <c:v>2281</c:v>
                      </c:pt>
                      <c:pt idx="37">
                        <c:v>2345</c:v>
                      </c:pt>
                      <c:pt idx="38">
                        <c:v>2327</c:v>
                      </c:pt>
                      <c:pt idx="39">
                        <c:v>2315</c:v>
                      </c:pt>
                      <c:pt idx="40">
                        <c:v>2300</c:v>
                      </c:pt>
                      <c:pt idx="41">
                        <c:v>2305</c:v>
                      </c:pt>
                      <c:pt idx="42">
                        <c:v>2223</c:v>
                      </c:pt>
                      <c:pt idx="43">
                        <c:v>2133</c:v>
                      </c:pt>
                      <c:pt idx="44">
                        <c:v>2065</c:v>
                      </c:pt>
                      <c:pt idx="45">
                        <c:v>2005</c:v>
                      </c:pt>
                      <c:pt idx="46">
                        <c:v>1930</c:v>
                      </c:pt>
                      <c:pt idx="47">
                        <c:v>1907</c:v>
                      </c:pt>
                      <c:pt idx="48">
                        <c:v>1890</c:v>
                      </c:pt>
                      <c:pt idx="49">
                        <c:v>1850</c:v>
                      </c:pt>
                      <c:pt idx="50">
                        <c:v>1726</c:v>
                      </c:pt>
                      <c:pt idx="51">
                        <c:v>1670</c:v>
                      </c:pt>
                      <c:pt idx="52">
                        <c:v>1571</c:v>
                      </c:pt>
                      <c:pt idx="53">
                        <c:v>1520</c:v>
                      </c:pt>
                      <c:pt idx="54">
                        <c:v>1512</c:v>
                      </c:pt>
                      <c:pt idx="55">
                        <c:v>1490</c:v>
                      </c:pt>
                      <c:pt idx="56">
                        <c:v>1412</c:v>
                      </c:pt>
                      <c:pt idx="57">
                        <c:v>1348</c:v>
                      </c:pt>
                      <c:pt idx="58">
                        <c:v>1295</c:v>
                      </c:pt>
                      <c:pt idx="59">
                        <c:v>1252</c:v>
                      </c:pt>
                      <c:pt idx="60">
                        <c:v>1224</c:v>
                      </c:pt>
                      <c:pt idx="61">
                        <c:v>1203</c:v>
                      </c:pt>
                      <c:pt idx="62">
                        <c:v>1179</c:v>
                      </c:pt>
                      <c:pt idx="63">
                        <c:v>1150</c:v>
                      </c:pt>
                      <c:pt idx="64">
                        <c:v>1080</c:v>
                      </c:pt>
                      <c:pt idx="65">
                        <c:v>1001</c:v>
                      </c:pt>
                      <c:pt idx="66">
                        <c:v>949</c:v>
                      </c:pt>
                      <c:pt idx="67">
                        <c:v>902</c:v>
                      </c:pt>
                      <c:pt idx="68">
                        <c:v>899</c:v>
                      </c:pt>
                      <c:pt idx="69">
                        <c:v>875</c:v>
                      </c:pt>
                      <c:pt idx="70">
                        <c:v>846</c:v>
                      </c:pt>
                      <c:pt idx="71">
                        <c:v>823</c:v>
                      </c:pt>
                      <c:pt idx="72">
                        <c:v>820</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ch_latest!$F$2:$F$74</c15:sqref>
                        </c15:formulaRef>
                      </c:ext>
                    </c:extLst>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ch_latest!$G$2:$G$74</c15:sqref>
                        </c15:formulaRef>
                      </c:ext>
                    </c:extLst>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ch_latest!$H$2:$H$74</c15:sqref>
                        </c15:formulaRef>
                      </c:ext>
                    </c:extLst>
                    <c:numCache>
                      <c:formatCode>0</c:formatCode>
                      <c:ptCount val="73"/>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ch_latest!$I$2:$I$74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4901</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ch_latest!$J$2:$J$74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1473</c:v>
                      </c:pt>
                      <c:pt idx="55">
                        <c:v>1515</c:v>
                      </c:pt>
                      <c:pt idx="56">
                        <c:v>1556</c:v>
                      </c:pt>
                      <c:pt idx="57">
                        <c:v>1583</c:v>
                      </c:pt>
                      <c:pt idx="58">
                        <c:v>1613</c:v>
                      </c:pt>
                      <c:pt idx="59">
                        <c:v>1642</c:v>
                      </c:pt>
                      <c:pt idx="60">
                        <c:v>1666</c:v>
                      </c:pt>
                      <c:pt idx="61">
                        <c:v>1683</c:v>
                      </c:pt>
                      <c:pt idx="62">
                        <c:v>1705</c:v>
                      </c:pt>
                      <c:pt idx="63">
                        <c:v>1730</c:v>
                      </c:pt>
                      <c:pt idx="64">
                        <c:v>1738</c:v>
                      </c:pt>
                      <c:pt idx="65">
                        <c:v>1756</c:v>
                      </c:pt>
                      <c:pt idx="66">
                        <c:v>1768</c:v>
                      </c:pt>
                      <c:pt idx="67">
                        <c:v>1780</c:v>
                      </c:pt>
                      <c:pt idx="68">
                        <c:v>1786</c:v>
                      </c:pt>
                      <c:pt idx="69">
                        <c:v>1791</c:v>
                      </c:pt>
                      <c:pt idx="70">
                        <c:v>1802</c:v>
                      </c:pt>
                      <c:pt idx="71">
                        <c:v>1806</c:v>
                      </c:pt>
                      <c:pt idx="72">
                        <c:v>1806</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ch_latest!$K$2:$K$74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ch_latest!$L$2:$L$74</c15:sqref>
                        </c15:formulaRef>
                      </c:ext>
                    </c:extLst>
                    <c:numCache>
                      <c:formatCode>0</c:formatCode>
                      <c:ptCount val="73"/>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107</c:v>
                      </c:pt>
                      <c:pt idx="67">
                        <c:v>79</c:v>
                      </c:pt>
                      <c:pt idx="68">
                        <c:v>57</c:v>
                      </c:pt>
                      <c:pt idx="69">
                        <c:v>54</c:v>
                      </c:pt>
                      <c:pt idx="70">
                        <c:v>41</c:v>
                      </c:pt>
                      <c:pt idx="71">
                        <c:v>51</c:v>
                      </c:pt>
                      <c:pt idx="72">
                        <c:v>9</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ch_latest!$M$2:$M$74</c15:sqref>
                        </c15:formulaRef>
                      </c:ext>
                    </c:extLst>
                    <c:numCache>
                      <c:formatCode>0</c:formatCode>
                      <c:ptCount val="73"/>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29694</c:v>
                      </c:pt>
                      <c:pt idx="68">
                        <c:v>29773</c:v>
                      </c:pt>
                      <c:pt idx="69">
                        <c:v>29830</c:v>
                      </c:pt>
                      <c:pt idx="70">
                        <c:v>29884</c:v>
                      </c:pt>
                      <c:pt idx="71">
                        <c:v>29925</c:v>
                      </c:pt>
                      <c:pt idx="72">
                        <c:v>29976</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ch_latest!$N$2:$N$74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ch_latest!$O$2:$O$74</c15:sqref>
                        </c15:formulaRef>
                      </c:ext>
                    </c:extLst>
                    <c:numCache>
                      <c:formatCode>0</c:formatCode>
                      <c:ptCount val="73"/>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24</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6</c:v>
                      </c:pt>
                      <c:pt idx="69">
                        <c:v>5</c:v>
                      </c:pt>
                      <c:pt idx="70">
                        <c:v>11</c:v>
                      </c:pt>
                      <c:pt idx="71">
                        <c:v>4</c:v>
                      </c:pt>
                      <c:pt idx="72">
                        <c:v>0</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ch_latest!$P$2:$P$74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1473</c:v>
                      </c:pt>
                      <c:pt idx="56">
                        <c:v>1515</c:v>
                      </c:pt>
                      <c:pt idx="57">
                        <c:v>1556</c:v>
                      </c:pt>
                      <c:pt idx="58">
                        <c:v>1583</c:v>
                      </c:pt>
                      <c:pt idx="59">
                        <c:v>1613</c:v>
                      </c:pt>
                      <c:pt idx="60">
                        <c:v>1642</c:v>
                      </c:pt>
                      <c:pt idx="61">
                        <c:v>1666</c:v>
                      </c:pt>
                      <c:pt idx="62">
                        <c:v>1683</c:v>
                      </c:pt>
                      <c:pt idx="63">
                        <c:v>1705</c:v>
                      </c:pt>
                      <c:pt idx="64">
                        <c:v>1730</c:v>
                      </c:pt>
                      <c:pt idx="65">
                        <c:v>1738</c:v>
                      </c:pt>
                      <c:pt idx="66">
                        <c:v>1756</c:v>
                      </c:pt>
                      <c:pt idx="67">
                        <c:v>1768</c:v>
                      </c:pt>
                      <c:pt idx="68">
                        <c:v>1780</c:v>
                      </c:pt>
                      <c:pt idx="69">
                        <c:v>1786</c:v>
                      </c:pt>
                      <c:pt idx="70">
                        <c:v>1791</c:v>
                      </c:pt>
                      <c:pt idx="71">
                        <c:v>1802</c:v>
                      </c:pt>
                      <c:pt idx="72">
                        <c:v>1806</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ch_latest!$R$2:$R$74</c15:sqref>
                        </c15:formulaRef>
                      </c:ext>
                    </c:extLst>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22.302595</c:v>
                      </c:pt>
                      <c:pt idx="55">
                        <c:v>24.348374</c:v>
                      </c:pt>
                      <c:pt idx="56">
                        <c:v>25.741959000000001</c:v>
                      </c:pt>
                      <c:pt idx="57">
                        <c:v>29.405031000000001</c:v>
                      </c:pt>
                      <c:pt idx="58">
                        <c:v>32.322952000000001</c:v>
                      </c:pt>
                      <c:pt idx="59">
                        <c:v>31.908777000000001</c:v>
                      </c:pt>
                      <c:pt idx="60">
                        <c:v>36.477550999999998</c:v>
                      </c:pt>
                      <c:pt idx="61">
                        <c:v>44.172297</c:v>
                      </c:pt>
                      <c:pt idx="62">
                        <c:v>46.680771</c:v>
                      </c:pt>
                      <c:pt idx="63">
                        <c:v>49.492406000000003</c:v>
                      </c:pt>
                      <c:pt idx="64">
                        <c:v>60.994982999999998</c:v>
                      </c:pt>
                      <c:pt idx="65">
                        <c:v>65.872296000000006</c:v>
                      </c:pt>
                      <c:pt idx="66">
                        <c:v>70.340209000000002</c:v>
                      </c:pt>
                      <c:pt idx="67">
                        <c:v>80.508165000000005</c:v>
                      </c:pt>
                      <c:pt idx="68">
                        <c:v>108.79015200000001</c:v>
                      </c:pt>
                      <c:pt idx="69">
                        <c:v>115.374174</c:v>
                      </c:pt>
                      <c:pt idx="70">
                        <c:v>134.02610100000001</c:v>
                      </c:pt>
                      <c:pt idx="71">
                        <c:v>162.974649</c:v>
                      </c:pt>
                      <c:pt idx="72">
                        <c:v>238.99829199999999</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[covid-19-ch-dashboarcovid-19-excel_v17.xlsm]pivot_sterblichkeit!PivotTable1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[covid-19-ch-dashboarcovid-19-excel_v17.xlsm]pivot_Sterblichkeit_2010-2019!PivotTable1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[covid-19-ch-dashboarcovid-19-excel_v17.xlsm]pivot_icu!PivotTable3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pivot_icu!$B$5:$B$78</c:f>
              <c:numCache>
                <c:formatCode>General</c:formatCode>
                <c:ptCount val="73"/>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numCache>
            </c:numRef>
          </c:val>
          <c:smooth val="0"/>
          <c:extLst>
            <c:ext xmlns:c16="http://schemas.microsoft.com/office/drawing/2014/chart" uri="{C3380CC4-5D6E-409C-BE32-E72D297353CC}">
              <c16:uniqueId val="{00000000-BFCC-4594-8283-3F24AE1AFB6C}"/>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pivot_icu!$C$5:$C$78</c:f>
              <c:numCache>
                <c:formatCode>General</c:formatCode>
                <c:ptCount val="73"/>
              </c:numCache>
            </c:numRef>
          </c:val>
          <c:smooth val="0"/>
          <c:extLst>
            <c:ext xmlns:c16="http://schemas.microsoft.com/office/drawing/2014/chart" uri="{C3380CC4-5D6E-409C-BE32-E72D297353CC}">
              <c16:uniqueId val="{00000001-BFCC-4594-8283-3F24AE1AFB6C}"/>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pivot_icu!$D$5:$D$78</c:f>
              <c:numCache>
                <c:formatCode>General</c:formatCode>
                <c:ptCount val="73"/>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numCache>
            </c:numRef>
          </c:val>
          <c:smooth val="0"/>
          <c:extLst>
            <c:ext xmlns:c16="http://schemas.microsoft.com/office/drawing/2014/chart" uri="{C3380CC4-5D6E-409C-BE32-E72D297353CC}">
              <c16:uniqueId val="{00000002-BFCC-4594-8283-3F24AE1AFB6C}"/>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pivot_icu!$E$5:$E$78</c:f>
              <c:numCache>
                <c:formatCode>General</c:formatCode>
                <c:ptCount val="73"/>
              </c:numCache>
            </c:numRef>
          </c:val>
          <c:smooth val="0"/>
          <c:extLst>
            <c:ext xmlns:c16="http://schemas.microsoft.com/office/drawing/2014/chart" uri="{C3380CC4-5D6E-409C-BE32-E72D297353CC}">
              <c16:uniqueId val="{00000003-BFCC-4594-8283-3F24AE1AFB6C}"/>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pivot_icu!$F$5:$F$78</c:f>
              <c:numCache>
                <c:formatCode>General</c:formatCode>
                <c:ptCount val="73"/>
                <c:pt idx="58">
                  <c:v>2</c:v>
                </c:pt>
                <c:pt idx="59">
                  <c:v>2</c:v>
                </c:pt>
                <c:pt idx="62">
                  <c:v>2</c:v>
                </c:pt>
                <c:pt idx="63">
                  <c:v>2</c:v>
                </c:pt>
                <c:pt idx="64">
                  <c:v>2</c:v>
                </c:pt>
                <c:pt idx="65">
                  <c:v>2</c:v>
                </c:pt>
                <c:pt idx="66">
                  <c:v>2</c:v>
                </c:pt>
                <c:pt idx="67">
                  <c:v>2</c:v>
                </c:pt>
                <c:pt idx="68">
                  <c:v>2</c:v>
                </c:pt>
                <c:pt idx="69">
                  <c:v>2</c:v>
                </c:pt>
                <c:pt idx="70">
                  <c:v>3</c:v>
                </c:pt>
                <c:pt idx="71">
                  <c:v>3</c:v>
                </c:pt>
                <c:pt idx="72">
                  <c:v>2</c:v>
                </c:pt>
              </c:numCache>
            </c:numRef>
          </c:val>
          <c:smooth val="0"/>
          <c:extLst>
            <c:ext xmlns:c16="http://schemas.microsoft.com/office/drawing/2014/chart" uri="{C3380CC4-5D6E-409C-BE32-E72D297353CC}">
              <c16:uniqueId val="{00000004-BFCC-4594-8283-3F24AE1AFB6C}"/>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pivot_icu!$G$5:$G$78</c:f>
              <c:numCache>
                <c:formatCode>General</c:formatCode>
                <c:ptCount val="73"/>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numCache>
            </c:numRef>
          </c:val>
          <c:smooth val="0"/>
          <c:extLst>
            <c:ext xmlns:c16="http://schemas.microsoft.com/office/drawing/2014/chart" uri="{C3380CC4-5D6E-409C-BE32-E72D297353CC}">
              <c16:uniqueId val="{00000005-BFCC-4594-8283-3F24AE1AFB6C}"/>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pivot_icu!$H$5:$H$78</c:f>
              <c:numCache>
                <c:formatCode>General</c:formatCode>
                <c:ptCount val="73"/>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numCache>
            </c:numRef>
          </c:val>
          <c:smooth val="0"/>
          <c:extLst>
            <c:ext xmlns:c16="http://schemas.microsoft.com/office/drawing/2014/chart" uri="{C3380CC4-5D6E-409C-BE32-E72D297353CC}">
              <c16:uniqueId val="{00000006-BFCC-4594-8283-3F24AE1AFB6C}"/>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pivot_icu!$I$5:$I$78</c:f>
              <c:numCache>
                <c:formatCode>General</c:formatCode>
                <c:ptCount val="73"/>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numCache>
            </c:numRef>
          </c:val>
          <c:smooth val="0"/>
          <c:extLst>
            <c:ext xmlns:c16="http://schemas.microsoft.com/office/drawing/2014/chart" uri="{C3380CC4-5D6E-409C-BE32-E72D297353CC}">
              <c16:uniqueId val="{00000007-BFCC-4594-8283-3F24AE1AFB6C}"/>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pivot_icu!$J$5:$J$78</c:f>
              <c:numCache>
                <c:formatCode>General</c:formatCode>
                <c:ptCount val="73"/>
              </c:numCache>
            </c:numRef>
          </c:val>
          <c:smooth val="0"/>
          <c:extLst>
            <c:ext xmlns:c16="http://schemas.microsoft.com/office/drawing/2014/chart" uri="{C3380CC4-5D6E-409C-BE32-E72D297353CC}">
              <c16:uniqueId val="{00000008-BFCC-4594-8283-3F24AE1AFB6C}"/>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pivot_icu!$K$5:$K$78</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BFCC-4594-8283-3F24AE1AFB6C}"/>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pivot_icu!$L$5:$L$78</c:f>
              <c:numCache>
                <c:formatCode>General</c:formatCode>
                <c:ptCount val="73"/>
              </c:numCache>
            </c:numRef>
          </c:val>
          <c:smooth val="0"/>
          <c:extLst>
            <c:ext xmlns:c16="http://schemas.microsoft.com/office/drawing/2014/chart" uri="{C3380CC4-5D6E-409C-BE32-E72D297353CC}">
              <c16:uniqueId val="{0000000A-BFCC-4594-8283-3F24AE1AFB6C}"/>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pivot_icu!$M$5:$M$78</c:f>
              <c:numCache>
                <c:formatCode>General</c:formatCode>
                <c:ptCount val="73"/>
              </c:numCache>
            </c:numRef>
          </c:val>
          <c:smooth val="0"/>
          <c:extLst>
            <c:ext xmlns:c16="http://schemas.microsoft.com/office/drawing/2014/chart" uri="{C3380CC4-5D6E-409C-BE32-E72D297353CC}">
              <c16:uniqueId val="{0000000B-BFCC-4594-8283-3F24AE1AFB6C}"/>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pivot_icu!$N$5:$N$78</c:f>
              <c:numCache>
                <c:formatCode>General</c:formatCode>
                <c:ptCount val="73"/>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numCache>
            </c:numRef>
          </c:val>
          <c:smooth val="0"/>
          <c:extLst>
            <c:ext xmlns:c16="http://schemas.microsoft.com/office/drawing/2014/chart" uri="{C3380CC4-5D6E-409C-BE32-E72D297353CC}">
              <c16:uniqueId val="{0000000C-BFCC-4594-8283-3F24AE1AFB6C}"/>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pivot_icu!$O$5:$O$78</c:f>
              <c:numCache>
                <c:formatCode>General</c:formatCode>
                <c:ptCount val="73"/>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numCache>
            </c:numRef>
          </c:val>
          <c:smooth val="0"/>
          <c:extLst>
            <c:ext xmlns:c16="http://schemas.microsoft.com/office/drawing/2014/chart" uri="{C3380CC4-5D6E-409C-BE32-E72D297353CC}">
              <c16:uniqueId val="{0000000D-BFCC-4594-8283-3F24AE1AFB6C}"/>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pivot_icu!$P$5:$P$78</c:f>
              <c:numCache>
                <c:formatCode>General</c:formatCode>
                <c:ptCount val="73"/>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numCache>
            </c:numRef>
          </c:val>
          <c:smooth val="0"/>
          <c:extLst>
            <c:ext xmlns:c16="http://schemas.microsoft.com/office/drawing/2014/chart" uri="{C3380CC4-5D6E-409C-BE32-E72D297353CC}">
              <c16:uniqueId val="{0000000E-BFCC-4594-8283-3F24AE1AFB6C}"/>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pivot_icu!$Q$5:$Q$78</c:f>
              <c:numCache>
                <c:formatCode>General</c:formatCode>
                <c:ptCount val="73"/>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numCache>
            </c:numRef>
          </c:val>
          <c:smooth val="0"/>
          <c:extLst>
            <c:ext xmlns:c16="http://schemas.microsoft.com/office/drawing/2014/chart" uri="{C3380CC4-5D6E-409C-BE32-E72D297353CC}">
              <c16:uniqueId val="{0000000F-BFCC-4594-8283-3F24AE1AFB6C}"/>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pivot_icu!$R$5:$R$78</c:f>
              <c:numCache>
                <c:formatCode>General</c:formatCode>
                <c:ptCount val="73"/>
              </c:numCache>
            </c:numRef>
          </c:val>
          <c:smooth val="0"/>
          <c:extLst>
            <c:ext xmlns:c16="http://schemas.microsoft.com/office/drawing/2014/chart" uri="{C3380CC4-5D6E-409C-BE32-E72D297353CC}">
              <c16:uniqueId val="{00000010-BFCC-4594-8283-3F24AE1AFB6C}"/>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pivot_icu!$S$5:$S$78</c:f>
              <c:numCache>
                <c:formatCode>General</c:formatCode>
                <c:ptCount val="73"/>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BFCC-4594-8283-3F24AE1AFB6C}"/>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pivot_icu!$T$5:$T$78</c:f>
              <c:numCache>
                <c:formatCode>General</c:formatCode>
                <c:ptCount val="73"/>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numCache>
            </c:numRef>
          </c:val>
          <c:smooth val="0"/>
          <c:extLst>
            <c:ext xmlns:c16="http://schemas.microsoft.com/office/drawing/2014/chart" uri="{C3380CC4-5D6E-409C-BE32-E72D297353CC}">
              <c16:uniqueId val="{00000012-BFCC-4594-8283-3F24AE1AFB6C}"/>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pivot_icu!$U$5:$U$78</c:f>
              <c:numCache>
                <c:formatCode>General</c:formatCode>
                <c:ptCount val="73"/>
              </c:numCache>
            </c:numRef>
          </c:val>
          <c:smooth val="0"/>
          <c:extLst>
            <c:ext xmlns:c16="http://schemas.microsoft.com/office/drawing/2014/chart" uri="{C3380CC4-5D6E-409C-BE32-E72D297353CC}">
              <c16:uniqueId val="{00000013-BFCC-4594-8283-3F24AE1AFB6C}"/>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pivot_icu!$V$5:$V$78</c:f>
              <c:numCache>
                <c:formatCode>General</c:formatCode>
                <c:ptCount val="73"/>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numCache>
            </c:numRef>
          </c:val>
          <c:smooth val="0"/>
          <c:extLst>
            <c:ext xmlns:c16="http://schemas.microsoft.com/office/drawing/2014/chart" uri="{C3380CC4-5D6E-409C-BE32-E72D297353CC}">
              <c16:uniqueId val="{00000014-BFCC-4594-8283-3F24AE1AFB6C}"/>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pivot_icu!$W$5:$W$78</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numCache>
            </c:numRef>
          </c:val>
          <c:smooth val="0"/>
          <c:extLst>
            <c:ext xmlns:c16="http://schemas.microsoft.com/office/drawing/2014/chart" uri="{C3380CC4-5D6E-409C-BE32-E72D297353CC}">
              <c16:uniqueId val="{00000015-BFCC-4594-8283-3F24AE1AFB6C}"/>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pivot_icu!$X$5:$X$78</c:f>
              <c:numCache>
                <c:formatCode>General</c:formatCode>
                <c:ptCount val="73"/>
              </c:numCache>
            </c:numRef>
          </c:val>
          <c:smooth val="0"/>
          <c:extLst>
            <c:ext xmlns:c16="http://schemas.microsoft.com/office/drawing/2014/chart" uri="{C3380CC4-5D6E-409C-BE32-E72D297353CC}">
              <c16:uniqueId val="{00000016-BFCC-4594-8283-3F24AE1AFB6C}"/>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pivot_icu!$Y$5:$Y$78</c:f>
              <c:numCache>
                <c:formatCode>General</c:formatCode>
                <c:ptCount val="73"/>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39</c:v>
                </c:pt>
                <c:pt idx="29">
                  <c:v>49</c:v>
                </c:pt>
                <c:pt idx="30">
                  <c:v>53</c:v>
                </c:pt>
                <c:pt idx="31">
                  <c:v>57</c:v>
                </c:pt>
                <c:pt idx="32">
                  <c:v>58</c:v>
                </c:pt>
                <c:pt idx="33">
                  <c:v>59</c:v>
                </c:pt>
                <c:pt idx="34">
                  <c:v>61</c:v>
                </c:pt>
                <c:pt idx="35">
                  <c:v>64</c:v>
                </c:pt>
                <c:pt idx="36">
                  <c:v>66</c:v>
                </c:pt>
                <c:pt idx="37">
                  <c:v>67</c:v>
                </c:pt>
                <c:pt idx="38">
                  <c:v>65</c:v>
                </c:pt>
                <c:pt idx="39">
                  <c:v>65</c:v>
                </c:pt>
                <c:pt idx="40">
                  <c:v>64</c:v>
                </c:pt>
                <c:pt idx="41">
                  <c:v>62</c:v>
                </c:pt>
                <c:pt idx="42">
                  <c:v>61</c:v>
                </c:pt>
                <c:pt idx="43">
                  <c:v>60</c:v>
                </c:pt>
                <c:pt idx="44">
                  <c:v>61</c:v>
                </c:pt>
                <c:pt idx="45">
                  <c:v>64</c:v>
                </c:pt>
                <c:pt idx="46">
                  <c:v>64</c:v>
                </c:pt>
                <c:pt idx="47">
                  <c:v>63</c:v>
                </c:pt>
                <c:pt idx="48">
                  <c:v>59</c:v>
                </c:pt>
                <c:pt idx="49">
                  <c:v>58</c:v>
                </c:pt>
                <c:pt idx="50">
                  <c:v>54</c:v>
                </c:pt>
                <c:pt idx="51">
                  <c:v>53</c:v>
                </c:pt>
                <c:pt idx="52">
                  <c:v>52</c:v>
                </c:pt>
                <c:pt idx="53">
                  <c:v>49</c:v>
                </c:pt>
                <c:pt idx="54">
                  <c:v>48</c:v>
                </c:pt>
                <c:pt idx="55">
                  <c:v>42</c:v>
                </c:pt>
                <c:pt idx="56">
                  <c:v>42</c:v>
                </c:pt>
                <c:pt idx="57">
                  <c:v>41</c:v>
                </c:pt>
                <c:pt idx="58">
                  <c:v>39</c:v>
                </c:pt>
                <c:pt idx="59">
                  <c:v>36</c:v>
                </c:pt>
                <c:pt idx="60">
                  <c:v>36</c:v>
                </c:pt>
                <c:pt idx="61">
                  <c:v>36</c:v>
                </c:pt>
                <c:pt idx="62">
                  <c:v>33</c:v>
                </c:pt>
                <c:pt idx="63">
                  <c:v>32</c:v>
                </c:pt>
                <c:pt idx="64">
                  <c:v>31</c:v>
                </c:pt>
                <c:pt idx="65">
                  <c:v>27</c:v>
                </c:pt>
                <c:pt idx="66">
                  <c:v>26</c:v>
                </c:pt>
                <c:pt idx="67">
                  <c:v>24</c:v>
                </c:pt>
                <c:pt idx="68">
                  <c:v>23</c:v>
                </c:pt>
                <c:pt idx="69">
                  <c:v>23</c:v>
                </c:pt>
                <c:pt idx="70">
                  <c:v>22</c:v>
                </c:pt>
              </c:numCache>
            </c:numRef>
          </c:val>
          <c:smooth val="0"/>
          <c:extLst>
            <c:ext xmlns:c16="http://schemas.microsoft.com/office/drawing/2014/chart" uri="{C3380CC4-5D6E-409C-BE32-E72D297353CC}">
              <c16:uniqueId val="{00000017-BFCC-4594-8283-3F24AE1AFB6C}"/>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pivot_icu!$Z$5:$Z$78</c:f>
              <c:numCache>
                <c:formatCode>General</c:formatCode>
                <c:ptCount val="73"/>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numCache>
            </c:numRef>
          </c:val>
          <c:smooth val="0"/>
          <c:extLst>
            <c:ext xmlns:c16="http://schemas.microsoft.com/office/drawing/2014/chart" uri="{C3380CC4-5D6E-409C-BE32-E72D297353CC}">
              <c16:uniqueId val="{00000018-BFCC-4594-8283-3F24AE1AFB6C}"/>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pivot_icu!$AA$5:$AA$78</c:f>
              <c:numCache>
                <c:formatCode>General</c:formatCode>
                <c:ptCount val="73"/>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numCache>
            </c:numRef>
          </c:val>
          <c:smooth val="0"/>
          <c:extLst>
            <c:ext xmlns:c16="http://schemas.microsoft.com/office/drawing/2014/chart" uri="{C3380CC4-5D6E-409C-BE32-E72D297353CC}">
              <c16:uniqueId val="{00000019-BFCC-4594-8283-3F24AE1AFB6C}"/>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pivot_icu!$AB$5:$AB$78</c:f>
              <c:numCache>
                <c:formatCode>General</c:formatCode>
                <c:ptCount val="73"/>
              </c:numCache>
            </c:numRef>
          </c:val>
          <c:smooth val="0"/>
          <c:extLst>
            <c:ext xmlns:c16="http://schemas.microsoft.com/office/drawing/2014/chart" uri="{C3380CC4-5D6E-409C-BE32-E72D297353CC}">
              <c16:uniqueId val="{0000001A-BFCC-4594-8283-3F24AE1AFB6C}"/>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20D5-4EB7-9891-8D7582C16913}"/>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20D5-4EB7-9891-8D7582C16913}"/>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[1]ch_latest!$D$1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c:ext uri="{02D57815-91ED-43cb-92C2-25804820EDAC}">
                        <c15:formulaRef>
                          <c15:sqref>[1]ch_latest!$D$2:$D$72</c15:sqref>
                        </c15:formulaRef>
                      </c:ext>
                    </c:extLst>
                    <c:numCache>
                      <c:formatCode>General</c:formatCode>
                      <c:ptCount val="71"/>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238</c:v>
                      </c:pt>
                      <c:pt idx="30">
                        <c:v>267</c:v>
                      </c:pt>
                      <c:pt idx="31">
                        <c:v>291</c:v>
                      </c:pt>
                      <c:pt idx="32">
                        <c:v>321</c:v>
                      </c:pt>
                      <c:pt idx="33">
                        <c:v>335</c:v>
                      </c:pt>
                      <c:pt idx="34">
                        <c:v>381</c:v>
                      </c:pt>
                      <c:pt idx="35">
                        <c:v>407</c:v>
                      </c:pt>
                      <c:pt idx="36">
                        <c:v>437</c:v>
                      </c:pt>
                      <c:pt idx="37">
                        <c:v>442</c:v>
                      </c:pt>
                      <c:pt idx="38">
                        <c:v>452</c:v>
                      </c:pt>
                      <c:pt idx="39">
                        <c:v>454</c:v>
                      </c:pt>
                      <c:pt idx="40">
                        <c:v>444</c:v>
                      </c:pt>
                      <c:pt idx="41">
                        <c:v>443</c:v>
                      </c:pt>
                      <c:pt idx="42">
                        <c:v>437</c:v>
                      </c:pt>
                      <c:pt idx="43">
                        <c:v>434</c:v>
                      </c:pt>
                      <c:pt idx="44">
                        <c:v>427</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133</c:v>
                      </c:pt>
                    </c:numCache>
                  </c:numRef>
                </c:val>
                <c:smooth val="0"/>
                <c:extLst>
                  <c:ext xmlns:c16="http://schemas.microsoft.com/office/drawing/2014/chart" uri="{C3380CC4-5D6E-409C-BE32-E72D297353CC}">
                    <c16:uniqueId val="{00000002-20D5-4EB7-9891-8D7582C16913}"/>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[1]ch_latest!$E$1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[1]ch_latest!$E$2:$E$72</c15:sqref>
                        </c15:formulaRef>
                      </c:ext>
                    </c:extLst>
                    <c:numCache>
                      <c:formatCode>General</c:formatCode>
                      <c:ptCount val="71"/>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1464</c:v>
                      </c:pt>
                      <c:pt idx="30">
                        <c:v>1610</c:v>
                      </c:pt>
                      <c:pt idx="31">
                        <c:v>1790</c:v>
                      </c:pt>
                      <c:pt idx="32">
                        <c:v>1877</c:v>
                      </c:pt>
                      <c:pt idx="33">
                        <c:v>1991</c:v>
                      </c:pt>
                      <c:pt idx="34">
                        <c:v>2175</c:v>
                      </c:pt>
                      <c:pt idx="35">
                        <c:v>2203</c:v>
                      </c:pt>
                      <c:pt idx="36">
                        <c:v>2282</c:v>
                      </c:pt>
                      <c:pt idx="37">
                        <c:v>2346</c:v>
                      </c:pt>
                      <c:pt idx="38">
                        <c:v>2328</c:v>
                      </c:pt>
                      <c:pt idx="39">
                        <c:v>2316</c:v>
                      </c:pt>
                      <c:pt idx="40">
                        <c:v>2301</c:v>
                      </c:pt>
                      <c:pt idx="41">
                        <c:v>2306</c:v>
                      </c:pt>
                      <c:pt idx="42">
                        <c:v>2224</c:v>
                      </c:pt>
                      <c:pt idx="43">
                        <c:v>2134</c:v>
                      </c:pt>
                      <c:pt idx="44">
                        <c:v>2066</c:v>
                      </c:pt>
                      <c:pt idx="45">
                        <c:v>2006</c:v>
                      </c:pt>
                      <c:pt idx="46">
                        <c:v>1931</c:v>
                      </c:pt>
                      <c:pt idx="47">
                        <c:v>1908</c:v>
                      </c:pt>
                      <c:pt idx="48">
                        <c:v>1891</c:v>
                      </c:pt>
                      <c:pt idx="49">
                        <c:v>1851</c:v>
                      </c:pt>
                      <c:pt idx="50">
                        <c:v>1727</c:v>
                      </c:pt>
                      <c:pt idx="51">
                        <c:v>1670</c:v>
                      </c:pt>
                      <c:pt idx="52">
                        <c:v>1571</c:v>
                      </c:pt>
                      <c:pt idx="53">
                        <c:v>1520</c:v>
                      </c:pt>
                      <c:pt idx="54">
                        <c:v>1512</c:v>
                      </c:pt>
                      <c:pt idx="55">
                        <c:v>1489</c:v>
                      </c:pt>
                      <c:pt idx="56">
                        <c:v>1411</c:v>
                      </c:pt>
                      <c:pt idx="57">
                        <c:v>1347</c:v>
                      </c:pt>
                      <c:pt idx="58">
                        <c:v>1294</c:v>
                      </c:pt>
                      <c:pt idx="59">
                        <c:v>1248</c:v>
                      </c:pt>
                      <c:pt idx="60">
                        <c:v>1219</c:v>
                      </c:pt>
                      <c:pt idx="61">
                        <c:v>1199</c:v>
                      </c:pt>
                      <c:pt idx="62">
                        <c:v>1175</c:v>
                      </c:pt>
                      <c:pt idx="63">
                        <c:v>1146</c:v>
                      </c:pt>
                      <c:pt idx="64">
                        <c:v>1077</c:v>
                      </c:pt>
                      <c:pt idx="65">
                        <c:v>998</c:v>
                      </c:pt>
                      <c:pt idx="66">
                        <c:v>949</c:v>
                      </c:pt>
                      <c:pt idx="67">
                        <c:v>902</c:v>
                      </c:pt>
                      <c:pt idx="68">
                        <c:v>900</c:v>
                      </c:pt>
                      <c:pt idx="69">
                        <c:v>880</c:v>
                      </c:pt>
                      <c:pt idx="70">
                        <c:v>881</c:v>
                      </c:pt>
                    </c:numCache>
                  </c:numRef>
                </c:val>
                <c:smooth val="0"/>
                <c:extLst xmlns:c15="http://schemas.microsoft.com/office/drawing/2012/chart">
                  <c:ext xmlns:c16="http://schemas.microsoft.com/office/drawing/2014/chart" uri="{C3380CC4-5D6E-409C-BE32-E72D297353CC}">
                    <c16:uniqueId val="{00000003-20D5-4EB7-9891-8D7582C16913}"/>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[1]ch_latest!$F$1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[1]ch_latest!$F$2:$F$72</c15:sqref>
                        </c15:formulaRef>
                      </c:ext>
                    </c:extLst>
                    <c:numCache>
                      <c:formatCode>General</c:formatCode>
                      <c:ptCount val="71"/>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28802</c:v>
                      </c:pt>
                      <c:pt idx="60">
                        <c:v>28941</c:v>
                      </c:pt>
                      <c:pt idx="61">
                        <c:v>29022</c:v>
                      </c:pt>
                      <c:pt idx="62">
                        <c:v>29191</c:v>
                      </c:pt>
                      <c:pt idx="63">
                        <c:v>29313</c:v>
                      </c:pt>
                      <c:pt idx="64">
                        <c:v>29449</c:v>
                      </c:pt>
                      <c:pt idx="65">
                        <c:v>29587</c:v>
                      </c:pt>
                      <c:pt idx="66">
                        <c:v>29693</c:v>
                      </c:pt>
                      <c:pt idx="67">
                        <c:v>29770</c:v>
                      </c:pt>
                      <c:pt idx="68">
                        <c:v>29819</c:v>
                      </c:pt>
                      <c:pt idx="69">
                        <c:v>29856</c:v>
                      </c:pt>
                      <c:pt idx="70">
                        <c:v>29865</c:v>
                      </c:pt>
                    </c:numCache>
                  </c:numRef>
                </c:val>
                <c:smooth val="0"/>
                <c:extLst xmlns:c15="http://schemas.microsoft.com/office/drawing/2012/chart">
                  <c:ext xmlns:c16="http://schemas.microsoft.com/office/drawing/2014/chart" uri="{C3380CC4-5D6E-409C-BE32-E72D297353CC}">
                    <c16:uniqueId val="{00000004-20D5-4EB7-9891-8D7582C16913}"/>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[1]ch_latest!$G$1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[1]ch_latest!$G$2:$G$72</c15:sqref>
                        </c15:formulaRef>
                      </c:ext>
                    </c:extLst>
                    <c:numCache>
                      <c:formatCode>General</c:formatCode>
                      <c:ptCount val="71"/>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28802</c:v>
                      </c:pt>
                      <c:pt idx="60">
                        <c:v>28941</c:v>
                      </c:pt>
                      <c:pt idx="61">
                        <c:v>29022</c:v>
                      </c:pt>
                      <c:pt idx="62">
                        <c:v>29191</c:v>
                      </c:pt>
                      <c:pt idx="63">
                        <c:v>29313</c:v>
                      </c:pt>
                      <c:pt idx="64">
                        <c:v>29449</c:v>
                      </c:pt>
                      <c:pt idx="65">
                        <c:v>29587</c:v>
                      </c:pt>
                      <c:pt idx="66">
                        <c:v>29693</c:v>
                      </c:pt>
                      <c:pt idx="67">
                        <c:v>29770</c:v>
                      </c:pt>
                      <c:pt idx="68">
                        <c:v>29819</c:v>
                      </c:pt>
                      <c:pt idx="69">
                        <c:v>29856</c:v>
                      </c:pt>
                      <c:pt idx="70">
                        <c:v>29865</c:v>
                      </c:pt>
                    </c:numCache>
                  </c:numRef>
                </c:val>
                <c:smooth val="0"/>
                <c:extLst xmlns:c15="http://schemas.microsoft.com/office/drawing/2012/chart">
                  <c:ext xmlns:c16="http://schemas.microsoft.com/office/drawing/2014/chart" uri="{C3380CC4-5D6E-409C-BE32-E72D297353CC}">
                    <c16:uniqueId val="{00000005-20D5-4EB7-9891-8D7582C16913}"/>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[1]ch_latest!$H$1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[1]ch_latest!$H$2:$H$72</c15:sqref>
                        </c15:formulaRef>
                      </c:ext>
                    </c:extLst>
                    <c:numCache>
                      <c:formatCode>General</c:formatCode>
                      <c:ptCount val="71"/>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13856</c:v>
                      </c:pt>
                      <c:pt idx="37">
                        <c:v>14924</c:v>
                      </c:pt>
                      <c:pt idx="38">
                        <c:v>15767</c:v>
                      </c:pt>
                      <c:pt idx="39">
                        <c:v>16339</c:v>
                      </c:pt>
                      <c:pt idx="40">
                        <c:v>16633</c:v>
                      </c:pt>
                      <c:pt idx="41">
                        <c:v>17254</c:v>
                      </c:pt>
                      <c:pt idx="42">
                        <c:v>18100</c:v>
                      </c:pt>
                      <c:pt idx="43">
                        <c:v>18871</c:v>
                      </c:pt>
                      <c:pt idx="44">
                        <c:v>19455</c:v>
                      </c:pt>
                      <c:pt idx="45">
                        <c:v>19865</c:v>
                      </c:pt>
                      <c:pt idx="46">
                        <c:v>20210</c:v>
                      </c:pt>
                      <c:pt idx="47">
                        <c:v>20384</c:v>
                      </c:pt>
                      <c:pt idx="48">
                        <c:v>20679</c:v>
                      </c:pt>
                      <c:pt idx="49">
                        <c:v>21231</c:v>
                      </c:pt>
                      <c:pt idx="50">
                        <c:v>21677</c:v>
                      </c:pt>
                      <c:pt idx="51">
                        <c:v>22322</c:v>
                      </c:pt>
                      <c:pt idx="52">
                        <c:v>22739</c:v>
                      </c:pt>
                      <c:pt idx="53">
                        <c:v>23155</c:v>
                      </c:pt>
                      <c:pt idx="54">
                        <c:v>23314</c:v>
                      </c:pt>
                      <c:pt idx="55">
                        <c:v>23691</c:v>
                      </c:pt>
                      <c:pt idx="56">
                        <c:v>24174</c:v>
                      </c:pt>
                      <c:pt idx="57">
                        <c:v>24537</c:v>
                      </c:pt>
                      <c:pt idx="58">
                        <c:v>24994</c:v>
                      </c:pt>
                      <c:pt idx="59">
                        <c:v>25369</c:v>
                      </c:pt>
                      <c:pt idx="60">
                        <c:v>25736</c:v>
                      </c:pt>
                      <c:pt idx="61">
                        <c:v>25924</c:v>
                      </c:pt>
                      <c:pt idx="62">
                        <c:v>26233</c:v>
                      </c:pt>
                      <c:pt idx="63">
                        <c:v>26634</c:v>
                      </c:pt>
                      <c:pt idx="64">
                        <c:v>27094</c:v>
                      </c:pt>
                      <c:pt idx="65">
                        <c:v>27318</c:v>
                      </c:pt>
                      <c:pt idx="66">
                        <c:v>27791</c:v>
                      </c:pt>
                      <c:pt idx="67">
                        <c:v>28072</c:v>
                      </c:pt>
                      <c:pt idx="68">
                        <c:v>28236</c:v>
                      </c:pt>
                      <c:pt idx="69">
                        <c:v>28236</c:v>
                      </c:pt>
                      <c:pt idx="70">
                        <c:v>28236</c:v>
                      </c:pt>
                    </c:numCache>
                  </c:numRef>
                </c:val>
                <c:smooth val="0"/>
                <c:extLst xmlns:c15="http://schemas.microsoft.com/office/drawing/2012/chart">
                  <c:ext xmlns:c16="http://schemas.microsoft.com/office/drawing/2014/chart" uri="{C3380CC4-5D6E-409C-BE32-E72D297353CC}">
                    <c16:uniqueId val="{00000006-20D5-4EB7-9891-8D7582C16913}"/>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[1]ch_latest!$I$1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[1]ch_latest!$I$2:$I$72</c15:sqref>
                        </c15:formulaRef>
                      </c:ext>
                    </c:extLst>
                    <c:numCache>
                      <c:formatCode>General</c:formatCode>
                      <c:ptCount val="71"/>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74</c:v>
                      </c:pt>
                      <c:pt idx="19">
                        <c:v>77</c:v>
                      </c:pt>
                      <c:pt idx="20">
                        <c:v>78</c:v>
                      </c:pt>
                      <c:pt idx="21">
                        <c:v>109</c:v>
                      </c:pt>
                      <c:pt idx="22">
                        <c:v>127</c:v>
                      </c:pt>
                      <c:pt idx="23">
                        <c:v>138</c:v>
                      </c:pt>
                      <c:pt idx="24">
                        <c:v>144</c:v>
                      </c:pt>
                      <c:pt idx="25">
                        <c:v>159</c:v>
                      </c:pt>
                      <c:pt idx="26">
                        <c:v>177</c:v>
                      </c:pt>
                      <c:pt idx="27">
                        <c:v>198</c:v>
                      </c:pt>
                      <c:pt idx="28">
                        <c:v>359</c:v>
                      </c:pt>
                      <c:pt idx="29">
                        <c:v>418</c:v>
                      </c:pt>
                      <c:pt idx="30">
                        <c:v>503</c:v>
                      </c:pt>
                      <c:pt idx="31">
                        <c:v>588</c:v>
                      </c:pt>
                      <c:pt idx="32">
                        <c:v>687</c:v>
                      </c:pt>
                      <c:pt idx="33">
                        <c:v>756</c:v>
                      </c:pt>
                      <c:pt idx="34">
                        <c:v>881</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4825</c:v>
                      </c:pt>
                      <c:pt idx="66">
                        <c:v>4904</c:v>
                      </c:pt>
                      <c:pt idx="67">
                        <c:v>4934</c:v>
                      </c:pt>
                      <c:pt idx="68">
                        <c:v>4952</c:v>
                      </c:pt>
                      <c:pt idx="69">
                        <c:v>5016</c:v>
                      </c:pt>
                      <c:pt idx="70">
                        <c:v>5019</c:v>
                      </c:pt>
                    </c:numCache>
                  </c:numRef>
                </c:val>
                <c:smooth val="0"/>
                <c:extLst xmlns:c15="http://schemas.microsoft.com/office/drawing/2012/chart">
                  <c:ext xmlns:c16="http://schemas.microsoft.com/office/drawing/2014/chart" uri="{C3380CC4-5D6E-409C-BE32-E72D297353CC}">
                    <c16:uniqueId val="{00000007-20D5-4EB7-9891-8D7582C16913}"/>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[1]ch_latest!$J$1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[1]ch_latest!$J$2:$J$72</c15:sqref>
                        </c15:formulaRef>
                      </c:ext>
                    </c:extLst>
                    <c:numCache>
                      <c:formatCode>General</c:formatCode>
                      <c:ptCount val="71"/>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46</c:v>
                      </c:pt>
                      <c:pt idx="23">
                        <c:v>55</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1678</c:v>
                      </c:pt>
                      <c:pt idx="62">
                        <c:v>1700</c:v>
                      </c:pt>
                      <c:pt idx="63">
                        <c:v>1725</c:v>
                      </c:pt>
                      <c:pt idx="64">
                        <c:v>1733</c:v>
                      </c:pt>
                      <c:pt idx="65">
                        <c:v>1751</c:v>
                      </c:pt>
                      <c:pt idx="66">
                        <c:v>1763</c:v>
                      </c:pt>
                      <c:pt idx="67">
                        <c:v>1775</c:v>
                      </c:pt>
                      <c:pt idx="68">
                        <c:v>1779</c:v>
                      </c:pt>
                      <c:pt idx="69">
                        <c:v>1786</c:v>
                      </c:pt>
                      <c:pt idx="70">
                        <c:v>1787</c:v>
                      </c:pt>
                    </c:numCache>
                  </c:numRef>
                </c:val>
                <c:smooth val="0"/>
                <c:extLst xmlns:c15="http://schemas.microsoft.com/office/drawing/2012/chart">
                  <c:ext xmlns:c16="http://schemas.microsoft.com/office/drawing/2014/chart" uri="{C3380CC4-5D6E-409C-BE32-E72D297353CC}">
                    <c16:uniqueId val="{00000008-20D5-4EB7-9891-8D7582C16913}"/>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[1]ch_latest!$K$1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[1]ch_latest!$K$2:$K$72</c15:sqref>
                        </c15:formulaRef>
                      </c:ext>
                    </c:extLst>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smooth val="0"/>
                <c:extLst xmlns:c15="http://schemas.microsoft.com/office/drawing/2012/chart">
                  <c:ext xmlns:c16="http://schemas.microsoft.com/office/drawing/2014/chart" uri="{C3380CC4-5D6E-409C-BE32-E72D297353CC}">
                    <c16:uniqueId val="{00000009-20D5-4EB7-9891-8D7582C16913}"/>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[1]ch_latest!$M$1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[1]ch_latest!$M$2:$M$72</c15:sqref>
                        </c15:formulaRef>
                      </c:ext>
                    </c:extLst>
                    <c:numCache>
                      <c:formatCode>General</c:formatCode>
                      <c:ptCount val="71"/>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28802</c:v>
                      </c:pt>
                      <c:pt idx="61">
                        <c:v>28941</c:v>
                      </c:pt>
                      <c:pt idx="62">
                        <c:v>29022</c:v>
                      </c:pt>
                      <c:pt idx="63">
                        <c:v>29191</c:v>
                      </c:pt>
                      <c:pt idx="64">
                        <c:v>29313</c:v>
                      </c:pt>
                      <c:pt idx="65">
                        <c:v>29449</c:v>
                      </c:pt>
                      <c:pt idx="66">
                        <c:v>29587</c:v>
                      </c:pt>
                      <c:pt idx="67">
                        <c:v>29693</c:v>
                      </c:pt>
                      <c:pt idx="68">
                        <c:v>29770</c:v>
                      </c:pt>
                      <c:pt idx="69">
                        <c:v>29819</c:v>
                      </c:pt>
                      <c:pt idx="70">
                        <c:v>29856</c:v>
                      </c:pt>
                    </c:numCache>
                  </c:numRef>
                </c:val>
                <c:smooth val="0"/>
                <c:extLst xmlns:c15="http://schemas.microsoft.com/office/drawing/2012/chart">
                  <c:ext xmlns:c16="http://schemas.microsoft.com/office/drawing/2014/chart" uri="{C3380CC4-5D6E-409C-BE32-E72D297353CC}">
                    <c16:uniqueId val="{0000000A-20D5-4EB7-9891-8D7582C16913}"/>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[1]ch_latest!$N$1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[1]ch_latest!$N$2:$N$72</c15:sqref>
                        </c15:formulaRef>
                      </c:ext>
                    </c:extLst>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smooth val="0"/>
                <c:extLst xmlns:c15="http://schemas.microsoft.com/office/drawing/2012/chart">
                  <c:ext xmlns:c16="http://schemas.microsoft.com/office/drawing/2014/chart" uri="{C3380CC4-5D6E-409C-BE32-E72D297353CC}">
                    <c16:uniqueId val="{0000000B-20D5-4EB7-9891-8D7582C16913}"/>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[1]ch_latest!$P$1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[1]ch_latest!$P$2:$P$72</c15:sqref>
                        </c15:formulaRef>
                      </c:ext>
                    </c:extLst>
                    <c:numCache>
                      <c:formatCode>General</c:formatCode>
                      <c:ptCount val="71"/>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46</c:v>
                      </c:pt>
                      <c:pt idx="24">
                        <c:v>55</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1678</c:v>
                      </c:pt>
                      <c:pt idx="63">
                        <c:v>1700</c:v>
                      </c:pt>
                      <c:pt idx="64">
                        <c:v>1725</c:v>
                      </c:pt>
                      <c:pt idx="65">
                        <c:v>1733</c:v>
                      </c:pt>
                      <c:pt idx="66">
                        <c:v>1751</c:v>
                      </c:pt>
                      <c:pt idx="67">
                        <c:v>1763</c:v>
                      </c:pt>
                      <c:pt idx="68">
                        <c:v>1775</c:v>
                      </c:pt>
                      <c:pt idx="69">
                        <c:v>1779</c:v>
                      </c:pt>
                      <c:pt idx="70">
                        <c:v>1786</c:v>
                      </c:pt>
                    </c:numCache>
                  </c:numRef>
                </c:val>
                <c:smooth val="0"/>
                <c:extLst xmlns:c15="http://schemas.microsoft.com/office/drawing/2012/chart">
                  <c:ext xmlns:c16="http://schemas.microsoft.com/office/drawing/2014/chart" uri="{C3380CC4-5D6E-409C-BE32-E72D297353CC}">
                    <c16:uniqueId val="{0000000C-20D5-4EB7-9891-8D7582C16913}"/>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[1]ch_latest!$Q$1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[1]ch_latest!$Q$2:$Q$72</c15:sqref>
                        </c15:formulaRef>
                      </c:ext>
                    </c:extLst>
                    <c:numCache>
                      <c:formatCode>General</c:formatCode>
                      <c:ptCount val="71"/>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2.300332</c:v>
                      </c:pt>
                      <c:pt idx="18">
                        <c:v>2.2981760000000002</c:v>
                      </c:pt>
                      <c:pt idx="19">
                        <c:v>2.6002130000000001</c:v>
                      </c:pt>
                      <c:pt idx="20">
                        <c:v>2.6192609999999998</c:v>
                      </c:pt>
                      <c:pt idx="21">
                        <c:v>2.7673760000000001</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100.53189399999999</c:v>
                      </c:pt>
                      <c:pt idx="60">
                        <c:v>107.99732</c:v>
                      </c:pt>
                      <c:pt idx="61">
                        <c:v>119.151264</c:v>
                      </c:pt>
                      <c:pt idx="62">
                        <c:v>124.719478</c:v>
                      </c:pt>
                      <c:pt idx="63">
                        <c:v>142.77095600000001</c:v>
                      </c:pt>
                      <c:pt idx="64">
                        <c:v>156.00794400000001</c:v>
                      </c:pt>
                      <c:pt idx="65">
                        <c:v>156.99253400000001</c:v>
                      </c:pt>
                      <c:pt idx="66">
                        <c:v>151.625801</c:v>
                      </c:pt>
                      <c:pt idx="67">
                        <c:v>176.45655099999999</c:v>
                      </c:pt>
                      <c:pt idx="68">
                        <c:v>202.50088299999999</c:v>
                      </c:pt>
                      <c:pt idx="69">
                        <c:v>252.49661</c:v>
                      </c:pt>
                      <c:pt idx="70">
                        <c:v>370.58170699999999</c:v>
                      </c:pt>
                    </c:numCache>
                  </c:numRef>
                </c:val>
                <c:smooth val="0"/>
                <c:extLst xmlns:c15="http://schemas.microsoft.com/office/drawing/2012/chart">
                  <c:ext xmlns:c16="http://schemas.microsoft.com/office/drawing/2014/chart" uri="{C3380CC4-5D6E-409C-BE32-E72D297353CC}">
                    <c16:uniqueId val="{0000000D-20D5-4EB7-9891-8D7582C16913}"/>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[1]ch_latest!$R$1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[1]ch_latest!$A$2:$A$72</c15:sqref>
                        </c15:formulaRef>
                      </c:ext>
                    </c:extLst>
                    <c:numCache>
                      <c:formatCode>General</c:formatCode>
                      <c:ptCount val="7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numCache>
                  </c:numRef>
                </c:cat>
                <c:val>
                  <c:numRef>
                    <c:extLst xmlns:c15="http://schemas.microsoft.com/office/drawing/2012/chart">
                      <c:ext xmlns:c15="http://schemas.microsoft.com/office/drawing/2012/chart" uri="{02D57815-91ED-43cb-92C2-25804820EDAC}">
                        <c15:formulaRef>
                          <c15:sqref>[1]ch_latest!$R$2:$R$72</c15:sqref>
                        </c15:formulaRef>
                      </c:ext>
                    </c:extLst>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2.2710409999999999</c:v>
                      </c:pt>
                      <c:pt idx="23">
                        <c:v>2.4027829999999999</c:v>
                      </c:pt>
                      <c:pt idx="24">
                        <c:v>2.6411920000000002</c:v>
                      </c:pt>
                      <c:pt idx="25">
                        <c:v>2.9277099999999998</c:v>
                      </c:pt>
                      <c:pt idx="26">
                        <c:v>3.1041910000000001</c:v>
                      </c:pt>
                      <c:pt idx="27">
                        <c:v>3.0556570000000001</c:v>
                      </c:pt>
                      <c:pt idx="28">
                        <c:v>3.154649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44.035781</c:v>
                      </c:pt>
                      <c:pt idx="62">
                        <c:v>46.538668000000001</c:v>
                      </c:pt>
                      <c:pt idx="63">
                        <c:v>49.344237</c:v>
                      </c:pt>
                      <c:pt idx="64">
                        <c:v>60.814427000000002</c:v>
                      </c:pt>
                      <c:pt idx="65">
                        <c:v>65.67971</c:v>
                      </c:pt>
                      <c:pt idx="66">
                        <c:v>70.136301000000003</c:v>
                      </c:pt>
                      <c:pt idx="67">
                        <c:v>80.277079999999998</c:v>
                      </c:pt>
                      <c:pt idx="68">
                        <c:v>112.434974</c:v>
                      </c:pt>
                      <c:pt idx="69">
                        <c:v>115.04719299999999</c:v>
                      </c:pt>
                      <c:pt idx="70">
                        <c:v>170.29653400000001</c:v>
                      </c:pt>
                    </c:numCache>
                  </c:numRef>
                </c:val>
                <c:smooth val="0"/>
                <c:extLst xmlns:c15="http://schemas.microsoft.com/office/drawing/2012/chart">
                  <c:ext xmlns:c16="http://schemas.microsoft.com/office/drawing/2014/chart" uri="{C3380CC4-5D6E-409C-BE32-E72D297353CC}">
                    <c16:uniqueId val="{0000000E-20D5-4EB7-9891-8D7582C16913}"/>
                  </c:ext>
                </c:extLst>
              </c15:ser>
            </c15:filteredLineSeries>
          </c:ext>
        </c:extLst>
      </c:lineChart>
      <c:catAx>
        <c:axId val="267841359"/>
        <c:scaling>
          <c:orientation val="minMax"/>
          <c:min val="-4387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New positive and new death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ch_latest!$L$2:$L$74</c:f>
              <c:numCache>
                <c:formatCode>0</c:formatCode>
                <c:ptCount val="73"/>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107</c:v>
                </c:pt>
                <c:pt idx="67">
                  <c:v>79</c:v>
                </c:pt>
                <c:pt idx="68">
                  <c:v>57</c:v>
                </c:pt>
                <c:pt idx="69">
                  <c:v>54</c:v>
                </c:pt>
                <c:pt idx="70">
                  <c:v>41</c:v>
                </c:pt>
                <c:pt idx="71">
                  <c:v>51</c:v>
                </c:pt>
                <c:pt idx="72">
                  <c:v>9</c:v>
                </c:pt>
              </c:numCache>
            </c:numRef>
          </c:val>
          <c:smooth val="0"/>
          <c:extLst>
            <c:ext xmlns:c16="http://schemas.microsoft.com/office/drawing/2014/chart" uri="{C3380CC4-5D6E-409C-BE32-E72D297353CC}">
              <c16:uniqueId val="{00000000-542C-41BD-8A4D-9DEE75EAA470}"/>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ch_latest!$A$2:$A$74</c:f>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f>ch_latest!$O$2:$O$74</c:f>
              <c:numCache>
                <c:formatCode>0</c:formatCode>
                <c:ptCount val="73"/>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24</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6</c:v>
                </c:pt>
                <c:pt idx="69">
                  <c:v>5</c:v>
                </c:pt>
                <c:pt idx="70">
                  <c:v>11</c:v>
                </c:pt>
                <c:pt idx="71">
                  <c:v>4</c:v>
                </c:pt>
                <c:pt idx="72">
                  <c:v>0</c:v>
                </c:pt>
              </c:numCache>
            </c:numRef>
          </c:val>
          <c:smooth val="0"/>
          <c:extLst>
            <c:ext xmlns:c16="http://schemas.microsoft.com/office/drawing/2014/chart" uri="{C3380CC4-5D6E-409C-BE32-E72D297353CC}">
              <c16:uniqueId val="{00000001-542C-41BD-8A4D-9DEE75EAA470}"/>
            </c:ext>
          </c:extLst>
        </c:ser>
        <c:dLbls>
          <c:showLegendKey val="0"/>
          <c:showVal val="0"/>
          <c:showCatName val="0"/>
          <c:showSerName val="0"/>
          <c:showPercent val="0"/>
          <c:showBubbleSize val="0"/>
        </c:dLbls>
        <c:smooth val="0"/>
        <c:axId val="237688272"/>
        <c:axId val="508992"/>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c:ext uri="{02D57815-91ED-43cb-92C2-25804820EDAC}">
                        <c15:formulaRef>
                          <c15:sqref>ch_latest!$D$2:$D$74</c15:sqref>
                        </c15:formulaRef>
                      </c:ext>
                    </c:extLst>
                    <c:numCache>
                      <c:formatCode>0</c:formatCode>
                      <c:ptCount val="73"/>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numCache>
                  </c:numRef>
                </c:val>
                <c:smooth val="0"/>
                <c:extLst>
                  <c:ext xmlns:c16="http://schemas.microsoft.com/office/drawing/2014/chart" uri="{C3380CC4-5D6E-409C-BE32-E72D297353CC}">
                    <c16:uniqueId val="{00000002-542C-41BD-8A4D-9DEE75EAA470}"/>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ch_latest!$E$2:$E$74</c15:sqref>
                        </c15:formulaRef>
                      </c:ext>
                    </c:extLst>
                    <c:numCache>
                      <c:formatCode>0</c:formatCode>
                      <c:ptCount val="73"/>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2174</c:v>
                      </c:pt>
                      <c:pt idx="35">
                        <c:v>2202</c:v>
                      </c:pt>
                      <c:pt idx="36">
                        <c:v>2281</c:v>
                      </c:pt>
                      <c:pt idx="37">
                        <c:v>2345</c:v>
                      </c:pt>
                      <c:pt idx="38">
                        <c:v>2327</c:v>
                      </c:pt>
                      <c:pt idx="39">
                        <c:v>2315</c:v>
                      </c:pt>
                      <c:pt idx="40">
                        <c:v>2300</c:v>
                      </c:pt>
                      <c:pt idx="41">
                        <c:v>2305</c:v>
                      </c:pt>
                      <c:pt idx="42">
                        <c:v>2223</c:v>
                      </c:pt>
                      <c:pt idx="43">
                        <c:v>2133</c:v>
                      </c:pt>
                      <c:pt idx="44">
                        <c:v>2065</c:v>
                      </c:pt>
                      <c:pt idx="45">
                        <c:v>2005</c:v>
                      </c:pt>
                      <c:pt idx="46">
                        <c:v>1930</c:v>
                      </c:pt>
                      <c:pt idx="47">
                        <c:v>1907</c:v>
                      </c:pt>
                      <c:pt idx="48">
                        <c:v>1890</c:v>
                      </c:pt>
                      <c:pt idx="49">
                        <c:v>1850</c:v>
                      </c:pt>
                      <c:pt idx="50">
                        <c:v>1726</c:v>
                      </c:pt>
                      <c:pt idx="51">
                        <c:v>1670</c:v>
                      </c:pt>
                      <c:pt idx="52">
                        <c:v>1571</c:v>
                      </c:pt>
                      <c:pt idx="53">
                        <c:v>1520</c:v>
                      </c:pt>
                      <c:pt idx="54">
                        <c:v>1512</c:v>
                      </c:pt>
                      <c:pt idx="55">
                        <c:v>1490</c:v>
                      </c:pt>
                      <c:pt idx="56">
                        <c:v>1412</c:v>
                      </c:pt>
                      <c:pt idx="57">
                        <c:v>1348</c:v>
                      </c:pt>
                      <c:pt idx="58">
                        <c:v>1295</c:v>
                      </c:pt>
                      <c:pt idx="59">
                        <c:v>1252</c:v>
                      </c:pt>
                      <c:pt idx="60">
                        <c:v>1224</c:v>
                      </c:pt>
                      <c:pt idx="61">
                        <c:v>1203</c:v>
                      </c:pt>
                      <c:pt idx="62">
                        <c:v>1179</c:v>
                      </c:pt>
                      <c:pt idx="63">
                        <c:v>1150</c:v>
                      </c:pt>
                      <c:pt idx="64">
                        <c:v>1080</c:v>
                      </c:pt>
                      <c:pt idx="65">
                        <c:v>1001</c:v>
                      </c:pt>
                      <c:pt idx="66">
                        <c:v>949</c:v>
                      </c:pt>
                      <c:pt idx="67">
                        <c:v>902</c:v>
                      </c:pt>
                      <c:pt idx="68">
                        <c:v>899</c:v>
                      </c:pt>
                      <c:pt idx="69">
                        <c:v>875</c:v>
                      </c:pt>
                      <c:pt idx="70">
                        <c:v>846</c:v>
                      </c:pt>
                      <c:pt idx="71">
                        <c:v>823</c:v>
                      </c:pt>
                      <c:pt idx="72">
                        <c:v>820</c:v>
                      </c:pt>
                    </c:numCache>
                  </c:numRef>
                </c:val>
                <c:smooth val="0"/>
                <c:extLst xmlns:c15="http://schemas.microsoft.com/office/drawing/2012/chart">
                  <c:ext xmlns:c16="http://schemas.microsoft.com/office/drawing/2014/chart" uri="{C3380CC4-5D6E-409C-BE32-E72D297353CC}">
                    <c16:uniqueId val="{00000003-542C-41BD-8A4D-9DEE75EAA470}"/>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ch_latest!$F$2:$F$74</c15:sqref>
                        </c15:formulaRef>
                      </c:ext>
                    </c:extLst>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smooth val="0"/>
                <c:extLst xmlns:c15="http://schemas.microsoft.com/office/drawing/2012/chart">
                  <c:ext xmlns:c16="http://schemas.microsoft.com/office/drawing/2014/chart" uri="{C3380CC4-5D6E-409C-BE32-E72D297353CC}">
                    <c16:uniqueId val="{00000004-542C-41BD-8A4D-9DEE75EAA47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ch_latest!$G$2:$G$74</c15:sqref>
                        </c15:formulaRef>
                      </c:ext>
                    </c:extLst>
                    <c:numCache>
                      <c:formatCode>0</c:formatCode>
                      <c:ptCount val="73"/>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29694</c:v>
                      </c:pt>
                      <c:pt idx="67">
                        <c:v>29773</c:v>
                      </c:pt>
                      <c:pt idx="68">
                        <c:v>29830</c:v>
                      </c:pt>
                      <c:pt idx="69">
                        <c:v>29884</c:v>
                      </c:pt>
                      <c:pt idx="70">
                        <c:v>29925</c:v>
                      </c:pt>
                      <c:pt idx="71">
                        <c:v>29976</c:v>
                      </c:pt>
                      <c:pt idx="72">
                        <c:v>29985</c:v>
                      </c:pt>
                    </c:numCache>
                  </c:numRef>
                </c:val>
                <c:smooth val="0"/>
                <c:extLst xmlns:c15="http://schemas.microsoft.com/office/drawing/2012/chart">
                  <c:ext xmlns:c16="http://schemas.microsoft.com/office/drawing/2014/chart" uri="{C3380CC4-5D6E-409C-BE32-E72D297353CC}">
                    <c16:uniqueId val="{00000005-542C-41BD-8A4D-9DEE75EAA470}"/>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ch_latest!$H$2:$H$74</c15:sqref>
                        </c15:formulaRef>
                      </c:ext>
                    </c:extLst>
                    <c:numCache>
                      <c:formatCode>0</c:formatCode>
                      <c:ptCount val="73"/>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numCache>
                  </c:numRef>
                </c:val>
                <c:smooth val="0"/>
                <c:extLst xmlns:c15="http://schemas.microsoft.com/office/drawing/2012/chart">
                  <c:ext xmlns:c16="http://schemas.microsoft.com/office/drawing/2014/chart" uri="{C3380CC4-5D6E-409C-BE32-E72D297353CC}">
                    <c16:uniqueId val="{00000006-542C-41BD-8A4D-9DEE75EAA47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ch_latest!$I$2:$I$74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4901</c:v>
                      </c:pt>
                    </c:numCache>
                  </c:numRef>
                </c:val>
                <c:smooth val="0"/>
                <c:extLst xmlns:c15="http://schemas.microsoft.com/office/drawing/2012/chart">
                  <c:ext xmlns:c16="http://schemas.microsoft.com/office/drawing/2014/chart" uri="{C3380CC4-5D6E-409C-BE32-E72D297353CC}">
                    <c16:uniqueId val="{00000007-542C-41BD-8A4D-9DEE75EAA47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ch_latest!$J$2:$J$74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1473</c:v>
                      </c:pt>
                      <c:pt idx="55">
                        <c:v>1515</c:v>
                      </c:pt>
                      <c:pt idx="56">
                        <c:v>1556</c:v>
                      </c:pt>
                      <c:pt idx="57">
                        <c:v>1583</c:v>
                      </c:pt>
                      <c:pt idx="58">
                        <c:v>1613</c:v>
                      </c:pt>
                      <c:pt idx="59">
                        <c:v>1642</c:v>
                      </c:pt>
                      <c:pt idx="60">
                        <c:v>1666</c:v>
                      </c:pt>
                      <c:pt idx="61">
                        <c:v>1683</c:v>
                      </c:pt>
                      <c:pt idx="62">
                        <c:v>1705</c:v>
                      </c:pt>
                      <c:pt idx="63">
                        <c:v>1730</c:v>
                      </c:pt>
                      <c:pt idx="64">
                        <c:v>1738</c:v>
                      </c:pt>
                      <c:pt idx="65">
                        <c:v>1756</c:v>
                      </c:pt>
                      <c:pt idx="66">
                        <c:v>1768</c:v>
                      </c:pt>
                      <c:pt idx="67">
                        <c:v>1780</c:v>
                      </c:pt>
                      <c:pt idx="68">
                        <c:v>1786</c:v>
                      </c:pt>
                      <c:pt idx="69">
                        <c:v>1791</c:v>
                      </c:pt>
                      <c:pt idx="70">
                        <c:v>1802</c:v>
                      </c:pt>
                      <c:pt idx="71">
                        <c:v>1806</c:v>
                      </c:pt>
                      <c:pt idx="72">
                        <c:v>1806</c:v>
                      </c:pt>
                    </c:numCache>
                  </c:numRef>
                </c:val>
                <c:smooth val="0"/>
                <c:extLst xmlns:c15="http://schemas.microsoft.com/office/drawing/2012/chart">
                  <c:ext xmlns:c16="http://schemas.microsoft.com/office/drawing/2014/chart" uri="{C3380CC4-5D6E-409C-BE32-E72D297353CC}">
                    <c16:uniqueId val="{00000008-542C-41BD-8A4D-9DEE75EAA470}"/>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ch_latest!$K$2:$K$74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xmlns:c15="http://schemas.microsoft.com/office/drawing/2012/chart">
                  <c:ext xmlns:c16="http://schemas.microsoft.com/office/drawing/2014/chart" uri="{C3380CC4-5D6E-409C-BE32-E72D297353CC}">
                    <c16:uniqueId val="{00000009-542C-41BD-8A4D-9DEE75EAA47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ch_latest!$M$2:$M$74</c15:sqref>
                        </c15:formulaRef>
                      </c:ext>
                    </c:extLst>
                    <c:numCache>
                      <c:formatCode>0</c:formatCode>
                      <c:ptCount val="73"/>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29694</c:v>
                      </c:pt>
                      <c:pt idx="68">
                        <c:v>29773</c:v>
                      </c:pt>
                      <c:pt idx="69">
                        <c:v>29830</c:v>
                      </c:pt>
                      <c:pt idx="70">
                        <c:v>29884</c:v>
                      </c:pt>
                      <c:pt idx="71">
                        <c:v>29925</c:v>
                      </c:pt>
                      <c:pt idx="72">
                        <c:v>29976</c:v>
                      </c:pt>
                    </c:numCache>
                  </c:numRef>
                </c:val>
                <c:smooth val="0"/>
                <c:extLst xmlns:c15="http://schemas.microsoft.com/office/drawing/2012/chart">
                  <c:ext xmlns:c16="http://schemas.microsoft.com/office/drawing/2014/chart" uri="{C3380CC4-5D6E-409C-BE32-E72D297353CC}">
                    <c16:uniqueId val="{0000000A-542C-41BD-8A4D-9DEE75EAA47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ch_latest!$N$2:$N$74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xmlns:c15="http://schemas.microsoft.com/office/drawing/2012/chart">
                  <c:ext xmlns:c16="http://schemas.microsoft.com/office/drawing/2014/chart" uri="{C3380CC4-5D6E-409C-BE32-E72D297353CC}">
                    <c16:uniqueId val="{0000000B-542C-41BD-8A4D-9DEE75EAA47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ch_latest!$P$2:$P$74</c15:sqref>
                        </c15:formulaRef>
                      </c:ext>
                    </c:extLst>
                    <c:numCache>
                      <c:formatCode>0</c:formatCode>
                      <c:ptCount val="73"/>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1473</c:v>
                      </c:pt>
                      <c:pt idx="56">
                        <c:v>1515</c:v>
                      </c:pt>
                      <c:pt idx="57">
                        <c:v>1556</c:v>
                      </c:pt>
                      <c:pt idx="58">
                        <c:v>1583</c:v>
                      </c:pt>
                      <c:pt idx="59">
                        <c:v>1613</c:v>
                      </c:pt>
                      <c:pt idx="60">
                        <c:v>1642</c:v>
                      </c:pt>
                      <c:pt idx="61">
                        <c:v>1666</c:v>
                      </c:pt>
                      <c:pt idx="62">
                        <c:v>1683</c:v>
                      </c:pt>
                      <c:pt idx="63">
                        <c:v>1705</c:v>
                      </c:pt>
                      <c:pt idx="64">
                        <c:v>1730</c:v>
                      </c:pt>
                      <c:pt idx="65">
                        <c:v>1738</c:v>
                      </c:pt>
                      <c:pt idx="66">
                        <c:v>1756</c:v>
                      </c:pt>
                      <c:pt idx="67">
                        <c:v>1768</c:v>
                      </c:pt>
                      <c:pt idx="68">
                        <c:v>1780</c:v>
                      </c:pt>
                      <c:pt idx="69">
                        <c:v>1786</c:v>
                      </c:pt>
                      <c:pt idx="70">
                        <c:v>1791</c:v>
                      </c:pt>
                      <c:pt idx="71">
                        <c:v>1802</c:v>
                      </c:pt>
                      <c:pt idx="72">
                        <c:v>1806</c:v>
                      </c:pt>
                    </c:numCache>
                  </c:numRef>
                </c:val>
                <c:smooth val="0"/>
                <c:extLst xmlns:c15="http://schemas.microsoft.com/office/drawing/2012/chart">
                  <c:ext xmlns:c16="http://schemas.microsoft.com/office/drawing/2014/chart" uri="{C3380CC4-5D6E-409C-BE32-E72D297353CC}">
                    <c16:uniqueId val="{0000000C-542C-41BD-8A4D-9DEE75EAA47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ch_latest!$Q$2:$Q$74</c15:sqref>
                        </c15:formulaRef>
                      </c:ext>
                    </c:extLst>
                    <c:numCache>
                      <c:formatCode>General</c:formatCode>
                      <c:ptCount val="73"/>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150.72206399999999</c:v>
                      </c:pt>
                      <c:pt idx="67">
                        <c:v>174.64662300000001</c:v>
                      </c:pt>
                      <c:pt idx="68">
                        <c:v>196.69371699999999</c:v>
                      </c:pt>
                      <c:pt idx="69">
                        <c:v>235.80887799999999</c:v>
                      </c:pt>
                      <c:pt idx="70">
                        <c:v>305.10452299999997</c:v>
                      </c:pt>
                      <c:pt idx="71">
                        <c:v>366.66475500000001</c:v>
                      </c:pt>
                      <c:pt idx="72">
                        <c:v>488.45419199999998</c:v>
                      </c:pt>
                    </c:numCache>
                  </c:numRef>
                </c:val>
                <c:smooth val="0"/>
                <c:extLst xmlns:c15="http://schemas.microsoft.com/office/drawing/2012/chart">
                  <c:ext xmlns:c16="http://schemas.microsoft.com/office/drawing/2014/chart" uri="{C3380CC4-5D6E-409C-BE32-E72D297353CC}">
                    <c16:uniqueId val="{0000000D-542C-41BD-8A4D-9DEE75EAA47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ch_latest!$A$2:$A$74</c15:sqref>
                        </c15:formulaRef>
                      </c:ext>
                    </c:extLst>
                    <c:numCache>
                      <c:formatCode>m/d/yyyy</c:formatCode>
                      <c:ptCount val="7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numCache>
                  </c:numRef>
                </c:cat>
                <c:val>
                  <c:numRef>
                    <c:extLst xmlns:c15="http://schemas.microsoft.com/office/drawing/2012/chart">
                      <c:ext xmlns:c15="http://schemas.microsoft.com/office/drawing/2012/chart" uri="{02D57815-91ED-43cb-92C2-25804820EDAC}">
                        <c15:formulaRef>
                          <c15:sqref>ch_latest!$R$2:$R$74</c15:sqref>
                        </c15:formulaRef>
                      </c:ext>
                    </c:extLst>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22.302595</c:v>
                      </c:pt>
                      <c:pt idx="55">
                        <c:v>24.348374</c:v>
                      </c:pt>
                      <c:pt idx="56">
                        <c:v>25.741959000000001</c:v>
                      </c:pt>
                      <c:pt idx="57">
                        <c:v>29.405031000000001</c:v>
                      </c:pt>
                      <c:pt idx="58">
                        <c:v>32.322952000000001</c:v>
                      </c:pt>
                      <c:pt idx="59">
                        <c:v>31.908777000000001</c:v>
                      </c:pt>
                      <c:pt idx="60">
                        <c:v>36.477550999999998</c:v>
                      </c:pt>
                      <c:pt idx="61">
                        <c:v>44.172297</c:v>
                      </c:pt>
                      <c:pt idx="62">
                        <c:v>46.680771</c:v>
                      </c:pt>
                      <c:pt idx="63">
                        <c:v>49.492406000000003</c:v>
                      </c:pt>
                      <c:pt idx="64">
                        <c:v>60.994982999999998</c:v>
                      </c:pt>
                      <c:pt idx="65">
                        <c:v>65.872296000000006</c:v>
                      </c:pt>
                      <c:pt idx="66">
                        <c:v>70.340209000000002</c:v>
                      </c:pt>
                      <c:pt idx="67">
                        <c:v>80.508165000000005</c:v>
                      </c:pt>
                      <c:pt idx="68">
                        <c:v>108.79015200000001</c:v>
                      </c:pt>
                      <c:pt idx="69">
                        <c:v>115.374174</c:v>
                      </c:pt>
                      <c:pt idx="70">
                        <c:v>134.02610100000001</c:v>
                      </c:pt>
                      <c:pt idx="71">
                        <c:v>162.974649</c:v>
                      </c:pt>
                      <c:pt idx="72">
                        <c:v>238.99829199999999</c:v>
                      </c:pt>
                    </c:numCache>
                  </c:numRef>
                </c:val>
                <c:smooth val="0"/>
                <c:extLst xmlns:c15="http://schemas.microsoft.com/office/drawing/2012/chart">
                  <c:ext xmlns:c16="http://schemas.microsoft.com/office/drawing/2014/chart" uri="{C3380CC4-5D6E-409C-BE32-E72D297353CC}">
                    <c16:uniqueId val="{0000000E-542C-41BD-8A4D-9DEE75EAA470}"/>
                  </c:ext>
                </c:extLst>
              </c15:ser>
            </c15:filteredLineSeries>
          </c:ext>
        </c:extLst>
      </c:lineChart>
      <c:dateAx>
        <c:axId val="237688272"/>
        <c:scaling>
          <c:orientation val="minMax"/>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508992"/>
        <c:crosses val="autoZero"/>
        <c:auto val="0"/>
        <c:lblOffset val="100"/>
        <c:baseTimeUnit val="days"/>
        <c:minorUnit val="2"/>
        <c:minorTimeUnit val="days"/>
      </c:dateAx>
      <c:valAx>
        <c:axId val="5089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376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[covid-19-ch-dashboarcovid-19-excel_v17.xlsm]pivot_icu!PivotTable3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pivot_icu!$B$5:$B$78</c:f>
              <c:numCache>
                <c:formatCode>General</c:formatCode>
                <c:ptCount val="73"/>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numCache>
            </c:numRef>
          </c:val>
          <c:smooth val="0"/>
          <c:extLst>
            <c:ext xmlns:c16="http://schemas.microsoft.com/office/drawing/2014/chart" uri="{C3380CC4-5D6E-409C-BE32-E72D297353CC}">
              <c16:uniqueId val="{00000000-F9F2-473A-A36B-1C43A23AFAC8}"/>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pivot_icu!$C$5:$C$78</c:f>
              <c:numCache>
                <c:formatCode>General</c:formatCode>
                <c:ptCount val="73"/>
              </c:numCache>
            </c:numRef>
          </c:val>
          <c:smooth val="0"/>
          <c:extLst>
            <c:ext xmlns:c16="http://schemas.microsoft.com/office/drawing/2014/chart" uri="{C3380CC4-5D6E-409C-BE32-E72D297353CC}">
              <c16:uniqueId val="{00000001-F9F2-473A-A36B-1C43A23AFAC8}"/>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pivot_icu!$D$5:$D$78</c:f>
              <c:numCache>
                <c:formatCode>General</c:formatCode>
                <c:ptCount val="73"/>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numCache>
            </c:numRef>
          </c:val>
          <c:smooth val="0"/>
          <c:extLst>
            <c:ext xmlns:c16="http://schemas.microsoft.com/office/drawing/2014/chart" uri="{C3380CC4-5D6E-409C-BE32-E72D297353CC}">
              <c16:uniqueId val="{00000002-F9F2-473A-A36B-1C43A23AFAC8}"/>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pivot_icu!$E$5:$E$78</c:f>
              <c:numCache>
                <c:formatCode>General</c:formatCode>
                <c:ptCount val="73"/>
              </c:numCache>
            </c:numRef>
          </c:val>
          <c:smooth val="0"/>
          <c:extLst>
            <c:ext xmlns:c16="http://schemas.microsoft.com/office/drawing/2014/chart" uri="{C3380CC4-5D6E-409C-BE32-E72D297353CC}">
              <c16:uniqueId val="{00000003-F9F2-473A-A36B-1C43A23AFAC8}"/>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pivot_icu!$F$5:$F$78</c:f>
              <c:numCache>
                <c:formatCode>General</c:formatCode>
                <c:ptCount val="73"/>
                <c:pt idx="58">
                  <c:v>2</c:v>
                </c:pt>
                <c:pt idx="59">
                  <c:v>2</c:v>
                </c:pt>
                <c:pt idx="62">
                  <c:v>2</c:v>
                </c:pt>
                <c:pt idx="63">
                  <c:v>2</c:v>
                </c:pt>
                <c:pt idx="64">
                  <c:v>2</c:v>
                </c:pt>
                <c:pt idx="65">
                  <c:v>2</c:v>
                </c:pt>
                <c:pt idx="66">
                  <c:v>2</c:v>
                </c:pt>
                <c:pt idx="67">
                  <c:v>2</c:v>
                </c:pt>
                <c:pt idx="68">
                  <c:v>2</c:v>
                </c:pt>
                <c:pt idx="69">
                  <c:v>2</c:v>
                </c:pt>
                <c:pt idx="70">
                  <c:v>3</c:v>
                </c:pt>
                <c:pt idx="71">
                  <c:v>3</c:v>
                </c:pt>
                <c:pt idx="72">
                  <c:v>2</c:v>
                </c:pt>
              </c:numCache>
            </c:numRef>
          </c:val>
          <c:smooth val="0"/>
          <c:extLst>
            <c:ext xmlns:c16="http://schemas.microsoft.com/office/drawing/2014/chart" uri="{C3380CC4-5D6E-409C-BE32-E72D297353CC}">
              <c16:uniqueId val="{00000004-F9F2-473A-A36B-1C43A23AFAC8}"/>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pivot_icu!$G$5:$G$78</c:f>
              <c:numCache>
                <c:formatCode>General</c:formatCode>
                <c:ptCount val="73"/>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numCache>
            </c:numRef>
          </c:val>
          <c:smooth val="0"/>
          <c:extLst>
            <c:ext xmlns:c16="http://schemas.microsoft.com/office/drawing/2014/chart" uri="{C3380CC4-5D6E-409C-BE32-E72D297353CC}">
              <c16:uniqueId val="{00000005-F9F2-473A-A36B-1C43A23AFAC8}"/>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pivot_icu!$H$5:$H$78</c:f>
              <c:numCache>
                <c:formatCode>General</c:formatCode>
                <c:ptCount val="73"/>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numCache>
            </c:numRef>
          </c:val>
          <c:smooth val="0"/>
          <c:extLst>
            <c:ext xmlns:c16="http://schemas.microsoft.com/office/drawing/2014/chart" uri="{C3380CC4-5D6E-409C-BE32-E72D297353CC}">
              <c16:uniqueId val="{00000006-F9F2-473A-A36B-1C43A23AFAC8}"/>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pivot_icu!$I$5:$I$78</c:f>
              <c:numCache>
                <c:formatCode>General</c:formatCode>
                <c:ptCount val="73"/>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numCache>
            </c:numRef>
          </c:val>
          <c:smooth val="0"/>
          <c:extLst>
            <c:ext xmlns:c16="http://schemas.microsoft.com/office/drawing/2014/chart" uri="{C3380CC4-5D6E-409C-BE32-E72D297353CC}">
              <c16:uniqueId val="{00000007-F9F2-473A-A36B-1C43A23AFAC8}"/>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pivot_icu!$J$5:$J$78</c:f>
              <c:numCache>
                <c:formatCode>General</c:formatCode>
                <c:ptCount val="73"/>
              </c:numCache>
            </c:numRef>
          </c:val>
          <c:smooth val="0"/>
          <c:extLst>
            <c:ext xmlns:c16="http://schemas.microsoft.com/office/drawing/2014/chart" uri="{C3380CC4-5D6E-409C-BE32-E72D297353CC}">
              <c16:uniqueId val="{00000008-F9F2-473A-A36B-1C43A23AFAC8}"/>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pivot_icu!$K$5:$K$78</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F9F2-473A-A36B-1C43A23AFAC8}"/>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pivot_icu!$L$5:$L$78</c:f>
              <c:numCache>
                <c:formatCode>General</c:formatCode>
                <c:ptCount val="73"/>
              </c:numCache>
            </c:numRef>
          </c:val>
          <c:smooth val="0"/>
          <c:extLst>
            <c:ext xmlns:c16="http://schemas.microsoft.com/office/drawing/2014/chart" uri="{C3380CC4-5D6E-409C-BE32-E72D297353CC}">
              <c16:uniqueId val="{0000000A-F9F2-473A-A36B-1C43A23AFAC8}"/>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pivot_icu!$M$5:$M$78</c:f>
              <c:numCache>
                <c:formatCode>General</c:formatCode>
                <c:ptCount val="73"/>
              </c:numCache>
            </c:numRef>
          </c:val>
          <c:smooth val="0"/>
          <c:extLst>
            <c:ext xmlns:c16="http://schemas.microsoft.com/office/drawing/2014/chart" uri="{C3380CC4-5D6E-409C-BE32-E72D297353CC}">
              <c16:uniqueId val="{0000000B-F9F2-473A-A36B-1C43A23AFAC8}"/>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pivot_icu!$N$5:$N$78</c:f>
              <c:numCache>
                <c:formatCode>General</c:formatCode>
                <c:ptCount val="73"/>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numCache>
            </c:numRef>
          </c:val>
          <c:smooth val="0"/>
          <c:extLst>
            <c:ext xmlns:c16="http://schemas.microsoft.com/office/drawing/2014/chart" uri="{C3380CC4-5D6E-409C-BE32-E72D297353CC}">
              <c16:uniqueId val="{0000000C-F9F2-473A-A36B-1C43A23AFAC8}"/>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pivot_icu!$O$5:$O$78</c:f>
              <c:numCache>
                <c:formatCode>General</c:formatCode>
                <c:ptCount val="73"/>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numCache>
            </c:numRef>
          </c:val>
          <c:smooth val="0"/>
          <c:extLst>
            <c:ext xmlns:c16="http://schemas.microsoft.com/office/drawing/2014/chart" uri="{C3380CC4-5D6E-409C-BE32-E72D297353CC}">
              <c16:uniqueId val="{0000000D-F9F2-473A-A36B-1C43A23AFAC8}"/>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pivot_icu!$P$5:$P$78</c:f>
              <c:numCache>
                <c:formatCode>General</c:formatCode>
                <c:ptCount val="73"/>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numCache>
            </c:numRef>
          </c:val>
          <c:smooth val="0"/>
          <c:extLst>
            <c:ext xmlns:c16="http://schemas.microsoft.com/office/drawing/2014/chart" uri="{C3380CC4-5D6E-409C-BE32-E72D297353CC}">
              <c16:uniqueId val="{0000000E-F9F2-473A-A36B-1C43A23AFAC8}"/>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pivot_icu!$Q$5:$Q$78</c:f>
              <c:numCache>
                <c:formatCode>General</c:formatCode>
                <c:ptCount val="73"/>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numCache>
            </c:numRef>
          </c:val>
          <c:smooth val="0"/>
          <c:extLst>
            <c:ext xmlns:c16="http://schemas.microsoft.com/office/drawing/2014/chart" uri="{C3380CC4-5D6E-409C-BE32-E72D297353CC}">
              <c16:uniqueId val="{0000000F-F9F2-473A-A36B-1C43A23AFAC8}"/>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pivot_icu!$R$5:$R$78</c:f>
              <c:numCache>
                <c:formatCode>General</c:formatCode>
                <c:ptCount val="73"/>
              </c:numCache>
            </c:numRef>
          </c:val>
          <c:smooth val="0"/>
          <c:extLst>
            <c:ext xmlns:c16="http://schemas.microsoft.com/office/drawing/2014/chart" uri="{C3380CC4-5D6E-409C-BE32-E72D297353CC}">
              <c16:uniqueId val="{00000010-F9F2-473A-A36B-1C43A23AFAC8}"/>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pivot_icu!$S$5:$S$78</c:f>
              <c:numCache>
                <c:formatCode>General</c:formatCode>
                <c:ptCount val="73"/>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F9F2-473A-A36B-1C43A23AFAC8}"/>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pivot_icu!$T$5:$T$78</c:f>
              <c:numCache>
                <c:formatCode>General</c:formatCode>
                <c:ptCount val="73"/>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numCache>
            </c:numRef>
          </c:val>
          <c:smooth val="0"/>
          <c:extLst>
            <c:ext xmlns:c16="http://schemas.microsoft.com/office/drawing/2014/chart" uri="{C3380CC4-5D6E-409C-BE32-E72D297353CC}">
              <c16:uniqueId val="{00000012-F9F2-473A-A36B-1C43A23AFAC8}"/>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pivot_icu!$U$5:$U$78</c:f>
              <c:numCache>
                <c:formatCode>General</c:formatCode>
                <c:ptCount val="73"/>
              </c:numCache>
            </c:numRef>
          </c:val>
          <c:smooth val="0"/>
          <c:extLst>
            <c:ext xmlns:c16="http://schemas.microsoft.com/office/drawing/2014/chart" uri="{C3380CC4-5D6E-409C-BE32-E72D297353CC}">
              <c16:uniqueId val="{00000013-F9F2-473A-A36B-1C43A23AFAC8}"/>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pivot_icu!$V$5:$V$78</c:f>
              <c:numCache>
                <c:formatCode>General</c:formatCode>
                <c:ptCount val="73"/>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numCache>
            </c:numRef>
          </c:val>
          <c:smooth val="0"/>
          <c:extLst>
            <c:ext xmlns:c16="http://schemas.microsoft.com/office/drawing/2014/chart" uri="{C3380CC4-5D6E-409C-BE32-E72D297353CC}">
              <c16:uniqueId val="{00000014-F9F2-473A-A36B-1C43A23AFAC8}"/>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pivot_icu!$W$5:$W$78</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numCache>
            </c:numRef>
          </c:val>
          <c:smooth val="0"/>
          <c:extLst>
            <c:ext xmlns:c16="http://schemas.microsoft.com/office/drawing/2014/chart" uri="{C3380CC4-5D6E-409C-BE32-E72D297353CC}">
              <c16:uniqueId val="{00000015-F9F2-473A-A36B-1C43A23AFAC8}"/>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pivot_icu!$X$5:$X$78</c:f>
              <c:numCache>
                <c:formatCode>General</c:formatCode>
                <c:ptCount val="73"/>
              </c:numCache>
            </c:numRef>
          </c:val>
          <c:smooth val="0"/>
          <c:extLst>
            <c:ext xmlns:c16="http://schemas.microsoft.com/office/drawing/2014/chart" uri="{C3380CC4-5D6E-409C-BE32-E72D297353CC}">
              <c16:uniqueId val="{00000016-F9F2-473A-A36B-1C43A23AFAC8}"/>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pivot_icu!$Y$5:$Y$78</c:f>
              <c:numCache>
                <c:formatCode>General</c:formatCode>
                <c:ptCount val="73"/>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39</c:v>
                </c:pt>
                <c:pt idx="29">
                  <c:v>49</c:v>
                </c:pt>
                <c:pt idx="30">
                  <c:v>53</c:v>
                </c:pt>
                <c:pt idx="31">
                  <c:v>57</c:v>
                </c:pt>
                <c:pt idx="32">
                  <c:v>58</c:v>
                </c:pt>
                <c:pt idx="33">
                  <c:v>59</c:v>
                </c:pt>
                <c:pt idx="34">
                  <c:v>61</c:v>
                </c:pt>
                <c:pt idx="35">
                  <c:v>64</c:v>
                </c:pt>
                <c:pt idx="36">
                  <c:v>66</c:v>
                </c:pt>
                <c:pt idx="37">
                  <c:v>67</c:v>
                </c:pt>
                <c:pt idx="38">
                  <c:v>65</c:v>
                </c:pt>
                <c:pt idx="39">
                  <c:v>65</c:v>
                </c:pt>
                <c:pt idx="40">
                  <c:v>64</c:v>
                </c:pt>
                <c:pt idx="41">
                  <c:v>62</c:v>
                </c:pt>
                <c:pt idx="42">
                  <c:v>61</c:v>
                </c:pt>
                <c:pt idx="43">
                  <c:v>60</c:v>
                </c:pt>
                <c:pt idx="44">
                  <c:v>61</c:v>
                </c:pt>
                <c:pt idx="45">
                  <c:v>64</c:v>
                </c:pt>
                <c:pt idx="46">
                  <c:v>64</c:v>
                </c:pt>
                <c:pt idx="47">
                  <c:v>63</c:v>
                </c:pt>
                <c:pt idx="48">
                  <c:v>59</c:v>
                </c:pt>
                <c:pt idx="49">
                  <c:v>58</c:v>
                </c:pt>
                <c:pt idx="50">
                  <c:v>54</c:v>
                </c:pt>
                <c:pt idx="51">
                  <c:v>53</c:v>
                </c:pt>
                <c:pt idx="52">
                  <c:v>52</c:v>
                </c:pt>
                <c:pt idx="53">
                  <c:v>49</c:v>
                </c:pt>
                <c:pt idx="54">
                  <c:v>48</c:v>
                </c:pt>
                <c:pt idx="55">
                  <c:v>42</c:v>
                </c:pt>
                <c:pt idx="56">
                  <c:v>42</c:v>
                </c:pt>
                <c:pt idx="57">
                  <c:v>41</c:v>
                </c:pt>
                <c:pt idx="58">
                  <c:v>39</c:v>
                </c:pt>
                <c:pt idx="59">
                  <c:v>36</c:v>
                </c:pt>
                <c:pt idx="60">
                  <c:v>36</c:v>
                </c:pt>
                <c:pt idx="61">
                  <c:v>36</c:v>
                </c:pt>
                <c:pt idx="62">
                  <c:v>33</c:v>
                </c:pt>
                <c:pt idx="63">
                  <c:v>32</c:v>
                </c:pt>
                <c:pt idx="64">
                  <c:v>31</c:v>
                </c:pt>
                <c:pt idx="65">
                  <c:v>27</c:v>
                </c:pt>
                <c:pt idx="66">
                  <c:v>26</c:v>
                </c:pt>
                <c:pt idx="67">
                  <c:v>24</c:v>
                </c:pt>
                <c:pt idx="68">
                  <c:v>23</c:v>
                </c:pt>
                <c:pt idx="69">
                  <c:v>23</c:v>
                </c:pt>
                <c:pt idx="70">
                  <c:v>22</c:v>
                </c:pt>
              </c:numCache>
            </c:numRef>
          </c:val>
          <c:smooth val="0"/>
          <c:extLst>
            <c:ext xmlns:c16="http://schemas.microsoft.com/office/drawing/2014/chart" uri="{C3380CC4-5D6E-409C-BE32-E72D297353CC}">
              <c16:uniqueId val="{00000017-F9F2-473A-A36B-1C43A23AFAC8}"/>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pivot_icu!$Z$5:$Z$78</c:f>
              <c:numCache>
                <c:formatCode>General</c:formatCode>
                <c:ptCount val="73"/>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numCache>
            </c:numRef>
          </c:val>
          <c:smooth val="0"/>
          <c:extLst>
            <c:ext xmlns:c16="http://schemas.microsoft.com/office/drawing/2014/chart" uri="{C3380CC4-5D6E-409C-BE32-E72D297353CC}">
              <c16:uniqueId val="{00000018-F9F2-473A-A36B-1C43A23AFAC8}"/>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pivot_icu!$AA$5:$AA$78</c:f>
              <c:numCache>
                <c:formatCode>General</c:formatCode>
                <c:ptCount val="73"/>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numCache>
            </c:numRef>
          </c:val>
          <c:smooth val="0"/>
          <c:extLst>
            <c:ext xmlns:c16="http://schemas.microsoft.com/office/drawing/2014/chart" uri="{C3380CC4-5D6E-409C-BE32-E72D297353CC}">
              <c16:uniqueId val="{00000019-F9F2-473A-A36B-1C43A23AFAC8}"/>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pivot_icu!$A$5:$A$78</c:f>
              <c:strCache>
                <c:ptCount val="73"/>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strCache>
            </c:strRef>
          </c:cat>
          <c:val>
            <c:numRef>
              <c:f>pivot_icu!$AB$5:$AB$78</c:f>
              <c:numCache>
                <c:formatCode>General</c:formatCode>
                <c:ptCount val="73"/>
              </c:numCache>
            </c:numRef>
          </c:val>
          <c:smooth val="0"/>
          <c:extLst>
            <c:ext xmlns:c16="http://schemas.microsoft.com/office/drawing/2014/chart" uri="{C3380CC4-5D6E-409C-BE32-E72D297353CC}">
              <c16:uniqueId val="{0000001A-F9F2-473A-A36B-1C43A23AFAC8}"/>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[covid-19-ch-dashboarcovid-19-excel_v17.xlsm]pivot_sterblichkeit!PivotTable1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[covid-19-ch-dashboarcovid-19-excel_v17.xlsm]pivot_Sterblichkeit_2010-2019!PivotTable1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3HzZjtw6su2vGH6+skmKkxq9G2hKyrHmwdOLkK5BEzWSGj/nPN2POG/9YzfStcvblV2eDnwu0AYM
25USUxQXI2LFimD9/Wb8242+27UvxkKX5m834x8vE2vrv71+bW6Su2JnXhXpTVuZ6t6+uqmK19X9
fXpz9/q23Q1pGb8mCNPXN8mutXfjy3/8Hb4tvquOqpudTavyvLtrp4s702lrvnHt2UsvbqqutPvh
MXzTHy8vb5LhLp1fvtjdFmkZpMa26Y3Ff7x8s+tuX764K21qp6upvvvj5ZM7Xr54ffj9/zaXFxqm
a7tbGEv5K8Y8hl3kEUQxwvzlC12V8Z+X+StOOZcME5dSlyOXPT76ZFfA8Le73a19/Oi52Xyay+72
tr0zBl7l07+fhz2ZOLxZ8PKrq5Cayn9YIL/az9tffXrR108B+MffDz6AVz/45AuMDtfpe5e+Orkn
7wEQ/XPXxrvuW8vykyCJVxR5kgoCUBFMJX0CknyFGZd7cOBfcoDQ9+fyPESP4568G7za8jfBaKl3
bWd+IUb8lScxpkJwjrFLJH6CkfcKcSYYQcSjWHqUuY+PfjCk70/neZgexx3AtDz6TWBSO3OnnUv7
HTfz0/bEOJWeRyllEiEhn2AlXnHMCJfERdSFvwmY24O/fcDqB+f0PGBPBh+gpi5/E9T+Wdd35Xyn
9Yt1Wd61bQI+u3xcxOfCxE/j5yKJsOthjv70eV8ELQ+8pesyzsBXEoogdD0++gG/z7NzfnB2zyP5
la85wPSf698O0392xvzvgEo5JkRQzD2PYO+JUXqvXIo9JCkDw2UIe4dx7nHLOT86ve+h+vR7DmG9
+E1gVXdt+Xr/192jkfwC++SvJCF8b4KIuxQi4hMowb8SgJEjhhFhrofg8hP/CrN5/OS5yTwP3P4d
DtjyHy9V+LvA9CkOHu3KW0hTdvf2W+vz086UMiwQwVh4GAyPHIAFl8CLehSAktzDB870IZ792MS+
Aty/vdqBranfhcwcdfN3tvZPQ4e48FwG4Hyi/0/tDPICjFwssXSlJz3CgOZ8aWffn87zgD2OO4Dp
6Po3sbVFm36sujZ+XK3nfNBPAsVfCSQZEswVkoKdiQMbQ94+awBD8yhEPnkA1KK9Sz9+Z0LPQ/XX
yAOwFr9L/Frelf/6v/2vDV4EA3fkjHpIQBh7alT8FWglwgWwIHOA/OGQXMJ87r+1cZ7H6WHUAUbL
3yV4Ldtd9/Ff/11CEvB62aZ7gSv91hr9tHFxBmSCUQb52kNq/SQb4EQCF6GIU8i94Z/HR/+Zef81
uccLzxn8V3D7cvAhfL+LiW26dvetpflJuMQrFzwhpNWcf8reQAn5Ai6xF7OQ52KCmKCgTAId+TJo
fW8yz+P0MOoAoM3vErDe7PQuNa/f7rROf62kRYD3gRIiPClB0TpECowOLEoIAlzecwV7itTDrB4/
+3Gbehx3gNab30UcObnrbpJ//Ze9099am580KlAfPfCAksAf7xkZX0hItSCaMeRyDlT/8dEPPhCm
dFf+zxjGF0MPADv5XcLXSXo77PSvVbAAL7ArkOyllFx8YnxfOEEJChZzMeTGoHD9qYV86QR/aEbP
e8Ivhh7i9fY34e+nH/8X4JIM8igqMSjGEJvA1T2BiyApBREQrhD1JDrwhD8yoefR+mvkAVinvwtY
l5WubNJ9W/H5SWcoXhGPeWBWCEgEqPtPSzEgP1FPQCLmUg8UfpA8njrDH5rR83B9MfQAr8vT38S4
Lu2rF0sgGr9Yz9/XWhgAggkGKvG0HuO9IgJ7cAdnWEKQ44eA7crc/sCkvoLZk9GHsC1/E9iu0pu0
rB43+nNk7CdtjIONAesjnhQIeCB9qmjIV3Kvd3APMjNXEARXv4xfV9ANkP4PNN7HcQcoXa1/E5Sg
6WN3f5/sOvOLzUtAOQUA4R7UxQ7NS76CYii4Q+HKfd2MIKD5X4L1o5P6ink9eaUD4C5X/6HAPazP
gxk9adz5+fYbqD9DlgXeb999s49FT4kFsHno/GDAPkDhQAfi++cmoa/P56uoPHQXPZn8F11H/1H9
NvtlmKBV6stVeLLTfhYVAd0aoJoTCpROQPfTUwlQvhKMg2OD1ihB4Co7UJS+P52vg7J/jSdTB0w+
/IcayZP3gLaoK6B5v7ovat/4xEGP5Ui6YCdPrAd6bqDuwShUr0CloP9Gy39gPs8D9XngkzeEF/xd
2MJ1m/5Ca4LiB/A3qHsgBDX8w+KHhGow1BWBihMuXBdQfHz0gzbxnbk8j9CnQQfoXP8ueuyHLn5c
ol9A5PaCqwAtgpGHvgvQW59EIChZEZAhGDhE6UHX1OOjH9D5zlyeR+fToAN0PvwutvPhX/8NnbrJ
4zL9EoQohsIghUqvQFClP0QIilWgOkC0AjmJgz7x+Og/Efr+fL6C0uPAQ6T+v5O2r7fwfm5tDnZ2
F37qif6ii/fbVz+9NXRvHwz9Fot4IBjr2z9eClhnKCh9QSz2X/OENx9shCej7nbG/vFSQsvoXq/1
wPVBV9OnAv1w93AFePrBlbJqbQId26BfgCgPUhT0L4Lr9EDdMFX35yUMHcIIQRcVElD6dz+3qJ9V
eoqr8vOK/Pnzi7Irzqq0tOaPl2yvatUP932aLDSDw7dAU4jr7bu/gYXC9ZvdBfTBw+34/3TRjNse
WuyUSc02rct80ViPhWnMTqWJR9UVjAVdm6XrqVWjZFHQ18miNfM19Uakhjr9KCK5KLjrE+mcFWw4
LY0fQbuJYlPaqXKMlFMNW4L4CYnHi0K2G2nSO+INFxzFF84cpPm0XTS4fpe24+loylT1Jv9oUuYX
NDprV3Vs3qGhdlVS5rXiRX7Mm2JhHa9UljWZorpJVZafknK+jErnTZpVZ01Tvk+oWKfYsWqyXTiX
Y+FPGO6caneJ9BApVpPzXKIlL+KNR+zGcZyd2d/h4LjweXPtWpXb+r6as/uimpAijAdpy48qNCxS
Zo5TpE9y0x+PpPrQoP44rttMycYNsFurfuInObOb3stjFWVuMM/R9ViXq87BsCLVWUTLo6nuL8h8
w6bBqGI8q7N7Os1asQ5mz/OrKsoTZUraqIkJZWv35jKa7SbH/dt4rC5Tqms/LpybaRDrPovu3Mxb
ReWwzaJo8tmM3/DZfeM4RmVjfsI0Pymn6Ex3+Fqz4WKcBzWO1SL2irUZ80AYD27EvFR11YW2Mx8Z
zT9Qh67yfjhuSnheNJ7XU626mI6qLuLzVjgrPI5XsGOCqmuOCMw9Ht1rYe1Cy+ECxeKkN2zljVkw
OufpXFUq7fSOw+kKJdokoK3duO5wmrT6RibxVptuxVyj4qg/br1oPY1XELOWVffBKYQJOmO5smgi
R6OtlDez8azEzvsp7YmvW679rJl8I53kyPYkOaqn+A7ntl+KMrsClFXEhd6Wkx6UyNlmKF2q8rRa
EhG7AY9zc9K1Ua/GuAsSwgpl00RuHDZ0i7iyasiSfoOKajvN3Tti4mVhxitTtnI5dEnvN0OrfTK6
K0JMrnoPtatYolnVWPvTiOxatmUDKI2LWpTD0ksq5huOOuWYAeZDXRO0uNDKm6Kwq6YucHrGFcMZ
WSYN3kkmxHKoZe1nno5UxvmNjuJhzRJ92vUJ961TOr6bzG/KecILdNvHXbMthlolM3WDCY1s1ZZg
TEmySMDE/SRqT7EjaOA5KFZw2kVvU1keT3l15o1kCu3orQvZBJnrLTWV9/lcxT6zGi+jbhInjSNa
5WjsR0V2Mk3tW5lvWTk2/ozazpdJ3ipuPsL3FE6u/dqJ0RIONqyjgcyBU8sxnKNVHJM2xF7RreZI
LGkGtuzIpR77atG4U+VT5Chbws7P6qZZNzW+TpG96kbcwH1mCtt+UpFNtD+w4YqQCq+5WFs+2nNt
7zoJboXEzK5mrs8ncEwLPDVsufdpEQpdBnuyHGUVzA47ofm87QbYU30xJIrmjVbD6Fk/m9rcd9Am
bhBVDho+zE0q1Zzcd0jbwBtmo9B8khcVC4Y4bvzCdu8HsJTBHcflIGd3M0ZdprC33xI6aHyXkg84
xyKIzAWdIz9l9m7m+J0pxt7P0iZSImV31mWuAksDT0LwReOkfltWaMHZuOFD+8YZpxWzXqzGYqQ+
TjDsXty/YdhY5cTcj+ruA9jwgiQyXpuka9RcxJOfZ/yoiStHUWbCTMt3TeJkQRabUg0ee5e11RCK
fHpXEHxqWOwdCYceZYO+HZsWK1EFnQCPX0fJFGICGwsT/baay3SZjMn5PLKznoxpOHDjLpCMzsAb
8pWt/a5550jUbyqMEx9hGzKIAz7lp2MkfeFVblDNngg9I3Y8S2HDxF4W1Gg8c7g+rtwyW+De3mI6
fSyrdFV2dexnSffWJeSYFI6jytL0fhLvN49nYZnr6oSatxp5YeEmqsuNXvOmz1UUsVk5M73x0sTP
i8WsjyH1RypphvsycpcdhdXSnbeepE39NMneuji7xYKPSzshohLe46Aw6SrH2lMJI2863qVgobHx
vTHymzj2DbJsOyA4W8br0ZfWgiu29TIduyUtGA7GwWYB0YL5dcmFGqPmI8qzVuEJVcrGsUoTUvtM
5OBJ5iRkcTkGEY0AQFKbRT12b0XiJUGfpqc9FllYTu8yHrVqQpe4GjalXU4VzkOXAlAQ+Y6rqOa+
rukFlCDvc8wvG6jzn3WUTUGDm6B3kncW1bCb6jRwbNyeRkaHCfbCuJpPESqPRllMQS4qVxXWWUQF
WfEBX1GU3+49impakSuBzLUssNLJ1C91Y9EC1+MxM7pY9kkdJG1+UrskPmJl987N2mOe1vYonlvX
z984yQl26iaguH6jcemXSXLJ+9oLRFb3W6cvZ38GFzWO/cJ4eamaFKxM4xn5xZjCi8oj8B/OKTCv
66Z31q3Ubjh7yUdUVd0yntAaTlppH5usDL88bPaESt1U9QQdTcmfB/4+//iPVXgRfjp79tdH+9OC
f/10fLm4OrxhT3Q/3/HX2bU9tfx8kO2Arj4cN/wKl/3mxSdE94kO+JhA7FkgISAHfz5S+G8k908F
8sXrF5ddCscC9v/p0xn6XD+3DH3+lgfSi9ErKPNAEccFgc31BAX17IH0slcetPwwqHeDpMOABcKV
v0gvyDd7cQCOVu11OciBHkkvg2ZzULYlZLCfmsl/ivRC0ov+jfWCmgSdLTA1OKkFxY2nrNdNTdzg
lBA197nP4lQraaskYDP8T3fdyex8tLYlysoIb7TsYftTiLFzRCbVo5OUXsVgISdNREaVli328ciI
8vgALuUis7pQrCyCFnqyw4YmmcqRvJXZ+GYWQOhoejn1PFqN1U0yNygse7dTriXvTD9X67bulkNW
gTcbgXGbWlRLjeYsAMpaqk7GnSIt95ZUQojAEDoZ7ebjLp4XmMk8YJqKJW7LpdMWo99XE5Do0gE+
P5JxQRzS+D0fwPk4Z3UasdWMuxgY67RqeGq3pimWnU6Pmxjni97JnYBNUedXjW2CwakS8PjFddmb
ftOYTCogUrNfC6Ocph+DJIlbtSUkt36a2W4xx8VHwr3TIY7GZczHMhhnejFG5K5uInAyXcfCiV51
vCC+m/eK1wgFZORWcZ3d9bS/KfLBblL63smPMLcYmLAADm7lpuc8vRywdMK6H2hA49kXdoD8gACT
r538YwdcYSX74d3InXrZRtNa7uOeZ9pTW2QwN008n7V60XTmzZg175PYnRSHRTfNFG+G3AbTwBPf
1ukGJQgHFYlORnDUIaJD6fd2Xo8sN4ukV27ciSMmdinpXWCG6WXckCgYc+8YFE0byDRFPjdZMGBd
Lrgz2jBpax56crjuWpn6tAbvjgbg6LM7Kj7k5gIMy4c8Ug0Vm09z0q86Xm3jopjU5HEZTslH2hZT
mGN60TA9+k0SbYuMLLzCDdMBLwqMkkDHpbtIalcr6ibXEaQ1K10MAHiKT6y1V61JSVj6dMHieArj
dw1jTHWuWfdpIReybXu1p/zSjB9kYebAS3oRUpJvHA0kHjxrDMwPmTOnh8Cl8RYRx/OdKmXLfqTj
shExUabwtvVYDqGOphMXJauGRqmqBzdZ5CPJVNXKZOkOJQ374W3dCaxQxJLQ4kz4TE7NxjPkEnKp
8qSp0YlJ+AJnlIUVr2EGA+2BqEUq1XmhUD6kASmdaNG0/dt0crWfgkipEhqfGPZO0PFyhtr01lbe
dV7o8ZzF4qaYgV52SbecKPETt8BBYwlTxC1bP54hE3Y7Om9H4Z4jJ/nQOOdkZsCLDXpD+iI6StFw
6UwQl2rIuJLZDvsU5GQoJwvkrC8ULF3t83cIjqj7/eDlfinkHLDOmXzZW7ka1pCBpX5S4G0KtMI3
/ZgsbFeVx3B8aoWLfCGES0MpWBVGSbyMyno6L0oD3INiFTEg0kl7sc/uILwNkD562Ocscn3UcFU6
ki+rdH4fITdbQoR93898SyFbXVFbn4vM3I2FLcO4Gd2jms31Ats8DixNZNg6AGU7HWGHlmew0yy8
c7ydTVkda6ncfGKqnsegIzz2S+YGEe/IMsJL15Xxoi09CvnvbV2THOBMqq0xfFCzk3LVaPAhNiaQ
dyIJTjFuGaRNTh5K061HEX10uQ68ntq1J/l1RquTgjnTyuL5hEVZ4lNbrQ1KClizkDlMpSwYGzTu
6s4JiWxiX5AhChm4rHi26cpORrW0DNvWNkrWVqg5desFxd3bIqs/JjBknURGVfFp4vQNmL0nl5wV
pzNKvSDB9kMV8yoA1+P6k9F+4vXgYGUEegjANrUXzDTg/XPXb9KxVE6frVBH3jT5phj1sHFkxIFd
yyj0ptEs+DhJ1RGkRp6xEBeQR7t73zAAbNiSbCU691bgNAP/1wSFnEMRDckGdliidBmSCnKMiWoU
iLF6S7voPM7F4BNhjnEzbtIiXuQCXqb1vHaZSnyWpkW5SKppUEb3bQDJstKjOGtbnCwT767O4L4R
s0YRMe+gS74PtQfSTJH0oRPTXLX9+LaMVslki6CpozmYUrkphQDmyZ0zAb9eAfIMrdVsO0hK0hQW
P00XQudRSHGqEgfybgbhMdL1lsEHHmyGcDI0VlkbQfbP59CFjys2zn7lNIF2Uw/ceBZttLO1JcqX
UzkOkGJmjqpQT4JI0DZMogg2d6pr5QhIwCDld1nbhkzHwneKli2RmTq/EF2YxHWqcjE6Kmu49543
N5Mzbaa4Py680rkAmeRD6+yJuAskPm1de5lXJlalJ4/Y7CkPrgUyMxvI0splNC0lNLD4QxTbYKxx
62fGvpNsXINbNAGKIP4a7Vz0eLjd2zuB4LLqbe9HbpQs8xzYdQpZ9ojpVSGNXkxxeiycfAjo5NFF
1ptExU61Tmnaq8lgoaLKfVNFJZjQZOpFjIcs5HOpA+PKdVYFdnKP+8LoAOg27KqCTspWE1YGgzWD
VOWTXAYkqw3kWWn/zm3npWj9LhdvSQvcecwgUWrr1m9aV55MOFZs3L+YQZ5Pp65cOzPLYdex3dwO
i5KW8zIZ0F2uC1/kPLCRHIIq12EZ4VpB+yNZojQOQErsVUqGN0klyWYiY64kae9YI4bVUGQqStl9
1tpzJqZVDz97dVkG+wsVs3MAx+5n345u4UOdIvM9CFKQ1XV1ALd+zDK6aqvZWZHWjU4qGW+RhuQO
u00cxGN5PuKsDaB72VPY2mXtlN3VRO0MybnTLMSkfSpgv3bjxtZFdEyAkUEXYBHmQ8yXnVesiDP0
C/A1RsGx8XVROf1ySOfLKR7f97BcjYFUY6Ktgkh8BE/OfD0QAC9qmD8OCC8JSENNbpnKxG4A3xO4
wA4GRwntbAo5tOEs0bXpRefbId0khnShk1Ua4h7opjwbkmWh8dnMjpGT7QN7c9Qw3PuyJseykGfe
lDAQEbaukaA2GW+C51QRuCjqhv0kVt2cSJBbIEAW1gtT8ExZMWwbL91hZ658eN8kEGTFCvRRy2j0
2xnisG4rYAhix8o5Bh03L/bx/yQd0bghcjriZBxXcqpXKJmatTsUYM2p3wt3QSAX3eIhaYMiHrE/
F46fleN4zJ3qqHFWc8+RgrwT5OJ5hG/uwd9D5TZZysL24AaGTMVxDTIbJITzGdgiuNi6zxRQK3o6
23FpChvkqan9CdqTlC6qQmkiQNux6UWr0VXfOx+7iA5rOzuzPxU68lmpG0V7c1bPrgcOj8PiN/dZ
J+SFqB25mOaYBOXkwT2JPgeOl6rWncwCJEg7Jfmxlx8lWCbrFNJGBYLkbZLOZ1rg20nMBuQ7+baL
dLlEZbfI6+HSpLVZkypSUazf0nou36ZOf0nLpZss8d5KdeJsUD8tecQdwNPeYGZUI4pN7bH3jZRa
9aAIFy45yVIm95IlBHDu9mFeuir2ZnzERRNOYA0qI2Ub8Kiql4JvKpBoShpfMxCZgoHDKJf3cZiW
7qrWKVYthEoafeBQLQfpyIwBpD7hhGbt5yMI201CMsjzO9cfKHzWz9TP+ZRvJS064G1sjWIQM9wa
EJ2ysIbTOEsgo8WyKqseNFm5M1VS+3Buqtx6uCRhBa20i5p5laohfz6iaTWDHj3wFZ97fxbtFEAF
JAln8KwXTc0uTK27bdHBCvFeonBsWXzsDvPWIi3PnRPLinXdsHxLJwyUCTL4kQ3nCZ6CWAuxHWuQ
t/oChZE7T6s8c28QEMVelO8kd+48oZesaGtwRdUO902zaU15apCetjSajpqk/Cga3i0z5J21sSlW
89jsZMf7BabMLsduurLMyUHH9pNhRqHtunnTpM6qLOQG9LMYagoNCYGVnEMf1oc570cFwgHEpaGB
SJid1Bpf9roKqEiYH8UYMq+BTZsZKLjMsFl7IwfVvIvjFUS0VNDbfbrYtdW2oYGcyuGcigJBktRB
RoMjZ4XwdOzU1oBVurdN6egTDgIajcgZtrPYZjoVwZBaG6TDAJSI4PcFbHMlkgqFsneEX0iiGuyB
FwaBddSrxKnFUYxMAHJ3DAkOzH1I84XUDVLdkJ+1FVpVXmtUUrWlH+FxDmo9X7ewjeIecUh80ZsE
ax1EJQhVAwSnDpJm5crCC2fhE0/0mz4e/HxqmlWjow8ta0loeqtK1n8EiYUvnBpk4aHsIf1L5iB3
CTACDd/TR7Dtqeen3eAucT8nQcxCZkDY68rsPrHwkGzr9vlRL5oKeIy0yvZlr6B1J8y4W6kkhrQu
FU2QTJNZtu2w6YDJbaZ3cVYkakxHo7QY33Zo2Ij5HBS4HWtpgEbPg6KAU0PeHKQ4FsqtcLwwRXVa
cFGsI9dumUAwC1h11nXRoiOpVUXJ26NkEm8q2MnpYAawJKfx63xoVMZgX5A5et/QuDmyHQfBABxF
14AqPkfgxW196o4oWY8RW8D5qQuJkrdpMUASRcWibjsZVKPdIFkCPbyMdYKXTI6Or3W24XIQqnfk
zeggByKJntVcwk6o9a0T972SUA3zbWuhVAcbvdVyBQ0bW4jc17EAhtBDRO1bU6vRuJEahmkvgyaq
likFqZKB1A8mG1YVuMnGiSF4tvmNaZNsUWXrid1hJ/MzYk/L2M+dUoEUMi4ZG5LAdRxQV+N5hHCX
bbuWnlYNo0qm6F1bdFdtanIQqQVwqo7fOxJciad5E2qevHMi9pe0Pej4bCohSiN+zEuQObsGdOIe
M6AqgaenbFUPyIUtvdWuNluvEh/y4sJ4dyVXSWuGNTcdeLwUMo3aziCOVvNtZnS11tAmHjCovCpQ
PiUk/f26Q9de794a6d7D7xBbkrlNVIvye5pP7jJzITwnXeEboEbgDUa/bocjWaNFOfTzwmu5Qs64
iCbu+YP1rmC5ZwWHfx2FZWOCXuhjStIxrKLM7uthIsBzdirFuKrq+GIYl5nH7DFp6KbsnduJ4veu
I686Nk8KtxgSf9B7lJmiDaiSi7qwNxMqdh4Iwy2YUmYxWHb9QTN6VuEsXco4aBg5q2onqBNnQUy7
nToJE3IQiFPePWTSqbIW6gJllHpqnoqQdvUl2OW9NTxRKO37wJF2URbVrGLBCz9KizuD+A38urTM
L/O3ugWE+8k9EZBmlDFpFk6756YQrF0228UwR/c4mm5MkX1ohi6QFb8qmYkgAyXrnCdr4In1oh/a
SbUZsCXHzf04jnA4n5ga3jWHYzRh1+nTZNIrnYILTrkBJuwkekWG5Cinfq9HSHrL9NqTaQlFEmdU
bqHf9CCHh+PQ3/J41sFMow540AfXuEOgSXM0Fl0eTDGDgnWXK9AJnTBzjpqO8yPQwyqQHOEqvu6d
5kNL5Vlsy2PPyaDG5orMJ1aQIIuMb0owGg2/lmuR0xtdynpRuN0RnEI96ytUHU8l+ITYI+0Cyom9
pqcNudVTfTU6JF/kSRVyO1Eo9U7BXBkQWmIv5OASygL07jTprkyIinnTasiK3NgJh5guoaAG6oZO
IJy22XoYEJQWZatm2VzNujDq/7F3ZkuW4ljWfqGmTSBAcAsczujzFOE3mHt6BEhCgEASw9P3OpmV
VplZf1VZXfZvfZNmaRHhfgbY2nutb22kdF2phva+jdk7jt0f7bjU0JnCCV5YfTeYYMv6xmd5PFoY
3bCz1LHhMzpZiZHb8y5ou0jBYUHamrYlc9NxqftiIbkXV34uSPtqwxFDlt0+omqGLUb9C/SovQcj
iw4s3feRC05t6k4rqYaTjLx2N9TizCJtTmYOYctsatcz896E47pnfKNZR/H9MyoxAgfV59ZU93bd
h9tgn0blMMgtoYKe0C+ZkW18kJzS3Al0SpU/5xtnmReEPUaC+ueC45+r9sQkf2wmm+yXMMzaBONB
OG7HBmd+0UiOCuQgKQVkfNRLdV/5ttoxB9lJR/1PitN6Lz51G2wnyH69oQWRtiqkv3ZZoPv0UqNM
dV56pzZ3SVv7na2hLLnHUHOZv4+7Z6HNdkpR7FnX3Uhxjk0nd42s5hwBvW/b0o3ZvLRtjsOU5es8
/zQee9+6+LHBDo48sE8d9NYCuo7PtzdVNZkcJM9CoA2EDS1eUvKYVnqPOPR8f9WGsnGhUREky95X
gA1kh8NnJhODURzmsOBG9MsbbhrcbgNQ43xp1xQOp96h0I3ZkHptQdv6ufUmlUOCr0/dTJ6aJIFq
iQ69SnhVVLwXGDbHKPNE4B+MFz7w+a2hQ9GboS0hgbv8O6b+Pk9YP/96XfmT1IWRE82QSszrVkEI
WGHqtLG4dJpBJRYzTheL1X9U4KJM+rNNm+UObnudhSaMsrkZukxtpN/5ooOrSJkromogecs8BePL
dgeDrQo7dxUIg3DejXPNSyVNm9lhNw1VWw4kqsp0AerRM55H8Fa3oXn2U34OtOmg0XiwSeteFQI+
Vy27e5+6CYVzxpwpxv00S7Q69fCaVPoX1cRvmz+XyzpH2dRgRl97dYCVcMM0xPuAh7jZXXjTq5KP
yTfIP7AM9KOtuszvWJprPazQ/prvMQS1LHDbI/dHTI7XZie5Q6/C0dCFZTP777EPqWrrgiFD51Cw
bVvQPbstVw39JvUDJtybbqPymUUOYjDandlRHJfs57KkQx7UyTfrV0/rxGjRegvPNqKyHjDOOLLd
MCyk8GyCjpOUWzqdOv+mnuLgblvUpe45vj2n6rOaotsKouhg/P5gBPspV78gGgUtTkyFmcx72+qp
rCIfzMHc8IMav6kteQ+n7mNYXeacHgviue/apmWQKlEuc4Lj2NcG0yE7LV38ozeRzYbRReggG5Az
/IUNG/oze4uxvYfU0ZygeKp8iOYWBi0c0m2bTpuvp92G8xh2daNKSqBsz/PQ5m0/Q7FF5XF+Ao8V
uEobdnndpEHute3jtLTuXLvkUfZsLGaLVmUOK9SaBa8t3Ai+zuHJr4OTPzTffMMuVINmSfsT7c66
d7hg5+TsrXT9RmKzc6340mPCngjzbGY7oBoj1CNZp3GB7xbylwjyiJv5EwKaDdsdktRF1Qp9cWED
4MQboQV0Qu7ZzF650/gRNc6+BCWt297FMnJoS/NdrYcgl759BQNNcNIuHAcHbnlax2PeCyhKxLNt
hmFxu3PDq26HeT8HzeskFC5vNsnHSNYvgFE+l5+kYeU4tPWB8JchperSsRHXhg/ffFVJX64oiL4v
pocxjZsyIm7A4WXOqbVvo6H85GEY3AWbANM1e28rX871YqJdWPdh2XlNk9MpnG8G0C49jVxRRbM6
sGWLdtIF0F88SOhhbZdvCvhKyPlH33mHOWx/bFMABWxOpjtXecXG9bvq/QLSl7oMk19yNxwGoqK9
9itz0976mD4LqSf3UKm537V15d20tclpj49ESLADks5xNkLGygb4aAfX0tfRzeUa6Ztpq46N6n9I
GPMYzHBdzWmVFGr0CSaXie5M6viRiduKmRr+1RyfutFA6YGn3Da6gkzfhsepU1vefTCyhHfDzCEB
fSx9NZdx4n9GgqJ0Oa/wRapgG1GbSy39fBwXgpFkgk8+lRITVgi1ZkAspOj99Se0Gy+bo/5UYRTP
AwFdmBAwS6yFxsx9G5dx4B0gnugb68xT20DmY2gc6NosOfTy17Aff5FDFxa272kWCQgsOuFbpiX6
FLkMt0OFmrvE8rVq1yfquugYCUiMwEbGjFcDg2vzMITujg3d84jbMUurHiNm3w0nCorwLiTdWg6B
jxbMBC+yPYzOVcWqNj+PBoavC2dw19CmSIfqO/gBtfNc1eW9U3oXwU/qcDMt6NK4P2UTCb/49Q6m
gs6oel2RJmIrrNI+ivuxsZXaa0GfA7XG8PO3N8oGneufkg6PTaRvO6V6lMaozn3JPufhS1yFP8+h
LHPwaqR7ZC6G3t/dEoHWJrgEffs4LOqHi6eyMz38H1t99/vQhxsE65OC3SHgF7KVDs82BQbGN2ty
uNgXIB9+ltbudYqjnWbdTfwdA0hADmOV/LA+VAUMymv36HT0i457NOtVSdLlmMbrkcXyYJpqybox
/IWqHadxlJkd3dAcTKH64Db8hkt6XXt8sCPkpejWEN/uuOs/qiQ1xdgnt/6wC1OvwP1+a8326a9N
MRBx23e+zZSaf7YAbHC23y9bdz/FGwpqivJLO3lMvNq/nRnGZbgzk3RN2boBlEo0evfV9U2axO6p
F+HowNY9VKNhe2XVaXFDDQPZRZCw4XovA1lPtTTfHWiMTThxMhXENUiVNxYvdE+UOMJAPK6KNTdh
Mn0n6dieGowY07ympRc3aWHgDWGy5305N66ow3nMwr6eDi6t0MZPEaQRfEoEetl5HJPuPMk6hORf
9blHh/hEXT+AQpx8jC5sOsUiBgIWhWMxae1B/Xpq6v4DCe4NdJh+FqzZkXgLb6OVTGUYcoyfkOUy
GchpT8IYF35lz70Mb9CuxpkQ1Ntvu5SjIWoiYHd1Ik/jutytLX0ICXpjgl78qFN7P8fu+5bkjYlF
FjVTDJlnQQdEcWOAZXQbLJU28jFS9TzvZ1ahqQllEUQzjPr6Nly23dp7266hPpy+iLpyJBg9R9Xf
dgixXHqhayigzJ5WD+hVMqHbgn5wGHoS56TBMT/Fj73fycL4xt/VNUzvVJiToOaFNNUJzRQpidfJ
fFoSr6jG5aAc84AxtAF6xEbmbrVngA8rihHupxVHwxnNYJ8ttguKltBczLjC5QD/s2oqljERvNil
h3MAag8NbF2kAQZIvSwFTwJ5qQOAdkYu+LcwXfVs4NgkcqcwV2OK6Qn8603kru7r29Si6i+BV/aJ
egIfO2ZjjBl/GP1658dJVfCIfC5R1+9oB48Utj074KI40NbDkedVN5UX1CcPhQRd9iFclV9e4QK2
NcPO74HHTVa/tit7arh53jxmiyhqPvmbVgYuK00cxNplKmqCmbuVn2EAc4gNXGVpE3yPpvG4oU5V
BBBGkE/DCVhE/OV7P2VPksKNfMVN/oUNzW/wCyQ8oO3dTkm9QzbJghveN7aGpdNsZeP3RSRd9BAu
Zk/tMhaBER6uhmXHQSi9xwLtoG2pDztz/lrVz17LH3G7vPg41LcQNJqpPgb0F5uE1RjrGAOuFSXa
zXHfuumRVPigJ1+IIzygVxUPH9Gm1IlO6kccA6Wz0ZoFNliLxqMb3g/eDaH9SxU4yNcCKizXb5Bl
MOXS+nUk3auM2LMnGUoIKLCsWpYjG2mDHlI0mYDyBIyN1UciPBzoY1KYtlZ3XWDwneH4qnz6aRN2
kjL+kYZbuJMmLLxmSg6INED6maAwhl4RXuX+FZ9bt7Q7Eg1hhqmlSGUkMAiF5LBFBGbrJkvRexgt
IXaaREKidAEuwS1+jmRoc7oBa/M9YNp1zQ+QoHZhs8AX0SqAqT1haBP7foVdrsGFhl0N718bCdWq
OqJtTg740N8dxS3qCWCiPIUtGsKEnyeRawVWgQZfMyz9k1BDZpb1p5fqzx6KbTZadL6uJv7NPEct
MOUfqg/eNSht6CbQXNOwgzmYaSr4VX/5tF31AKHoxquk2q/DBK0Oxj/oyFwG1mabzYXf8gMjNQy6
tCprDEmAKPGXq1h8zWpYCsX4LzVrCXzYroayLLKGdO3l1/+g72ovkwN+uiAZAikJ+DKz43QWpvkR
NPBvtnEQGJTCZWe4fQ+i+ugHgl54GhQB939gB11bkqqLQJPjL4YOlp83+/IiDVxZMkNHh09mdvMG
u2aTQHPfOZrli1YdLPPqA91MtiauOtd99EEszZiunpo+7HHMLehMakB9uF/5UsyRfBUmQP1Y7Xcd
s3Jz0Jfc+mqZsjk48KcuCMXDhC8c08+9Ef72OIPSrLAUvwS875UtTR5D1+PMCXSQtSuqMWX1ZxJH
FpPzWEN/1U2x6VkWet5csViYmLZjt5Fz9Tmd8Y8kJIBexvw+qKFOu4gDxwr7bccTIA+jlufAk2+g
isRp0ZPdDfEGc55hGEs3KTMRMuhEY7oVZKS8wNx9cFH7YLYNYmdMv2YbQzFVtS3NLEp41BDYlxtQ
2sC1FxQ63eYjZw5FHp+asxiH4vXNx1GUVZusD/GaB5wuCDlYFOU0epNM4TAJyVNLCRx49FhHPUH4
iFwpom4tWvhJuQpihSzCGEA+qQ8fbSfE3ajevOWhh17sKjIWjVq/KgIdqZ1gpWPl3c5q9YtYPfDZ
+oaMjd05v2l3MGbuXcf9vGYdZmp4rnaFvOPbKG8afoebvH0fJc2mpK/KoSUPmnYmGyjZqdFzx95B
i8E1ijuazOGhsvWH4KOXh8GjVhSUesgnCNOu221DWOVVOx5iot1bdLXyJRvg+tU+uuBFnlc97OpV
32M8/an7hu9THlYZdG5IVMoLUB+at2QyQTl321ktNgFNVpldAFiLib3pUNPw/b06vZLCArLLG7t8
KoqhcWbtOxg4eqi2/sUst8pfxwepLQfZSwi6oO7DAuTFYLl+bIlpL6JaaT6QIeNDMWjPnnggJpjg
EIxz7zrWgxc/MDe/w1KRpTUdNLt0uwlwphLguRkbYJk2lW0AoauDGMKg5Ia82jX5sYwmPCFzE+xm
kKwp3psHJkv5Fk60Co/RKJqbqd++AwqGHFCx+eRmbzhgp55XOPccXhVk3l08gCN5Na6wpwwqiNQd
rFKd11OPQjfCLasgMzDo02167v2Gv2NIg8AbvYuaVyAzYlt6a6ZJC56nEXdTitnTuOgnlmrfeK0B
ZTS2l411mNEicnb8NhRIlBCIQkWqgav75mFKHb7fdj3YyoDdutro/9VHSm8G2abMaGA5Xph+dTA7
qZ2fYO+Cc4rfGgmQv3dQ72avzykpNaPPIu0uW71BPXe42JGaqTI5fvc0cIv/skxsYouhB9UxKI6l
xRiMeRaXOQdB7u3FDC0dSYXvFhJONMNUij3+ORHxpJL2PkjYmmFpz5WpUSfW1gB1MCFauOqZSBim
nqaGILw8BOD2T7L7TuTS5v85EXzz+3NF/kr9/hH6/d/GDf8pG/hHbhgBuZRcs2n/nB3+/RETf0rV
/faPfs/HXRcfEMC4+G5Z9OvO799QYfbf7PpIEmy19WNo6ynDgpG/o8Ix4qw0ibHOIsE2iz/n42ic
4o4mQfjbKsjfwek/Qd0IBf7t//+Yj8M48VdS+NeFGn7oYx85ibC35s+kcDIoHbBFoPKloL2whHLd
VSDsMWJd23KYpT6z3/swvSgJXzrVOcYmMJdyCBGCA7GrWDIdgtV/3HqlCw8Bvizq+anjZM1RUV6r
jZZeCvm7o+1u1WFuTIwfKuW089b2pa7jQjbrPhV9aaQRN8LWXzpV+jjTuio7XWNERd+ei8q/Rc+w
Zm3qGdQcBahpEbBPYtdDWeu+dQm/bZMmR67wqQr1Xb9+m68RAqBbsPQ4LzBTKzBDtX9Sc4h66eW8
S8GM9KwAH2AyQiaSJ2HzpIT5WJ1819cIA+R7UqadIwXQhgMYsAitX/xojXoiHk/vEw7KyFsLD/wF
nRhyN/E3plxYaExP6ZzUN8v2WrHK7sbUu7TALvOqg+Mfb3eTGX6oOVBQJ5BOif3wnobxE9at8bJm
+s7Z4PP/rLj/s+L+mRUHqD2Z3YEJ+G0LRObLmtIy5be+TpDUCWl4AJAj4Pg3e7fZAIRofDc1UznN
cElZ57dQeptzjdMD44uJ8nZNgmKooltyVZ/Avu8DPfZlrzuEoniK0QohAGhsPrlxLr1Yi+SeZwTf
ad2+IkJ5MCG43qYzR5ukbzWUMJC6jsCFZOoA0pEH9CZM+x+QhkgOGnoHUBoTA5dvFMBbMc1IwyVb
+Gx71JB+rUmZMHS5iA9DhojGInKxe6J+ucXpdm7Hdo+X2EKZdG9qQPpOXvNuGuRwmprgRjQawacp
AINECUg/+RKt8ifE4KepYzVuaO2hfIo9mc3zgtFhBxrkDB1D5r0Uw80ie2gNZMxZHx7muvlKI1SI
gLdPwAIeEiHXo5KuXI13B94m2PlJrpQMHue6PYpohMMFlBdJkSFDbBnhggX9gKYLlOhouQj4raWB
NFUgyRnuCPJUiLX5LfrG4VE35jDxHr8ZuH4+pP6N8YQrQfz3+TTVxwVNK0yE5EfA+u+uRw7KrNqg
x1riQ8PM7UbmQy3X9TLoMKuDjmBci9F+tcFuMeitwhC/MlzrYusa9dQmqFLNNoFSCOobu9joomBQ
1q1t9p1in1F/V+ONW4YAKCLE50CAYfNaRDk9WZcbOumDcBYRw7DZQ/dR2eBiSKFetB1oINEWzupF
qP5rASuYzAKjJgHwpL3kMIwVQBQqIviHGhMdBSarjEhhTlY3q8HQCMCl9GlXppO5ovj3NeLPrMcH
MD63UXV3/d9ppL941fI++YAfmxhJZ/mwMPK2+P5Tt5E3ELVZwz+9rnoeNnUgQY2gBF7ESEo2Bxec
A7dAoE81X56AN5Qt0xmN8A2CLqNUgCM6LF1wQ0HSrCM48Co4j17wFjZpWQ3BYW2Xp8oPLwhbfLM0
vpklXOmu2clobS9+GwCG7KrblgZvY2+PEOTFHh7e/cJnd1r8iaIHHc6mWl3eLrWGORmoQgU03kfz
SDBqOVg/EWaSZg55MVcmeIWOBn8jLUHEbHtoa/1ci120tWMuQYtccNkgwrp8+8/7vv9lSbB/1dFB
A/6XKw/+ySNx/tTg/fYzfmvwUjxpKUWqC/sMsL/CxzKD37NgeNwLnqKFPwAESK8rUhH4+nuDh2UE
eB4awPOQYUMB2q7fs2DY/Eh9tIXYqBrEPrbO/EcLEP5x/8G1rWN4xXGAHTX+X/q7ORJNP61DDDDh
kaKlODWLPhpnVcnsGu/whKLmBVV8hvEJJZ43w0MdzxXyjgDWob62IQKto3GlAaAC2lIjwySA3CYE
1lA9Tf1h9GGWQb7ZEZCe+3RDSrMeQpwBIc8HgExFh1hvyaXWhW1egZu0SGGQnM8tLcKumbLUV6dm
bHQxCXuBO3r0U9S6kAPLgGvo4UYP0hsLHtt5t7Vavvjg0UPX+d9iCpks2og+1azyzzNlB69W6Y2o
AYNtTVvDlG1V+Yf2/v/RMQcI8A1/XijhY/M3inqMFpyFAZbJ/HGhhKZjsigND9iucBzxBJkWOBzc
4Eg3kI4Wv0BagyFnwO+AZsGmgYKVj0u8Y2pEcGH072EK3/GIzfsQTIQzc3IBJX2jsa0LJnhaZcva
PFOoh7mw6s7zuYYGg2yHN4unf/1W/OtL/Ye3gifxATlAmpGyv1wb0LjXcRaSQdQEuQ3gcg/yFCxb
aK8aZHcD9ksUCYOGCXQCn+URnP0Z5wo5b+u67+rqy4TxkCFpYR5j6H2Ehh3WHGKa+ts2lL993r9t
9PhjaPT/13EyYf9638pvDwD6c6359Z/8fZgMWYqNlLgAr6srUcl+GybxtCJcj8h7ptiqAvfn+viN
P9Sa68oqjJn0+hyVCAXq91oT/zdF1cIfYffvdYfzf1Rrgn9InWLGxcyK5S0Eu1awrPHPt4ack0RO
6RZkZCkkJOEwovL8r9mkYQRCZvVLt66QbkYkhwQPMF+mJDrBBXyNeDEAD/s3N7H/D1Uxwh5WrIMC
J4TSTMO/5GNXNk4R6cMgo8Rue+CNe9Mi1aDj9tj3nwnUvJvZApDSaAOZ12J4VItfTrFAZg26XGyx
2qI22b+5HzHV//l+xCyeYB8OHi2Fvb/oOP78+VW9njhlMGrNFKS7sEUWdsSqj+Xaizpii2VdcnIx
IBLywBvuV5YO/+YlYGfjP7wGHElY1USvnw2e1PmXfTl1SG0XBgrx+rEWmZPOz/s+5BlJnXexSnSZ
oEEWsWZBcmMDkjz+TLbtgzvfnSATOgzVD244I53Y5Vvjyxz5hhbW09bA3qjXMz4AyGrgD3dissN5
dgyOXNIUqDVhCfrOL0JTi7tuWPbX9Ri8Dt/8OoFrM4D9DggHg2UaUOwAmQgI1rrqXyjb3tNr5HbG
vL7G/hu42p0yhuaVSQAUwx+EASCbc+ftsYF+LRZKzzW2ueVxjfA8jHVaDlVID3qDKKiSLi0GGFY6
WHowZPwhZpMtx9rdDmt13T4C8ofBU5gmKI4Wu0BGOE5Uk8d2rM48xeDBXYo03Qp13NXYseMLxy+w
t4Ch9OZ+9uvXcEWGdvb1cxdPbwBM/b1W3ge+l4NRitz4/aoLcv2tq/3QSHq/IJyDwHH3sRoZ3Q5c
jK8xJccuGOkxYeaZp11ysmHt56QmDlFl2iB4gm0Sa3S2WoPGW7FIYxPNiv0oEWKmiThsSFVlxDp9
WCZ3acJqD2W+Lbshqk5pVSXIjDGRCW8Bi1ED7A7peqKtNJfGS8ulS7tTMtcnSUas6Nl87MOpbHVX
ceARoOzksRbjwWHvUM23Wx8UviQ+P/H0DYFBYPDTxg6xwh4NifTcGDTIu23LCDTWD86LD+aBvaQI
+N7DVsRqoKm+q7H4RQmkEKcB90erbLQfTbAeIw4GCxER/C06A2TliGxi/i0NtivFLT97JgWOOZfD
LO6FhJEwLM123wN1HAES5zHWAOQ4efUFVBciigHIE2d2gyDIntIK2MfUQBDfYxq9JqbEBQMmIrKp
h0wjHORepy3yVenjNHv2wt2da5H8VbzwF3BL1sC0WGcTID+Jmhb3TXDC8hBcynF/6rFsAywADBDg
PgHf9DHEPhtv5dOtSGVyXmb8UTLlDY6Ut01wAjAEK3vmacL78mr8yOHnoiLwQq267W3inSw4bynH
Zl9VYZPNsZzzEDtzdrLZAOAgCQDGHNOb85GwEeMzoIv4kCpDr+ugyiYkYFe1qfYG/to8GfBi6bjl
86SQeVPylhh8HOi6goICVkG0sbOAH+w1wux26wx/BJrlV2/kIZo8BXpwhRce23PY6yFHM7GeesDJ
vuclx3HB3izE49kDnc5bhRUZFfa+sCWGL67uY3FrdBCXiWs43urwynEpXeOKoIO9GtQv3bIwRD6p
Hn+sFAnbYNRJjm02YNVrlKceAdFMRuXqr7DBCDwbbtC+qPAX4EttYdMZd1uvkOTfMi4rbDsx65Fs
AWz9goYmRfqjMuAysJ8H8a/CGruWFfEwmCKbRIAV51icEyObBou69uohUxSqpEqbb/1y1QuCZTcu
r10dVzepTpBSQYYnWacbhI1RRZzoHzVWdWVJ7ds9pIbHAOI/NqNp/Bz8ypU3yK8I9UsjOp7Lyd8y
LEXy92FD3oNObzfV1cyZ2nC3JBwZxwhOSZAEywmZOmSPBbQaqMcCqOxYgwNZLuOvqgOflyz0LIbM
qyYxBiBSSZ8i30/fKsFggMzVZyf8Bx8l9IgVCbCd1rFM/Azpf7tLfAEXlMoF7jrtEbzynpnf3wLv
eIwQEXmNrPty+PYk5FdkkcedcRXS8UESYuS2W4EbvCsFYmCIkp3tNn7vRuxDau3WQ1Cw7A43Mx9t
hwkibfKceul7q1u7H2oZ5IvpejiT1Vc7zRg7+mDLK8S6Bn3FhUHNeTlBNK73ERsnKBkwVx079GNz
1BiNl168GuGCHe3HNAPz/pmk9aG2HaKHXhoesE/nBftpcoxw5QAVq02e9bYhYxC8aU+OuHyuKfnA
g02Y9m2uJ/8xmJFfcCLaJxRhkqmafvBh4Xvk1e5gPgN3G7Ej7Rr18SDeYx4Br2u5HHNy3YzVJrlI
tbtd6ug0DWAcV08/jrJ/mWhqsCTMHuVTK7dTR5MzDqMYBTMt4eh8mKEPdjh+DioYRW63xRbxinVO
czfyY+LzqGyoQcJZkiavZ4In7dDPsFu3QmHVBowmVyO1ASM9sVj/fw12pYErYqkz0ob8vqftGTtC
WkRz51vcxhL59+vqhjosWNs9jLqHaWYRaUTGecyRJfQQe2V8ujOwxfOuXTBdmvYLMOJwuy7O7kiD
tA4x+j3Qmy2GZD40KeLQ2LpQAP2GPpQ+zTGZd6DLNiyvMZfZjF+sB3LcpuZLL+zD9/oESSbEhzy/
ZNhORnT9jj7t4HcpKGjwCDjOYNr7PncIU7byFPNbYBtDjjzk51alMehG9y0KwCNCfMMKpxmYHodx
p2CHJ6MwO8iZDeItgXcbVMxmiZKFIsiLTNBRkafFYVop9qwp1UXtvTW2xUa2FpH3fsJ5X8c4+9pm
vpX2ItuAFjrs5UNi4nC3KjQHFvQ2IqQKSylAWGtTo51z4U5E+E3QBRMkavkLDUd75zxjcAuPv3ir
5JcOObiMRBTf1TzxM0MoBqGI+IjnTRGkTNVYYv9Yk1sJb3EIcak53NmJnV8SDG6qd/B7g+21xfKE
fZVqhEUqdashNtzhhk3vhgiqll9pEFL+wPNAqw0sskWR2VLE8InEd9LN0xEhB8TY/bkrl2iB6y9l
sDPVbtaiDJW8C4EYgn59Um58wcT6OTfNi0Rlz5YwRl8xTjejQgMFd9wUUJyRhOYahb4DI6nRZZP5
jUgE0rAcbwFj7/1g21FIWk4pxSJBxCyTfTJCtcZKrOZg0OMOAUwipPcuA3LqcPnpARv71QHrUIAy
ROlBtsvHAhPlANt5fdDuAJAnfJqiHlgsINu+6QCYRtFDu4l4HwyKl6S3wKanZC8HBBRb7Kk6rNIh
0jx6kE9Vvce16BecYReCYVsCMPlmriX4jhVXYQqHd1lPJpxzJPK/pTMWbygVneF6t8+jtz5AYYZR
K0Cp62R9GyqOoL4bHYID90YZdiuWEHmCoZLQWHB2gItDVIAD/e6G9KuR/l3Do2PLU/z83i4Hu3pf
kTfDrwbUkNWTiosIWwwW6ekLqJv/Ye/MluM20m39QkYHkAASyNuqQs3F4kyJNwiJlDDPM57+fJBa
blv27g6f2B2xd5/jC7nbdpHFIoD8h7W+9SY7IBXWoDhH7GR8SIbcG7L6KKg01whkcKpOal7zjz/V
oShOLfPuld+zVDfGASmN2I8ZoMCocDlZ2slz7WHwDBOmRF4jvpIhVvms783ztz+qaAHshb6CThHn
d3IMb7gc+nMduYstD6nNgAGutJozSncALUODyDsfNq2u+2BmcnelWj875c58o81xsp6FfZ/omB6r
vL5q79qkLkkB9qCy2V2kDW9MTTtK9MdAWfeJSnbcY8ah01Crp0EPLpLxup4joQ1MvtqC+sNl8Z7G
bsRWw3xhcYD5y7LPUmIijVJgNAZkTsMoHvvAvldm324qNXlDKp6EzdHlSMwi2Cnbla0md5sO0UEL
nXLtI6sLZbxzLPpbSwN8Z1xTP6lwvsscpyeVt3Wd8paaGqHUqrHLfi0TyAOUUtaWC/KOWclHkbpq
NbQAL/Og2JdanK0yPebtzB8sjqkclERfo8Hxt04ePLojg5hcQAVS80Ef3GQFbAanlijBlIwmDqra
fh7ya26VZy34IDXjzKUAZ4+ulvLY3srUOFdJr24GGoq2yibukL7mtKdALGFhrZAmzF6Dzcg0uBfF
ZwZ8PABDJ9jwwSDPbxkyG1XIQehgTAjUJxYSIFeMF95ZjCiWBXAhR3PT9Vxrpo30DZ5CMeF2ndr8
edTszxy/9/hx79Oodb3O1d90NWXIIlx9bWbHOUdtBqTzwB6ajpsFCb/QidHk/NAOWDsnliRVF6dg
kmq5zWXbbMJ0aNf1YFaHoKmfcC10H5EH3kbi3KUxU8sCug1dHjbTLPZSdknrbgLbmLfi2Or2nZBV
i5aQi2tGJQqGQV2pn6BfKteDfoHWXvb18l8DrWs4NUtc2ypCmlYxU4zcDR4UOtdVJxOmpYGf86zp
b7qB33aX4PRNKVU8GDNB4K6tuq5Wgzu5XoYISs54UvxYzqfEpKtxk5wNuh0kqyLHBIbyO0E76sde
mPPlM7UtGnlXZ9nBNDN/qXEjrwla2IYKB39SJ8P2F99Ira5NKmPFmf4VBbi7tmPE7OVy6ZHEsBI+
K/HeeVS5Mra/yEQ68CqAgjnm/OxO431eIPPUavNoc4uXGiyoVtxCZcnXZjAdzIIq8d8wzXuJkqj8
8h59+qcak/9Z6Ll/sXBg8P9PJCT/NPX978hl5vd8kV83DoyVFX+RiQx02fp1Cqj+ZiiQysoyl8QA
5oC/k5RY0uFVCE0MApeXAKIfU0A2DozieJmDAMSRtvwrG4dvLO/fj7EkCWIOCE9BecXy4acx1hTb
VZWNmVyJlDmI1VFv+p1k6uKwoWRQL5eRvbMM72PD/BClubUHCfFuCVu76byhCXzs0WFwy/FPfZBi
rcud5NCyHYiWNcGYFcdgQmwqKWSYiWF++LZUCJ/DZcmQLeuGYlk8tMsKIluWES5biXlZTyCjzbyK
jQWq82Kvlwb68hT4iZt0T5iQtW1doxSxswYdqpE+lN2IdFfRYPRVcZ2nWl+3Vvw45CGTKVheSOTc
S7eM8MHggMxkqD8w3Zf1fGtS9O9yGHBgAVgALKsAh53AHOebvkphOfvqmOrVjcrDeZenxmMOdsxY
BugOk/RkGal3y3DdMYMvDLh2xTJ2B25zEs2cHuBHLmP5oWVTnzOpB0RwI5+yCv1xFZfgMovtGGXh
tdVdmiYzqXYgYxye+SPGObAVqYz2bu6aeK/wTdg7KtIMu+xdNmFJFIZtbPzWgJNQtI9YsfL18KEL
cZstbKqiLZpd1EbTqovir7Khc/V12E0oPmmzGaeu8x6WrJ33WNUhychQNNfGSdJNkIUcoq0Y9qWL
qalihnQ7xjh5hlTbGkNHn5IZeyWm+17RrkV8E/hSY3TqR3Ub6HO2wilFLQK1DvO9f7JinPAYISNw
vOlDlnAtgQ/a9OGwy/30NfMp+aVmvrZBCu7PRSQ/zbgPx5Gaq1TzTunYk4CBseU1zBujycKbLLbh
TTQZP86Q5DTiDuIiHJ47DRwQOFN8TyWe6jrsg8us9HvHTI8Zy3RzdsH1Di8ykBWshQEgIRMEL+fw
3c6z/m95jv7veUKSJ86q4L9+Qv6Uj/33R+L3V31/JLLHICbe5dFn245FhCEPy++LkX8G5ORV0iZe
5e88TrYfvz4Sl4hs9xs73l5Ccghc/gsqu+UL/f6JaDvOAgNla2hIXPg/rRsYWLitYQI4DPVp2muD
/l4VyhOlgIqYuq8GU2iEm8kKpBd7xfDexXQzTPY5qjDMlTjJHKYwThPDONa0YiVydcpc8zvxlVXa
n2sBTf3P3ibpqw6fIBnTHCy/3z/0XMXOXNNQ/n9/3P98f5yl8fCzc2aQ02qk2DNKvNbFtHczDaEm
Z6K/CtFHTlWx5Qw5aAF0AF+HZmTuUoXfdmoPxEvuIsbepai8OGsOoYXHsbv3600/uZsY8JIdUc3y
TxmG7Uo3hWS92Pja9ZyUW9IOd5CCtozE11HRbwMgEuUQeIFmXTgjDrZ5DBHs96U4JSXnBlM+n24j
r+pt7vIlJWqzHB4nKDW/9/JEP0eucY6xhAZ1ftObEzQR3bOwj031wedW6RYnGZ4uUEe44CjHzY8B
Z5Gaeffgy41QIbismMmtxDgx2aEcRqRUqxvFsMHQ15NOSWzwpZHHmRWHdxN6VmF4vXYcaFtUhwpV
348Yzel+V7hzmqLwXJrlIX/onXurUOsMGVxoKiDwqxr9gjb7HjQvkLrBunUZB97NpcEt3R7GNlhn
kXaf+xBnbjBZbUs6Up3hba1/TpBjJB2IevNZTK9jk+3dxoAWJXD9G9uRfmpQxaXIv9T6c8VPpEEA
Ex3/RaV5nWh3jS7WkYi8mV9hVnoyVoC9Km8Y7nO6EnsKvRa4dl5XW1X464CLo0Fcvrx3g96p1YJ0
lcCqAb0w60+Z06uN62Zv/085gP8Nfc3uS7Gk2TT/IW2Nbdrshv/rQ/v5U/f+k5j++0u+n9hLz6F0
AHcmqgQTyTQ6mx9SBl0iylQSlfv3dJh/SBmInEYTzwH1Tfm+LKd/9DAc2K5D+KD5I9/4rxzY8g/K
mGUTTyclHIFmH3XE70/CCAd/QX2Pmb7X0wM5DOhoQe8x/ZEeNp8vgaKpaWTuepFdNxvAZVjOxAw8
Ia6rTeE6+baDfrvSpoUhMRtftFkgLe1ZaFRwS9eTlU0n09JqGC76pwLCPC1C9TlnCQd00USHNcBL
iCz4BdHVj42jQbLJIWExBCkWD2RjK+vQRnCC6Zr8E7Zb/TGYoBWkQcnoMSvaG6EDtI8GqFKDzg66
LK1NUUbtzqYa5e5nNJopaw1VCWyAW5p7F9KEC+QXwde6sOZuC+Dc8Vz/RTdrcyWBLBx6Pf/izxBQ
BOx5Ld3O3cBzleNiCl3OjEFg9dL6L64ouTJ+vXJuv0uSfmtTUEv99lMFhalCN3UpHJMkNpvG9req
q9Yu84rPd17ZjTRuQY91m8gX1UbW/v0EPe9MjMkabFq4zscpOONfPvspTMKiTb/qmY85Jmgey8US
boVtT4iMeS7m/lKZj7rh9Ac3hq4nu+SpA2hjAk9HGpDEm7S2F2XwbaUV+coaC/cBPjGpFJ11bpdh
jLmMZeK5ZjOq54eSiU2utjClGKyFduxNQGQOEnBRpo2FZ8VwqvJCOhcFSRLEtAUw2JKbSgRrt/GD
XRcUct1pwMjbZZ4UM1iSc1rss5yRDwuV3lhWZO7GXWZRkJ9jXKU3BLUAr2FaVS1zK6B1TIhD3/ML
yQSz1q6oEB3AwpLT3YAFp88adDGvUXWNFENkCEflZyv2zX3KemlVR8m5kN3XOgZ+loWpsZmz6Xlw
GSIXQQw+iDp3n2Vuss1u7T5+d/pKe3Dm4dwhBIBKxjGmXNxHTT2v4gLSH7glNo8zwLyhC9pD00KF
XihdZcLcUTkwceyU5B+r2tOfy40V9+ZNxoiqdoGy5JgS7Sp5mBuDVaf72MQxkSW4ZdZ6KTZ63+qX
SXA5V8xT60J0RwGiCOZbXq4H1xp3Ot7ziyjcNxDbryxOQ+9lzlnFhGMb3oLrwJ/tFrSvqckVMCFG
d+Nok3RR5EUhqCNZmtuUU9712eDUgEudNri0YYu6O2rJ82B420639RClR3CPN5r/XNribNv1vR0M
fB1fHUoZfqoSc7qHCLYjesJIzBmHHFiV4taQsYuXrw/XPDOOsxThHpUBlAFh4rxpfXgYwzNAsm5d
G+UhRyOBwzd99U0wI0TwINiTLsPsCSiqgXw4gguJ8ZkSqM339iBfJl3A2CvwzeaZ0CkL7GSn2yM0
l8hcjWm+6Rp5NeG5xSIt8RCm1dpGMx6FmgRYHJcerGSuY9TtPOMGtu/jZizmedX4kHcSVI5sAtmE
WA3XT1t6qW7TFxftHYz0dz/exzB8AUXLi5/l8bmLg3M5aIaHqoalerckl9RjC7/aL9dQFtjF38Wh
5D4dwjcFJa/w0VTWrl8c4nYmCEsCghvwrXcuhgMWlqvUClysuVvT/Nri5cnSJUhApAAaJiY01k6D
auEh9EDDMraHeNCuSQOkqxomZyVV+SEp4dfgpX1SZfY5qovXoeQqz7WSZdEYqYsd9fgBJeBeANET
rf8taUf6ummBY3M+gTKf9a9mqvY9G8S4e9cG66BsP9yiaEj2FVZjUlPG16ENHeyuhbuGxtwsgK1+
XQd5fB1Ed5rrOrjXJEZDEkjAabmGcQhmXT84/EuRA6aMZthIeQDcWq9idxc0kG7nYYGlsH2KewgS
tunaACi7sz4hTxNpnnkjG4tNU7KENhN0+ABwuq4C0dPEzDWK8mzE0JN5m2h5ez5q7Pe+V5Tzzqpy
SunZ/1DaIZBOJ3vSjYEAmZCoALdjQQD7ZptKS6y7emCFHiywROY2qVZC4mOmv5aTeUqFiI4ZoMu1
Lp7bNH81MsxapIOFWx0grFtjlWWFEeLhT4EY6mlPVAEkzDmzIs+w6nWd1P02bM91iH9YtxpIFHhQ
lYknXMan2GVZNHTqSQvrK9UwbNZg3gymtq3iXQ26LFTIg1X7OZjUc9hox2ks4Sx1cFRgrkOQg9gw
suqewGJn9b4bJBjkmiC3vLrqLBlXDgBoPbiLRXPQ+35LNtTzUrAvPu4e2X2YjjeU0NtQQCWbxlPE
iizZO3V9tFr897Wpng1czyvMMvvBz3iKvev0YQjVbos8/BAV/pnhJegkmi+ABev8ACmCNREeMpsh
nOMzgdMThqdh9ppV/YmpwVixMLAqFJGAgFh5o2KS75bGDA1k/pm8M2aU4VFX2mPW++flu2iwvTBl
0JChyAt1482MtIfWzBHUjOAEEygXoIGDxoWDqqMoqLXcXhtmyTbCtaeDFQl8NH5LvoQjd2UXfp0T
tW0roIFN38ZeW+O9W2tISkkNK7Y2K9FL3AYoi5wPFc0eGHNPA71wrI30jn3ch2iOshOb6+jKJbCH
VfIRr6+8np1lA94MjBabkMApvLQt3kIHukvrrkgfIafIbssjL0hgtbKzEQYhEoV+6vyJfZUZiLWS
N7YevqfDON1PKGY3bVY+c8XhGLacfhuVycnQggB2pGlh9+nYvxVqwZEbwIVtRHSA5jYtStUNFGCW
hkoEVzzbPCaTTdNb8iaT/os2DebJb5r+6g6EjZECkQQTao1SPXaLm7+R6ccydse7vjBbEGTcco31
3hp28CFZMIV5Ufpo6buXhoJq9B3xAKoitbcgXOxnZfj9qh1o9IRL22gTq/XsV/HIAlOktyoEmR80
fsz4sbgbu/qi7Ft0FXvLruFTJIkXO4yLmpwSTMffvBcmWkgyt0zYb5hdArKD9nNZwmVwtEvvFsVW
s9phG2P6IbGIp2nN1ixGZcEdgSNduwuGOtyb4A2zCX+/EeU3pZyaDYyQh7LFCNTLca/5rnYQGmSm
CdLEdogQKPbGc4xyfgUDLjwSWDGsLOlbB9mLT1DD8v0k++cK1hY4K9hDuY1dqPabI1hvAgPDtsMh
xYw7aaEmlkb5IR0VQDSoPMkr++ubLEi/xnGwo1KS68gElxHqxbWHuV+Wt4OP8iss8LT1ZnO1YIVV
Naz7fPw8pelXC3M6EwPWWbX5tar0cxZdipknge73Gdy98QRULV2VFbEZ/qMDPy/1d1JBEMTRu0Yg
RMVcn/KUGVxa3HKk7gMhjgC7nkCIHBj9H8MsfPA7862On4raPQITOldmz7iize5a0htUle3NzNyb
XXG2ysBDY3YO/ewC+3Kq4ZsOLhdMlm36ojgXdnIXEXECwPyAtPG+d8GhG8nVpPogTOIuq0P45+Op
1twnJfwXSsRXwCzMNMR7UNQPeSb3hoGVqCxRtdT62xTQtKCxgMt1++3RU0I0Y/aZso604MnwuVgZ
34/ESXOVSCYGcfyx47dKuOQTW2vUC5S5YOHPXQ1T3u23SFevw2CvI3RZMBAfQJDsAVEQa+C8V1q+
8Y297b5HGPBhA3wcUQg2abqPpXae8+ZTBhIYYWm0hsx1iUlSw6617lhNBOA6nKA4t8YG7Ss3dwD2
wrwMPIlraFAcznBTcn2+hb969St+5GbsoDEELyBgr6GVbmWWfajsbZQOW3KzNsHApZRMNzMZZ2XW
8asKVmE7XVSRb/Ssw+GsDTdtrR4JO9plZGs0poENTQAHzsoYjTC71Vb3Af3A3OCt7KBnUImzl7Dx
Ha+iKthnoTpWmGg44NKzaWsvdpvcpw28ThUPJMA88JTEJrHIXoCX5oN8S5LgpRiTu8opbhP0RGDe
6C5tjNDmAHwsasYzYpZgwza8Bud11xi428CcY1x8LSEDYb/ZUmzt8kE9C9O8wNygxK7bS9KFB0vv
PbBnoFxKviWkLo674EjtRh3QbKKp92RgvVmpz72nkg+GIPojtPeNozgFcW86/nNaqHs5TCdHg5dR
a8Q8pYHXV+KoOeQK2IO9n8rovhwuLpizKc4PMrMuVqO/9VV8rFz1QBXE2T0C2WHMpcevVpWeXae/
T7l+oTRGZsrqHFFbVKp7Yb737nglN2rfTurFzN1HN7DuKUuA2cWvTZDfghPlLEgbrN0W2rKsi6Bz
k3dIKWZEnj+rbWciS4vGYb4zY/0wABHWKpJFsv4Y5nl+jjPKRYTJ04nc1UuXGA9WkfqXQUb6Zpht
PuQaKtusDS9uYVB1OxthBTyqQKfFraMOaAvfVdXcpYlbflxiC375x0CfHRqkJ0VcA2s3d5nQyyar
tpQsMV36pLGtugfRDbGZZEXsrfm17kCs5urdqMAYKUk21S+oFSJNSUBYuZG3V5VT7gnCLPaBaV8p
qQ0AO1ZP7gFdpOhY75kdeZg6op7cmt7cYvzyS98wUegH5J9dAmTU7OBWZEVFtF81vjJLdU6tofbC
iqZdUHaHgPahWSJf4mZeJpkYUBELbIqpuBD2qDY6gZYbqwrslUQgXDkE2mV1hrzBrBfAmY/JPwS0
3qYlsLIyeYfG2MuG8C2T52iRlZqH1Acwq25/X1L89/qB/uMUBGyifjMw+UOA3epT8yXVzp/y9+Yt
/PS1/Wns5n57+Y+xGxM30pqZagnXcBi9/Ri7OX9j4YVrhxR1lw2vaTKC+YeDyCaKib0VfyAdWMxF
P+ZuvAykAZoCx8IWJxjj/ZVF2Z84iNjiEeNu6ozeYHL9fsxjxpLDqkAcx1X4jpsYHp1V9KdB697V
AoDNy4Fwj/atlaCWf/OR/cmMSSxf+3duONxLumHbujAMfn61GP9+kxTdl40YpEBTGrbBQyF6Mj60
J1U7744IHnI729jaeIN6iRwYtDgM/Dg8vHS2djMBwn9CxSa8545qhPrcOjoQjIb0AELuttDFUa/d
53/17v9kZMlgTOqWjRuV5KyfzHzYDiDy20AzM6P0V1a8RO265DxjY2CwR3LcqpunaK3rbbOtcuuA
3mxetSbk03gJGkhQxds0dJ0I7jKz6lEDuLcW25ZEINzTUiZnznijOVjXjT50GD7Y4grs9LZvfG1n
lGLb+RSqLgU8VMt6nVZBzgrjc2mPCFT1aORYhZMfAwEAXlYuTAA9FPo2XDgBPcAAOr9DiP9/n4IS
qBFjBx1sAahxYjeAG4D/oV/mhUBQRSwyyoVKYC58gpmeTA8xKlK030AtFZtCwv0uAqBvpq7hWZmg
BMwYWlrgBwoIwkyqBbDfaFfJkgMNUIL4hkxALTWDUJgWloK7UBViYWVMWIqnAJiYThKAMNsTZd4x
sCNIO4ru1n0RY4s+ZbgpGVAFjOxinFl9a+0izd/ZlvbBqNVXbp/dCO+pKYL7LC5uUbw45PD6o3Wq
G4ZXcZd/aJz0WBacz0V7qBlSZRY69OKxSpP9GOhf5ml8K1x5TXUYxTqTvCGGQtoFHq30J4s8xa1j
jPQIDJh9+AkWCs01gLwvY0fIyeJzWrm5cxQdUP0OvUIV8xEYjJ+xVPgBE+kUG8Q+D63n4f+Kgh7V
OZ0ORFiI+LsYuRptWIPiutQ6jwDCeA0Jb1wXzUkjQ+HsxAjOdDubdhE2koBol0uZ5jMZemRdm4gL
gVrXE+EZrY4q7k9J6HVnzluCm57LgCMtUSiyobcgScLOQvmj9Z5fjqhKmdjvZ+YTdHfZEpVlPqYY
z/YzWkGvanIGh75Q56oFLF7OVGCR87SYkJwGmX+b4R4zAwgJUJdw+RKPPWrNJoGSvAVm7NX00J0T
OftcLE27/0jDBHTBaEDiM6mHocXeVY4fUr27G0TxjhymX4veIlpQEC+gWsYKZPCieHb0V1k46ERx
3m2KAKm9aG1yg0S6R+Z1toOSGIzCYRjta1fAjOG6qvsllQpnXmR9NPJDayUd1RcuygRZbMPVtGMG
jOdaGbd6u5jb1MYaRwoSvFM4ehgfjeVE8oz+WfS1BW7Af+IRVbMZJTxj9k3zKC2QmE2XwLWGXwNc
fVMhKtpS1u3SQb/VJ728DPC9QuD8ZAO+Vewdzg1UwkDray9JNRJLoqA/mA6lD6huGHLTsBmFM5za
Lq3RLsMctsD7QhYmNxKqZr/rp8SBgT/tQ0uLD31bAe+oVb5TTqWtvz0y/3tLif9FIhoO5t+cGX8o
Enbpp7prfioNnG8v+iErZCOHhMZFoaKkwxHyozRw/0YII6e/AXuI+YxYjs5/lAaGA10AThUbM2EJ
qoYfpYH8mwPFAEHhYpNnO2f/ldIAtczP5zMjC10ZNnQE07QsneXfb8/nyC2juZnRlrkBl7Fq/I/c
e+84Eou9olUpZWtcGqP3j21BsKslEwpmEkeyprwDB1sg6+d0UhIPEX8MULe2DDI2xoRLYJJEyHZ8
Z/TyYqDzaRgS6T7oaeJAbAwF84SZ0pir5LELhq9I9ZnnNV5jpWhmh5mHW+mSGKUdID7ItfIdVBFL
B593fnzn1B0Ikf4OiwARFua0FSPhecSmg5x0nKXNX55gASNOsjRQUJelVzcup0MZoXYO2lcICyfs
k1g9NeeU9DPZRuiIIPF0XwsC2TnEU0iE/csSXrWSNiqJzg9OHUGmd4lh3FhVgyyxwHfmgMNqNJB7
RYjs2vTJhjKBumRux22O0zrzYUmyuwElOonHLuRhOsUtCG2XvruLrfRERhyNMJjktmzJt/S6DHY3
aPB2bg45GVAjhhK3TNFo5ueQGcmQffKzZI+R8eQmwb1ep5vatI/LmTvV1inT9pqe3g0DKrlRHFXC
xLADyV3AqWT06jbBLjB4k35PMotc9wafuxVvyOJaCXK3gJ97WvMoUgQpePYKNphjSpw3Fl9DQaot
oy9T1we3sWF4ZujfRaHT7KkvH4UEP6SEiE9JN6Kf59jrqpjoCE8jrcErWzO+ar3pVVOWf9Ci+DRG
8Pcc32JJiPPF+GyV2ZsR28cRJOx60RimFFIrYtOwlyQEPLZAZkrF0EGmjucnMN5LZO0TD1kE7uir
liSamQZzX5HJlBQwjaO0mzb16DMKa2ClYqRc4fu+zvVthzRn5av+UxiKFlvv9G6YybWEgo9ldmTx
GbI5CGx2XqxBAjuotslnaZZIS6ca+Dfzcq+pLi0Ae6sv8yNhYM2a1gBziau9SaibTNO6mCAWwhqA
lYwIR15d0i9YhN2h42l2iHytNctXYrxAEOImARmLZD4kFQpZEO5MDI4jBdhczFAL58490QE+2KPA
FDUck8C1dk4OiSdNGyiapLUxG4GcCPcjOVtMJFyZvAFO4jhO3v4Nj/j/tG4RBASK61/X6384CLZ1
9Lno6uDno+Dby350iabj2hAmgILQ1TkLMeeHOGMRMtI/utATaJfM3x0FCxCFVylrOQl+L6ekszR1
3TYBGyiCKv/KUfBdfvFTq4bCXGLMtlybrvMnPWVSs+ceo4Z5iSBmQPk2jsbM2DnLjipLiO3NcvuL
H885IVz3YaiX9GxAyX1wwywAaQyyZToGFqfajamN2dUadkTXogSr7dXoEirONvEsupGlmZowzDb7
JsFgHPQNNGqAop4Ypsvv93A6iEBJoFGY2axccuzdWhUo9kz9PgDBsx1s9TzqUGcxY0h2LcO5Fmo/
mvKgsIzM/D1CtKCN8Y66iLwY8yRF6WE83y4qNvKa78+RbV4ribJBCz46ebSRxSVs1NVIhld4hF9C
na8RavtGloQW6Ft/NjfB5J5z8YgIzk6RZzjMlrveuc5hTTg5mGNxJ+1k5kjlQ6kIJ0KxEnGIDCe9
EoeicS8sLtQiKSOwsO/UuaAYTzL8wUkI/xp4/0kRWOD5vf1lsDArVlpEXFF8auSJY+J1tPjEqfoH
IqSjqrqSzi1OWCJPgMAJuFj2htmyQYR0Xv+Lfv4b2eini8SwGCVwkttcdz83xJavVBX7DNW0AQ+7
mqBM60X/ISngN1RUrBWBGisGxmjPdfrAZLLLR6zjjk3ARY7P4l+8H/MP9Qt3DCQmKKBonhz580UL
dt7Kq5K2VesJ/ohHd0Ng1H3U6RgYO9ivRs32EIcwDmuzKtKD20T5rhDbiqEo5TXTN6PmxLB1F6py
eDv2+kMChYS9jGZsajI/ik5KkPh+s2PgdyJJtS5S/mfZnU0WXtEELgMWEJCiri0RJWlsWnMdFD60
s988T/5klMKP9HOtttCmFiLWQj1lokNV+NtazSoJcZ7Y2qxqxpyXNhkgSWnque/0p2kusy0JT57h
ZGqVuOMhMGh5LZgXe39RixCPZm1qPyVDA2l+aWEBi+uld0uG57yazrkU2kNeigP29nAlrbl4zHKf
7YBFqIdh0VMFywDJAsLWJiIl70S9w+kIUf9jPByC8i5x8Aygqsk2bCQAa9+SOQjkVG+fTEPDV7Y4
zLLFazZNqCuqoMF/tjjROixpLtY0Uc7TdlzcamgHLhP2NQQm0bqmPyQXc40mI1uR//mWLJ43ifmt
wQQ3YIbDzP4cVCR3mcMIZTvdZkv4R1Ga5mbWUDkoBhLbLLReKmx2GXa7avHdjVXg1eWypVk8eS53
/8ZYfHpYvBfXXot9r158fKCgMcUs3j6+H4lMFX4/i2jsCPjsDQks5wZLYLJ4A/vFJTgJ8zx3H+Ku
PhcTcgTnuQ5AfGeLu9DoZsbZI6l4pXuYK40IBLBVOxdT4simXZFIUU+nYTI9gXWxEyn+PsDbdV3u
x5aBhrn4HPGvfEwxPurgUPkUScauF1fkvPgjiXYlTM63SQ3E8M/KqJRV5bWYfkb76C4eS21xW2qV
F0S4LzNsmEC83S3JQDxBa6R15uLWtNz5KaJkGQfUIhRB98KgusPgGS9OT2fxfCJ/JQAeF2iRGi/Z
4gsVGEQdmDDBTOKji3hm7Xc5xiH6ZgiEGNdZfx9cQPZD4NxPWE9xHWeLE7WyeE4QG5VCPFGX4EuN
ZRUPT4H0z76PLbRHtTBuyj7P+Whq7NCF9DfW4n6NFh9soLeIpZuzvjhkK5NNqTnJQ+DX/TmytMvE
CP8ujeXC4JfBNrNZuH37QwaQZIrFi8v8qeIJrcEyFwU7Pd/Asg4AG+lg0Q+sl1LtWVs4+0iLWD8Y
j5WPJagqZ7l2BgIy+nr/7f/MjrZle0Pf5O+NXpD/tgQ9sWz3GR/J6t4erWMdg1sMkrugIH0rEses
MV5aktxKB19pjJeWEIQomh7gpF9NNZ/NQV3bTl1rW1zsjrXUIE4GEay9ax3HRByXfy9ldGfeNViF
RefYt8rgdPDDYVgFrZFvoYi8Y8/8vMxXCImH/zZNGajJRWYJ92RkNzk82RQteG3Z9GqhNi7JgimW
ofLdRHjYxFA8OFTIFYCiYYEVtqohIr+BNrBycERrSt/p/ECrZnxp9OV0TkuanbaHkjJ3hKslCRPC
2PB0kbHXqUI8pmjpKeCjs5Kko/WTcUiI9SWp0aBHrPG2h0Z5TyZSSIoKJ2VR5LvAGR9iP2lRUBSY
UsfJ474FMowaCNUU4s9FIDRrOfqPkUkt+6h+tD/m/E4ql18IJ+O4sToW3IWJwiuZuvLC6BZaO5OR
tBoIiq+cUz/zLOgUsoVmvOfCJI7HoQ2r9nUmLoCd4rXdFvkaWM9bNsHgkfUd7I9kI9lw90k9HZpw
eujGATgLjJuVa6nnoZk+xdwSPq/2NFMUhyZBtyRwyZP9vcLDxdMM727ezBvRdE9kz5CnWaFXHMtO
rNvGRqIejbQ+RcgbdHhoBJApAigAQS3e4eO1dxGohIbAr3UTo4Gk2yBLzXJJxCAUFxb6sAlttGYi
wKLlhuLBUsHJynkAFF0PH4wCp3Q4ozMENAfZMpQDeoNLq7DghJyHimgfAkvIeM9TsQszlrZjwQSt
N4Z9gvaFD3/VY/Ldh93RDQAe5DVXmqlj4FIts3wliT4Oj71/xbuOotIe822DGk+bkeXBe+0Pgt+D
TITYdwRC4u++kNEJwafkGbZwADuMFH5R/B/2zmzHbiw9s6/S6OtmgpszL3xzBp75xKhQSDeEQhHi
PE+bfJx+jr7zi/XaUqlTliqznAYM2G4bcAGlyqiSQifIvf//+9bKA26yaI285qWJG0w5DORzE7Yr
8cBIe3IJC46hnR3r8jZUKUKmBt229tpgNAgHLXz3UfdtMqKHkcogxoQRU5VKdIknuiqn6KvEopZ1
1MgnoEBgfeJbzZsZGq9CayD+H6VPCXCTtZWrj1pZt1deBAF0ppce98AWBAL28tx4xDP7YVE5yoVA
Zey3F/QG5U6GLSgQMpcW4UuL/MLqf/3OJlsUdcxkyF0PqCC7a97Na1ZEjBC4r5IXPJuKWybTyf+2
+vvDftLfaScpsBwHJ9+0cen8NP/5ve1sI28MpOE/kgi7uqronE/D2h+J2CTx7PEUHL/89z1yrt/+
6X/+aW/ZU9i8P75Hfts6PvSfXvufrpIsHPnK71dJR+Hk6CqDBiT9w0nx203S/Y2DIZdBRpCmDX9S
54z4+1DREVSS1c0TjCBw/N+HinyZ8JkrGq7n6dxRrb9yk3R//UzRPuDZxkDR8GgPqHPsDzs/j4bU
4nkE7nuM21SCZpZRNRZygw1WnOjbLKWIR/iuRPIQG28JmbAefi9n9OnzrJaRHlvJyfroG2REONcl
/yF0txLjnQqMZckLUE/OvW9Fw6IDnrBvcrnLPjjRFe+6iO+a6EmfnmXygGl5pdFAFODsZYZ5D3YM
+py1lirUIU1too1svZgZGdC8Fn6N6ws6kx8+QH/n4sAc4JcdLItXV22hGTdTD/mXfx/zAoK5sEsT
sjG6qLrqPsUkvAaOf+8G5FjwEegOOzc6yzA+Xby+UzUh3Vew38aO12ODTulRx4WkWFpYArnIKask
4JmIPUVDRN2o1hEnvmwiKaF+jeXojJRDYmkGbrUaoRPNI+tDrlstQzB7eYOISFZmz9PYhtMSZq89
jt0++1ANH6PyqRs/gstYTfYjAviVbT8J41+hGuaM/6TAY3tf7d5clnAjT+RUaILbGcd71nQu6zpb
7e0mtcELWeUhU/HXtdruUQ5x1Lbvv59y//ApR/LwT59yu/bT8PLP/6d8fSt/esp9+8pvTzmh/6Y6
sw5EBtMwfZaK3x9z3m/wFNiqMIngxWXxSPvxMac7zNe+zgO+7kd+WJ2AVeBB5yg6KesV8VeecjzP
fv6xYuKAY0R4XMYhn6q29Y+POSFZn0GRI9oQQzgBfZf1aIf6AaZk8WI4/s0UhXIXObLcyMW6l6Hx
VjeKqDkAMJhB8juFQZZ8XDm1Tmhc0i1x8vRttMbP4K166CwftOws2MBw9+TcZ/TeceSw/zAJT9vW
I6NjK1rW2PD4LRBFONZa9gLSXuy9kcePo9W7Npxhs1dqsdPe9EXK7y03fJLhedAM3RM75A9xZHL6
wmbdNXN0nLJ+M08k08EBHHUyztCFwqvM0narWyALxn45SBsiW4xGEozd2XY/JcZoooNOHqIGAKfM
/Ivumv3GSxKd3BaKJZGXgaOxjIzb2qHKMr0bWkVCq7lN6hNrocUkfzxl3T0fhrVhsySuUNZmxrgf
nOoUFaS1Z/5Wt3P8YrXFvM2ExbEvZ9oUh6eCc4vPxSJB9VuwH6KUVHK8qzk6Wmb8LhRNAi9s2i+M
ya593z+2XQIUaG0FdhTN24hoI4edwewOY1J4ATg17pFl9eB18qNXcCr349HdWkZ2ZPejGkY6V9tC
7241nt59Lk46N6C1RkFjN0r6MY0bgekr/FMNV2ibhzML+HjfWATt68mMQVnypCPPGu/MqbS24/Qe
bYNg0W1zxBRwDW1vbhQB8oHoeHltav3axdBFU8veVg7ltGhC82dlIXG/TKXap2RjlFoYsLx+n8xm
jrbUR2JqRdfOfnaZRy58gE89vuasyCVpXPdzQQSF+P+wm6kdxCZUrqZnL2WYYH4YioLnG6zlhPHu
Ttfij412ZyyAF/pOfzLGIjwn+vSgzWPQ1Uwg44V+W94616mcGaT1IxvBTtZr51nPURCPk58R5fAW
7Lgaasux9/bUlZaJAEAhTkkBsaRD+Rdg+y4vKJ33bDAAApvWluVnBR8K2TmJ/DtKYj5/KrEK4bAB
Er3X+OSIjjxoIX2xdmzulHrjcKrwnF2VLBCVTGYddfNhXJyTlbGFs/r6zk27N1n05TZqpMkMY6kD
gXN701sAhuBWIL2azwKu5C2ftJ4/c3RaurK6oElFVEpGZqFpYzANL+GDhc5goGLfmSY7zbYkJy/M
17pmsqCHcXXqOoeKjwZ+oMkrosARFCype5whIhCbDbnjrdcNB+mGL6aTY320+gO7znepVV0LW5v3
vVioJpI6tDBfdAoUgjrX1oga2BvZ6PITV1/y7U20dg2CtgTf+evrE1KfJFQtjHyAI1GU9GA+E7MO
mOUxrKlfYr7kEGNgrKKbWBsbfux9b+fYxc0CLRIKZ/8RgwNJCfgK61klGv0RN5YHuI2eDhDLe5tb
UoLFnOKlVLmQdK8PxlOT0U3Kp6PmkcCFSRtuEd11gSNnbIZMZqQDiloUzP5N9WyY+GsTvPf37mC+
uoKgk5MzMfIWOvUTUdOZy2TOVqAChDJbub5h/klXKbyLMhZthttdRCOPSYGt0eUP08Io3dF2v00o
gwZxRSKqy5nU+QQ/c+netq2I6bG81aDVd1LY9Crd5RPgZhCPfnukmDXSr0BN2Y7yfRnu45mOUlOH
C9UE71i6bnIzOtqt22IzQ2fPcKcfjg4mJL75SRK4eRZuLcHpR+vHnY0uMQTDa/MLAB4J1HeM6tI2
7BmgQW3klysbO0elNfDqEp/HOIJAZb4r9Ww3l6hdtDzVVpU+ogZ3rZb2R8iHO8mRYLr9hhwcaDA8
pXYeuWsNZN5O7+ZhXcC0iCFerDKXfX7aOP4Hp/k8a/NxjsZL4aMhBxn4kdoUflWTtk7Smv1DVtGd
KX3vbC++osLaGy/tjhZ0QUTjO64NYs0Nv2ckIdBod/2zZ0sMwG63YTa7BF2u3TMOeFU/7wYvl/3Y
Yzwlwg86N9loCfw4KazHwuvyYI6Si6uBb7Rm2NSpGpNEWnUgc0NYqBMuZnfzqUJgutLnrg4iMaVb
ZynzDRSaQ1ptKMBdxgLfQd7QZgG3jGS2mgVzOX6aq1lfG9SwjBSUJRn78dlsl53bghFz38P5ATOb
sgPG/k3Ux/SuMyg5W6o/WKcz4JiH8qAtpKjy0v4EsyMoyULt4kl/y/Ji7WZ0mEJvQpqQb8tQ1Cvb
81RcKGIRJgiuG9NTXHmQFwwJigyap924036CihYm9pe07e9sd96P/Hu/ph6j/oPK7unCWe6y7qVZ
rKGrw03lJUVaZ6g3/KMvaWqp1b22B0sdXnH6kIomWSzMJtpEsrxjgtxu2A0iUe/7HbeL4XG2+mVF
J7WhfQIqyuXzOshjXxfhxSBsTmCVwsEUObvBL/bkLceAZw1DbmEfioq40JQs5Nblh5FvF+vjLZxs
Bt9OdeZ/OSVyafCXFzb2Wk66ALk5Hhlk2avU/TTx7NmYnA4mbeXm2rHwphaUn/6uG1EhEEw6xp0x
bLW0ynnvOaDC0yneodu7XeyLTheUF3tzblQa3KsNUOjerU+QfiX8k9mxekGETmvDrUIeUZa5HWd3
Pyyxt3LUC7LofbIplDiK6dT4CbBTjBr8eeONayAk019yjyJnu/AeztuKE4L7yS7Bn091hpFxMK+J
1OXR8OazQ5ty7801Wcq5OZhTwU9zsh5dE4Rt3Z0gkLbMtaWgXKet01LKC9Xjc6PtlxFUIyBqxkDK
ajuNPO9dize9VxCFw3JIlNB1j52gyuNmJMdTHqtpkoCn8mukzX3F8sktdu1SJjeYowiSDagdc176
SITdYOb4F8gsvu9UanQyDzh2URXVZnJ0BaPxoispGE9ALbsIiXJlQuENtXw4c/WvuVHjBWlldxmG
vlpXuczUR7rnBYXYyteSw6SpDmqWfBiSYV0zYNjT5BWXedjbad2fvv6LYUv3mFo3gDjjjdnmzqZu
Oc/EiZ/uy/nGzfuB3GpO41J/HjSKU8ksgyHncug2/d24dBc3WdI71qTxyi6FHmS0tdchKR9fxX2E
yv2UjAsnwB8NF1Oj6L/YZZg+aihH95WKDbW8a6UKEnnqAKCiRaMKGSXMrCgh81xu+RmdCNMF3cR/
99d/odaN9rfih6i8a2wlpo7w8Uk+SR4kwGNupeJiM7GoJ1UNz6PX2Hc/ZPGosaXOPktyFEyqP9vk
KkIVsChU1KIJZb7PoLAS3uNYorvixRxYnyfSSjmeh8+La+54igxrIs1twfMtzaJ+G/GpWudxgzsr
+gT5mvCORfxm4BULnptIn/68VDFWFloafmlnG613TIx8w11Eb5nUiWlsO/p3g94yrW/XdVKaXCfm
BiRjO60zFvQrmMqs6/U0qLhIsCfRum2VjFe9Aic797W/LUy4KZF/nu0YK0mX87yYQ7gLbY2PWnMZ
1Qpv75rayrBv9MG5y3P3gxY5dF9NjTOMWQXFyJ3gHdTd60BnM4tjxDKWiU6L126RzBEBxXPNzzRv
3NrDjKpm9UvtsyCzGTmwHwwwvz5JCt8ns9GsTZLSVI/sKYKxEO2bBDDwnLjimlRXGbvD7cQN4pI0
6QEg7DXrhu52nhjpJ65xZaWLIFebss2SM6CJaZ4SDKbXqwFvdOxKrsikdWvbvl0IhO1KK7q1rXmr
wAirtjc+9TnFDR0bL6XzZNvmrOpkeUYIUawX3LyURSnBDhXDbtre82424aUZNvVSSQwHXikkW32w
jxwje/YDS7btOk7ncWqnj3ovoaSbRpCa6XuT9T4gcSDcOMeYafP0W3vqMZhN8fuGPu5ObZoc6viu
bn2mHnUSbP9v24XVoY0KyyWeX6akvYzR1g4DFadVldY84+LXhk/3dh6cbsu7h+8cGX/qwP584rBc
rVkKEx3XN7zpmksn5XgFjbwh0vohnDr70Ir0XM9YcQ1ZiWPXL5RTDWZZdsy31y4PligeudiiJe+7
iqYLhy9LL/4tJtR/e2roH7ptVIL1c1UzL4riHjfO3xKtKsjzL/7NtuyTfr4b3tr5/q0b8v5780L9
k//a//B/fJPNPP7jQcnXxOUfj4OPQ/vp5wnJ1y/5PgdmnMsYGPuWYcB8Ud6k75Eij3kfezufeS4T
FJPZye+D4G+JCdIbgi9U89nv6VL3N34FaOV3T5bxV0YkpppD/9T+sKmbGKZrQWhj7sxv4scRSVTU
FYumVKyk1jg7N8+dO+iuG8ukoOe2NAi6wn6oxz1C4PluGuiA6ubyKS61vaDWzOdNQ5FMp3vPqXjn
8Xo6C+Fu7BENIRCIfdeMGPJIQpL27lXNEt516R38NPliKgx2VoT5Jgvf9wqQPStUtgczW4/GlMNS
NmxKH41U2YvuQudgn3mpv5JQt2vo24PZvzNC7wGE8cqGzi2hdEPiHavG2Polpz0uP3jIFdK7gO2d
5c60nRXue/5K/hYKAj6aPbYufTTXue2lm3FZWNYKiOGJjce8wfceJ+Gyy+1Ufxpi1j5tvs4W+W4A
FlcpDHmvgOSzQpM7FpByS+HKZwUuL0ewEqNITp5DJLNQePNQgc4FxPPUED1FCGO4GersnV2m/s4s
ADvPESt2Pu/JBpjLDl0ieh6l2xnx7oyO4CSfBZCARGAThl35bbRvk5FoADMGWZGncIns58LgDmSg
xGjjj8gdWRPeJ/aLpRvMeQs3GCXzK9Dr60FdcCmv3hSjVu2nbA5aHitlD22BO3rHNRJxtsr/T6oJ
IFUnwKMckBJkslRbYFG1gdR9aCZe4w4LumV4ssGiHjMl/RiU0ogoDB4cLEcNtiPmV1VvbnT4IJtM
zCXCw8o/Rxy6Ss2/KZaRbfzwwZ1RlACLICZKd8QpH9OmX44+pSO3LC9ZenJAnWzjjBWcrZvPi0Ql
PXGiWFdt6eKUn770mvtxKYm/6USSjeGh7BoKsYwA2OEX0EqzOktY8BXQTGo6e713jxUeJJg/3aoh
B8cv094YntyR1RkvlOTzzaR37kYb4R5I3uazsXAPcuJDjUloTfDW56+rofQHyaL2tZzCQESktiN1
JEy61JP+gHib8RtHzRB+J8JDWiuRYJvOQg/1jWbdJdP72KwB2tR5YMXOuP7A9RWCKSAdVhIg9buM
ZklGvkc3MQHlsIjcOb6K3EnPZeN6vHR4UTGfWVdmip/Fq06DH8ubSBEXrJ5BP/lepMWLDnkmpShJ
wHFEpV3rJP7ocCzGUO573TAoHjHpMiyOQ1OUwGWD5z/UnGYI7dS6HQaYHPEQuAjowu5+qeNH4Scn
o6G4kpSatRYR6aIUlXdEm1yYY7djpcuFKW133ZQtmzqqn7wQiVGM3UVMgZwhNnQxl825KvZEMy9u
Q97ASCxIdKOFTyVIWu+ZH2XIJ839wNpClK6/bpqaTXmHJp3J0MoYl/tEtFyBMo5e3g1NfILbphXE
k/joCGYuS2nUq2xq+Jguch0V8FCL2HzOmjuuapdyMbNH1x6ZatIJm3gc8Gn6IqXPqzvyngcRPsyd
Sx5EU2U8vVhVoRe0cO7rmvM4FQ8Is+QOp0xQmNcr+rbebqlA7Qs2zsG/w7bivxhzzSVB+8NG7Zdo
73lYCB39/Bb++kXf3sIe21OHiC6rhb+B0r6/hd3foLAhkKP8iahSkG/88S1MxNtQajJ+maIHxZDv
b2E6HmzrWMdSPCT8bbl/5S1MmfSXt7BLpgV4NMs/zxTWT+hodCDTFEnJi6zzxm3kjGCbYbOkfuNu
FwExclEaIhwe18mhJAXJwzuEir02tw+U3adVvmAnm30dUYiXOucpjE/dTBEtOtnP7QzugE+uefyY
6JCp8QQHS9w4YBypW0Cg+NiF9fzQw7OMu+pMgOJzOhbDGuB0DyYafU9RL62alfFg6I4TwLeVE2fa
Ohv4bbgrSViItUqSP+tISfzMhieZDDsJ/OSkIF92b977ZftO1qF5W+rDeZQGoYxpYBqMqaUy0kvV
cy3XIECgwcMsRHKREM/7fHGG41Aidy36lotEbXrbGhcxC0elL7C1+KRDiSUWtwSAmRpu+yCXQ29f
Rp81buR+jxqDephPd783EeFEMOwd8GY1a80OkgtKd4ZRzL0L9qkEeMjzHGOr3oFuDkKYD8JCVQH5
g3EHEYuQcKOxivBLpXzfkJxsoU9XAL0iHple7GxUL2MGWJYrF9LAt4aRnybsTSqdYMI03XV9kA5O
0NddUFnadml4kcRk1DpjNTLmN+NHjXmfl1AH6482z7oJjYzL1dbt0NYgHG7ncCsXfjMR5puw2s1+
H/iaQ7rRRqGEQ3Ms140/EkdON7KHFcfXaT6zyPIROM+654bbLym4sXxb8WkbYVmUOHWYOO8mqz4Y
OZpssllC0Grgxqt9gAEWxNGBsuF+EhYPcz58PbQ2TiRRVFxnD+S+be2rctmq7wQCnE1NzNdL5ht9
ejd15Nzy/Kr+AvTmNQNoIG3/UXe6Yx7HJ3Y4H7qZeXOd7OoSGlU03Fcmkzk3ax8ZX2v+Y5+Y+7HT
tl9laFylXmI5MC4CJ0IorjyGE/Cv3I0PMm8Yhrum3OtF9mh9zboh0toMDvUnB1zdSsqk3Y7C2GUT
TFQCDuaGimJa8enKlUQY5Bw3dSUW5l2WKdEwhIVoAjohYXc/JUpGTFPYYnFEoMCZWpXCR1qsfdUX
K5ExbB48NGFz6rNZwXLQHYd4j0MlQOa5cuCS+X7AjIzlRl1m6/y8uJtJzkA3QusShcbRqtt9WpI3
5a8JuNNCzVXU+KZHseuWZBdzg/Tjc6dkb1XGxrHnIxQFmjkFWg1nLYm2tJxWwA5OkBqCOePoWkjv
UkwMFYQyTVd+ZjB54kXdKA91oozUli7vPLOkClvCUvGa18Kq3rFMy5Ebsd8A38IlNiLlqivbdcan
UFf+6+6rCbtq8YZRAq/T7tQrW7ZGyDUPr660Xqai5Cqv7vbKr90h2qbIZhOlwL2tl1i4I1NbT4xg
OJIAYUMASakXZ3dsYO9uQLJpKT7vWYm9EXz3yvQ9zA1Y2koyw+uKD6lrv7F/0ck+hvuBecSaeRYH
Yl9cPGURZ7uE6k60+2ks76MY07i3cMJjOW1uB+Uhz5SRnIdRtGUZDONJacR0JRRDUSyPjZKMTUo3
xvjF2vpAbIciWi4mTrJRyclSpSnzIwKk2pB+RnrGN2PgDNYrrZlotF2a1khAxLBLsoFotGmW924e
DwG6kUuu/Gh8DaR+lGmNfHKUQs2yGBJN2vuvghwtjLCelExUySU7mMuRsAlsbFQPfAUHm4MiYY4G
NWXtK3kbRBx/A8nDnomDdvl8SEyP78uyakR2MpZa7JKUySNKz88NwrdGSeJmoxu2dLSqhZno5HEW
nKhLroWSy0mTK8LkviIk6A7VAAPPjHxIMo27SkyN9ZJXEOojU94pcZ2dXkM8drYS2vkSuDGCO4NP
xWC7dxRoBz4/SPBKbHiQ+3EqKkFejCmvVAB9S8nzSix6FC6xpifdP0jYELD6+RXrCOF8vWzDNSet
oGoKP0Seslazba4yaMVz/d1ovE15nJIMrELghFWxhlh0Pw80w4tCdPfcwPH76uXNxExpZfd+HEAL
hMiWVvWepmi60vv8s7cMR5YdO7cxd4NLEMAK701ukG2KMyrmyS0+JPEmdU6Rc1+AJOhr6NFhezCB
oQOlApEm946m4j1IYcSNo/dr6gPs4JyD5ynuMw5SIqMCEFIL2IjnC1dENcaPD7rW7HQtJI9UrGtY
cG5rUdSuTz4+hMZYs5zbpQQi87rbwQkKCoiXSSbW2BfAl7HKCmXA8ZVl+N4C1jLE5qb37cMy0E10
9LM1uIfQibYeZQQiC/SxqxXXRHL6cs99jN/wR1Kqu/g4EFVwRkr/pIQGWoo+fYVMG9hvI4rg/xty
o7zgYMiu1JN6gdXNsGA9NIRl03k/QKRe6K9jlN+XUJmqsw206oJX6zBOtbH7dzg5/+cpPtuQR/7s
UIzRrurj4Zdz8bev+34u1g01k9DRt1O/Avz7+7nYJCFIqY1AIidjRBg/nouRm4AqgRBsEflRP2rf
z8Xub+R6mFcZeHwZadl/Says/jw/Dac4tDsIDlSXiQM3v7sff2bnuK3sgt7Lyk0+5otcrhNK2UsM
O2FREAXEixmfqZHZaHfizSbBMoFcSOt8hN7OCiFTQIZcoRlyGA0prIbYaucd+w1zRQmJaquZsfM2
wpclDm/hr1l8Qh/aYmRzK62CAAFvr57J0T5LTHM9IiwaQzGtlwQvuQG0Ko6iL3KZKX8AbDBRjOZN
QxkXlsMPf3N/JyD41a7+U6nLIjJKpIomFSN7riI/ficyL6cUXAnqIWFVbMFzDvtS2o9T0WgrrR7l
puUvak+vTIVPthHiSZKQZCHwvaxjKBENXWt2aU/dV3xEuxzijrVGDGoZErO68evt/WQP2Skz/KCj
fBBaQO+I2ShKRK14EX/+BxLqRvPTH4jPFLJlG+yN+0uq+XcpU6pcW/hJDmUB4JGwAdTh5Cg436SO
OC7ZVJH9lvcO7qY//y2Y/q/oGJePv0eq2ud2p3s/vRLm3qZxYSbGKiF/cky7kCyAfsypdgwH7gv9
DT2Adyxp77tpmnZido5jLcZrHDPFaiTrTNKyrgK6tfwPQG5Qr01mgsgpuyDKmpsGgTQBr+4NtjNn
T2XPFGg0a3SaQ9LnsGRyseVHOAt4yLZbYbyvlYUz8x4rODCSc70HedIWxbvOy6Fqerj0Ogr53M5e
0mKkaaQcnzOyT5zV2xr5Jywsl50o76xamUEFBh/b1aA0W1uSsBoCUV+ZRAvlFI1G9xVbGawQ5Rst
lHnUQkEaCGUjbXK93I72zkzxlNYT86TFyr1dj8S0VTZTulglyrFAT7jCQd8Apabcp5QiWnrf+FAH
54gB6dVSnlSJMLWcmmsdxu8I2VYbS50Kswg6idaThsBPkJtdAGWPl1lIS2bJzDsLNauvHK29a7/X
xzCA6QbQRxPVoQy5Pw3FIUwm416y5LRS9mttfGvUE+X5bj4Uln4Hf/eBawFgTSN9HYW9b3RA0Rlh
/RL/7KXR6QkA4EXF3WfbZeofyzzd2VJot92M60/Y1ES78ks8FoThCPflFs3ucWm471rGZdH4qel6
3Jkzg+++GeERLjlk1XzHk3E5WSJwRmd8oILFdpssnS5ptkT0IAODUwRmO+uxnzB9WwQGuC9l75uJ
hkNDQV9PGp0GQ/EWyiqDscCskyCKBOv4kim60OByrPXo4RiKCyhBWKa+oe0sv7nVwsG4iXHVryOP
o+1YXtMWAlIG2H2DsRJUpHc7DDmVPiO8dZShCCrbzqQDRBSOorzHZaQFkiR0aEnc0EGUQASimKVY
SoqqVCU8A0Mjp8+vyCSFYpRMPbQSmlzpIVHXREUymQ1CCrmim9iKc1IZgBRVGPPsT/PEZGLaRCNc
FEsRUlLFSskVNUWjqLylOckocarOtfO5F+gaMTsxuQtrrjH67QCEZdaYCrrNJkVBtyH4RdYqbSTT
cdgtlqK4FIrn0gF2MRXhJdZfZkV8aajyY2UfbDSqMMxbjsqKDzMCitEUMaZr9XyXRvyVKZpMp7gy
wM2T5gNydkI4cWXselbqa1iZNzzqYdIYmnOCHHJ2DbgWtV5tSkWwSRXLphl1i93D/DGtnYjMDkhA
0qfkzBUFx6k4InF9fq2X7q7tx+dBttFBQe5jxdApFU1HhI/t7NFrwRewH/HYdku/1Wc+4HT1vB2n
sN3IzD5Xw/uYKX6vxvltN+MIrIs3FMVuYNUA9avPzj2fclSNLuCQr4sBNgSYOhMwzRoL3Fj5tntC
ldHeUmuFMWySDaxhpgPDuHKpnF3K6gWgw8FxbObsUc2zpIc04oUY10M734NFXwHO4BpW8ZxxOj+9
ywxwsXp21i1jvEaNdgDBgzyUlstGVBwEJ0kOEjejoVmPVQVcoVXy2cIkNgPvmRuKBR7JbbVrosNb
8Hq/2/p5TCzIMN8DPORChJvKN2z+GrHdzkp76+C/5ZhTA7C9MovKjrpS5M5KlluybF3T36NBOcx7
rswfyWexejKD0fTua0965GPCT7E+vZbmULCSH17BYJ/hYSzriDbltm0eNYtZ/JLIdoO0bVvh9hVK
8rtg+11ihj7sbAfadGWNwiV5JUqB0eirJrhobtywepPuSZI7ocNHK3uMs3o95vkdFxLkMvyIcO/J
Vo4crozdWUtkvImLPrl1s4alAtJiS4dAOOAxbm1+OyPRorAhEW8q2XHcmS+TLz9lXzXISoisj7Ud
WNWSHGylS+6VODmcQV7gqNx3SqqMrOVTjGX56zv1L7GF/r/bEDuOx+nmjzfE17fhc/zP/7t/y3+a
UH/7wu97YnCeHMAhkDic0N3fC0POb+xlubj6poGTS3GAfjyJC2bjnjpvO/wzPwIKnd+YWzPY9oi+
E0oj7f99Tf638yYb9j/soIFK/OW8ZnOeNwCjUl4ydIXa+PEAipLQaByPyW/VdlipK3rHWa8RziHa
eh9Jb1kbIbOnbmIyCJh1nXe8SMcyHm5sDiq9nn92IsDzrpyo/MmhPmnofmzRm/uJ3Ch1Sh/DMYEN
voK90mC09w4GPMl7b9+ZLKFao/ucLSR/hvzYQ+kP6mJ84+xGcUSRu3XF8AbBa5OQ4GNuLfhPG1AR
taUjA0if7JaKpf7qi3t98o511Aelr7F9Si/q37eZv6VQt7eQ93H0uvg+UcFmW7UC/kW2iQt3O85w
wy19RWxrvwC0d6Lpwaj6c+QPB6fM9/Zya+FNIQt5cYr+DBT72c/KK+fx3G7PIf+UnesnLlVrrfZh
F5g3g5kec8YwWlevM3c4cL4J0D0xObb3qeiCuTzyPGRgrIMQJMNTgAZWpxgWzlEyv6NvcGsMYWA3
/SG0G+zaVLYsfR1abNsN88YFguqk+YW+/o7nysFkxwZtQo1oDxCdl5wUIUoqv2XqX48s5SuOKDUV
0nFj4tCCHXRuODrUjnYpRcy7Uu78sT3n7LWBb7BryPY5ucqWGTvGDqqID1P7WVdIJX4Tupftbdme
2RgfU4DwdMT2UUZVFbVCHN8PMgQDwKAs7ZDG+ozg0n1MWi1LezAH2kXjuseQQ31XegqpblQznJRo
nnuS4HJnEKJJ7b0JI4D2Akt44WxdxIbqW0F26+pF8z3zy0saDwciqofKwE/C7AQ5rpkPB63qtgwh
14MCN8XdNpnzvRnxnbQoVJDW0wyWh4V3NIDzkmjfjAn/TOdsRqq7pyxpPpU52eish90/SDgGnNuO
GYjaQpvkQxXBhHUHkucxiupeVC3agWkbd9irW+WxhgCQb0bU1thN5L6eAdKJ2Twwnbmp0GBHmFtQ
2TNmK5Qj24+zDRcHFr9SJO7VLG/1CF2DH9HhYvP+vvUyd8viv16V4XQnNCN7NKR5qiu47YVvPJMd
X8/zsVPubguJd9TXLCzbS0xrkbk4edlJtFRI+ngnyWftlwwbeKG84IS1UHr53RF0cdQ5IJlkcY4q
OmX2WESnorOvIYWFmj/ivk/dL9lMQKFJaMhACmCKqr1fIj7QtuCzNBEMLNrnYvE+Wl35qZ55A44N
3HZt/NAMfmD4RRrIyaMULXiwFJF7lKXzVvU2B9MWnvioxxNQvXduvRzZPVyJ1CL9IKNJG4E7gz3R
Rl56lhZLd1xE0yE+yFAK2XERmDqtk2nCMp5XE20KfzyOwpNkGFd1DtEpwvTB1Dq/h4U+njiW3mcV
g9xJlaYnK2QsIPm9WYvOhrp+EJFxFHX8LHr3bDaWXPnV0SxPTTWyg5+8kzab87Pu9NsxT1+b1nMf
dJdkx6Cq/S3J7izynQ3rasUdMDiq9NML4XYkJFvGKizb0uY8WjwnQ41wDahDlMRKC/DX39L77f32
T41c/8VWyI6t7JN//JK+eZk+5b+W3b592fdhGZESRmK8nnkhQ4L6f8My7zedZTD/5whet7qhxjPf
o1you1zfByHssNvlK/mi78Mylsh00lgf0xT26Puaf+UVzYv/l1c0YzqD2h3EKcvzVJ7sx1d0aCJx
ibsUykPqFwoSq59EV7vvXcxWYEo4K4IoS7E5XKuEjLSvXYHcxw+4s1/bwrx36LzyNjT3cVZ9pLMT
mv4hjAaaMSEBIzfSrZVt5QTVZ0B52VBTIgpBeRNfHffA5uxai7YZOHvWNu2daZTGbkiaISCi6jEn
g1Wn9+600dOdrHoMffFwa7FtO4Wjs7EACm7zPj7kSfw0VHKvzIUaLTPLSYEeVJyH2ZRa/SnF5lgA
bZMEUBQVz9vkNuuNMNySSEKBwtNybm/M7IssTmWIk56tiJsEevbZHKlrOEDdY9510aec3HUn5p1e
TcFMPUWoEjSiRxEzS2d1RJaGcNT/Ze/MltvG0i77Kv0AjYyDGbglQYKkKFGjZfkGYckWDuZ5fPpe
R9XZaTuzqjr/iD+iO6IuMivLYU0UcYZv7732tNNbuROuj+RC66SstxoreNUM2yyygrpv78gkfmFt
Gs+uwLVOvoDPXhWPXst1R2vQt7AG92Fsczsq+i691tdAU8K3CyqULbA7gxYxb20NxQ2VvEYtx9qf
XNURH1VjTqagOVhGkX3O85K2LYYmund0cib/k0SPMcqWzBuLvxLoC5tk46JE+0zJ907ZvvVGca5R
FzrLnx8ilP5ISf64Y50AazcJQ250N65pG6fSI5zVf5oII+KsGfEPkIJyzrOyFGTKXNCU6ID82h+o
uNlMTNOOht+CMO76iu3FCJymj0JOSAvVGfEeO725IdPnHAorbR8pcbSla11YFaNAsEYSLSQXNTqI
6Tj8qEXArhZieg+nLo+vjLy4mfhxcE7X7zY4JL5Mt/3h8f6LkeqfHxdHh/etmzzLPC0fZpEfHxc6
Zj3QlFwPe3MptqbTfh9bAiUjKUFfutoB4e5Ft6fHLMv6Y+1LLsQmldoWb+I4OSQzZ4F0dIFHVkck
vGlL42jFi96dDKv03w3ttjStrTt074NK/FBWgpaHX21XTZiT5hmqZGlQ5O0v1siwafiU2DYWeN/7
aibzXaQp1H2+xJsPekeiWpytAkpiNJG+psLD6KYSOdOBvuHBnu5aDI/WJNyjxWVy+Ej9ld2dPi8n
v00eZN0b29Qn9OF3WAOqTNAuUdOulYxfmKbd20Z7bWXGg2MWBiZQ8oq2Db9tMAID2fPktFZgV9I4
1crbN098sv+GHem/frH8f9NZzLwEH9A/35Jukm9/vSd9fNz/2ZNcRxmRaH9zMAKpOfs/7MXeb4bS
aARkd/4CkifT7d/3JFQaLEsCdzGeXzWG/2lPIu/CrRHrE4N5aG6/XBP/1bXRUbfCn6f8+Ip19VXY
AtkzfxFwTLeR3AgXTq+GsdFjm+htv68tRHdlim0duuF00oOfYtqkcm4d/QLZbKYY73Hta7rbu30N
h4ZTEIOfEIwZ5+jkJh8xvgzRSUXOVv3Zte0DpsRrYS7010UblOwbyE/7jEUOJFzr0tYL1rRuLiCS
sBmIbt3r2IZa5R8iezG+51Hy4HCHxVuOzWhUhiPbm7EC+dmzoqgleJIiZU5aVwK5a+lpTBd1iKis
9FIt+Y5a/NePbYD9gE33zif48sPv/i/WK8PiEPGnF9NRdjMXBd7COP7z/u5lbL9635qM9ak1YSgZ
JAnh1rixHhye34rnmAjJl1k92DVPeKQe9Uw99Il6/CPWAQqCTwnrAkDUidElk9nIc4+eTVx5qLjX
d4avzKYsLbEnWGSSL2Rv9I1Uy89H0Z4NRGJTWAqslVI7wmol1bIlWL88tZClOYM/fovFVTxg0/Ja
WEyYg75WLrwHmmvcfeli8m4Ng4mcUc2BW/uvvIW50gxsarB94sOakt6omPkOJNMnBSuM80+lXWpH
kss9Rc8sf16S3+je+IIN4wzubzn11rzXbAsMj2sAP5Yd4HdZnxI7vrQOTDe93yWFeCLqfB4XC+vP
c89dFV7mo51mASDzK0YNW94tj2bjPlaa9pbE5l2lf2IHhi8uv5LCuzLM8d5bGYjL5BkVgPrK7Esy
uygX+sYS00XAvOp5n9A3nZbZCZXlmCUOvWfVbb3mX6s8vRm94ktj2ke77U+AhC4l1ivDmK8QJo74
dxlqFjhk2lM5cs0HyDE0t1KiSzI4tWxCrU1ozvPOTcEtN8wImhH8rLYrcm8/y5JgDlfRMf1u1f2T
VrzwxJBSxgY8Y9vT53vonVdR+1pidbOTmsEK9ZY2iW8ImTM8SEvXHixGs4tRh46ZfM2A485viZPv
DL+8xey0XSoGs7UXo5Z5+n1hRicKRDedL677xTrUa33krrp3OqaNJFTFkt6IEVsvmxQ2OKvhwixt
Rghs814ddgRXPJGzNS5XdvHe2W9Tuuwo8GGEIDcFoKmOOLXilC50knJ43OXYxhvsZR0GJgF6zO4v
dQWhnqw1JYoBvFEI71jadO3k2t6toGMpmx7WySDPYBwM1h+sMUfdn3ZJNlJwxfg21vcZh86Mw2eV
xMnOmOygmk18+xxQJ3VSXdNwVSdXHmsaD5bMx0bHuXbtYiNs0/ouVWdeiolinJoXYeXjgXHvuk3V
CRmrGMModWqm5cbaLC7TdqMgAl9U3rFjxs1Re+XIbauzd8MhnCLQb506ldNqd4NlvcGHgYep64p/
LCd/a1L7b++A/x+ZIbh8/bCe/skh/ND/9j/Cr3n+/VeXMJZyPvAfm6n/GxZghrDMMU3dEARV/thM
OSTyV6mHEcw/bfy+P2ym/KmixP+jWEZJ939c8Dx8vdgrhKMLxrB/qyTG1ZUe/dNuyvQXt7JFlMyj
I5pP99MFj0W4M8lyMg4xVN+vj7RZ69mW5aPamvVwbSVYlMY8bjbowMO5VuHSXsVMh1knkrYyCSwX
BhXM9GiqbNA029g+dsZ6oxfpfdOA1qYhzMUo0WEjwHxYqIBr9xF1VaFXSfrVUzHYTAViTRWN9TIf
BAKDmIXUbKzkr/mMz4BYpIYfE2sGk6DJuqxM7SiMD7KEYedCOzZ3Ax7c3HCPjtvD8czF4zhqr0Nk
wViHCbpdCsrf7RIB2xo7Vk/su12OjVZr3pGkvXu31rz9ssZGUC4+f0fmd9BRkk1rLjA6pdqDsmsW
e6l7kpZ4moRNc/omk/U2d/Vvi7t2NMB5zwP+5lBgcc7q6QGOeXc0mK9Gcf6Myl0+J9r4YJWhKUNd
5dtzqZ3EuIRO5EBO1Ps3narlxi1OtW+/NB7QojE1A3yeKFC2t+08kpiFY467DLQTspF+dtxmt5Aj
RyUs28CJqjp0nVOFqY/M45M9lVVAjBI4nzPGO2KjBzpCdNxf640VfaHHB3yFQT0qboYdQHHCSDMK
aiONNIjq+DNYgds+ci9FZhxLwwgWmRNehlqeawf0PxIeiomQkL0c0tcyiciPxkfmTdfsWxbkZkpZ
aLi1b3xt/AImAr0YlHHGZWfl+y9H5+h6vMOigcLenqD0al6Tpt3PbTgtYl+v8ri2JjYY82kc3a2A
ltzhKNzqtVMffa2/XeUK+1CD1zkDXF3EMev00JPzvdb0h1b4xyQdgsFrn4Hd92APJNyZ2T/4GTPB
weCqyvSyCXwApYyNYzEzzW25upcIvJn3WlXGu6cxSICiaoYo0/F2EVG0tbzm4o3nKfVMNpRpPidR
TsWM5dFzV5w8Z/mqWePJRramKgYQJlp1aJFPc9BiD0W6HrumPQMC8U/upH93W6xxIubXWdlakHh3
CYozgdX1UvYRhNmugbxrcZUumVz0uQQbn1xsYr8bkaCeDOxJYB7PPpH5SaEfS/eQ24/Jwk9XR1DX
aE26MWiUHI3+FWswHIsxRtYuuieXgmIa/Lxd3Ip9O65qnA9EcfDOcKUT1HkIHJidh2ogSUdPL9EF
ZzfUnBCW6Zj08WdjqfDbzg2u8udl8fCjS51IXGJKJq4RL4nrwUDEutHoxc4My2mldXAayMAUPQCV
7IHGPdpQu9IN5nKpAknP2sF2nHMj62EPsustooiFeF3l4JiNJog64qbuvXlnYtj1YuYQ/YQQr+eR
DGqTE5pGWQCEIOPYV1OBVwl4t8NlOfBi/94WyUXLeYliFevFbHVeLdFtV8BDm6KBlWkuUDUHNkie
kkaTW5GikCLTY5btcNW0GiGe1gsx+j/qFCrMMH/XgmxOCg5Bg0cOpjyBxdJVV/1CJbaf9MS+aDdc
Oie9LcY5C9osHLnEIwg4p1bW06bvioG2imw5OcY7cfdHYlFj2Dn++1oZ1nkc5+agE25mGA1Pzelx
Yla69pLNsX2J5FfaEEO3w3BqTvjfa418tQNJqePYUQ5fbN2D+zvSAaodRk6I4wQ4pnSPwBe2yRAd
CDfsRpKFE6kzwBmEMY0QDzIqh0ZHZ38L0o93nre1uMOAKy2+Lpl2E2EsEGNLjrALSRyeo/nNAAY0
W8CjKYntHQ5TpvsYcfbW91qh7fqBwlckJLJr19A4QgtpIU7pvV/aEHDDQSfXZpSEwTRrtw7tPW6S
nDpp5zqrvpccqOre2usPjeZicbH9d702r7SWKISNRz85c566t035qv535OZhIeWvFh4mkhOm5R9M
y922wIGWlT5pgsysMIKwcJgLhoJ5DMdnaaxQN1rnnGlGUGtJqLsjaYuurHdzvh+m/FEx5tKBegsP
n+6V7uCo0ezqUaoSDEO1YdCKEfkivpWqJ2PMr+tOgyVvnZxd0Wn3ZdfeF4U8RkWEbzzHdeVAzHI/
vsViAM4NzErMztGODcKY8oV+5ivtahiaeyJm6JRd+d2sx9DoXVS85YH0/pMzxZ+mpjzlBoaqofzu
4gtpW+tatlgpoHdGI6/1nN6luXYx+LFa7lCYkQKpwDQptWTV9waayGZeWjoosbWvD1LHqe2vywM4
nMB1cJ1paR+utTgPNZQLn04ohnoOPZKon0ySpI6dLjuksTgbUXRoGdgxBLyp8voywSabvEdAGpA5
okudue+FJLiyTFTBsZyRK13u7OQ5SuJbtJX7xEvvHLTMWNBzPqV3kydfan6fs2jf4d7HmKSZbXmq
O6UR6qGRnFioHnuERZWylnBA7kZBNCPqg5TYwIoPfV9pkQQQAAOgVm0t9MHeU9E+ERo0bwYIq3cF
arBtk5lvVdsLp+znjvqXUvXASAphdLKmmxT/SuBSFiNImh4b6mNiamQMYEJBo5plEipmsEhke00D
Ipyp/hn6gKjYVp002vqZXIPOcJWUf+pf9DXLDpUiZxiKoWFg/QkS64ItzD1ZCrbx8a95ODgeBI5K
sTh6oBwpcI5RUTpMxev4n5OdUoKw1EzR25zMqcxxY8UQcWJZ+NdQAoIqYtlyErRMatZLhssZt2gL
lpeTTza1sDiTtOTZnY1lNxgaVV85jdfivpNjfA07iNC0Q7lLTVyDpO3EBgSy05uyMki7wg7K1Aad
Q2ODyuDcdBpkeTvBnpgLKAkzAiO/yXVLyIGNI86J3s7OFwjUPJVD9aVVEnLkeXjc7M8ZdjpRS6Bw
PmYmz9SuYGwDFS/XbDOZLKDD7N8mMb8mmZBgHvzWh7Cz3KfloCMpkPOd2HbzviDoUFW3eo6wSxJt
OmiQNnadas8hXoPnssDzGDtKiafzqChXcCMqIVDkgx3YHcmKPknfZZ/wGi7kSzvuh0YZd0H8FdoN
5fOG6B8NTJ1DSj9AufCcpNUdW04Z5McKk8PWpbx0mzmwSup2CVBhqSUeXOUFbsJOIAxPSSEvs6j2
VsrqN5DrNR4dsl6SqHY4rBCZTT8OF0oTmUvR2BYtj7NmY7AlNM7m6Z+mJr+ItCQQZrindaEgAwj0
Zuio+h4s+oeLJSd1pN78Wkcl9Cy4fAuvfYr6ItsNpJvQV4Bp1XmMQ5LDKfORnuSbqQWepJ8+jZ6W
uLyL/JmIoOHSXaRV8olpmbOTEm8cI9ujq+fGSWvv/zOn/bcECN4T3On++Zz2QZWPvsuvQ/cXt0v1
ob+PauFZwrQEnWBaAi/NH5dLSze5XdJ6RS6FQe4P6iHxVMH1ElsQfE3jJ/UQIjCVGrqr/82GMRxE
f7pXYrxzuW8CAuZLqK//oxIydb2kd6m2N/0EZmYt6dyr829ajKvNszHU921/XFpnCKnpIKCjX8lJ
PMUuq9gISGBsu3ozd/gup2mR2wyLR+1RJO/1Nh7NFctJVXFFazTapUWbvXUtwZsqPRpTxwUtDwZi
S0FULXC+J+u9N5MwHUe4UBXBkNyxw06abShmTEJjR9p/jNA3VLZq4o6gifhlIG1uY+LFWZG8diJ9
KLz81vBczBOeUBy74uTmMXA8gidZO2ytGIafB2xlM0zZbVuJQ+W3HdbYtoRyNJNRz9enlksWx1EH
54H4RHIsJ+ZG/TL9OxtUKiQ0r/B3kOeJQuAniIH6LE1zaPLoS2u30H/4dkp7fIV14pDNw/UxlWQS
BrlSe81xpwM5PIwRtwhM48kwmSEceAxG9s7ulK2kVCscXwTyzsjA0qVrIZ9BNfej6iz16C4l4r6R
HMz2CU5YuSxdiHiFN8IuTsvnOOWXMCf4sXJ3fh7EdHLXOyN3v9oIOWLG3sQFtg4QWROdIi6zQrHr
iupSOC6uaso+bVfwXUTGrT1gMRoMbB3kMNqzXNxPOLqDZOogD2ON39aE6jepPUJoWKMXqlibcz84
vDO4Rg8NL/cacdXp6wt3AI6Akb03DefeE/I5KTgb5Ja7r8nKMnPrTwJPhgmkNJd6yABe2+Z5enK8
iTZKzXubNfG/qxD/qa0NE9yvExVhM5uhh1RYpupt+fmdb8YzPk2PG8UKKZpqB+c6Tc1sY6f5JSKR
jEGm3XulTtC6jZ/wa+J5y4pjXARLuR1m4VyDRSjjPj8VNsV1WHmpQy8JPHrVtajku5OPd/Cyru2p
uvKT1g5+WGb+QhL44Nf+PBASNkorUg1yP6xd5Qj4IdPmGWVCfo/teOQRslzJgDjWSVhO9nJaISZ4
KRYnf3Zm+ARxfABWmLjWN9+Zroe2umooNlvK6c5yMSxzPQJWS83mQejLtVbDyR5M81sDuOTGgQxu
8WbQ+5WlIU9IrSY90KoJ/JI0aGxhDrNxZSV23qgRaPRQi9eWm13tXz4jUVE5ghYR9DMtFInqf4Wt
tB8Kreatn49b4tJDYGRctp0eW27e71gLb/+zcf37jYu1+Id31J+Hom9yWtZfTKn2xwf9PhBVs0sL
bZz5uPKo/KAu0mumsy+Z7GlM/s2f9iz2EHYzQyXIHPfnPjR8LtQ62PRmk+ey/pa6+CdLqiMwZbJz
8Y2Aafh1HFr3GpMZm0AkHpCw0KyTnY+MBDF2dN45Yy4iGGqUuEV+eI3+4qlj1PvLFFYgueKqNVwB
hOljSvvDQxfZq3C8OrFZ4IsATCYBFbKL2BMjrjfQTq7+9ZezlBr7yxekSEBgOzJwC+m+Mvn++JQb
Wds7i0dvEI6M9AghV9sMygy4FPLeWA3gNaX2PatrD5+L122LVAcwXGPSGZbkGy53QKz5AmwzwVFq
2S5jxbDSm3HX4yvfuiaNid+lqk+cVY9iA/MkdqhWFKpk0cjtMMv164j2xURSw1gW2Rsx3WZjGrc+
ue9SCJTPmh1PVTg207oEo8Uwxm9Jz/EBB6NTETo32jiQtUmsLMs+AnGcmJ2+a9ISJqpOjchs1see
FsnCBFOp7iC6xvSxdqACR9Xb0FuvqFSqhtIriDPHaXq1FKL87C82vZrJcOEQPO/IjbFtFDtDjQe0
OAuZaulhoUYHdZvJfbGC1nd7EAIpDSGZRh+W85rgxfAjztqofkmi3Qn6N5M1+jRDh8r6Lz3RDoMN
sc+jc+414YQ3tM3dT7OtnwaZnBRLT0bWYY2tA3iH4wrLLfFbcjz5mUvVIRLypLeKqHDIcOqL2YQg
mx0G7pb63B2b3r6uGQRV0f0am0Hi4AVszZOeabABsgMLZRiNl4XpPWtvIFWzaPraAnXgez4TONhX
hXOohuxAOdPB6ON9g4OlSWS4GtreTQU9avT8uOmpjp4EoprGDROJM0WF79IFcvW0w38JFkvFZ5hH
MRT0YlyvOJxiOl6n4aA767PmUyUuc35CpiTZTIAb/QsUGI0C4/5D0Kydh1yW5xI+eY8xeEpTWsFo
jjegDxkMGnn1TGRfrR3oGSrOrox2+UQtXhudrYnxZgRts7pddGjDg3ZfA77KpvqywOngMOYTZ2aY
q/nUcoEt4g2i482U3ZgEguPhmn0blxzw+YLS3bhkZ+jJ3YoWWwHV6R05f6pFNTcE7dcENZy9UeeG
uXRZEiY6puq61LcpV90rzQTV144uyFcLj886fRMrl2CsyXOSXr+SnfmmKwXSiASmdOMb1Uzy2qi9
+7Syd5FGTxbmWHgWFCmc8s46+Mw6y2VCDZanonu2Uyco3ZHusyKYKxnaSbTrPQuTaXoomNW76cGC
k1EzczLJXg9wDBEAAFfxC6U4ccDbVaJ3IrpUzPZEfiZbs89bPLBDHNpWdyRptLcGxET+W/2TQTiR
ULpUIdTsxbuSlvWSWWpU7vGLUeoOVVbns1Yi6HpeNVBRnSZ3FY2RaUFGhxGBInNYMEZa2znZkGmY
mUBzQNQor9C7tp4D1aK6UcPgWtBTy3hGnMw+hdD4tdOWwBjsbQrS2fKjw9ze10yiUl6n0hqwg13U
953k/jWjBubBGez6HIZD4Ej76OeNKlyqyhMulhtn5X2JUP7qFEl8Qfc40pWxW6v7JIhE/qlyMlVi
Ud8WqQzVd42/eJ/ztC20MxHuP2kXxoO3g/LCxdEnYx4ZEA2XrLJPXi7DmofA8bSNjQrOUH+zIK4x
PqApczvECPBg9heuKVVDIW/VHelC2w4p1RjLV6cojzMzmcFkiCTwhhymmTFd4xnZfsqI4AKIvJQa
/1FkunEPvgsGlYEgHaXF1lfogbwXyR7+42aZykeVpw7HPDpCmLuO5nXvDMn1yJSsUmQXJG+nZXnI
Peh32vPAL1Qb1KMz7TKL5uFSf4Mp86j1w1UM9ZT35qlv/cd5jMM+hjo9MmHN1s92T+8zOOcIlsv6
tuhLAN4ENN0MeM4+uf616jUqFPS2kru2LA7qnwRyeUHs1XypdHg72Z7048aoxXU8uecUXgqIrX3O
vFrksJJHMh3Ol2nU9nUMc31hxGdVt1yfbJnvZW9e+2K8ifr5pkubvQMKoOZ9tBmn47L2x6xazu2y
m8x+y8O5ZX8PY5ICXCWt0eSUGXHrIzMK6r2qQO25rIEx9oBtK9kL8sboDjQhVMynMPbY63WzzPhJ
hmzDokyszEQGZLTEFwMZ5OpcVupSdZl1PLiO2bAIpV9q6XEvRVYrPcaRU5k/GW1yPcD53S4jbvPK
ogtBgwwVULZ8AJzmKD10DWbjqkuabyvuvK3bkD4vY+00LK51FFPz6T/H2X9/nOX488PZ6U/H2Udg
B/HX4dfz7MdH/X6etRD4cVBZNidTA4LBHzMYhz9SIr6tU1jiip/Os1gC+EP6TVDdOdr+IfC7v5ke
tm5h2MKwLMXt+htuOVUW9ctBT6Dvu+S2OOZxxPxF348iAJBGZYC8dY+VyPaDsC8iqb7qY9OcLKak
hukG7WycGRSd5tZSD/+NpxDH9UggRu5+ePX+4qBreX8xGKK4xQJJxv3S0j9Opj8cdelfGExJLI1t
1UBoU6FqH21aoWvNzO5oHa0gOGLxYhYECWfKLiLT7psxHoPYhBxtt2vB0mYe12TwQRMi+Qkl/g1K
BuxEgpCFMgglHgVHaYVKNFyVfKgpITGeq7daSYv+7J31mCeZ/ooq6JQAKVvb37vTg66kyUKJlIWS
K9Njkblwu1QwKK7CyM/i0IkZmnoS+xAOB4LR8nOcQTMbOO1KVNF5OhoxiWhdyaUzummvBFTOTAW2
N0TVPLvqvbMbFQUHfs4FWiP2Hiqso+RYE122aGpObJHZbdtmetXRbjM03EqJuRgz862dP7XCO8wp
fm1bQcjOoxKB8RGAUVPCsDlkl2Go5bamwbJAO56UiJwSRQ1Td7407hiFqXcnleBstJQ1Obw/HLTo
iWDsqYv7c4GW7hBAPsR+9l4sKb3jqtGxr9wNB5uTi8aNr/oUpe6VVOK31xfzefwQxIszid7LMqWE
uTspt6YSz7saSRLgz/uMri7Q140Pob2x52BaGGOhBg6qBoKfrmbUpQJjBxhD3YYjFJOianhumzub
YojOnB+yMjvUIj9UrrbLXfPUZsZ+0uPjms8PpZW9ekYXWvivyFyVQTmQqdEUir4DwlF63vsku9s4
SmiHtk6et35xF+1z4nf3c6LT39pvamkHK/KhoLwv8SHbxUToPPOUYiMfsFiMX3pc1q1BRKA9CqaC
cc1f4HuIu21TkKkWPWSM8jhc28N8zmIHR7f1xUuAVCU1/yrjF7/OOvXCLAEC8oNpeO+dHLY8rNCR
HGFv1fe71glSB8hz5i6kx732xW8q8LfZzRrXCo8H482hdUJPvScr5fM6sw2lKr3zaegtGvt+NCFh
NqN/P7J9SX+68fvv5VyEuLKxxH/2sv6yDuKtreVJXQ1Q58I4BhdrRZ+WeaDft7pNve7Kremwjto7
NyIboYoHstR8E7CmRrf87Dnad9/NQwoHDoT5OPYBBuVg4YKbXTTKfxGw/HQNmiQ5jXSfiqbBVFnD
Yo13Vh7fu0l7Yb05C/o6RmoC2oEwZJu9FNwJZr85xJYWdIQxOqe/loWzzfI4qBz3ahQ6BpD8eTXj
p8LOLpPVX3M8XJUNXSNKPrFoFF4flL32NDYQzFqDG4w4x956dOt4J0V9Gv1bqXl3NUn/RXev9CgN
I4lpTs+4zTpXET/SbHAWHeNjnsnbKeJHXMbrfOw2y21qTPvaFEe7xOtJoa/dJRxK/EPqiKNCqXlc
UCdMM2N2WsouYNwKyB2wGlwM1zh66OIu4a4+UV3r+rGAImcy7jWd5uDUM2ioaU8Cd1u6kNB76pz5
voCCXnX+95rLVsyLwf9zjfpkF/0L+ZALAAzcnjyh2r3r1N+MLr6fspzmcxcdTWahLrTbNjVDx572
q92eHNvY5lQ9zSMiJG2hXKqDrv7oUKZqNpoanKHpDfLlg8XoLGeEVqpZmqmGamq6lqo526gmbpqa
velqCsf8MqRhRgtamyaE89K6l/Zjaqf7vCDDYWVjkVrtnmPRASE08ZdMfLEpyfaxM3JSgzUwYE7Y
pJ7rbikBChjk3Rki709Z+SKyGb8O43sqxWU4wg/Raf+VFmSGCbbbEbPGthmJGPqqUIAuVOCGg/60
VLEbCnIhB58yYn8anWtVWSNn/VjFK43EoH7V2SryOqy2M6wIidzX8t6048o/cgtQiirFSyMi2izr
ar/qrC6Ycfp0Pbkcz8NE8FOgArOMYna2sFIPcXGC19vuC5zGWyK4SfTVs2gM0zEcb8DUFgFVuI9d
Wr3knplu7prOrk+zMT3p8YxmKkVDfsT7ZurLTTtmUbiO3iWb2QRGl2Df7H+zR4O8ELBrToYw43IT
7EqX5jR9oHUAL/T1gOjU1jHqZg99BKzF5LW3cnjpsGwXz2C8yEJxPN7KNVmujV7umQfhDWqhlvWA
Ghe9frGpJTsOhE6j2A0abcb2NxaIHK75JdetW/4AbGZiW8Fs10ETCWjWNq98rIoXWNbABTOsJgab
OGEpKTnJDIpf/vWJ4kNJ+mVgzRARC6NSwBgC/jLKiqYWeVTXwNP1vF9MjEsN7QHClMhK2sGy07s8
Fs9ZX3uoHOalSmHtejjHhLKQ/ecI/X9zhObQ+c+lzMfkLSmrP5+g+aDfT9Ccg4iOCBQHEpVMef84
QZuegYJoe4Qgge0KTq+/502c35wPeIGP9vghcf5xgrZ/g3jAUBh+gRoj4579GydoSkz/dIQ24dkL
X9cZYwvykD/PSgGw+JM/EDYpSDNweqIlqb5Ku2Oig2QHMUrC9luh4tTFUOwiOoq5I9wom6G5LVvz
bjUlTEIECE1deCFv9tWXeHQgaMj4wUc3xNFy6zTbVBpnfaYgdcJaRiZrvSG9+EAEbl+0JKScRHtE
DjtnmXUQRoKdZdw35TAwGvAfls4++f4KngB+mIiv68XEKTRcNS5Tttheb8roVLSqWLua4y1J+nd2
qKvBrq5BfJ3SsqAJTZ4rh/66Y/1iSfceNMSd1c5e0MTjA6c+8g8Dg+C+kzsNx+31hIusIUG3cWvI
SaJIDvMUpXh3U/AF1U2l8aHUD+On9fIzXHEzFPXybSiKox3lr5GbvIHcdHcGnPSq9x0kPepS8I0E
+awj9yTu2RtKDns11SqNi/qjptWs6fKs27Hq2HacTT2tHZUfBCVajfHxtJKpLNPoSjePjsgpPhHu
1aSzkA6DbAEwJDT2NE8iUXed59FikEHEjsFKv9Mk7j9RMIkqNH4z6QLVysbds+TWsfI1NnFp7WLd
CKrUhC1u5sXZidAnx4gpwPQyZzl9sNHiBmNNLUqOXos7qX2iRwS+cWLTQ8dMBixCHrqrH0xx9u5Z
QAYSbmf7ySxf21wrD74/Ear16RYHBtvBkttMvZQ7r4VN7sr81cs4dHamrLb1rZHSat1mFQmDCCUu
gubiJP2jjZGP0d54iing25jddN/C7wnicgmpleZa4DG2cPltMkiHXEU7a3YwUipQqVfaJj2zLViz
eshkuoeqC4Mnm1yXfhV+/b62nUWE44RQJ0Bm65L2CWHfpQrL7DGBKLSNPHmV9CUinmYZOJLMuyhn
7uVEw9lWSHYcwAwmh43hZKjmCZCtfPlGPRcs5Hx4NJaF2APwB8OqA5232pCoHb6nGxfrbtByOdmU
LcQxc42eSsoTeKkiVQrQ5ce5NcEC9VeF1eQ3YrB27gLQGI4zfQka6eAxSjGBSQwDOaNCD7vYVV3o
FZJ6sQSRYQIMXf3bDFNXuBQ8gXKVN60H4i8tom+psJBJRr3e9aMDjURdY/J8Pa7LNSV0KR5wzQYC
7DFuIrncVDqtZuNdams3Tt+BeE21GbDz2rBRWgfDWKlQi3aZUwHEk1wAfcLGS+Z8yv2Ga2X8lpvV
k89hBgZwtq1XDpEMFdudC5m71peDlXTfJyvGod/6XJe67ApPgDyILH8BbnLnY5LQdbAdeLh3tTRq
OFHaZh607+CB8EfA4s4McsgVt701mzcya4qDo5nfo678FLfEfhK8iH3Hi5GkWPFOOJA3ReC0ZgZx
K9qU4pCNDctcWTz36iTjckzYNI1JQaDXQEdscfh5NpcYlRdX9AsX/C8urOq2QEXuyiE65jMuKNh7
zNx87gc+sI+K9pty6A5PkSmu+ll7T+v1TUuLLzHGh0rGr7lgoMqQbWIhyNf3RojXwhXtXq8Ik3d+
v5sJDO1w1pYHLZ6fNE17KYpS9QDRyaM7W8vO4HzTFL/7X+yd2XLjVramX6Wi7uHGvIGLOhGHo0hx
0Cxl3iA0MDHPMx7nPMe5Oy/WH6jMqpTSTpdNR7S6o33hsDMlkNwE9l5r/ZNZxY+xatI3I57FZ+2W
zAZ3ovURfqkq5lVJCutT1c6s0l6gxsZ0OfduCyu47yyLbpBqPjIkCLBZMS/9ppwbMVGAki5jUj1E
yyJVcV0W/jKh1srA1RYu2XFsY8m+G+xDEmCc2uu4EsfxQBpBXV4XQWdNDBfSbuF90fHtneeqAJnQ
kcszm/qU19ywbEd5gtl23boTC/rZXFZuG+zdJziSPfT2OMXW95hRrxziImcSwuCVbFZnvaeL87TQ
m1khV8Bpln1Or5jPtA4QpWaSzPiyxA1DdORCj+ZS48hDpslD+zcdun7jSfZN6uzazL23Q9jSljPP
bPtG06JPCJFznbLOJ9JyqPcgaSVC4PKxym/wquZhgDdehCj7cHTZJoKP0Xb2SnWipQmgZ2ftUxXw
qCkM7NOg3tf5cqBzlYGkUqFttQj7Dc+WSJHulanTKXtMci4VJ9n4UbuINXrL2sUQkSYZwzkz8B9m
DYN1W64XCvNiwb5Zg4NIeDCSpjFTZXNjNClqLo5W040/j6N8XEDGHDhnY2Q3WWVvJKZdJr9oyuzD
Pv1XgDc2xkUjTgU/12jWjLOu9Acdp5YYdkIYH+B5HDjGXkTbYYk5WhWVeyxRN0XnLrOYaBoomGWE
uhrada0AOlpXrejQfrRHZNfPLwk13CJcJFQwvg4znKQtm6USsrc1qnivasFnrRY3peNfSiUrrITe
UkXB1efWxsrJA2YEXjvuJ4PP5CbJI63lWQ+RpJHdWY5URS7w21NLxgwifswM68WWxy2vJ8o8JNN0
OhjGp8FTbkyMTCf68BSr6j4v42wRqWzzGPznNNkvgdJeuQVQILodaI4RgE8Ho32mKMUCGlgB1YVl
kbgLuuSqU5trK0RbQw5jbpf6tBrhOr+pPod66a2tFquVNuf0QtM/0+NwTREzg8V0XpW9DBe8JHo8
ecpEshWW209701qEXqDMyWZbi9JPzyTJ+JIOOib06kTOQnwX0k0txKaO0QBL2AiZL6bEVoTww5dR
PZrKpEqKVZ4Tp2s85YG7cIieLKT4ArLBhi+ZIqFZduRFBogMey+7UHDV9MABcTubc0DN7U679P38
zKjT6zqyl16pYTaALgZz9oRIxLYUGFGmZzjk3Lq6zgTSxD/xIaMtKwxtV9WY8ptSh5XFPSORrSW3
Mq5V9bwT2L9RzWDpgaF/ujL4dDG4haYJzLONXZP5TySQsT1Z6GSyqCeUiPihQMxqRQdu1JdFly89
N75GdnkfDtXMLc8jpfsdugAF948lMFYjo64NvZqMH8nbEhj+c9Z23BsIaIglQ5RN1qFS4SSdXWi5
hY96mMIkBrMJxEMU6Ljp2302H3x3R5M/VS2eIT/VLJQL+rNCnzYrYuOuHOlQgYw5jul9NqwEBp+e
7Z0wxOCRWx07oaVlXBctie6q696Fg7oJSTtwOkwHGV8tiry/rrm/J6bNQvjm2qqx7upKxo4ERKPV
wZ+R2IepWRPvI6M6Qz+FrUVuGTMS3R7UIJCWMT5GktpOZUHtJ2OkPcHP0MSJ23jQTG5CtJUdZ/Uk
ViT8EKxPwiuetMah6q7dJ8SfGx6IDYXjOrJ3WkTIqBMZm05UV40Rfa4QpWKNOuOunSaluHElZL6G
ja4qjDbEuGC8H29qKApul11L/gPSeRZO20W+tRuTGPgkF35aXDb6TUPUZYmNEil4g0RQxAAX2YM6
4O6SqzTxVyIk6SddYfW5GinaFHerBswMqt65acfz2nbmgABI8cJd0N0MrXuBuASCi3pW9PiWJQhI
rHgTJt25KL1dhYQsRGrlkelQ6AYh2vecIpddJngD5MuijudomqXRhStlD2aQXgCOy/reTPPr3GQ3
Uy3eeY7kugY673N1USjWhc/TNeTKJVXxRvPbaavoEN3a7XhEpwW67NC/9UEizW5VFRac/wS1a51r
F7LePwx+JXP7eFiWQ4FoKCjRX0PPlsTDIPfcMSktmTbHxhYL/IZzoXIzb1QvYQHeknmV5Vdamm2z
ghdOUY5ACnSmpqRivVgU8NxlkymeWcpTm0DoSlJuUgWXF+2pFu7nVifexwjIKYgeARGe8z6YJFV5
yzhyx+SB5WnwR86lYSIUQ0xixISvQ46/Vln7/5i7kgH78GdzhdvCfz9UOP7GN2Y0UwNVs0lx10Dh
4Ix9N1SAm8mgAQcLkLtRQfvdUAEnBFsTtirU0ekQtey/dLeQswTUM2jTr9YXf2SooP/I+CIOywYT
lOFgy6Y+7rjfwWBtmve+FHgYLyT+l4oo71w4ZJ8qeIf7uTvv2IsgEelTvw8vFYr7dKzy0a+fI1rB
ScwKEdKL+lB58pkGl5QsZjjRY7fgjH2DRQOR0ev2iv/cRTTJNBjW6Go0dhzB2HtUQIGS6FZBY5y5
OTQFa+xTsPLED4ic0YlP/4Lf+aWM1dmKrJ8AF1tUCZE5hxmBTtPDjsCfKS2Z013Wf0m9/sxP5cso
9558dFqqqRcQR3Gv0aEjTGThenNHEH6jrEitWdCQcSgH5VVppXdGmlyGLsnb1jBZ6XW6SvsGLlZG
DLgKNKgHmKpKprOPPMyysYfElIAIuDS4dOtRxKTOKqqkAHlxWuN36styP2sdUU+cMboTz90ZNDiq
XCM5b53qvs9Dnm/ZW/iKfdYZ6sXgyDeR2pIQAUgYYg0Ryoyex8O2lLcCChpCEpjLDbBkbqERVCEd
dbFdY+EIN5cIkV1EQshZnyAwRtjXqObcsaivA8Oedmw0ylB9KRX52m6V+xh+Tmeg9lQYw8RoqZEr
potQTpfeUC8qL1lhbU6WwVavjDXaaUzpO/W6z00mNwg9BtAHAJLmKhrthWyk1iSAeA0YpZdTKeEh
x5+89M5OSR7kRFo2cLAKJ3hwXQ8X4/CQGVVPno+3Dge0PT2EFcdsZ1EVfK4VzPA8Ss6JlofnpQEe
QDDvF7fCuwIFOF1OcYu8Evs6nHwdW8UYo+Srt2MC6FwFThCsnnlu9NetT5uNn6HWal8E8OmsziL0
THsrhXIdgEBP9dq+Q6S4DUzjQPVbscW3ozfysB/QVqJOI9EnswAMfX1LN4k7ong2E3WBFreZhBTH
DTkOK8dKF1AXl0EXrFy7hZREAI6r6A8NpAw31cmpUOUCQkmFOHAfZpxoee/cRj3Rj61173mcDk1i
T2MdPwjYVODOOdRLY4kXKVYKtnNnxeqqs/zrBlh93Qrq4PHrGJx+FoegAVpIsYBhaIqXozc23eGn
Siv2kOOeCmRILRm+ZxLWFDPcRDB3GHganBCw0vHnfuYG02SMb4zj1gepU5em/2iqFw7BxY33JYsu
Biz/CTjE41BkB7ASHv6wOU8ZeEAJGfxt76D0m0r5M5F7rv7SQd4BYUmr6x5KdTfz9E9IuSwWYGA1
a/hpxV0dXsn6xk7meAvWxjxOL0kxpqG+qKLroEKivLaUWz+j4F0mJmKurSrvSMNus7kmlrmCIyRf
2YUDFywGZAYC0zGulknCbIJwont7Jd1q/l3YINcwtwR8CJw/W5tYo/JadpehMlN5KESxU7KLHMGw
7GAtSbL5dtg6SoBXOBygiCzPvTtcqSY90e3gXffKVSft1Pgy0LZlceNay1BcWfGeSkGUgnv1Med3
meJMeF0a8LmhUm9oV7l0sMwLj1jf4alPbzCe7tRP1HQdDpW99py6O6kDRdzy78K+z4Orxv7ic5vm
D0o8TOvy3hq6CY058NODZ3ySbAIcZk216P0n17jq+wwtQjPH+CcmnQ9B6OBgZpchtHNh72oz0san
5IXP/PLCYQKiFFPfvScQjfzgYGaX9yMtrlN6NG4ZrEt5jc+BBv2wEgdBWtBA0pPLZ2/NmVnxJRPa
rPt3EpVF7QTzjvRxHNrqZmu25TTSsXnGhzazGcB40bxGdQ9Ignv5U9AcKtx4ErqkQn10kRiE5wp6
GfeqBsbLcEbRHiz/HLvaUL0R7nngPZr5zq/w+mOqTIrRREk/FUwhhTnMKvpdqd9Z/lodMXHYnx6l
sVvapCA2C/x6JwVmcM7czu9bIGwfXq5X7xxa4oI5QXOl94DblPsD8H5iM1CKXvr42qRbIz8W/T4M
Qn+d9Ie6eOnda8Y7uPdWMyW/Sa1saoG79T3cKJKJBhQedkQKY+5NI+02ceFMp/eKROtPCjUTH7LW
sLEppk2jz5CaLhwkLgZu/LjEMYqNZoLTK5ckfFJoypHHTwmjKiZGiV5wNFOHMOcSHQF6WSagsHLy
YjXmk+7iJiSaeO1n7SFTz+sYse2LOqQQJ7TxTKzcJ5nxWy6SKwUTjTNl2HaZnjOxDLCZSWJyw3HV
wDkVjwyGmSlYKH47JNUEyUJqyM5sa5Y1IeRAr9TLjJsHUgmBdzJuQlO1mqdN7U4DTvyJJ2CDhkG4
zNU4nmdt/slIG+xcrJuO5DyVZ1LIKIqY8qgJRoT4KeP+X3kI5+0d1Al2jvyTalg3Re8uoQ7tiPfA
jTC/jAz0lqRXM2MLGToPTjkN+oSBEMyY2KLrdPYFFLwm1i/Toth7sdVBldO4h4HeBhJTGApPYo2c
h1bONNpb1tGFhxsSP4L5LORPSwr3jdXfG2OBIHXZAfsIYjrcg6p43Sz3gksRjfvlcCfX1h2WxqtY
OGsdMhwKRyZKnimtbZXhkUb07lCwXTednXBHKLgOmDfDoO6NOrrlJWYByPKQpoTYl/s+rzetWkD7
4WUBOBGSlaMldLZoA+OaWm+q1nD4uOUqYfIcpznwcx89JHm6jf1wqznYT3dhtvOd6nOqVg8B/yxq
kX1ScvuxlDWUq12yHuQBLwgMRFIX7zC/vzFzCHwA7MEsUyCGlNeh1UTrPrvzCx7/PBD++v+jj7+P
PsJt+1mXcPcYPfrl3/7X3+5x6vHLHzqG8be/dQz6GIZDfQUuZEHa+9YwjLmcMrQqi4PeZlbxvVk6
KKQx1vEKmUL0GyPF71vDAAoJ8w5eoCb+kE+6GN/SWw6fYY9BojA16FaonN/1Co0d9KXvsHWnPb6n
ckbF3CrnUUbzr1PZ4slcUlyjeoSPG0cuc2P+g6vtI7VaWik0UqcJVjmkLkeGhjLo/UEpiFXQTfhK
ZtomPA4p1ykLkimvwqofk4BR+5UZCF0nLQzoI6Sc4FYehMOmjUBBZFeKMSK3aLOTC56eqGnd804N
m3lrLWp2erysmTtkxjUz41vPipVZ3VHzsvPkEyzD4nmDUHsaZRsZrxVMWILzqCLv0NGXngnrVutz
jg1LLFoUI51ufHF8rVukonpi62PiXAOTCZxl8jx8DJIx28TBl6YTT35PUeOZJedPYJzB0GtoXdgH
UUJ2VqtNFfbsmSSb2AfE3RmwVzfVStwBYtgvemhk89x1rvQwU2d+xf8VAccJjltnIs5sFjeymVjZ
G8xCbnP252mc4XZhmp907ExJqxuYU4ge/QIq6s5UEIaKQoMkf1UYUj4bxZMM74c5uYLWpFHIwkDX
mC5VxcKqBkFGiaXGxI0QnwZdjn1Ph1GY+swoiFxUmRzvwqf0wl8hmReZoS++5L5QwJXFBRJNA4xQ
p3+JxByA5cEFdpno6llHFN4MQ43bLiA7mCL5vPCqeBbD2pgYuXxbkJ098SoZlSFGA0pEwSm7lIy2
s3Arjm83xOYBuR2SUpUBZZ6SlRgTshOD4LoikpedcpySHziyetxsOoPYuYSZsxTkk8gym4VwBiKY
em0uGpdIDaPd1A3HZs6tHOJKg68eVHLbSGVsGuJZWCAWCkprmmQ+g19ETLPEQZShW84qJaVu4qnM
CVVUFXEJGIiBCYJZPGNTHKNIs8HlwiKKfFpEzHlcA8BUEwRSy9nYNw5wQ2so1wR0EK7IqaXV/SxL
gH/KHshVV/ytjlSG4HPmsy79BMz0O3DnkWEqpp2rb8O+w2EqgebNrZFbNOJ65k7dMHr0yhzjbodT
M9e9gDPYvxkYSE/S2PjsYYlCQBiMKoweNh1Qsi34n1QZLmDtxwtFyxZaLj1AAN870aPbQ62ThLVQ
Y+yKjVoiTsmIdpkHwb3sYKOu4sCUwJ4daJPFFc6N5UoxcFMaeAT0gs4EDLpwhIx3OqCXZKoQojiF
Igb1ZWkcosa+qxslXUluOs/U7KxIKwjlLsqtMlHZHpSd4zSEoefqqKvsr3By95aFR8yAk5yDVBeT
pEV1cAa17kJpNRsaGdHxQC9eUZOKhoMmOhcpR8pMwugCU50zwAMe2kwvZ4CAY1pAEeTOXpS4wYc0
SxydBM3I1EQe/CWs1wnqkvL1EANIkQpxXdSUrRmfIUSKUlogA4mXzCXXhyBAzgwl0QWMEGw+C756
NHz7ghREwoqypeHhxkmG8YXuO08ZCrwpaNidJ0PyM4g/97UY6U+F83Ni6tgyjIimBLSJhTOxvtZZ
BuTJExxOE7oFaZLNSG/S1+RZptomJf1xHivBdWjWL3TESBpCdGl6sLYCql2Mqje4MQR8VE56HwgN
CsNtNNYAHsVArizisTaIzT5eDFrzYoMj4n5tE+mYhtdSH4IoeZgIanGx1ET6YEZ2OTUMJps2yz0t
BLkCyYS8LcxlYrK1OlIZpRe+LryVLO1CGoaQK8GjDhvjphZnfd5EEAEMVpTpxSQm6FWT3Eslw0S1
zS5NVzzkZp2etd25G5FXZtkjSgze5dARZHeSFejnhL+sTQyoS0JxZoaErYxQqZQN5FduoSSbMoOG
29ej0kogiMh2qNaOXt1ab2Lto2TrwIGGJ8n1vAnUGC61etm5YT6XcocsAewwKgX7fFyidB5Sequ+
uS/hGaxVCIIOhq4k2ay9oDiT/DQEIYfXGzu1s/cGpVqEBdWq5UqrPrGTtS/ZCz0iHiKNu7Uas983
zXheFPChPV9YpI0G8UyGeDGx4DeQvs58gpLtbqib/CwsvUOv9+Rjxfo1MpdgYifiVpI7XAUAMmh3
nXXVqumiwMyNkEpznrgW9LtKIDGxh3sddwOAvJ4Gnqkwds7Dul8MOUcY7Bdt0T4TaJzvBCMjxe/l
kROL/xVGRGUXXxvlxsE3dUE+FWKUQv4U5hCkpcJpyLUsViSb3NX6MHpwo/9ToSP5BoFkneLeeXYK
rY0JH4EpzlZp3XlhQhvIM4zAyDTA+qp/DtR1TBk0bST/WQ/sL0y9yA8a0EsSbPCoJs5S9hhrxZIr
T4PWvTQhLK8ViSClzCfeFa4kXEgirtpc1RYGBl1T7iltdDA673ombxALUuKSiWFolWluDV8CA/2V
bVQYtJr1k8fwSnPwNpBGLqlbuLtWJ52utHm4oN5MojJwKbZxfVOgQ+d9fMfMl23L3vrk5O48mNig
jjGeR5pzVTTVra8n2jlcjWDqkzXBVF9SxqQjdY+3k8KkMWAUxGMlPxBCQeiULVhxNTzXiOvVc2sf
5GLnGm4CEanFs4v+unQFQ6Cc5h1txiJR4SjhZkg+nHvrUYggtorljRSucSVqbzIpTVC1XliOxzhA
GM4M2m2OyTZq2cS/tXziv6xqaFZmfqNDYCYmd0MYTINrHjkoBsAz5FJ35sr+F8ckfa3zSf4KM3cT
Cbj7A+vkZ8Lc+Kl1ZeodeiUdO6wqbpQLqzAWNQMeKCC1unKGal9IboxXuL3SAwapaWA/0/pNCNDJ
t6bccysRdQXgrWm+9liQjmtBj+9MX8aFO3K20Gavidbe5kMDF5sBgOkBD9uVlizt0r9w0PCuOswh
A3kVdO1w6cA+nzqms6gqxZ8H/WiRWvsgdTqRVUVUMlCz7IcWODprR2bMmM5dPqQGHAcow5MytRfa
+PwiIvRmco1RT0yObpc6wySUlIMX559r2yBO2StSYJxhmVXYyAmJTGlXR0brcseiTEbuNmjXXZBr
00GBZ5DpCAlj1ZoMTnsrhc6nsHL2MUJly2FEQc3Jnohnh1T3d7VWNBOjCG8kzbCphRk0EBrYJK63
8vBCm1n1VHFYSXek/RIJN8lNAwMyxJoCy47F+Izheh+gyGP8zCY/HvpMl5oeilLTeEuzlmZCSwk4
rjPMTMhd3iSdsoYccVbL3UTps8fCBjGMsUFZFtKwG0qQx2QQGfnSFjlzjPXdENZTW2C3qTXWE7qw
AW1zC+bOFAS/rfuywJxNmHEzVxty2HPTfBgGbij0GmOS4BcsKmatFixIWTOnJcB4paNalSX7rkWA
u/R1eDB2nG2cPlxXHHyL3IH0RSZ0z12mLOQCpFOxpJkCAL3Qeij6uu6/OE1O1glzbfjDJPxFMELU
MWilyygxCwM+DJX7hZzzxSdegNNk/Jg6GnIYvbLnTFJWQ1fQGjjjJBd3wozsHJVkminDWbhXvVgY
KZPdTmbcrIbSU1vb51qJQUoPL0Nr8TVyi4F9roAaJg9bz49nbvdSSwygi3ZAINh1M1wF700MFqdd
rSxdWWAQGD5V5B4i0m7wgexe9Ja7VRHEFOb9ZnCoxfXU8NHpllDK5ZtQq/q5rBdYyQQ2wmVMe5mW
BMxTjYe8EgG6ajyxEiwr/ngTv/Wfi7RMv1Q/DVM5+720lf+LnHblkfP72xTiz7X7vnE//sa3xh3u
sI4DhGVjEgHXG9Tum189Biw2MWe6TIgKtg4Ait/4w+KXI8JHx88f01yDAn7r3LGyt+SjJa/5B32Q
aNPf9+5jRLhGtjtu+djjvWdOcIqFkp3mREbqyovHuHKjk0+RK+yJJK+yb0bz1mDCS2t/Ho82jOaA
8gGSyTlAHsNz3753A11fklgBva2FpVrFINgxOWY5aEHV1BjvYfpTUaoZaQ2JwTdNwjp6BOGhPi+k
0dm1Txd+24RAdws9joMJgVL6FLdSDm+8SC0f9ZVse08kwmo4HrhrN3bvyE+S9rrFnuWHc89vyFP0
x6ONBDIOla5hE5q5LRUMbOjmXDQkkPFGrjIKWEPJ7lR88cm02FnXrR1r2OBI5YbUjq2Z1A+5hlup
X4S71stmZhnhAtw122yI5UXs9c3SpvKz5PK2KERIODGr4zoreDYXgjczNwx0FkgMSEACkcBHCEs4
P52rWvKQZsVZAYF1ptSpTe8dHnxF29pRmlLrZmdSL6ZJw2YcSjfMKJSJZkolIILBuDI0V64VT1KU
2UHjbOiw5s2Ag53Z6ipRaj6tpkTci0F+KVY+ASClkT8AIQIxAfp1NDGJJaZIILCWjXFuameWyMH+
+qmX2hMX7tSwcDt7347HfQqTCgc7g3l2m9bTyGHHlhrG1dSHgTct7eZy1AnVAc54lY6F1jJCzj7I
8VnlGUycLzsE1Y1N/pU+zczhDLEHqC2AJcVe7KObYeTvtei35WczYDQ0VRv4OfhDhYExTzDRc+eB
EkKAU2ZE80E/gf7kUbHSm9u5RZk5LPCunfZKMtPUaBGjGTfah6q2prZAQMhZIBXukv0d83Y4SezT
PT2SPnQzw4RfHJYEL2RUf59l5dIMrxslx42jvoxbezlWYCoZIDXBC458b7WfRUqgAnq1ElnjQFCY
Dbk+XYiMzGv420VcLaI0PAvDZD4eDxTISvw8Xj7r+qsQPmrEyZGnUK/p+DtcAv2UxLkClnZ6iXht
nkNlHuOgc+W+Jma0GMptjXTM6G/NhrELyTaDJeYjN6kkr7V1MBZ4GtRsFpKmGaTPCfeMmaqoIOOl
5vaTogiRXUKHrus56OdUiH7qDNjGhxfQByYOZgT2AvOzqYIrtQZETrrwMo/wq2IiPwCJkf27SKt6
aWf6usTqTNb43BSqpW4tREcGQiogLAf6Fws7ksVQVC8tJlt//JD53ePj/0g0yldGzKjDJhnDr/rL
+lD0V4eyjqp/poSMf3uR+kl1Q3Dtn/mhb8yNX7/Q3w7Hi94cZ8/PaU1CB+/A9dM3Pu/HMfCbI+v4
lo7v92dXiB55x/XL4R9/14nTROaNs6ZuICxRRroL+dbu178mbAUDIubHhjGeRYbMscbrfbdCv7UG
P/94r4v585958wEeX2I/AausCv+5encOIyx/P37/jWV4d5U3y6AqJokyhm7LQj2exN8tg/mLosnY
MbEEFkx7VF4fcRmETf3w79wNP1sGHBkVMAiTkgHREpZN3y2D/QszaUGml2rDMiY4AKThw90Nlm28
fjuvbnn/fLx+fCh+exmwP6D6gmOFKOw1Y/btMiDyw8XAMPAO0+FOfcS7gTC/97mAf/ihoDzFyxq6
GRuEMeJRb+4G8Yup2wLoCwNrlI/HreMj3g2YP5z2UHA36GSqYRgBbf7VJ+PNQ4GDBIQg9k9uPXZQ
kLEPtwzYrPHlnboMY3+D0Qj0LyK4xtyt75bB+oUHxTJRv359YD7cGljCPHlj4LTkcBiffcBYnV3y
zRrwRKjcBqaMUpMui+zED3grWIhY/4JbwVCETKMrqA7oeN8tA3/FxogjMM+FeeyFP9zdwH72vt3/
E/sjVGrVpKV+3RneLoP1C6g8+XA8DwpjAXrvD3g3wDI+eWOAm4AcA1EyZ4HOHcG6frcxMMhAeEnp
RCU5ugyNNo8f7m7goXjdtk8qGhjjEKNLffhK33i3DIQcca9gzkQE9eh5/QGXgfHUyctgUjSYsq1C
Yiet55go9d3dYNFucK9gPGWYPB3y6zP4wfoJjrhTd8iRk8OnZz2PBsxjpfzdKhDIReSKZmAmQOKh
cvQU+HDPBAXkyctA6cTGwN1umsdK+u0yiLFmkPHbpbwUug2v6AM+E8x1/4JlkE0kHcbokT9WSG/L
BkonBXd8S8GODIIX9KMPuAy/EhbwJ85Lgcsczz9J3izGaHLx3UPBeWnCUyNZzhr7qyOP7cM9FCYW
dqfvDQgY6RYYbjNcwSHkzTJwmlpUjwwhSGU3X5NvP9wyjEf96cvA2EnnSBSgJowa3u8NbJ/sjdht
jyKokb/48coGk3HI6csAsZKY41eB2LE8evNQsAtrCs0Es4ivzeeHuxvohk6eNdBZMWJkkqdQPnEi
8HW/WQZsWsgHFhwSY1Lw1y35Y9UNr5GbfDsnFZFjgWgwUlFU7H7ebZH2Lyq28/yESWjaVyzxw90N
r0b7py4D6RU4Kul84yPh+O0Waf0CYkp9BWp6FE8arw3tB7sbfnR1/RMH5jhTIQ6AsuFI437zUDCO
HQPNdVpt9kn9gz4UPypo//AyjOT3EYRQ0Mv+2GBax2LaZgYJ8q1psN0/4EmBAPjkKtIkGIn9T6O5
4gv/sW7gcWAWoTCPfi0zP+Iy0PCcemCKX3RyI3R91EjLTKDeT12Yy3NEsHdwppocJv/+MvwbG8g/
8b+p50cvR+TPP5S/BhD+1g98Ox5+/PuvgNfq5R9/H4G9Nz84AoGvr/0vYPA/3gAYR1Duu7/8BtId
X+frr3/9gD++9JvX+vapvv3hmX8oHotnj4zyEej8+jZ3jzH44WfS7p+9d4Ac/T3f8r/eyz/+/uad
fncD/PzS7reLjEsi+CpfCTffIaN/5rp3j/XL+wsfn85T3/CrzOeHSx/VPSe+59/0GTjxuj/zRTz1
0j9zLT/x2tdpBN+/Lt6A4eMNcgS9Tv0eyb37zfigU9/470bqnfoC1U/j4E+8+v6pfYxefkgDfK3/
T132nf/y61c/NlknX/1QP3v/81/VIXr3gL529KdeflM/H4rk8O7ar7OjU6+9rovH9xc+zuZOvfCy
eKyf/ue/kx+/Ubpuzs2Trx89FnX57TpfN3FxpCmcfOlDcmh+WJUjEeTUSy8K/ynFOuj9+z4iJade
fPIrd8krMHnylR/LQyTdoJR898ZfsY2/5vLTVybSj69AB3bqK/xnlh2S4RBFf9vX1aGQrrz0xxsT
iJ167697Kcxxf/JSf0EV85+Pv5Ld8QrH//xT/Fqt9k/m1Y8V3DdG1a/92tvydPyJ5+jwWPzH/wYA
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3HzZjtw6su2vGH6+skmKkxq9G2hKyrHmwdOLkK5BEzWSGj/nPN2POG/9YzfStcvblV2eDnwu0AYM
25USUxQXI2LFimD9/Wb8242+27UvxkKX5m834x8vE2vrv71+bW6Su2JnXhXpTVuZ6t6+uqmK19X9
fXpz9/q23Q1pGb8mCNPXN8mutXfjy3/8Hb4tvquOqpudTavyvLtrp4s702lrvnHt2UsvbqqutPvh
MXzTHy8vb5LhLp1fvtjdFmkZpMa26Y3Ff7x8s+tuX764K21qp6upvvvj5ZM7Xr54ffj9/zaXFxqm
a7tbGEv5K8Y8hl3kEUQxwvzlC12V8Z+X+StOOZcME5dSlyOXPT76ZFfA8Le73a19/Oi52Xyay+72
tr0zBl7l07+fhz2ZOLxZ8PKrq5Cayn9YIL/az9tffXrR108B+MffDz6AVz/45AuMDtfpe5e+Orkn
7wEQ/XPXxrvuW8vykyCJVxR5kgoCUBFMJX0CknyFGZd7cOBfcoDQ9+fyPESP4568G7za8jfBaKl3
bWd+IUb8lScxpkJwjrFLJH6CkfcKcSYYQcSjWHqUuY+PfjCk70/neZgexx3AtDz6TWBSO3OnnUv7
HTfz0/bEOJWeRyllEiEhn2AlXnHMCJfERdSFvwmY24O/fcDqB+f0PGBPBh+gpi5/E9T+Wdd35Xyn
9Yt1Wd61bQI+u3xcxOfCxE/j5yKJsOthjv70eV8ELQ+8pesyzsBXEoogdD0++gG/z7NzfnB2zyP5
la85wPSf698O0392xvzvgEo5JkRQzD2PYO+JUXqvXIo9JCkDw2UIe4dx7nHLOT86ve+h+vR7DmG9
+E1gVXdt+Xr/192jkfwC++SvJCF8b4KIuxQi4hMowb8SgJEjhhFhrofg8hP/CrN5/OS5yTwP3P4d
DtjyHy9V+LvA9CkOHu3KW0hTdvf2W+vz086UMiwQwVh4GAyPHIAFl8CLehSAktzDB870IZ792MS+
Aty/vdqBranfhcwcdfN3tvZPQ4e48FwG4Hyi/0/tDPICjFwssXSlJz3CgOZ8aWffn87zgD2OO4Dp
6Po3sbVFm36sujZ+XK3nfNBPAsVfCSQZEswVkoKdiQMbQ94+awBD8yhEPnkA1KK9Sz9+Z0LPQ/XX
yAOwFr9L/Frelf/6v/2vDV4EA3fkjHpIQBh7alT8FWglwgWwIHOA/OGQXMJ87r+1cZ7H6WHUAUbL
3yV4Ldtd9/Ff/11CEvB62aZ7gSv91hr9tHFxBmSCUQb52kNq/SQb4EQCF6GIU8i94Z/HR/+Zef81
uccLzxn8V3D7cvAhfL+LiW26dvetpflJuMQrFzwhpNWcf8reQAn5Ai6xF7OQ52KCmKCgTAId+TJo
fW8yz+P0MOoAoM3vErDe7PQuNa/f7rROf62kRYD3gRIiPClB0TpECowOLEoIAlzecwV7itTDrB4/
+3Gbehx3gNab30UcObnrbpJ//Ze9099am580KlAfPfCAksAf7xkZX0hItSCaMeRyDlT/8dEPPhCm
dFf+zxjGF0MPADv5XcLXSXo77PSvVbAAL7ArkOyllFx8YnxfOEEJChZzMeTGoHD9qYV86QR/aEbP
e8Ivhh7i9fY34e+nH/8X4JIM8igqMSjGEJvA1T2BiyApBREQrhD1JDrwhD8yoefR+mvkAVinvwtY
l5WubNJ9W/H5SWcoXhGPeWBWCEgEqPtPSzEgP1FPQCLmUg8UfpA8njrDH5rR83B9MfQAr8vT38S4
Lu2rF0sgGr9Yz9/XWhgAggkGKvG0HuO9IgJ7cAdnWEKQ44eA7crc/sCkvoLZk9GHsC1/E9iu0pu0
rB43+nNk7CdtjIONAesjnhQIeCB9qmjIV3Kvd3APMjNXEARXv4xfV9ANkP4PNN7HcQcoXa1/E5Sg
6WN3f5/sOvOLzUtAOQUA4R7UxQ7NS76CYii4Q+HKfd2MIKD5X4L1o5P6ink9eaUD4C5X/6HAPazP
gxk9adz5+fYbqD9DlgXeb999s49FT4kFsHno/GDAPkDhQAfi++cmoa/P56uoPHQXPZn8F11H/1H9
NvtlmKBV6stVeLLTfhYVAd0aoJoTCpROQPfTUwlQvhKMg2OD1ihB4Co7UJS+P52vg7J/jSdTB0w+
/IcayZP3gLaoK6B5v7ovat/4xEGP5Ui6YCdPrAd6bqDuwShUr0CloP9Gy39gPs8D9XngkzeEF/xd
2MJ1m/5Ca4LiB/A3qHsgBDX8w+KHhGow1BWBihMuXBdQfHz0gzbxnbk8j9CnQQfoXP8ueuyHLn5c
ol9A5PaCqwAtgpGHvgvQW59EIChZEZAhGDhE6UHX1OOjH9D5zlyeR+fToAN0PvwutvPhX/8NnbrJ
4zL9EoQohsIghUqvQFClP0QIilWgOkC0AjmJgz7x+Og/Efr+fL6C0uPAQ6T+v5O2r7fwfm5tDnZ2
F37qif6ii/fbVz+9NXRvHwz9Fot4IBjr2z9eClhnKCh9QSz2X/OENx9shCej7nbG/vFSQsvoXq/1
wPVBV9OnAv1w93AFePrBlbJqbQId26BfgCgPUhT0L4Lr9EDdMFX35yUMHcIIQRcVElD6dz+3qJ9V
eoqr8vOK/Pnzi7Irzqq0tOaPl2yvatUP932aLDSDw7dAU4jr7bu/gYXC9ZvdBfTBw+34/3TRjNse
WuyUSc02rct80ViPhWnMTqWJR9UVjAVdm6XrqVWjZFHQ18miNfM19Uakhjr9KCK5KLjrE+mcFWw4
LY0fQbuJYlPaqXKMlFMNW4L4CYnHi0K2G2nSO+INFxzFF84cpPm0XTS4fpe24+loylT1Jv9oUuYX
NDprV3Vs3qGhdlVS5rXiRX7Mm2JhHa9UljWZorpJVZafknK+jErnTZpVZ01Tvk+oWKfYsWqyXTiX
Y+FPGO6caneJ9BApVpPzXKIlL+KNR+zGcZyd2d/h4LjweXPtWpXb+r6as/uimpAijAdpy48qNCxS
Zo5TpE9y0x+PpPrQoP44rttMycYNsFurfuInObOb3stjFWVuMM/R9ViXq87BsCLVWUTLo6nuL8h8
w6bBqGI8q7N7Os1asQ5mz/OrKsoTZUraqIkJZWv35jKa7SbH/dt4rC5Tqms/LpybaRDrPovu3Mxb
ReWwzaJo8tmM3/DZfeM4RmVjfsI0Pymn6Ex3+Fqz4WKcBzWO1SL2irUZ80AYD27EvFR11YW2Mx8Z
zT9Qh67yfjhuSnheNJ7XU626mI6qLuLzVjgrPI5XsGOCqmuOCMw9Ht1rYe1Cy+ECxeKkN2zljVkw
OufpXFUq7fSOw+kKJdokoK3duO5wmrT6RibxVptuxVyj4qg/br1oPY1XELOWVffBKYQJOmO5smgi
R6OtlDez8azEzvsp7YmvW679rJl8I53kyPYkOaqn+A7ntl+KMrsClFXEhd6Wkx6UyNlmKF2q8rRa
EhG7AY9zc9K1Ua/GuAsSwgpl00RuHDZ0i7iyasiSfoOKajvN3Tti4mVhxitTtnI5dEnvN0OrfTK6
K0JMrnoPtatYolnVWPvTiOxatmUDKI2LWpTD0ksq5huOOuWYAeZDXRO0uNDKm6Kwq6YucHrGFcMZ
WSYN3kkmxHKoZe1nno5UxvmNjuJhzRJ92vUJ961TOr6bzG/KecILdNvHXbMthlolM3WDCY1s1ZZg
TEmySMDE/SRqT7EjaOA5KFZw2kVvU1keT3l15o1kCu3orQvZBJnrLTWV9/lcxT6zGi+jbhInjSNa
5WjsR0V2Mk3tW5lvWTk2/ozazpdJ3ipuPsL3FE6u/dqJ0RIONqyjgcyBU8sxnKNVHJM2xF7RreZI
LGkGtuzIpR77atG4U+VT5Chbws7P6qZZNzW+TpG96kbcwH1mCtt+UpFNtD+w4YqQCq+5WFs+2nNt
7zoJboXEzK5mrs8ncEwLPDVsufdpEQpdBnuyHGUVzA47ofm87QbYU30xJIrmjVbD6Fk/m9rcd9Am
bhBVDho+zE0q1Zzcd0jbwBtmo9B8khcVC4Y4bvzCdu8HsJTBHcflIGd3M0ZdprC33xI6aHyXkg84
xyKIzAWdIz9l9m7m+J0pxt7P0iZSImV31mWuAksDT0LwReOkfltWaMHZuOFD+8YZpxWzXqzGYqQ+
TjDsXty/YdhY5cTcj+ruA9jwgiQyXpuka9RcxJOfZ/yoiStHUWbCTMt3TeJkQRabUg0ee5e11RCK
fHpXEHxqWOwdCYceZYO+HZsWK1EFnQCPX0fJFGICGwsT/baay3SZjMn5PLKznoxpOHDjLpCMzsAb
8pWt/a5550jUbyqMEx9hGzKIAz7lp2MkfeFVblDNngg9I3Y8S2HDxF4W1Gg8c7g+rtwyW+De3mI6
fSyrdFV2dexnSffWJeSYFI6jytL0fhLvN49nYZnr6oSatxp5YeEmqsuNXvOmz1UUsVk5M73x0sTP
i8WsjyH1RypphvsycpcdhdXSnbeepE39NMneuji7xYKPSzshohLe46Aw6SrH2lMJI2863qVgobHx
vTHymzj2DbJsOyA4W8br0ZfWgiu29TIduyUtGA7GwWYB0YL5dcmFGqPmI8qzVuEJVcrGsUoTUvtM
5OBJ5iRkcTkGEY0AQFKbRT12b0XiJUGfpqc9FllYTu8yHrVqQpe4GjalXU4VzkOXAlAQ+Y6rqOa+
rukFlCDvc8wvG6jzn3WUTUGDm6B3kncW1bCb6jRwbNyeRkaHCfbCuJpPESqPRllMQS4qVxXWWUQF
WfEBX1GU3+49impakSuBzLUssNLJ1C91Y9EC1+MxM7pY9kkdJG1+UrskPmJl987N2mOe1vYonlvX
z984yQl26iaguH6jcemXSXLJ+9oLRFb3W6cvZ38GFzWO/cJ4eamaFKxM4xn5xZjCi8oj8B/OKTCv
66Z31q3Ubjh7yUdUVd0yntAaTlppH5usDL88bPaESt1U9QQdTcmfB/4+//iPVXgRfjp79tdH+9OC
f/10fLm4OrxhT3Q/3/HX2bU9tfx8kO2Arj4cN/wKl/3mxSdE94kO+JhA7FkgISAHfz5S+G8k908F
8sXrF5ddCscC9v/p0xn6XD+3DH3+lgfSi9ErKPNAEccFgc31BAX17IH0slcetPwwqHeDpMOABcKV
v0gvyDd7cQCOVu11OciBHkkvg2ZzULYlZLCfmsl/ivRC0ov+jfWCmgSdLTA1OKkFxY2nrNdNTdzg
lBA197nP4lQraaskYDP8T3fdyex8tLYlysoIb7TsYftTiLFzRCbVo5OUXsVgISdNREaVli328ciI
8vgALuUis7pQrCyCFnqyw4YmmcqRvJXZ+GYWQOhoejn1PFqN1U0yNygse7dTriXvTD9X67bulkNW
gTcbgXGbWlRLjeYsAMpaqk7GnSIt95ZUQojAEDoZ7ebjLp4XmMk8YJqKJW7LpdMWo99XE5Do0gE+
P5JxQRzS+D0fwPk4Z3UasdWMuxgY67RqeGq3pimWnU6Pmxjni97JnYBNUedXjW2CwakS8PjFddmb
ftOYTCogUrNfC6Ocph+DJIlbtSUkt36a2W4xx8VHwr3TIY7GZczHMhhnejFG5K5uInAyXcfCiV51
vCC+m/eK1wgFZORWcZ3d9bS/KfLBblL63smPMLcYmLAADm7lpuc8vRywdMK6H2hA49kXdoD8gACT
r538YwdcYSX74d3InXrZRtNa7uOeZ9pTW2QwN008n7V60XTmzZg175PYnRSHRTfNFG+G3AbTwBPf
1ukGJQgHFYlORnDUIaJD6fd2Xo8sN4ukV27ciSMmdinpXWCG6WXckCgYc+8YFE0byDRFPjdZMGBd
Lrgz2jBpax56crjuWpn6tAbvjgbg6LM7Kj7k5gIMy4c8Ug0Vm09z0q86Xm3jopjU5HEZTslH2hZT
mGN60TA9+k0SbYuMLLzCDdMBLwqMkkDHpbtIalcr6ibXEaQ1K10MAHiKT6y1V61JSVj6dMHieArj
dw1jTHWuWfdpIReybXu1p/zSjB9kYebAS3oRUpJvHA0kHjxrDMwPmTOnh8Cl8RYRx/OdKmXLfqTj
shExUabwtvVYDqGOphMXJauGRqmqBzdZ5CPJVNXKZOkOJQ374W3dCaxQxJLQ4kz4TE7NxjPkEnKp
8qSp0YlJ+AJnlIUVr2EGA+2BqEUq1XmhUD6kASmdaNG0/dt0crWfgkipEhqfGPZO0PFyhtr01lbe
dV7o8ZzF4qaYgV52SbecKPETt8BBYwlTxC1bP54hE3Y7Om9H4Z4jJ/nQOOdkZsCLDXpD+iI6StFw
6UwQl2rIuJLZDvsU5GQoJwvkrC8ULF3t83cIjqj7/eDlfinkHLDOmXzZW7ka1pCBpX5S4G0KtMI3
/ZgsbFeVx3B8aoWLfCGES0MpWBVGSbyMyno6L0oD3INiFTEg0kl7sc/uILwNkD562Ocscn3UcFU6
ki+rdH4fITdbQoR93898SyFbXVFbn4vM3I2FLcO4Gd2jms31Ats8DixNZNg6AGU7HWGHlmew0yy8
c7ydTVkda6ncfGKqnsegIzz2S+YGEe/IMsJL15Xxoi09CvnvbV2THOBMqq0xfFCzk3LVaPAhNiaQ
dyIJTjFuGaRNTh5K061HEX10uQ68ntq1J/l1RquTgjnTyuL5hEVZ4lNbrQ1KClizkDlMpSwYGzTu
6s4JiWxiX5AhChm4rHi26cpORrW0DNvWNkrWVqg5desFxd3bIqs/JjBknURGVfFp4vQNmL0nl5wV
pzNKvSDB9kMV8yoA1+P6k9F+4vXgYGUEegjANrUXzDTg/XPXb9KxVE6frVBH3jT5phj1sHFkxIFd
yyj0ptEs+DhJ1RGkRp6xEBeQR7t73zAAbNiSbCU691bgNAP/1wSFnEMRDckGdliidBmSCnKMiWoU
iLF6S7voPM7F4BNhjnEzbtIiXuQCXqb1vHaZSnyWpkW5SKppUEb3bQDJstKjOGtbnCwT767O4L4R
s0YRMe+gS74PtQfSTJH0oRPTXLX9+LaMVslki6CpozmYUrkphQDmyZ0zAb9eAfIMrdVsO0hK0hQW
P00XQudRSHGqEgfybgbhMdL1lsEHHmyGcDI0VlkbQfbP59CFjys2zn7lNIF2Uw/ceBZttLO1JcqX
UzkOkGJmjqpQT4JI0DZMogg2d6pr5QhIwCDld1nbhkzHwneKli2RmTq/EF2YxHWqcjE6Kmu49543
N5Mzbaa4Py680rkAmeRD6+yJuAskPm1de5lXJlalJ4/Y7CkPrgUyMxvI0splNC0lNLD4QxTbYKxx
62fGvpNsXINbNAGKIP4a7Vz0eLjd2zuB4LLqbe9HbpQs8xzYdQpZ9ojpVSGNXkxxeiycfAjo5NFF
1ptExU61Tmnaq8lgoaLKfVNFJZjQZOpFjIcs5HOpA+PKdVYFdnKP+8LoAOg27KqCTspWE1YGgzWD
VOWTXAYkqw3kWWn/zm3npWj9LhdvSQvcecwgUWrr1m9aV55MOFZs3L+YQZ5Pp65cOzPLYdex3dwO
i5KW8zIZ0F2uC1/kPLCRHIIq12EZ4VpB+yNZojQOQErsVUqGN0klyWYiY64kae9YI4bVUGQqStl9
1tpzJqZVDz97dVkG+wsVs3MAx+5n345u4UOdIvM9CFKQ1XV1ALd+zDK6aqvZWZHWjU4qGW+RhuQO
u00cxGN5PuKsDaB72VPY2mXtlN3VRO0MybnTLMSkfSpgv3bjxtZFdEyAkUEXYBHmQ8yXnVesiDP0
C/A1RsGx8XVROf1ySOfLKR7f97BcjYFUY6Ktgkh8BE/OfD0QAC9qmD8OCC8JSENNbpnKxG4A3xO4
wA4GRwntbAo5tOEs0bXpRefbId0khnShk1Ua4h7opjwbkmWh8dnMjpGT7QN7c9Qw3PuyJseykGfe
lDAQEbaukaA2GW+C51QRuCjqhv0kVt2cSJBbIEAW1gtT8ExZMWwbL91hZ658eN8kEGTFCvRRy2j0
2xnisG4rYAhix8o5Bh03L/bx/yQd0bghcjriZBxXcqpXKJmatTsUYM2p3wt3QSAX3eIhaYMiHrE/
F46fleN4zJ3qqHFWc8+RgrwT5OJ5hG/uwd9D5TZZysL24AaGTMVxDTIbJITzGdgiuNi6zxRQK3o6
23FpChvkqan9CdqTlC6qQmkiQNux6UWr0VXfOx+7iA5rOzuzPxU68lmpG0V7c1bPrgcOj8PiN/dZ
J+SFqB25mOaYBOXkwT2JPgeOl6rWncwCJEg7Jfmxlx8lWCbrFNJGBYLkbZLOZ1rg20nMBuQ7+baL
dLlEZbfI6+HSpLVZkypSUazf0nou36ZOf0nLpZss8d5KdeJsUD8tecQdwNPeYGZUI4pN7bH3jZRa
9aAIFy45yVIm95IlBHDu9mFeuir2ZnzERRNOYA0qI2Ub8Kiql4JvKpBoShpfMxCZgoHDKJf3cZiW
7qrWKVYthEoafeBQLQfpyIwBpD7hhGbt5yMI201CMsjzO9cfKHzWz9TP+ZRvJS064G1sjWIQM9wa
EJ2ysIbTOEsgo8WyKqseNFm5M1VS+3Buqtx6uCRhBa20i5p5laohfz6iaTWDHj3wFZ97fxbtFEAF
JAln8KwXTc0uTK27bdHBCvFeonBsWXzsDvPWIi3PnRPLinXdsHxLJwyUCTL4kQ3nCZ6CWAuxHWuQ
t/oChZE7T6s8c28QEMVelO8kd+48oZesaGtwRdUO902zaU15apCetjSajpqk/Cga3i0z5J21sSlW
89jsZMf7BabMLsduurLMyUHH9pNhRqHtunnTpM6qLOQG9LMYagoNCYGVnEMf1oc570cFwgHEpaGB
SJid1Bpf9roKqEiYH8UYMq+BTZsZKLjMsFl7IwfVvIvjFUS0VNDbfbrYtdW2oYGcyuGcigJBktRB
RoMjZ4XwdOzU1oBVurdN6egTDgIajcgZtrPYZjoVwZBaG6TDAJSI4PcFbHMlkgqFsneEX0iiGuyB
FwaBddSrxKnFUYxMAHJ3DAkOzH1I84XUDVLdkJ+1FVpVXmtUUrWlH+FxDmo9X7ewjeIecUh80ZsE
ax1EJQhVAwSnDpJm5crCC2fhE0/0mz4e/HxqmlWjow8ta0loeqtK1n8EiYUvnBpk4aHsIf1L5iB3
CTACDd/TR7Dtqeen3eAucT8nQcxCZkDY68rsPrHwkGzr9vlRL5oKeIy0yvZlr6B1J8y4W6kkhrQu
FU2QTJNZtu2w6YDJbaZ3cVYkakxHo7QY33Zo2Ij5HBS4HWtpgEbPg6KAU0PeHKQ4FsqtcLwwRXVa
cFGsI9dumUAwC1h11nXRoiOpVUXJ26NkEm8q2MnpYAawJKfx63xoVMZgX5A5et/QuDmyHQfBABxF
14AqPkfgxW196o4oWY8RW8D5qQuJkrdpMUASRcWibjsZVKPdIFkCPbyMdYKXTI6Or3W24XIQqnfk
zeggByKJntVcwk6o9a0T972SUA3zbWuhVAcbvdVyBQ0bW4jc17EAhtBDRO1bU6vRuJEahmkvgyaq
likFqZKB1A8mG1YVuMnGiSF4tvmNaZNsUWXrid1hJ/MzYk/L2M+dUoEUMi4ZG5LAdRxQV+N5hHCX
bbuWnlYNo0qm6F1bdFdtanIQqQVwqo7fOxJciad5E2qevHMi9pe0Pej4bCohSiN+zEuQObsGdOIe
M6AqgaenbFUPyIUtvdWuNluvEh/y4sJ4dyVXSWuGNTcdeLwUMo3aziCOVvNtZnS11tAmHjCovCpQ
PiUk/f26Q9de794a6d7D7xBbkrlNVIvye5pP7jJzITwnXeEboEbgDUa/bocjWaNFOfTzwmu5Qs64
iCbu+YP1rmC5ZwWHfx2FZWOCXuhjStIxrKLM7uthIsBzdirFuKrq+GIYl5nH7DFp6KbsnduJ4veu
I686Nk8KtxgSf9B7lJmiDaiSi7qwNxMqdh4Iwy2YUmYxWHb9QTN6VuEsXco4aBg5q2onqBNnQUy7
nToJE3IQiFPePWTSqbIW6gJllHpqnoqQdvUl2OW9NTxRKO37wJF2URbVrGLBCz9KizuD+A38urTM
L/O3ugWE+8k9EZBmlDFpFk6756YQrF0228UwR/c4mm5MkX1ohi6QFb8qmYkgAyXrnCdr4In1oh/a
SbUZsCXHzf04jnA4n5ga3jWHYzRh1+nTZNIrnYILTrkBJuwkekWG5Cinfq9HSHrL9NqTaQlFEmdU
bqHf9CCHh+PQ3/J41sFMow540AfXuEOgSXM0Fl0eTDGDgnWXK9AJnTBzjpqO8yPQwyqQHOEqvu6d
5kNL5Vlsy2PPyaDG5orMJ1aQIIuMb0owGg2/lmuR0xtdynpRuN0RnEI96ytUHU8l+ITYI+0Cyom9
pqcNudVTfTU6JF/kSRVyO1Eo9U7BXBkQWmIv5OASygL07jTprkyIinnTasiK3NgJh5guoaAG6oZO
IJy22XoYEJQWZatm2VzNujDq/7F3ZkuW4ljWfqGmTSBAcAsczujzFOE3mHt6BEhCgEASw9P3OpmV
VplZf1VZXfZvfZNmaRHhfgbY2nutb22kdF2phva+jdk7jt0f7bjU0JnCCV5YfTeYYMv6xmd5PFoY
3bCz1LHhMzpZiZHb8y5ou0jBYUHamrYlc9NxqftiIbkXV34uSPtqwxFDlt0+omqGLUb9C/SovQcj
iw4s3feRC05t6k4rqYaTjLx2N9TizCJtTmYOYctsatcz896E47pnfKNZR/H9MyoxAgfV59ZU93bd
h9tgn0blMMgtoYKe0C+ZkW18kJzS3Al0SpU/5xtnmReEPUaC+ueC45+r9sQkf2wmm+yXMMzaBONB
OG7HBmd+0UiOCuQgKQVkfNRLdV/5ttoxB9lJR/1PitN6Lz51G2wnyH69oQWRtiqkv3ZZoPv0UqNM
dV56pzZ3SVv7na2hLLnHUHOZv4+7Z6HNdkpR7FnX3Uhxjk0nd42s5hwBvW/b0o3ZvLRtjsOU5es8
/zQee9+6+LHBDo48sE8d9NYCuo7PtzdVNZkcJM9CoA2EDS1eUvKYVnqPOPR8f9WGsnGhUREky95X
gA1kh8NnJhODURzmsOBG9MsbbhrcbgNQ43xp1xQOp96h0I3ZkHptQdv6ufUmlUOCr0/dTJ6aJIFq
iQ69SnhVVLwXGDbHKPNE4B+MFz7w+a2hQ9GboS0hgbv8O6b+Pk9YP/96XfmT1IWRE82QSszrVkEI
WGHqtLG4dJpBJRYzTheL1X9U4KJM+rNNm+UObnudhSaMsrkZukxtpN/5ooOrSJkromogecs8BePL
dgeDrQo7dxUIg3DejXPNSyVNm9lhNw1VWw4kqsp0AerRM55H8Fa3oXn2U34OtOmg0XiwSeteFQI+
Vy27e5+6CYVzxpwpxv00S7Q69fCaVPoX1cRvmz+XyzpH2dRgRl97dYCVcMM0xPuAh7jZXXjTq5KP
yTfIP7AM9KOtuszvWJprPazQ/prvMQS1LHDbI/dHTI7XZie5Q6/C0dCFZTP777EPqWrrgiFD51Cw
bVvQPbstVw39JvUDJtybbqPymUUOYjDandlRHJfs57KkQx7UyTfrV0/rxGjRegvPNqKyHjDOOLLd
MCyk8GyCjpOUWzqdOv+mnuLgblvUpe45vj2n6rOaotsKouhg/P5gBPspV78gGgUtTkyFmcx72+qp
rCIfzMHc8IMav6kteQ+n7mNYXeacHgviue/apmWQKlEuc4Lj2NcG0yE7LV38ozeRzYbRReggG5Az
/IUNG/oze4uxvYfU0ZygeKp8iOYWBi0c0m2bTpuvp92G8xh2daNKSqBsz/PQ5m0/Q7FF5XF+Ao8V
uEobdnndpEHute3jtLTuXLvkUfZsLGaLVmUOK9SaBa8t3Ai+zuHJr4OTPzTffMMuVINmSfsT7c66
d7hg5+TsrXT9RmKzc6340mPCngjzbGY7oBoj1CNZp3GB7xbylwjyiJv5EwKaDdsdktRF1Qp9cWED
4MQboQV0Qu7ZzF650/gRNc6+BCWt297FMnJoS/NdrYcgl759BQNNcNIuHAcHbnlax2PeCyhKxLNt
hmFxu3PDq26HeT8HzeskFC5vNsnHSNYvgFE+l5+kYeU4tPWB8JchperSsRHXhg/ffFVJX64oiL4v
pocxjZsyIm7A4WXOqbVvo6H85GEY3AWbANM1e28rX871YqJdWPdh2XlNk9MpnG8G0C49jVxRRbM6
sGWLdtIF0F88SOhhbZdvCvhKyPlH33mHOWx/bFMABWxOpjtXecXG9bvq/QLSl7oMk19yNxwGoqK9
9itz0976mD4LqSf3UKm537V15d20tclpj49ESLADks5xNkLGygb4aAfX0tfRzeUa6Ztpq46N6n9I
GPMYzHBdzWmVFGr0CSaXie5M6viRiduKmRr+1RyfutFA6YGn3Da6gkzfhsepU1vefTCyhHfDzCEB
fSx9NZdx4n9GgqJ0Oa/wRapgG1GbSy39fBwXgpFkgk8+lRITVgi1ZkAspOj99Se0Gy+bo/5UYRTP
AwFdmBAwS6yFxsx9G5dx4B0gnugb68xT20DmY2gc6NosOfTy17Aff5FDFxa272kWCQgsOuFbpiX6
FLkMt0OFmrvE8rVq1yfquugYCUiMwEbGjFcDg2vzMITujg3d84jbMUurHiNm3w0nCorwLiTdWg6B
jxbMBC+yPYzOVcWqNj+PBoavC2dw19CmSIfqO/gBtfNc1eW9U3oXwU/qcDMt6NK4P2UTCb/49Q6m
gs6oel2RJmIrrNI+ivuxsZXaa0GfA7XG8PO3N8oGneufkg6PTaRvO6V6lMaozn3JPufhS1yFP8+h
LHPwaqR7ZC6G3t/dEoHWJrgEffs4LOqHi6eyMz38H1t99/vQhxsE65OC3SHgF7KVDs82BQbGN2ty
uNgXIB9+ltbudYqjnWbdTfwdA0hADmOV/LA+VAUMymv36HT0i457NOtVSdLlmMbrkcXyYJpqybox
/IWqHadxlJkd3dAcTKH64Db8hkt6XXt8sCPkpejWEN/uuOs/qiQ1xdgnt/6wC1OvwP1+a8326a9N
MRBx23e+zZSaf7YAbHC23y9bdz/FGwpqivJLO3lMvNq/nRnGZbgzk3RN2boBlEo0evfV9U2axO6p
F+HowNY9VKNhe2XVaXFDDQPZRZCw4XovA1lPtTTfHWiMTThxMhXENUiVNxYvdE+UOMJAPK6KNTdh
Mn0n6dieGowY07ympRc3aWHgDWGy5305N66ow3nMwr6eDi6t0MZPEaQRfEoEetl5HJPuPMk6hORf
9blHh/hEXT+AQpx8jC5sOsUiBgIWhWMxae1B/Xpq6v4DCe4NdJh+FqzZkXgLb6OVTGUYcoyfkOUy
GchpT8IYF35lz70Mb9CuxpkQ1Ntvu5SjIWoiYHd1Ik/jutytLX0ICXpjgl78qFN7P8fu+5bkjYlF
FjVTDJlnQQdEcWOAZXQbLJU28jFS9TzvZ1ahqQllEUQzjPr6Nly23dp7266hPpy+iLpyJBg9R9Xf
dgixXHqhayigzJ5WD+hVMqHbgn5wGHoS56TBMT/Fj73fycL4xt/VNUzvVJiToOaFNNUJzRQpidfJ
fFoSr6jG5aAc84AxtAF6xEbmbrVngA8rihHupxVHwxnNYJ8ttguKltBczLjC5QD/s2oqljERvNil
h3MAag8NbF2kAQZIvSwFTwJ5qQOAdkYu+LcwXfVs4NgkcqcwV2OK6Qn8603kru7r29Si6i+BV/aJ
egIfO2ZjjBl/GP1658dJVfCIfC5R1+9oB48Utj074KI40NbDkedVN5UX1CcPhQRd9iFclV9e4QK2
NcPO74HHTVa/tit7arh53jxmiyhqPvmbVgYuK00cxNplKmqCmbuVn2EAc4gNXGVpE3yPpvG4oU5V
BBBGkE/DCVhE/OV7P2VPksKNfMVN/oUNzW/wCyQ8oO3dTkm9QzbJghveN7aGpdNsZeP3RSRd9BAu
Zk/tMhaBER6uhmXHQSi9xwLtoG2pDztz/lrVz17LH3G7vPg41LcQNJqpPgb0F5uE1RjrGAOuFSXa
zXHfuumRVPigJ1+IIzygVxUPH9Gm1IlO6kccA6Wz0ZoFNliLxqMb3g/eDaH9SxU4yNcCKizXb5Bl
MOXS+nUk3auM2LMnGUoIKLCsWpYjG2mDHlI0mYDyBIyN1UciPBzoY1KYtlZ3XWDwneH4qnz6aRN2
kjL+kYZbuJMmLLxmSg6INED6maAwhl4RXuX+FZ9bt7Q7Eg1hhqmlSGUkMAiF5LBFBGbrJkvRexgt
IXaaREKidAEuwS1+jmRoc7oBa/M9YNp1zQ+QoHZhs8AX0SqAqT1haBP7foVdrsGFhl0N718bCdWq
OqJtTg740N8dxS3qCWCiPIUtGsKEnyeRawVWgQZfMyz9k1BDZpb1p5fqzx6KbTZadL6uJv7NPEct
MOUfqg/eNSht6CbQXNOwgzmYaSr4VX/5tF31AKHoxquk2q/DBK0Oxj/oyFwG1mabzYXf8gMjNQy6
tCprDEmAKPGXq1h8zWpYCsX4LzVrCXzYroayLLKGdO3l1/+g72ovkwN+uiAZAikJ+DKz43QWpvkR
NPBvtnEQGJTCZWe4fQ+i+ugHgl54GhQB939gB11bkqqLQJPjL4YOlp83+/IiDVxZMkNHh09mdvMG
u2aTQHPfOZrli1YdLPPqA91MtiauOtd99EEszZiunpo+7HHMLehMakB9uF/5UsyRfBUmQP1Y7Xcd
s3Jz0Jfc+mqZsjk48KcuCMXDhC8c08+9Ef72OIPSrLAUvwS875UtTR5D1+PMCXSQtSuqMWX1ZxJH
FpPzWEN/1U2x6VkWet5csViYmLZjt5Fz9Tmd8Y8kJIBexvw+qKFOu4gDxwr7bccTIA+jlufAk2+g
isRp0ZPdDfEGc55hGEs3KTMRMuhEY7oVZKS8wNx9cFH7YLYNYmdMv2YbQzFVtS3NLEp41BDYlxtQ
2sC1FxQ63eYjZw5FHp+asxiH4vXNx1GUVZusD/GaB5wuCDlYFOU0epNM4TAJyVNLCRx49FhHPUH4
iFwpom4tWvhJuQpihSzCGEA+qQ8fbSfE3ajevOWhh17sKjIWjVq/KgIdqZ1gpWPl3c5q9YtYPfDZ
+oaMjd05v2l3MGbuXcf9vGYdZmp4rnaFvOPbKG8afoebvH0fJc2mpK/KoSUPmnYmGyjZqdFzx95B
i8E1ijuazOGhsvWH4KOXh8GjVhSUesgnCNOu221DWOVVOx5iot1bdLXyJRvg+tU+uuBFnlc97OpV
32M8/an7hu9THlYZdG5IVMoLUB+at2QyQTl321ktNgFNVpldAFiLib3pUNPw/b06vZLCArLLG7t8
KoqhcWbtOxg4eqi2/sUst8pfxwepLQfZSwi6oO7DAuTFYLl+bIlpL6JaaT6QIeNDMWjPnnggJpjg
EIxz7zrWgxc/MDe/w1KRpTUdNLt0uwlwphLguRkbYJk2lW0AoauDGMKg5Ia82jX5sYwmPCFzE+xm
kKwp3psHJkv5Fk60Co/RKJqbqd++AwqGHFCx+eRmbzhgp55XOPccXhVk3l08gCN5Na6wpwwqiNQd
rFKd11OPQjfCLasgMzDo02167v2Gv2NIg8AbvYuaVyAzYlt6a6ZJC56nEXdTitnTuOgnlmrfeK0B
ZTS2l411mNEicnb8NhRIlBCIQkWqgav75mFKHb7fdj3YyoDdutro/9VHSm8G2abMaGA5Xph+dTA7
qZ2fYO+Cc4rfGgmQv3dQ72avzykpNaPPIu0uW71BPXe42JGaqTI5fvc0cIv/skxsYouhB9UxKI6l
xRiMeRaXOQdB7u3FDC0dSYXvFhJONMNUij3+ORHxpJL2PkjYmmFpz5WpUSfW1gB1MCFauOqZSBim
nqaGILw8BOD2T7L7TuTS5v85EXzz+3NF/kr9/hH6/d/GDf8pG/hHbhgBuZRcs2n/nB3+/RETf0rV
/faPfs/HXRcfEMC4+G5Z9OvO799QYfbf7PpIEmy19WNo6ynDgpG/o8Ix4qw0ibHOIsE2iz/n42ic
4o4mQfjbKsjfwek/Qd0IBf7t//+Yj8M48VdS+NeFGn7oYx85ibC35s+kcDIoHbBFoPKloL2whHLd
VSDsMWJd23KYpT6z3/swvSgJXzrVOcYmMJdyCBGCA7GrWDIdgtV/3HqlCw8Bvizq+anjZM1RUV6r
jZZeCvm7o+1u1WFuTIwfKuW089b2pa7jQjbrPhV9aaQRN8LWXzpV+jjTuio7XWNERd+ei8q/Rc+w
Zm3qGdQcBahpEbBPYtdDWeu+dQm/bZMmR67wqQr1Xb9+m68RAqBbsPQ4LzBTKzBDtX9Sc4h66eW8
S8GM9KwAH2AyQiaSJ2HzpIT5WJ1819cIA+R7UqadIwXQhgMYsAitX/xojXoiHk/vEw7KyFsLD/wF
nRhyN/E3plxYaExP6ZzUN8v2WrHK7sbUu7TALvOqg+Mfb3eTGX6oOVBQJ5BOif3wnobxE9at8bJm
+s7Z4PP/rLj/s+L+mRUHqD2Z3YEJ+G0LRObLmtIy5be+TpDUCWl4AJAj4Pg3e7fZAIRofDc1UznN
cElZ57dQeptzjdMD44uJ8nZNgmKooltyVZ/Avu8DPfZlrzuEoniK0QohAGhsPrlxLr1Yi+SeZwTf
ad2+IkJ5MCG43qYzR5ukbzWUMJC6jsCFZOoA0pEH9CZM+x+QhkgOGnoHUBoTA5dvFMBbMc1IwyVb
+Gx71JB+rUmZMHS5iA9DhojGInKxe6J+ucXpdm7Hdo+X2EKZdG9qQPpOXvNuGuRwmprgRjQawacp
AINECUg/+RKt8ifE4KepYzVuaO2hfIo9mc3zgtFhBxrkDB1D5r0Uw80ie2gNZMxZHx7muvlKI1SI
gLdPwAIeEiHXo5KuXI13B94m2PlJrpQMHue6PYpohMMFlBdJkSFDbBnhggX9gKYLlOhouQj4raWB
NFUgyRnuCPJUiLX5LfrG4VE35jDxHr8ZuH4+pP6N8YQrQfz3+TTVxwVNK0yE5EfA+u+uRw7KrNqg
x1riQ8PM7UbmQy3X9TLoMKuDjmBci9F+tcFuMeitwhC/MlzrYusa9dQmqFLNNoFSCOobu9joomBQ
1q1t9p1in1F/V+ONW4YAKCLE50CAYfNaRDk9WZcbOumDcBYRw7DZQ/dR2eBiSKFetB1oINEWzupF
qP5rASuYzAKjJgHwpL3kMIwVQBQqIviHGhMdBSarjEhhTlY3q8HQCMCl9GlXppO5ovj3NeLPrMcH
MD63UXV3/d9ppL941fI++YAfmxhJZ/mwMPK2+P5Tt5E3ELVZwz+9rnoeNnUgQY2gBF7ESEo2Bxec
A7dAoE81X56AN5Qt0xmN8A2CLqNUgCM6LF1wQ0HSrCM48Co4j17wFjZpWQ3BYW2Xp8oPLwhbfLM0
vpklXOmu2clobS9+GwCG7KrblgZvY2+PEOTFHh7e/cJnd1r8iaIHHc6mWl3eLrWGORmoQgU03kfz
SDBqOVg/EWaSZg55MVcmeIWOBn8jLUHEbHtoa/1ci120tWMuQYtccNkgwrp8+8/7vv9lSbB/1dFB
A/6XKw/+ySNx/tTg/fYzfmvwUjxpKUWqC/sMsL/CxzKD37NgeNwLnqKFPwAESK8rUhH4+nuDh2UE
eB4awPOQYUMB2q7fs2DY/Eh9tIXYqBrEPrbO/EcLEP5x/8G1rWN4xXGAHTX+X/q7ORJNP61DDDDh
kaKlODWLPhpnVcnsGu/whKLmBVV8hvEJJZ43w0MdzxXyjgDWob62IQKto3GlAaAC2lIjwySA3CYE
1lA9Tf1h9GGWQb7ZEZCe+3RDSrMeQpwBIc8HgExFh1hvyaXWhW1egZu0SGGQnM8tLcKumbLUV6dm
bHQxCXuBO3r0U9S6kAPLgGvo4UYP0hsLHtt5t7Vavvjg0UPX+d9iCpks2og+1azyzzNlB69W6Y2o
AYNtTVvDlG1V+Yf2/v/RMQcI8A1/XijhY/M3inqMFpyFAZbJ/HGhhKZjsigND9iucBzxBJkWOBzc
4Eg3kI4Wv0BagyFnwO+AZsGmgYKVj0u8Y2pEcGH072EK3/GIzfsQTIQzc3IBJX2jsa0LJnhaZcva
PFOoh7mw6s7zuYYGg2yHN4unf/1W/OtL/Ye3gifxATlAmpGyv1wb0LjXcRaSQdQEuQ3gcg/yFCxb
aK8aZHcD9ksUCYOGCXQCn+URnP0Z5wo5b+u67+rqy4TxkCFpYR5j6H2Ehh3WHGKa+ts2lL993r9t
9PhjaPT/13EyYf9638pvDwD6c6359Z/8fZgMWYqNlLgAr6srUcl+GybxtCJcj8h7ptiqAvfn+viN
P9Sa68oqjJn0+hyVCAXq91oT/zdF1cIfYffvdYfzf1Rrgn9InWLGxcyK5S0Eu1awrPHPt4ack0RO
6RZkZCkkJOEwovL8r9mkYQRCZvVLt66QbkYkhwQPMF+mJDrBBXyNeDEAD/s3N7H/D1Uxwh5WrIMC
J4TSTMO/5GNXNk4R6cMgo8Rue+CNe9Mi1aDj9tj3nwnUvJvZApDSaAOZ12J4VItfTrFAZg26XGyx
2qI22b+5HzHV//l+xCyeYB8OHi2Fvb/oOP78+VW9njhlMGrNFKS7sEUWdsSqj+Xaizpii2VdcnIx
IBLywBvuV5YO/+YlYGfjP7wGHElY1USvnw2e1PmXfTl1SG0XBgrx+rEWmZPOz/s+5BlJnXexSnSZ
oEEWsWZBcmMDkjz+TLbtgzvfnSATOgzVD244I53Y5Vvjyxz5hhbW09bA3qjXMz4AyGrgD3dissN5
dgyOXNIUqDVhCfrOL0JTi7tuWPbX9Ri8Dt/8OoFrM4D9DggHg2UaUOwAmQgI1rrqXyjb3tNr5HbG
vL7G/hu42p0yhuaVSQAUwx+EASCbc+ftsYF+LRZKzzW2ueVxjfA8jHVaDlVID3qDKKiSLi0GGFY6
WHowZPwhZpMtx9rdDmt13T4C8ofBU5gmKI4Wu0BGOE5Uk8d2rM48xeDBXYo03Qp13NXYseMLxy+w
t4Ch9OZ+9uvXcEWGdvb1cxdPbwBM/b1W3ge+l4NRitz4/aoLcv2tq/3QSHq/IJyDwHH3sRoZ3Q5c
jK8xJccuGOkxYeaZp11ysmHt56QmDlFl2iB4gm0Sa3S2WoPGW7FIYxPNiv0oEWKmiThsSFVlxDp9
WCZ3acJqD2W+Lbshqk5pVSXIjDGRCW8Bi1ED7A7peqKtNJfGS8ulS7tTMtcnSUas6Nl87MOpbHVX
ceARoOzksRbjwWHvUM23Wx8UviQ+P/H0DYFBYPDTxg6xwh4NifTcGDTIu23LCDTWD86LD+aBvaQI
+N7DVsRqoKm+q7H4RQmkEKcB90erbLQfTbAeIw4GCxER/C06A2TliGxi/i0NtivFLT97JgWOOZfD
LO6FhJEwLM123wN1HAES5zHWAOQ4efUFVBciigHIE2d2gyDIntIK2MfUQBDfYxq9JqbEBQMmIrKp
h0wjHORepy3yVenjNHv2wt2da5H8VbzwF3BL1sC0WGcTID+Jmhb3TXDC8hBcynF/6rFsAywADBDg
PgHf9DHEPhtv5dOtSGVyXmb8UTLlDY6Ut01wAjAEK3vmacL78mr8yOHnoiLwQq267W3inSw4bynH
Zl9VYZPNsZzzEDtzdrLZAOAgCQDGHNOb85GwEeMzoIv4kCpDr+ugyiYkYFe1qfYG/to8GfBi6bjl
86SQeVPylhh8HOi6goICVkG0sbOAH+w1wux26wx/BJrlV2/kIZo8BXpwhRce23PY6yFHM7GeesDJ
vuclx3HB3izE49kDnc5bhRUZFfa+sCWGL67uY3FrdBCXiWs43urwynEpXeOKoIO9GtQv3bIwRD6p
Hn+sFAnbYNRJjm02YNVrlKceAdFMRuXqr7DBCDwbbtC+qPAX4EttYdMZd1uvkOTfMi4rbDsx65Fs
AWz9goYmRfqjMuAysJ8H8a/CGruWFfEwmCKbRIAV51icEyObBou69uohUxSqpEqbb/1y1QuCZTcu
r10dVzepTpBSQYYnWacbhI1RRZzoHzVWdWVJ7ds9pIbHAOI/NqNp/Bz8ypU3yK8I9UsjOp7Lyd8y
LEXy92FD3oNObzfV1cyZ2nC3JBwZxwhOSZAEywmZOmSPBbQaqMcCqOxYgwNZLuOvqgOflyz0LIbM
qyYxBiBSSZ8i30/fKsFggMzVZyf8Bx8l9IgVCbCd1rFM/Azpf7tLfAEXlMoF7jrtEbzynpnf3wLv
eIwQEXmNrPty+PYk5FdkkcedcRXS8UESYuS2W4EbvCsFYmCIkp3tNn7vRuxDau3WQ1Cw7A43Mx9t
hwkibfKceul7q1u7H2oZ5IvpejiT1Vc7zRg7+mDLK8S6Bn3FhUHNeTlBNK73ERsnKBkwVx079GNz
1BiNl168GuGCHe3HNAPz/pmk9aG2HaKHXhoesE/nBftpcoxw5QAVq02e9bYhYxC8aU+OuHyuKfnA
g02Y9m2uJ/8xmJFfcCLaJxRhkqmafvBh4Xvk1e5gPgN3G7Ej7Rr18SDeYx4Br2u5HHNy3YzVJrlI
tbtd6ug0DWAcV08/jrJ/mWhqsCTMHuVTK7dTR5MzDqMYBTMt4eh8mKEPdjh+DioYRW63xRbxinVO
czfyY+LzqGyoQcJZkiavZ4In7dDPsFu3QmHVBowmVyO1ASM9sVj/fw12pYErYqkz0ob8vqftGTtC
WkRz51vcxhL59+vqhjosWNs9jLqHaWYRaUTGecyRJfQQe2V8ujOwxfOuXTBdmvYLMOJwuy7O7kiD
tA4x+j3Qmy2GZD40KeLQ2LpQAP2GPpQ+zTGZd6DLNiyvMZfZjF+sB3LcpuZLL+zD9/oESSbEhzy/
ZNhORnT9jj7t4HcpKGjwCDjOYNr7PncIU7byFPNbYBtDjjzk51alMehG9y0KwCNCfMMKpxmYHodx
p2CHJ6MwO8iZDeItgXcbVMxmiZKFIsiLTNBRkafFYVop9qwp1UXtvTW2xUa2FpH3fsJ5X8c4+9pm
vpX2ItuAFjrs5UNi4nC3KjQHFvQ2IqQKSylAWGtTo51z4U5E+E3QBRMkavkLDUd75zxjcAuPv3ir
5JcOObiMRBTf1TzxM0MoBqGI+IjnTRGkTNVYYv9Yk1sJb3EIcak53NmJnV8SDG6qd/B7g+21xfKE
fZVqhEUqdashNtzhhk3vhgiqll9pEFL+wPNAqw0sskWR2VLE8InEd9LN0xEhB8TY/bkrl2iB6y9l
sDPVbtaiDJW8C4EYgn59Um58wcT6OTfNi0Rlz5YwRl8xTjejQgMFd9wUUJyRhOYahb4DI6nRZZP5
jUgE0rAcbwFj7/1g21FIWk4pxSJBxCyTfTJCtcZKrOZg0OMOAUwipPcuA3LqcPnpARv71QHrUIAy
ROlBtsvHAhPlANt5fdDuAJAnfJqiHlgsINu+6QCYRtFDu4l4HwyKl6S3wKanZC8HBBRb7Kk6rNIh
0jx6kE9Vvce16BecYReCYVsCMPlmriX4jhVXYQqHd1lPJpxzJPK/pTMWbygVneF6t8+jtz5AYYZR
K0Cp62R9GyqOoL4bHYID90YZdiuWEHmCoZLQWHB2gItDVIAD/e6G9KuR/l3Do2PLU/z83i4Hu3pf
kTfDrwbUkNWTiosIWwwW6ekLqJv/Ye/MluM20m39QkYHkAASyNuqQs3F4kyJNwiJlDDPM57+fJBa
blv27g6f2B2xd5/jC7nbdpHFIoD8h7W+9SY7IBXWoDhH7GR8SIbcG7L6KKg01whkcKpOal7zjz/V
oShOLfPuld+zVDfGASmN2I8ZoMCocDlZ2slz7WHwDBOmRF4jvpIhVvms783ztz+qaAHshb6CThHn
d3IMb7gc+nMduYstD6nNgAGutJozSncALUODyDsfNq2u+2BmcnelWj875c58o81xsp6FfZ/omB6r
vL5q79qkLkkB9qCy2V2kDW9MTTtK9MdAWfeJSnbcY8ah01Crp0EPLpLxup4joQ1MvtqC+sNl8Z7G
bsRWw3xhcYD5y7LPUmIijVJgNAZkTsMoHvvAvldm324qNXlDKp6EzdHlSMwi2Cnbla0md5sO0UEL
nXLtI6sLZbxzLPpbSwN8Z1xTP6lwvsscpyeVt3Wd8paaGqHUqrHLfi0TyAOUUtaWC/KOWclHkbpq
NbQAL/Og2JdanK0yPebtzB8sjqkclERfo8Hxt04ePLojg5hcQAVS80Ef3GQFbAanlijBlIwmDqra
fh7ya26VZy34IDXjzKUAZ4+ulvLY3srUOFdJr24GGoq2yibukL7mtKdALGFhrZAmzF6Dzcg0uBfF
ZwZ8PABDJ9jwwSDPbxkyG1XIQehgTAjUJxYSIFeMF95ZjCiWBXAhR3PT9Vxrpo30DZ5CMeF2ndr8
edTszxy/9/hx79Oodb3O1d90NWXIIlx9bWbHOUdtBqTzwB6ajpsFCb/QidHk/NAOWDsnliRVF6dg
kmq5zWXbbMJ0aNf1YFaHoKmfcC10H5EH3kbi3KUxU8sCug1dHjbTLPZSdknrbgLbmLfi2Or2nZBV
i5aQi2tGJQqGQV2pn6BfKteDfoHWXvb18l8DrWs4NUtc2ypCmlYxU4zcDR4UOtdVJxOmpYGf86zp
b7qB33aX4PRNKVU8GDNB4K6tuq5Wgzu5XoYISs54UvxYzqfEpKtxk5wNuh0kqyLHBIbyO0E76sde
mPPlM7UtGnlXZ9nBNDN/qXEjrwla2IYKB39SJ8P2F99Ira5NKmPFmf4VBbi7tmPE7OVy6ZHEsBI+
K/HeeVS5Mra/yEQ68CqAgjnm/OxO431eIPPUavNoc4uXGiyoVtxCZcnXZjAdzIIq8d8wzXuJkqj8
8h59+qcak/9Z6Ll/sXBg8P9PJCT/NPX978hl5vd8kV83DoyVFX+RiQx02fp1Cqj+ZiiQysoyl8QA
5oC/k5RY0uFVCE0MApeXAKIfU0A2DozieJmDAMSRtvwrG4dvLO/fj7EkCWIOCE9BecXy4acx1hTb
VZWNmVyJlDmI1VFv+p1k6uKwoWRQL5eRvbMM72PD/BClubUHCfFuCVu76byhCXzs0WFwy/FPfZBi
rcud5NCyHYiWNcGYFcdgQmwqKWSYiWF++LZUCJ/DZcmQLeuGYlk8tMsKIluWES5biXlZTyCjzbyK
jQWq82Kvlwb68hT4iZt0T5iQtW1doxSxswYdqpE+lN2IdFfRYPRVcZ2nWl+3Vvw45CGTKVheSOTc
S7eM8MHggMxkqD8w3Zf1fGtS9O9yGHBgAVgALKsAh53AHOebvkphOfvqmOrVjcrDeZenxmMOdsxY
BugOk/RkGal3y3DdMYMvDLh2xTJ2B25zEs2cHuBHLmP5oWVTnzOpB0RwI5+yCv1xFZfgMovtGGXh
tdVdmiYzqXYgYxye+SPGObAVqYz2bu6aeK/wTdg7KtIMu+xdNmFJFIZtbPzWgJNQtI9YsfL18KEL
cZstbKqiLZpd1EbTqovir7Khc/V12E0oPmmzGaeu8x6WrJ33WNUhychQNNfGSdJNkIUcoq0Y9qWL
qalihnQ7xjh5hlTbGkNHn5IZeyWm+17RrkV8E/hSY3TqR3Ub6HO2wilFLQK1DvO9f7JinPAYISNw
vOlDlnAtgQ/a9OGwy/30NfMp+aVmvrZBCu7PRSQ/zbgPx5Gaq1TzTunYk4CBseU1zBujycKbLLbh
TTQZP86Q5DTiDuIiHJ47DRwQOFN8TyWe6jrsg8us9HvHTI8Zy3RzdsH1Di8ykBWshQEgIRMEL+fw
3c6z/m95jv7veUKSJ86q4L9+Qv6Uj/33R+L3V31/JLLHICbe5dFn245FhCEPy++LkX8G5ORV0iZe
5e88TrYfvz4Sl4hs9xs73l5Ccghc/gsqu+UL/f6JaDvOAgNla2hIXPg/rRsYWLitYQI4DPVp2muD
/l4VyhOlgIqYuq8GU2iEm8kKpBd7xfDexXQzTPY5qjDMlTjJHKYwThPDONa0YiVydcpc8zvxlVXa
n2sBTf3P3ibpqw6fIBnTHCy/3z/0XMXOXNNQ/n9/3P98f5yl8fCzc2aQ02qk2DNKvNbFtHczDaEm
Z6K/CtFHTlWx5Qw5aAF0AF+HZmTuUoXfdmoPxEvuIsbepai8OGsOoYXHsbv3600/uZsY8JIdUc3y
TxmG7Uo3hWS92Pja9ZyUW9IOd5CCtozE11HRbwMgEuUQeIFmXTgjDrZ5DBHs96U4JSXnBlM+n24j
r+pt7vIlJWqzHB4nKDW/9/JEP0eucY6xhAZ1ftObEzQR3bOwj031wedW6RYnGZ4uUEe44CjHzY8B
Z5Gaeffgy41QIbismMmtxDgx2aEcRqRUqxvFsMHQ15NOSWzwpZHHmRWHdxN6VmF4vXYcaFtUhwpV
348Yzel+V7hzmqLwXJrlIX/onXurUOsMGVxoKiDwqxr9gjb7HjQvkLrBunUZB97NpcEt3R7GNlhn
kXaf+xBnbjBZbUs6Up3hba1/TpBjJB2IevNZTK9jk+3dxoAWJXD9G9uRfmpQxaXIv9T6c8VPpEEA
Ex3/RaV5nWh3jS7WkYi8mV9hVnoyVoC9Km8Y7nO6EnsKvRa4dl5XW1X464CLo0Fcvrx3g96p1YJ0
lcCqAb0w60+Z06uN62Zv/085gP8Nfc3uS7Gk2TT/IW2Nbdrshv/rQ/v5U/f+k5j++0u+n9hLz6F0
AHcmqgQTyTQ6mx9SBl0iylQSlfv3dJh/SBmInEYTzwH1Tfm+LKd/9DAc2K5D+KD5I9/4rxzY8g/K
mGUTTyclHIFmH3XE70/CCAd/QX2Pmb7X0wM5DOhoQe8x/ZEeNp8vgaKpaWTuepFdNxvAZVjOxAw8
Ia6rTeE6+baDfrvSpoUhMRtftFkgLe1ZaFRwS9eTlU0n09JqGC76pwLCPC1C9TlnCQd00USHNcBL
iCz4BdHVj42jQbLJIWExBCkWD2RjK+vQRnCC6Zr8E7Zb/TGYoBWkQcnoMSvaG6EDtI8GqFKDzg66
LK1NUUbtzqYa5e5nNJopaw1VCWyAW5p7F9KEC+QXwde6sOZuC+Dc8Vz/RTdrcyWBLBx6Pf/izxBQ
BOx5Ld3O3cBzleNiCl3OjEFg9dL6L64ouTJ+vXJuv0uSfmtTUEv99lMFhalCN3UpHJMkNpvG9req
q9Yu84rPd17ZjTRuQY91m8gX1UbW/v0EPe9MjMkabFq4zscpOONfPvspTMKiTb/qmY85Jmgey8US
boVtT4iMeS7m/lKZj7rh9Ac3hq4nu+SpA2hjAk9HGpDEm7S2F2XwbaUV+coaC/cBPjGpFJ11bpdh
jLmMZeK5ZjOq54eSiU2utjClGKyFduxNQGQOEnBRpo2FZ8VwqvJCOhcFSRLEtAUw2JKbSgRrt/GD
XRcUct1pwMjbZZ4UM1iSc1rss5yRDwuV3lhWZO7GXWZRkJ9jXKU3BLUAr2FaVS1zK6B1TIhD3/ML
yQSz1q6oEB3AwpLT3YAFp88adDGvUXWNFENkCEflZyv2zX3KemlVR8m5kN3XOgZ+loWpsZmz6Xlw
GSIXQQw+iDp3n2Vuss1u7T5+d/pKe3Dm4dwhBIBKxjGmXNxHTT2v4gLSH7glNo8zwLyhC9pD00KF
XihdZcLcUTkwceyU5B+r2tOfy40V9+ZNxoiqdoGy5JgS7Sp5mBuDVaf72MQxkSW4ZdZ6KTZ63+qX
SXA5V8xT60J0RwGiCOZbXq4H1xp3Ot7ziyjcNxDbryxOQ+9lzlnFhGMb3oLrwJ/tFrSvqckVMCFG
d+Nok3RR5EUhqCNZmtuUU9712eDUgEudNri0YYu6O2rJ82B420639RClR3CPN5r/XNribNv1vR0M
fB1fHUoZfqoSc7qHCLYjesJIzBmHHFiV4taQsYuXrw/XPDOOsxThHpUBlAFh4rxpfXgYwzNAsm5d
G+UhRyOBwzd99U0wI0TwINiTLsPsCSiqgXw4gguJ8ZkSqM339iBfJl3A2CvwzeaZ0CkL7GSn2yM0
l8hcjWm+6Rp5NeG5xSIt8RCm1dpGMx6FmgRYHJcerGSuY9TtPOMGtu/jZizmedX4kHcSVI5sAtmE
WA3XT1t6qW7TFxftHYz0dz/exzB8AUXLi5/l8bmLg3M5aIaHqoalerckl9RjC7/aL9dQFtjF38Wh
5D4dwjcFJa/w0VTWrl8c4nYmCEsCghvwrXcuhgMWlqvUClysuVvT/Nri5cnSJUhApAAaJiY01k6D
auEh9EDDMraHeNCuSQOkqxomZyVV+SEp4dfgpX1SZfY5qovXoeQqz7WSZdEYqYsd9fgBJeBeANET
rf8taUf6ummBY3M+gTKf9a9mqvY9G8S4e9cG66BsP9yiaEj2FVZjUlPG16ENHeyuhbuGxtwsgK1+
XQd5fB1Ed5rrOrjXJEZDEkjAabmGcQhmXT84/EuRA6aMZthIeQDcWq9idxc0kG7nYYGlsH2KewgS
tunaACi7sz4hTxNpnnkjG4tNU7KENhN0+ABwuq4C0dPEzDWK8mzE0JN5m2h5ez5q7Pe+V5Tzzqpy
SunZ/1DaIZBOJ3vSjYEAmZCoALdjQQD7ZptKS6y7emCFHiywROY2qVZC4mOmv5aTeUqFiI4ZoMu1
Lp7bNH81MsxapIOFWx0grFtjlWWFEeLhT4EY6mlPVAEkzDmzIs+w6nWd1P02bM91iH9YtxpIFHhQ
lYknXMan2GVZNHTqSQvrK9UwbNZg3gymtq3iXQ26LFTIg1X7OZjUc9hox2ks4Sx1cFRgrkOQg9gw
suqewGJn9b4bJBjkmiC3vLrqLBlXDgBoPbiLRXPQ+35LNtTzUrAvPu4e2X2YjjeU0NtQQCWbxlPE
iizZO3V9tFr897Wpng1czyvMMvvBz3iKvev0YQjVbos8/BAV/pnhJegkmi+ABev8ACmCNREeMpsh
nOMzgdMThqdh9ppV/YmpwVixMLAqFJGAgFh5o2KS75bGDA1k/pm8M2aU4VFX2mPW++flu2iwvTBl
0JChyAt1482MtIfWzBHUjOAEEygXoIGDxoWDqqMoqLXcXhtmyTbCtaeDFQl8NH5LvoQjd2UXfp0T
tW0roIFN38ZeW+O9W2tISkkNK7Y2K9FL3AYoi5wPFc0eGHNPA71wrI30jn3ch2iOshOb6+jKJbCH
VfIRr6+8np1lA94MjBabkMApvLQt3kIHukvrrkgfIafIbssjL0hgtbKzEQYhEoV+6vyJfZUZiLWS
N7YevqfDON1PKGY3bVY+c8XhGLacfhuVycnQggB2pGlh9+nYvxVqwZEbwIVtRHSA5jYtStUNFGCW
hkoEVzzbPCaTTdNb8iaT/os2DebJb5r+6g6EjZECkQQTao1SPXaLm7+R6ccydse7vjBbEGTcco31
3hp28CFZMIV5Ufpo6buXhoJq9B3xAKoitbcgXOxnZfj9qh1o9IRL22gTq/XsV/HIAlOktyoEmR80
fsz4sbgbu/qi7Ft0FXvLruFTJIkXO4yLmpwSTMffvBcmWkgyt0zYb5hdArKD9nNZwmVwtEvvFsVW
s9phG2P6IbGIp2nN1ixGZcEdgSNduwuGOtyb4A2zCX+/EeU3pZyaDYyQh7LFCNTLca/5rnYQGmSm
CdLEdogQKPbGc4xyfgUDLjwSWDGsLOlbB9mLT1DD8v0k++cK1hY4K9hDuY1dqPabI1hvAgPDtsMh
xYw7aaEmlkb5IR0VQDSoPMkr++ubLEi/xnGwo1KS68gElxHqxbWHuV+Wt4OP8iss8LT1ZnO1YIVV
Naz7fPw8pelXC3M6EwPWWbX5tar0cxZdipknge73Gdy98QRULV2VFbEZ/qMDPy/1d1JBEMTRu0Yg
RMVcn/KUGVxa3HKk7gMhjgC7nkCIHBj9H8MsfPA7862On4raPQITOldmz7iize5a0htUle3NzNyb
XXG2ysBDY3YO/ewC+3Kq4ZsOLhdMlm36ojgXdnIXEXECwPyAtPG+d8GhG8nVpPogTOIuq0P45+Op
1twnJfwXSsRXwCzMNMR7UNQPeSb3hoGVqCxRtdT62xTQtKCxgMt1++3RU0I0Y/aZso604MnwuVgZ
34/ESXOVSCYGcfyx47dKuOQTW2vUC5S5YOHPXQ1T3u23SFevw2CvI3RZMBAfQJDsAVEQa+C8V1q+
8Y297b5HGPBhA3wcUQg2abqPpXae8+ZTBhIYYWm0hsx1iUlSw6617lhNBOA6nKA4t8YG7Ss3dwD2
wrwMPIlraFAcznBTcn2+hb969St+5GbsoDEELyBgr6GVbmWWfajsbZQOW3KzNsHApZRMNzMZZ2XW
8asKVmE7XVSRb/Ssw+GsDTdtrR4JO9plZGs0poENTQAHzsoYjTC71Vb3Af3A3OCt7KBnUImzl7Dx
Ha+iKthnoTpWmGg44NKzaWsvdpvcpw28ThUPJMA88JTEJrHIXoCX5oN8S5LgpRiTu8opbhP0RGDe
6C5tjNDmAHwsasYzYpZgwza8Bud11xi428CcY1x8LSEDYb/ZUmzt8kE9C9O8wNygxK7bS9KFB0vv
PbBnoFxKviWkLo674EjtRh3QbKKp92RgvVmpz72nkg+GIPojtPeNozgFcW86/nNaqHs5TCdHg5dR
a8Q8pYHXV+KoOeQK2IO9n8rovhwuLpizKc4PMrMuVqO/9VV8rFz1QBXE2T0C2WHMpcevVpWeXae/
T7l+oTRGZsrqHFFbVKp7Yb737nglN2rfTurFzN1HN7DuKUuA2cWvTZDfghPlLEgbrN0W2rKsi6Bz
k3dIKWZEnj+rbWciS4vGYb4zY/0wABHWKpJFsv4Y5nl+jjPKRYTJ04nc1UuXGA9WkfqXQUb6Zpht
PuQaKtusDS9uYVB1OxthBTyqQKfFraMOaAvfVdXcpYlbflxiC375x0CfHRqkJ0VcA2s3d5nQyyar
tpQsMV36pLGtugfRDbGZZEXsrfm17kCs5urdqMAYKUk21S+oFSJNSUBYuZG3V5VT7gnCLPaBaV8p
qQ0AO1ZP7gFdpOhY75kdeZg6op7cmt7cYvzyS98wUegH5J9dAmTU7OBWZEVFtF81vjJLdU6tofbC
iqZdUHaHgPahWSJf4mZeJpkYUBELbIqpuBD2qDY6gZYbqwrslUQgXDkE2mV1hrzBrBfAmY/JPwS0
3qYlsLIyeYfG2MuG8C2T52iRlZqH1Acwq25/X1L89/qB/uMUBGyifjMw+UOA3epT8yXVzp/y9+Yt
/PS1/Wns5n57+Y+xGxM30pqZagnXcBi9/Ri7OX9j4YVrhxR1lw2vaTKC+YeDyCaKib0VfyAdWMxF
P+ZuvAykAZoCx8IWJxjj/ZVF2Z84iNjiEeNu6ozeYHL9fsxjxpLDqkAcx1X4jpsYHp1V9KdB697V
AoDNy4Fwj/atlaCWf/OR/cmMSSxf+3duONxLumHbujAMfn61GP9+kxTdl40YpEBTGrbBQyF6Mj60
J1U7744IHnI729jaeIN6iRwYtDgM/Dg8vHS2djMBwn9CxSa8545qhPrcOjoQjIb0AELuttDFUa/d
53/17v9kZMlgTOqWjRuV5KyfzHzYDiDy20AzM6P0V1a8RO265DxjY2CwR3LcqpunaK3rbbOtcuuA
3mxetSbk03gJGkhQxds0dJ0I7jKz6lEDuLcW25ZEINzTUiZnznijOVjXjT50GD7Y4grs9LZvfG1n
lGLb+RSqLgU8VMt6nVZBzgrjc2mPCFT1aORYhZMfAwEAXlYuTAA9FPo2XDgBPcAAOr9DiP9/n4IS
qBFjBx1sAahxYjeAG4D/oV/mhUBQRSwyyoVKYC58gpmeTA8xKlK030AtFZtCwv0uAqBvpq7hWZmg
BMwYWlrgBwoIwkyqBbDfaFfJkgMNUIL4hkxALTWDUJgWloK7UBViYWVMWIqnAJiYThKAMNsTZd4x
sCNIO4ru1n0RY4s+ZbgpGVAFjOxinFl9a+0izd/ZlvbBqNVXbp/dCO+pKYL7LC5uUbw45PD6o3Wq
G4ZXcZd/aJz0WBacz0V7qBlSZRY69OKxSpP9GOhf5ml8K1x5TXUYxTqTvCGGQtoFHq30J4s8xa1j
jPQIDJh9+AkWCs01gLwvY0fIyeJzWrm5cxQdUP0OvUIV8xEYjJ+xVPgBE+kUG8Q+D63n4f+Kgh7V
OZ0ORFiI+LsYuRptWIPiutQ6jwDCeA0Jb1wXzUkjQ+HsxAjOdDubdhE2koBol0uZ5jMZemRdm4gL
gVrXE+EZrY4q7k9J6HVnzluCm57LgCMtUSiyobcgScLOQvmj9Z5fjqhKmdjvZ+YTdHfZEpVlPqYY
z/YzWkGvanIGh75Q56oFLF7OVGCR87SYkJwGmX+b4R4zAwgJUJdw+RKPPWrNJoGSvAVm7NX00J0T
OftcLE27/0jDBHTBaEDiM6mHocXeVY4fUr27G0TxjhymX4veIlpQEC+gWsYKZPCieHb0V1k46ERx
3m2KAKm9aG1yg0S6R+Z1toOSGIzCYRjta1fAjOG6qvsllQpnXmR9NPJDayUd1RcuygRZbMPVtGMG
jOdaGbd6u5jb1MYaRwoSvFM4ehgfjeVE8oz+WfS1BW7Af+IRVbMZJTxj9k3zKC2QmE2XwLWGXwNc
fVMhKtpS1u3SQb/VJ728DPC9QuD8ZAO+Vewdzg1UwkDray9JNRJLoqA/mA6lD6huGHLTsBmFM5za
Lq3RLsMctsD7QhYmNxKqZr/rp8SBgT/tQ0uLD31bAe+oVb5TTqWtvz0y/3tLif9FIhoO5t+cGX8o
Enbpp7prfioNnG8v+iErZCOHhMZFoaKkwxHyozRw/0YII6e/AXuI+YxYjs5/lAaGA10AThUbM2EJ
qoYfpYH8mwPFAEHhYpNnO2f/ldIAtczP5zMjC10ZNnQE07QsneXfb8/nyC2juZnRlrkBl7Fq/I/c
e+84Eou9olUpZWtcGqP3j21BsKslEwpmEkeyprwDB1sg6+d0UhIPEX8MULe2DDI2xoRLYJJEyHZ8
Z/TyYqDzaRgS6T7oaeJAbAwF84SZ0pir5LELhq9I9ZnnNV5jpWhmh5mHW+mSGKUdID7ItfIdVBFL
B593fnzn1B0Ikf4OiwARFua0FSPhecSmg5x0nKXNX55gASNOsjRQUJelVzcup0MZoXYO2lcICyfs
k1g9NeeU9DPZRuiIIPF0XwsC2TnEU0iE/csSXrWSNiqJzg9OHUGmd4lh3FhVgyyxwHfmgMNqNJB7
RYjs2vTJhjKBumRux22O0zrzYUmyuwElOonHLuRhOsUtCG2XvruLrfRERhyNMJjktmzJt/S6DHY3
aPB2bg45GVAjhhK3TNFo5ueQGcmQffKzZI+R8eQmwb1ep5vatI/LmTvV1inT9pqe3g0DKrlRHFXC
xLADyV3AqWT06jbBLjB4k35PMotc9wafuxVvyOJaCXK3gJ97WvMoUgQpePYKNphjSpw3Fl9DQaot
oy9T1we3sWF4ZujfRaHT7KkvH4UEP6SEiE9JN6Kf59jrqpjoCE8jrcErWzO+ar3pVVOWf9Ci+DRG
8Pcc32JJiPPF+GyV2ZsR28cRJOx60RimFFIrYtOwlyQEPLZAZkrF0EGmjucnMN5LZO0TD1kE7uir
liSamQZzX5HJlBQwjaO0mzb16DMKa2ClYqRc4fu+zvVthzRn5av+UxiKFlvv9G6YybWEgo9ldmTx
GbI5CGx2XqxBAjuotslnaZZIS6ca+Dfzcq+pLi0Ae6sv8yNhYM2a1gBziau9SaibTNO6mCAWwhqA
lYwIR15d0i9YhN2h42l2iHytNctXYrxAEOImARmLZD4kFQpZEO5MDI4jBdhczFAL58490QE+2KPA
FDUck8C1dk4OiSdNGyiapLUxG4GcCPcjOVtMJFyZvAFO4jhO3v4Nj/j/tG4RBASK61/X6384CLZ1
9Lno6uDno+Dby350iabj2hAmgILQ1TkLMeeHOGMRMtI/utATaJfM3x0FCxCFVylrOQl+L6ekszR1
3TYBGyiCKv/KUfBdfvFTq4bCXGLMtlybrvMnPWVSs+ceo4Z5iSBmQPk2jsbM2DnLjipLiO3NcvuL
H885IVz3YaiX9GxAyX1wwywAaQyyZToGFqfajamN2dUadkTXogSr7dXoEirONvEsupGlmZowzDb7
JsFgHPQNNGqAop4Ypsvv93A6iEBJoFGY2axccuzdWhUo9kz9PgDBsx1s9TzqUGcxY0h2LcO5Fmo/
mvKgsIzM/D1CtKCN8Y66iLwY8yRF6WE83y4qNvKa78+RbV4ribJBCz46ebSRxSVs1NVIhld4hF9C
na8RavtGloQW6Ft/NjfB5J5z8YgIzk6RZzjMlrveuc5hTTg5mGNxJ+1k5kjlQ6kIJ0KxEnGIDCe9
EoeicS8sLtQiKSOwsO/UuaAYTzL8wUkI/xp4/0kRWOD5vf1lsDArVlpEXFF8auSJY+J1tPjEqfoH
IqSjqrqSzi1OWCJPgMAJuFj2htmyQYR0Xv+Lfv4b2eini8SwGCVwkttcdz83xJavVBX7DNW0AQ+7
mqBM60X/ISngN1RUrBWBGisGxmjPdfrAZLLLR6zjjk3ARY7P4l+8H/MP9Qt3DCQmKKBonhz580UL
dt7Kq5K2VesJ/ohHd0Ng1H3U6RgYO9ivRs32EIcwDmuzKtKD20T5rhDbiqEo5TXTN6PmxLB1F6py
eDv2+kMChYS9jGZsajI/ik5KkPh+s2PgdyJJtS5S/mfZnU0WXtEELgMWEJCiri0RJWlsWnMdFD60
s988T/5klMKP9HOtttCmFiLWQj1lokNV+NtazSoJcZ7Y2qxqxpyXNhkgSWnque/0p2kusy0JT57h
ZGqVuOMhMGh5LZgXe39RixCPZm1qPyVDA2l+aWEBi+uld0uG57yazrkU2kNeigP29nAlrbl4zHKf
7YBFqIdh0VMFywDJAsLWJiIl70S9w+kIUf9jPByC8i5x8Aygqsk2bCQAa9+SOQjkVG+fTEPDV7Y4
zLLFazZNqCuqoMF/tjjROixpLtY0Uc7TdlzcamgHLhP2NQQm0bqmPyQXc40mI1uR//mWLJ43ifmt
wQQ3YIbDzP4cVCR3mcMIZTvdZkv4R1Ga5mbWUDkoBhLbLLReKmx2GXa7avHdjVXg1eWypVk8eS53
/8ZYfHpYvBfXXot9r158fKCgMcUs3j6+H4lMFX4/i2jsCPjsDQks5wZLYLJ4A/vFJTgJ8zx3H+Ku
PhcTcgTnuQ5AfGeLu9DoZsbZI6l4pXuYK40IBLBVOxdT4simXZFIUU+nYTI9gXWxEyn+PsDbdV3u
x5aBhrn4HPGvfEwxPurgUPkUScauF1fkvPgjiXYlTM63SQ3E8M/KqJRV5bWYfkb76C4eS21xW2qV
F0S4LzNsmEC83S3JQDxBa6R15uLWtNz5KaJkGQfUIhRB98KgusPgGS9OT2fxfCJ/JQAeF2iRGi/Z
4gsVGEQdmDDBTOKji3hm7Xc5xiH6ZgiEGNdZfx9cQPZD4NxPWE9xHWeLE7WyeE4QG5VCPFGX4EuN
ZRUPT4H0z76PLbRHtTBuyj7P+Whq7NCF9DfW4n6NFh9soLeIpZuzvjhkK5NNqTnJQ+DX/TmytMvE
CP8ujeXC4JfBNrNZuH37QwaQZIrFi8v8qeIJrcEyFwU7Pd/Asg4AG+lg0Q+sl1LtWVs4+0iLWD8Y
j5WPJagqZ7l2BgIy+nr/7f/MjrZle0Pf5O+NXpD/tgQ9sWz3GR/J6t4erWMdg1sMkrugIH0rEses
MV5aktxKB19pjJeWEIQomh7gpF9NNZ/NQV3bTl1rW1zsjrXUIE4GEay9ax3HRByXfy9ldGfeNViF
RefYt8rgdPDDYVgFrZFvoYi8Y8/8vMxXCImH/zZNGajJRWYJ92RkNzk82RQteG3Z9GqhNi7JgimW
ofLdRHjYxFA8OFTIFYCiYYEVtqohIr+BNrBycERrSt/p/ECrZnxp9OV0TkuanbaHkjJ3hKslCRPC
2PB0kbHXqUI8pmjpKeCjs5Kko/WTcUiI9SWp0aBHrPG2h0Z5TyZSSIoKJ2VR5LvAGR9iP2lRUBSY
UsfJ474FMowaCNUU4s9FIDRrOfqPkUkt+6h+tD/m/E4ql18IJ+O4sToW3IWJwiuZuvLC6BZaO5OR
tBoIiq+cUz/zLOgUsoVmvOfCJI7HoQ2r9nUmLoCd4rXdFvkaWM9bNsHgkfUd7I9kI9lw90k9HZpw
eujGATgLjJuVa6nnoZk+xdwSPq/2NFMUhyZBtyRwyZP9vcLDxdMM727ezBvRdE9kz5CnWaFXHMtO
rNvGRqIejbQ+RcgbdHhoBJApAigAQS3e4eO1dxGohIbAr3UTo4Gk2yBLzXJJxCAUFxb6sAlttGYi
wKLlhuLBUsHJynkAFF0PH4wCp3Q4ozMENAfZMpQDeoNLq7DghJyHimgfAkvIeM9TsQszlrZjwQSt
N4Z9gvaFD3/VY/Ldh93RDQAe5DVXmqlj4FIts3wliT4Oj71/xbuOotIe822DGk+bkeXBe+0Pgt+D
TITYdwRC4u++kNEJwafkGbZwADuMFH5R/B/2zmzHbiw9s6/S6OtmgpszL3xzBp75xKhQSDeEQhHi
PE+bfJx+jr7zi/XaUqlTliqznAYM2G4bcAGlyqiSQifIvf//+9bKA26yaI285qWJG0w5DORzE7Yr
8cBIe3IJC46hnR3r8jZUKUKmBt229tpgNAgHLXz3UfdtMqKHkcogxoQRU5VKdIknuiqn6KvEopZ1
1MgnoEBgfeJbzZsZGq9CayD+H6VPCXCTtZWrj1pZt1deBAF0ppce98AWBAL28tx4xDP7YVE5yoVA
Zey3F/QG5U6GLSgQMpcW4UuL/MLqf/3OJlsUdcxkyF0PqCC7a97Na1ZEjBC4r5IXPJuKWybTyf+2
+vvDftLfaScpsBwHJ9+0cen8NP/5ve1sI28MpOE/kgi7uqronE/D2h+J2CTx7PEUHL/89z1yrt/+
6X/+aW/ZU9i8P75Hfts6PvSfXvufrpIsHPnK71dJR+Hk6CqDBiT9w0nx203S/Y2DIZdBRpCmDX9S
54z4+1DREVSS1c0TjCBw/N+HinyZ8JkrGq7n6dxRrb9yk3R//UzRPuDZxkDR8GgPqHPsDzs/j4bU
4nkE7nuM21SCZpZRNRZygw1WnOjbLKWIR/iuRPIQG28JmbAefi9n9OnzrJaRHlvJyfroG2REONcl
/yF0txLjnQqMZckLUE/OvW9Fw6IDnrBvcrnLPjjRFe+6iO+a6EmfnmXygGl5pdFAFODsZYZ5D3YM
+py1lirUIU1too1svZgZGdC8Fn6N6ws6kx8+QH/n4sAc4JcdLItXV22hGTdTD/mXfx/zAoK5sEsT
sjG6qLrqPsUkvAaOf+8G5FjwEegOOzc6yzA+Xby+UzUh3Vew38aO12ODTulRx4WkWFpYArnIKask
4JmIPUVDRN2o1hEnvmwiKaF+jeXojJRDYmkGbrUaoRPNI+tDrlstQzB7eYOISFZmz9PYhtMSZq89
jt0++1ANH6PyqRs/gstYTfYjAviVbT8J41+hGuaM/6TAY3tf7d5clnAjT+RUaILbGcd71nQu6zpb
7e0mtcELWeUhU/HXtdruUQ5x1Lbvv59y//ApR/LwT59yu/bT8PLP/6d8fSt/esp9+8pvTzmh/6Y6
sw5EBtMwfZaK3x9z3m/wFNiqMIngxWXxSPvxMac7zNe+zgO+7kd+WJ2AVeBB5yg6KesV8VeecjzP
fv6xYuKAY0R4XMYhn6q29Y+POSFZn0GRI9oQQzgBfZf1aIf6AaZk8WI4/s0UhXIXObLcyMW6l6Hx
VjeKqDkAMJhB8juFQZZ8XDm1Tmhc0i1x8vRttMbP4K166CwftOws2MBw9+TcZ/TeceSw/zAJT9vW
I6NjK1rW2PD4LRBFONZa9gLSXuy9kcePo9W7Npxhs1dqsdPe9EXK7y03fJLhedAM3RM75A9xZHL6
wmbdNXN0nLJ+M08k08EBHHUyztCFwqvM0narWyALxn45SBsiW4xGEozd2XY/JcZoooNOHqIGAKfM
/Ivumv3GSxKd3BaKJZGXgaOxjIzb2qHKMr0bWkVCq7lN6hNrocUkfzxl3T0fhrVhsySuUNZmxrgf
nOoUFaS1Z/5Wt3P8YrXFvM2ExbEvZ9oUh6eCc4vPxSJB9VuwH6KUVHK8qzk6Wmb8LhRNAi9s2i+M
ya593z+2XQIUaG0FdhTN24hoI4edwewOY1J4ATg17pFl9eB18qNXcCr349HdWkZ2ZPejGkY6V9tC
7241nt59Lk46N6C1RkFjN0r6MY0bgekr/FMNV2ibhzML+HjfWATt68mMQVnypCPPGu/MqbS24/Qe
bYNg0W1zxBRwDW1vbhQB8oHoeHltav3axdBFU8veVg7ltGhC82dlIXG/TKXap2RjlFoYsLx+n8xm
jrbUR2JqRdfOfnaZRy58gE89vuasyCVpXPdzQQSF+P+wm6kdxCZUrqZnL2WYYH4YioLnG6zlhPHu
Ttfij412ZyyAF/pOfzLGIjwn+vSgzWPQ1Uwg44V+W94616mcGaT1IxvBTtZr51nPURCPk58R5fAW
7Lgaasux9/bUlZaJAEAhTkkBsaRD+Rdg+y4vKJ33bDAAApvWluVnBR8K2TmJ/DtKYj5/KrEK4bAB
Er3X+OSIjjxoIX2xdmzulHrjcKrwnF2VLBCVTGYddfNhXJyTlbGFs/r6zk27N1n05TZqpMkMY6kD
gXN701sAhuBWIL2azwKu5C2ftJ4/c3RaurK6oElFVEpGZqFpYzANL+GDhc5goGLfmSY7zbYkJy/M
17pmsqCHcXXqOoeKjwZ+oMkrosARFCype5whIhCbDbnjrdcNB+mGL6aTY320+gO7znepVV0LW5v3
vVioJpI6tDBfdAoUgjrX1oga2BvZ6PITV1/y7U20dg2CtgTf+evrE1KfJFQtjHyAI1GU9GA+E7MO
mOUxrKlfYr7kEGNgrKKbWBsbfux9b+fYxc0CLRIKZ/8RgwNJCfgK61klGv0RN5YHuI2eDhDLe5tb
UoLFnOKlVLmQdK8PxlOT0U3Kp6PmkcCFSRtuEd11gSNnbIZMZqQDiloUzP5N9WyY+GsTvPf37mC+
uoKgk5MzMfIWOvUTUdOZy2TOVqAChDJbub5h/klXKbyLMhZthttdRCOPSYGt0eUP08Io3dF2v00o
gwZxRSKqy5nU+QQ/c+netq2I6bG81aDVd1LY9Crd5RPgZhCPfnukmDXSr0BN2Y7yfRnu45mOUlOH
C9UE71i6bnIzOtqt22IzQ2fPcKcfjg4mJL75SRK4eRZuLcHpR+vHnY0uMQTDa/MLAB4J1HeM6tI2
7BmgQW3klysbO0elNfDqEp/HOIJAZb4r9Ww3l6hdtDzVVpU+ogZ3rZb2R8iHO8mRYLr9hhwcaDA8
pXYeuWsNZN5O7+ZhXcC0iCFerDKXfX7aOP4Hp/k8a/NxjsZL4aMhBxn4kdoUflWTtk7Smv1DVtGd
KX3vbC++osLaGy/tjhZ0QUTjO64NYs0Nv2ckIdBod/2zZ0sMwG63YTa7BF2u3TMOeFU/7wYvl/3Y
Yzwlwg86N9loCfw4KazHwuvyYI6Si6uBb7Rm2NSpGpNEWnUgc0NYqBMuZnfzqUJgutLnrg4iMaVb
ZynzDRSaQ1ptKMBdxgLfQd7QZgG3jGS2mgVzOX6aq1lfG9SwjBSUJRn78dlsl53bghFz38P5ATOb
sgPG/k3Ux/SuMyg5W6o/WKcz4JiH8qAtpKjy0v4EsyMoyULt4kl/y/Ji7WZ0mEJvQpqQb8tQ1Cvb
81RcKGIRJgiuG9NTXHmQFwwJigyap924036CihYm9pe07e9sd96P/Hu/ph6j/oPK7unCWe6y7qVZ
rKGrw03lJUVaZ6g3/KMvaWqp1b22B0sdXnH6kIomWSzMJtpEsrxjgtxu2A0iUe/7HbeL4XG2+mVF
J7WhfQIqyuXzOshjXxfhxSBsTmCVwsEUObvBL/bkLceAZw1DbmEfioq40JQs5Nblh5FvF+vjLZxs
Bt9OdeZ/OSVyafCXFzb2Wk66ALk5Hhlk2avU/TTx7NmYnA4mbeXm2rHwphaUn/6uG1EhEEw6xp0x
bLW0ynnvOaDC0yneodu7XeyLTheUF3tzblQa3KsNUOjerU+QfiX8k9mxekGETmvDrUIeUZa5HWd3
Pyyxt3LUC7LofbIplDiK6dT4CbBTjBr8eeONayAk019yjyJnu/AeztuKE4L7yS7Bn091hpFxMK+J
1OXR8OazQ5ty7801Wcq5OZhTwU9zsh5dE4Rt3Z0gkLbMtaWgXKet01LKC9Xjc6PtlxFUIyBqxkDK
ajuNPO9dize9VxCFw3JIlNB1j52gyuNmJMdTHqtpkoCn8mukzX3F8sktdu1SJjeYowiSDagdc176
SITdYOb4F8gsvu9UanQyDzh2URXVZnJ0BaPxoispGE9ALbsIiXJlQuENtXw4c/WvuVHjBWlldxmG
vlpXuczUR7rnBYXYyteSw6SpDmqWfBiSYV0zYNjT5BWXedjbad2fvv6LYUv3mFo3gDjjjdnmzqZu
Oc/EiZ/uy/nGzfuB3GpO41J/HjSKU8ksgyHncug2/d24dBc3WdI71qTxyi6FHmS0tdchKR9fxX2E
yv2UjAsnwB8NF1Oj6L/YZZg+aihH95WKDbW8a6UKEnnqAKCiRaMKGSXMrCgh81xu+RmdCNMF3cR/
99d/odaN9rfih6i8a2wlpo7w8Uk+SR4kwGNupeJiM7GoJ1UNz6PX2Hc/ZPGosaXOPktyFEyqP9vk
KkIVsChU1KIJZb7PoLAS3uNYorvixRxYnyfSSjmeh8+La+54igxrIs1twfMtzaJ+G/GpWudxgzsr
+gT5mvCORfxm4BULnptIn/68VDFWFloafmlnG613TIx8w11Eb5nUiWlsO/p3g94yrW/XdVKaXCfm
BiRjO60zFvQrmMqs6/U0qLhIsCfRum2VjFe9Aic797W/LUy4KZF/nu0YK0mX87yYQ7gLbY2PWnMZ
1Qpv75rayrBv9MG5y3P3gxY5dF9NjTOMWQXFyJ3gHdTd60BnM4tjxDKWiU6L126RzBEBxXPNzzRv
3NrDjKpm9UvtsyCzGTmwHwwwvz5JCt8ns9GsTZLSVI/sKYKxEO2bBDDwnLjimlRXGbvD7cQN4pI0
6QEg7DXrhu52nhjpJ65xZaWLIFebss2SM6CJaZ4SDKbXqwFvdOxKrsikdWvbvl0IhO1KK7q1rXmr
wAirtjc+9TnFDR0bL6XzZNvmrOpkeUYIUawX3LyURSnBDhXDbtre82424aUZNvVSSQwHXikkW32w
jxwje/YDS7btOk7ncWqnj3ovoaSbRpCa6XuT9T4gcSDcOMeYafP0W3vqMZhN8fuGPu5ObZoc6viu
bn2mHnUSbP9v24XVoY0KyyWeX6akvYzR1g4DFadVldY84+LXhk/3dh6cbsu7h+8cGX/qwP584rBc
rVkKEx3XN7zpmksn5XgFjbwh0vohnDr70Ir0XM9YcQ1ZiWPXL5RTDWZZdsy31y4PligeudiiJe+7
iqYLhy9LL/4tJtR/e2roH7ptVIL1c1UzL4riHjfO3xKtKsjzL/7NtuyTfr4b3tr5/q0b8v5780L9
k//a//B/fJPNPP7jQcnXxOUfj4OPQ/vp5wnJ1y/5PgdmnMsYGPuWYcB8Ud6k75Eij3kfezufeS4T
FJPZye+D4G+JCdIbgi9U89nv6VL3N34FaOV3T5bxV0YkpppD/9T+sKmbGKZrQWhj7sxv4scRSVTU
FYumVKyk1jg7N8+dO+iuG8ukoOe2NAi6wn6oxz1C4PluGuiA6ubyKS61vaDWzOdNQ5FMp3vPqXjn
8Xo6C+Fu7BENIRCIfdeMGPJIQpL27lXNEt516R38NPliKgx2VoT5Jgvf9wqQPStUtgczW4/GlMNS
NmxKH41U2YvuQudgn3mpv5JQt2vo24PZvzNC7wGE8cqGzi2hdEPiHavG2Polpz0uP3jIFdK7gO2d
5c60nRXue/5K/hYKAj6aPbYufTTXue2lm3FZWNYKiOGJjce8wfceJ+Gyy+1Ufxpi1j5tvs4W+W4A
FlcpDHmvgOSzQpM7FpByS+HKZwUuL0ewEqNITp5DJLNQePNQgc4FxPPUED1FCGO4GersnV2m/s4s
ADvPESt2Pu/JBpjLDl0ieh6l2xnx7oyO4CSfBZCARGAThl35bbRvk5FoADMGWZGncIns58LgDmSg
xGjjj8gdWRPeJ/aLpRvMeQs3GCXzK9Dr60FdcCmv3hSjVu2nbA5aHitlD22BO3rHNRJxtsr/T6oJ
IFUnwKMckBJkslRbYFG1gdR9aCZe4w4LumV4ssGiHjMl/RiU0ogoDB4cLEcNtiPmV1VvbnT4IJtM
zCXCw8o/Rxy6Ss2/KZaRbfzwwZ1RlACLICZKd8QpH9OmX44+pSO3LC9ZenJAnWzjjBWcrZvPi0Ql
PXGiWFdt6eKUn770mvtxKYm/6USSjeGh7BoKsYwA2OEX0EqzOktY8BXQTGo6e713jxUeJJg/3aoh
B8cv094YntyR1RkvlOTzzaR37kYb4R5I3uazsXAPcuJDjUloTfDW56+rofQHyaL2tZzCQESktiN1
JEy61JP+gHib8RtHzRB+J8JDWiuRYJvOQg/1jWbdJdP72KwB2tR5YMXOuP7A9RWCKSAdVhIg9buM
ZklGvkc3MQHlsIjcOb6K3EnPZeN6vHR4UTGfWVdmip/Fq06DH8ubSBEXrJ5BP/lepMWLDnkmpShJ
wHFEpV3rJP7ocCzGUO573TAoHjHpMiyOQ1OUwGWD5z/UnGYI7dS6HQaYHPEQuAjowu5+qeNH4Scn
o6G4kpSatRYR6aIUlXdEm1yYY7djpcuFKW133ZQtmzqqn7wQiVGM3UVMgZwhNnQxl825KvZEMy9u
Q97ASCxIdKOFTyVIWu+ZH2XIJ839wNpClK6/bpqaTXmHJp3J0MoYl/tEtFyBMo5e3g1NfILbphXE
k/joCGYuS2nUq2xq+Jguch0V8FCL2HzOmjuuapdyMbNH1x6ZatIJm3gc8Gn6IqXPqzvyngcRPsyd
Sx5EU2U8vVhVoRe0cO7rmvM4FQ8Is+QOp0xQmNcr+rbebqlA7Qs2zsG/w7bivxhzzSVB+8NG7Zdo
73lYCB39/Bb++kXf3sIe21OHiC6rhb+B0r6/hd3foLAhkKP8iahSkG/88S1MxNtQajJ+maIHxZDv
b2E6HmzrWMdSPCT8bbl/5S1MmfSXt7BLpgV4NMs/zxTWT+hodCDTFEnJi6zzxm3kjGCbYbOkfuNu
FwExclEaIhwe18mhJAXJwzuEir02tw+U3adVvmAnm30dUYiXOucpjE/dTBEtOtnP7QzugE+uefyY
6JCp8QQHS9w4YBypW0Cg+NiF9fzQw7OMu+pMgOJzOhbDGuB0DyYafU9RL62alfFg6I4TwLeVE2fa
Ohv4bbgrSViItUqSP+tISfzMhieZDDsJ/OSkIF92b977ZftO1qF5W+rDeZQGoYxpYBqMqaUy0kvV
cy3XIECgwcMsRHKREM/7fHGG41Aidy36lotEbXrbGhcxC0elL7C1+KRDiSUWtwSAmRpu+yCXQ29f
Rp81buR+jxqDephPd783EeFEMOwd8GY1a80OkgtKd4ZRzL0L9qkEeMjzHGOr3oFuDkKYD8JCVQH5
g3EHEYuQcKOxivBLpXzfkJxsoU9XAL0iHple7GxUL2MGWJYrF9LAt4aRnybsTSqdYMI03XV9kA5O
0NddUFnadml4kcRk1DpjNTLmN+NHjXmfl1AH6482z7oJjYzL1dbt0NYgHG7ncCsXfjMR5puw2s1+
H/iaQ7rRRqGEQ3Ms140/EkdON7KHFcfXaT6zyPIROM+654bbLym4sXxb8WkbYVmUOHWYOO8mqz4Y
OZpssllC0Grgxqt9gAEWxNGBsuF+EhYPcz58PbQ2TiRRVFxnD+S+be2rctmq7wQCnE1NzNdL5ht9
ejd15Nzy/Kr+AvTmNQNoIG3/UXe6Yx7HJ3Y4H7qZeXOd7OoSGlU03Fcmkzk3ax8ZX2v+Y5+Y+7HT
tl9laFylXmI5MC4CJ0IorjyGE/Cv3I0PMm8Yhrum3OtF9mh9zboh0toMDvUnB1zdSsqk3Y7C2GUT
TFQCDuaGimJa8enKlUQY5Bw3dSUW5l2WKdEwhIVoAjohYXc/JUpGTFPYYnFEoMCZWpXCR1qsfdUX
K5ExbB48NGFz6rNZwXLQHYd4j0MlQOa5cuCS+X7AjIzlRl1m6/y8uJtJzkA3QusShcbRqtt9WpI3
5a8JuNNCzVXU+KZHseuWZBdzg/Tjc6dkb1XGxrHnIxQFmjkFWg1nLYm2tJxWwA5OkBqCOePoWkjv
UkwMFYQyTVd+ZjB54kXdKA91oozUli7vPLOkClvCUvGa18Kq3rFMy5Ebsd8A38IlNiLlqivbdcan
UFf+6+6rCbtq8YZRAq/T7tQrW7ZGyDUPr660Xqai5Cqv7vbKr90h2qbIZhOlwL2tl1i4I1NbT4xg
OJIAYUMASakXZ3dsYO9uQLJpKT7vWYm9EXz3yvQ9zA1Y2koyw+uKD6lrv7F/0ck+hvuBecSaeRYH
Yl9cPGURZ7uE6k60+2ks76MY07i3cMJjOW1uB+Uhz5SRnIdRtGUZDONJacR0JRRDUSyPjZKMTUo3
xvjF2vpAbIciWi4mTrJRyclSpSnzIwKk2pB+RnrGN2PgDNYrrZlotF2a1khAxLBLsoFotGmW924e
DwG6kUuu/Gh8DaR+lGmNfHKUQs2yGBJN2vuvghwtjLCelExUySU7mMuRsAlsbFQPfAUHm4MiYY4G
NWXtK3kbRBx/A8nDnomDdvl8SEyP78uyakR2MpZa7JKUySNKz88NwrdGSeJmoxu2dLSqhZno5HEW
nKhLroWSy0mTK8LkviIk6A7VAAPPjHxIMo27SkyN9ZJXEOojU94pcZ2dXkM8drYS2vkSuDGCO4NP
xWC7dxRoBz4/SPBKbHiQ+3EqKkFejCmvVAB9S8nzSix6FC6xpifdP0jYELD6+RXrCOF8vWzDNSet
oGoKP0Seslazba4yaMVz/d1ovE15nJIMrELghFWxhlh0Pw80w4tCdPfcwPH76uXNxExpZfd+HEAL
hMiWVvWepmi60vv8s7cMR5YdO7cxd4NLEMAK701ukG2KMyrmyS0+JPEmdU6Rc1+AJOhr6NFhezCB
oQOlApEm946m4j1IYcSNo/dr6gPs4JyD5ynuMw5SIqMCEFIL2IjnC1dENcaPD7rW7HQtJI9UrGtY
cG5rUdSuTz4+hMZYs5zbpQQi87rbwQkKCoiXSSbW2BfAl7HKCmXA8ZVl+N4C1jLE5qb37cMy0E10
9LM1uIfQibYeZQQiC/SxqxXXRHL6cs99jN/wR1Kqu/g4EFVwRkr/pIQGWoo+fYVMG9hvI4rg/xty
o7zgYMiu1JN6gdXNsGA9NIRl03k/QKRe6K9jlN+XUJmqsw206oJX6zBOtbH7dzg5/+cpPtuQR/7s
UIzRrurj4Zdz8bev+34u1g01k9DRt1O/Avz7+7nYJCFIqY1AIidjRBg/nouRm4AqgRBsEflRP2rf
z8Xub+R6mFcZeHwZadl/Says/jw/Dac4tDsIDlSXiQM3v7sff2bnuK3sgt7Lyk0+5otcrhNK2UsM
O2FREAXEixmfqZHZaHfizSbBMoFcSOt8hN7OCiFTQIZcoRlyGA0prIbYaucd+w1zRQmJaquZsfM2
wpclDm/hr1l8Qh/aYmRzK62CAAFvr57J0T5LTHM9IiwaQzGtlwQvuQG0Ko6iL3KZKX8AbDBRjOZN
QxkXlsMPf3N/JyD41a7+U6nLIjJKpIomFSN7riI/ficyL6cUXAnqIWFVbMFzDvtS2o9T0WgrrR7l
puUvak+vTIVPthHiSZKQZCHwvaxjKBENXWt2aU/dV3xEuxzijrVGDGoZErO68evt/WQP2Skz/KCj
fBBaQO+I2ShKRK14EX/+BxLqRvPTH4jPFLJlG+yN+0uq+XcpU6pcW/hJDmUB4JGwAdTh5Cg436SO
OC7ZVJH9lvcO7qY//y2Y/q/oGJePv0eq2ud2p3s/vRLm3qZxYSbGKiF/cky7kCyAfsypdgwH7gv9
DT2Adyxp77tpmnZido5jLcZrHDPFaiTrTNKyrgK6tfwPQG5Qr01mgsgpuyDKmpsGgTQBr+4NtjNn
T2XPFGg0a3SaQ9LnsGRyseVHOAt4yLZbYbyvlYUz8x4rODCSc70HedIWxbvOy6Fqerj0Ogr53M5e
0mKkaaQcnzOyT5zV2xr5Jywsl50o76xamUEFBh/b1aA0W1uSsBoCUV+ZRAvlFI1G9xVbGawQ5Rst
lHnUQkEaCGUjbXK93I72zkzxlNYT86TFyr1dj8S0VTZTulglyrFAT7jCQd8Apabcp5QiWnrf+FAH
54gB6dVSnlSJMLWcmmsdxu8I2VYbS50Kswg6idaThsBPkJtdAGWPl1lIS2bJzDsLNauvHK29a7/X
xzCA6QbQRxPVoQy5Pw3FIUwm416y5LRS9mttfGvUE+X5bj4Uln4Hf/eBawFgTSN9HYW9b3RA0Rlh
/RL/7KXR6QkA4EXF3WfbZeofyzzd2VJot92M60/Y1ES78ks8FoThCPflFs3ucWm471rGZdH4qel6
3Jkzg+++GeERLjlk1XzHk3E5WSJwRmd8oILFdpssnS5ptkT0IAODUwRmO+uxnzB9WwQGuC9l75uJ
hkNDQV9PGp0GQ/EWyiqDscCskyCKBOv4kim60OByrPXo4RiKCyhBWKa+oe0sv7nVwsG4iXHVryOP
o+1YXtMWAlIG2H2DsRJUpHc7DDmVPiO8dZShCCrbzqQDRBSOorzHZaQFkiR0aEnc0EGUQASimKVY
SoqqVCU8A0Mjp8+vyCSFYpRMPbQSmlzpIVHXREUymQ1CCrmim9iKc1IZgBRVGPPsT/PEZGLaRCNc
FEsRUlLFSskVNUWjqLylOckocarOtfO5F+gaMTsxuQtrrjH67QCEZdaYCrrNJkVBtyH4RdYqbSTT
cdgtlqK4FIrn0gF2MRXhJdZfZkV8aajyY2UfbDSqMMxbjsqKDzMCitEUMaZr9XyXRvyVKZpMp7gy
wM2T5gNydkI4cWXselbqa1iZNzzqYdIYmnOCHHJ2DbgWtV5tSkWwSRXLphl1i93D/DGtnYjMDkhA
0qfkzBUFx6k4InF9fq2X7q7tx+dBttFBQe5jxdApFU1HhI/t7NFrwRewH/HYdku/1Wc+4HT1vB2n
sN3IzD5Xw/uYKX6vxvltN+MIrIs3FMVuYNUA9avPzj2fclSNLuCQr4sBNgSYOhMwzRoL3Fj5tntC
ldHeUmuFMWySDaxhpgPDuHKpnF3K6gWgw8FxbObsUc2zpIc04oUY10M734NFXwHO4BpW8ZxxOj+9
ywxwsXp21i1jvEaNdgDBgzyUlstGVBwEJ0kOEjejoVmPVQVcoVXy2cIkNgPvmRuKBR7JbbVrosNb
8Hq/2/p5TCzIMN8DPORChJvKN2z+GrHdzkp76+C/5ZhTA7C9MovKjrpS5M5KlluybF3T36NBOcx7
rswfyWexejKD0fTua0965GPCT7E+vZbmULCSH17BYJ/hYSzriDbltm0eNYtZ/JLIdoO0bVvh9hVK
8rtg+11ihj7sbAfadGWNwiV5JUqB0eirJrhobtywepPuSZI7ocNHK3uMs3o95vkdFxLkMvyIcO/J
Vo4crozdWUtkvImLPrl1s4alAtJiS4dAOOAxbm1+OyPRorAhEW8q2XHcmS+TLz9lXzXISoisj7Ud
WNWSHGylS+6VODmcQV7gqNx3SqqMrOVTjGX56zv1L7GF/r/bEDuOx+nmjzfE17fhc/zP/7t/y3+a
UH/7wu97YnCeHMAhkDic0N3fC0POb+xlubj6poGTS3GAfjyJC2bjnjpvO/wzPwIKnd+YWzPY9oi+
E0oj7f99Tf638yYb9j/soIFK/OW8ZnOeNwCjUl4ydIXa+PEAipLQaByPyW/VdlipK3rHWa8RziHa
eh9Jb1kbIbOnbmIyCJh1nXe8SMcyHm5sDiq9nn92IsDzrpyo/MmhPmnofmzRm/uJ3Ch1Sh/DMYEN
voK90mC09w4GPMl7b9+ZLKFao/ucLSR/hvzYQ+kP6mJ84+xGcUSRu3XF8AbBa5OQ4GNuLfhPG1AR
taUjA0if7JaKpf7qi3t98o511Aelr7F9Si/q37eZv6VQt7eQ93H0uvg+UcFmW7UC/kW2iQt3O85w
wy19RWxrvwC0d6Lpwaj6c+QPB6fM9/Zya+FNIQt5cYr+DBT72c/KK+fx3G7PIf+UnesnLlVrrfZh
F5g3g5kec8YwWlevM3c4cL4J0D0xObb3qeiCuTzyPGRgrIMQJMNTgAZWpxgWzlEyv6NvcGsMYWA3
/SG0G+zaVLYsfR1abNsN88YFguqk+YW+/o7nysFkxwZtQo1oDxCdl5wUIUoqv2XqX48s5SuOKDUV
0nFj4tCCHXRuODrUjnYpRcy7Uu78sT3n7LWBb7BryPY5ucqWGTvGDqqID1P7WVdIJX4Tupftbdme
2RgfU4DwdMT2UUZVFbVCHN8PMgQDwKAs7ZDG+ozg0n1MWi1LezAH2kXjuseQQ31XegqpblQznJRo
nnuS4HJnEKJJ7b0JI4D2Akt44WxdxIbqW0F26+pF8z3zy0saDwciqofKwE/C7AQ5rpkPB63qtgwh
14MCN8XdNpnzvRnxnbQoVJDW0wyWh4V3NIDzkmjfjAn/TOdsRqq7pyxpPpU52eish90/SDgGnNuO
GYjaQpvkQxXBhHUHkucxiupeVC3agWkbd9irW+WxhgCQb0bU1thN5L6eAdKJ2Twwnbmp0GBHmFtQ
2TNmK5Qj24+zDRcHFr9SJO7VLG/1CF2DH9HhYvP+vvUyd8viv16V4XQnNCN7NKR5qiu47YVvPJMd
X8/zsVPubguJd9TXLCzbS0xrkbk4edlJtFRI+ngnyWftlwwbeKG84IS1UHr53RF0cdQ5IJlkcY4q
OmX2WESnorOvIYWFmj/ivk/dL9lMQKFJaMhACmCKqr1fIj7QtuCzNBEMLNrnYvE+Wl35qZ55A44N
3HZt/NAMfmD4RRrIyaMULXiwFJF7lKXzVvU2B9MWnvioxxNQvXduvRzZPVyJ1CL9IKNJG4E7gz3R
Rl56lhZLd1xE0yE+yFAK2XERmDqtk2nCMp5XE20KfzyOwpNkGFd1DtEpwvTB1Dq/h4U+njiW3mcV
g9xJlaYnK2QsIPm9WYvOhrp+EJFxFHX8LHr3bDaWXPnV0SxPTTWyg5+8kzab87Pu9NsxT1+b1nMf
dJdkx6Cq/S3J7izynQ3rasUdMDiq9NML4XYkJFvGKizb0uY8WjwnQ41wDahDlMRKC/DX39L77f32
T41c/8VWyI6t7JN//JK+eZk+5b+W3b592fdhGZESRmK8nnkhQ4L6f8My7zedZTD/5whet7qhxjPf
o1you1zfByHssNvlK/mi78Mylsh00lgf0xT26Puaf+UVzYv/l1c0YzqD2h3EKcvzVJ7sx1d0aCJx
ibsUykPqFwoSq59EV7vvXcxWYEo4K4IoS7E5XKuEjLSvXYHcxw+4s1/bwrx36LzyNjT3cVZ9pLMT
mv4hjAaaMSEBIzfSrZVt5QTVZ0B52VBTIgpBeRNfHffA5uxai7YZOHvWNu2daZTGbkiaISCi6jEn
g1Wn9+600dOdrHoMffFwa7FtO4Wjs7EACm7zPj7kSfw0VHKvzIUaLTPLSYEeVJyH2ZRa/SnF5lgA
bZMEUBQVz9vkNuuNMNySSEKBwtNybm/M7IssTmWIk56tiJsEevbZHKlrOEDdY9510aec3HUn5p1e
TcFMPUWoEjSiRxEzS2d1RJaGcNT/Ze/MltvG0i77Kv0AjYyDGbglQYKkKFGjZfkGYckWDuZ5fPpe
R9XZaTuzqjr/iD+iO6IuMivLYU0UcYZv7732tNNbuROuj+RC66SstxoreNUM2yyygrpv78gkfmFt
Gs+uwLVOvoDPXhWPXst1R2vQt7AG92Fsczsq+i691tdAU8K3CyqULbA7gxYxb20NxQ2VvEYtx9qf
XNURH1VjTqagOVhGkX3O85K2LYYmund0cib/k0SPMcqWzBuLvxLoC5tk46JE+0zJ907ZvvVGca5R
FzrLnx8ilP5ISf64Y50AazcJQ250N65pG6fSI5zVf5oII+KsGfEPkIJyzrOyFGTKXNCU6ID82h+o
uNlMTNOOht+CMO76iu3FCJymj0JOSAvVGfEeO725IdPnHAorbR8pcbSla11YFaNAsEYSLSQXNTqI
6Tj8qEXArhZieg+nLo+vjLy4mfhxcE7X7zY4JL5Mt/3h8f6LkeqfHxdHh/etmzzLPC0fZpEfHxc6
Zj3QlFwPe3MptqbTfh9bAiUjKUFfutoB4e5Ft6fHLMv6Y+1LLsQmldoWb+I4OSQzZ4F0dIFHVkck
vGlL42jFi96dDKv03w3ttjStrTt074NK/FBWgpaHX21XTZiT5hmqZGlQ5O0v1siwafiU2DYWeN/7
aibzXaQp1H2+xJsPekeiWpytAkpiNJG+psLD6KYSOdOBvuHBnu5aDI/WJNyjxWVy+Ej9ld2dPi8n
v00eZN0b29Qn9OF3WAOqTNAuUdOulYxfmKbd20Z7bWXGg2MWBiZQ8oq2Db9tMAID2fPktFZgV9I4
1crbN098sv+GHem/frH8f9NZzLwEH9A/35Jukm9/vSd9fNz/2ZNcRxmRaH9zMAKpOfs/7MXeb4bS
aARkd/4CkifT7d/3JFQaLEsCdzGeXzWG/2lPIu/CrRHrE4N5aG6/XBP/1bXRUbfCn6f8+Ip19VXY
AtkzfxFwTLeR3AgXTq+GsdFjm+htv68tRHdlim0duuF00oOfYtqkcm4d/QLZbKYY73Hta7rbu30N
h4ZTEIOfEIwZ5+jkJh8xvgzRSUXOVv3Zte0DpsRrYS7010UblOwbyE/7jEUOJFzr0tYL1rRuLiCS
sBmIbt3r2IZa5R8iezG+51Hy4HCHxVuOzWhUhiPbm7EC+dmzoqgleJIiZU5aVwK5a+lpTBd1iKis
9FIt+Y5a/NePbYD9gE33zif48sPv/i/WK8PiEPGnF9NRdjMXBd7COP7z/u5lbL9635qM9ak1YSgZ
JAnh1rixHhye34rnmAjJl1k92DVPeKQe9Uw99Il6/CPWAQqCTwnrAkDUidElk9nIc4+eTVx5qLjX
d4avzKYsLbEnWGSSL2Rv9I1Uy89H0Z4NRGJTWAqslVI7wmol1bIlWL88tZClOYM/fovFVTxg0/Ja
WEyYg75WLrwHmmvcfeli8m4Ng4mcUc2BW/uvvIW50gxsarB94sOakt6omPkOJNMnBSuM80+lXWpH
kss9Rc8sf16S3+je+IIN4wzubzn11rzXbAsMj2sAP5Yd4HdZnxI7vrQOTDe93yWFeCLqfB4XC+vP
c89dFV7mo51mASDzK0YNW94tj2bjPlaa9pbE5l2lf2IHhi8uv5LCuzLM8d5bGYjL5BkVgPrK7Esy
uygX+sYS00XAvOp5n9A3nZbZCZXlmCUOvWfVbb3mX6s8vRm94ktj2ke77U+AhC4l1ivDmK8QJo74
dxlqFjhk2lM5cs0HyDE0t1KiSzI4tWxCrU1ozvPOTcEtN8wImhH8rLYrcm8/y5JgDlfRMf1u1f2T
VrzwxJBSxgY8Y9vT53vonVdR+1pidbOTmsEK9ZY2iW8ImTM8SEvXHixGs4tRh46ZfM2A485viZPv
DL+8xey0XSoGs7UXo5Z5+n1hRicKRDedL677xTrUa33krrp3OqaNJFTFkt6IEVsvmxQ2OKvhwixt
Rghs814ddgRXPJGzNS5XdvHe2W9Tuuwo8GGEIDcFoKmOOLXilC50knJ43OXYxhvsZR0GJgF6zO4v
dQWhnqw1JYoBvFEI71jadO3k2t6toGMpmx7WySDPYBwM1h+sMUfdn3ZJNlJwxfg21vcZh86Mw2eV
xMnOmOygmk18+xxQJ3VSXdNwVSdXHmsaD5bMx0bHuXbtYiNs0/ouVWdeiolinJoXYeXjgXHvuk3V
CRmrGMModWqm5cbaLC7TdqMgAl9U3rFjxs1Re+XIbauzd8MhnCLQb506ldNqd4NlvcGHgYep64p/
LCd/a1L7b++A/x+ZIbh8/bCe/skh/ND/9j/Cr3n+/VeXMJZyPvAfm6n/GxZghrDMMU3dEARV/thM
OSTyV6mHEcw/bfy+P2ym/KmixP+jWEZJ939c8Dx8vdgrhKMLxrB/qyTG1ZUe/dNuyvQXt7JFlMyj
I5pP99MFj0W4M8lyMg4xVN+vj7RZ69mW5aPamvVwbSVYlMY8bjbowMO5VuHSXsVMh1knkrYyCSwX
BhXM9GiqbNA029g+dsZ6oxfpfdOA1qYhzMUo0WEjwHxYqIBr9xF1VaFXSfrVUzHYTAViTRWN9TIf
BAKDmIXUbKzkr/mMz4BYpIYfE2sGk6DJuqxM7SiMD7KEYedCOzZ3Ax7c3HCPjtvD8czF4zhqr0Nk
wViHCbpdCsrf7RIB2xo7Vk/su12OjVZr3pGkvXu31rz9ssZGUC4+f0fmd9BRkk1rLjA6pdqDsmsW
e6l7kpZ4moRNc/omk/U2d/Vvi7t2NMB5zwP+5lBgcc7q6QGOeXc0mK9Gcf6Myl0+J9r4YJWhKUNd
5dtzqZ3EuIRO5EBO1Ps3narlxi1OtW+/NB7QojE1A3yeKFC2t+08kpiFY467DLQTspF+dtxmt5Aj
RyUs28CJqjp0nVOFqY/M45M9lVVAjBI4nzPGO2KjBzpCdNxf640VfaHHB3yFQT0qboYdQHHCSDMK
aiONNIjq+DNYgds+ci9FZhxLwwgWmRNehlqeawf0PxIeiomQkL0c0tcyiciPxkfmTdfsWxbkZkpZ
aLi1b3xt/AImAr0YlHHGZWfl+y9H5+h6vMOigcLenqD0al6Tpt3PbTgtYl+v8ri2JjYY82kc3a2A
ltzhKNzqtVMffa2/XeUK+1CD1zkDXF3EMev00JPzvdb0h1b4xyQdgsFrn4Hd92APJNyZ2T/4GTPB
weCqyvSyCXwApYyNYzEzzW25upcIvJn3WlXGu6cxSICiaoYo0/F2EVG0tbzm4o3nKfVMNpRpPidR
TsWM5dFzV5w8Z/mqWePJRramKgYQJlp1aJFPc9BiD0W6HrumPQMC8U/upH93W6xxIubXWdlakHh3
CYozgdX1UvYRhNmugbxrcZUumVz0uQQbn1xsYr8bkaCeDOxJYB7PPpH5SaEfS/eQ24/Jwk9XR1DX
aE26MWiUHI3+FWswHIsxRtYuuieXgmIa/Lxd3Ip9O65qnA9EcfDOcKUT1HkIHJidh2ogSUdPL9EF
ZzfUnBCW6Zj08WdjqfDbzg2u8udl8fCjS51IXGJKJq4RL4nrwUDEutHoxc4My2mldXAayMAUPQCV
7IHGPdpQu9IN5nKpAknP2sF2nHMj62EPsustooiFeF3l4JiNJog64qbuvXlnYtj1YuYQ/YQQr+eR
DGqTE5pGWQCEIOPYV1OBVwl4t8NlOfBi/94WyUXLeYliFevFbHVeLdFtV8BDm6KBlWkuUDUHNkie
kkaTW5GikCLTY5btcNW0GiGe1gsx+j/qFCrMMH/XgmxOCg5Bg0cOpjyBxdJVV/1CJbaf9MS+aDdc
Oie9LcY5C9osHLnEIwg4p1bW06bvioG2imw5OcY7cfdHYlFj2Dn++1oZ1nkc5+agE25mGA1Pzelx
Yla69pLNsX2J5FfaEEO3w3BqTvjfa418tQNJqePYUQ5fbN2D+zvSAaodRk6I4wQ4pnSPwBe2yRAd
CDfsRpKFE6kzwBmEMY0QDzIqh0ZHZ38L0o93nre1uMOAKy2+Lpl2E2EsEGNLjrALSRyeo/nNAAY0
W8CjKYntHQ5TpvsYcfbW91qh7fqBwlckJLJr19A4QgtpIU7pvV/aEHDDQSfXZpSEwTRrtw7tPW6S
nDpp5zqrvpccqOre2usPjeZicbH9d702r7SWKISNRz85c566t035qv535OZhIeWvFh4mkhOm5R9M
y922wIGWlT5pgsysMIKwcJgLhoJ5DMdnaaxQN1rnnGlGUGtJqLsjaYuurHdzvh+m/FEx5tKBegsP
n+6V7uCo0ezqUaoSDEO1YdCKEfkivpWqJ2PMr+tOgyVvnZxd0Wn3ZdfeF4U8RkWEbzzHdeVAzHI/
vsViAM4NzErMztGODcKY8oV+5ivtahiaeyJm6JRd+d2sx9DoXVS85YH0/pMzxZ+mpjzlBoaqofzu
4gtpW+tatlgpoHdGI6/1nN6luXYx+LFa7lCYkQKpwDQptWTV9waayGZeWjoosbWvD1LHqe2vywM4
nMB1cJ1paR+utTgPNZQLn04ohnoOPZKon0ySpI6dLjuksTgbUXRoGdgxBLyp8voywSabvEdAGpA5
okudue+FJLiyTFTBsZyRK13u7OQ5SuJbtJX7xEvvHLTMWNBzPqV3kydfan6fs2jf4d7HmKSZbXmq
O6UR6qGRnFioHnuERZWylnBA7kZBNCPqg5TYwIoPfV9pkQQQAAOgVm0t9MHeU9E+ERo0bwYIq3cF
arBtk5lvVdsLp+znjvqXUvXASAphdLKmmxT/SuBSFiNImh4b6mNiamQMYEJBo5plEipmsEhke00D
Ipyp/hn6gKjYVp002vqZXIPOcJWUf+pf9DXLDpUiZxiKoWFg/QkS64ItzD1ZCrbx8a95ODgeBI5K
sTh6oBwpcI5RUTpMxev4n5OdUoKw1EzR25zMqcxxY8UQcWJZ+NdQAoIqYtlyErRMatZLhssZt2gL
lpeTTza1sDiTtOTZnY1lNxgaVV85jdfivpNjfA07iNC0Q7lLTVyDpO3EBgSy05uyMki7wg7K1Aad
Q2ODyuDcdBpkeTvBnpgLKAkzAiO/yXVLyIGNI86J3s7OFwjUPJVD9aVVEnLkeXjc7M8ZdjpRS6Bw
PmYmz9SuYGwDFS/XbDOZLKDD7N8mMb8mmZBgHvzWh7Cz3KfloCMpkPOd2HbzviDoUFW3eo6wSxJt
OmiQNnadas8hXoPnssDzGDtKiafzqChXcCMqIVDkgx3YHcmKPknfZZ/wGi7kSzvuh0YZd0H8FdoN
5fOG6B8NTJ1DSj9AufCcpNUdW04Z5McKk8PWpbx0mzmwSup2CVBhqSUeXOUFbsJOIAxPSSEvs6j2
VsrqN5DrNR4dsl6SqHY4rBCZTT8OF0oTmUvR2BYtj7NmY7AlNM7m6Z+mJr+ItCQQZrindaEgAwj0
Zuio+h4s+oeLJSd1pN78Wkcl9Cy4fAuvfYr6ItsNpJvQV4Bp1XmMQ5LDKfORnuSbqQWepJ8+jZ6W
uLyL/JmIoOHSXaRV8olpmbOTEm8cI9ujq+fGSWvv/zOn/bcECN4T3On++Zz2QZWPvsuvQ/cXt0v1
ob+PauFZwrQEnWBaAi/NH5dLSze5XdJ6RS6FQe4P6iHxVMH1ElsQfE3jJ/UQIjCVGrqr/82GMRxE
f7pXYrxzuW8CAuZLqK//oxIydb2kd6m2N/0EZmYt6dyr829ajKvNszHU921/XFpnCKnpIKCjX8lJ
PMUuq9gISGBsu3ozd/gup2mR2wyLR+1RJO/1Nh7NFctJVXFFazTapUWbvXUtwZsqPRpTxwUtDwZi
S0FULXC+J+u9N5MwHUe4UBXBkNyxw06abShmTEJjR9p/jNA3VLZq4o6gifhlIG1uY+LFWZG8diJ9
KLz81vBczBOeUBy74uTmMXA8gidZO2ytGIafB2xlM0zZbVuJQ+W3HdbYtoRyNJNRz9enlksWx1EH
54H4RHIsJ+ZG/TL9OxtUKiQ0r/B3kOeJQuAniIH6LE1zaPLoS2u30H/4dkp7fIV14pDNw/UxlWQS
BrlSe81xpwM5PIwRtwhM48kwmSEceAxG9s7ulK2kVCscXwTyzsjA0qVrIZ9BNfej6iz16C4l4r6R
HMz2CU5YuSxdiHiFN8IuTsvnOOWXMCf4sXJ3fh7EdHLXOyN3v9oIOWLG3sQFtg4QWROdIi6zQrHr
iupSOC6uaso+bVfwXUTGrT1gMRoMbB3kMNqzXNxPOLqDZOogD2ON39aE6jepPUJoWKMXqlibcz84
vDO4Rg8NL/cacdXp6wt3AI6Akb03DefeE/I5KTgb5Ja7r8nKMnPrTwJPhgmkNJd6yABe2+Z5enK8
iTZKzXubNfG/qxD/qa0NE9yvExVhM5uhh1RYpupt+fmdb8YzPk2PG8UKKZpqB+c6Tc1sY6f5JSKR
jEGm3XulTtC6jZ/wa+J5y4pjXARLuR1m4VyDRSjjPj8VNsV1WHmpQy8JPHrVtajku5OPd/Cyru2p
uvKT1g5+WGb+QhL44Nf+PBASNkorUg1yP6xd5Qj4IdPmGWVCfo/teOQRslzJgDjWSVhO9nJaISZ4
KRYnf3Zm+ARxfABWmLjWN9+Zroe2umooNlvK6c5yMSxzPQJWS83mQejLtVbDyR5M81sDuOTGgQxu
8WbQ+5WlIU9IrSY90KoJ/JI0aGxhDrNxZSV23qgRaPRQi9eWm13tXz4jUVE5ghYR9DMtFInqf4Wt
tB8Kreatn49b4tJDYGRctp0eW27e71gLb/+zcf37jYu1+Id31J+Hom9yWtZfTKn2xwf9PhBVs0sL
bZz5uPKo/KAu0mumsy+Z7GlM/s2f9iz2EHYzQyXIHPfnPjR8LtQ62PRmk+ey/pa6+CdLqiMwZbJz
8Y2Aafh1HFr3GpMZm0AkHpCw0KyTnY+MBDF2dN45Yy4iGGqUuEV+eI3+4qlj1PvLFFYgueKqNVwB
hOljSvvDQxfZq3C8OrFZ4IsATCYBFbKL2BMjrjfQTq7+9ZezlBr7yxekSEBgOzJwC+m+Mvn++JQb
Wds7i0dvEI6M9AghV9sMygy4FPLeWA3gNaX2PatrD5+L122LVAcwXGPSGZbkGy53QKz5AmwzwVFq
2S5jxbDSm3HX4yvfuiaNid+lqk+cVY9iA/MkdqhWFKpk0cjtMMv164j2xURSw1gW2Rsx3WZjGrc+
ue9SCJTPmh1PVTg207oEo8Uwxm9Jz/EBB6NTETo32jiQtUmsLMs+AnGcmJ2+a9ISJqpOjchs1see
FsnCBFOp7iC6xvSxdqACR9Xb0FuvqFSqhtIriDPHaXq1FKL87C82vZrJcOEQPO/IjbFtFDtDjQe0
OAuZaulhoUYHdZvJfbGC1nd7EAIpDSGZRh+W85rgxfAjztqofkmi3Qn6N5M1+jRDh8r6Lz3RDoMN
sc+jc+414YQ3tM3dT7OtnwaZnBRLT0bWYY2tA3iH4wrLLfFbcjz5mUvVIRLypLeKqHDIcOqL2YQg
mx0G7pb63B2b3r6uGQRV0f0am0Hi4AVszZOeabABsgMLZRiNl4XpPWtvIFWzaPraAnXgez4TONhX
hXOohuxAOdPB6ON9g4OlSWS4GtreTQU9avT8uOmpjp4EoprGDROJM0WF79IFcvW0w38JFkvFZ5hH
MRT0YlyvOJxiOl6n4aA767PmUyUuc35CpiTZTIAb/QsUGI0C4/5D0Kydh1yW5xI+eY8xeEpTWsFo
jjegDxkMGnn1TGRfrR3oGSrOrox2+UQtXhudrYnxZgRts7pddGjDg3ZfA77KpvqywOngMOYTZ2aY
q/nUcoEt4g2i482U3ZgEguPhmn0blxzw+YLS3bhkZ+jJ3YoWWwHV6R05f6pFNTcE7dcENZy9UeeG
uXRZEiY6puq61LcpV90rzQTV144uyFcLj886fRMrl2CsyXOSXr+SnfmmKwXSiASmdOMb1Uzy2qi9
+7Syd5FGTxbmWHgWFCmc8s46+Mw6y2VCDZanonu2Uyco3ZHusyKYKxnaSbTrPQuTaXoomNW76cGC
k1EzczLJXg9wDBEAAFfxC6U4ccDbVaJ3IrpUzPZEfiZbs89bPLBDHNpWdyRptLcGxET+W/2TQTiR
ULpUIdTsxbuSlvWSWWpU7vGLUeoOVVbns1Yi6HpeNVBRnSZ3FY2RaUFGhxGBInNYMEZa2znZkGmY
mUBzQNQor9C7tp4D1aK6UcPgWtBTy3hGnMw+hdD4tdOWwBjsbQrS2fKjw9ze10yiUl6n0hqwg13U
953k/jWjBubBGez6HIZD4Ej76OeNKlyqyhMulhtn5X2JUP7qFEl8Qfc40pWxW6v7JIhE/qlyMlVi
Ud8WqQzVd42/eJ/ztC20MxHuP2kXxoO3g/LCxdEnYx4ZEA2XrLJPXi7DmofA8bSNjQrOUH+zIK4x
PqApczvECPBg9heuKVVDIW/VHelC2w4p1RjLV6cojzMzmcFkiCTwhhymmTFd4xnZfsqI4AKIvJQa
/1FkunEPvgsGlYEgHaXF1lfogbwXyR7+42aZykeVpw7HPDpCmLuO5nXvDMn1yJSsUmQXJG+nZXnI
Peh32vPAL1Qb1KMz7TKL5uFSf4Mp86j1w1UM9ZT35qlv/cd5jMM+hjo9MmHN1s92T+8zOOcIlsv6
tuhLAN4ENN0MeM4+uf616jUqFPS2kru2LA7qnwRyeUHs1XypdHg72Z7048aoxXU8uecUXgqIrX3O
vFrksJJHMh3Ol2nU9nUMc31hxGdVt1yfbJnvZW9e+2K8ifr5pkubvQMKoOZ9tBmn47L2x6xazu2y
m8x+y8O5ZX8PY5ICXCWt0eSUGXHrIzMK6r2qQO25rIEx9oBtK9kL8sboDjQhVMynMPbY63WzzPhJ
hmzDokyszEQGZLTEFwMZ5OpcVupSdZl1PLiO2bAIpV9q6XEvRVYrPcaRU5k/GW1yPcD53S4jbvPK
ogtBgwwVULZ8AJzmKD10DWbjqkuabyvuvK3bkD4vY+00LK51FFPz6T/H2X9/nOX488PZ6U/H2Udg
B/HX4dfz7MdH/X6etRD4cVBZNidTA4LBHzMYhz9SIr6tU1jiip/Os1gC+EP6TVDdOdr+IfC7v5ke
tm5h2MKwLMXt+htuOVUW9ctBT6Dvu+S2OOZxxPxF348iAJBGZYC8dY+VyPaDsC8iqb7qY9OcLKak
hukG7WycGRSd5tZSD/+NpxDH9UggRu5+ePX+4qBreX8xGKK4xQJJxv3S0j9Opj8cdelfGExJLI1t
1UBoU6FqH21aoWvNzO5oHa0gOGLxYhYECWfKLiLT7psxHoPYhBxtt2vB0mYe12TwQRMi+Qkl/g1K
BuxEgpCFMgglHgVHaYVKNFyVfKgpITGeq7daSYv+7J31mCeZ/ooq6JQAKVvb37vTg66kyUKJlIWS
K9Njkblwu1QwKK7CyM/i0IkZmnoS+xAOB4LR8nOcQTMbOO1KVNF5OhoxiWhdyaUzummvBFTOTAW2
N0TVPLvqvbMbFQUHfs4FWiP2Hiqso+RYE122aGpObJHZbdtmetXRbjM03EqJuRgz862dP7XCO8wp
fm1bQcjOoxKB8RGAUVPCsDlkl2Go5bamwbJAO56UiJwSRQ1Td7407hiFqXcnleBstJQ1Obw/HLTo
iWDsqYv7c4GW7hBAPsR+9l4sKb3jqtGxr9wNB5uTi8aNr/oUpe6VVOK31xfzefwQxIszid7LMqWE
uTspt6YSz7saSRLgz/uMri7Q140Pob2x52BaGGOhBg6qBoKfrmbUpQJjBxhD3YYjFJOianhumzub
YojOnB+yMjvUIj9UrrbLXfPUZsZ+0uPjms8PpZW9ekYXWvivyFyVQTmQqdEUir4DwlF63vsku9s4
SmiHtk6et35xF+1z4nf3c6LT39pvamkHK/KhoLwv8SHbxUToPPOUYiMfsFiMX3pc1q1BRKA9CqaC
cc1f4HuIu21TkKkWPWSM8jhc28N8zmIHR7f1xUuAVCU1/yrjF7/OOvXCLAEC8oNpeO+dHLY8rNCR
HGFv1fe71glSB8hz5i6kx732xW8q8LfZzRrXCo8H482hdUJPvScr5fM6sw2lKr3zaegtGvt+NCFh
NqN/P7J9SX+68fvv5VyEuLKxxH/2sv6yDuKtreVJXQ1Q58I4BhdrRZ+WeaDft7pNve7Kremwjto7
NyIboYoHstR8E7CmRrf87Dnad9/NQwoHDoT5OPYBBuVg4YKbXTTKfxGw/HQNmiQ5jXSfiqbBVFnD
Yo13Vh7fu0l7Yb05C/o6RmoC2oEwZJu9FNwJZr85xJYWdIQxOqe/loWzzfI4qBz3ahQ6BpD8eTXj
p8LOLpPVX3M8XJUNXSNKPrFoFF4flL32NDYQzFqDG4w4x956dOt4J0V9Gv1bqXl3NUn/RXev9CgN
I4lpTs+4zTpXET/SbHAWHeNjnsnbKeJHXMbrfOw2y21qTPvaFEe7xOtJoa/dJRxK/EPqiKNCqXlc
UCdMM2N2WsouYNwKyB2wGlwM1zh66OIu4a4+UV3r+rGAImcy7jWd5uDUM2ioaU8Cd1u6kNB76pz5
voCCXnX+95rLVsyLwf9zjfpkF/0L+ZALAAzcnjyh2r3r1N+MLr6fspzmcxcdTWahLrTbNjVDx572
q92eHNvY5lQ9zSMiJG2hXKqDrv7oUKZqNpoanKHpDfLlg8XoLGeEVqpZmqmGamq6lqo526gmbpqa
velqCsf8MqRhRgtamyaE89K6l/Zjaqf7vCDDYWVjkVrtnmPRASE08ZdMfLEpyfaxM3JSgzUwYE7Y
pJ7rbikBChjk3Rki709Z+SKyGb8O43sqxWU4wg/Raf+VFmSGCbbbEbPGthmJGPqqUIAuVOCGg/60
VLEbCnIhB58yYn8anWtVWSNn/VjFK43EoH7V2SryOqy2M6wIidzX8t6048o/cgtQiirFSyMi2izr
ar/qrC6Ycfp0Pbkcz8NE8FOgArOMYna2sFIPcXGC19vuC5zGWyK4SfTVs2gM0zEcb8DUFgFVuI9d
Wr3knplu7prOrk+zMT3p8YxmKkVDfsT7ZurLTTtmUbiO3iWb2QRGl2Df7H+zR4O8ELBrToYw43IT
7EqX5jR9oHUAL/T1gOjU1jHqZg99BKzF5LW3cnjpsGwXz2C8yEJxPN7KNVmujV7umQfhDWqhlvWA
Ghe9frGpJTsOhE6j2A0abcb2NxaIHK75JdetW/4AbGZiW8Fs10ETCWjWNq98rIoXWNbABTOsJgab
OGEpKTnJDIpf/vWJ4kNJ+mVgzRARC6NSwBgC/jLKiqYWeVTXwNP1vF9MjEsN7QHClMhK2sGy07s8
Fs9ZX3uoHOalSmHtejjHhLKQ/ecI/X9zhObQ+c+lzMfkLSmrP5+g+aDfT9Ccg4iOCBQHEpVMef84
QZuegYJoe4Qgge0KTq+/502c35wPeIGP9vghcf5xgrZ/g3jAUBh+gRoj4579GydoSkz/dIQ24dkL
X9cZYwvykD/PSgGw+JM/EDYpSDNweqIlqb5Ku2Oig2QHMUrC9luh4tTFUOwiOoq5I9wom6G5LVvz
bjUlTEIECE1deCFv9tWXeHQgaMj4wUc3xNFy6zTbVBpnfaYgdcJaRiZrvSG9+EAEbl+0JKScRHtE
DjtnmXUQRoKdZdw35TAwGvAfls4++f4KngB+mIiv68XEKTRcNS5Tttheb8roVLSqWLua4y1J+nd2
qKvBrq5BfJ3SsqAJTZ4rh/66Y/1iSfceNMSd1c5e0MTjA6c+8g8Dg+C+kzsNx+31hIusIUG3cWvI
SaJIDvMUpXh3U/AF1U2l8aHUD+On9fIzXHEzFPXybSiKox3lr5GbvIHcdHcGnPSq9x0kPepS8I0E
+awj9yTu2RtKDns11SqNi/qjptWs6fKs27Hq2HacTT2tHZUfBCVajfHxtJKpLNPoSjePjsgpPhHu
1aSzkA6DbAEwJDT2NE8iUXed59FikEHEjsFKv9Mk7j9RMIkqNH4z6QLVysbds+TWsfI1NnFp7WLd
CKrUhC1u5sXZidAnx4gpwPQyZzl9sNHiBmNNLUqOXos7qX2iRwS+cWLTQ8dMBixCHrqrH0xx9u5Z
QAYSbmf7ySxf21wrD74/Ear16RYHBtvBkttMvZQ7r4VN7sr81cs4dHamrLb1rZHSat1mFQmDCCUu
gubiJP2jjZGP0d54iing25jddN/C7wnicgmpleZa4DG2cPltMkiHXEU7a3YwUipQqVfaJj2zLViz
eshkuoeqC4Mnm1yXfhV+/b62nUWE44RQJ0Bm65L2CWHfpQrL7DGBKLSNPHmV9CUinmYZOJLMuyhn
7uVEw9lWSHYcwAwmh43hZKjmCZCtfPlGPRcs5Hx4NJaF2APwB8OqA5232pCoHb6nGxfrbtByOdmU
LcQxc42eSsoTeKkiVQrQ5ce5NcEC9VeF1eQ3YrB27gLQGI4zfQka6eAxSjGBSQwDOaNCD7vYVV3o
FZJ6sQSRYQIMXf3bDFNXuBQ8gXKVN60H4i8tom+psJBJRr3e9aMDjURdY/J8Pa7LNSV0KR5wzQYC
7DFuIrncVDqtZuNdams3Tt+BeE21GbDz2rBRWgfDWKlQi3aZUwHEk1wAfcLGS+Z8yv2Ga2X8lpvV
k89hBgZwtq1XDpEMFdudC5m71peDlXTfJyvGod/6XJe67ApPgDyILH8BbnLnY5LQdbAdeLh3tTRq
OFHaZh607+CB8EfA4s4McsgVt701mzcya4qDo5nfo678FLfEfhK8iH3Hi5GkWPFOOJA3ReC0ZgZx
K9qU4pCNDctcWTz36iTjckzYNI1JQaDXQEdscfh5NpcYlRdX9AsX/C8urOq2QEXuyiE65jMuKNh7
zNx87gc+sI+K9pty6A5PkSmu+ll7T+v1TUuLLzHGh0rGr7lgoMqQbWIhyNf3RojXwhXtXq8Ik3d+
v5sJDO1w1pYHLZ6fNE17KYpS9QDRyaM7W8vO4HzTFL/7X+yd2XLjVramX6Wi7uHGvIGLOhGHo0hx
0Cxl3iA0MDHPMx7nPMe5Oy/WH6jMqpTSTpdNR7S6o33hsDMlkNwE9l5r/ZNZxY+xatI3I57FZ+2W
zAZ3ovURfqkq5lVJCutT1c6s0l6gxsZ0OfduCyu47yyLbpBqPjIkCLBZMS/9ppwbMVGAki5jUj1E
yyJVcV0W/jKh1srA1RYu2XFsY8m+G+xDEmCc2uu4EsfxQBpBXV4XQWdNDBfSbuF90fHtneeqAJnQ
kcszm/qU19ywbEd5gtl23boTC/rZXFZuG+zdJziSPfT2OMXW95hRrxziImcSwuCVbFZnvaeL87TQ
m1khV8Bpln1Or5jPtA4QpWaSzPiyxA1DdORCj+ZS48hDpslD+zcdun7jSfZN6uzazL23Q9jSljPP
bPtG06JPCJFznbLOJ9JyqPcgaSVC4PKxym/wquZhgDdehCj7cHTZJoKP0Xb2SnWipQmgZ2ftUxXw
qCkM7NOg3tf5cqBzlYGkUqFttQj7Dc+WSJHulanTKXtMci4VJ9n4UbuINXrL2sUQkSYZwzkz8B9m
DYN1W64XCvNiwb5Zg4NIeDCSpjFTZXNjNClqLo5W040/j6N8XEDGHDhnY2Q3WWVvJKZdJr9oyuzD
Pv1XgDc2xkUjTgU/12jWjLOu9Acdp5YYdkIYH+B5HDjGXkTbYYk5WhWVeyxRN0XnLrOYaBoomGWE
uhrada0AOlpXrejQfrRHZNfPLwk13CJcJFQwvg4znKQtm6USsrc1qnivasFnrRY3peNfSiUrrITe
UkXB1efWxsrJA2YEXjvuJ4PP5CbJI63lWQ+RpJHdWY5URS7w21NLxgwifswM68WWxy2vJ8o8JNN0
OhjGp8FTbkyMTCf68BSr6j4v42wRqWzzGPznNNkvgdJeuQVQILodaI4RgE8Ho32mKMUCGlgB1YVl
kbgLuuSqU5trK0RbQw5jbpf6tBrhOr+pPod66a2tFquVNuf0QtM/0+NwTREzg8V0XpW9DBe8JHo8
ecpEshWW209701qEXqDMyWZbi9JPzyTJ+JIOOib06kTOQnwX0k0txKaO0QBL2AiZL6bEVoTww5dR
PZrKpEqKVZ4Tp2s85YG7cIieLKT4ArLBhi+ZIqFZduRFBogMey+7UHDV9MABcTubc0DN7U679P38
zKjT6zqyl16pYTaALgZz9oRIxLYUGFGmZzjk3Lq6zgTSxD/xIaMtKwxtV9WY8ptSh5XFPSORrSW3
Mq5V9bwT2L9RzWDpgaF/ujL4dDG4haYJzLONXZP5TySQsT1Z6GSyqCeUiPihQMxqRQdu1JdFly89
N75GdnkfDtXMLc8jpfsdugAF948lMFYjo64NvZqMH8nbEhj+c9Z23BsIaIglQ5RN1qFS4SSdXWi5
hY96mMIkBrMJxEMU6Ljp2302H3x3R5M/VS2eIT/VLJQL+rNCnzYrYuOuHOlQgYw5jul9NqwEBp+e
7Z0wxOCRWx07oaVlXBctie6q696Fg7oJSTtwOkwHGV8tiry/rrm/J6bNQvjm2qqx7upKxo4ERKPV
wZ+R2IepWRPvI6M6Qz+FrUVuGTMS3R7UIJCWMT5GktpOZUHtJ2OkPcHP0MSJ23jQTG5CtJUdZ/Uk
ViT8EKxPwiuetMah6q7dJ8SfGx6IDYXjOrJ3WkTIqBMZm05UV40Rfa4QpWKNOuOunSaluHElZL6G
ja4qjDbEuGC8H29qKApul11L/gPSeRZO20W+tRuTGPgkF35aXDb6TUPUZYmNEil4g0RQxAAX2YM6
4O6SqzTxVyIk6SddYfW5GinaFHerBswMqt65acfz2nbmgABI8cJd0N0MrXuBuASCi3pW9PiWJQhI
rHgTJt25KL1dhYQsRGrlkelQ6AYh2vecIpddJngD5MuijudomqXRhStlD2aQXgCOy/reTPPr3GQ3
Uy3eeY7kugY673N1USjWhc/TNeTKJVXxRvPbaavoEN3a7XhEpwW67NC/9UEizW5VFRac/wS1a51r
F7LePwx+JXP7eFiWQ4FoKCjRX0PPlsTDIPfcMSktmTbHxhYL/IZzoXIzb1QvYQHeknmV5Vdamm2z
ghdOUY5ACnSmpqRivVgU8NxlkymeWcpTm0DoSlJuUgWXF+2pFu7nVifexwjIKYgeARGe8z6YJFV5
yzhyx+SB5WnwR86lYSIUQ0xixISvQ46/Vln7/5i7kgH78GdzhdvCfz9UOP7GN2Y0UwNVs0lx10Dh
4Ix9N1SAm8mgAQcLkLtRQfvdUAEnBFsTtirU0ekQtey/dLeQswTUM2jTr9YXf2SooP/I+CIOywYT
lOFgy6Y+7rjfwWBtmve+FHgYLyT+l4oo71w4ZJ8qeIf7uTvv2IsgEelTvw8vFYr7dKzy0a+fI1rB
ScwKEdKL+lB58pkGl5QsZjjRY7fgjH2DRQOR0ev2iv/cRTTJNBjW6Go0dhzB2HtUQIGS6FZBY5y5
OTQFa+xTsPLED4ic0YlP/4Lf+aWM1dmKrJ8AF1tUCZE5hxmBTtPDjsCfKS2Z013Wf0m9/sxP5cso
9558dFqqqRcQR3Gv0aEjTGThenNHEH6jrEitWdCQcSgH5VVppXdGmlyGLsnb1jBZ6XW6SvsGLlZG
DLgKNKgHmKpKprOPPMyysYfElIAIuDS4dOtRxKTOKqqkAHlxWuN36styP2sdUU+cMboTz90ZNDiq
XCM5b53qvs9Dnm/ZW/iKfdYZ6sXgyDeR2pIQAUgYYg0Ryoyex8O2lLcCChpCEpjLDbBkbqERVCEd
dbFdY+EIN5cIkV1EQshZnyAwRtjXqObcsaivA8Oedmw0ylB9KRX52m6V+xh+Tmeg9lQYw8RoqZEr
potQTpfeUC8qL1lhbU6WwVavjDXaaUzpO/W6z00mNwg9BtAHAJLmKhrthWyk1iSAeA0YpZdTKeEh
x5+89M5OSR7kRFo2cLAKJ3hwXQ8X4/CQGVVPno+3Dge0PT2EFcdsZ1EVfK4VzPA8Ss6JlofnpQEe
QDDvF7fCuwIFOF1OcYu8Evs6nHwdW8UYo+Srt2MC6FwFThCsnnlu9NetT5uNn6HWal8E8OmsziL0
THsrhXIdgEBP9dq+Q6S4DUzjQPVbscW3ozfysB/QVqJOI9EnswAMfX1LN4k7ong2E3WBFreZhBTH
DTkOK8dKF1AXl0EXrFy7hZREAI6r6A8NpAw31cmpUOUCQkmFOHAfZpxoee/cRj3Rj61173mcDk1i
T2MdPwjYVODOOdRLY4kXKVYKtnNnxeqqs/zrBlh93Qrq4PHrGJx+FoegAVpIsYBhaIqXozc23eGn
Siv2kOOeCmRILRm+ZxLWFDPcRDB3GHganBCw0vHnfuYG02SMb4zj1gepU5em/2iqFw7BxY33JYsu
Biz/CTjE41BkB7ASHv6wOU8ZeEAJGfxt76D0m0r5M5F7rv7SQd4BYUmr6x5KdTfz9E9IuSwWYGA1
a/hpxV0dXsn6xk7meAvWxjxOL0kxpqG+qKLroEKivLaUWz+j4F0mJmKurSrvSMNus7kmlrmCIyRf
2YUDFywGZAYC0zGulknCbIJwont7Jd1q/l3YINcwtwR8CJw/W5tYo/JadpehMlN5KESxU7KLHMGw
7GAtSbL5dtg6SoBXOBygiCzPvTtcqSY90e3gXffKVSft1Pgy0LZlceNay1BcWfGeSkGUgnv1Med3
meJMeF0a8LmhUm9oV7l0sMwLj1jf4alPbzCe7tRP1HQdDpW99py6O6kDRdzy78K+z4Orxv7ic5vm
D0o8TOvy3hq6CY058NODZ3ySbAIcZk216P0n17jq+wwtQjPH+CcmnQ9B6OBgZpchtHNh72oz0san
5IXP/PLCYQKiFFPfvScQjfzgYGaX9yMtrlN6NG4ZrEt5jc+BBv2wEgdBWtBA0pPLZ2/NmVnxJRPa
rPt3EpVF7QTzjvRxHNrqZmu25TTSsXnGhzazGcB40bxGdQ9Ignv5U9AcKtx4ErqkQn10kRiE5wp6
GfeqBsbLcEbRHiz/HLvaUL0R7nngPZr5zq/w+mOqTIrRREk/FUwhhTnMKvpdqd9Z/lodMXHYnx6l
sVvapCA2C/x6JwVmcM7czu9bIGwfXq5X7xxa4oI5QXOl94DblPsD8H5iM1CKXvr42qRbIz8W/T4M
Qn+d9Ie6eOnda8Y7uPdWMyW/Sa1saoG79T3cKJKJBhQedkQKY+5NI+02ceFMp/eKROtPCjUTH7LW
sLEppk2jz5CaLhwkLgZu/LjEMYqNZoLTK5ckfFJoypHHTwmjKiZGiV5wNFOHMOcSHQF6WSagsHLy
YjXmk+7iJiSaeO1n7SFTz+sYse2LOqQQJ7TxTKzcJ5nxWy6SKwUTjTNl2HaZnjOxDLCZSWJyw3HV
wDkVjwyGmSlYKH47JNUEyUJqyM5sa5Y1IeRAr9TLjJsHUgmBdzJuQlO1mqdN7U4DTvyJJ2CDhkG4
zNU4nmdt/slIG+xcrJuO5DyVZ1LIKIqY8qgJRoT4KeP+X3kI5+0d1Al2jvyTalg3Re8uoQ7tiPfA
jTC/jAz0lqRXM2MLGToPTjkN+oSBEMyY2KLrdPYFFLwm1i/Toth7sdVBldO4h4HeBhJTGApPYo2c
h1bONNpb1tGFhxsSP4L5LORPSwr3jdXfG2OBIHXZAfsIYjrcg6p43Sz3gksRjfvlcCfX1h2WxqtY
OGsdMhwKRyZKnimtbZXhkUb07lCwXTednXBHKLgOmDfDoO6NOrrlJWYByPKQpoTYl/s+rzetWkD7
4WUBOBGSlaMldLZoA+OaWm+q1nD4uOUqYfIcpznwcx89JHm6jf1wqznYT3dhtvOd6nOqVg8B/yxq
kX1ScvuxlDWUq12yHuQBLwgMRFIX7zC/vzFzCHwA7MEsUyCGlNeh1UTrPrvzCx7/PBD++v+jj7+P
PsJt+1mXcPcYPfrl3/7X3+5x6vHLHzqG8be/dQz6GIZDfQUuZEHa+9YwjLmcMrQqi4PeZlbxvVk6
KKQx1vEKmUL0GyPF71vDAAoJ8w5eoCb+kE+6GN/SWw6fYY9BojA16FaonN/1Co0d9KXvsHWnPb6n
ckbF3CrnUUbzr1PZ4slcUlyjeoSPG0cuc2P+g6vtI7VaWik0UqcJVjmkLkeGhjLo/UEpiFXQTfhK
ZtomPA4p1ykLkimvwqofk4BR+5UZCF0nLQzoI6Sc4FYehMOmjUBBZFeKMSK3aLOTC56eqGnd804N
m3lrLWp2erysmTtkxjUz41vPipVZ3VHzsvPkEyzD4nmDUHsaZRsZrxVMWILzqCLv0NGXngnrVutz
jg1LLFoUI51ufHF8rVukonpi62PiXAOTCZxl8jx8DJIx28TBl6YTT35PUeOZJedPYJzB0GtoXdgH
UUJ2VqtNFfbsmSSb2AfE3RmwVzfVStwBYtgvemhk89x1rvQwU2d+xf8VAccJjltnIs5sFjeymVjZ
G8xCbnP252mc4XZhmp907ExJqxuYU4ge/QIq6s5UEIaKQoMkf1UYUj4bxZMM74c5uYLWpFHIwkDX
mC5VxcKqBkFGiaXGxI0QnwZdjn1Ph1GY+swoiFxUmRzvwqf0wl8hmReZoS++5L5QwJXFBRJNA4xQ
p3+JxByA5cEFdpno6llHFN4MQ43bLiA7mCL5vPCqeBbD2pgYuXxbkJ098SoZlSFGA0pEwSm7lIy2
s3Arjm83xOYBuR2SUpUBZZ6SlRgTshOD4LoikpedcpySHziyetxsOoPYuYSZsxTkk8gym4VwBiKY
em0uGpdIDaPd1A3HZs6tHOJKg68eVHLbSGVsGuJZWCAWCkprmmQ+g19ETLPEQZShW84qJaVu4qnM
CVVUFXEJGIiBCYJZPGNTHKNIs8HlwiKKfFpEzHlcA8BUEwRSy9nYNw5wQ2so1wR0EK7IqaXV/SxL
gH/KHshVV/ytjlSG4HPmsy79BMz0O3DnkWEqpp2rb8O+w2EqgebNrZFbNOJ65k7dMHr0yhzjbodT
M9e9gDPYvxkYSE/S2PjsYYlCQBiMKoweNh1Qsi34n1QZLmDtxwtFyxZaLj1AAN870aPbQ62ThLVQ
Y+yKjVoiTsmIdpkHwb3sYKOu4sCUwJ4daJPFFc6N5UoxcFMaeAT0gs4EDLpwhIx3OqCXZKoQojiF
Igb1ZWkcosa+qxslXUluOs/U7KxIKwjlLsqtMlHZHpSd4zSEoefqqKvsr3By95aFR8yAk5yDVBeT
pEV1cAa17kJpNRsaGdHxQC9eUZOKhoMmOhcpR8pMwugCU50zwAMe2kwvZ4CAY1pAEeTOXpS4wYc0
SxydBM3I1EQe/CWs1wnqkvL1EANIkQpxXdSUrRmfIUSKUlogA4mXzCXXhyBAzgwl0QWMEGw+C756
NHz7ghREwoqypeHhxkmG8YXuO08ZCrwpaNidJ0PyM4g/97UY6U+F83Ni6tgyjIimBLSJhTOxvtZZ
BuTJExxOE7oFaZLNSG/S1+RZptomJf1xHivBdWjWL3TESBpCdGl6sLYCql2Mqje4MQR8VE56HwgN
CsNtNNYAHsVArizisTaIzT5eDFrzYoMj4n5tE+mYhtdSH4IoeZgIanGx1ET6YEZ2OTUMJps2yz0t
BLkCyYS8LcxlYrK1OlIZpRe+LryVLO1CGoaQK8GjDhvjphZnfd5EEAEMVpTpxSQm6FWT3Eslw0S1
zS5NVzzkZp2etd25G5FXZtkjSgze5dARZHeSFejnhL+sTQyoS0JxZoaErYxQqZQN5FduoSSbMoOG
29ej0kogiMh2qNaOXt1ab2Lto2TrwIGGJ8n1vAnUGC61etm5YT6XcocsAewwKgX7fFyidB5Sequ+
uS/hGaxVCIIOhq4k2ay9oDiT/DQEIYfXGzu1s/cGpVqEBdWq5UqrPrGTtS/ZCz0iHiKNu7Uas983
zXheFPChPV9YpI0G8UyGeDGx4DeQvs58gpLtbqib/CwsvUOv9+Rjxfo1MpdgYifiVpI7XAUAMmh3
nXXVqumiwMyNkEpznrgW9LtKIDGxh3sddwOAvJ4Gnqkwds7Dul8MOUcY7Bdt0T4TaJzvBCMjxe/l
kROL/xVGRGUXXxvlxsE3dUE+FWKUQv4U5hCkpcJpyLUsViSb3NX6MHpwo/9ToSP5BoFkneLeeXYK
rY0JH4EpzlZp3XlhQhvIM4zAyDTA+qp/DtR1TBk0bST/WQ/sL0y9yA8a0EsSbPCoJs5S9hhrxZIr
T4PWvTQhLK8ViSClzCfeFa4kXEgirtpc1RYGBl1T7iltdDA673ombxALUuKSiWFolWluDV8CA/2V
bVQYtJr1k8fwSnPwNpBGLqlbuLtWJ52utHm4oN5MojJwKbZxfVOgQ+d9fMfMl23L3vrk5O48mNig
jjGeR5pzVTTVra8n2jlcjWDqkzXBVF9SxqQjdY+3k8KkMWAUxGMlPxBCQeiULVhxNTzXiOvVc2sf
5GLnGm4CEanFs4v+unQFQ6Cc5h1txiJR4SjhZkg+nHvrUYggtorljRSucSVqbzIpTVC1XliOxzhA
GM4M2m2OyTZq2cS/tXziv6xqaFZmfqNDYCYmd0MYTINrHjkoBsAz5FJ35sr+F8ckfa3zSf4KM3cT
Cbj7A+vkZ8Lc+Kl1ZeodeiUdO6wqbpQLqzAWNQMeKCC1unKGal9IboxXuL3SAwapaWA/0/pNCNDJ
t6bccysRdQXgrWm+9liQjmtBj+9MX8aFO3K20Gavidbe5kMDF5sBgOkBD9uVlizt0r9w0PCuOswh
A3kVdO1w6cA+nzqms6gqxZ8H/WiRWvsgdTqRVUVUMlCz7IcWODprR2bMmM5dPqQGHAcow5MytRfa
+PwiIvRmco1RT0yObpc6wySUlIMX559r2yBO2StSYJxhmVXYyAmJTGlXR0brcseiTEbuNmjXXZBr
00GBZ5DpCAlj1ZoMTnsrhc6nsHL2MUJly2FEQc3Jnohnh1T3d7VWNBOjCG8kzbCphRk0EBrYJK63
8vBCm1n1VHFYSXek/RIJN8lNAwMyxJoCy47F+Izheh+gyGP8zCY/HvpMl5oeilLTeEuzlmZCSwk4
rjPMTMhd3iSdsoYccVbL3UTps8fCBjGMsUFZFtKwG0qQx2QQGfnSFjlzjPXdENZTW2C3qTXWE7qw
AW1zC+bOFAS/rfuywJxNmHEzVxty2HPTfBgGbij0GmOS4BcsKmatFixIWTOnJcB4paNalSX7rkWA
u/R1eDB2nG2cPlxXHHyL3IH0RSZ0z12mLOQCpFOxpJkCAL3Qeij6uu6/OE1O1glzbfjDJPxFMELU
MWilyygxCwM+DJX7hZzzxSdegNNk/Jg6GnIYvbLnTFJWQ1fQGjjjJBd3wozsHJVkminDWbhXvVgY
KZPdTmbcrIbSU1vb51qJQUoPL0Nr8TVyi4F9roAaJg9bz49nbvdSSwygi3ZAINh1M1wF700MFqdd
rSxdWWAQGD5V5B4i0m7wgexe9Ja7VRHEFOb9ZnCoxfXU8NHpllDK5ZtQq/q5rBdYyQQ2wmVMe5mW
BMxTjYe8EgG6ajyxEiwr/ngTv/Wfi7RMv1Q/DVM5+720lf+LnHblkfP72xTiz7X7vnE//sa3xh3u
sI4DhGVjEgHXG9Tum189Biw2MWe6TIgKtg4Ait/4w+KXI8JHx88f01yDAn7r3LGyt+SjJa/5B32Q
aNPf9+5jRLhGtjtu+djjvWdOcIqFkp3mREbqyovHuHKjk0+RK+yJJK+yb0bz1mDCS2t/Ho82jOaA
8gGSyTlAHsNz3753A11fklgBva2FpVrFINgxOWY5aEHV1BjvYfpTUaoZaQ2JwTdNwjp6BOGhPi+k
0dm1Txd+24RAdws9joMJgVL6FLdSDm+8SC0f9ZVse08kwmo4HrhrN3bvyE+S9rrFnuWHc89vyFP0
x6ONBDIOla5hE5q5LRUMbOjmXDQkkPFGrjIKWEPJ7lR88cm02FnXrR1r2OBI5YbUjq2Z1A+5hlup
X4S71stmZhnhAtw122yI5UXs9c3SpvKz5PK2KERIODGr4zoreDYXgjczNwx0FkgMSEACkcBHCEs4
P52rWvKQZsVZAYF1ptSpTe8dHnxF29pRmlLrZmdSL6ZJw2YcSjfMKJSJZkolIILBuDI0V64VT1KU
2UHjbOiw5s2Ag53Z6ipRaj6tpkTci0F+KVY+ASClkT8AIQIxAfp1NDGJJaZIILCWjXFuameWyMH+
+qmX2hMX7tSwcDt7347HfQqTCgc7g3l2m9bTyGHHlhrG1dSHgTct7eZy1AnVAc54lY6F1jJCzj7I
8VnlGUycLzsE1Y1N/pU+zczhDLEHqC2AJcVe7KObYeTvtei35WczYDQ0VRv4OfhDhYExTzDRc+eB
EkKAU2ZE80E/gf7kUbHSm9u5RZk5LPCunfZKMtPUaBGjGTfah6q2prZAQMhZIBXukv0d83Y4SezT
PT2SPnQzw4RfHJYEL2RUf59l5dIMrxslx42jvoxbezlWYCoZIDXBC458b7WfRUqgAnq1ElnjQFCY
Dbk+XYiMzGv420VcLaI0PAvDZD4eDxTISvw8Xj7r+qsQPmrEyZGnUK/p+DtcAv2UxLkClnZ6iXht
nkNlHuOgc+W+Jma0GMptjXTM6G/NhrELyTaDJeYjN6kkr7V1MBZ4GtRsFpKmGaTPCfeMmaqoIOOl
5vaTogiRXUKHrus56OdUiH7qDNjGhxfQByYOZgT2AvOzqYIrtQZETrrwMo/wq2IiPwCJkf27SKt6
aWf6usTqTNb43BSqpW4tREcGQiogLAf6Fws7ksVQVC8tJlt//JD53ePj/0g0yldGzKjDJhnDr/rL
+lD0V4eyjqp/poSMf3uR+kl1Q3Dtn/mhb8yNX7/Q3w7Hi94cZ8/PaU1CB+/A9dM3Pu/HMfCbI+v4
lo7v92dXiB55x/XL4R9/14nTROaNs6ZuICxRRroL+dbu178mbAUDIubHhjGeRYbMscbrfbdCv7UG
P/94r4v585958wEeX2I/AausCv+5encOIyx/P37/jWV4d5U3y6AqJokyhm7LQj2exN8tg/mLosnY
MbEEFkx7VF4fcRmETf3w79wNP1sGHBkVMAiTkgHREpZN3y2D/QszaUGml2rDMiY4AKThw90Nlm28
fjuvbnn/fLx+fCh+exmwP6D6gmOFKOw1Y/btMiDyw8XAMPAO0+FOfcS7gTC/97mAf/ihoDzFyxq6
GRuEMeJRb+4G8Yup2wLoCwNrlI/HreMj3g2YP5z2UHA36GSqYRgBbf7VJ+PNQ4GDBIQg9k9uPXZQ
kLEPtwzYrPHlnboMY3+D0Qj0LyK4xtyt75bB+oUHxTJRv359YD7cGljCPHlj4LTkcBiffcBYnV3y
zRrwRKjcBqaMUpMui+zED3grWIhY/4JbwVCETKMrqA7oeN8tA3/FxogjMM+FeeyFP9zdwH72vt3/
E/sjVGrVpKV+3RneLoP1C6g8+XA8DwpjAXrvD3g3wDI+eWOAm4AcA1EyZ4HOHcG6frcxMMhAeEnp
RCU5ugyNNo8f7m7goXjdtk8qGhjjEKNLffhK33i3DIQcca9gzkQE9eh5/QGXgfHUyctgUjSYsq1C
Yiet55go9d3dYNFucK9gPGWYPB3y6zP4wfoJjrhTd8iRk8OnZz2PBsxjpfzdKhDIReSKZmAmQOKh
cvQU+HDPBAXkyctA6cTGwN1umsdK+u0yiLFmkPHbpbwUug2v6AM+E8x1/4JlkE0kHcbokT9WSG/L
BkonBXd8S8GODIIX9KMPuAy/EhbwJ85Lgcsczz9J3izGaHLx3UPBeWnCUyNZzhr7qyOP7cM9FCYW
dqfvDQgY6RYYbjNcwSHkzTJwmlpUjwwhSGU3X5NvP9wyjEf96cvA2EnnSBSgJowa3u8NbJ/sjdht
jyKokb/48coGk3HI6csAsZKY41eB2LE8evNQsAtrCs0Es4ivzeeHuxvohk6eNdBZMWJkkqdQPnEi
8HW/WQZsWsgHFhwSY1Lw1y35Y9UNr5GbfDsnFZFjgWgwUlFU7H7ebZH2Lyq28/yESWjaVyzxw90N
r0b7py4D6RU4Kul84yPh+O0Waf0CYkp9BWp6FE8arw3tB7sbfnR1/RMH5jhTIQ6AsuFI437zUDCO
HQPNdVpt9kn9gz4UPypo//AyjOT3EYRQ0Mv+2GBax2LaZgYJ8q1psN0/4EmBAPjkKtIkGIn9T6O5
4gv/sW7gcWAWoTCPfi0zP+Iy0PCcemCKX3RyI3R91EjLTKDeT12Yy3NEsHdwppocJv/+MvwbG8g/
8b+p50cvR+TPP5S/BhD+1g98Ox5+/PuvgNfq5R9/H4G9Nz84AoGvr/0vYPA/3gAYR1Duu7/8BtId
X+frr3/9gD++9JvX+vapvv3hmX8oHotnj4zyEej8+jZ3jzH44WfS7p+9d4Ac/T3f8r/eyz/+/uad
fncD/PzS7reLjEsi+CpfCTffIaN/5rp3j/XL+wsfn85T3/CrzOeHSx/VPSe+59/0GTjxuj/zRTz1
0j9zLT/x2tdpBN+/Lt6A4eMNcgS9Tv0eyb37zfigU9/470bqnfoC1U/j4E+8+v6pfYxefkgDfK3/
T132nf/y61c/NlknX/1QP3v/81/VIXr3gL529KdeflM/H4rk8O7ar7OjU6+9rovH9xc+zuZOvfCy
eKyf/ue/kx+/Ubpuzs2Trx89FnX57TpfN3FxpCmcfOlDcmh+WJUjEeTUSy8K/ynFOuj9+z4iJade
fPIrd8krMHnylR/LQyTdoJR898ZfsY2/5vLTVybSj69AB3bqK/xnlh2S4RBFf9vX1aGQrrz0xxsT
iJ167697Kcxxf/JSf0EV85+Pv5Ld8QrH//xT/Fqt9k/m1Y8V3DdG1a/92tvydPyJ5+jwWPzH/wYA
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0</xdr:colOff>
      <xdr:row>66</xdr:row>
      <xdr:rowOff>0</xdr:rowOff>
    </xdr:from>
    <xdr:to>
      <xdr:col>9</xdr:col>
      <xdr:colOff>0</xdr:colOff>
      <xdr:row>93</xdr:row>
      <xdr:rowOff>132646</xdr:rowOff>
    </xdr:to>
    <xdr:graphicFrame macro="">
      <xdr:nvGraphicFramePr>
        <xdr:cNvPr id="13" name="Diagramm 12">
          <a:extLst>
            <a:ext uri="{FF2B5EF4-FFF2-40B4-BE49-F238E27FC236}">
              <a16:creationId xmlns:a16="http://schemas.microsoft.com/office/drawing/2014/main" id="{3458E991-99D3-42CD-A70A-A0E14DB88C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63</xdr:row>
      <xdr:rowOff>183443</xdr:rowOff>
    </xdr:from>
    <xdr:to>
      <xdr:col>6</xdr:col>
      <xdr:colOff>0</xdr:colOff>
      <xdr:row>91</xdr:row>
      <xdr:rowOff>183444</xdr:rowOff>
    </xdr:to>
    <xdr:graphicFrame macro="">
      <xdr:nvGraphicFramePr>
        <xdr:cNvPr id="15" name="Diagramm 14">
          <a:extLst>
            <a:ext uri="{FF2B5EF4-FFF2-40B4-BE49-F238E27FC236}">
              <a16:creationId xmlns:a16="http://schemas.microsoft.com/office/drawing/2014/main" id="{6553AE96-B971-4C48-9B91-1E24CC22B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twoCellAnchor>
    <xdr:from>
      <xdr:col>28</xdr:col>
      <xdr:colOff>184150</xdr:colOff>
      <xdr:row>10</xdr:row>
      <xdr:rowOff>31750</xdr:rowOff>
    </xdr:from>
    <xdr:to>
      <xdr:col>39</xdr:col>
      <xdr:colOff>69850</xdr:colOff>
      <xdr:row>43</xdr:row>
      <xdr:rowOff>8466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myCloud\QGIS_Projekte_github\covid_19_excel\privious%20versions\covid-19-ch-dashboard-excel_0.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phs"/>
      <sheetName val="Readme"/>
      <sheetName val="ch_latest"/>
      <sheetName val="Fallzahlen_CH"/>
      <sheetName val="pivot_ch_days"/>
      <sheetName val="pivot_icu"/>
      <sheetName val="kt_latest"/>
      <sheetName val="Map death"/>
      <sheetName val="analyse"/>
    </sheetNames>
    <sheetDataSet>
      <sheetData sheetId="0"/>
      <sheetData sheetId="1"/>
      <sheetData sheetId="2">
        <row r="1">
          <cell r="D1" t="str">
            <v>intensive_care</v>
          </cell>
          <cell r="E1" t="str">
            <v>total_hospitalized</v>
          </cell>
          <cell r="F1" t="str">
            <v>total_currently_positive</v>
          </cell>
          <cell r="G1" t="str">
            <v>total_positive</v>
          </cell>
          <cell r="H1" t="str">
            <v>tests_performed</v>
          </cell>
          <cell r="I1" t="str">
            <v>released</v>
          </cell>
          <cell r="J1" t="str">
            <v>deaths</v>
          </cell>
          <cell r="K1" t="str">
            <v>home_confinment</v>
          </cell>
          <cell r="M1" t="str">
            <v>old_positive</v>
          </cell>
          <cell r="N1" t="str">
            <v>hospitalized_with_symptoms</v>
          </cell>
          <cell r="P1" t="str">
            <v>old_deaths</v>
          </cell>
          <cell r="Q1" t="str">
            <v>doubling_time_total_positive</v>
          </cell>
          <cell r="R1" t="str">
            <v>doubling_time_fatalities</v>
          </cell>
        </row>
        <row r="2">
          <cell r="A2">
            <v>43886</v>
          </cell>
          <cell r="D2">
            <v>0</v>
          </cell>
          <cell r="E2">
            <v>0</v>
          </cell>
          <cell r="F2">
            <v>0</v>
          </cell>
          <cell r="G2">
            <v>0</v>
          </cell>
          <cell r="H2">
            <v>72</v>
          </cell>
          <cell r="I2">
            <v>0</v>
          </cell>
          <cell r="J2">
            <v>0</v>
          </cell>
          <cell r="K2">
            <v>0</v>
          </cell>
          <cell r="M2">
            <v>0</v>
          </cell>
          <cell r="N2">
            <v>0</v>
          </cell>
          <cell r="P2">
            <v>0</v>
          </cell>
          <cell r="Q2">
            <v>0</v>
          </cell>
          <cell r="R2">
            <v>0</v>
          </cell>
        </row>
        <row r="3">
          <cell r="A3">
            <v>43887</v>
          </cell>
          <cell r="D3">
            <v>0</v>
          </cell>
          <cell r="E3">
            <v>1</v>
          </cell>
          <cell r="F3">
            <v>2</v>
          </cell>
          <cell r="G3">
            <v>2</v>
          </cell>
          <cell r="H3">
            <v>177</v>
          </cell>
          <cell r="I3">
            <v>0</v>
          </cell>
          <cell r="J3">
            <v>0</v>
          </cell>
          <cell r="K3">
            <v>0</v>
          </cell>
          <cell r="M3">
            <v>0</v>
          </cell>
          <cell r="N3">
            <v>0</v>
          </cell>
          <cell r="P3">
            <v>0</v>
          </cell>
          <cell r="Q3">
            <v>0</v>
          </cell>
          <cell r="R3">
            <v>0</v>
          </cell>
        </row>
        <row r="4">
          <cell r="A4">
            <v>43888</v>
          </cell>
          <cell r="D4">
            <v>0</v>
          </cell>
          <cell r="E4">
            <v>2</v>
          </cell>
          <cell r="F4">
            <v>6</v>
          </cell>
          <cell r="G4">
            <v>6</v>
          </cell>
          <cell r="H4">
            <v>328</v>
          </cell>
          <cell r="I4">
            <v>0</v>
          </cell>
          <cell r="J4">
            <v>0</v>
          </cell>
          <cell r="K4">
            <v>0</v>
          </cell>
          <cell r="M4">
            <v>2</v>
          </cell>
          <cell r="N4">
            <v>0</v>
          </cell>
          <cell r="P4">
            <v>0</v>
          </cell>
          <cell r="Q4">
            <v>0</v>
          </cell>
          <cell r="R4">
            <v>0</v>
          </cell>
        </row>
        <row r="5">
          <cell r="A5">
            <v>43889</v>
          </cell>
          <cell r="D5">
            <v>0</v>
          </cell>
          <cell r="E5">
            <v>12</v>
          </cell>
          <cell r="F5">
            <v>13</v>
          </cell>
          <cell r="G5">
            <v>13</v>
          </cell>
          <cell r="H5">
            <v>535</v>
          </cell>
          <cell r="I5">
            <v>0</v>
          </cell>
          <cell r="J5">
            <v>0</v>
          </cell>
          <cell r="K5">
            <v>0</v>
          </cell>
          <cell r="M5">
            <v>6</v>
          </cell>
          <cell r="N5">
            <v>0</v>
          </cell>
          <cell r="P5">
            <v>0</v>
          </cell>
          <cell r="Q5">
            <v>0</v>
          </cell>
          <cell r="R5">
            <v>0</v>
          </cell>
        </row>
        <row r="6">
          <cell r="A6">
            <v>43890</v>
          </cell>
          <cell r="D6">
            <v>0</v>
          </cell>
          <cell r="E6">
            <v>14</v>
          </cell>
          <cell r="F6">
            <v>22</v>
          </cell>
          <cell r="G6">
            <v>22</v>
          </cell>
          <cell r="H6">
            <v>676</v>
          </cell>
          <cell r="I6">
            <v>0</v>
          </cell>
          <cell r="J6">
            <v>0</v>
          </cell>
          <cell r="K6">
            <v>0</v>
          </cell>
          <cell r="M6">
            <v>13</v>
          </cell>
          <cell r="N6">
            <v>0</v>
          </cell>
          <cell r="P6">
            <v>0</v>
          </cell>
          <cell r="Q6">
            <v>0</v>
          </cell>
          <cell r="R6">
            <v>0</v>
          </cell>
        </row>
        <row r="7">
          <cell r="A7">
            <v>43891</v>
          </cell>
          <cell r="D7">
            <v>0</v>
          </cell>
          <cell r="E7">
            <v>15</v>
          </cell>
          <cell r="F7">
            <v>30</v>
          </cell>
          <cell r="G7">
            <v>30</v>
          </cell>
          <cell r="H7">
            <v>813</v>
          </cell>
          <cell r="I7">
            <v>0</v>
          </cell>
          <cell r="J7">
            <v>0</v>
          </cell>
          <cell r="K7">
            <v>0</v>
          </cell>
          <cell r="M7">
            <v>22</v>
          </cell>
          <cell r="N7">
            <v>0</v>
          </cell>
          <cell r="P7">
            <v>0</v>
          </cell>
          <cell r="Q7">
            <v>0</v>
          </cell>
          <cell r="R7">
            <v>0</v>
          </cell>
        </row>
        <row r="8">
          <cell r="A8">
            <v>43892</v>
          </cell>
          <cell r="D8">
            <v>0</v>
          </cell>
          <cell r="E8">
            <v>21</v>
          </cell>
          <cell r="F8">
            <v>42</v>
          </cell>
          <cell r="G8">
            <v>42</v>
          </cell>
          <cell r="H8">
            <v>1136</v>
          </cell>
          <cell r="I8">
            <v>0</v>
          </cell>
          <cell r="J8">
            <v>0</v>
          </cell>
          <cell r="K8">
            <v>0</v>
          </cell>
          <cell r="M8">
            <v>30</v>
          </cell>
          <cell r="N8">
            <v>0</v>
          </cell>
          <cell r="P8">
            <v>0</v>
          </cell>
          <cell r="Q8">
            <v>1.1383509999999999</v>
          </cell>
          <cell r="R8">
            <v>0</v>
          </cell>
        </row>
        <row r="9">
          <cell r="A9">
            <v>43893</v>
          </cell>
          <cell r="D9">
            <v>0</v>
          </cell>
          <cell r="E9">
            <v>26</v>
          </cell>
          <cell r="F9">
            <v>61</v>
          </cell>
          <cell r="G9">
            <v>61</v>
          </cell>
          <cell r="H9">
            <v>1257</v>
          </cell>
          <cell r="I9">
            <v>0</v>
          </cell>
          <cell r="J9">
            <v>0</v>
          </cell>
          <cell r="K9">
            <v>0</v>
          </cell>
          <cell r="M9">
            <v>42</v>
          </cell>
          <cell r="N9">
            <v>0</v>
          </cell>
          <cell r="P9">
            <v>0</v>
          </cell>
          <cell r="Q9">
            <v>1.4944219999999999</v>
          </cell>
          <cell r="R9">
            <v>0</v>
          </cell>
        </row>
        <row r="10">
          <cell r="A10">
            <v>43894</v>
          </cell>
          <cell r="D10">
            <v>1</v>
          </cell>
          <cell r="E10">
            <v>34</v>
          </cell>
          <cell r="F10">
            <v>85</v>
          </cell>
          <cell r="G10">
            <v>85</v>
          </cell>
          <cell r="H10">
            <v>1368</v>
          </cell>
          <cell r="I10">
            <v>0</v>
          </cell>
          <cell r="J10">
            <v>0</v>
          </cell>
          <cell r="K10">
            <v>0</v>
          </cell>
          <cell r="M10">
            <v>61</v>
          </cell>
          <cell r="N10">
            <v>0</v>
          </cell>
          <cell r="P10">
            <v>0</v>
          </cell>
          <cell r="Q10">
            <v>1.8457330000000001</v>
          </cell>
          <cell r="R10">
            <v>0</v>
          </cell>
        </row>
        <row r="11">
          <cell r="A11">
            <v>43895</v>
          </cell>
          <cell r="D11">
            <v>1</v>
          </cell>
          <cell r="E11">
            <v>38</v>
          </cell>
          <cell r="F11">
            <v>127</v>
          </cell>
          <cell r="G11">
            <v>127</v>
          </cell>
          <cell r="H11">
            <v>1434</v>
          </cell>
          <cell r="I11">
            <v>0</v>
          </cell>
          <cell r="J11">
            <v>0</v>
          </cell>
          <cell r="K11">
            <v>0</v>
          </cell>
          <cell r="M11">
            <v>85</v>
          </cell>
          <cell r="N11">
            <v>0</v>
          </cell>
          <cell r="P11">
            <v>0</v>
          </cell>
          <cell r="Q11">
            <v>1.9768680000000001</v>
          </cell>
          <cell r="R11">
            <v>0</v>
          </cell>
        </row>
        <row r="12">
          <cell r="A12">
            <v>43896</v>
          </cell>
          <cell r="D12">
            <v>4</v>
          </cell>
          <cell r="E12">
            <v>46</v>
          </cell>
          <cell r="F12">
            <v>195</v>
          </cell>
          <cell r="G12">
            <v>195</v>
          </cell>
          <cell r="H12">
            <v>1536</v>
          </cell>
          <cell r="I12">
            <v>1</v>
          </cell>
          <cell r="J12">
            <v>1</v>
          </cell>
          <cell r="K12">
            <v>0</v>
          </cell>
          <cell r="M12">
            <v>127</v>
          </cell>
          <cell r="N12">
            <v>0</v>
          </cell>
          <cell r="P12">
            <v>0</v>
          </cell>
          <cell r="Q12">
            <v>1.85155</v>
          </cell>
          <cell r="R12">
            <v>0</v>
          </cell>
        </row>
        <row r="13">
          <cell r="A13">
            <v>43897</v>
          </cell>
          <cell r="D13">
            <v>6</v>
          </cell>
          <cell r="E13">
            <v>47</v>
          </cell>
          <cell r="F13">
            <v>253</v>
          </cell>
          <cell r="G13">
            <v>253</v>
          </cell>
          <cell r="H13">
            <v>1611</v>
          </cell>
          <cell r="I13">
            <v>1</v>
          </cell>
          <cell r="J13">
            <v>1</v>
          </cell>
          <cell r="K13">
            <v>0</v>
          </cell>
          <cell r="M13">
            <v>195</v>
          </cell>
          <cell r="N13">
            <v>0</v>
          </cell>
          <cell r="P13">
            <v>1</v>
          </cell>
          <cell r="Q13">
            <v>1.9299980000000001</v>
          </cell>
          <cell r="R13">
            <v>0</v>
          </cell>
        </row>
        <row r="14">
          <cell r="A14">
            <v>43898</v>
          </cell>
          <cell r="D14">
            <v>6</v>
          </cell>
          <cell r="E14">
            <v>60</v>
          </cell>
          <cell r="F14">
            <v>305</v>
          </cell>
          <cell r="G14">
            <v>305</v>
          </cell>
          <cell r="H14">
            <v>1678</v>
          </cell>
          <cell r="I14">
            <v>1</v>
          </cell>
          <cell r="J14">
            <v>2</v>
          </cell>
          <cell r="K14">
            <v>0</v>
          </cell>
          <cell r="M14">
            <v>253</v>
          </cell>
          <cell r="N14">
            <v>0</v>
          </cell>
          <cell r="P14">
            <v>1</v>
          </cell>
          <cell r="Q14">
            <v>2.1533829999999998</v>
          </cell>
          <cell r="R14">
            <v>0</v>
          </cell>
        </row>
        <row r="15">
          <cell r="A15">
            <v>43899</v>
          </cell>
          <cell r="D15">
            <v>13</v>
          </cell>
          <cell r="E15">
            <v>73</v>
          </cell>
          <cell r="F15">
            <v>392</v>
          </cell>
          <cell r="G15">
            <v>392</v>
          </cell>
          <cell r="H15">
            <v>1786</v>
          </cell>
          <cell r="I15">
            <v>3</v>
          </cell>
          <cell r="J15">
            <v>2</v>
          </cell>
          <cell r="K15">
            <v>0</v>
          </cell>
          <cell r="M15">
            <v>305</v>
          </cell>
          <cell r="N15">
            <v>0</v>
          </cell>
          <cell r="P15">
            <v>2</v>
          </cell>
          <cell r="Q15">
            <v>2.2672460000000001</v>
          </cell>
          <cell r="R15">
            <v>0</v>
          </cell>
        </row>
        <row r="16">
          <cell r="A16">
            <v>43900</v>
          </cell>
          <cell r="D16">
            <v>14</v>
          </cell>
          <cell r="E16">
            <v>101</v>
          </cell>
          <cell r="F16">
            <v>543</v>
          </cell>
          <cell r="G16">
            <v>543</v>
          </cell>
          <cell r="H16">
            <v>1992</v>
          </cell>
          <cell r="I16">
            <v>7</v>
          </cell>
          <cell r="J16">
            <v>4</v>
          </cell>
          <cell r="K16">
            <v>0</v>
          </cell>
          <cell r="M16">
            <v>392</v>
          </cell>
          <cell r="N16">
            <v>0</v>
          </cell>
          <cell r="P16">
            <v>2</v>
          </cell>
          <cell r="Q16">
            <v>2.3853550000000001</v>
          </cell>
          <cell r="R16">
            <v>0</v>
          </cell>
        </row>
        <row r="17">
          <cell r="A17">
            <v>43901</v>
          </cell>
          <cell r="D17">
            <v>17</v>
          </cell>
          <cell r="E17">
            <v>122</v>
          </cell>
          <cell r="F17">
            <v>752</v>
          </cell>
          <cell r="G17">
            <v>752</v>
          </cell>
          <cell r="H17">
            <v>2245</v>
          </cell>
          <cell r="I17">
            <v>12</v>
          </cell>
          <cell r="J17">
            <v>5</v>
          </cell>
          <cell r="K17">
            <v>0</v>
          </cell>
          <cell r="M17">
            <v>543</v>
          </cell>
          <cell r="N17">
            <v>0</v>
          </cell>
          <cell r="P17">
            <v>4</v>
          </cell>
          <cell r="Q17">
            <v>2.5677120000000002</v>
          </cell>
          <cell r="R17">
            <v>2.1533829999999998</v>
          </cell>
        </row>
        <row r="18">
          <cell r="A18">
            <v>43902</v>
          </cell>
          <cell r="D18">
            <v>18</v>
          </cell>
          <cell r="E18">
            <v>146</v>
          </cell>
          <cell r="F18">
            <v>1049</v>
          </cell>
          <cell r="G18">
            <v>1049</v>
          </cell>
          <cell r="H18">
            <v>2605</v>
          </cell>
          <cell r="I18">
            <v>13</v>
          </cell>
          <cell r="J18">
            <v>9</v>
          </cell>
          <cell r="K18">
            <v>0</v>
          </cell>
          <cell r="M18">
            <v>752</v>
          </cell>
          <cell r="N18">
            <v>0</v>
          </cell>
          <cell r="P18">
            <v>5</v>
          </cell>
          <cell r="Q18">
            <v>2.4368780000000001</v>
          </cell>
          <cell r="R18">
            <v>1.5773239999999999</v>
          </cell>
        </row>
        <row r="19">
          <cell r="A19">
            <v>43903</v>
          </cell>
          <cell r="D19">
            <v>20</v>
          </cell>
          <cell r="E19">
            <v>173</v>
          </cell>
          <cell r="F19">
            <v>1376</v>
          </cell>
          <cell r="G19">
            <v>1376</v>
          </cell>
          <cell r="H19">
            <v>3055</v>
          </cell>
          <cell r="I19">
            <v>13</v>
          </cell>
          <cell r="J19">
            <v>10</v>
          </cell>
          <cell r="K19">
            <v>0</v>
          </cell>
          <cell r="M19">
            <v>1049</v>
          </cell>
          <cell r="N19">
            <v>0</v>
          </cell>
          <cell r="P19">
            <v>9</v>
          </cell>
          <cell r="Q19">
            <v>2.300332</v>
          </cell>
          <cell r="R19">
            <v>2.1533829999999998</v>
          </cell>
        </row>
        <row r="20">
          <cell r="A20">
            <v>43904</v>
          </cell>
          <cell r="D20">
            <v>36</v>
          </cell>
          <cell r="E20">
            <v>275</v>
          </cell>
          <cell r="F20">
            <v>1771</v>
          </cell>
          <cell r="G20">
            <v>1771</v>
          </cell>
          <cell r="H20">
            <v>3689</v>
          </cell>
          <cell r="I20">
            <v>74</v>
          </cell>
          <cell r="J20">
            <v>13</v>
          </cell>
          <cell r="K20">
            <v>0</v>
          </cell>
          <cell r="M20">
            <v>1376</v>
          </cell>
          <cell r="N20">
            <v>0</v>
          </cell>
          <cell r="P20">
            <v>10</v>
          </cell>
          <cell r="Q20">
            <v>2.2981760000000002</v>
          </cell>
          <cell r="R20">
            <v>1.85155</v>
          </cell>
        </row>
        <row r="21">
          <cell r="A21">
            <v>43905</v>
          </cell>
          <cell r="D21">
            <v>43</v>
          </cell>
          <cell r="E21">
            <v>314</v>
          </cell>
          <cell r="F21">
            <v>2059</v>
          </cell>
          <cell r="G21">
            <v>2059</v>
          </cell>
          <cell r="H21">
            <v>4092</v>
          </cell>
          <cell r="I21">
            <v>77</v>
          </cell>
          <cell r="J21">
            <v>21</v>
          </cell>
          <cell r="K21">
            <v>0</v>
          </cell>
          <cell r="M21">
            <v>1771</v>
          </cell>
          <cell r="N21">
            <v>0</v>
          </cell>
          <cell r="P21">
            <v>13</v>
          </cell>
          <cell r="Q21">
            <v>2.6002130000000001</v>
          </cell>
          <cell r="R21">
            <v>2.0900240000000001</v>
          </cell>
        </row>
        <row r="22">
          <cell r="A22">
            <v>43906</v>
          </cell>
          <cell r="D22">
            <v>56</v>
          </cell>
          <cell r="E22">
            <v>407</v>
          </cell>
          <cell r="F22">
            <v>2824</v>
          </cell>
          <cell r="G22">
            <v>2824</v>
          </cell>
          <cell r="H22">
            <v>4790</v>
          </cell>
          <cell r="I22">
            <v>78</v>
          </cell>
          <cell r="J22">
            <v>30</v>
          </cell>
          <cell r="K22">
            <v>0</v>
          </cell>
          <cell r="M22">
            <v>2059</v>
          </cell>
          <cell r="N22">
            <v>0</v>
          </cell>
          <cell r="P22">
            <v>21</v>
          </cell>
          <cell r="Q22">
            <v>2.6192609999999998</v>
          </cell>
          <cell r="R22">
            <v>1.934264</v>
          </cell>
        </row>
        <row r="23">
          <cell r="A23">
            <v>43907</v>
          </cell>
          <cell r="D23">
            <v>75</v>
          </cell>
          <cell r="E23">
            <v>499</v>
          </cell>
          <cell r="F23">
            <v>3670</v>
          </cell>
          <cell r="G23">
            <v>3670</v>
          </cell>
          <cell r="H23">
            <v>5429</v>
          </cell>
          <cell r="I23">
            <v>109</v>
          </cell>
          <cell r="J23">
            <v>37</v>
          </cell>
          <cell r="K23">
            <v>0</v>
          </cell>
          <cell r="M23">
            <v>2824</v>
          </cell>
          <cell r="N23">
            <v>0</v>
          </cell>
          <cell r="P23">
            <v>30</v>
          </cell>
          <cell r="Q23">
            <v>2.7673760000000001</v>
          </cell>
          <cell r="R23">
            <v>2.4515470000000001</v>
          </cell>
        </row>
        <row r="24">
          <cell r="A24">
            <v>43908</v>
          </cell>
          <cell r="D24">
            <v>84</v>
          </cell>
          <cell r="E24">
            <v>588</v>
          </cell>
          <cell r="F24">
            <v>4795</v>
          </cell>
          <cell r="G24">
            <v>4795</v>
          </cell>
          <cell r="H24">
            <v>6289</v>
          </cell>
          <cell r="I24">
            <v>127</v>
          </cell>
          <cell r="J24">
            <v>46</v>
          </cell>
          <cell r="K24">
            <v>0</v>
          </cell>
          <cell r="M24">
            <v>3670</v>
          </cell>
          <cell r="N24">
            <v>0</v>
          </cell>
          <cell r="P24">
            <v>37</v>
          </cell>
          <cell r="Q24">
            <v>2.7761580000000001</v>
          </cell>
          <cell r="R24">
            <v>2.2710409999999999</v>
          </cell>
        </row>
        <row r="25">
          <cell r="A25">
            <v>43909</v>
          </cell>
          <cell r="D25">
            <v>107</v>
          </cell>
          <cell r="E25">
            <v>716</v>
          </cell>
          <cell r="F25">
            <v>5792</v>
          </cell>
          <cell r="G25">
            <v>5792</v>
          </cell>
          <cell r="H25">
            <v>6917</v>
          </cell>
          <cell r="I25">
            <v>138</v>
          </cell>
          <cell r="J25">
            <v>55</v>
          </cell>
          <cell r="K25">
            <v>0</v>
          </cell>
          <cell r="M25">
            <v>4795</v>
          </cell>
          <cell r="N25">
            <v>0</v>
          </cell>
          <cell r="P25">
            <v>46</v>
          </cell>
          <cell r="Q25">
            <v>2.924836</v>
          </cell>
          <cell r="R25">
            <v>2.4027829999999999</v>
          </cell>
        </row>
        <row r="26">
          <cell r="A26">
            <v>43910</v>
          </cell>
          <cell r="D26">
            <v>116</v>
          </cell>
          <cell r="E26">
            <v>819</v>
          </cell>
          <cell r="F26">
            <v>6960</v>
          </cell>
          <cell r="G26">
            <v>6960</v>
          </cell>
          <cell r="H26">
            <v>7348</v>
          </cell>
          <cell r="I26">
            <v>144</v>
          </cell>
          <cell r="J26">
            <v>78</v>
          </cell>
          <cell r="K26">
            <v>0</v>
          </cell>
          <cell r="M26">
            <v>5792</v>
          </cell>
          <cell r="N26">
            <v>0</v>
          </cell>
          <cell r="P26">
            <v>55</v>
          </cell>
          <cell r="Q26">
            <v>2.8455270000000001</v>
          </cell>
          <cell r="R26">
            <v>2.6411920000000002</v>
          </cell>
        </row>
        <row r="27">
          <cell r="A27">
            <v>43911</v>
          </cell>
          <cell r="D27">
            <v>137</v>
          </cell>
          <cell r="E27">
            <v>945</v>
          </cell>
          <cell r="F27">
            <v>7642</v>
          </cell>
          <cell r="G27">
            <v>7642</v>
          </cell>
          <cell r="H27">
            <v>7709</v>
          </cell>
          <cell r="I27">
            <v>159</v>
          </cell>
          <cell r="J27">
            <v>98</v>
          </cell>
          <cell r="K27">
            <v>0</v>
          </cell>
          <cell r="M27">
            <v>6960</v>
          </cell>
          <cell r="N27">
            <v>0</v>
          </cell>
          <cell r="P27">
            <v>78</v>
          </cell>
          <cell r="Q27">
            <v>3.481385</v>
          </cell>
          <cell r="R27">
            <v>2.9277099999999998</v>
          </cell>
        </row>
        <row r="28">
          <cell r="A28">
            <v>43912</v>
          </cell>
          <cell r="D28">
            <v>168</v>
          </cell>
          <cell r="E28">
            <v>1091</v>
          </cell>
          <cell r="F28">
            <v>8218</v>
          </cell>
          <cell r="G28">
            <v>8218</v>
          </cell>
          <cell r="H28">
            <v>7943</v>
          </cell>
          <cell r="I28">
            <v>177</v>
          </cell>
          <cell r="J28">
            <v>113</v>
          </cell>
          <cell r="K28">
            <v>0</v>
          </cell>
          <cell r="M28">
            <v>7642</v>
          </cell>
          <cell r="N28">
            <v>0</v>
          </cell>
          <cell r="P28">
            <v>98</v>
          </cell>
          <cell r="Q28">
            <v>4.2991989999999998</v>
          </cell>
          <cell r="R28">
            <v>3.1041910000000001</v>
          </cell>
        </row>
        <row r="29">
          <cell r="A29">
            <v>43913</v>
          </cell>
          <cell r="D29">
            <v>201</v>
          </cell>
          <cell r="E29">
            <v>1207</v>
          </cell>
          <cell r="F29">
            <v>9730</v>
          </cell>
          <cell r="G29">
            <v>9730</v>
          </cell>
          <cell r="H29">
            <v>8322</v>
          </cell>
          <cell r="I29">
            <v>198</v>
          </cell>
          <cell r="J29">
            <v>143</v>
          </cell>
          <cell r="K29">
            <v>0</v>
          </cell>
          <cell r="M29">
            <v>8218</v>
          </cell>
          <cell r="N29">
            <v>0</v>
          </cell>
          <cell r="P29">
            <v>113</v>
          </cell>
          <cell r="Q29">
            <v>4.8975960000000001</v>
          </cell>
          <cell r="R29">
            <v>3.0556570000000001</v>
          </cell>
        </row>
        <row r="30">
          <cell r="A30">
            <v>43914</v>
          </cell>
          <cell r="D30">
            <v>203</v>
          </cell>
          <cell r="E30">
            <v>1364</v>
          </cell>
          <cell r="F30">
            <v>10817</v>
          </cell>
          <cell r="G30">
            <v>10817</v>
          </cell>
          <cell r="H30">
            <v>8663</v>
          </cell>
          <cell r="I30">
            <v>359</v>
          </cell>
          <cell r="J30">
            <v>165</v>
          </cell>
          <cell r="K30">
            <v>0</v>
          </cell>
          <cell r="M30">
            <v>9730</v>
          </cell>
          <cell r="N30">
            <v>0</v>
          </cell>
          <cell r="P30">
            <v>143</v>
          </cell>
          <cell r="Q30">
            <v>5.548362</v>
          </cell>
          <cell r="R30">
            <v>3.154649</v>
          </cell>
        </row>
        <row r="31">
          <cell r="A31">
            <v>43915</v>
          </cell>
          <cell r="D31">
            <v>238</v>
          </cell>
          <cell r="E31">
            <v>1464</v>
          </cell>
          <cell r="F31">
            <v>11943</v>
          </cell>
          <cell r="G31">
            <v>11943</v>
          </cell>
          <cell r="H31">
            <v>9069</v>
          </cell>
          <cell r="I31">
            <v>418</v>
          </cell>
          <cell r="J31">
            <v>200</v>
          </cell>
          <cell r="K31">
            <v>0</v>
          </cell>
          <cell r="M31">
            <v>10817</v>
          </cell>
          <cell r="N31">
            <v>0</v>
          </cell>
          <cell r="P31">
            <v>165</v>
          </cell>
          <cell r="Q31">
            <v>6.4184349999999997</v>
          </cell>
          <cell r="R31">
            <v>3.6806549999999998</v>
          </cell>
        </row>
        <row r="32">
          <cell r="A32">
            <v>43916</v>
          </cell>
          <cell r="D32">
            <v>267</v>
          </cell>
          <cell r="E32">
            <v>1610</v>
          </cell>
          <cell r="F32">
            <v>13060</v>
          </cell>
          <cell r="G32">
            <v>13060</v>
          </cell>
          <cell r="H32">
            <v>10377</v>
          </cell>
          <cell r="I32">
            <v>503</v>
          </cell>
          <cell r="J32">
            <v>245</v>
          </cell>
          <cell r="K32">
            <v>0</v>
          </cell>
          <cell r="M32">
            <v>11943</v>
          </cell>
          <cell r="N32">
            <v>0</v>
          </cell>
          <cell r="P32">
            <v>200</v>
          </cell>
          <cell r="Q32">
            <v>6.4671950000000002</v>
          </cell>
          <cell r="R32">
            <v>3.7823540000000002</v>
          </cell>
        </row>
        <row r="33">
          <cell r="A33">
            <v>43917</v>
          </cell>
          <cell r="D33">
            <v>291</v>
          </cell>
          <cell r="E33">
            <v>1790</v>
          </cell>
          <cell r="F33">
            <v>14397</v>
          </cell>
          <cell r="G33">
            <v>14397</v>
          </cell>
          <cell r="H33">
            <v>10869</v>
          </cell>
          <cell r="I33">
            <v>588</v>
          </cell>
          <cell r="J33">
            <v>282</v>
          </cell>
          <cell r="K33">
            <v>0</v>
          </cell>
          <cell r="M33">
            <v>13060</v>
          </cell>
          <cell r="N33">
            <v>0</v>
          </cell>
          <cell r="P33">
            <v>245</v>
          </cell>
          <cell r="Q33">
            <v>6.181165</v>
          </cell>
          <cell r="R33">
            <v>3.7896809999999999</v>
          </cell>
        </row>
        <row r="34">
          <cell r="A34">
            <v>43918</v>
          </cell>
          <cell r="D34">
            <v>321</v>
          </cell>
          <cell r="E34">
            <v>1877</v>
          </cell>
          <cell r="F34">
            <v>15230</v>
          </cell>
          <cell r="G34">
            <v>15230</v>
          </cell>
          <cell r="H34">
            <v>11458</v>
          </cell>
          <cell r="I34">
            <v>687</v>
          </cell>
          <cell r="J34">
            <v>334</v>
          </cell>
          <cell r="K34">
            <v>0</v>
          </cell>
          <cell r="M34">
            <v>14397</v>
          </cell>
          <cell r="N34">
            <v>0</v>
          </cell>
          <cell r="P34">
            <v>282</v>
          </cell>
          <cell r="Q34">
            <v>7.7350979999999998</v>
          </cell>
          <cell r="R34">
            <v>4.0855249999999996</v>
          </cell>
        </row>
        <row r="35">
          <cell r="A35">
            <v>43919</v>
          </cell>
          <cell r="D35">
            <v>335</v>
          </cell>
          <cell r="E35">
            <v>1991</v>
          </cell>
          <cell r="F35">
            <v>15829</v>
          </cell>
          <cell r="G35">
            <v>15829</v>
          </cell>
          <cell r="H35">
            <v>11767</v>
          </cell>
          <cell r="I35">
            <v>756</v>
          </cell>
          <cell r="J35">
            <v>378</v>
          </cell>
          <cell r="K35">
            <v>0</v>
          </cell>
          <cell r="M35">
            <v>15230</v>
          </cell>
          <cell r="N35">
            <v>0</v>
          </cell>
          <cell r="P35">
            <v>334</v>
          </cell>
          <cell r="Q35">
            <v>9.1029970000000002</v>
          </cell>
          <cell r="R35">
            <v>4.1808810000000003</v>
          </cell>
        </row>
        <row r="36">
          <cell r="A36">
            <v>43920</v>
          </cell>
          <cell r="D36">
            <v>381</v>
          </cell>
          <cell r="E36">
            <v>2175</v>
          </cell>
          <cell r="F36">
            <v>16947</v>
          </cell>
          <cell r="G36">
            <v>16947</v>
          </cell>
          <cell r="H36">
            <v>12429</v>
          </cell>
          <cell r="I36">
            <v>881</v>
          </cell>
          <cell r="J36">
            <v>439</v>
          </cell>
          <cell r="K36">
            <v>0</v>
          </cell>
          <cell r="M36">
            <v>15829</v>
          </cell>
          <cell r="N36">
            <v>0</v>
          </cell>
          <cell r="P36">
            <v>378</v>
          </cell>
          <cell r="Q36">
            <v>9.9036449999999991</v>
          </cell>
          <cell r="R36">
            <v>4.4083119999999996</v>
          </cell>
        </row>
        <row r="37">
          <cell r="A37">
            <v>43921</v>
          </cell>
          <cell r="D37">
            <v>407</v>
          </cell>
          <cell r="E37">
            <v>2203</v>
          </cell>
          <cell r="F37">
            <v>17868</v>
          </cell>
          <cell r="G37">
            <v>17868</v>
          </cell>
          <cell r="H37">
            <v>13187</v>
          </cell>
          <cell r="I37">
            <v>1083</v>
          </cell>
          <cell r="J37">
            <v>504</v>
          </cell>
          <cell r="K37">
            <v>0</v>
          </cell>
          <cell r="M37">
            <v>16947</v>
          </cell>
          <cell r="N37">
            <v>0</v>
          </cell>
          <cell r="P37">
            <v>439</v>
          </cell>
          <cell r="Q37">
            <v>11.056486</v>
          </cell>
          <cell r="R37">
            <v>4.8047259999999996</v>
          </cell>
        </row>
        <row r="38">
          <cell r="A38">
            <v>43922</v>
          </cell>
          <cell r="D38">
            <v>437</v>
          </cell>
          <cell r="E38">
            <v>2282</v>
          </cell>
          <cell r="F38">
            <v>18939</v>
          </cell>
          <cell r="G38">
            <v>18939</v>
          </cell>
          <cell r="H38">
            <v>13856</v>
          </cell>
          <cell r="I38">
            <v>1254</v>
          </cell>
          <cell r="J38">
            <v>567</v>
          </cell>
          <cell r="K38">
            <v>0</v>
          </cell>
          <cell r="M38">
            <v>17868</v>
          </cell>
          <cell r="N38">
            <v>0</v>
          </cell>
          <cell r="P38">
            <v>504</v>
          </cell>
          <cell r="Q38">
            <v>12.639286999999999</v>
          </cell>
          <cell r="R38">
            <v>4.9620230000000003</v>
          </cell>
        </row>
        <row r="39">
          <cell r="A39">
            <v>43923</v>
          </cell>
          <cell r="D39">
            <v>442</v>
          </cell>
          <cell r="E39">
            <v>2346</v>
          </cell>
          <cell r="F39">
            <v>20008</v>
          </cell>
          <cell r="G39">
            <v>20008</v>
          </cell>
          <cell r="H39">
            <v>14924</v>
          </cell>
          <cell r="I39">
            <v>1465</v>
          </cell>
          <cell r="J39">
            <v>628</v>
          </cell>
          <cell r="K39">
            <v>0</v>
          </cell>
          <cell r="M39">
            <v>18939</v>
          </cell>
          <cell r="N39">
            <v>0</v>
          </cell>
          <cell r="P39">
            <v>567</v>
          </cell>
          <cell r="Q39">
            <v>12.701283</v>
          </cell>
          <cell r="R39">
            <v>5.4889780000000004</v>
          </cell>
        </row>
        <row r="40">
          <cell r="A40">
            <v>43924</v>
          </cell>
          <cell r="D40">
            <v>452</v>
          </cell>
          <cell r="E40">
            <v>2328</v>
          </cell>
          <cell r="F40">
            <v>20975</v>
          </cell>
          <cell r="G40">
            <v>20975</v>
          </cell>
          <cell r="H40">
            <v>15767</v>
          </cell>
          <cell r="I40">
            <v>1571</v>
          </cell>
          <cell r="J40">
            <v>689</v>
          </cell>
          <cell r="K40">
            <v>0</v>
          </cell>
          <cell r="M40">
            <v>20008</v>
          </cell>
          <cell r="N40">
            <v>0</v>
          </cell>
          <cell r="P40">
            <v>628</v>
          </cell>
          <cell r="Q40">
            <v>12.312217</v>
          </cell>
          <cell r="R40">
            <v>5.7728869999999999</v>
          </cell>
        </row>
        <row r="41">
          <cell r="A41">
            <v>43925</v>
          </cell>
          <cell r="D41">
            <v>454</v>
          </cell>
          <cell r="E41">
            <v>2316</v>
          </cell>
          <cell r="F41">
            <v>21546</v>
          </cell>
          <cell r="G41">
            <v>21546</v>
          </cell>
          <cell r="H41">
            <v>16339</v>
          </cell>
          <cell r="I41">
            <v>1726</v>
          </cell>
          <cell r="J41">
            <v>756</v>
          </cell>
          <cell r="K41">
            <v>0</v>
          </cell>
          <cell r="M41">
            <v>20975</v>
          </cell>
          <cell r="N41">
            <v>0</v>
          </cell>
          <cell r="P41">
            <v>689</v>
          </cell>
          <cell r="Q41">
            <v>14.43459</v>
          </cell>
          <cell r="R41">
            <v>6.376207</v>
          </cell>
        </row>
        <row r="42">
          <cell r="A42">
            <v>43926</v>
          </cell>
          <cell r="D42">
            <v>444</v>
          </cell>
          <cell r="E42">
            <v>2301</v>
          </cell>
          <cell r="F42">
            <v>21928</v>
          </cell>
          <cell r="G42">
            <v>21928</v>
          </cell>
          <cell r="H42">
            <v>16633</v>
          </cell>
          <cell r="I42">
            <v>1886</v>
          </cell>
          <cell r="J42">
            <v>808</v>
          </cell>
          <cell r="K42">
            <v>0</v>
          </cell>
          <cell r="M42">
            <v>21546</v>
          </cell>
          <cell r="N42">
            <v>0</v>
          </cell>
          <cell r="P42">
            <v>756</v>
          </cell>
          <cell r="Q42">
            <v>16.926427</v>
          </cell>
          <cell r="R42">
            <v>7.3428820000000004</v>
          </cell>
        </row>
        <row r="43">
          <cell r="A43">
            <v>43927</v>
          </cell>
          <cell r="D43">
            <v>443</v>
          </cell>
          <cell r="E43">
            <v>2306</v>
          </cell>
          <cell r="F43">
            <v>22670</v>
          </cell>
          <cell r="G43">
            <v>22670</v>
          </cell>
          <cell r="H43">
            <v>17254</v>
          </cell>
          <cell r="I43">
            <v>2009</v>
          </cell>
          <cell r="J43">
            <v>867</v>
          </cell>
          <cell r="K43">
            <v>0</v>
          </cell>
          <cell r="M43">
            <v>21928</v>
          </cell>
          <cell r="N43">
            <v>0</v>
          </cell>
          <cell r="P43">
            <v>808</v>
          </cell>
          <cell r="Q43">
            <v>19.27345</v>
          </cell>
          <cell r="R43">
            <v>8.1608239999999999</v>
          </cell>
        </row>
        <row r="44">
          <cell r="A44">
            <v>43928</v>
          </cell>
          <cell r="D44">
            <v>437</v>
          </cell>
          <cell r="E44">
            <v>2224</v>
          </cell>
          <cell r="F44">
            <v>23322</v>
          </cell>
          <cell r="G44">
            <v>23322</v>
          </cell>
          <cell r="H44">
            <v>18100</v>
          </cell>
          <cell r="I44">
            <v>2370</v>
          </cell>
          <cell r="J44">
            <v>927</v>
          </cell>
          <cell r="K44">
            <v>0</v>
          </cell>
          <cell r="M44">
            <v>22670</v>
          </cell>
          <cell r="N44">
            <v>0</v>
          </cell>
          <cell r="P44">
            <v>867</v>
          </cell>
          <cell r="Q44">
            <v>22.612714</v>
          </cell>
          <cell r="R44">
            <v>8.8998889999999999</v>
          </cell>
        </row>
        <row r="45">
          <cell r="A45">
            <v>43929</v>
          </cell>
          <cell r="D45">
            <v>434</v>
          </cell>
          <cell r="E45">
            <v>2134</v>
          </cell>
          <cell r="F45">
            <v>23991</v>
          </cell>
          <cell r="G45">
            <v>23991</v>
          </cell>
          <cell r="H45">
            <v>18871</v>
          </cell>
          <cell r="I45">
            <v>2587</v>
          </cell>
          <cell r="J45">
            <v>995</v>
          </cell>
          <cell r="K45">
            <v>0</v>
          </cell>
          <cell r="M45">
            <v>23322</v>
          </cell>
          <cell r="N45">
            <v>0</v>
          </cell>
          <cell r="P45">
            <v>927</v>
          </cell>
          <cell r="Q45">
            <v>25.796800999999999</v>
          </cell>
          <cell r="R45">
            <v>9.430536</v>
          </cell>
        </row>
        <row r="46">
          <cell r="A46">
            <v>43930</v>
          </cell>
          <cell r="D46">
            <v>427</v>
          </cell>
          <cell r="E46">
            <v>2066</v>
          </cell>
          <cell r="F46">
            <v>24660</v>
          </cell>
          <cell r="G46">
            <v>24660</v>
          </cell>
          <cell r="H46">
            <v>19455</v>
          </cell>
          <cell r="I46">
            <v>2737</v>
          </cell>
          <cell r="J46">
            <v>1046</v>
          </cell>
          <cell r="K46">
            <v>0</v>
          </cell>
          <cell r="M46">
            <v>23991</v>
          </cell>
          <cell r="N46">
            <v>0</v>
          </cell>
          <cell r="P46">
            <v>995</v>
          </cell>
          <cell r="Q46">
            <v>25.673580000000001</v>
          </cell>
          <cell r="R46">
            <v>10.674073999999999</v>
          </cell>
        </row>
        <row r="47">
          <cell r="A47">
            <v>43931</v>
          </cell>
          <cell r="D47">
            <v>415</v>
          </cell>
          <cell r="E47">
            <v>2006</v>
          </cell>
          <cell r="F47">
            <v>25109</v>
          </cell>
          <cell r="G47">
            <v>25109</v>
          </cell>
          <cell r="H47">
            <v>19865</v>
          </cell>
          <cell r="I47">
            <v>2821</v>
          </cell>
          <cell r="J47">
            <v>1096</v>
          </cell>
          <cell r="K47">
            <v>0</v>
          </cell>
          <cell r="M47">
            <v>24660</v>
          </cell>
          <cell r="N47">
            <v>0</v>
          </cell>
          <cell r="P47">
            <v>1046</v>
          </cell>
          <cell r="Q47">
            <v>25.584564</v>
          </cell>
          <cell r="R47">
            <v>11.368271999999999</v>
          </cell>
        </row>
        <row r="48">
          <cell r="A48">
            <v>43932</v>
          </cell>
          <cell r="D48">
            <v>415</v>
          </cell>
          <cell r="E48">
            <v>1931</v>
          </cell>
          <cell r="F48">
            <v>25572</v>
          </cell>
          <cell r="G48">
            <v>25572</v>
          </cell>
          <cell r="H48">
            <v>20210</v>
          </cell>
          <cell r="I48">
            <v>2987</v>
          </cell>
          <cell r="J48">
            <v>1134</v>
          </cell>
          <cell r="K48">
            <v>0</v>
          </cell>
          <cell r="M48">
            <v>25109</v>
          </cell>
          <cell r="N48">
            <v>0</v>
          </cell>
          <cell r="P48">
            <v>1096</v>
          </cell>
          <cell r="Q48">
            <v>28.771909999999998</v>
          </cell>
          <cell r="R48">
            <v>12.909331</v>
          </cell>
        </row>
        <row r="49">
          <cell r="A49">
            <v>43933</v>
          </cell>
          <cell r="D49">
            <v>404</v>
          </cell>
          <cell r="E49">
            <v>1908</v>
          </cell>
          <cell r="F49">
            <v>25845</v>
          </cell>
          <cell r="G49">
            <v>25845</v>
          </cell>
          <cell r="H49">
            <v>20384</v>
          </cell>
          <cell r="I49">
            <v>3089</v>
          </cell>
          <cell r="J49">
            <v>1190</v>
          </cell>
          <cell r="K49">
            <v>0</v>
          </cell>
          <cell r="M49">
            <v>25572</v>
          </cell>
          <cell r="N49">
            <v>0</v>
          </cell>
          <cell r="P49">
            <v>1134</v>
          </cell>
          <cell r="Q49">
            <v>33.739628000000003</v>
          </cell>
          <cell r="R49">
            <v>13.876541</v>
          </cell>
        </row>
        <row r="50">
          <cell r="A50">
            <v>43934</v>
          </cell>
          <cell r="D50">
            <v>400</v>
          </cell>
          <cell r="E50">
            <v>1891</v>
          </cell>
          <cell r="F50">
            <v>26095</v>
          </cell>
          <cell r="G50">
            <v>26095</v>
          </cell>
          <cell r="H50">
            <v>20679</v>
          </cell>
          <cell r="I50">
            <v>3169</v>
          </cell>
          <cell r="J50">
            <v>1220</v>
          </cell>
          <cell r="K50">
            <v>0</v>
          </cell>
          <cell r="M50">
            <v>25845</v>
          </cell>
          <cell r="N50">
            <v>0</v>
          </cell>
          <cell r="P50">
            <v>1190</v>
          </cell>
          <cell r="Q50">
            <v>41.226875999999997</v>
          </cell>
          <cell r="R50">
            <v>17.000285000000002</v>
          </cell>
        </row>
        <row r="51">
          <cell r="A51">
            <v>43935</v>
          </cell>
          <cell r="D51">
            <v>387</v>
          </cell>
          <cell r="E51">
            <v>1851</v>
          </cell>
          <cell r="F51">
            <v>26418</v>
          </cell>
          <cell r="G51">
            <v>26418</v>
          </cell>
          <cell r="H51">
            <v>21231</v>
          </cell>
          <cell r="I51">
            <v>3331</v>
          </cell>
          <cell r="J51">
            <v>1258</v>
          </cell>
          <cell r="K51">
            <v>0</v>
          </cell>
          <cell r="M51">
            <v>26095</v>
          </cell>
          <cell r="N51">
            <v>0</v>
          </cell>
          <cell r="P51">
            <v>1220</v>
          </cell>
          <cell r="Q51">
            <v>50.327911</v>
          </cell>
          <cell r="R51">
            <v>18.779408</v>
          </cell>
        </row>
        <row r="52">
          <cell r="A52">
            <v>43936</v>
          </cell>
          <cell r="D52">
            <v>364</v>
          </cell>
          <cell r="E52">
            <v>1727</v>
          </cell>
          <cell r="F52">
            <v>26740</v>
          </cell>
          <cell r="G52">
            <v>26740</v>
          </cell>
          <cell r="H52">
            <v>21677</v>
          </cell>
          <cell r="I52">
            <v>3495</v>
          </cell>
          <cell r="J52">
            <v>1311</v>
          </cell>
          <cell r="K52">
            <v>0</v>
          </cell>
          <cell r="M52">
            <v>26418</v>
          </cell>
          <cell r="N52">
            <v>0</v>
          </cell>
          <cell r="P52">
            <v>1258</v>
          </cell>
          <cell r="Q52">
            <v>55.069177000000003</v>
          </cell>
          <cell r="R52">
            <v>19.348355999999999</v>
          </cell>
        </row>
        <row r="53">
          <cell r="A53">
            <v>43937</v>
          </cell>
          <cell r="D53">
            <v>344</v>
          </cell>
          <cell r="E53">
            <v>1670</v>
          </cell>
          <cell r="F53">
            <v>27040</v>
          </cell>
          <cell r="G53">
            <v>27040</v>
          </cell>
          <cell r="H53">
            <v>22322</v>
          </cell>
          <cell r="I53">
            <v>3655</v>
          </cell>
          <cell r="J53">
            <v>1356</v>
          </cell>
          <cell r="K53">
            <v>0</v>
          </cell>
          <cell r="M53">
            <v>26740</v>
          </cell>
          <cell r="N53">
            <v>0</v>
          </cell>
          <cell r="P53">
            <v>1311</v>
          </cell>
          <cell r="Q53">
            <v>62.088545000000003</v>
          </cell>
          <cell r="R53">
            <v>19.384613000000002</v>
          </cell>
        </row>
        <row r="54">
          <cell r="A54">
            <v>43938</v>
          </cell>
          <cell r="D54">
            <v>332</v>
          </cell>
          <cell r="E54">
            <v>1571</v>
          </cell>
          <cell r="F54">
            <v>27364</v>
          </cell>
          <cell r="G54">
            <v>27364</v>
          </cell>
          <cell r="H54">
            <v>22739</v>
          </cell>
          <cell r="I54">
            <v>3763</v>
          </cell>
          <cell r="J54">
            <v>1402</v>
          </cell>
          <cell r="K54">
            <v>0</v>
          </cell>
          <cell r="M54">
            <v>27040</v>
          </cell>
          <cell r="N54">
            <v>0</v>
          </cell>
          <cell r="P54">
            <v>1356</v>
          </cell>
          <cell r="Q54">
            <v>60.684080000000002</v>
          </cell>
          <cell r="R54">
            <v>21.139434000000001</v>
          </cell>
        </row>
        <row r="55">
          <cell r="A55">
            <v>43939</v>
          </cell>
          <cell r="D55">
            <v>318</v>
          </cell>
          <cell r="E55">
            <v>1520</v>
          </cell>
          <cell r="F55">
            <v>27649</v>
          </cell>
          <cell r="G55">
            <v>27649</v>
          </cell>
          <cell r="H55">
            <v>23155</v>
          </cell>
          <cell r="I55">
            <v>3878</v>
          </cell>
          <cell r="J55">
            <v>1444</v>
          </cell>
          <cell r="K55">
            <v>0</v>
          </cell>
          <cell r="M55">
            <v>27364</v>
          </cell>
          <cell r="N55">
            <v>0</v>
          </cell>
          <cell r="P55">
            <v>1402</v>
          </cell>
          <cell r="Q55">
            <v>59.913316999999999</v>
          </cell>
          <cell r="R55">
            <v>20.560089999999999</v>
          </cell>
        </row>
        <row r="56">
          <cell r="A56">
            <v>43940</v>
          </cell>
          <cell r="D56">
            <v>309</v>
          </cell>
          <cell r="E56">
            <v>1512</v>
          </cell>
          <cell r="F56">
            <v>27826</v>
          </cell>
          <cell r="G56">
            <v>27826</v>
          </cell>
          <cell r="H56">
            <v>23314</v>
          </cell>
          <cell r="I56">
            <v>3948</v>
          </cell>
          <cell r="J56">
            <v>1468</v>
          </cell>
          <cell r="K56">
            <v>0</v>
          </cell>
          <cell r="M56">
            <v>27649</v>
          </cell>
          <cell r="N56">
            <v>0</v>
          </cell>
          <cell r="P56">
            <v>1444</v>
          </cell>
          <cell r="Q56">
            <v>66.744726</v>
          </cell>
          <cell r="R56">
            <v>22.449708000000001</v>
          </cell>
        </row>
        <row r="57">
          <cell r="A57">
            <v>43941</v>
          </cell>
          <cell r="D57">
            <v>295</v>
          </cell>
          <cell r="E57">
            <v>1489</v>
          </cell>
          <cell r="F57">
            <v>28027</v>
          </cell>
          <cell r="G57">
            <v>28027</v>
          </cell>
          <cell r="H57">
            <v>23691</v>
          </cell>
          <cell r="I57">
            <v>4084</v>
          </cell>
          <cell r="J57">
            <v>1510</v>
          </cell>
          <cell r="K57">
            <v>0</v>
          </cell>
          <cell r="M57">
            <v>27826</v>
          </cell>
          <cell r="N57">
            <v>0</v>
          </cell>
          <cell r="P57">
            <v>1468</v>
          </cell>
          <cell r="Q57">
            <v>73.726889999999997</v>
          </cell>
          <cell r="R57">
            <v>24.524125999999999</v>
          </cell>
        </row>
        <row r="58">
          <cell r="A58">
            <v>43942</v>
          </cell>
          <cell r="D58">
            <v>281</v>
          </cell>
          <cell r="E58">
            <v>1411</v>
          </cell>
          <cell r="F58">
            <v>28190</v>
          </cell>
          <cell r="G58">
            <v>28190</v>
          </cell>
          <cell r="H58">
            <v>24174</v>
          </cell>
          <cell r="I58">
            <v>4206</v>
          </cell>
          <cell r="J58">
            <v>1551</v>
          </cell>
          <cell r="K58">
            <v>0</v>
          </cell>
          <cell r="M58">
            <v>28027</v>
          </cell>
          <cell r="N58">
            <v>0</v>
          </cell>
          <cell r="P58">
            <v>1510</v>
          </cell>
          <cell r="Q58">
            <v>83.210837999999995</v>
          </cell>
          <cell r="R58">
            <v>25.794269</v>
          </cell>
        </row>
        <row r="59">
          <cell r="A59">
            <v>43943</v>
          </cell>
          <cell r="D59">
            <v>250</v>
          </cell>
          <cell r="E59">
            <v>1347</v>
          </cell>
          <cell r="F59">
            <v>28391</v>
          </cell>
          <cell r="G59">
            <v>28391</v>
          </cell>
          <cell r="H59">
            <v>24537</v>
          </cell>
          <cell r="I59">
            <v>4313</v>
          </cell>
          <cell r="J59">
            <v>1578</v>
          </cell>
          <cell r="K59">
            <v>0</v>
          </cell>
          <cell r="M59">
            <v>28190</v>
          </cell>
          <cell r="N59">
            <v>0</v>
          </cell>
          <cell r="P59">
            <v>1551</v>
          </cell>
          <cell r="Q59">
            <v>94.065359999999998</v>
          </cell>
          <cell r="R59">
            <v>29.306459</v>
          </cell>
        </row>
        <row r="60">
          <cell r="A60">
            <v>43944</v>
          </cell>
          <cell r="D60">
            <v>242</v>
          </cell>
          <cell r="E60">
            <v>1294</v>
          </cell>
          <cell r="F60">
            <v>28610</v>
          </cell>
          <cell r="G60">
            <v>28610</v>
          </cell>
          <cell r="H60">
            <v>24994</v>
          </cell>
          <cell r="I60">
            <v>4404</v>
          </cell>
          <cell r="J60">
            <v>1608</v>
          </cell>
          <cell r="K60">
            <v>0</v>
          </cell>
          <cell r="M60">
            <v>28391</v>
          </cell>
          <cell r="N60">
            <v>0</v>
          </cell>
          <cell r="P60">
            <v>1578</v>
          </cell>
          <cell r="Q60">
            <v>101.435937</v>
          </cell>
          <cell r="R60">
            <v>32.217187000000003</v>
          </cell>
        </row>
        <row r="61">
          <cell r="A61">
            <v>43945</v>
          </cell>
          <cell r="D61">
            <v>238</v>
          </cell>
          <cell r="E61">
            <v>1248</v>
          </cell>
          <cell r="F61">
            <v>28802</v>
          </cell>
          <cell r="G61">
            <v>28802</v>
          </cell>
          <cell r="H61">
            <v>25369</v>
          </cell>
          <cell r="I61">
            <v>4482</v>
          </cell>
          <cell r="J61">
            <v>1637</v>
          </cell>
          <cell r="K61">
            <v>0</v>
          </cell>
          <cell r="M61">
            <v>28610</v>
          </cell>
          <cell r="N61">
            <v>0</v>
          </cell>
          <cell r="P61">
            <v>1608</v>
          </cell>
          <cell r="Q61">
            <v>100.53189399999999</v>
          </cell>
          <cell r="R61">
            <v>31.806139999999999</v>
          </cell>
        </row>
        <row r="62">
          <cell r="A62">
            <v>43946</v>
          </cell>
          <cell r="D62">
            <v>229</v>
          </cell>
          <cell r="E62">
            <v>1219</v>
          </cell>
          <cell r="F62">
            <v>28941</v>
          </cell>
          <cell r="G62">
            <v>28941</v>
          </cell>
          <cell r="H62">
            <v>25736</v>
          </cell>
          <cell r="I62">
            <v>4519</v>
          </cell>
          <cell r="J62">
            <v>1661</v>
          </cell>
          <cell r="K62">
            <v>0</v>
          </cell>
          <cell r="M62">
            <v>28802</v>
          </cell>
          <cell r="N62">
            <v>0</v>
          </cell>
          <cell r="P62">
            <v>1637</v>
          </cell>
          <cell r="Q62">
            <v>107.99732</v>
          </cell>
          <cell r="R62">
            <v>36.362704000000001</v>
          </cell>
        </row>
        <row r="63">
          <cell r="A63">
            <v>43947</v>
          </cell>
          <cell r="D63">
            <v>207</v>
          </cell>
          <cell r="E63">
            <v>1199</v>
          </cell>
          <cell r="F63">
            <v>29022</v>
          </cell>
          <cell r="G63">
            <v>29022</v>
          </cell>
          <cell r="H63">
            <v>25924</v>
          </cell>
          <cell r="I63">
            <v>4552</v>
          </cell>
          <cell r="J63">
            <v>1678</v>
          </cell>
          <cell r="K63">
            <v>0</v>
          </cell>
          <cell r="M63">
            <v>28941</v>
          </cell>
          <cell r="N63">
            <v>0</v>
          </cell>
          <cell r="P63">
            <v>1661</v>
          </cell>
          <cell r="Q63">
            <v>119.151264</v>
          </cell>
          <cell r="R63">
            <v>44.035781</v>
          </cell>
        </row>
        <row r="64">
          <cell r="A64">
            <v>43948</v>
          </cell>
          <cell r="D64">
            <v>201</v>
          </cell>
          <cell r="E64">
            <v>1175</v>
          </cell>
          <cell r="F64">
            <v>29191</v>
          </cell>
          <cell r="G64">
            <v>29191</v>
          </cell>
          <cell r="H64">
            <v>26233</v>
          </cell>
          <cell r="I64">
            <v>4624</v>
          </cell>
          <cell r="J64">
            <v>1700</v>
          </cell>
          <cell r="K64">
            <v>0</v>
          </cell>
          <cell r="M64">
            <v>29022</v>
          </cell>
          <cell r="N64">
            <v>0</v>
          </cell>
          <cell r="P64">
            <v>1678</v>
          </cell>
          <cell r="Q64">
            <v>124.719478</v>
          </cell>
          <cell r="R64">
            <v>46.538668000000001</v>
          </cell>
        </row>
        <row r="65">
          <cell r="A65">
            <v>43949</v>
          </cell>
          <cell r="D65">
            <v>182</v>
          </cell>
          <cell r="E65">
            <v>1146</v>
          </cell>
          <cell r="F65">
            <v>29313</v>
          </cell>
          <cell r="G65">
            <v>29313</v>
          </cell>
          <cell r="H65">
            <v>26634</v>
          </cell>
          <cell r="I65">
            <v>4676</v>
          </cell>
          <cell r="J65">
            <v>1725</v>
          </cell>
          <cell r="K65">
            <v>0</v>
          </cell>
          <cell r="M65">
            <v>29191</v>
          </cell>
          <cell r="N65">
            <v>0</v>
          </cell>
          <cell r="P65">
            <v>1700</v>
          </cell>
          <cell r="Q65">
            <v>142.77095600000001</v>
          </cell>
          <cell r="R65">
            <v>49.344237</v>
          </cell>
        </row>
        <row r="66">
          <cell r="A66">
            <v>43950</v>
          </cell>
          <cell r="D66">
            <v>187</v>
          </cell>
          <cell r="E66">
            <v>1077</v>
          </cell>
          <cell r="F66">
            <v>29449</v>
          </cell>
          <cell r="G66">
            <v>29449</v>
          </cell>
          <cell r="H66">
            <v>27094</v>
          </cell>
          <cell r="I66">
            <v>4742</v>
          </cell>
          <cell r="J66">
            <v>1733</v>
          </cell>
          <cell r="K66">
            <v>0</v>
          </cell>
          <cell r="M66">
            <v>29313</v>
          </cell>
          <cell r="N66">
            <v>0</v>
          </cell>
          <cell r="P66">
            <v>1725</v>
          </cell>
          <cell r="Q66">
            <v>156.00794400000001</v>
          </cell>
          <cell r="R66">
            <v>60.814427000000002</v>
          </cell>
        </row>
        <row r="67">
          <cell r="A67">
            <v>43951</v>
          </cell>
          <cell r="D67">
            <v>168</v>
          </cell>
          <cell r="E67">
            <v>998</v>
          </cell>
          <cell r="F67">
            <v>29587</v>
          </cell>
          <cell r="G67">
            <v>29587</v>
          </cell>
          <cell r="H67">
            <v>27318</v>
          </cell>
          <cell r="I67">
            <v>4825</v>
          </cell>
          <cell r="J67">
            <v>1751</v>
          </cell>
          <cell r="K67">
            <v>0</v>
          </cell>
          <cell r="M67">
            <v>29449</v>
          </cell>
          <cell r="N67">
            <v>0</v>
          </cell>
          <cell r="P67">
            <v>1733</v>
          </cell>
          <cell r="Q67">
            <v>156.99253400000001</v>
          </cell>
          <cell r="R67">
            <v>65.67971</v>
          </cell>
        </row>
        <row r="68">
          <cell r="A68">
            <v>43952</v>
          </cell>
          <cell r="D68">
            <v>156</v>
          </cell>
          <cell r="E68">
            <v>949</v>
          </cell>
          <cell r="F68">
            <v>29693</v>
          </cell>
          <cell r="G68">
            <v>29693</v>
          </cell>
          <cell r="H68">
            <v>27791</v>
          </cell>
          <cell r="I68">
            <v>4904</v>
          </cell>
          <cell r="J68">
            <v>1763</v>
          </cell>
          <cell r="K68">
            <v>0</v>
          </cell>
          <cell r="M68">
            <v>29587</v>
          </cell>
          <cell r="N68">
            <v>0</v>
          </cell>
          <cell r="P68">
            <v>1751</v>
          </cell>
          <cell r="Q68">
            <v>151.625801</v>
          </cell>
          <cell r="R68">
            <v>70.136301000000003</v>
          </cell>
        </row>
        <row r="69">
          <cell r="A69">
            <v>43953</v>
          </cell>
          <cell r="D69">
            <v>149</v>
          </cell>
          <cell r="E69">
            <v>902</v>
          </cell>
          <cell r="F69">
            <v>29770</v>
          </cell>
          <cell r="G69">
            <v>29770</v>
          </cell>
          <cell r="H69">
            <v>28072</v>
          </cell>
          <cell r="I69">
            <v>4934</v>
          </cell>
          <cell r="J69">
            <v>1775</v>
          </cell>
          <cell r="K69">
            <v>0</v>
          </cell>
          <cell r="M69">
            <v>29693</v>
          </cell>
          <cell r="N69">
            <v>0</v>
          </cell>
          <cell r="P69">
            <v>1763</v>
          </cell>
          <cell r="Q69">
            <v>176.45655099999999</v>
          </cell>
          <cell r="R69">
            <v>80.277079999999998</v>
          </cell>
        </row>
        <row r="70">
          <cell r="A70">
            <v>43954</v>
          </cell>
          <cell r="D70">
            <v>146</v>
          </cell>
          <cell r="E70">
            <v>900</v>
          </cell>
          <cell r="F70">
            <v>29819</v>
          </cell>
          <cell r="G70">
            <v>29819</v>
          </cell>
          <cell r="H70">
            <v>28236</v>
          </cell>
          <cell r="I70">
            <v>4952</v>
          </cell>
          <cell r="J70">
            <v>1779</v>
          </cell>
          <cell r="K70">
            <v>0</v>
          </cell>
          <cell r="M70">
            <v>29770</v>
          </cell>
          <cell r="N70">
            <v>0</v>
          </cell>
          <cell r="P70">
            <v>1775</v>
          </cell>
          <cell r="Q70">
            <v>202.50088299999999</v>
          </cell>
          <cell r="R70">
            <v>112.434974</v>
          </cell>
        </row>
        <row r="71">
          <cell r="A71">
            <v>43955</v>
          </cell>
          <cell r="D71">
            <v>135</v>
          </cell>
          <cell r="E71">
            <v>880</v>
          </cell>
          <cell r="F71">
            <v>29856</v>
          </cell>
          <cell r="G71">
            <v>29856</v>
          </cell>
          <cell r="H71">
            <v>28236</v>
          </cell>
          <cell r="I71">
            <v>5016</v>
          </cell>
          <cell r="J71">
            <v>1786</v>
          </cell>
          <cell r="K71">
            <v>0</v>
          </cell>
          <cell r="M71">
            <v>29819</v>
          </cell>
          <cell r="N71">
            <v>0</v>
          </cell>
          <cell r="P71">
            <v>1779</v>
          </cell>
          <cell r="Q71">
            <v>252.49661</v>
          </cell>
          <cell r="R71">
            <v>115.04719299999999</v>
          </cell>
        </row>
        <row r="72">
          <cell r="A72">
            <v>43956</v>
          </cell>
          <cell r="D72">
            <v>133</v>
          </cell>
          <cell r="E72">
            <v>881</v>
          </cell>
          <cell r="F72">
            <v>29865</v>
          </cell>
          <cell r="G72">
            <v>29865</v>
          </cell>
          <cell r="H72">
            <v>28236</v>
          </cell>
          <cell r="I72">
            <v>5019</v>
          </cell>
          <cell r="J72">
            <v>1787</v>
          </cell>
          <cell r="K72">
            <v>0</v>
          </cell>
          <cell r="M72">
            <v>29856</v>
          </cell>
          <cell r="N72">
            <v>0</v>
          </cell>
          <cell r="P72">
            <v>1786</v>
          </cell>
          <cell r="Q72">
            <v>370.58170699999999</v>
          </cell>
          <cell r="R72">
            <v>170.29653400000001</v>
          </cell>
        </row>
      </sheetData>
      <sheetData sheetId="3"/>
      <sheetData sheetId="4"/>
      <sheetData sheetId="5"/>
      <sheetData sheetId="6"/>
      <sheetData sheetId="7"/>
      <sheetData sheetId="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8.507404282405" createdVersion="6" refreshedVersion="6" minRefreshableVersion="3" recordCount="1573"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08T00:00:00" count="74">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m/>
      </sharedItems>
    </cacheField>
    <cacheField name="time" numFmtId="2">
      <sharedItems containsString="0" containsBlank="1" containsNumber="1" minValue="0" maxValue="0.80347222222222225"/>
    </cacheField>
    <cacheField name="abbreviation_canton_and_fl" numFmtId="2">
      <sharedItems containsBlank="1"/>
    </cacheField>
    <cacheField name="ncumul_tested" numFmtId="2">
      <sharedItems containsString="0" containsBlank="1" containsNumber="1" containsInteger="1" minValue="1" maxValue="27239"/>
    </cacheField>
    <cacheField name="ncumul_conf" numFmtId="2">
      <sharedItems containsString="0" containsBlank="1" containsNumber="1" containsInteger="1" minValue="0" maxValue="5335"/>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60"/>
    </cacheField>
    <cacheField name="ncumul_deceased" numFmtId="2">
      <sharedItems containsString="0" containsBlank="1" containsNumber="1" containsInteger="1" minValue="0" maxValue="388"/>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8.507404398151" createdVersion="6" refreshedVersion="6" minRefreshableVersion="3" recordCount="1572" xr:uid="{D15BF962-7707-4EDF-879E-3FD72CC4495F}">
  <cacheSource type="worksheet">
    <worksheetSource name="datenbasis"/>
  </cacheSource>
  <cacheFields count="12">
    <cacheField name="date" numFmtId="14">
      <sharedItems containsSemiMixedTypes="0" containsNonDate="0" containsDate="1" containsString="0" minDate="2020-02-25T00:00:00" maxDate="2020-05-08T00:00:00" count="73">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sharedItems>
      <fieldGroup par="11" base="0">
        <rangePr groupBy="days" startDate="2020-02-25T00:00:00" endDate="2020-05-08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8.05.2020"/>
        </groupItems>
      </fieldGroup>
    </cacheField>
    <cacheField name="time" numFmtId="2">
      <sharedItems containsString="0" containsBlank="1" containsNumber="1" minValue="0" maxValue="0.80347222222222225"/>
    </cacheField>
    <cacheField name="abbreviation_canton_and_fl" numFmtId="2">
      <sharedItems count="27">
        <s v="GE"/>
        <s v="TI"/>
        <s v="FL"/>
        <s v="JU"/>
        <s v="ZH"/>
        <s v="BS"/>
        <s v="BE"/>
        <s v="BL"/>
        <s v="VD"/>
        <s v="VS"/>
        <s v="AG"/>
        <s v="ZG"/>
        <s v="FR"/>
        <s v="NE"/>
        <s v="SG"/>
        <s v="SZ"/>
        <s v="LU"/>
        <s v="AR"/>
        <s v="SO"/>
        <s v="GL"/>
        <s v="NW"/>
        <s v="SH"/>
        <s v="UR"/>
        <s v="OW"/>
        <s v="AI"/>
        <s v="TG"/>
        <s v="GR"/>
      </sharedItems>
    </cacheField>
    <cacheField name="ncumul_tested" numFmtId="2">
      <sharedItems containsString="0" containsBlank="1" containsNumber="1" containsInteger="1" minValue="1" maxValue="27239"/>
    </cacheField>
    <cacheField name="ncumul_conf" numFmtId="2">
      <sharedItems containsString="0" containsBlank="1" containsNumber="1" containsInteger="1" minValue="0" maxValue="5335"/>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60"/>
    </cacheField>
    <cacheField name="ncumul_deceased" numFmtId="2">
      <sharedItems containsString="0" containsBlank="1" containsNumber="1" containsInteger="1" minValue="0" maxValue="388"/>
    </cacheField>
    <cacheField name="source" numFmtId="2">
      <sharedItems longText="1"/>
    </cacheField>
    <cacheField name="Monate" numFmtId="0" databaseField="0">
      <fieldGroup base="0">
        <rangePr groupBy="months" startDate="2020-02-25T00:00:00" endDate="2020-05-08T00:00:00"/>
        <groupItems count="14">
          <s v="&lt;25.02.2020"/>
          <s v="Jan"/>
          <s v="Feb"/>
          <s v="Mär"/>
          <s v="Apr"/>
          <s v="Mai"/>
          <s v="Jun"/>
          <s v="Jul"/>
          <s v="Aug"/>
          <s v="Sep"/>
          <s v="Okt"/>
          <s v="Nov"/>
          <s v="Dez"/>
          <s v="&gt;08.05.202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8.50740509259"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8.507405555552"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73">
  <r>
    <x v="0"/>
    <m/>
    <s v="GE"/>
    <n v="72"/>
    <n v="0"/>
    <n v="0"/>
    <n v="0"/>
    <n v="0"/>
    <m/>
    <n v="0"/>
    <s v="https://www.ge.ch/document/20094/telecharger"/>
  </r>
  <r>
    <x v="0"/>
    <m/>
    <s v="TI"/>
    <m/>
    <n v="0"/>
    <n v="0"/>
    <n v="0"/>
    <n v="0"/>
    <n v="0"/>
    <n v="0"/>
    <s v="https://www4.ti.ch/fileadmin/DSS/DSP/UMC/malattie_infettive/Coronavirus/dati/COVID19_Dati_TI_per_github.xlsx"/>
  </r>
  <r>
    <x v="1"/>
    <m/>
    <s v="GE"/>
    <n v="177"/>
    <n v="1"/>
    <n v="1"/>
    <n v="0"/>
    <n v="0"/>
    <m/>
    <n v="0"/>
    <s v="https://www.ge.ch/document/20094/telecharger"/>
  </r>
  <r>
    <x v="1"/>
    <m/>
    <s v="TI"/>
    <m/>
    <n v="1"/>
    <n v="0"/>
    <n v="0"/>
    <n v="0"/>
    <n v="0"/>
    <n v="0"/>
    <s v="https://www4.ti.ch/fileadmin/DSS/DSP/UMC/malattie_infettive/Coronavirus/dati/COVID19_Dati_TI_per_github.xlsx"/>
  </r>
  <r>
    <x v="2"/>
    <m/>
    <s v="FL"/>
    <n v="3"/>
    <m/>
    <m/>
    <m/>
    <m/>
    <m/>
    <m/>
    <s v="https://www.regierung.li/media/attachments/83-verdachtsfaelle-negativ-getestet.pdf?t=637202562374055719"/>
  </r>
  <r>
    <x v="2"/>
    <m/>
    <s v="GE"/>
    <n v="325"/>
    <n v="1"/>
    <n v="1"/>
    <n v="0"/>
    <n v="0"/>
    <m/>
    <n v="0"/>
    <s v="https://www.ge.ch/document/20094/telecharger"/>
  </r>
  <r>
    <x v="2"/>
    <m/>
    <s v="JU"/>
    <m/>
    <n v="1"/>
    <n v="1"/>
    <n v="0"/>
    <m/>
    <m/>
    <n v="0"/>
    <s v="https://www.jura.ch/Htdocs/Files/v/34356.xlsx/Departements/CHA/SIC/Carrousel/Coronavirus/Cornavirus/Chiffres/donnees_06_05.xlsx?download=1"/>
  </r>
  <r>
    <x v="2"/>
    <m/>
    <s v="TI"/>
    <m/>
    <n v="1"/>
    <n v="0"/>
    <n v="0"/>
    <n v="0"/>
    <n v="0"/>
    <n v="0"/>
    <s v="https://www4.ti.ch/fileadmin/DSS/DSP/UMC/malattie_infettive/Coronavirus/dati/COVID19_Dati_TI_per_github.xlsx"/>
  </r>
  <r>
    <x v="2"/>
    <n v="0.60416666666666663"/>
    <s v="ZH"/>
    <m/>
    <n v="2"/>
    <m/>
    <m/>
    <m/>
    <m/>
    <m/>
    <s v="https://gd.zh.ch/internet/gesundheitsdirektion/de/themen/coronavirus.html"/>
  </r>
  <r>
    <x v="2"/>
    <n v="0.80347222222222225"/>
    <s v="BS"/>
    <m/>
    <n v="1"/>
    <m/>
    <m/>
    <m/>
    <m/>
    <m/>
    <s v="https://www.coronavirus.bs.ch/nm/2020-coronavirus-erster-positiver-fall-in-basel-stadt-zweiter-positiv-getesteter-ausserkantonaler-fall-gd.html"/>
  </r>
  <r>
    <x v="3"/>
    <m/>
    <s v="BE"/>
    <m/>
    <n v="1"/>
    <m/>
    <m/>
    <m/>
    <m/>
    <m/>
    <s v="https://www.be.ch/portal/de/index/mediencenter/medienmitteilungen/suche.archiv.meldungNeu.html/portal/de/meldungen/mm/2020/02/20200229_0936_corona.html"/>
  </r>
  <r>
    <x v="3"/>
    <m/>
    <s v="BL"/>
    <m/>
    <n v="1"/>
    <m/>
    <m/>
    <m/>
    <m/>
    <m/>
    <s v="https://www.baselland.ch/politik-und-behorden/direktionen/volkswirtschafts-und-gesundheitsdirektion/medienmitteilungen/neuer-coronavirus-covid-19-erster-bestaetigter-fall-aus-dem-kanton-basel-landschaft"/>
  </r>
  <r>
    <x v="3"/>
    <m/>
    <s v="GE"/>
    <n v="532"/>
    <n v="4"/>
    <n v="2"/>
    <n v="0"/>
    <n v="0"/>
    <m/>
    <n v="0"/>
    <s v="https://www.ge.ch/document/20094/telecharger"/>
  </r>
  <r>
    <x v="3"/>
    <m/>
    <s v="JU"/>
    <m/>
    <n v="1"/>
    <n v="1"/>
    <n v="0"/>
    <m/>
    <m/>
    <n v="0"/>
    <s v="https://www.jura.ch/Htdocs/Files/v/34356.xlsx/Departements/CHA/SIC/Carrousel/Coronavirus/Cornavirus/Chiffres/donnees_06_05.xlsx?download=1"/>
  </r>
  <r>
    <x v="3"/>
    <m/>
    <s v="TI"/>
    <m/>
    <n v="1"/>
    <n v="0"/>
    <n v="0"/>
    <n v="0"/>
    <n v="0"/>
    <n v="0"/>
    <s v="https://www4.ti.ch/fileadmin/DSS/DSP/UMC/malattie_infettive/Coronavirus/dati/COVID19_Dati_TI_per_github.xlsx"/>
  </r>
  <r>
    <x v="3"/>
    <m/>
    <s v="VD"/>
    <m/>
    <m/>
    <n v="4"/>
    <m/>
    <m/>
    <m/>
    <m/>
    <s v="https://www.vd.ch/toutes-les-actualites/hotline-et-informations-sur-le-coronavirus/"/>
  </r>
  <r>
    <x v="3"/>
    <m/>
    <s v="VS"/>
    <m/>
    <n v="1"/>
    <n v="5"/>
    <n v="0"/>
    <n v="0"/>
    <m/>
    <n v="0"/>
    <s v="https://www.vs.ch/de/web/coronavirus"/>
  </r>
  <r>
    <x v="3"/>
    <n v="0.42708333333333331"/>
    <s v="BS"/>
    <m/>
    <n v="1"/>
    <m/>
    <m/>
    <m/>
    <m/>
    <m/>
    <s v="https://twitter.com/BR_Sprecher/status/1233316679863631873?s=20"/>
  </r>
  <r>
    <x v="3"/>
    <n v="0.60416666666666663"/>
    <s v="ZH"/>
    <m/>
    <n v="2"/>
    <m/>
    <m/>
    <m/>
    <m/>
    <m/>
    <s v="https://gd.zh.ch/internet/gesundheitsdirektion/de/themen/coronavirus.html"/>
  </r>
  <r>
    <x v="3"/>
    <n v="0.625"/>
    <s v="AG"/>
    <m/>
    <n v="1"/>
    <m/>
    <m/>
    <m/>
    <m/>
    <m/>
    <s v="https://www.ag.ch/media/kanton_aargau/themen_1/coronavirus_1/20200228_KFS_20200106_Coronavirus_Lagebulletin_AG_Unterschrieben.pdf"/>
  </r>
  <r>
    <x v="4"/>
    <m/>
    <s v="BL"/>
    <m/>
    <n v="2"/>
    <n v="1"/>
    <m/>
    <m/>
    <m/>
    <m/>
    <s v="https://www.baselland.ch/politik-und-behorden/direktionen/volkswirtschafts-und-gesundheitsdirektion/medienmitteilungen/weiterer-bestaetigter-fall-aus-dem-kanton-basel-landschaft"/>
  </r>
  <r>
    <x v="4"/>
    <m/>
    <s v="GE"/>
    <n v="673"/>
    <n v="7"/>
    <n v="3"/>
    <n v="0"/>
    <n v="0"/>
    <m/>
    <n v="0"/>
    <s v="https://www.ge.ch/document/20094/telecharger"/>
  </r>
  <r>
    <x v="4"/>
    <m/>
    <s v="JU"/>
    <m/>
    <n v="1"/>
    <n v="1"/>
    <n v="0"/>
    <m/>
    <m/>
    <n v="0"/>
    <s v="https://www.jura.ch/Htdocs/Files/v/34356.xlsx/Departements/CHA/SIC/Carrousel/Coronavirus/Cornavirus/Chiffres/donnees_06_05.xlsx?download=1"/>
  </r>
  <r>
    <x v="4"/>
    <m/>
    <s v="TI"/>
    <m/>
    <n v="2"/>
    <n v="0"/>
    <n v="0"/>
    <n v="0"/>
    <n v="0"/>
    <n v="0"/>
    <s v="https://www4.ti.ch/fileadmin/DSS/DSP/UMC/malattie_infettive/Coronavirus/dati/COVID19_Dati_TI_per_github.xlsx"/>
  </r>
  <r>
    <x v="4"/>
    <m/>
    <s v="VD"/>
    <m/>
    <m/>
    <n v="4"/>
    <m/>
    <m/>
    <m/>
    <m/>
    <s v="https://www.vd.ch/toutes-les-actualites/hotline-et-informations-sur-le-coronavirus/"/>
  </r>
  <r>
    <x v="4"/>
    <m/>
    <s v="VS"/>
    <m/>
    <n v="1"/>
    <n v="5"/>
    <n v="0"/>
    <n v="0"/>
    <m/>
    <n v="0"/>
    <s v="https://www.vs.ch/de/web/coronavirus"/>
  </r>
  <r>
    <x v="4"/>
    <n v="0.33333333333333331"/>
    <s v="ZG"/>
    <m/>
    <n v="0"/>
    <n v="0"/>
    <n v="0"/>
    <m/>
    <m/>
    <n v="0"/>
    <s v="https://www.zg.ch/behoerden/gesundheitsdirektion/statistikfachstelle/themen/gesundheit/corona"/>
  </r>
  <r>
    <x v="4"/>
    <n v="0.60416666666666663"/>
    <s v="ZH"/>
    <m/>
    <n v="6"/>
    <m/>
    <m/>
    <m/>
    <m/>
    <m/>
    <s v="https://gd.zh.ch/internet/gesundheitsdirektion/de/themen/coronavirus.html"/>
  </r>
  <r>
    <x v="4"/>
    <n v="0.64097222222222228"/>
    <s v="BS"/>
    <m/>
    <n v="1"/>
    <m/>
    <m/>
    <m/>
    <m/>
    <m/>
    <s v="https://twitter.com/BAG_OFSP_UFSP/status/1233759578241863681?s=20"/>
  </r>
  <r>
    <x v="5"/>
    <m/>
    <s v="BE"/>
    <m/>
    <n v="2"/>
    <m/>
    <m/>
    <m/>
    <m/>
    <m/>
    <s v="https://www.be.ch/portal/de/index/mediencenter/medienmitteilungen/suche.meldungNeu.html/portal/de/meldungen/mm/2020/03/20200302_1522_zweiter_bestaetigtercorona-fallinbiel"/>
  </r>
  <r>
    <x v="5"/>
    <m/>
    <s v="BL"/>
    <m/>
    <n v="2"/>
    <n v="1"/>
    <m/>
    <m/>
    <m/>
    <m/>
    <s v=""/>
  </r>
  <r>
    <x v="5"/>
    <m/>
    <s v="FR"/>
    <n v="30"/>
    <n v="1"/>
    <m/>
    <m/>
    <m/>
    <m/>
    <m/>
    <s v="https://www.fr.ch/sites/default/files/2020-03/200301_commd_dsas_covid_cas_fr.pdf"/>
  </r>
  <r>
    <x v="5"/>
    <m/>
    <s v="GE"/>
    <n v="780"/>
    <n v="10"/>
    <n v="3"/>
    <n v="0"/>
    <n v="0"/>
    <m/>
    <n v="0"/>
    <s v="https://www.ge.ch/document/20094/telecharger"/>
  </r>
  <r>
    <x v="5"/>
    <m/>
    <s v="JU"/>
    <m/>
    <n v="1"/>
    <n v="1"/>
    <n v="0"/>
    <m/>
    <m/>
    <n v="0"/>
    <s v="https://www.jura.ch/Htdocs/Files/v/34356.xlsx/Departements/CHA/SIC/Carrousel/Coronavirus/Cornavirus/Chiffres/donnees_06_05.xlsx?download=1"/>
  </r>
  <r>
    <x v="5"/>
    <m/>
    <s v="NE"/>
    <m/>
    <n v="1"/>
    <m/>
    <m/>
    <m/>
    <m/>
    <m/>
    <s v="https://www.ne.ch/autorites/DFS/SCSP/medecin-cantonal/maladies-vaccinations/Documents/Covid-19-Statistiques/COVID19_PublicationInternet.xlsx"/>
  </r>
  <r>
    <x v="5"/>
    <m/>
    <s v="TI"/>
    <m/>
    <n v="2"/>
    <n v="0"/>
    <n v="0"/>
    <n v="0"/>
    <n v="0"/>
    <n v="0"/>
    <s v="https://www4.ti.ch/fileadmin/DSS/DSP/UMC/malattie_infettive/Coronavirus/dati/COVID19_Dati_TI_per_github.xlsx"/>
  </r>
  <r>
    <x v="5"/>
    <m/>
    <s v="VD"/>
    <m/>
    <m/>
    <n v="4"/>
    <m/>
    <m/>
    <m/>
    <m/>
    <s v="https://www.vd.ch/toutes-les-actualites/hotline-et-informations-sur-le-coronavirus/"/>
  </r>
  <r>
    <x v="5"/>
    <m/>
    <s v="VS"/>
    <m/>
    <n v="2"/>
    <n v="6"/>
    <n v="0"/>
    <n v="0"/>
    <m/>
    <n v="0"/>
    <s v="https://www.vs.ch/de/web/coronavirus"/>
  </r>
  <r>
    <x v="5"/>
    <n v="0.33333333333333331"/>
    <s v="ZG"/>
    <m/>
    <n v="0"/>
    <n v="0"/>
    <n v="0"/>
    <m/>
    <n v="0"/>
    <n v="0"/>
    <s v="https://www.zg.ch/behoerden/gesundheitsdirektion/statistikfachstelle/themen/gesundheit/corona"/>
  </r>
  <r>
    <x v="5"/>
    <n v="0.60416666666666663"/>
    <s v="ZH"/>
    <m/>
    <n v="7"/>
    <m/>
    <m/>
    <m/>
    <m/>
    <m/>
    <s v="https://gd.zh.ch/internet/gesundheitsdirektion/de/themen/coronavirus.html"/>
  </r>
  <r>
    <x v="5"/>
    <n v="0.72847222222222219"/>
    <s v="BS"/>
    <m/>
    <n v="1"/>
    <m/>
    <m/>
    <m/>
    <m/>
    <m/>
    <s v="https://www.coronavirus.bs.ch/nm/2020-coronavirus-anzahl-der-getesteten-faelle-und-zwischenstand-kita-riehen-gd.html"/>
  </r>
  <r>
    <x v="6"/>
    <m/>
    <s v="BE"/>
    <m/>
    <n v="4"/>
    <m/>
    <m/>
    <m/>
    <m/>
    <m/>
    <s v="https://www.be.ch/portal/de/index/mediencenter/medienmitteilungen/suche.meldungNeu.html/portal/de/meldungen/mm/2020/03/20200303_1333_mann_in_spital_interlakenpositivgetestet"/>
  </r>
  <r>
    <x v="6"/>
    <m/>
    <s v="BL"/>
    <m/>
    <n v="2"/>
    <n v="1"/>
    <m/>
    <m/>
    <m/>
    <m/>
    <s v=""/>
  </r>
  <r>
    <x v="6"/>
    <m/>
    <s v="FR"/>
    <m/>
    <n v="2"/>
    <m/>
    <m/>
    <m/>
    <m/>
    <m/>
    <s v="https://www.fr.ch/sites/default/files/2020-03/200302_CommD_DSAS_covid_cas%20FR.pdf"/>
  </r>
  <r>
    <x v="6"/>
    <m/>
    <s v="GE"/>
    <n v="868"/>
    <n v="11"/>
    <n v="3"/>
    <n v="0"/>
    <n v="0"/>
    <m/>
    <n v="0"/>
    <s v="https://www.ge.ch/document/20094/telecharger"/>
  </r>
  <r>
    <x v="6"/>
    <m/>
    <s v="JU"/>
    <m/>
    <n v="1"/>
    <n v="1"/>
    <n v="0"/>
    <m/>
    <m/>
    <n v="0"/>
    <s v="https://www.jura.ch/Htdocs/Files/v/34356.xlsx/Departements/CHA/SIC/Carrousel/Coronavirus/Cornavirus/Chiffres/donnees_06_05.xlsx?download=1"/>
  </r>
  <r>
    <x v="6"/>
    <m/>
    <s v="NE"/>
    <m/>
    <n v="1"/>
    <n v="1"/>
    <m/>
    <m/>
    <m/>
    <m/>
    <s v="https://www.ne.ch/autorites/DFS/SCSP/medecin-cantonal/maladies-vaccinations/Documents/Covid-19-Statistiques/COVID19_PublicationInternet.xlsx"/>
  </r>
  <r>
    <x v="6"/>
    <m/>
    <s v="SG"/>
    <m/>
    <n v="0"/>
    <m/>
    <m/>
    <m/>
    <m/>
    <m/>
    <s v="https://www.sg.ch/news/sgch_allgemein/2020/03/zwei-personen-in-quarantaene---kein-bestaetigter-fall.html"/>
  </r>
  <r>
    <x v="6"/>
    <m/>
    <s v="TI"/>
    <m/>
    <n v="4"/>
    <n v="0"/>
    <n v="0"/>
    <n v="0"/>
    <n v="0"/>
    <n v="0"/>
    <s v="https://www4.ti.ch/fileadmin/DSS/DSP/UMC/malattie_infettive/Coronavirus/dati/COVID19_Dati_TI_per_github.xlsx"/>
  </r>
  <r>
    <x v="6"/>
    <m/>
    <s v="VD"/>
    <m/>
    <m/>
    <n v="6"/>
    <m/>
    <m/>
    <m/>
    <m/>
    <s v="https://www.vd.ch/toutes-les-actualites/hotline-et-informations-sur-le-coronavirus/"/>
  </r>
  <r>
    <x v="6"/>
    <m/>
    <s v="VS"/>
    <m/>
    <n v="3"/>
    <n v="9"/>
    <n v="0"/>
    <n v="0"/>
    <m/>
    <n v="0"/>
    <s v="https://www.vs.ch/de/web/coronavirus"/>
  </r>
  <r>
    <x v="6"/>
    <n v="0.33333333333333331"/>
    <s v="ZG"/>
    <m/>
    <n v="0"/>
    <n v="0"/>
    <n v="0"/>
    <m/>
    <n v="0"/>
    <n v="0"/>
    <s v="https://www.zg.ch/behoerden/gesundheitsdirektion/statistikfachstelle/themen/gesundheit/corona"/>
  </r>
  <r>
    <x v="6"/>
    <n v="0.60416666666666663"/>
    <s v="ZH"/>
    <m/>
    <n v="11"/>
    <m/>
    <m/>
    <m/>
    <m/>
    <m/>
    <s v="https://gd.zh.ch/internet/gesundheitsdirektion/de/themen/coronavirus.html"/>
  </r>
  <r>
    <x v="6"/>
    <n v="0.71875"/>
    <s v="BS"/>
    <n v="235"/>
    <n v="1"/>
    <m/>
    <m/>
    <m/>
    <m/>
    <m/>
    <s v="https://www.coronavirus.bs.ch/nm/2020-coronavirus-zwei-neue-positive-faelle-in-basel-stadt-gd.html"/>
  </r>
  <r>
    <x v="6"/>
    <n v="0.75"/>
    <s v="AG"/>
    <m/>
    <n v="2"/>
    <m/>
    <m/>
    <m/>
    <m/>
    <m/>
    <s v="https://www.ag.ch/media/kanton_aargau/themen_1/coronavirus_1/200302_KFS_Coronavirus_Lagebulletin_2.pdf"/>
  </r>
  <r>
    <x v="7"/>
    <m/>
    <s v="BL"/>
    <m/>
    <n v="2"/>
    <n v="1"/>
    <m/>
    <m/>
    <m/>
    <m/>
    <s v=""/>
  </r>
  <r>
    <x v="7"/>
    <m/>
    <s v="FL"/>
    <n v="14"/>
    <m/>
    <m/>
    <m/>
    <m/>
    <m/>
    <m/>
    <s v="https://www.regierung.li/media/attachments/90-coronavirus.pdf?t=637202562374055719"/>
  </r>
  <r>
    <x v="7"/>
    <m/>
    <s v="GE"/>
    <n v="977"/>
    <n v="14"/>
    <n v="4"/>
    <n v="0"/>
    <n v="0"/>
    <m/>
    <n v="0"/>
    <s v="https://www.ge.ch/document/20094/telecharger"/>
  </r>
  <r>
    <x v="7"/>
    <m/>
    <s v="JU"/>
    <m/>
    <n v="2"/>
    <n v="1"/>
    <n v="0"/>
    <m/>
    <m/>
    <n v="0"/>
    <s v="https://www.jura.ch/Htdocs/Files/v/34356.xlsx/Departements/CHA/SIC/Carrousel/Coronavirus/Cornavirus/Chiffres/donnees_06_05.xlsx?download=1"/>
  </r>
  <r>
    <x v="7"/>
    <m/>
    <s v="NE"/>
    <m/>
    <n v="1"/>
    <n v="1"/>
    <m/>
    <m/>
    <m/>
    <m/>
    <s v="https://www.ne.ch/autorites/DFS/SCSP/medecin-cantonal/maladies-vaccinations/Documents/Covid-19-Statistiques/COVID19_PublicationInternet.xlsx"/>
  </r>
  <r>
    <x v="7"/>
    <m/>
    <s v="SZ"/>
    <n v="1"/>
    <n v="1"/>
    <m/>
    <m/>
    <m/>
    <m/>
    <m/>
    <s v="https://www.sz.ch/public/upload/assets/45351/MM_Coronavirus_4_3_2020.pdf"/>
  </r>
  <r>
    <x v="7"/>
    <m/>
    <s v="TI"/>
    <m/>
    <n v="8"/>
    <n v="0"/>
    <n v="0"/>
    <n v="0"/>
    <n v="0"/>
    <n v="0"/>
    <s v="https://www4.ti.ch/fileadmin/DSS/DSP/UMC/malattie_infettive/Coronavirus/dati/COVID19_Dati_TI_per_github.xlsx"/>
  </r>
  <r>
    <x v="7"/>
    <m/>
    <s v="VD"/>
    <m/>
    <m/>
    <n v="8"/>
    <m/>
    <m/>
    <m/>
    <m/>
    <s v="https://www.vd.ch/toutes-les-actualites/hotline-et-informations-sur-le-coronavirus/"/>
  </r>
  <r>
    <x v="7"/>
    <m/>
    <s v="VS"/>
    <m/>
    <n v="3"/>
    <n v="11"/>
    <n v="0"/>
    <n v="0"/>
    <m/>
    <n v="0"/>
    <s v="https://www.vs.ch/de/web/coronavirus"/>
  </r>
  <r>
    <x v="7"/>
    <n v="0.33333333333333331"/>
    <s v="ZG"/>
    <m/>
    <n v="1"/>
    <n v="0"/>
    <n v="0"/>
    <m/>
    <n v="0"/>
    <n v="0"/>
    <s v="https://www.zg.ch/behoerden/gesundheitsdirektion/statistikfachstelle/themen/gesundheit/corona"/>
  </r>
  <r>
    <x v="7"/>
    <n v="0.60416666666666663"/>
    <s v="ZH"/>
    <m/>
    <n v="14"/>
    <m/>
    <m/>
    <m/>
    <m/>
    <m/>
    <s v="https://gd.zh.ch/internet/gesundheitsdirektion/de/themen/coronavirus.html"/>
  </r>
  <r>
    <x v="7"/>
    <n v="0.625"/>
    <s v="AG"/>
    <m/>
    <n v="6"/>
    <m/>
    <m/>
    <m/>
    <m/>
    <m/>
    <s v="https://www.ag.ch/media/kanton_aargau/themen_1/coronavirus_1/lagebulletins/200303_KFS_Coronavirus_Lagebulletin_3.pdf"/>
  </r>
  <r>
    <x v="7"/>
    <n v="0.72916666666666663"/>
    <s v="BS"/>
    <m/>
    <n v="3"/>
    <m/>
    <m/>
    <m/>
    <m/>
    <m/>
    <s v="https://twitter.com/BAG_OFSP_UFSP/status/1234880556095213569?s=20"/>
  </r>
  <r>
    <x v="8"/>
    <m/>
    <s v="BE"/>
    <m/>
    <n v="6"/>
    <m/>
    <m/>
    <m/>
    <m/>
    <m/>
    <s v="https://www.be.ch/portal/de/index/mediencenter/medienmitteilungen/suche.meldungNeu.html/portal/de/meldungen/mm/2020/03/20200304_1443_corona-4-3-2020"/>
  </r>
  <r>
    <x v="8"/>
    <m/>
    <s v="BL"/>
    <m/>
    <n v="2"/>
    <n v="1"/>
    <m/>
    <m/>
    <m/>
    <m/>
    <s v=""/>
  </r>
  <r>
    <x v="8"/>
    <m/>
    <s v="FL"/>
    <n v="16"/>
    <n v="1"/>
    <m/>
    <m/>
    <m/>
    <m/>
    <m/>
    <s v="https://www.regierung.li/media/attachments/97-coronavirus.pdf?t=637202562374055719"/>
  </r>
  <r>
    <x v="8"/>
    <m/>
    <s v="FR"/>
    <m/>
    <n v="4"/>
    <m/>
    <m/>
    <m/>
    <m/>
    <m/>
    <s v="https://www.fr.ch/sites/default/files/2020-03/200304_CommD_DSAS_covid_cas%20FR.pdf"/>
  </r>
  <r>
    <x v="8"/>
    <m/>
    <s v="GE"/>
    <n v="1084"/>
    <n v="14"/>
    <n v="4"/>
    <n v="0"/>
    <n v="0"/>
    <m/>
    <n v="0"/>
    <s v="https://www.ge.ch/document/20094/telecharger"/>
  </r>
  <r>
    <x v="8"/>
    <m/>
    <s v="JU"/>
    <m/>
    <n v="2"/>
    <n v="1"/>
    <n v="0"/>
    <m/>
    <m/>
    <n v="0"/>
    <s v="https://www.jura.ch/Htdocs/Files/v/34356.xlsx/Departements/CHA/SIC/Carrousel/Coronavirus/Cornavirus/Chiffres/donnees_06_05.xlsx?download=1"/>
  </r>
  <r>
    <x v="8"/>
    <m/>
    <s v="NE"/>
    <m/>
    <n v="8"/>
    <n v="4"/>
    <m/>
    <m/>
    <m/>
    <m/>
    <s v="https://www.ne.ch/autorites/DFS/SCSP/medecin-cantonal/maladies-vaccinations/Documents/Covid-19-Statistiques/COVID19_PublicationInternet.xlsx"/>
  </r>
  <r>
    <x v="8"/>
    <m/>
    <s v="SZ"/>
    <n v="3"/>
    <n v="3"/>
    <n v="1"/>
    <m/>
    <m/>
    <m/>
    <m/>
    <s v="https://www.sz.ch/public/upload/assets/45351/MM_Coronavirus_4_3_2020.pdf"/>
  </r>
  <r>
    <x v="8"/>
    <m/>
    <s v="TI"/>
    <m/>
    <n v="13"/>
    <n v="0"/>
    <n v="0"/>
    <n v="0"/>
    <n v="0"/>
    <n v="0"/>
    <s v="https://www4.ti.ch/fileadmin/DSS/DSP/UMC/malattie_infettive/Coronavirus/dati/COVID19_Dati_TI_per_github.xlsx"/>
  </r>
  <r>
    <x v="8"/>
    <m/>
    <s v="VD"/>
    <m/>
    <m/>
    <n v="11"/>
    <n v="1"/>
    <m/>
    <m/>
    <m/>
    <s v="https://www.vd.ch/toutes-les-actualites/hotline-et-informations-sur-le-coronavirus/"/>
  </r>
  <r>
    <x v="8"/>
    <m/>
    <s v="VS"/>
    <m/>
    <n v="4"/>
    <n v="12"/>
    <n v="0"/>
    <n v="0"/>
    <m/>
    <n v="0"/>
    <s v="https://www.vs.ch/de/web/coronavirus"/>
  </r>
  <r>
    <x v="8"/>
    <n v="0.27430555555555558"/>
    <s v="SG"/>
    <m/>
    <n v="1"/>
    <m/>
    <m/>
    <m/>
    <m/>
    <m/>
    <s v="https://www.sg.ch/news/sgch_allgemein/2020/03/erster-bestaetigter-corona-fall-im-kanton-.html"/>
  </r>
  <r>
    <x v="8"/>
    <n v="0.33333333333333331"/>
    <s v="ZG"/>
    <m/>
    <n v="1"/>
    <n v="0"/>
    <n v="0"/>
    <m/>
    <n v="0"/>
    <n v="0"/>
    <s v="https://www.zg.ch/behoerden/gesundheitsdirektion/statistikfachstelle/themen/gesundheit/corona"/>
  </r>
  <r>
    <x v="8"/>
    <n v="0.60416666666666663"/>
    <s v="ZH"/>
    <m/>
    <n v="16"/>
    <m/>
    <m/>
    <m/>
    <m/>
    <m/>
    <s v="https://gd.zh.ch/internet/gesundheitsdirektion/de/themen/coronavirus.html"/>
  </r>
  <r>
    <x v="8"/>
    <n v="0.625"/>
    <s v="AG"/>
    <m/>
    <n v="7"/>
    <m/>
    <m/>
    <m/>
    <m/>
    <m/>
    <s v="https://www.ag.ch/media/kanton_aargau/themen_1/coronavirus_1/lagebulletins/200304_KFS_Coronavirus_Lagebulletin_4.pdf"/>
  </r>
  <r>
    <x v="8"/>
    <n v="0.72222222222222221"/>
    <s v="BS"/>
    <m/>
    <n v="3"/>
    <m/>
    <m/>
    <m/>
    <m/>
    <m/>
    <s v="https://twitter.com/BAG_OFSP_UFSP/status/1235240377134862336?s=20"/>
  </r>
  <r>
    <x v="8"/>
    <n v="0.75"/>
    <s v="LU"/>
    <m/>
    <n v="0"/>
    <m/>
    <m/>
    <m/>
    <m/>
    <m/>
    <s v="https://web.archive.org/web/20200304173939/https://gesundheit.lu.ch/themen/Humanmedizin/Infektionskrankheiten/Coronavirus"/>
  </r>
  <r>
    <x v="9"/>
    <m/>
    <s v="AR"/>
    <m/>
    <n v="1"/>
    <m/>
    <m/>
    <m/>
    <m/>
    <m/>
    <s v="https://www.ar.ch/verwaltung/departement-gesundheit-und-soziales/news-aus-dem-departement/detail/news/coronavirusersterfallinappenzellausserrhoden/?tx_news_pi1[controller]=News&amp;tx_news_pi1[action]=detail&amp;cHash=fb1a9cf08108cdc7b82780b9239b009d"/>
  </r>
  <r>
    <x v="9"/>
    <m/>
    <s v="BL"/>
    <m/>
    <n v="6"/>
    <n v="1"/>
    <m/>
    <m/>
    <m/>
    <m/>
    <s v="https://www.baselland.ch/politik-und-behorden/direktionen/volkswirtschafts-und-gesundheitsdirektion/medienmitteilungen/neuer-coronavirus-covid-19-sechs-bestaetigte-faelle-im-kanton-basel-landschaft"/>
  </r>
  <r>
    <x v="9"/>
    <m/>
    <s v="FL"/>
    <n v="18"/>
    <n v="1"/>
    <m/>
    <m/>
    <m/>
    <m/>
    <m/>
    <s v="https://www.regierung.li/media/attachments/100-coronavirus-18-verdachtsfaelle-0305.pdf?t=637202562374055719"/>
  </r>
  <r>
    <x v="9"/>
    <m/>
    <s v="FR"/>
    <m/>
    <n v="6"/>
    <m/>
    <m/>
    <m/>
    <m/>
    <m/>
    <s v="https://www.fr.ch/de/covid19/gesundheit/covid-19/coronavirus-entwicklungen-der-situation"/>
  </r>
  <r>
    <x v="9"/>
    <m/>
    <s v="GE"/>
    <n v="1148"/>
    <n v="17"/>
    <n v="5"/>
    <n v="0"/>
    <n v="0"/>
    <m/>
    <n v="0"/>
    <s v="https://www.ge.ch/document/20094/telecharger"/>
  </r>
  <r>
    <x v="9"/>
    <m/>
    <s v="JU"/>
    <m/>
    <n v="4"/>
    <n v="2"/>
    <n v="0"/>
    <m/>
    <m/>
    <n v="0"/>
    <s v="https://www.jura.ch/Htdocs/Files/v/34356.xlsx/Departements/CHA/SIC/Carrousel/Coronavirus/Cornavirus/Chiffres/donnees_06_05.xlsx?download=1"/>
  </r>
  <r>
    <x v="9"/>
    <m/>
    <s v="NE"/>
    <m/>
    <n v="9"/>
    <n v="4"/>
    <m/>
    <m/>
    <m/>
    <m/>
    <s v="https://www.ne.ch/autorites/DFS/SCSP/medecin-cantonal/maladies-vaccinations/Documents/Covid-19-Statistiques/COVID19_PublicationInternet.xlsx"/>
  </r>
  <r>
    <x v="9"/>
    <m/>
    <s v="TI"/>
    <m/>
    <n v="25"/>
    <n v="0"/>
    <n v="0"/>
    <n v="0"/>
    <n v="0"/>
    <n v="0"/>
    <s v="https://www4.ti.ch/fileadmin/DSS/DSP/UMC/malattie_infettive/Coronavirus/dati/COVID19_Dati_TI_per_github.xlsx"/>
  </r>
  <r>
    <x v="9"/>
    <m/>
    <s v="VD"/>
    <m/>
    <m/>
    <n v="14"/>
    <n v="1"/>
    <m/>
    <m/>
    <m/>
    <s v="https://www.vd.ch/toutes-les-actualites/hotline-et-informations-sur-le-coronavirus/"/>
  </r>
  <r>
    <x v="9"/>
    <m/>
    <s v="VS"/>
    <m/>
    <n v="5"/>
    <n v="10"/>
    <n v="0"/>
    <n v="0"/>
    <m/>
    <n v="0"/>
    <s v="https://www.vs.ch/de/web/coronavirus"/>
  </r>
  <r>
    <x v="9"/>
    <n v="0.33333333333333331"/>
    <s v="ZG"/>
    <m/>
    <n v="2"/>
    <n v="0"/>
    <n v="0"/>
    <m/>
    <n v="0"/>
    <n v="0"/>
    <s v="https://www.zg.ch/behoerden/gesundheitsdirektion/statistikfachstelle/themen/gesundheit/corona"/>
  </r>
  <r>
    <x v="9"/>
    <n v="0.60416666666666663"/>
    <s v="ZH"/>
    <m/>
    <n v="24"/>
    <m/>
    <m/>
    <m/>
    <m/>
    <m/>
    <s v="https://gd.zh.ch/internet/gesundheitsdirektion/de/themen/coronavirus.html"/>
  </r>
  <r>
    <x v="9"/>
    <n v="0.625"/>
    <s v="AG"/>
    <m/>
    <n v="9"/>
    <m/>
    <m/>
    <m/>
    <m/>
    <m/>
    <s v="https://www.ag.ch/media/kanton_aargau/themen_1/coronavirus_1/lagebulletins/200305_KFS_Coronavirus_Lagebulletin_5.pdf"/>
  </r>
  <r>
    <x v="9"/>
    <n v="0.71875"/>
    <s v="BS"/>
    <m/>
    <n v="8"/>
    <n v="1"/>
    <m/>
    <m/>
    <m/>
    <m/>
    <s v="https://www.coronavirus.bs.ch/nm/2020-coronavirus-fuenf-neue-positive-faelle-in-basel-stadt-gd.html"/>
  </r>
  <r>
    <x v="10"/>
    <m/>
    <s v="BE"/>
    <m/>
    <n v="17"/>
    <m/>
    <m/>
    <m/>
    <m/>
    <m/>
    <s v="https://www.be.ch/portal/de/index/mediencenter/medienmitteilungen/suche.meldungNeu.html/portal/de/meldungen/mm/2020/03/20200306_1343_corona6-3"/>
  </r>
  <r>
    <x v="10"/>
    <m/>
    <s v="BL"/>
    <m/>
    <n v="6"/>
    <n v="4"/>
    <n v="2"/>
    <m/>
    <m/>
    <m/>
    <s v=""/>
  </r>
  <r>
    <x v="10"/>
    <m/>
    <s v="FL"/>
    <n v="22"/>
    <n v="1"/>
    <m/>
    <m/>
    <m/>
    <m/>
    <m/>
    <s v="https://www.regierung.li/media/attachments/104-coronavirus-vorsicht.pdf?t=637202562374055719"/>
  </r>
  <r>
    <x v="10"/>
    <m/>
    <s v="GE"/>
    <n v="1243"/>
    <n v="21"/>
    <n v="7"/>
    <n v="0"/>
    <n v="0"/>
    <m/>
    <n v="0"/>
    <s v="https://www.ge.ch/document/20094/telecharger"/>
  </r>
  <r>
    <x v="10"/>
    <m/>
    <s v="JU"/>
    <m/>
    <n v="4"/>
    <n v="5"/>
    <n v="0"/>
    <m/>
    <m/>
    <n v="0"/>
    <s v="https://www.jura.ch/Htdocs/Files/v/34356.xlsx/Departements/CHA/SIC/Carrousel/Coronavirus/Cornavirus/Chiffres/donnees_06_05.xlsx?download=1"/>
  </r>
  <r>
    <x v="10"/>
    <m/>
    <s v="NE"/>
    <m/>
    <n v="13"/>
    <n v="2"/>
    <m/>
    <m/>
    <m/>
    <m/>
    <s v="https://www.ne.ch/autorites/DFS/SCSP/medecin-cantonal/maladies-vaccinations/Documents/Covid-19-Statistiques/COVID19_PublicationInternet.xlsx"/>
  </r>
  <r>
    <x v="10"/>
    <m/>
    <s v="SZ"/>
    <n v="6"/>
    <n v="6"/>
    <m/>
    <m/>
    <m/>
    <m/>
    <m/>
    <s v="https://www.sz.ch/public/upload/assets/45417/MM_Coronavirus_6_3_2020.pdf"/>
  </r>
  <r>
    <x v="10"/>
    <m/>
    <s v="TI"/>
    <m/>
    <n v="28"/>
    <n v="0"/>
    <n v="0"/>
    <n v="0"/>
    <n v="0"/>
    <n v="0"/>
    <s v="https://www4.ti.ch/fileadmin/DSS/DSP/UMC/malattie_infettive/Coronavirus/dati/COVID19_Dati_TI_per_github.xlsx"/>
  </r>
  <r>
    <x v="10"/>
    <m/>
    <s v="VD"/>
    <m/>
    <n v="23"/>
    <n v="15"/>
    <n v="2"/>
    <m/>
    <m/>
    <n v="1"/>
    <s v="https://www.vd.ch/toutes-les-actualites/hotline-et-informations-sur-le-coronavirus/"/>
  </r>
  <r>
    <x v="10"/>
    <m/>
    <s v="VS"/>
    <m/>
    <n v="6"/>
    <n v="11"/>
    <n v="0"/>
    <n v="0"/>
    <m/>
    <n v="0"/>
    <s v="https://www.vs.ch/de/web/coronavirus"/>
  </r>
  <r>
    <x v="10"/>
    <n v="0.33333333333333331"/>
    <s v="ZG"/>
    <m/>
    <n v="3"/>
    <n v="0"/>
    <n v="0"/>
    <m/>
    <n v="0"/>
    <n v="0"/>
    <s v="https://www.zg.ch/behoerden/gesundheitsdirektion/statistikfachstelle/themen/gesundheit/corona"/>
  </r>
  <r>
    <x v="10"/>
    <n v="0.5"/>
    <s v="SO"/>
    <m/>
    <n v="1"/>
    <m/>
    <m/>
    <m/>
    <m/>
    <m/>
    <s v="https://so.ch/startseite/aktuell/news/erster-laborbestaetigter-covid-19-fall-im-kanton-solothurn/?tx_news_pi1%5Bcontroller%5D=News&amp;tx_news_pi1%5Baction%5D=detail&amp;cHash=3074bbdc8f0fcdcb9f1e11a21fc05e73"/>
  </r>
  <r>
    <x v="10"/>
    <n v="0.58333333333333337"/>
    <s v="BS"/>
    <m/>
    <n v="15"/>
    <n v="1"/>
    <m/>
    <m/>
    <m/>
    <m/>
    <s v="https://twitter.com/BAG_OFSP_UFSP/status/1235934884167852035?s=20"/>
  </r>
  <r>
    <x v="10"/>
    <n v="0.60416666666666663"/>
    <s v="ZH"/>
    <m/>
    <n v="30"/>
    <m/>
    <m/>
    <m/>
    <m/>
    <m/>
    <s v="https://gd.zh.ch/internet/gesundheitsdirektion/de/themen/coronavirus.html"/>
  </r>
  <r>
    <x v="10"/>
    <n v="0.625"/>
    <s v="AG"/>
    <m/>
    <n v="12"/>
    <m/>
    <m/>
    <m/>
    <n v="1"/>
    <m/>
    <s v="https://www.ag.ch/media/kanton_aargau/themen_1/coronavirus_1/lagebulletins/200305_KFS_Coronavirus_Lagebulletin_6.pdf"/>
  </r>
  <r>
    <x v="10"/>
    <n v="0.65138888888888891"/>
    <s v="SG"/>
    <m/>
    <n v="2"/>
    <m/>
    <m/>
    <m/>
    <m/>
    <m/>
    <s v="https://www.sg.ch/news/sgch_allgemein/2020/03/zweiter-bestaetigter-fall-einer-corona-patientin.html"/>
  </r>
  <r>
    <x v="11"/>
    <m/>
    <s v="BL"/>
    <m/>
    <n v="15"/>
    <n v="4"/>
    <n v="2"/>
    <m/>
    <m/>
    <m/>
    <s v="https://www.baselland.ch/politik-und-behorden/direktionen/volkswirtschafts-und-gesundheitsdirektion/medienmitteilungen/update-15-bestaetigte-faelle-in-basel-landschaft"/>
  </r>
  <r>
    <x v="11"/>
    <m/>
    <s v="GE"/>
    <n v="1318"/>
    <n v="32"/>
    <n v="7"/>
    <n v="0"/>
    <n v="0"/>
    <m/>
    <n v="0"/>
    <s v="https://www.ge.ch/document/20094/telecharger"/>
  </r>
  <r>
    <x v="11"/>
    <m/>
    <s v="JU"/>
    <m/>
    <n v="5"/>
    <n v="5"/>
    <n v="0"/>
    <m/>
    <m/>
    <n v="0"/>
    <s v="https://www.jura.ch/Htdocs/Files/v/34356.xlsx/Departements/CHA/SIC/Carrousel/Coronavirus/Cornavirus/Chiffres/donnees_06_05.xlsx?download=1"/>
  </r>
  <r>
    <x v="11"/>
    <m/>
    <s v="NE"/>
    <m/>
    <n v="18"/>
    <n v="2"/>
    <m/>
    <m/>
    <m/>
    <m/>
    <s v="https://www.ne.ch/autorites/DFS/SCSP/medecin-cantonal/maladies-vaccinations/Documents/Covid-19-Statistiques/COVID19_PublicationInternet.xlsx"/>
  </r>
  <r>
    <x v="11"/>
    <m/>
    <s v="TI"/>
    <m/>
    <n v="41"/>
    <n v="0"/>
    <n v="0"/>
    <n v="0"/>
    <n v="0"/>
    <n v="0"/>
    <s v="https://www4.ti.ch/fileadmin/DSS/DSP/UMC/malattie_infettive/Coronavirus/dati/COVID19_Dati_TI_per_github.xlsx"/>
  </r>
  <r>
    <x v="11"/>
    <m/>
    <s v="VD"/>
    <m/>
    <n v="30"/>
    <n v="16"/>
    <n v="4"/>
    <m/>
    <m/>
    <n v="1"/>
    <s v="https://www.vd.ch/toutes-les-actualites/hotline-et-informations-sur-le-coronavirus/"/>
  </r>
  <r>
    <x v="11"/>
    <m/>
    <s v="VS"/>
    <m/>
    <n v="7"/>
    <n v="11"/>
    <n v="0"/>
    <n v="0"/>
    <m/>
    <n v="0"/>
    <s v="https://www.vs.ch/de/web/coronavirus"/>
  </r>
  <r>
    <x v="11"/>
    <n v="0.33333333333333331"/>
    <s v="ZG"/>
    <m/>
    <n v="3"/>
    <n v="0"/>
    <n v="0"/>
    <m/>
    <n v="0"/>
    <n v="0"/>
    <s v="https://www.zg.ch/behoerden/gesundheitsdirektion/statistikfachstelle/themen/gesundheit/corona"/>
  </r>
  <r>
    <x v="11"/>
    <n v="0.5"/>
    <s v="BS"/>
    <m/>
    <n v="21"/>
    <n v="1"/>
    <m/>
    <m/>
    <m/>
    <m/>
    <s v="https://twitter.com/BAG_OFSP_UFSP/status/1236249864473894914?s=20"/>
  </r>
  <r>
    <x v="11"/>
    <n v="0.60416666666666663"/>
    <s v="ZH"/>
    <m/>
    <n v="35"/>
    <m/>
    <m/>
    <m/>
    <m/>
    <m/>
    <s v="https://gd.zh.ch/internet/gesundheitsdirektion/de/themen/coronavirus.html"/>
  </r>
  <r>
    <x v="12"/>
    <m/>
    <s v="BL"/>
    <m/>
    <n v="19"/>
    <n v="4"/>
    <n v="2"/>
    <m/>
    <m/>
    <n v="1"/>
    <s v="https://www.baselland.ch/politik-und-behorden/direktionen/volkswirtschafts-und-gesundheitsdirektion/medienmitteilungen/patient-im-kantonsspital-baselland-stirbt-an-den-folgen-einer-coronavirus-infektion"/>
  </r>
  <r>
    <x v="12"/>
    <m/>
    <s v="FR"/>
    <m/>
    <n v="8"/>
    <m/>
    <m/>
    <m/>
    <m/>
    <m/>
    <s v="https://www.fr.ch/de/covid19/gesundheit/covid-19/coronavirus-entwicklungen-der-situation"/>
  </r>
  <r>
    <x v="12"/>
    <m/>
    <s v="GE"/>
    <n v="1385"/>
    <n v="40"/>
    <n v="9"/>
    <n v="0"/>
    <n v="0"/>
    <m/>
    <n v="0"/>
    <s v="https://www.ge.ch/document/20094/telecharger"/>
  </r>
  <r>
    <x v="12"/>
    <m/>
    <s v="JU"/>
    <m/>
    <n v="5"/>
    <n v="5"/>
    <n v="0"/>
    <m/>
    <m/>
    <n v="0"/>
    <s v="https://www.jura.ch/Htdocs/Files/v/34356.xlsx/Departements/CHA/SIC/Carrousel/Coronavirus/Cornavirus/Chiffres/donnees_06_05.xlsx?download=1"/>
  </r>
  <r>
    <x v="12"/>
    <m/>
    <s v="NE"/>
    <m/>
    <n v="24"/>
    <n v="3"/>
    <m/>
    <m/>
    <m/>
    <m/>
    <s v="https://www.ne.ch/autorites/DFS/SCSP/medecin-cantonal/maladies-vaccinations/Documents/Covid-19-Statistiques/COVID19_PublicationInternet.xlsx"/>
  </r>
  <r>
    <x v="12"/>
    <m/>
    <s v="TI"/>
    <m/>
    <n v="49"/>
    <n v="0"/>
    <n v="0"/>
    <n v="0"/>
    <n v="0"/>
    <n v="0"/>
    <s v="https://www4.ti.ch/fileadmin/DSS/DSP/UMC/malattie_infettive/Coronavirus/dati/COVID19_Dati_TI_per_github.xlsx"/>
  </r>
  <r>
    <x v="12"/>
    <m/>
    <s v="VD"/>
    <m/>
    <n v="40"/>
    <n v="22"/>
    <n v="3"/>
    <m/>
    <m/>
    <n v="1"/>
    <s v="https://www.vd.ch/toutes-les-actualites/hotline-et-informations-sur-le-coronavirus/"/>
  </r>
  <r>
    <x v="12"/>
    <m/>
    <s v="VS"/>
    <m/>
    <n v="12"/>
    <n v="15"/>
    <n v="1"/>
    <n v="1"/>
    <m/>
    <n v="0"/>
    <s v="https://www.vs.ch/de/web/coronavirus"/>
  </r>
  <r>
    <x v="12"/>
    <n v="0.33333333333333331"/>
    <s v="ZG"/>
    <m/>
    <n v="3"/>
    <n v="0"/>
    <n v="0"/>
    <m/>
    <n v="0"/>
    <n v="0"/>
    <s v="https://www.zg.ch/behoerden/gesundheitsdirektion/statistikfachstelle/themen/gesundheit/corona"/>
  </r>
  <r>
    <x v="12"/>
    <n v="0.5"/>
    <s v="BS"/>
    <m/>
    <n v="24"/>
    <n v="1"/>
    <m/>
    <m/>
    <m/>
    <m/>
    <s v="https://twitter.com/BAG_OFSP_UFSP/status/1236609191831384064?s=20"/>
  </r>
  <r>
    <x v="12"/>
    <n v="0.60416666666666663"/>
    <s v="ZH"/>
    <m/>
    <n v="41"/>
    <m/>
    <m/>
    <m/>
    <m/>
    <m/>
    <s v="https://gd.zh.ch/internet/gesundheitsdirektion/de/themen/coronavirus.html"/>
  </r>
  <r>
    <x v="13"/>
    <m/>
    <s v="AR"/>
    <m/>
    <n v="2"/>
    <m/>
    <m/>
    <m/>
    <m/>
    <m/>
    <s v="https://www.ar.ch/schnellzugriff/medienmitteilungen-der-kantonalen-verwaltung/detail/news/zweiter-coronafall-in-appenzell-ausserrhoden/?tx_news_pi1[controller]=News&amp;tx_news_pi1[action]=detail&amp;cHash=de7ec38198b5e60b6dce8fccc7735501"/>
  </r>
  <r>
    <x v="13"/>
    <m/>
    <s v="BE"/>
    <m/>
    <n v="34"/>
    <m/>
    <m/>
    <m/>
    <m/>
    <m/>
    <s v="https://www.be.ch/portal/de/index/mediencenter/medienmitteilungen/suche.meldungNeu.html/portal/de/meldungen/mm/2020/03/20200309_1545_corona-9-3"/>
  </r>
  <r>
    <x v="13"/>
    <m/>
    <s v="BL"/>
    <m/>
    <n v="20"/>
    <n v="4"/>
    <n v="4"/>
    <m/>
    <n v="1"/>
    <n v="1"/>
    <s v="https://www.baselland.ch/politik-und-behorden/direktionen/volkswirtschafts-und-gesundheitsdirektion/medienmitteilungen/update-xx-bestaetigte-faelle-in-basel-landschaft"/>
  </r>
  <r>
    <x v="13"/>
    <m/>
    <s v="FL"/>
    <n v="24"/>
    <n v="1"/>
    <m/>
    <m/>
    <m/>
    <m/>
    <m/>
    <s v="https://www.regierung.li/media/attachments/106-coronavirus-anpassung-massnahmen.pdf?t=637202562374055719"/>
  </r>
  <r>
    <x v="13"/>
    <m/>
    <s v="FR"/>
    <m/>
    <n v="11"/>
    <m/>
    <m/>
    <m/>
    <m/>
    <m/>
    <s v="https://www.fr.ch/de/covid19/gesundheit/covid-19/coronavirus-entwicklungen-der-situation"/>
  </r>
  <r>
    <x v="13"/>
    <m/>
    <s v="GE"/>
    <n v="1491"/>
    <n v="50"/>
    <n v="13"/>
    <n v="3"/>
    <n v="1"/>
    <m/>
    <n v="0"/>
    <s v="https://www.ge.ch/document/20094/telecharger"/>
  </r>
  <r>
    <x v="13"/>
    <m/>
    <s v="JU"/>
    <m/>
    <n v="7"/>
    <n v="5"/>
    <n v="0"/>
    <m/>
    <m/>
    <n v="0"/>
    <s v="https://www.jura.ch/Htdocs/Files/v/34356.xlsx/Departements/CHA/SIC/Carrousel/Coronavirus/Cornavirus/Chiffres/donnees_06_05.xlsx?download=1"/>
  </r>
  <r>
    <x v="13"/>
    <m/>
    <s v="NE"/>
    <m/>
    <n v="27"/>
    <n v="4"/>
    <m/>
    <m/>
    <m/>
    <m/>
    <s v="https://www.ne.ch/autorites/DFS/SCSP/medecin-cantonal/maladies-vaccinations/Documents/Covid-19-Statistiques/COVID19_PublicationInternet.xlsx"/>
  </r>
  <r>
    <x v="13"/>
    <m/>
    <s v="TI"/>
    <m/>
    <n v="61"/>
    <n v="0"/>
    <n v="0"/>
    <n v="0"/>
    <n v="0"/>
    <n v="0"/>
    <s v="https://www4.ti.ch/fileadmin/DSS/DSP/UMC/malattie_infettive/Coronavirus/dati/COVID19_Dati_TI_per_github.xlsx"/>
  </r>
  <r>
    <x v="13"/>
    <m/>
    <s v="VD"/>
    <m/>
    <n v="51"/>
    <n v="29"/>
    <n v="5"/>
    <m/>
    <m/>
    <n v="1"/>
    <s v="https://www.vd.ch/toutes-les-actualites/hotline-et-informations-sur-le-coronavirus/"/>
  </r>
  <r>
    <x v="13"/>
    <m/>
    <s v="VS"/>
    <m/>
    <n v="17"/>
    <n v="16"/>
    <n v="1"/>
    <n v="1"/>
    <m/>
    <n v="0"/>
    <s v="https://www.vs.ch/de/web/coronavirus"/>
  </r>
  <r>
    <x v="13"/>
    <n v="0.33333333333333331"/>
    <s v="ZG"/>
    <m/>
    <n v="10"/>
    <n v="0"/>
    <n v="0"/>
    <m/>
    <n v="0"/>
    <n v="0"/>
    <s v="https://www.zg.ch/behoerden/gesundheitsdirektion/statistikfachstelle/themen/gesundheit/corona"/>
  </r>
  <r>
    <x v="13"/>
    <n v="0.5"/>
    <s v="BS"/>
    <m/>
    <n v="28"/>
    <n v="1"/>
    <m/>
    <m/>
    <m/>
    <m/>
    <s v="https://twitter.com/BAG_OFSP_UFSP/status/1236973685602426881?s=20"/>
  </r>
  <r>
    <x v="13"/>
    <n v="0.60416666666666663"/>
    <s v="ZH"/>
    <m/>
    <n v="50"/>
    <m/>
    <m/>
    <m/>
    <m/>
    <m/>
    <s v="https://gd.zh.ch/internet/gesundheitsdirektion/de/themen/coronavirus.html"/>
  </r>
  <r>
    <x v="13"/>
    <n v="0.625"/>
    <s v="AG"/>
    <m/>
    <n v="14"/>
    <m/>
    <m/>
    <m/>
    <n v="2"/>
    <m/>
    <s v="https://www.ag.ch/media/kanton_aargau/themen_1/coronavirus_1/lagebulletins/200309_KFS_Coronavirus_Lagebulletin_7.pdf"/>
  </r>
  <r>
    <x v="14"/>
    <m/>
    <s v="BL"/>
    <m/>
    <n v="22"/>
    <n v="5"/>
    <n v="1"/>
    <m/>
    <n v="2"/>
    <n v="1"/>
    <s v="https://www.baselland.ch/politik-und-behorden/direktionen/volkswirtschafts-und-gesundheitsdirektion/medienmitteilungen/update"/>
  </r>
  <r>
    <x v="14"/>
    <m/>
    <s v="FL"/>
    <n v="37"/>
    <n v="1"/>
    <m/>
    <m/>
    <m/>
    <m/>
    <m/>
    <s v="https://www.regierung.li/media/attachments/110-corona-0310.pdf?t=637202562374055719"/>
  </r>
  <r>
    <x v="14"/>
    <m/>
    <s v="GE"/>
    <n v="1684"/>
    <n v="75"/>
    <n v="18"/>
    <n v="4"/>
    <n v="1"/>
    <m/>
    <n v="1"/>
    <s v="https://www.ge.ch/document/20094/telecharger"/>
  </r>
  <r>
    <x v="14"/>
    <m/>
    <s v="GL"/>
    <m/>
    <n v="1"/>
    <n v="0"/>
    <m/>
    <m/>
    <m/>
    <n v="0"/>
    <s v="https://www.gl.ch/public/upload/assets/28096/COVID-19_Fallzahlen_Kanton_Glarus.xlsx"/>
  </r>
  <r>
    <x v="14"/>
    <m/>
    <s v="JU"/>
    <m/>
    <n v="7"/>
    <n v="5"/>
    <n v="0"/>
    <m/>
    <m/>
    <n v="0"/>
    <s v="https://www.jura.ch/Htdocs/Files/v/34356.xlsx/Departements/CHA/SIC/Carrousel/Coronavirus/Cornavirus/Chiffres/donnees_06_05.xlsx?download=1"/>
  </r>
  <r>
    <x v="14"/>
    <m/>
    <s v="NE"/>
    <m/>
    <n v="31"/>
    <n v="4"/>
    <m/>
    <m/>
    <m/>
    <m/>
    <s v="https://www.ne.ch/autorites/DFS/SCSP/medecin-cantonal/maladies-vaccinations/Documents/Covid-19-Statistiques/COVID19_PublicationInternet.xlsx"/>
  </r>
  <r>
    <x v="14"/>
    <m/>
    <s v="TI"/>
    <m/>
    <n v="75"/>
    <n v="0"/>
    <n v="0"/>
    <n v="0"/>
    <n v="0"/>
    <n v="1"/>
    <s v="https://www4.ti.ch/fileadmin/DSS/DSP/UMC/malattie_infettive/Coronavirus/dati/COVID19_Dati_TI_per_github.xlsx"/>
  </r>
  <r>
    <x v="14"/>
    <m/>
    <s v="VD"/>
    <m/>
    <n v="130"/>
    <n v="48"/>
    <n v="8"/>
    <m/>
    <m/>
    <n v="1"/>
    <s v="https://www.vd.ch/toutes-les-actualites/hotline-et-informations-sur-le-coronavirus/point-de-situation-statistique-dans-le-canton-de-vaud/"/>
  </r>
  <r>
    <x v="14"/>
    <m/>
    <s v="VS"/>
    <m/>
    <n v="22"/>
    <n v="19"/>
    <n v="1"/>
    <n v="1"/>
    <m/>
    <n v="0"/>
    <s v="https://www.vs.ch/de/web/coronavirus"/>
  </r>
  <r>
    <x v="14"/>
    <n v="0.33333333333333331"/>
    <s v="ZG"/>
    <m/>
    <n v="10"/>
    <n v="0"/>
    <n v="0"/>
    <m/>
    <n v="0"/>
    <n v="0"/>
    <s v="https://www.zg.ch/behoerden/gesundheitsdirektion/statistikfachstelle/themen/gesundheit/corona"/>
  </r>
  <r>
    <x v="14"/>
    <n v="0.5"/>
    <s v="BS"/>
    <m/>
    <n v="33"/>
    <n v="1"/>
    <m/>
    <m/>
    <m/>
    <m/>
    <s v="https://twitter.com/BAG_OFSP_UFSP/status/1237336196772175873?s=20"/>
  </r>
  <r>
    <x v="14"/>
    <n v="0.60416666666666663"/>
    <s v="ZH"/>
    <m/>
    <n v="63"/>
    <m/>
    <m/>
    <m/>
    <m/>
    <m/>
    <s v="https://gd.zh.ch/internet/gesundheitsdirektion/de/themen/coronavirus.html"/>
  </r>
  <r>
    <x v="14"/>
    <n v="0.625"/>
    <s v="AG"/>
    <m/>
    <n v="17"/>
    <m/>
    <m/>
    <m/>
    <n v="2"/>
    <m/>
    <s v="https://www.ag.ch/media/kanton_aargau/themen_1/coronavirus_1/lagebulletins/200310_KFS_Coronavirus_Lagebulletin_8.pdf"/>
  </r>
  <r>
    <x v="15"/>
    <m/>
    <s v="BL"/>
    <m/>
    <n v="26"/>
    <n v="3"/>
    <n v="1"/>
    <m/>
    <n v="2"/>
    <n v="2"/>
    <s v="https://www.baselland.ch/politik-und-behorden/direktionen/volkswirtschafts-und-gesundheitsdirektion/medienmitteilungen/update-26-bestaetigte-faelle-in-basel-landschaft-1"/>
  </r>
  <r>
    <x v="15"/>
    <m/>
    <s v="FL"/>
    <n v="50"/>
    <n v="3"/>
    <m/>
    <m/>
    <m/>
    <n v="1"/>
    <m/>
    <s v="https://www.regierung.li/media/attachments/112-drei-personen-infiziert.pdf?t=637202562374055719"/>
  </r>
  <r>
    <x v="15"/>
    <m/>
    <s v="FR"/>
    <m/>
    <n v="16"/>
    <m/>
    <m/>
    <m/>
    <m/>
    <n v="0"/>
    <s v="https://www.fr.ch/sites/default/files/2020-05/statistiques_situation_FR_0705.xlsx"/>
  </r>
  <r>
    <x v="15"/>
    <m/>
    <s v="GE"/>
    <n v="1924"/>
    <n v="91"/>
    <n v="20"/>
    <n v="6"/>
    <n v="4"/>
    <m/>
    <n v="1"/>
    <s v="https://www.ge.ch/document/20094/telecharger"/>
  </r>
  <r>
    <x v="15"/>
    <m/>
    <s v="GL"/>
    <m/>
    <n v="1"/>
    <n v="0"/>
    <m/>
    <m/>
    <m/>
    <n v="0"/>
    <s v="https://www.gl.ch/public/upload/assets/28096/COVID-19_Fallzahlen_Kanton_Glarus.xlsx"/>
  </r>
  <r>
    <x v="15"/>
    <m/>
    <s v="JU"/>
    <m/>
    <n v="7"/>
    <n v="6"/>
    <n v="0"/>
    <m/>
    <m/>
    <n v="0"/>
    <s v="https://www.jura.ch/Htdocs/Files/v/34356.xlsx/Departements/CHA/SIC/Carrousel/Coronavirus/Cornavirus/Chiffres/donnees_06_05.xlsx?download=1"/>
  </r>
  <r>
    <x v="15"/>
    <m/>
    <s v="NE"/>
    <m/>
    <n v="37"/>
    <n v="6"/>
    <m/>
    <m/>
    <m/>
    <m/>
    <s v="https://www.ne.ch/autorites/DFS/SCSP/medecin-cantonal/maladies-vaccinations/Documents/Covid-19-Statistiques/COVID19_PublicationInternet.xlsx"/>
  </r>
  <r>
    <x v="15"/>
    <m/>
    <s v="NW"/>
    <m/>
    <n v="4"/>
    <n v="2"/>
    <m/>
    <m/>
    <m/>
    <m/>
    <s v="http://www.nw.ch/coronastatistik"/>
  </r>
  <r>
    <x v="15"/>
    <m/>
    <s v="SH"/>
    <m/>
    <n v="1"/>
    <m/>
    <m/>
    <m/>
    <m/>
    <n v="0"/>
    <s v="https://sh.ch/CMS/get/file/1142c079-5d62-4035-b9ea-04901bfcdfe9"/>
  </r>
  <r>
    <x v="15"/>
    <m/>
    <s v="TI"/>
    <m/>
    <n v="108"/>
    <n v="0"/>
    <n v="0"/>
    <n v="0"/>
    <n v="0"/>
    <n v="1"/>
    <s v="https://www4.ti.ch/fileadmin/DSS/DSP/UMC/malattie_infettive/Coronavirus/dati/COVID19_Dati_TI_per_github.xlsx"/>
  </r>
  <r>
    <x v="15"/>
    <m/>
    <s v="VD"/>
    <m/>
    <n v="203"/>
    <n v="51"/>
    <n v="7"/>
    <m/>
    <m/>
    <n v="1"/>
    <s v="https://www.vd.ch/toutes-les-actualites/hotline-et-informations-sur-le-coronavirus/point-de-situation-statistique-dans-le-canton-de-vaud/"/>
  </r>
  <r>
    <x v="15"/>
    <m/>
    <s v="VS"/>
    <m/>
    <n v="30"/>
    <n v="20"/>
    <n v="1"/>
    <n v="1"/>
    <m/>
    <n v="0"/>
    <s v="https://www.vs.ch/de/web/coronavirus"/>
  </r>
  <r>
    <x v="15"/>
    <n v="0.33333333333333331"/>
    <s v="ZG"/>
    <m/>
    <n v="11"/>
    <n v="0"/>
    <n v="0"/>
    <m/>
    <n v="0"/>
    <n v="0"/>
    <s v="https://www.zg.ch/behoerden/gesundheitsdirektion/statistikfachstelle/themen/gesundheit/corona"/>
  </r>
  <r>
    <x v="15"/>
    <n v="0.5"/>
    <s v="BS"/>
    <m/>
    <n v="49"/>
    <n v="13"/>
    <n v="2"/>
    <m/>
    <n v="4"/>
    <m/>
    <s v="https://www.coronavirus.bs.ch/nm/2020-coronavirus-ende-der-quarantaenemassnahmen-im-fall-kita-riehen-gd.html"/>
  </r>
  <r>
    <x v="15"/>
    <n v="0.60416666666666663"/>
    <s v="ZH"/>
    <m/>
    <n v="102"/>
    <m/>
    <m/>
    <m/>
    <m/>
    <m/>
    <s v="https://gd.zh.ch/internet/gesundheitsdirektion/de/themen/coronavirus.html"/>
  </r>
  <r>
    <x v="15"/>
    <n v="0.625"/>
    <s v="AG"/>
    <m/>
    <n v="18"/>
    <m/>
    <m/>
    <m/>
    <n v="2"/>
    <m/>
    <s v="https://www.ag.ch/media/kanton_aargau/themen_1/coronavirus_1/lagebulletins/200311_KFS_Coronavirus_Lagebulletin_9.pdf"/>
  </r>
  <r>
    <x v="16"/>
    <m/>
    <s v="AR"/>
    <m/>
    <n v="5"/>
    <m/>
    <m/>
    <m/>
    <m/>
    <m/>
    <s v="https://www.ar.ch/schnellzugriff/medienmitteilungen-der-kantonalen-verwaltung/detail/news/coronavirus-drei-neue-faelle-in-appenzell-ausserrhoden/?tx_news_pi1[controller]=News&amp;tx_news_pi1[action]=detail&amp;cHash=272411484066c8fb971dcc838aa96ef9"/>
  </r>
  <r>
    <x v="16"/>
    <m/>
    <s v="BL"/>
    <m/>
    <n v="26"/>
    <n v="9"/>
    <n v="3"/>
    <m/>
    <n v="2"/>
    <n v="2"/>
    <s v=""/>
  </r>
  <r>
    <x v="16"/>
    <m/>
    <s v="FL"/>
    <n v="57"/>
    <n v="3"/>
    <m/>
    <m/>
    <m/>
    <n v="1"/>
    <m/>
    <s v="https://www.regierung.li/media/attachments/114-hallenbaeder-geschlossen-0312.pdf?t=637202562374055719"/>
  </r>
  <r>
    <x v="16"/>
    <m/>
    <s v="FR"/>
    <m/>
    <n v="22"/>
    <m/>
    <m/>
    <m/>
    <m/>
    <n v="0"/>
    <s v="https://www.fr.ch/sites/default/files/2020-05/statistiques_situation_FR_0705.xlsx"/>
  </r>
  <r>
    <x v="16"/>
    <m/>
    <s v="GE"/>
    <n v="2277"/>
    <n v="123"/>
    <n v="23"/>
    <n v="6"/>
    <n v="4"/>
    <m/>
    <n v="2"/>
    <s v="https://www.ge.ch/document/20094/telecharger"/>
  </r>
  <r>
    <x v="16"/>
    <m/>
    <s v="GL"/>
    <m/>
    <n v="3"/>
    <n v="0"/>
    <m/>
    <m/>
    <m/>
    <n v="0"/>
    <s v="https://www.gl.ch/public/upload/assets/28096/COVID-19_Fallzahlen_Kanton_Glarus.xlsx"/>
  </r>
  <r>
    <x v="16"/>
    <m/>
    <s v="JU"/>
    <m/>
    <n v="12"/>
    <n v="6"/>
    <n v="0"/>
    <m/>
    <m/>
    <n v="0"/>
    <s v="https://www.jura.ch/Htdocs/Files/v/34356.xlsx/Departements/CHA/SIC/Carrousel/Coronavirus/Cornavirus/Chiffres/donnees_06_05.xlsx?download=1"/>
  </r>
  <r>
    <x v="16"/>
    <m/>
    <s v="NE"/>
    <m/>
    <n v="46"/>
    <n v="6"/>
    <m/>
    <m/>
    <m/>
    <m/>
    <s v="https://www.ne.ch/autorites/DFS/SCSP/medecin-cantonal/maladies-vaccinations/Documents/Covid-19-Statistiques/COVID19_PublicationInternet.xlsx"/>
  </r>
  <r>
    <x v="16"/>
    <m/>
    <s v="NW"/>
    <m/>
    <n v="5"/>
    <n v="5"/>
    <m/>
    <m/>
    <m/>
    <m/>
    <s v="http://www.nw.ch/coronastatistik"/>
  </r>
  <r>
    <x v="16"/>
    <m/>
    <s v="SG"/>
    <m/>
    <n v="15"/>
    <m/>
    <m/>
    <m/>
    <m/>
    <m/>
    <s v="https://www.sg.ch/tools/informationen-coronavirus.html"/>
  </r>
  <r>
    <x v="16"/>
    <m/>
    <s v="SH"/>
    <m/>
    <n v="1"/>
    <m/>
    <m/>
    <m/>
    <m/>
    <n v="0"/>
    <s v="https://sh.ch/CMS/get/file/1142c079-5d62-4035-b9ea-04901bfcdfe9"/>
  </r>
  <r>
    <x v="16"/>
    <m/>
    <s v="TI"/>
    <m/>
    <n v="163"/>
    <n v="0"/>
    <n v="0"/>
    <n v="0"/>
    <n v="0"/>
    <n v="1"/>
    <s v="https://www4.ti.ch/fileadmin/DSS/DSP/UMC/malattie_infettive/Coronavirus/dati/COVID19_Dati_TI_per_github.xlsx"/>
  </r>
  <r>
    <x v="16"/>
    <m/>
    <s v="UR"/>
    <m/>
    <n v="2"/>
    <m/>
    <m/>
    <m/>
    <m/>
    <m/>
    <s v=""/>
  </r>
  <r>
    <x v="16"/>
    <m/>
    <s v="VD"/>
    <m/>
    <n v="277"/>
    <n v="55"/>
    <n v="6"/>
    <m/>
    <m/>
    <n v="3"/>
    <s v="https://www.vd.ch/toutes-les-actualites/hotline-et-informations-sur-le-coronavirus/point-de-situation-statistique-dans-le-canton-de-vaud/"/>
  </r>
  <r>
    <x v="16"/>
    <m/>
    <s v="VS"/>
    <m/>
    <n v="53"/>
    <n v="27"/>
    <n v="1"/>
    <n v="1"/>
    <m/>
    <n v="0"/>
    <s v="https://www.vs.ch/de/web/coronavirus"/>
  </r>
  <r>
    <x v="16"/>
    <n v="0.33333333333333331"/>
    <s v="ZG"/>
    <m/>
    <n v="11"/>
    <n v="0"/>
    <n v="0"/>
    <m/>
    <n v="0"/>
    <n v="0"/>
    <s v="https://www.zg.ch/behoerden/gesundheitsdirektion/statistikfachstelle/themen/gesundheit/corona"/>
  </r>
  <r>
    <x v="16"/>
    <n v="0.5"/>
    <s v="BS"/>
    <m/>
    <n v="73"/>
    <n v="13"/>
    <m/>
    <m/>
    <n v="4"/>
    <n v="1"/>
    <s v="https://twitter.com/BAG_OFSP_UFSP/status/1238073089902235648?s=20 https://www.coronavirus.bs.ch/nm/2020-coronavirus-erster-todesfall-im-kanton-basel-stadt-gd.html"/>
  </r>
  <r>
    <x v="16"/>
    <n v="0.60416666666666663"/>
    <s v="ZH"/>
    <m/>
    <n v="141"/>
    <m/>
    <m/>
    <m/>
    <m/>
    <m/>
    <s v="https://gd.zh.ch/internet/gesundheitsdirektion/de/themen/coronavirus.html"/>
  </r>
  <r>
    <x v="16"/>
    <n v="0.625"/>
    <s v="AG"/>
    <m/>
    <n v="27"/>
    <n v="1"/>
    <m/>
    <m/>
    <n v="3"/>
    <m/>
    <s v="https://www.ag.ch/media/kanton_aargau/themen_1/coronavirus_1/lagebulletins/200312_KFS_Coronavirus_Lagebulletin_10.pdf"/>
  </r>
  <r>
    <x v="17"/>
    <m/>
    <s v="BL"/>
    <m/>
    <n v="42"/>
    <n v="12"/>
    <n v="3"/>
    <m/>
    <n v="2"/>
    <n v="2"/>
    <s v="https://www.baselland.ch/politik-und-behorden/direktionen/volkswirtschafts-und-gesundheitsdirektion/medienmitteilungen/update-26-bestaetigte-faelle-in-basel-landschaft-2"/>
  </r>
  <r>
    <x v="17"/>
    <m/>
    <s v="FR"/>
    <m/>
    <n v="29"/>
    <m/>
    <m/>
    <m/>
    <m/>
    <n v="0"/>
    <s v="https://www.fr.ch/sites/default/files/2020-05/statistiques_situation_FR_0705.xlsx"/>
  </r>
  <r>
    <x v="17"/>
    <m/>
    <s v="GE"/>
    <n v="2717"/>
    <n v="197"/>
    <n v="33"/>
    <n v="7"/>
    <n v="5"/>
    <m/>
    <n v="2"/>
    <s v="https://www.ge.ch/document/20094/telecharger"/>
  </r>
  <r>
    <x v="17"/>
    <m/>
    <s v="GL"/>
    <m/>
    <n v="6"/>
    <n v="0"/>
    <m/>
    <m/>
    <m/>
    <n v="0"/>
    <s v="https://www.gl.ch/public/upload/assets/28096/COVID-19_Fallzahlen_Kanton_Glarus.xlsx"/>
  </r>
  <r>
    <x v="17"/>
    <m/>
    <s v="JU"/>
    <m/>
    <n v="17"/>
    <n v="8"/>
    <n v="0"/>
    <m/>
    <m/>
    <n v="0"/>
    <s v="https://www.jura.ch/Htdocs/Files/v/34356.xlsx/Departements/CHA/SIC/Carrousel/Coronavirus/Cornavirus/Chiffres/donnees_06_05.xlsx?download=1"/>
  </r>
  <r>
    <x v="17"/>
    <m/>
    <s v="NE"/>
    <m/>
    <n v="59"/>
    <n v="9"/>
    <m/>
    <m/>
    <m/>
    <m/>
    <s v="https://www.ne.ch/autorites/DFS/SCSP/medecin-cantonal/maladies-vaccinations/Documents/Covid-19-Statistiques/COVID19_PublicationInternet.xlsx"/>
  </r>
  <r>
    <x v="17"/>
    <m/>
    <s v="NW"/>
    <m/>
    <n v="5"/>
    <n v="6"/>
    <m/>
    <m/>
    <m/>
    <m/>
    <s v="http://www.nw.ch/coronastatistik"/>
  </r>
  <r>
    <x v="17"/>
    <m/>
    <s v="SH"/>
    <m/>
    <n v="1"/>
    <m/>
    <m/>
    <m/>
    <m/>
    <n v="0"/>
    <s v="https://sh.ch/CMS/get/file/1142c079-5d62-4035-b9ea-04901bfcdfe9"/>
  </r>
  <r>
    <x v="17"/>
    <m/>
    <s v="TI"/>
    <m/>
    <n v="206"/>
    <n v="0"/>
    <n v="0"/>
    <n v="0"/>
    <n v="0"/>
    <n v="1"/>
    <s v="https://www4.ti.ch/fileadmin/DSS/DSP/UMC/malattie_infettive/Coronavirus/dati/COVID19_Dati_TI_per_github.xlsx"/>
  </r>
  <r>
    <x v="17"/>
    <m/>
    <s v="VD"/>
    <m/>
    <n v="370"/>
    <n v="61"/>
    <n v="7"/>
    <m/>
    <m/>
    <n v="3"/>
    <s v="https://www.vd.ch/toutes-les-actualites/hotline-et-informations-sur-le-coronavirus/point-de-situation-statistique-dans-le-canton-de-vaud/"/>
  </r>
  <r>
    <x v="17"/>
    <m/>
    <s v="VS"/>
    <m/>
    <n v="76"/>
    <n v="29"/>
    <n v="1"/>
    <n v="1"/>
    <m/>
    <n v="1"/>
    <s v="https://www.vs.ch/de/web/coronavirus"/>
  </r>
  <r>
    <x v="17"/>
    <n v="0.33333333333333331"/>
    <s v="ZG"/>
    <m/>
    <n v="11"/>
    <n v="0"/>
    <n v="0"/>
    <m/>
    <n v="0"/>
    <n v="0"/>
    <s v="https://www.zg.ch/behoerden/gesundheitsdirektion/statistikfachstelle/themen/gesundheit/corona"/>
  </r>
  <r>
    <x v="17"/>
    <n v="0.5"/>
    <s v="OW"/>
    <n v="6"/>
    <n v="1"/>
    <m/>
    <m/>
    <m/>
    <m/>
    <m/>
    <s v="https://www.ow.ch/de/aktuelles/aktuellesinformationen/amtsmitteilungen/welcome.php?action=showinfo&amp;info_id=63566&amp;ls=0&amp;sq=&amp;kategorie_id=&amp;date_from=&amp;date_to="/>
  </r>
  <r>
    <x v="17"/>
    <n v="0.5"/>
    <s v="SZ"/>
    <n v="10"/>
    <n v="9"/>
    <m/>
    <m/>
    <m/>
    <m/>
    <m/>
    <s v="https://www.sz.ch/public/upload/assets/45585/MM_Coronavirus_13_03_2020.pdf"/>
  </r>
  <r>
    <x v="17"/>
    <n v="0.52083333333333337"/>
    <s v="BS"/>
    <m/>
    <n v="92"/>
    <n v="13"/>
    <m/>
    <m/>
    <n v="4"/>
    <n v="1"/>
    <s v="https://twitter.com/BAG_OFSP_UFSP/status/1238430659762364417?s=20"/>
  </r>
  <r>
    <x v="17"/>
    <n v="0.54166666666666663"/>
    <s v="AG"/>
    <m/>
    <n v="32"/>
    <m/>
    <m/>
    <m/>
    <n v="3"/>
    <m/>
    <s v="https://www.ag.ch/media/kanton_aargau/themen_1/coronavirus_1/lagebulletins/200313_KFS_Coronavirus_Lagebulletin_11.pdf"/>
  </r>
  <r>
    <x v="17"/>
    <n v="0.60416666666666663"/>
    <s v="ZH"/>
    <m/>
    <n v="164"/>
    <m/>
    <m/>
    <m/>
    <m/>
    <m/>
    <s v="https://gd.zh.ch/internet/gesundheitsdirektion/de/themen/coronavirus.html"/>
  </r>
  <r>
    <x v="18"/>
    <m/>
    <s v="AI"/>
    <m/>
    <n v="2"/>
    <m/>
    <m/>
    <m/>
    <m/>
    <n v="0"/>
    <s v="https://www.ai.ch/themen/gesundheit-alter-und-soziales/gesundheitsfoerderung-und-praevention/aktuelles/erste-bestaetigte-coronavirus-faelle-auch-in-innerrhoden"/>
  </r>
  <r>
    <x v="18"/>
    <m/>
    <s v="BL"/>
    <m/>
    <n v="47"/>
    <n v="8"/>
    <n v="2"/>
    <m/>
    <n v="2"/>
    <n v="2"/>
    <s v="https://www.baselland.ch/politik-und-behorden/direktionen/volkswirtschafts-und-gesundheitsdirektion/medienmitteilungen/update-47-bestaetigte-faelle-in-basel-landschaft"/>
  </r>
  <r>
    <x v="18"/>
    <m/>
    <s v="FL"/>
    <n v="99"/>
    <n v="3"/>
    <m/>
    <m/>
    <m/>
    <n v="1"/>
    <m/>
    <s v="https://www.regierung.li/media/attachments/118-corona-rueckkehrer-skiferien-0314.pdf?t=637202562374055719"/>
  </r>
  <r>
    <x v="18"/>
    <m/>
    <s v="FR"/>
    <m/>
    <n v="36"/>
    <m/>
    <m/>
    <m/>
    <m/>
    <n v="0"/>
    <s v="https://www.fr.ch/sites/default/files/2020-05/statistiques_situation_FR_0705.xlsx"/>
  </r>
  <r>
    <x v="18"/>
    <m/>
    <s v="GE"/>
    <n v="3309"/>
    <n v="310"/>
    <n v="43"/>
    <n v="8"/>
    <n v="5"/>
    <m/>
    <n v="2"/>
    <s v="https://www.ge.ch/document/20094/telecharger"/>
  </r>
  <r>
    <x v="18"/>
    <m/>
    <s v="GL"/>
    <m/>
    <n v="8"/>
    <n v="0"/>
    <m/>
    <m/>
    <m/>
    <n v="0"/>
    <s v="https://www.gl.ch/public/upload/assets/28096/COVID-19_Fallzahlen_Kanton_Glarus.xlsx"/>
  </r>
  <r>
    <x v="18"/>
    <m/>
    <s v="JU"/>
    <m/>
    <n v="18"/>
    <n v="8"/>
    <n v="0"/>
    <m/>
    <m/>
    <n v="0"/>
    <s v="https://www.jura.ch/Htdocs/Files/v/34356.xlsx/Departements/CHA/SIC/Carrousel/Coronavirus/Cornavirus/Chiffres/donnees_06_05.xlsx?download=1"/>
  </r>
  <r>
    <x v="18"/>
    <m/>
    <s v="NE"/>
    <m/>
    <n v="68"/>
    <n v="10"/>
    <m/>
    <m/>
    <m/>
    <m/>
    <s v="https://www.ne.ch/autorites/DFS/SCSP/medecin-cantonal/maladies-vaccinations/Documents/Covid-19-Statistiques/COVID19_PublicationInternet.xlsx"/>
  </r>
  <r>
    <x v="18"/>
    <m/>
    <s v="NW"/>
    <m/>
    <n v="5"/>
    <n v="6"/>
    <m/>
    <m/>
    <m/>
    <m/>
    <s v="http://www.nw.ch/coronastatistik"/>
  </r>
  <r>
    <x v="18"/>
    <m/>
    <s v="SH"/>
    <m/>
    <n v="1"/>
    <m/>
    <m/>
    <m/>
    <m/>
    <n v="0"/>
    <s v="https://sh.ch/CMS/get/file/1142c079-5d62-4035-b9ea-04901bfcdfe9"/>
  </r>
  <r>
    <x v="18"/>
    <m/>
    <s v="TI"/>
    <m/>
    <n v="265"/>
    <n v="77"/>
    <n v="13"/>
    <n v="0"/>
    <n v="61"/>
    <n v="3"/>
    <s v="https://www4.ti.ch/fileadmin/DSS/DSP/UMC/malattie_infettive/Coronavirus/dati/COVID19_Dati_TI_per_github.xlsx"/>
  </r>
  <r>
    <x v="18"/>
    <m/>
    <s v="VD"/>
    <m/>
    <n v="477"/>
    <n v="75"/>
    <n v="10"/>
    <m/>
    <m/>
    <n v="5"/>
    <s v="https://www.vd.ch/toutes-les-actualites/hotline-et-informations-sur-le-coronavirus/point-de-situation-statistique-dans-le-canton-de-vaud/"/>
  </r>
  <r>
    <x v="18"/>
    <m/>
    <s v="VS"/>
    <m/>
    <n v="98"/>
    <n v="33"/>
    <n v="1"/>
    <n v="1"/>
    <m/>
    <n v="1"/>
    <s v="https://www.vs.ch/de/web/coronavirus"/>
  </r>
  <r>
    <x v="18"/>
    <n v="0.12708333333333333"/>
    <s v="SZ"/>
    <n v="10"/>
    <n v="12"/>
    <m/>
    <m/>
    <m/>
    <m/>
    <m/>
    <s v="https://www.bote.ch/nachrichten/schwyz/schwyz_bdu/coronavirus-einsatz-fuer-spitalbataillon-5"/>
  </r>
  <r>
    <x v="18"/>
    <n v="0.33333333333333331"/>
    <s v="ZG"/>
    <m/>
    <n v="13"/>
    <n v="0"/>
    <n v="0"/>
    <m/>
    <n v="0"/>
    <n v="0"/>
    <s v="https://www.zg.ch/behoerden/gesundheitsdirektion/statistikfachstelle/themen/gesundheit/corona"/>
  </r>
  <r>
    <x v="18"/>
    <n v="0.47708333333333336"/>
    <s v="BS"/>
    <m/>
    <n v="100"/>
    <n v="13"/>
    <m/>
    <m/>
    <n v="4"/>
    <n v="1"/>
    <s v="https://twitter.com/BAG_OFSP_UFSP/status/1238773726423941127?s=20"/>
  </r>
  <r>
    <x v="18"/>
    <n v="0.60416666666666663"/>
    <s v="ZH"/>
    <m/>
    <n v="219"/>
    <m/>
    <m/>
    <m/>
    <m/>
    <m/>
    <s v="https://gd.zh.ch/internet/gesundheitsdirektion/de/themen/coronavirus.html"/>
  </r>
  <r>
    <x v="19"/>
    <m/>
    <s v="BL"/>
    <m/>
    <n v="54"/>
    <n v="12"/>
    <n v="2"/>
    <m/>
    <n v="5"/>
    <n v="2"/>
    <s v="https://www.baselland.ch/politik-und-behorden/direktionen/volkswirtschafts-und-gesundheitsdirektion/medienmitteilungen/update-54-bestaetigte-faelle-in-basel-landschaft"/>
  </r>
  <r>
    <x v="19"/>
    <m/>
    <s v="FL"/>
    <m/>
    <n v="7"/>
    <m/>
    <m/>
    <m/>
    <n v="1"/>
    <m/>
    <s v="https://www.regierung.li/media/attachments/119-corona-massnahmen-verschaerft-0315.pdf?t=637202562374055719"/>
  </r>
  <r>
    <x v="19"/>
    <m/>
    <s v="FR"/>
    <m/>
    <n v="40"/>
    <m/>
    <m/>
    <m/>
    <m/>
    <n v="0"/>
    <s v="https://www.fr.ch/sites/default/files/2020-05/statistiques_situation_FR_0705.xlsx"/>
  </r>
  <r>
    <x v="19"/>
    <m/>
    <s v="GE"/>
    <n v="3712"/>
    <n v="403"/>
    <n v="46"/>
    <n v="12"/>
    <n v="8"/>
    <m/>
    <n v="4"/>
    <s v="https://www.ge.ch/document/20094/telecharger"/>
  </r>
  <r>
    <x v="19"/>
    <m/>
    <s v="GL"/>
    <m/>
    <n v="10"/>
    <n v="0"/>
    <m/>
    <m/>
    <m/>
    <n v="0"/>
    <s v="https://www.gl.ch/public/upload/assets/28096/COVID-19_Fallzahlen_Kanton_Glarus.xlsx"/>
  </r>
  <r>
    <x v="19"/>
    <m/>
    <s v="JU"/>
    <m/>
    <n v="19"/>
    <n v="9"/>
    <n v="0"/>
    <m/>
    <m/>
    <n v="0"/>
    <s v="https://www.jura.ch/Htdocs/Files/v/34356.xlsx/Departements/CHA/SIC/Carrousel/Coronavirus/Cornavirus/Chiffres/donnees_06_05.xlsx?download=1"/>
  </r>
  <r>
    <x v="19"/>
    <m/>
    <s v="NE"/>
    <m/>
    <n v="74"/>
    <n v="9"/>
    <m/>
    <m/>
    <m/>
    <m/>
    <s v="https://www.ne.ch/autorites/DFS/SCSP/medecin-cantonal/maladies-vaccinations/Documents/Covid-19-Statistiques/COVID19_PublicationInternet.xlsx"/>
  </r>
  <r>
    <x v="19"/>
    <m/>
    <s v="NW"/>
    <m/>
    <n v="8"/>
    <n v="6"/>
    <m/>
    <m/>
    <m/>
    <m/>
    <s v="http://www.nw.ch/coronastatistik"/>
  </r>
  <r>
    <x v="19"/>
    <m/>
    <s v="SH"/>
    <m/>
    <n v="1"/>
    <m/>
    <m/>
    <m/>
    <m/>
    <n v="0"/>
    <s v="https://sh.ch/CMS/get/file/1142c079-5d62-4035-b9ea-04901bfcdfe9"/>
  </r>
  <r>
    <x v="19"/>
    <m/>
    <s v="SZ"/>
    <m/>
    <n v="13"/>
    <m/>
    <m/>
    <m/>
    <m/>
    <m/>
    <s v="https://www.sz.ch/public/upload/assets/45590/MM_Coronavirus_15_3_2020.pdf"/>
  </r>
  <r>
    <x v="19"/>
    <m/>
    <s v="TI"/>
    <m/>
    <n v="293"/>
    <n v="92"/>
    <n v="16"/>
    <n v="0"/>
    <n v="61"/>
    <n v="6"/>
    <s v="https://www4.ti.ch/fileadmin/DSS/DSP/UMC/malattie_infettive/Coronavirus/dati/COVID19_Dati_TI_per_github.xlsx"/>
  </r>
  <r>
    <x v="19"/>
    <m/>
    <s v="VD"/>
    <m/>
    <n v="567"/>
    <n v="90"/>
    <n v="10"/>
    <m/>
    <m/>
    <n v="6"/>
    <s v="https://www.vd.ch/toutes-les-actualites/hotline-et-informations-sur-le-coronavirus/point-de-situation-statistique-dans-le-canton-de-vaud/"/>
  </r>
  <r>
    <x v="19"/>
    <m/>
    <s v="VS"/>
    <m/>
    <n v="115"/>
    <n v="35"/>
    <n v="1"/>
    <n v="1"/>
    <m/>
    <n v="2"/>
    <s v="https://www.vs.ch/de/web/coronavirus"/>
  </r>
  <r>
    <x v="19"/>
    <n v="0.33333333333333331"/>
    <s v="ZG"/>
    <m/>
    <n v="13"/>
    <n v="0"/>
    <n v="0"/>
    <m/>
    <n v="0"/>
    <n v="0"/>
    <s v="https://www.zg.ch/behoerden/gesundheitsdirektion/statistikfachstelle/themen/gesundheit/corona"/>
  </r>
  <r>
    <x v="19"/>
    <n v="0.60416666666666663"/>
    <s v="ZH"/>
    <m/>
    <n v="251"/>
    <m/>
    <m/>
    <m/>
    <m/>
    <n v="1"/>
    <s v="https://gd.zh.ch/internet/gesundheitsdirektion/de/themen/coronavirus.html"/>
  </r>
  <r>
    <x v="20"/>
    <m/>
    <s v="AI"/>
    <m/>
    <n v="4"/>
    <m/>
    <m/>
    <m/>
    <m/>
    <n v="0"/>
    <s v="Kantonaler Führungsstab Appenzell Innerrhoden"/>
  </r>
  <r>
    <x v="20"/>
    <m/>
    <s v="BE"/>
    <m/>
    <n v="123"/>
    <m/>
    <m/>
    <m/>
    <m/>
    <n v="1"/>
    <s v="https://www.besondere-lage.sites.be.ch/besondere-lage_sites/de/index/corona/index.html"/>
  </r>
  <r>
    <x v="20"/>
    <m/>
    <s v="BL"/>
    <m/>
    <n v="76"/>
    <n v="17"/>
    <n v="4"/>
    <m/>
    <n v="5"/>
    <n v="2"/>
    <s v="https://www.baselland.ch/politik-und-behorden/direktionen/volkswirtschafts-und-gesundheitsdirektion/medienmitteilungen/update-67-bestaetigte-faelle-in-basel-landschaft"/>
  </r>
  <r>
    <x v="20"/>
    <m/>
    <s v="FR"/>
    <m/>
    <n v="45"/>
    <m/>
    <m/>
    <m/>
    <m/>
    <n v="0"/>
    <s v="https://www.fr.ch/sites/default/files/2020-05/statistiques_situation_FR_0705.xlsx"/>
  </r>
  <r>
    <x v="20"/>
    <m/>
    <s v="GE"/>
    <n v="4164"/>
    <n v="497"/>
    <n v="66"/>
    <n v="10"/>
    <n v="9"/>
    <m/>
    <n v="4"/>
    <s v="https://www.ge.ch/document/20094/telecharger"/>
  </r>
  <r>
    <x v="20"/>
    <m/>
    <s v="GL"/>
    <m/>
    <n v="10"/>
    <n v="0"/>
    <m/>
    <m/>
    <m/>
    <n v="0"/>
    <s v="https://www.gl.ch/public/upload/assets/28096/COVID-19_Fallzahlen_Kanton_Glarus.xlsx"/>
  </r>
  <r>
    <x v="20"/>
    <m/>
    <s v="JU"/>
    <m/>
    <n v="25"/>
    <n v="9"/>
    <n v="0"/>
    <m/>
    <m/>
    <n v="0"/>
    <s v="https://www.jura.ch/Htdocs/Files/v/34356.xlsx/Departements/CHA/SIC/Carrousel/Coronavirus/Cornavirus/Chiffres/donnees_06_05.xlsx?download=1"/>
  </r>
  <r>
    <x v="20"/>
    <m/>
    <s v="NE"/>
    <m/>
    <n v="93"/>
    <n v="13"/>
    <m/>
    <m/>
    <m/>
    <m/>
    <s v="https://www.ne.ch/autorites/DFS/SCSP/medecin-cantonal/maladies-vaccinations/Documents/Covid-19-Statistiques/COVID19_PublicationInternet.xlsx"/>
  </r>
  <r>
    <x v="20"/>
    <m/>
    <s v="NW"/>
    <m/>
    <n v="10"/>
    <n v="7"/>
    <m/>
    <m/>
    <m/>
    <m/>
    <s v="http://www.nw.ch/coronastatistik"/>
  </r>
  <r>
    <x v="20"/>
    <m/>
    <s v="SH"/>
    <m/>
    <n v="2"/>
    <m/>
    <m/>
    <m/>
    <m/>
    <n v="0"/>
    <s v="https://sh.ch/CMS/get/file/1142c079-5d62-4035-b9ea-04901bfcdfe9"/>
  </r>
  <r>
    <x v="20"/>
    <m/>
    <s v="TG"/>
    <n v="246"/>
    <n v="17"/>
    <m/>
    <m/>
    <m/>
    <m/>
    <m/>
    <s v=""/>
  </r>
  <r>
    <x v="20"/>
    <m/>
    <s v="TI"/>
    <m/>
    <n v="368"/>
    <n v="112"/>
    <n v="18"/>
    <n v="0"/>
    <n v="61"/>
    <n v="8"/>
    <s v="https://www4.ti.ch/fileadmin/DSS/DSP/UMC/malattie_infettive/Coronavirus/dati/COVID19_Dati_TI_per_github.xlsx"/>
  </r>
  <r>
    <x v="20"/>
    <m/>
    <s v="VD"/>
    <m/>
    <n v="797"/>
    <n v="126"/>
    <n v="20"/>
    <m/>
    <m/>
    <n v="8"/>
    <s v="https://www.vd.ch/toutes-les-actualites/hotline-et-informations-sur-le-coronavirus/point-de-situation-statistique-dans-le-canton-de-vaud/"/>
  </r>
  <r>
    <x v="20"/>
    <m/>
    <s v="VS"/>
    <m/>
    <n v="172"/>
    <n v="41"/>
    <n v="2"/>
    <n v="1"/>
    <m/>
    <n v="3"/>
    <s v="https://www.vs.ch/de/web/coronavirus"/>
  </r>
  <r>
    <x v="20"/>
    <n v="0.33333333333333331"/>
    <s v="ZG"/>
    <m/>
    <n v="20"/>
    <n v="0"/>
    <n v="0"/>
    <m/>
    <n v="0"/>
    <n v="0"/>
    <s v="https://www.zg.ch/behoerden/gesundheitsdirektion/statistikfachstelle/themen/gesundheit/corona"/>
  </r>
  <r>
    <x v="20"/>
    <n v="0.5"/>
    <s v="BS"/>
    <m/>
    <n v="143"/>
    <n v="13"/>
    <m/>
    <m/>
    <n v="4"/>
    <n v="4"/>
    <s v="https://www.coronavirus.bs.ch/nm/2020-tagesbulletin-coronavirus-144-bestaetigte-faelle-im-kanton-basel-stadt-gd.html"/>
  </r>
  <r>
    <x v="20"/>
    <n v="0.60416666666666663"/>
    <s v="ZH"/>
    <m/>
    <n v="327"/>
    <m/>
    <m/>
    <m/>
    <m/>
    <n v="1"/>
    <s v="https://gd.zh.ch/internet/gesundheitsdirektion/de/themen/coronavirus.html"/>
  </r>
  <r>
    <x v="20"/>
    <n v="0.625"/>
    <s v="AG"/>
    <m/>
    <n v="52"/>
    <n v="2"/>
    <m/>
    <m/>
    <n v="4"/>
    <m/>
    <s v="https://www.ag.ch/media/kanton_aargau/themen_1/coronavirus_1/lagebulletins/200316_KFS_Coronavirus_Lagebulletin_12.pdf"/>
  </r>
  <r>
    <x v="21"/>
    <m/>
    <s v="AI"/>
    <m/>
    <n v="5"/>
    <m/>
    <m/>
    <m/>
    <m/>
    <n v="0"/>
    <s v="Kantonaler Führungsstab Appenzell Innerrhoden"/>
  </r>
  <r>
    <x v="21"/>
    <m/>
    <s v="BL"/>
    <m/>
    <n v="89"/>
    <n v="26"/>
    <n v="5"/>
    <m/>
    <n v="13"/>
    <n v="2"/>
    <s v="https://www.baselland.ch/politik-und-behorden/direktionen/volkswirtschafts-und-gesundheitsdirektion/medienmitteilungen/update-89-bestaetigte-faelle-in-basel-landschaft"/>
  </r>
  <r>
    <x v="21"/>
    <m/>
    <s v="FL"/>
    <m/>
    <n v="19"/>
    <m/>
    <m/>
    <m/>
    <n v="1"/>
    <m/>
    <s v="https://www.regierung.li/media/attachments/126-corona-generelles-veranstaltungsverbot-weitere-schliessungen.pdf?t=637202562374055719"/>
  </r>
  <r>
    <x v="21"/>
    <m/>
    <s v="FR"/>
    <m/>
    <n v="59"/>
    <m/>
    <m/>
    <m/>
    <m/>
    <n v="0"/>
    <s v="https://www.fr.ch/sites/default/files/2020-05/statistiques_situation_FR_0705.xlsx"/>
  </r>
  <r>
    <x v="21"/>
    <m/>
    <s v="GE"/>
    <n v="4773"/>
    <n v="633"/>
    <n v="75"/>
    <n v="19"/>
    <n v="17"/>
    <m/>
    <n v="5"/>
    <s v="https://www.ge.ch/document/20094/telecharger"/>
  </r>
  <r>
    <x v="21"/>
    <m/>
    <s v="GL"/>
    <m/>
    <n v="12"/>
    <n v="0"/>
    <m/>
    <m/>
    <m/>
    <n v="0"/>
    <s v="https://www.gl.ch/public/upload/assets/28096/COVID-19_Fallzahlen_Kanton_Glarus.xlsx"/>
  </r>
  <r>
    <x v="21"/>
    <m/>
    <s v="GR"/>
    <m/>
    <n v="101"/>
    <n v="9"/>
    <m/>
    <m/>
    <m/>
    <n v="1"/>
    <s v="https://www.gr.ch/DE/institutionen/verwaltung/djsg/ga/coronavirus/_layouts/15/GenericDataFeed/feed.aspx?PageID=26&amp;ID=g_1175d522_e609_4287_93af_d14c9efd5218&amp;FORMAT=JSONRAW"/>
  </r>
  <r>
    <x v="21"/>
    <m/>
    <s v="JU"/>
    <m/>
    <n v="29"/>
    <n v="11"/>
    <n v="0"/>
    <m/>
    <m/>
    <n v="0"/>
    <s v="https://www.jura.ch/Htdocs/Files/v/34356.xlsx/Departements/CHA/SIC/Carrousel/Coronavirus/Cornavirus/Chiffres/donnees_06_05.xlsx?download=1"/>
  </r>
  <r>
    <x v="21"/>
    <m/>
    <s v="NE"/>
    <m/>
    <n v="114"/>
    <n v="16"/>
    <m/>
    <m/>
    <m/>
    <n v="1"/>
    <s v="https://www.ne.ch/autorites/DFS/SCSP/medecin-cantonal/maladies-vaccinations/Documents/Covid-19-Statistiques/COVID19_PublicationInternet.xlsx"/>
  </r>
  <r>
    <x v="21"/>
    <m/>
    <s v="NW"/>
    <m/>
    <n v="12"/>
    <n v="6"/>
    <m/>
    <m/>
    <m/>
    <m/>
    <s v="http://www.nw.ch/coronastatistik"/>
  </r>
  <r>
    <x v="21"/>
    <m/>
    <s v="SG"/>
    <m/>
    <n v="47"/>
    <m/>
    <m/>
    <m/>
    <m/>
    <m/>
    <s v="https://www.sg.ch/tools/informationen-coronavirus.html"/>
  </r>
  <r>
    <x v="21"/>
    <m/>
    <s v="SH"/>
    <m/>
    <n v="2"/>
    <m/>
    <m/>
    <m/>
    <m/>
    <n v="0"/>
    <s v="https://sh.ch/CMS/get/file/1142c079-5d62-4035-b9ea-04901bfcdfe9"/>
  </r>
  <r>
    <x v="21"/>
    <m/>
    <s v="TG"/>
    <n v="276"/>
    <n v="23"/>
    <m/>
    <m/>
    <m/>
    <m/>
    <m/>
    <s v=""/>
  </r>
  <r>
    <x v="21"/>
    <m/>
    <s v="TI"/>
    <m/>
    <n v="426"/>
    <n v="137"/>
    <n v="23"/>
    <n v="0"/>
    <n v="62"/>
    <n v="10"/>
    <s v="https://www4.ti.ch/fileadmin/DSS/DSP/UMC/malattie_infettive/Coronavirus/dati/COVID19_Dati_TI_per_github.xlsx"/>
  </r>
  <r>
    <x v="21"/>
    <m/>
    <s v="VD"/>
    <m/>
    <n v="1040"/>
    <n v="140"/>
    <n v="24"/>
    <m/>
    <m/>
    <n v="10"/>
    <s v="https://www.vd.ch/toutes-les-actualites/hotline-et-informations-sur-le-coronavirus/point-de-situation-statistique-dans-le-canton-de-vaud/"/>
  </r>
  <r>
    <x v="21"/>
    <m/>
    <s v="VS"/>
    <m/>
    <n v="225"/>
    <n v="46"/>
    <n v="2"/>
    <n v="2"/>
    <m/>
    <n v="3"/>
    <s v="https://www.vs.ch/de/web/coronavirus"/>
  </r>
  <r>
    <x v="21"/>
    <n v="0.33333333333333331"/>
    <s v="ZG"/>
    <m/>
    <n v="29"/>
    <n v="0"/>
    <n v="0"/>
    <m/>
    <n v="1"/>
    <n v="0"/>
    <s v="https://www.zg.ch/behoerden/gesundheitsdirektion/statistikfachstelle/themen/gesundheit/corona"/>
  </r>
  <r>
    <x v="21"/>
    <n v="0.5"/>
    <s v="BS"/>
    <m/>
    <n v="164"/>
    <n v="30"/>
    <m/>
    <m/>
    <n v="25"/>
    <n v="4"/>
    <s v="https://www.coronavirus.bs.ch/nm/2020-tagesbulletin-coronavirus-165-bestaetigte-faelle-im-kanton-basel-stadt-gd.html"/>
  </r>
  <r>
    <x v="21"/>
    <n v="0.60416666666666663"/>
    <s v="ZH"/>
    <m/>
    <n v="430"/>
    <m/>
    <m/>
    <m/>
    <m/>
    <n v="1"/>
    <s v="https://gd.zh.ch/internet/gesundheitsdirektion/de/themen/coronavirus.html"/>
  </r>
  <r>
    <x v="21"/>
    <n v="0.66666666666666663"/>
    <s v="AG"/>
    <m/>
    <n v="67"/>
    <n v="2"/>
    <m/>
    <m/>
    <n v="4"/>
    <m/>
    <s v="https://www.ag.ch/media/kanton_aargau/themen_1/coronavirus_1/lagebulletins/200317_KFS_Coronavirus_Lagebulletin_13.pdf"/>
  </r>
  <r>
    <x v="22"/>
    <m/>
    <s v="AR"/>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s v="BE"/>
    <m/>
    <n v="193"/>
    <m/>
    <m/>
    <m/>
    <m/>
    <n v="1"/>
    <s v="https://www.besondere-lage.sites.be.ch/besondere-lage_sites/de/index/corona/index.html"/>
  </r>
  <r>
    <x v="22"/>
    <m/>
    <s v="BL"/>
    <m/>
    <n v="116"/>
    <n v="27"/>
    <n v="2"/>
    <m/>
    <n v="16"/>
    <n v="2"/>
    <s v="https://www.baselland.ch/politik-und-behorden/direktionen/volkswirtschafts-und-gesundheitsdirektion/medienmitteilungen/update-116-bestaetigte-faelle-in-basel-landschaft"/>
  </r>
  <r>
    <x v="22"/>
    <m/>
    <s v="FL"/>
    <m/>
    <n v="28"/>
    <m/>
    <m/>
    <m/>
    <n v="1"/>
    <m/>
    <s v="https://www.regierung.li/media/attachments/131-corona-hotline-0318.pdf?t=637202562374055719"/>
  </r>
  <r>
    <x v="22"/>
    <m/>
    <s v="FR"/>
    <m/>
    <n v="86"/>
    <n v="11"/>
    <n v="5"/>
    <m/>
    <m/>
    <n v="0"/>
    <s v="https://www.fr.ch/sites/default/files/2020-05/statistiques_situation_FR_0705.xlsx"/>
  </r>
  <r>
    <x v="22"/>
    <m/>
    <s v="GE"/>
    <n v="5548"/>
    <n v="778"/>
    <n v="78"/>
    <n v="20"/>
    <n v="17"/>
    <m/>
    <n v="6"/>
    <s v="https://www.ge.ch/document/20094/telecharger"/>
  </r>
  <r>
    <x v="22"/>
    <m/>
    <s v="GL"/>
    <m/>
    <n v="14"/>
    <n v="0"/>
    <m/>
    <m/>
    <m/>
    <n v="0"/>
    <s v="https://www.gl.ch/public/upload/assets/28096/COVID-19_Fallzahlen_Kanton_Glarus.xlsx"/>
  </r>
  <r>
    <x v="22"/>
    <m/>
    <s v="GR"/>
    <m/>
    <n v="128"/>
    <n v="13"/>
    <m/>
    <m/>
    <m/>
    <n v="1"/>
    <s v="https://www.gr.ch/DE/institutionen/verwaltung/djsg/ga/coronavirus/_layouts/15/GenericDataFeed/feed.aspx?PageID=26&amp;ID=g_1175d522_e609_4287_93af_d14c9efd5218&amp;FORMAT=JSONRAW"/>
  </r>
  <r>
    <x v="22"/>
    <m/>
    <s v="JU"/>
    <m/>
    <n v="32"/>
    <n v="11"/>
    <n v="0"/>
    <m/>
    <m/>
    <n v="0"/>
    <s v="https://www.jura.ch/Htdocs/Files/v/34356.xlsx/Departements/CHA/SIC/Carrousel/Coronavirus/Cornavirus/Chiffres/donnees_06_05.xlsx?download=1"/>
  </r>
  <r>
    <x v="22"/>
    <m/>
    <s v="NE"/>
    <m/>
    <n v="146"/>
    <n v="18"/>
    <m/>
    <m/>
    <m/>
    <n v="2"/>
    <s v="https://www.ne.ch/autorites/DFS/SCSP/medecin-cantonal/maladies-vaccinations/Documents/Covid-19-Statistiques/COVID19_PublicationInternet.xlsx"/>
  </r>
  <r>
    <x v="22"/>
    <m/>
    <s v="NW"/>
    <m/>
    <n v="18"/>
    <n v="6"/>
    <m/>
    <m/>
    <m/>
    <m/>
    <s v="http://www.nw.ch/coronastatistik"/>
  </r>
  <r>
    <x v="22"/>
    <m/>
    <s v="SG"/>
    <m/>
    <n v="61"/>
    <m/>
    <m/>
    <m/>
    <m/>
    <m/>
    <s v="https://www.sg.ch/tools/informationen-coronavirus.html"/>
  </r>
  <r>
    <x v="22"/>
    <m/>
    <s v="SH"/>
    <m/>
    <n v="8"/>
    <m/>
    <m/>
    <m/>
    <m/>
    <n v="0"/>
    <s v="https://sh.ch/CMS/get/file/1142c079-5d62-4035-b9ea-04901bfcdfe9"/>
  </r>
  <r>
    <x v="22"/>
    <m/>
    <s v="SO"/>
    <m/>
    <n v="43"/>
    <m/>
    <m/>
    <m/>
    <m/>
    <m/>
    <s v="https://www.oltnertagblatt.ch/solothurn/kanton-solothurn/zivilschuetzer-kontrollieren-wer-in-die-solothurner-spitaeler-rein-will-137174885"/>
  </r>
  <r>
    <x v="22"/>
    <m/>
    <s v="TG"/>
    <m/>
    <n v="32"/>
    <m/>
    <m/>
    <m/>
    <m/>
    <m/>
    <s v="https://www.tg.ch/news/fachdossier-coronavirus.html/10552"/>
  </r>
  <r>
    <x v="22"/>
    <m/>
    <s v="TI"/>
    <m/>
    <n v="511"/>
    <n v="163"/>
    <n v="29"/>
    <n v="28"/>
    <n v="62"/>
    <n v="12"/>
    <s v="https://www4.ti.ch/fileadmin/DSS/DSP/UMC/malattie_infettive/Coronavirus/dati/COVID19_Dati_TI_per_github.xlsx"/>
  </r>
  <r>
    <x v="22"/>
    <m/>
    <s v="UR"/>
    <n v="85"/>
    <n v="5"/>
    <m/>
    <m/>
    <m/>
    <m/>
    <m/>
    <s v="https://www.ur.ch/mmdirektionen/63802"/>
  </r>
  <r>
    <x v="22"/>
    <m/>
    <s v="VD"/>
    <m/>
    <n v="1306"/>
    <n v="153"/>
    <n v="24"/>
    <m/>
    <m/>
    <n v="13"/>
    <s v="https://www.vd.ch/toutes-les-actualites/hotline-et-informations-sur-le-coronavirus/point-de-situation-statistique-dans-le-canton-de-vaud/"/>
  </r>
  <r>
    <x v="22"/>
    <m/>
    <s v="VS"/>
    <m/>
    <n v="312"/>
    <n v="58"/>
    <n v="2"/>
    <n v="2"/>
    <m/>
    <n v="4"/>
    <s v="https://www.vs.ch/de/web/coronavirus"/>
  </r>
  <r>
    <x v="22"/>
    <n v="0.33333333333333331"/>
    <s v="ZG"/>
    <m/>
    <n v="33"/>
    <n v="0"/>
    <n v="0"/>
    <m/>
    <n v="5"/>
    <n v="0"/>
    <s v="https://www.zg.ch/behoerden/gesundheitsdirektion/statistikfachstelle/themen/gesundheit/corona"/>
  </r>
  <r>
    <x v="22"/>
    <n v="0.46875"/>
    <s v="BS"/>
    <m/>
    <n v="181"/>
    <n v="40"/>
    <m/>
    <m/>
    <n v="36"/>
    <n v="4"/>
    <s v="https://www.coronavirus.bs.ch/nm/2020-tagesbulletin-coronavirus-182-bestaetigte-faelle-im-kanton-basel-stadt-treffen-mit-allen-spitaelern-gd.html"/>
  </r>
  <r>
    <x v="22"/>
    <n v="0.60416666666666663"/>
    <s v="ZH"/>
    <m/>
    <n v="569"/>
    <m/>
    <m/>
    <m/>
    <m/>
    <n v="2"/>
    <s v="https://gd.zh.ch/internet/gesundheitsdirektion/de/themen/coronavirus.html"/>
  </r>
  <r>
    <x v="22"/>
    <n v="0.66666666666666663"/>
    <s v="AG"/>
    <m/>
    <n v="101"/>
    <n v="6"/>
    <m/>
    <m/>
    <n v="4"/>
    <m/>
    <s v="https://www.ag.ch/media/kanton_aargau/themen_1/coronavirus_1/lagebulletins/200318_KFS_Coronavirus_Lagebulletin_14.pdf"/>
  </r>
  <r>
    <x v="22"/>
    <n v="0.66666666666666663"/>
    <s v="LU"/>
    <m/>
    <n v="65"/>
    <m/>
    <m/>
    <m/>
    <m/>
    <m/>
    <s v="https://web.archive.org/web/20200318191404/https://gesundheit.lu.ch/themen/Humanmedizin/Infektionskrankheiten/Coronavirus"/>
  </r>
  <r>
    <x v="23"/>
    <m/>
    <s v="AI"/>
    <m/>
    <n v="6"/>
    <n v="1"/>
    <m/>
    <m/>
    <m/>
    <n v="0"/>
    <s v="Kantonaler Führungsstab Appenzell Innerrhoden"/>
  </r>
  <r>
    <x v="23"/>
    <m/>
    <s v="BE"/>
    <m/>
    <n v="282"/>
    <m/>
    <m/>
    <m/>
    <m/>
    <n v="1"/>
    <s v="https://www.besondere-lage.sites.be.ch/besondere-lage_sites/de/index/corona/index.html"/>
  </r>
  <r>
    <x v="23"/>
    <m/>
    <s v="BL"/>
    <m/>
    <n v="134"/>
    <n v="19"/>
    <n v="2"/>
    <m/>
    <n v="16"/>
    <n v="2"/>
    <s v="https://www.baselland.ch/politik-und-behorden/direktionen/volkswirtschafts-und-gesundheitsdirektion/medienmitteilungen/update-131-bestaetigte-faelle-in-basel-landschaft"/>
  </r>
  <r>
    <x v="23"/>
    <m/>
    <s v="FR"/>
    <m/>
    <n v="111"/>
    <n v="12"/>
    <n v="5"/>
    <m/>
    <m/>
    <n v="1"/>
    <s v="https://www.fr.ch/sites/default/files/2020-05/statistiques_situation_FR_0705.xlsx"/>
  </r>
  <r>
    <x v="23"/>
    <m/>
    <s v="GE"/>
    <n v="6176"/>
    <n v="967"/>
    <n v="92"/>
    <n v="19"/>
    <n v="18"/>
    <m/>
    <n v="7"/>
    <s v="https://www.ge.ch/document/20094/telecharger"/>
  </r>
  <r>
    <x v="23"/>
    <m/>
    <s v="GL"/>
    <m/>
    <n v="16"/>
    <n v="0"/>
    <m/>
    <m/>
    <m/>
    <n v="0"/>
    <s v="https://www.gl.ch/public/upload/assets/28096/COVID-19_Fallzahlen_Kanton_Glarus.xlsx"/>
  </r>
  <r>
    <x v="23"/>
    <m/>
    <s v="GR"/>
    <m/>
    <n v="182"/>
    <n v="18"/>
    <m/>
    <m/>
    <m/>
    <n v="2"/>
    <s v="https://www.gr.ch/DE/institutionen/verwaltung/djsg/ga/coronavirus/_layouts/15/GenericDataFeed/feed.aspx?PageID=26&amp;ID=g_1175d522_e609_4287_93af_d14c9efd5218&amp;FORMAT=JSONRAW"/>
  </r>
  <r>
    <x v="23"/>
    <m/>
    <s v="JU"/>
    <m/>
    <n v="36"/>
    <n v="12"/>
    <n v="0"/>
    <m/>
    <m/>
    <n v="0"/>
    <s v="https://www.jura.ch/Htdocs/Files/v/34356.xlsx/Departements/CHA/SIC/Carrousel/Coronavirus/Cornavirus/Chiffres/donnees_06_05.xlsx?download=1"/>
  </r>
  <r>
    <x v="23"/>
    <m/>
    <s v="NE"/>
    <m/>
    <n v="175"/>
    <n v="19"/>
    <m/>
    <m/>
    <m/>
    <n v="3"/>
    <s v="https://www.ne.ch/autorites/DFS/SCSP/medecin-cantonal/maladies-vaccinations/Documents/Covid-19-Statistiques/COVID19_PublicationInternet.xlsx"/>
  </r>
  <r>
    <x v="23"/>
    <m/>
    <s v="NW"/>
    <m/>
    <n v="25"/>
    <n v="5"/>
    <m/>
    <m/>
    <m/>
    <m/>
    <s v="http://www.nw.ch/coronastatistik"/>
  </r>
  <r>
    <x v="23"/>
    <m/>
    <s v="SG"/>
    <m/>
    <n v="85"/>
    <m/>
    <m/>
    <m/>
    <m/>
    <m/>
    <s v="https://www.sg.ch/tools/informationen-coronavirus.html"/>
  </r>
  <r>
    <x v="23"/>
    <m/>
    <s v="SH"/>
    <m/>
    <n v="12"/>
    <m/>
    <m/>
    <m/>
    <m/>
    <n v="0"/>
    <s v="https://sh.ch/CMS/get/file/1142c079-5d62-4035-b9ea-04901bfcdfe9"/>
  </r>
  <r>
    <x v="23"/>
    <m/>
    <s v="TG"/>
    <m/>
    <n v="37"/>
    <m/>
    <m/>
    <m/>
    <m/>
    <m/>
    <s v="https://www.tg.ch/news/fachdossier-coronavirus.html/10552"/>
  </r>
  <r>
    <x v="23"/>
    <m/>
    <s v="TI"/>
    <m/>
    <n v="638"/>
    <n v="182"/>
    <n v="33"/>
    <n v="32"/>
    <n v="65"/>
    <n v="13"/>
    <s v="https://www4.ti.ch/fileadmin/DSS/DSP/UMC/malattie_infettive/Coronavirus/dati/COVID19_Dati_TI_per_github.xlsx"/>
  </r>
  <r>
    <x v="23"/>
    <m/>
    <s v="UR"/>
    <m/>
    <n v="7"/>
    <m/>
    <m/>
    <m/>
    <m/>
    <m/>
    <s v="https://www.ur.ch/mmdirektionen/63841"/>
  </r>
  <r>
    <x v="23"/>
    <m/>
    <s v="VD"/>
    <m/>
    <n v="1515"/>
    <n v="170"/>
    <n v="23"/>
    <m/>
    <m/>
    <n v="14"/>
    <s v="https://www.vd.ch/toutes-les-actualites/hotline-et-informations-sur-le-coronavirus/point-de-situation-statistique-dans-le-canton-de-vaud/"/>
  </r>
  <r>
    <x v="23"/>
    <m/>
    <s v="VS"/>
    <m/>
    <n v="349"/>
    <n v="64"/>
    <n v="5"/>
    <n v="5"/>
    <m/>
    <n v="6"/>
    <s v="https://www.vs.ch/de/web/coronavirus"/>
  </r>
  <r>
    <x v="23"/>
    <n v="0.33333333333333331"/>
    <s v="ZG"/>
    <m/>
    <n v="37"/>
    <n v="1"/>
    <n v="0"/>
    <m/>
    <n v="5"/>
    <n v="0"/>
    <s v="https://www.zg.ch/behoerden/gesundheitsdirektion/statistikfachstelle/themen/gesundheit/corona"/>
  </r>
  <r>
    <x v="23"/>
    <n v="0.45833333333333331"/>
    <s v="BS"/>
    <m/>
    <n v="220"/>
    <n v="40"/>
    <m/>
    <m/>
    <n v="44"/>
    <n v="4"/>
    <s v="https://www.coronavirus.bs.ch/nm/2020-tagesbulletin-coronavirus-222-bestaetigte-faelle-basel-stadt-trifft-gemeinsam-mit-den-spitaelern-vorkehrungen-fuer-intensiv--und-beatmungskapazitaeten-gd.html"/>
  </r>
  <r>
    <x v="23"/>
    <n v="0.60416666666666663"/>
    <s v="ZH"/>
    <m/>
    <n v="680"/>
    <n v="60"/>
    <m/>
    <n v="12"/>
    <m/>
    <n v="3"/>
    <s v="https://gd.zh.ch/internet/gesundheitsdirektion/de/themen/coronavirus.html"/>
  </r>
  <r>
    <x v="23"/>
    <n v="0.625"/>
    <s v="AG"/>
    <m/>
    <n v="118"/>
    <n v="17"/>
    <n v="6"/>
    <n v="3"/>
    <m/>
    <m/>
    <s v="https://www.ag.ch/media/kanton_aargau/themen_1/coronavirus_1/lagebulletins/200319_KFS_Coronavirus_Lagebulletin_15.pdf"/>
  </r>
  <r>
    <x v="24"/>
    <m/>
    <s v="BE"/>
    <m/>
    <n v="377"/>
    <m/>
    <m/>
    <m/>
    <m/>
    <n v="2"/>
    <s v="https://www.besondere-lage.sites.be.ch/besondere-lage_sites/de/index/corona/index.html"/>
  </r>
  <r>
    <x v="24"/>
    <m/>
    <s v="BL"/>
    <m/>
    <n v="184"/>
    <n v="27"/>
    <n v="2"/>
    <m/>
    <n v="18"/>
    <n v="3"/>
    <s v="https://www.baselland.ch/politik-und-behorden/direktionen/volkswirtschafts-und-gesundheitsdirektion/medienmitteilungen/update-170-bestaetigte-faelle-in-basel-landschaft"/>
  </r>
  <r>
    <x v="24"/>
    <m/>
    <s v="FL"/>
    <m/>
    <n v="37"/>
    <m/>
    <m/>
    <m/>
    <n v="1"/>
    <m/>
    <s v="https://www.regierung.li/media/attachments/136-soziale-kontakte-reduktion-corona.pdf?t=637203388043363286"/>
  </r>
  <r>
    <x v="24"/>
    <m/>
    <s v="FR"/>
    <m/>
    <n v="145"/>
    <n v="20"/>
    <n v="6"/>
    <m/>
    <m/>
    <n v="1"/>
    <s v="https://www.fr.ch/sites/default/files/2020-05/statistiques_situation_FR_0705.xlsx"/>
  </r>
  <r>
    <x v="24"/>
    <m/>
    <s v="GE"/>
    <n v="6607"/>
    <n v="1110"/>
    <n v="109"/>
    <n v="22"/>
    <n v="21"/>
    <m/>
    <n v="9"/>
    <s v="https://www.ge.ch/document/20094/telecharger"/>
  </r>
  <r>
    <x v="24"/>
    <m/>
    <s v="GL"/>
    <m/>
    <n v="20"/>
    <n v="0"/>
    <m/>
    <m/>
    <m/>
    <n v="0"/>
    <s v="https://www.gl.ch/public/upload/assets/28096/COVID-19_Fallzahlen_Kanton_Glarus.xlsx"/>
  </r>
  <r>
    <x v="24"/>
    <m/>
    <s v="GR"/>
    <m/>
    <n v="226"/>
    <n v="24"/>
    <m/>
    <m/>
    <m/>
    <n v="3"/>
    <s v="https://www.gr.ch/DE/institutionen/verwaltung/djsg/ga/coronavirus/_layouts/15/GenericDataFeed/feed.aspx?PageID=26&amp;ID=g_1175d522_e609_4287_93af_d14c9efd5218&amp;FORMAT=JSONRAW"/>
  </r>
  <r>
    <x v="24"/>
    <m/>
    <s v="JU"/>
    <m/>
    <n v="44"/>
    <n v="14"/>
    <n v="1"/>
    <m/>
    <m/>
    <n v="0"/>
    <s v="https://www.jura.ch/Htdocs/Files/v/34356.xlsx/Departements/CHA/SIC/Carrousel/Coronavirus/Cornavirus/Chiffres/donnees_06_05.xlsx?download=1"/>
  </r>
  <r>
    <x v="24"/>
    <m/>
    <s v="NE"/>
    <m/>
    <n v="189"/>
    <n v="21"/>
    <m/>
    <m/>
    <m/>
    <n v="3"/>
    <s v="https://www.ne.ch/autorites/DFS/SCSP/medecin-cantonal/maladies-vaccinations/Documents/Covid-19-Statistiques/COVID19_PublicationInternet.xlsx"/>
  </r>
  <r>
    <x v="24"/>
    <m/>
    <s v="NW"/>
    <m/>
    <n v="28"/>
    <n v="5"/>
    <m/>
    <m/>
    <m/>
    <m/>
    <s v="http://www.nw.ch/coronastatistik"/>
  </r>
  <r>
    <x v="24"/>
    <m/>
    <s v="SG"/>
    <m/>
    <n v="98"/>
    <m/>
    <m/>
    <m/>
    <m/>
    <m/>
    <s v="https://www.sg.ch/tools/informationen-coronavirus.html"/>
  </r>
  <r>
    <x v="24"/>
    <m/>
    <s v="SH"/>
    <m/>
    <n v="17"/>
    <m/>
    <m/>
    <m/>
    <m/>
    <n v="0"/>
    <s v="https://sh.ch/CMS/get/file/1142c079-5d62-4035-b9ea-04901bfcdfe9"/>
  </r>
  <r>
    <x v="24"/>
    <m/>
    <s v="TG"/>
    <m/>
    <n v="50"/>
    <m/>
    <m/>
    <m/>
    <m/>
    <m/>
    <s v="https://www.tg.ch/news/fachdossier-coronavirus.html/10552"/>
  </r>
  <r>
    <x v="24"/>
    <m/>
    <s v="VD"/>
    <m/>
    <n v="1757"/>
    <n v="182"/>
    <n v="23"/>
    <m/>
    <m/>
    <n v="20"/>
    <s v="https://www.vd.ch/toutes-les-actualites/hotline-et-informations-sur-le-coronavirus/point-de-situation-statistique-dans-le-canton-de-vaud/"/>
  </r>
  <r>
    <x v="24"/>
    <m/>
    <s v="VS"/>
    <m/>
    <n v="436"/>
    <n v="73"/>
    <n v="6"/>
    <n v="5"/>
    <m/>
    <n v="7"/>
    <s v="https://www.vs.ch/de/web/coronavirus"/>
  </r>
  <r>
    <x v="24"/>
    <n v="0.33333333333333331"/>
    <s v="TI"/>
    <m/>
    <n v="849"/>
    <n v="190"/>
    <n v="35"/>
    <n v="34"/>
    <n v="67"/>
    <n v="22"/>
    <s v="https://www4.ti.ch/fileadmin/DSS/DSP/UMC/malattie_infettive/Coronavirus/dati/COVID19_Dati_TI_per_github.xlsx"/>
  </r>
  <r>
    <x v="24"/>
    <n v="0.33333333333333331"/>
    <s v="ZG"/>
    <m/>
    <n v="48"/>
    <n v="1"/>
    <n v="0"/>
    <m/>
    <n v="5"/>
    <n v="0"/>
    <s v="https://www.zg.ch/behoerden/gesundheitsdirektion/statistikfachstelle/themen/gesundheit/corona"/>
  </r>
  <r>
    <x v="24"/>
    <n v="0.40277777777777779"/>
    <s v="LU"/>
    <m/>
    <n v="92"/>
    <m/>
    <m/>
    <m/>
    <m/>
    <m/>
    <s v="https://gesundheit.lu.ch/themen/Humanmedizin/Infektionskrankheiten/Coronavirus"/>
  </r>
  <r>
    <x v="24"/>
    <n v="0.41666666666666669"/>
    <s v="BS"/>
    <m/>
    <n v="270"/>
    <n v="45"/>
    <m/>
    <m/>
    <n v="46"/>
    <n v="4"/>
    <s v="https://www.coronavirus.bs.ch/nm/2020-tagesbulletin-coronavirus-272-bestaetigte-faelle-im-kanton-basel-stadt-gd.html"/>
  </r>
  <r>
    <x v="24"/>
    <n v="0.5"/>
    <s v="UR"/>
    <m/>
    <n v="7"/>
    <m/>
    <m/>
    <m/>
    <m/>
    <m/>
    <s v="https://www.ur.ch/themen/2920"/>
  </r>
  <r>
    <x v="24"/>
    <n v="0.60416666666666663"/>
    <s v="ZH"/>
    <m/>
    <n v="712"/>
    <n v="78"/>
    <m/>
    <n v="15"/>
    <m/>
    <n v="4"/>
    <s v="https://gd.zh.ch/internet/gesundheitsdirektion/de/themen/coronavirus.html"/>
  </r>
  <r>
    <x v="24"/>
    <n v="0.625"/>
    <s v="AG"/>
    <m/>
    <n v="168"/>
    <n v="25"/>
    <n v="4"/>
    <n v="2"/>
    <m/>
    <n v="1"/>
    <s v="https://www.ag.ch/media/kanton_aargau/themen_1/coronavirus_1/lagebulletins/200320_KFS_Coronavirus_Lagebulletin_16.pdf"/>
  </r>
  <r>
    <x v="24"/>
    <n v="0.73402777777777772"/>
    <s v="SO"/>
    <m/>
    <n v="66"/>
    <m/>
    <m/>
    <m/>
    <m/>
    <m/>
    <s v="https://twitter.com/KantonSolothurn/status/1241041303024041989?p=p"/>
  </r>
  <r>
    <x v="25"/>
    <m/>
    <s v="AR"/>
    <m/>
    <m/>
    <m/>
    <m/>
    <m/>
    <m/>
    <n v="1"/>
    <s v="https://www.ar.ch/schnellzugriff/medienmitteilungen-der-kantonalen-verwaltung/detail/news/coronavirus-erster-todesfall-in-appenzell-ausserrhoden/?tx_news_pi1%5Bcontroller%5D=News&amp;tx_news_pi1%5Baction%5D=detail&amp;cHash=a88f209df29c38474f9c5f9e1c5dd53f"/>
  </r>
  <r>
    <x v="25"/>
    <m/>
    <s v="BE"/>
    <m/>
    <n v="418"/>
    <m/>
    <m/>
    <m/>
    <m/>
    <n v="3"/>
    <s v="https://www.besondere-lage.sites.be.ch/besondere-lage_sites/de/index/corona/index.html"/>
  </r>
  <r>
    <x v="25"/>
    <m/>
    <s v="BL"/>
    <m/>
    <n v="282"/>
    <n v="30"/>
    <n v="4"/>
    <m/>
    <n v="21"/>
    <n v="3"/>
    <s v="https://www.baselland.ch/politik-und-behorden/direktionen/volkswirtschafts-und-gesundheitsdirektion/medienmitteilungen/update-282-bestaetigte-faelle-in-basel-landschaft"/>
  </r>
  <r>
    <x v="25"/>
    <m/>
    <s v="FL"/>
    <m/>
    <n v="44"/>
    <m/>
    <m/>
    <m/>
    <m/>
    <m/>
    <s v="https://www.regierung.li/media/attachments/138-corona-starke-zunahme-0321.pdf?t=637204593432337675"/>
  </r>
  <r>
    <x v="25"/>
    <m/>
    <s v="FR"/>
    <m/>
    <n v="167"/>
    <n v="28"/>
    <n v="6"/>
    <m/>
    <m/>
    <n v="2"/>
    <s v="https://www.fr.ch/sites/default/files/2020-05/statistiques_situation_FR_0705.xlsx"/>
  </r>
  <r>
    <x v="25"/>
    <m/>
    <s v="GE"/>
    <n v="6968"/>
    <n v="1241"/>
    <n v="145"/>
    <n v="25"/>
    <n v="24"/>
    <m/>
    <n v="9"/>
    <s v="https://www.ge.ch/document/20094/telecharger"/>
  </r>
  <r>
    <x v="25"/>
    <m/>
    <s v="GL"/>
    <m/>
    <n v="25"/>
    <n v="0"/>
    <m/>
    <m/>
    <m/>
    <n v="0"/>
    <s v="https://www.gl.ch/public/upload/assets/28096/COVID-19_Fallzahlen_Kanton_Glarus.xlsx"/>
  </r>
  <r>
    <x v="25"/>
    <m/>
    <s v="GR"/>
    <m/>
    <n v="258"/>
    <n v="24"/>
    <m/>
    <m/>
    <m/>
    <n v="4"/>
    <s v="https://www.gr.ch/DE/institutionen/verwaltung/djsg/ga/coronavirus/_layouts/15/GenericDataFeed/feed.aspx?PageID=26&amp;ID=g_1175d522_e609_4287_93af_d14c9efd5218&amp;FORMAT=JSONRAW"/>
  </r>
  <r>
    <x v="25"/>
    <m/>
    <s v="JU"/>
    <m/>
    <n v="54"/>
    <n v="13"/>
    <n v="1"/>
    <m/>
    <m/>
    <n v="0"/>
    <s v="https://www.jura.ch/Htdocs/Files/v/34356.xlsx/Departements/CHA/SIC/Carrousel/Coronavirus/Cornavirus/Chiffres/donnees_06_05.xlsx?download=1"/>
  </r>
  <r>
    <x v="25"/>
    <m/>
    <s v="NE"/>
    <m/>
    <n v="200"/>
    <n v="20"/>
    <m/>
    <m/>
    <m/>
    <n v="4"/>
    <s v="https://www.ne.ch/autorites/DFS/SCSP/medecin-cantonal/maladies-vaccinations/Documents/Covid-19-Statistiques/COVID19_PublicationInternet.xlsx"/>
  </r>
  <r>
    <x v="25"/>
    <m/>
    <s v="NW"/>
    <m/>
    <n v="33"/>
    <n v="5"/>
    <m/>
    <m/>
    <m/>
    <m/>
    <s v="http://www.nw.ch/coronastatistik"/>
  </r>
  <r>
    <x v="25"/>
    <m/>
    <s v="SH"/>
    <m/>
    <n v="28"/>
    <m/>
    <m/>
    <m/>
    <m/>
    <n v="0"/>
    <s v="https://sh.ch/CMS/get/file/1142c079-5d62-4035-b9ea-04901bfcdfe9"/>
  </r>
  <r>
    <x v="25"/>
    <m/>
    <s v="TG"/>
    <m/>
    <n v="57"/>
    <m/>
    <m/>
    <m/>
    <m/>
    <m/>
    <s v="https://www.tg.ch/news/fachdossier-coronavirus.html/10552"/>
  </r>
  <r>
    <x v="25"/>
    <m/>
    <s v="VD"/>
    <m/>
    <n v="1876"/>
    <n v="211"/>
    <n v="24"/>
    <m/>
    <m/>
    <n v="23"/>
    <s v="https://www.vd.ch/toutes-les-actualites/hotline-et-informations-sur-le-coronavirus/point-de-situation-statistique-dans-le-canton-de-vaud/"/>
  </r>
  <r>
    <x v="25"/>
    <m/>
    <s v="VS"/>
    <m/>
    <n v="498"/>
    <n v="83"/>
    <n v="8"/>
    <n v="6"/>
    <m/>
    <n v="10"/>
    <s v="https://www.vs.ch/de/web/coronavirus"/>
  </r>
  <r>
    <x v="25"/>
    <n v="0.33333333333333331"/>
    <s v="TI"/>
    <m/>
    <n v="916"/>
    <n v="224"/>
    <n v="40"/>
    <n v="37"/>
    <n v="68"/>
    <n v="28"/>
    <s v="https://www4.ti.ch/fileadmin/DSS/DSP/UMC/malattie_infettive/Coronavirus/dati/COVID19_Dati_TI_per_github.xlsx"/>
  </r>
  <r>
    <x v="25"/>
    <n v="0.33333333333333331"/>
    <s v="UR"/>
    <m/>
    <n v="12"/>
    <m/>
    <m/>
    <m/>
    <m/>
    <m/>
    <s v="https://www.ur.ch/themen/2920"/>
  </r>
  <r>
    <x v="25"/>
    <n v="0.33333333333333331"/>
    <s v="ZG"/>
    <m/>
    <n v="53"/>
    <n v="3"/>
    <n v="0"/>
    <m/>
    <n v="5"/>
    <n v="0"/>
    <s v="https://www.zg.ch/behoerden/gesundheitsdirektion/statistikfachstelle/themen/gesundheit/corona"/>
  </r>
  <r>
    <x v="25"/>
    <n v="0.41666666666666669"/>
    <s v="BS"/>
    <m/>
    <n v="297"/>
    <n v="46"/>
    <m/>
    <m/>
    <n v="57"/>
    <n v="5"/>
    <s v="https://www.coronavirus.bs.ch/nm/2020-tagesbulletin-coronavirus-299-bestaetigte-faelle-im-kanton-basel-stadt-gd.html"/>
  </r>
  <r>
    <x v="25"/>
    <n v="0.45833333333333331"/>
    <s v="LU"/>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s v="ZH"/>
    <m/>
    <n v="712"/>
    <n v="83"/>
    <m/>
    <n v="23"/>
    <m/>
    <n v="5"/>
    <s v="https://gd.zh.ch/internet/gesundheitsdirektion/de/themen/coronavirus.html"/>
  </r>
  <r>
    <x v="26"/>
    <m/>
    <s v="BL"/>
    <m/>
    <n v="289"/>
    <n v="40"/>
    <n v="7"/>
    <m/>
    <n v="21"/>
    <n v="3"/>
    <s v="https://www.baselland.ch/politik-und-behorden/direktionen/volkswirtschafts-und-gesundheitsdirektion/medienmitteilungen/update-289-bestaetigte-faelle-in-basel-landschaft"/>
  </r>
  <r>
    <x v="26"/>
    <m/>
    <s v="FL"/>
    <m/>
    <n v="46"/>
    <m/>
    <m/>
    <m/>
    <m/>
    <m/>
    <s v="https://www.regierung.li/media/attachments/139-46-faelle-0322.pdf?t=637204971345932209"/>
  </r>
  <r>
    <x v="26"/>
    <m/>
    <s v="FR"/>
    <m/>
    <n v="202"/>
    <n v="32"/>
    <n v="8"/>
    <m/>
    <m/>
    <n v="3"/>
    <s v="https://www.fr.ch/sites/default/files/2020-05/statistiques_situation_FR_0705.xlsx"/>
  </r>
  <r>
    <x v="26"/>
    <m/>
    <s v="GE"/>
    <n v="7202"/>
    <n v="1383"/>
    <n v="179"/>
    <n v="36"/>
    <n v="36"/>
    <m/>
    <n v="10"/>
    <s v="https://www.ge.ch/document/20094/telecharger"/>
  </r>
  <r>
    <x v="26"/>
    <m/>
    <s v="GL"/>
    <m/>
    <n v="29"/>
    <n v="0"/>
    <m/>
    <m/>
    <m/>
    <n v="0"/>
    <s v="https://www.gl.ch/public/upload/assets/28096/COVID-19_Fallzahlen_Kanton_Glarus.xlsx"/>
  </r>
  <r>
    <x v="26"/>
    <m/>
    <s v="GR"/>
    <m/>
    <n v="284"/>
    <n v="27"/>
    <m/>
    <m/>
    <m/>
    <n v="4"/>
    <s v="https://www.gr.ch/DE/institutionen/verwaltung/djsg/ga/coronavirus/_layouts/15/GenericDataFeed/feed.aspx?PageID=26&amp;ID=g_1175d522_e609_4287_93af_d14c9efd5218&amp;FORMAT=JSONRAW"/>
  </r>
  <r>
    <x v="26"/>
    <m/>
    <s v="JU"/>
    <m/>
    <n v="61"/>
    <n v="18"/>
    <n v="2"/>
    <m/>
    <m/>
    <n v="0"/>
    <s v="https://www.jura.ch/Htdocs/Files/v/34356.xlsx/Departements/CHA/SIC/Carrousel/Coronavirus/Cornavirus/Chiffres/donnees_06_05.xlsx?download=1"/>
  </r>
  <r>
    <x v="26"/>
    <m/>
    <s v="NE"/>
    <m/>
    <n v="216"/>
    <n v="28"/>
    <m/>
    <m/>
    <m/>
    <n v="4"/>
    <s v="https://www.ne.ch/autorites/DFS/SCSP/medecin-cantonal/maladies-vaccinations/Documents/Covid-19-Statistiques/COVID19_PublicationInternet.xlsx"/>
  </r>
  <r>
    <x v="26"/>
    <m/>
    <s v="NW"/>
    <m/>
    <n v="36"/>
    <n v="5"/>
    <m/>
    <m/>
    <m/>
    <m/>
    <s v="http://www.nw.ch/coronastatistik"/>
  </r>
  <r>
    <x v="26"/>
    <m/>
    <s v="SH"/>
    <m/>
    <n v="30"/>
    <m/>
    <m/>
    <m/>
    <m/>
    <n v="0"/>
    <s v="https://sh.ch/CMS/get/file/1142c079-5d62-4035-b9ea-04901bfcdfe9"/>
  </r>
  <r>
    <x v="26"/>
    <m/>
    <s v="TG"/>
    <m/>
    <n v="76"/>
    <m/>
    <m/>
    <m/>
    <m/>
    <m/>
    <s v="https://www.tg.ch/news/fachdossier-coronavirus.html/10552"/>
  </r>
  <r>
    <x v="26"/>
    <m/>
    <s v="VD"/>
    <m/>
    <n v="1978"/>
    <n v="231"/>
    <n v="30"/>
    <m/>
    <m/>
    <n v="25"/>
    <s v="https://www.vd.ch/toutes-les-actualites/hotline-et-informations-sur-le-coronavirus/point-de-situation-statistique-dans-le-canton-de-vaud/"/>
  </r>
  <r>
    <x v="26"/>
    <m/>
    <s v="VS"/>
    <m/>
    <n v="535"/>
    <n v="92"/>
    <n v="11"/>
    <n v="7"/>
    <m/>
    <n v="11"/>
    <s v="https://www.vs.ch/de/web/coronavirus"/>
  </r>
  <r>
    <x v="26"/>
    <n v="0.33333333333333331"/>
    <s v="TI"/>
    <m/>
    <n v="945"/>
    <n v="246"/>
    <n v="46"/>
    <n v="43"/>
    <n v="70"/>
    <n v="37"/>
    <s v="https://www4.ti.ch/fileadmin/DSS/DSP/UMC/malattie_infettive/Coronavirus/dati/COVID19_Dati_TI_per_github.xlsx"/>
  </r>
  <r>
    <x v="26"/>
    <n v="0.33333333333333331"/>
    <s v="ZG"/>
    <m/>
    <n v="53"/>
    <n v="3"/>
    <n v="0"/>
    <m/>
    <n v="5"/>
    <n v="0"/>
    <s v="https://www.zg.ch/behoerden/gesundheitsdirektion/statistikfachstelle/themen/gesundheit/corona"/>
  </r>
  <r>
    <x v="26"/>
    <n v="0.4375"/>
    <s v="BS"/>
    <m/>
    <n v="356"/>
    <n v="50"/>
    <m/>
    <m/>
    <n v="73"/>
    <n v="5"/>
    <s v="https://www.coronavirus.bs.ch/nm/2020-tagesbulletin-coronavirus-358-bestaetigte-faelle-im-kanton-basel-stadt-gd.html"/>
  </r>
  <r>
    <x v="26"/>
    <n v="0.45833333333333331"/>
    <s v="LU"/>
    <m/>
    <n v="131"/>
    <m/>
    <m/>
    <m/>
    <m/>
    <n v="1"/>
    <s v="https://gesundheit.lu.ch/themen/Humanmedizin/Infektionskrankheiten/Coronavirus"/>
  </r>
  <r>
    <x v="26"/>
    <n v="0.5"/>
    <s v="AG"/>
    <m/>
    <n v="232"/>
    <m/>
    <m/>
    <m/>
    <m/>
    <n v="1"/>
    <s v="https://www.ag.ch/de/aktuelles/medienportal/medienmitteilung/medienmitteilungen/mediendetails_139237.jsp"/>
  </r>
  <r>
    <x v="26"/>
    <n v="0.60416666666666663"/>
    <s v="ZH"/>
    <m/>
    <n v="712"/>
    <n v="110"/>
    <m/>
    <n v="22"/>
    <m/>
    <n v="6"/>
    <s v="https://gd.zh.ch/internet/gesundheitsdirektion/de/themen/coronavirus.html"/>
  </r>
  <r>
    <x v="27"/>
    <m/>
    <s v="BE"/>
    <m/>
    <n v="470"/>
    <m/>
    <m/>
    <m/>
    <m/>
    <n v="5"/>
    <s v="https://www.besondere-lage.sites.be.ch/besondere-lage_sites/de/index/corona/index.html"/>
  </r>
  <r>
    <x v="27"/>
    <m/>
    <s v="BL"/>
    <m/>
    <n v="302"/>
    <n v="51"/>
    <n v="10"/>
    <m/>
    <n v="35"/>
    <n v="3"/>
    <s v="https://www.baselland.ch/politik-und-behorden/direktionen/volkswirtschafts-und-gesundheitsdirektion/medienmitteilungen/update-289-bestaetigte-faelle-in-basel-landschaft-1"/>
  </r>
  <r>
    <x v="27"/>
    <m/>
    <s v="FR"/>
    <m/>
    <n v="226"/>
    <n v="35"/>
    <n v="7"/>
    <m/>
    <m/>
    <n v="4"/>
    <s v="https://www.fr.ch/sites/default/files/2020-05/statistiques_situation_FR_0705.xlsx"/>
  </r>
  <r>
    <x v="27"/>
    <m/>
    <s v="GE"/>
    <n v="7581"/>
    <n v="1532"/>
    <n v="214"/>
    <n v="43"/>
    <n v="41"/>
    <m/>
    <n v="16"/>
    <s v="https://www.ge.ch/document/20094/telecharger"/>
  </r>
  <r>
    <x v="27"/>
    <m/>
    <s v="GL"/>
    <m/>
    <n v="31"/>
    <n v="3"/>
    <m/>
    <m/>
    <m/>
    <n v="0"/>
    <s v="https://www.gl.ch/public/upload/assets/28096/COVID-19_Fallzahlen_Kanton_Glarus.xlsx"/>
  </r>
  <r>
    <x v="27"/>
    <m/>
    <s v="GR"/>
    <m/>
    <n v="300"/>
    <n v="29"/>
    <m/>
    <m/>
    <m/>
    <n v="5"/>
    <s v="https://www.gr.ch/DE/institutionen/verwaltung/djsg/ga/coronavirus/_layouts/15/GenericDataFeed/feed.aspx?PageID=26&amp;ID=g_1175d522_e609_4287_93af_d14c9efd5218&amp;FORMAT=JSONRAW"/>
  </r>
  <r>
    <x v="27"/>
    <m/>
    <s v="JU"/>
    <m/>
    <n v="69"/>
    <n v="18"/>
    <n v="3"/>
    <m/>
    <m/>
    <n v="0"/>
    <s v="https://www.jura.ch/Htdocs/Files/v/34356.xlsx/Departements/CHA/SIC/Carrousel/Coronavirus/Cornavirus/Chiffres/donnees_06_05.xlsx?download=1"/>
  </r>
  <r>
    <x v="27"/>
    <m/>
    <s v="NE"/>
    <m/>
    <n v="247"/>
    <n v="33"/>
    <n v="11"/>
    <n v="6"/>
    <m/>
    <n v="5"/>
    <s v="https://www.ne.ch/autorites/DFS/SCSP/medecin-cantonal/maladies-vaccinations/Documents/Covid-19-Statistiques/COVID19_PublicationInternet.xlsx"/>
  </r>
  <r>
    <x v="27"/>
    <m/>
    <s v="NW"/>
    <m/>
    <n v="39"/>
    <n v="5"/>
    <m/>
    <m/>
    <m/>
    <m/>
    <s v="http://www.nw.ch/coronastatistik"/>
  </r>
  <r>
    <x v="27"/>
    <m/>
    <s v="OW"/>
    <m/>
    <n v="25"/>
    <m/>
    <m/>
    <m/>
    <m/>
    <m/>
    <s v="https://www.ow.ch/de/verwaltung/dienstleistungen/?dienst_id=5962"/>
  </r>
  <r>
    <x v="27"/>
    <m/>
    <s v="SG"/>
    <m/>
    <n v="185"/>
    <m/>
    <m/>
    <m/>
    <m/>
    <n v="1"/>
    <s v="https://www.sg.ch/tools/informationen-coronavirus.html"/>
  </r>
  <r>
    <x v="27"/>
    <m/>
    <s v="SH"/>
    <m/>
    <n v="32"/>
    <m/>
    <m/>
    <m/>
    <m/>
    <n v="0"/>
    <s v="https://sh.ch/CMS/get/file/1142c079-5d62-4035-b9ea-04901bfcdfe9"/>
  </r>
  <r>
    <x v="27"/>
    <m/>
    <s v="TG"/>
    <m/>
    <n v="82"/>
    <m/>
    <m/>
    <m/>
    <m/>
    <m/>
    <s v="https://www.tg.ch/news/fachdossier-coronavirus.html/10552"/>
  </r>
  <r>
    <x v="27"/>
    <m/>
    <s v="UR"/>
    <m/>
    <n v="22"/>
    <n v="1"/>
    <m/>
    <m/>
    <n v="1"/>
    <m/>
    <s v="https://www.ur.ch/themen/2920"/>
  </r>
  <r>
    <x v="27"/>
    <m/>
    <s v="VD"/>
    <m/>
    <n v="2284"/>
    <n v="248"/>
    <n v="38"/>
    <m/>
    <m/>
    <n v="29"/>
    <s v="https://www.vd.ch/toutes-les-actualites/hotline-et-informations-sur-le-coronavirus/point-de-situation-statistique-dans-le-canton-de-vaud/"/>
  </r>
  <r>
    <x v="27"/>
    <m/>
    <s v="VS"/>
    <m/>
    <n v="628"/>
    <n v="104"/>
    <n v="12"/>
    <n v="9"/>
    <m/>
    <n v="13"/>
    <s v="https://www.vs.ch/de/web/coronavirus"/>
  </r>
  <r>
    <x v="27"/>
    <n v="0.33333333333333331"/>
    <s v="TI"/>
    <m/>
    <n v="1162"/>
    <n v="261"/>
    <n v="45"/>
    <n v="43"/>
    <n v="71"/>
    <n v="48"/>
    <s v="https://www4.ti.ch/fileadmin/DSS/DSP/UMC/malattie_infettive/Coronavirus/dati/COVID19_Dati_TI_per_github.xlsx"/>
  </r>
  <r>
    <x v="27"/>
    <n v="0.33333333333333331"/>
    <s v="ZG"/>
    <m/>
    <n v="53"/>
    <n v="3"/>
    <n v="0"/>
    <m/>
    <n v="5"/>
    <n v="0"/>
    <s v="https://www.zg.ch/behoerden/gesundheitsdirektion/statistikfachstelle/themen/gesundheit/corona"/>
  </r>
  <r>
    <x v="27"/>
    <n v="0.41666666666666669"/>
    <s v="AR"/>
    <m/>
    <n v="30"/>
    <n v="7"/>
    <m/>
    <m/>
    <m/>
    <n v="1"/>
    <s v="https://www.ar.ch/verwaltung/departement-gesundheit-und-soziales/amt-fuer-gesundheit/informationsseite-coronavirus/"/>
  </r>
  <r>
    <x v="27"/>
    <n v="0.41666666666666669"/>
    <s v="BS"/>
    <m/>
    <n v="374"/>
    <n v="56"/>
    <m/>
    <m/>
    <n v="78"/>
    <n v="5"/>
    <s v="https://www.coronavirus.bs.ch/nm/2020-tagesbulletin-coronavirus-376-bestaetigte-faelle-im-kanton-basel-stadt-gd.html"/>
  </r>
  <r>
    <x v="27"/>
    <n v="0.45833333333333331"/>
    <s v="LU"/>
    <m/>
    <n v="156"/>
    <m/>
    <m/>
    <m/>
    <m/>
    <n v="1"/>
    <s v="https://gesundheit.lu.ch/themen/Humanmedizin/Infektionskrankheiten/Coronavirus"/>
  </r>
  <r>
    <x v="27"/>
    <n v="0.5"/>
    <s v="SO"/>
    <m/>
    <n v="95"/>
    <m/>
    <m/>
    <m/>
    <m/>
    <n v="1"/>
    <s v="https://corona.so.ch/"/>
  </r>
  <r>
    <x v="27"/>
    <n v="0.60416666666666663"/>
    <s v="ZH"/>
    <m/>
    <n v="1076"/>
    <n v="127"/>
    <m/>
    <n v="27"/>
    <m/>
    <n v="6"/>
    <s v="https://gd.zh.ch/internet/gesundheitsdirektion/de/themen/coronavirus.html"/>
  </r>
  <r>
    <x v="27"/>
    <n v="0.625"/>
    <s v="AG"/>
    <m/>
    <n v="241"/>
    <n v="10"/>
    <n v="3"/>
    <n v="2"/>
    <m/>
    <n v="1"/>
    <s v="https://www.ag.ch/media/kanton_aargau/themen_1/coronavirus_1/lagebulletins/200323_KFS_Coronavirus_Lagebulletin_17.pdf"/>
  </r>
  <r>
    <x v="27"/>
    <n v="0.75"/>
    <s v="FL"/>
    <m/>
    <n v="51"/>
    <m/>
    <m/>
    <m/>
    <m/>
    <m/>
    <s v="https://www.regierung.li/media/attachments/140-corona-regierung-0323.pdf?t=637205847493377066"/>
  </r>
  <r>
    <x v="28"/>
    <m/>
    <s v="BE"/>
    <m/>
    <n v="532"/>
    <m/>
    <m/>
    <m/>
    <m/>
    <n v="6"/>
    <s v="https://www.besondere-lage.sites.be.ch/besondere-lage_sites/de/index/corona/index.html"/>
  </r>
  <r>
    <x v="28"/>
    <m/>
    <s v="BL"/>
    <m/>
    <n v="306"/>
    <n v="66"/>
    <n v="11"/>
    <m/>
    <n v="40"/>
    <n v="4"/>
    <s v="https://www.baselland.ch/politik-und-behorden/direktionen/volkswirtschafts-und-gesundheitsdirektion/amt-fur-gesundheit/medizinische-dienste/kantonsarztlicher-dienst/aktuelles/covid-19-faelle-kanton-basel-landschaft"/>
  </r>
  <r>
    <x v="28"/>
    <m/>
    <s v="FL"/>
    <m/>
    <n v="51"/>
    <m/>
    <m/>
    <m/>
    <m/>
    <m/>
    <s v="https://www.regierung.li/media/attachments/143-coronavirus-praesenz-fernunterricht.pdf?t=637207680400073990"/>
  </r>
  <r>
    <x v="28"/>
    <m/>
    <s v="FR"/>
    <m/>
    <n v="255"/>
    <n v="35"/>
    <n v="7"/>
    <m/>
    <m/>
    <n v="5"/>
    <s v="https://www.fr.ch/sites/default/files/2020-05/statistiques_situation_FR_0705.xlsx"/>
  </r>
  <r>
    <x v="28"/>
    <m/>
    <s v="GE"/>
    <n v="7922"/>
    <n v="1632"/>
    <n v="238"/>
    <n v="41"/>
    <n v="41"/>
    <n v="103"/>
    <n v="17"/>
    <s v="https://www.ge.ch/document/20094/telecharger"/>
  </r>
  <r>
    <x v="28"/>
    <m/>
    <s v="GL"/>
    <m/>
    <n v="33"/>
    <n v="3"/>
    <m/>
    <m/>
    <m/>
    <n v="0"/>
    <s v="https://www.gl.ch/public/upload/assets/28096/COVID-19_Fallzahlen_Kanton_Glarus.xlsx"/>
  </r>
  <r>
    <x v="28"/>
    <m/>
    <s v="GR"/>
    <m/>
    <n v="343"/>
    <n v="43"/>
    <m/>
    <m/>
    <m/>
    <n v="6"/>
    <s v="https://www.gr.ch/DE/institutionen/verwaltung/djsg/ga/coronavirus/_layouts/15/GenericDataFeed/feed.aspx?PageID=26&amp;ID=g_1175d522_e609_4287_93af_d14c9efd5218&amp;FORMAT=JSONRAW"/>
  </r>
  <r>
    <x v="28"/>
    <m/>
    <s v="JU"/>
    <m/>
    <n v="82"/>
    <n v="22"/>
    <n v="4"/>
    <m/>
    <m/>
    <n v="0"/>
    <s v="https://www.jura.ch/Htdocs/Files/v/34356.xlsx/Departements/CHA/SIC/Carrousel/Coronavirus/Cornavirus/Chiffres/donnees_06_05.xlsx?download=1"/>
  </r>
  <r>
    <x v="28"/>
    <m/>
    <s v="NE"/>
    <m/>
    <n v="265"/>
    <n v="32"/>
    <n v="8"/>
    <n v="6"/>
    <m/>
    <n v="6"/>
    <s v="https://www.ne.ch/autorites/DFS/SCSP/medecin-cantonal/maladies-vaccinations/Documents/Covid-19-Statistiques/COVID19_PublicationInternet.xlsx"/>
  </r>
  <r>
    <x v="28"/>
    <m/>
    <s v="NW"/>
    <m/>
    <n v="42"/>
    <n v="4"/>
    <m/>
    <m/>
    <m/>
    <m/>
    <s v="http://www.nw.ch/coronastatistik"/>
  </r>
  <r>
    <x v="28"/>
    <m/>
    <s v="OW"/>
    <m/>
    <n v="25"/>
    <m/>
    <m/>
    <m/>
    <m/>
    <m/>
    <s v="https://www.ow.ch/de/verwaltung/dienstleistungen/?dienst_id=5962"/>
  </r>
  <r>
    <x v="28"/>
    <m/>
    <s v="SG"/>
    <m/>
    <n v="200"/>
    <m/>
    <m/>
    <m/>
    <m/>
    <n v="1"/>
    <s v="https://www.sg.ch/tools/informationen-coronavirus.html"/>
  </r>
  <r>
    <x v="28"/>
    <m/>
    <s v="SH"/>
    <m/>
    <n v="34"/>
    <m/>
    <m/>
    <m/>
    <m/>
    <n v="0"/>
    <s v="https://sh.ch/CMS/get/file/1142c079-5d62-4035-b9ea-04901bfcdfe9"/>
  </r>
  <r>
    <x v="28"/>
    <m/>
    <s v="SZ"/>
    <m/>
    <n v="97"/>
    <m/>
    <m/>
    <m/>
    <n v="10"/>
    <n v="0"/>
    <s v="https://www.sz.ch/public/upload/assets/46502/COVID-19_Fallzahlen_Kanton_Schwyz.xlsx"/>
  </r>
  <r>
    <x v="28"/>
    <m/>
    <s v="TG"/>
    <m/>
    <n v="88"/>
    <m/>
    <m/>
    <m/>
    <m/>
    <n v="1"/>
    <s v="https://www.tg.ch/news/fachdossier-coronavirus.html/10552 &amp; https://www.tg.ch/news/news-detailseite.html/485/news/44925"/>
  </r>
  <r>
    <x v="28"/>
    <m/>
    <s v="VD"/>
    <m/>
    <n v="2549"/>
    <n v="284"/>
    <n v="39"/>
    <m/>
    <m/>
    <n v="33"/>
    <s v="https://www.vd.ch/toutes-les-actualites/hotline-et-informations-sur-le-coronavirus/point-de-situation-statistique-dans-le-canton-de-vaud/"/>
  </r>
  <r>
    <x v="28"/>
    <m/>
    <s v="VS"/>
    <m/>
    <n v="728"/>
    <n v="117"/>
    <n v="13"/>
    <n v="12"/>
    <m/>
    <n v="14"/>
    <s v="https://www.vs.ch/de/web/coronavirus"/>
  </r>
  <r>
    <x v="28"/>
    <n v="0"/>
    <s v="SO"/>
    <m/>
    <n v="104"/>
    <m/>
    <m/>
    <m/>
    <m/>
    <n v="1"/>
    <s v="https://corona.so.ch/"/>
  </r>
  <r>
    <x v="28"/>
    <n v="0.33333333333333331"/>
    <s v="TI"/>
    <m/>
    <n v="1209"/>
    <n v="285"/>
    <n v="50"/>
    <n v="48"/>
    <n v="80"/>
    <n v="53"/>
    <s v="https://www4.ti.ch/fileadmin/DSS/DSP/UMC/malattie_infettive/Coronavirus/dati/COVID19_Dati_TI_per_github.xlsx"/>
  </r>
  <r>
    <x v="28"/>
    <n v="0.33333333333333331"/>
    <s v="ZG"/>
    <m/>
    <n v="72"/>
    <n v="6"/>
    <n v="0"/>
    <m/>
    <n v="12"/>
    <n v="0"/>
    <s v="https://www.zg.ch/behoerden/gesundheitsdirektion/statistikfachstelle/themen/gesundheit/corona"/>
  </r>
  <r>
    <x v="28"/>
    <n v="0.375"/>
    <s v="BS"/>
    <m/>
    <n v="410"/>
    <n v="58"/>
    <m/>
    <m/>
    <n v="105"/>
    <n v="5"/>
    <s v="https://www.coronavirus.bs.ch/nm/2020-tagesbulletin-coronavirus-414-bestaetigte-faelle-im-kanton-basel-stadt-gd.html"/>
  </r>
  <r>
    <x v="28"/>
    <n v="0.41666666666666669"/>
    <s v="AR"/>
    <m/>
    <n v="33"/>
    <n v="6"/>
    <m/>
    <m/>
    <m/>
    <n v="2"/>
    <s v="https://www.ar.ch/verwaltung/departement-gesundheit-und-soziales/amt-fuer-gesundheit/informationsseite-coronavirus/"/>
  </r>
  <r>
    <x v="28"/>
    <n v="0.45833333333333331"/>
    <s v="LU"/>
    <m/>
    <n v="205"/>
    <m/>
    <m/>
    <m/>
    <m/>
    <n v="2"/>
    <s v="https://gesundheit.lu.ch/themen/Humanmedizin/Infektionskrankheiten/Coronavirus"/>
  </r>
  <r>
    <x v="28"/>
    <n v="0.5"/>
    <s v="UR"/>
    <m/>
    <n v="25"/>
    <n v="1"/>
    <m/>
    <m/>
    <n v="1"/>
    <m/>
    <s v="https://www.ur.ch/themen/2920"/>
  </r>
  <r>
    <x v="28"/>
    <n v="0.60416666666666663"/>
    <s v="ZH"/>
    <m/>
    <n v="1224"/>
    <n v="138"/>
    <m/>
    <n v="26"/>
    <m/>
    <n v="8"/>
    <s v="https://gd.zh.ch/internet/gesundheitsdirektion/de/themen/coronavirus.html"/>
  </r>
  <r>
    <x v="28"/>
    <n v="0.625"/>
    <s v="AG"/>
    <m/>
    <n v="266"/>
    <n v="24"/>
    <n v="2"/>
    <n v="2"/>
    <m/>
    <n v="2"/>
    <s v="https://www.ag.ch/media/kanton_aargau/themen_1/coronavirus_1/lagebulletins/200324_KFS_Coronavirus_Lagebulletin_18.pdf"/>
  </r>
  <r>
    <x v="28"/>
    <n v="0.70833333333333337"/>
    <s v="AI"/>
    <m/>
    <n v="8"/>
    <m/>
    <m/>
    <m/>
    <m/>
    <n v="0"/>
    <s v="https://www.ai.ch/themen/gesundheit-alter-und-soziales/gesundheitsfoerderung-und-praevention/uebertragbare-krankheiten/coronavirus"/>
  </r>
  <r>
    <x v="29"/>
    <m/>
    <s v="BE"/>
    <m/>
    <n v="624"/>
    <m/>
    <m/>
    <m/>
    <m/>
    <n v="6"/>
    <s v="https://www.besondere-lage.sites.be.ch/besondere-lage_sites/de/index/corona/index.html"/>
  </r>
  <r>
    <x v="29"/>
    <m/>
    <s v="BL"/>
    <m/>
    <n v="341"/>
    <n v="68"/>
    <n v="8"/>
    <m/>
    <n v="46"/>
    <n v="5"/>
    <s v="https://www.baselland.ch/politik-und-behorden/direktionen/volkswirtschafts-und-gesundheitsdirektion/amt-fur-gesundheit/medizinische-dienste/kantonsarztlicher-dienst/aktuelles/covid-19-faelle-kanton-basel-landschaft"/>
  </r>
  <r>
    <x v="29"/>
    <m/>
    <s v="FL"/>
    <m/>
    <n v="53"/>
    <m/>
    <m/>
    <m/>
    <m/>
    <m/>
    <s v="https://www.regierung.li/media/attachments/145-drive-trouhg-anlage-corona.pdf?t=637207634421649200"/>
  </r>
  <r>
    <x v="29"/>
    <m/>
    <s v="FR"/>
    <m/>
    <n v="293"/>
    <n v="39"/>
    <n v="7"/>
    <m/>
    <m/>
    <n v="6"/>
    <s v="https://www.fr.ch/sites/default/files/2020-05/statistiques_situation_FR_0705.xlsx"/>
  </r>
  <r>
    <x v="29"/>
    <m/>
    <s v="GE"/>
    <n v="8328"/>
    <n v="1755"/>
    <n v="258"/>
    <n v="50"/>
    <n v="48"/>
    <n v="122"/>
    <n v="24"/>
    <s v="https://www.ge.ch/document/20094/telecharger"/>
  </r>
  <r>
    <x v="29"/>
    <m/>
    <s v="GL"/>
    <m/>
    <n v="40"/>
    <n v="2"/>
    <m/>
    <m/>
    <m/>
    <n v="0"/>
    <s v="https://www.gl.ch/public/upload/assets/28096/COVID-19_Fallzahlen_Kanton_Glarus.xlsx"/>
  </r>
  <r>
    <x v="29"/>
    <m/>
    <s v="GR"/>
    <m/>
    <n v="393"/>
    <n v="45"/>
    <m/>
    <m/>
    <m/>
    <n v="8"/>
    <s v="https://www.gr.ch/DE/institutionen/verwaltung/djsg/ga/coronavirus/_layouts/15/GenericDataFeed/feed.aspx?PageID=26&amp;ID=g_1175d522_e609_4287_93af_d14c9efd5218&amp;FORMAT=JSONRAW"/>
  </r>
  <r>
    <x v="29"/>
    <m/>
    <s v="JU"/>
    <m/>
    <n v="92"/>
    <n v="23"/>
    <n v="4"/>
    <m/>
    <m/>
    <n v="0"/>
    <s v="https://www.jura.ch/Htdocs/Files/v/34356.xlsx/Departements/CHA/SIC/Carrousel/Coronavirus/Cornavirus/Chiffres/donnees_06_05.xlsx?download=1"/>
  </r>
  <r>
    <x v="29"/>
    <m/>
    <s v="NE"/>
    <m/>
    <n v="280"/>
    <n v="41"/>
    <n v="10"/>
    <n v="7"/>
    <m/>
    <n v="9"/>
    <s v="https://www.ne.ch/autorites/DFS/SCSP/medecin-cantonal/maladies-vaccinations/Documents/Covid-19-Statistiques/COVID19_PublicationInternet.xlsx"/>
  </r>
  <r>
    <x v="29"/>
    <m/>
    <s v="NW"/>
    <m/>
    <n v="44"/>
    <n v="3"/>
    <m/>
    <m/>
    <m/>
    <m/>
    <s v="http://www.nw.ch/coronastatistik"/>
  </r>
  <r>
    <x v="29"/>
    <m/>
    <s v="OW"/>
    <m/>
    <n v="27"/>
    <m/>
    <m/>
    <m/>
    <m/>
    <m/>
    <s v="https://www.ow.ch/de/verwaltung/dienstleistungen/?dienst_id=5962"/>
  </r>
  <r>
    <x v="29"/>
    <m/>
    <s v="SG"/>
    <m/>
    <n v="228"/>
    <m/>
    <m/>
    <m/>
    <m/>
    <n v="1"/>
    <s v="https://www.sg.ch/tools/informationen-coronavirus.html"/>
  </r>
  <r>
    <x v="29"/>
    <m/>
    <s v="SH"/>
    <m/>
    <n v="35"/>
    <n v="10"/>
    <n v="1"/>
    <m/>
    <m/>
    <n v="0"/>
    <s v="https://sh.ch/CMS/get/file/1142c079-5d62-4035-b9ea-04901bfcdfe9"/>
  </r>
  <r>
    <x v="29"/>
    <m/>
    <s v="SZ"/>
    <m/>
    <m/>
    <m/>
    <m/>
    <m/>
    <n v="10"/>
    <n v="0"/>
    <s v="https://www.sz.ch/public/upload/assets/46502/COVID-19_Fallzahlen_Kanton_Schwyz.xlsx"/>
  </r>
  <r>
    <x v="29"/>
    <m/>
    <s v="TG"/>
    <m/>
    <n v="97"/>
    <m/>
    <m/>
    <m/>
    <m/>
    <n v="1"/>
    <s v="https://www.tg.ch/news/fachdossier-coronavirus.html/10552"/>
  </r>
  <r>
    <x v="29"/>
    <m/>
    <s v="VD"/>
    <m/>
    <n v="2741"/>
    <n v="312"/>
    <n v="49"/>
    <m/>
    <m/>
    <n v="41"/>
    <s v="https://www.vd.ch/toutes-les-actualites/hotline-et-informations-sur-le-coronavirus/point-de-situation-statistique-dans-le-canton-de-vaud/"/>
  </r>
  <r>
    <x v="29"/>
    <m/>
    <s v="VS"/>
    <m/>
    <n v="793"/>
    <n v="118"/>
    <n v="15"/>
    <n v="14"/>
    <m/>
    <n v="15"/>
    <s v="https://www.vs.ch/de/web/coronavirus"/>
  </r>
  <r>
    <x v="29"/>
    <n v="0"/>
    <s v="SO"/>
    <m/>
    <n v="129"/>
    <m/>
    <m/>
    <m/>
    <m/>
    <n v="1"/>
    <s v="https://corona.so.ch/"/>
  </r>
  <r>
    <x v="29"/>
    <n v="0.33333333333333331"/>
    <s v="AR"/>
    <m/>
    <n v="34"/>
    <m/>
    <m/>
    <m/>
    <m/>
    <n v="2"/>
    <s v="https://www.ar.ch/verwaltung/departement-gesundheit-und-soziales/amt-fuer-gesundheit/informationsseite-coronavirus/"/>
  </r>
  <r>
    <x v="29"/>
    <n v="0.33333333333333331"/>
    <s v="TI"/>
    <m/>
    <n v="1354"/>
    <n v="306"/>
    <n v="57"/>
    <n v="55"/>
    <n v="85"/>
    <n v="60"/>
    <s v="https://www4.ti.ch/fileadmin/DSS/DSP/UMC/malattie_infettive/Coronavirus/dati/COVID19_Dati_TI_per_github.xlsx"/>
  </r>
  <r>
    <x v="29"/>
    <n v="0.33333333333333331"/>
    <s v="ZG"/>
    <m/>
    <n v="80"/>
    <n v="9"/>
    <n v="1"/>
    <m/>
    <n v="18"/>
    <n v="0"/>
    <s v="https://www.zg.ch/behoerden/gesundheitsdirektion/statistikfachstelle/themen/gesundheit/corona"/>
  </r>
  <r>
    <x v="29"/>
    <n v="0.41666666666666669"/>
    <s v="BS"/>
    <m/>
    <n v="462"/>
    <n v="58"/>
    <m/>
    <m/>
    <n v="128"/>
    <n v="8"/>
    <s v="https://www.coronavirus.bs.ch/nm/2020-tagesbulletin-coronavirus-466-bestaetigte-faelle-im-kanton-basel-stadt-gd.html"/>
  </r>
  <r>
    <x v="29"/>
    <n v="0.45833333333333331"/>
    <s v="LU"/>
    <m/>
    <n v="228"/>
    <m/>
    <m/>
    <m/>
    <m/>
    <n v="2"/>
    <s v="https://gesundheit.lu.ch/themen/Humanmedizin/Infektionskrankheiten/Coronavirus"/>
  </r>
  <r>
    <x v="29"/>
    <n v="0.60416666666666663"/>
    <s v="ZH"/>
    <m/>
    <n v="1371"/>
    <n v="146"/>
    <m/>
    <n v="28"/>
    <m/>
    <n v="10"/>
    <s v="https://gd.zh.ch/internet/gesundheitsdirektion/de/themen/coronavirus.html"/>
  </r>
  <r>
    <x v="29"/>
    <n v="0.625"/>
    <s v="AG"/>
    <m/>
    <n v="319"/>
    <n v="16"/>
    <n v="5"/>
    <n v="5"/>
    <m/>
    <n v="2"/>
    <s v="https://www.ag.ch/media/kanton_aargau/themen_1/coronavirus_1/lagebulletins/200325_KFS_Coronavirus_Lagebulletin_19.pdf"/>
  </r>
  <r>
    <x v="29"/>
    <n v="0.70833333333333337"/>
    <s v="AI"/>
    <m/>
    <n v="9"/>
    <m/>
    <m/>
    <m/>
    <m/>
    <n v="0"/>
    <s v="https://www.ai.ch/themen/gesundheit-alter-und-soziales/gesundheitsfoerderung-und-praevention/uebertragbare-krankheiten/coronavirus"/>
  </r>
  <r>
    <x v="30"/>
    <m/>
    <s v="BE"/>
    <m/>
    <n v="660"/>
    <m/>
    <m/>
    <m/>
    <m/>
    <n v="7"/>
    <s v="https://www.besondere-lage.sites.be.ch/besondere-lage_sites/de/index/corona/index.html"/>
  </r>
  <r>
    <x v="30"/>
    <m/>
    <s v="BL"/>
    <m/>
    <n v="422"/>
    <n v="68"/>
    <n v="9"/>
    <m/>
    <n v="65"/>
    <n v="5"/>
    <s v="https://www.baselland.ch/politik-und-behorden/direktionen/volkswirtschafts-und-gesundheitsdirektion/amt-fur-gesundheit/medizinische-dienste/kantonsarztlicher-dienst/aktuelles/covid-19-faelle-kanton-basel-landschaft"/>
  </r>
  <r>
    <x v="30"/>
    <m/>
    <s v="FL"/>
    <n v="900"/>
    <n v="56"/>
    <m/>
    <m/>
    <m/>
    <m/>
    <m/>
    <s v="https://www.regierung.li/media/attachments/151-900-personen-getestet.pdf?t=637208497707275503"/>
  </r>
  <r>
    <x v="30"/>
    <m/>
    <s v="FR"/>
    <m/>
    <n v="309"/>
    <n v="44"/>
    <n v="5"/>
    <m/>
    <m/>
    <n v="11"/>
    <s v="https://www.fr.ch/sites/default/files/2020-05/statistiques_situation_FR_0705.xlsx"/>
  </r>
  <r>
    <x v="30"/>
    <m/>
    <s v="GE"/>
    <n v="8835"/>
    <n v="1981"/>
    <n v="272"/>
    <n v="52"/>
    <n v="48"/>
    <n v="144"/>
    <n v="26"/>
    <s v="https://www.ge.ch/document/20094/telecharger"/>
  </r>
  <r>
    <x v="30"/>
    <m/>
    <s v="GL"/>
    <m/>
    <n v="43"/>
    <n v="2"/>
    <m/>
    <m/>
    <m/>
    <n v="0"/>
    <s v="https://www.gl.ch/public/upload/assets/28096/COVID-19_Fallzahlen_Kanton_Glarus.xlsx"/>
  </r>
  <r>
    <x v="30"/>
    <m/>
    <s v="GR"/>
    <m/>
    <n v="433"/>
    <n v="52"/>
    <m/>
    <m/>
    <m/>
    <n v="8"/>
    <s v="https://www.gr.ch/DE/institutionen/verwaltung/djsg/ga/coronavirus/_layouts/15/GenericDataFeed/feed.aspx?PageID=26&amp;ID=g_1175d522_e609_4287_93af_d14c9efd5218&amp;FORMAT=JSONRAW"/>
  </r>
  <r>
    <x v="30"/>
    <m/>
    <s v="JU"/>
    <m/>
    <n v="100"/>
    <n v="22"/>
    <n v="4"/>
    <m/>
    <m/>
    <n v="0"/>
    <s v="https://www.jura.ch/Htdocs/Files/v/34356.xlsx/Departements/CHA/SIC/Carrousel/Coronavirus/Cornavirus/Chiffres/donnees_06_05.xlsx?download=1"/>
  </r>
  <r>
    <x v="30"/>
    <m/>
    <s v="NE"/>
    <m/>
    <n v="299"/>
    <n v="42"/>
    <n v="9"/>
    <n v="7"/>
    <m/>
    <n v="12"/>
    <s v="https://www.ne.ch/autorites/DFS/SCSP/medecin-cantonal/maladies-vaccinations/Documents/Covid-19-Statistiques/COVID19_PublicationInternet.xlsx"/>
  </r>
  <r>
    <x v="30"/>
    <m/>
    <s v="NW"/>
    <m/>
    <n v="48"/>
    <n v="2"/>
    <m/>
    <m/>
    <m/>
    <m/>
    <s v="http://www.nw.ch/coronastatistik"/>
  </r>
  <r>
    <x v="30"/>
    <m/>
    <s v="OW"/>
    <m/>
    <n v="30"/>
    <m/>
    <m/>
    <m/>
    <m/>
    <m/>
    <s v="https://www.ow.ch/de/verwaltung/dienstleistungen/?dienst_id=5962"/>
  </r>
  <r>
    <x v="30"/>
    <m/>
    <s v="SG"/>
    <m/>
    <n v="280"/>
    <m/>
    <m/>
    <m/>
    <m/>
    <n v="1"/>
    <s v="https://www.sg.ch/tools/informationen-coronavirus.html"/>
  </r>
  <r>
    <x v="30"/>
    <m/>
    <s v="SH"/>
    <m/>
    <n v="36"/>
    <n v="6"/>
    <n v="1"/>
    <m/>
    <m/>
    <n v="0"/>
    <s v="https://sh.ch/CMS/get/file/1142c079-5d62-4035-b9ea-04901bfcdfe9"/>
  </r>
  <r>
    <x v="30"/>
    <m/>
    <s v="SZ"/>
    <m/>
    <n v="107"/>
    <m/>
    <m/>
    <m/>
    <n v="20"/>
    <n v="0"/>
    <s v="https://www.sz.ch/public/upload/assets/46502/COVID-19_Fallzahlen_Kanton_Schwyz.xlsx"/>
  </r>
  <r>
    <x v="30"/>
    <m/>
    <s v="TG"/>
    <m/>
    <n v="111"/>
    <m/>
    <m/>
    <m/>
    <m/>
    <n v="1"/>
    <s v="https://www.tg.ch/news/fachdossier-coronavirus.html/10552"/>
  </r>
  <r>
    <x v="30"/>
    <m/>
    <s v="UR"/>
    <m/>
    <n v="38"/>
    <n v="4"/>
    <m/>
    <m/>
    <n v="2"/>
    <m/>
    <s v="https://www.ur.ch/themen/2920"/>
  </r>
  <r>
    <x v="30"/>
    <m/>
    <s v="VD"/>
    <m/>
    <n v="2946"/>
    <n v="323"/>
    <n v="53"/>
    <m/>
    <m/>
    <n v="58"/>
    <s v="https://www.vd.ch/toutes-les-actualites/hotline-et-informations-sur-le-coronavirus/point-de-situation-statistique-dans-le-canton-de-vaud/"/>
  </r>
  <r>
    <x v="30"/>
    <m/>
    <s v="VS"/>
    <m/>
    <n v="874"/>
    <n v="128"/>
    <n v="19"/>
    <n v="17"/>
    <m/>
    <n v="17"/>
    <s v="https://www.vs.ch/de/web/coronavirus"/>
  </r>
  <r>
    <x v="30"/>
    <n v="0"/>
    <s v="SO"/>
    <m/>
    <n v="141"/>
    <m/>
    <m/>
    <m/>
    <m/>
    <n v="1"/>
    <s v="https://corona.so.ch/"/>
  </r>
  <r>
    <x v="30"/>
    <n v="0.33333333333333331"/>
    <s v="TI"/>
    <m/>
    <n v="1401"/>
    <n v="358"/>
    <n v="60"/>
    <n v="56"/>
    <n v="91"/>
    <n v="67"/>
    <s v="https://www4.ti.ch/fileadmin/DSS/DSP/UMC/malattie_infettive/Coronavirus/dati/COVID19_Dati_TI_per_github.xlsx"/>
  </r>
  <r>
    <x v="30"/>
    <n v="0.33333333333333331"/>
    <s v="ZG"/>
    <m/>
    <n v="87"/>
    <n v="10"/>
    <n v="1"/>
    <m/>
    <n v="18"/>
    <n v="0"/>
    <s v="https://www.zg.ch/behoerden/gesundheitsdirektion/statistikfachstelle/themen/gesundheit/corona"/>
  </r>
  <r>
    <x v="30"/>
    <n v="0.4375"/>
    <s v="BS"/>
    <m/>
    <n v="501"/>
    <n v="74"/>
    <n v="8"/>
    <m/>
    <n v="155"/>
    <n v="12"/>
    <s v="https://www.coronavirus.bs.ch/nm/2020-tagesbulletin-coronavirus-505-bestaetigte-faelle-im-kanton-basel-stadt-gd.html"/>
  </r>
  <r>
    <x v="30"/>
    <n v="0.45833333333333331"/>
    <s v="LU"/>
    <m/>
    <n v="253"/>
    <m/>
    <m/>
    <m/>
    <m/>
    <n v="3"/>
    <s v="https://gesundheit.lu.ch/themen/Humanmedizin/Infektionskrankheiten/Coronavirus"/>
  </r>
  <r>
    <x v="30"/>
    <n v="0.60416666666666663"/>
    <s v="ZH"/>
    <m/>
    <n v="1503"/>
    <n v="156"/>
    <m/>
    <n v="35"/>
    <m/>
    <n v="13"/>
    <s v="https://gd.zh.ch/internet/gesundheitsdirektion/de/themen/coronavirus.html"/>
  </r>
  <r>
    <x v="30"/>
    <n v="0.625"/>
    <s v="AG"/>
    <m/>
    <n v="349"/>
    <n v="38"/>
    <n v="10"/>
    <n v="9"/>
    <m/>
    <n v="2"/>
    <s v="https://www.ag.ch/media/kanton_aargau/themen_1/coronavirus_1/lagebulletins/200326_KFS_Coronavirus_Lagebulletin_20.pdf"/>
  </r>
  <r>
    <x v="30"/>
    <n v="0.66666666666666663"/>
    <s v="AR"/>
    <m/>
    <n v="42"/>
    <m/>
    <m/>
    <m/>
    <m/>
    <n v="2"/>
    <s v="https://www.ar.ch/verwaltung/departement-gesundheit-und-soziales/amt-fuer-gesundheit/informationsseite-coronavirus/"/>
  </r>
  <r>
    <x v="30"/>
    <n v="0.75"/>
    <s v="AI"/>
    <m/>
    <n v="11"/>
    <m/>
    <m/>
    <m/>
    <m/>
    <n v="0"/>
    <s v="https://www.ai.ch/themen/gesundheit-alter-und-soziales/gesundheitsfoerderung-und-praevention/uebertragbare-krankheiten/coronavirus"/>
  </r>
  <r>
    <x v="31"/>
    <m/>
    <s v="BE"/>
    <m/>
    <n v="718"/>
    <m/>
    <m/>
    <m/>
    <m/>
    <n v="8"/>
    <s v="https://www.besondere-lage.sites.be.ch/besondere-lage_sites/de/index/corona/index.html"/>
  </r>
  <r>
    <x v="31"/>
    <m/>
    <s v="BL"/>
    <m/>
    <n v="466"/>
    <n v="79"/>
    <n v="11"/>
    <m/>
    <n v="76"/>
    <n v="5"/>
    <s v="https://www.baselland.ch/politik-und-behorden/direktionen/volkswirtschafts-und-gesundheitsdirektion/amt-fur-gesundheit/medizinische-dienste/kantonsarztlicher-dienst/aktuelles/covid-19-faelle-kanton-basel-landschaft"/>
  </r>
  <r>
    <x v="31"/>
    <m/>
    <s v="FL"/>
    <m/>
    <n v="60"/>
    <m/>
    <m/>
    <m/>
    <m/>
    <m/>
    <s v="https://www.regierung.li/media/attachments/152-regierung-bedankt-sich.pdf?t=637209361840426241"/>
  </r>
  <r>
    <x v="31"/>
    <m/>
    <s v="FR"/>
    <m/>
    <n v="369"/>
    <n v="50"/>
    <n v="8"/>
    <m/>
    <m/>
    <n v="14"/>
    <s v="https://www.fr.ch/sites/default/files/2020-05/statistiques_situation_FR_0705.xlsx"/>
  </r>
  <r>
    <x v="31"/>
    <m/>
    <s v="GE"/>
    <n v="9327"/>
    <n v="2169"/>
    <n v="313"/>
    <n v="54"/>
    <n v="54"/>
    <n v="153"/>
    <n v="33"/>
    <s v="https://www.ge.ch/document/20094/telecharger"/>
  </r>
  <r>
    <x v="31"/>
    <m/>
    <s v="GL"/>
    <m/>
    <n v="47"/>
    <n v="3"/>
    <m/>
    <m/>
    <m/>
    <n v="0"/>
    <s v="https://www.gl.ch/public/upload/assets/28096/COVID-19_Fallzahlen_Kanton_Glarus.xlsx"/>
  </r>
  <r>
    <x v="31"/>
    <m/>
    <s v="GR"/>
    <m/>
    <n v="474"/>
    <n v="58"/>
    <m/>
    <m/>
    <m/>
    <n v="9"/>
    <s v="https://www.gr.ch/DE/institutionen/verwaltung/djsg/ga/coronavirus/_layouts/15/GenericDataFeed/feed.aspx?PageID=26&amp;ID=g_1175d522_e609_4287_93af_d14c9efd5218&amp;FORMAT=JSONRAW"/>
  </r>
  <r>
    <x v="31"/>
    <m/>
    <s v="JU"/>
    <m/>
    <n v="114"/>
    <n v="25"/>
    <n v="6"/>
    <m/>
    <m/>
    <n v="0"/>
    <s v="https://www.jura.ch/Htdocs/Files/v/34356.xlsx/Departements/CHA/SIC/Carrousel/Coronavirus/Cornavirus/Chiffres/donnees_06_05.xlsx?download=1"/>
  </r>
  <r>
    <x v="31"/>
    <m/>
    <s v="NE"/>
    <m/>
    <n v="316"/>
    <n v="45"/>
    <n v="9"/>
    <n v="7"/>
    <m/>
    <n v="13"/>
    <s v="https://www.ne.ch/autorites/DFS/SCSP/medecin-cantonal/maladies-vaccinations/Documents/Covid-19-Statistiques/COVID19_PublicationInternet.xlsx"/>
  </r>
  <r>
    <x v="31"/>
    <m/>
    <s v="NW"/>
    <m/>
    <n v="54"/>
    <n v="3"/>
    <m/>
    <m/>
    <m/>
    <m/>
    <s v="http://www.nw.ch/coronastatistik"/>
  </r>
  <r>
    <x v="31"/>
    <m/>
    <s v="OW"/>
    <m/>
    <n v="37"/>
    <m/>
    <m/>
    <m/>
    <m/>
    <m/>
    <s v="https://www.ow.ch/de/verwaltung/dienstleistungen/?dienst_id=5962"/>
  </r>
  <r>
    <x v="31"/>
    <m/>
    <s v="SG"/>
    <m/>
    <n v="306"/>
    <m/>
    <m/>
    <m/>
    <m/>
    <n v="2"/>
    <s v="https://www.sg.ch/tools/informationen-coronavirus.html"/>
  </r>
  <r>
    <x v="31"/>
    <m/>
    <s v="SH"/>
    <m/>
    <n v="37"/>
    <n v="10"/>
    <n v="1"/>
    <m/>
    <m/>
    <n v="0"/>
    <s v="https://sh.ch/CMS/get/file/1142c079-5d62-4035-b9ea-04901bfcdfe9"/>
  </r>
  <r>
    <x v="31"/>
    <m/>
    <s v="SZ"/>
    <m/>
    <n v="119"/>
    <m/>
    <m/>
    <m/>
    <n v="32"/>
    <n v="1"/>
    <s v="https://www.sz.ch/public/upload/assets/46502/COVID-19_Fallzahlen_Kanton_Schwyz.xlsx"/>
  </r>
  <r>
    <x v="31"/>
    <m/>
    <s v="TG"/>
    <m/>
    <n v="118"/>
    <m/>
    <m/>
    <m/>
    <m/>
    <n v="2"/>
    <s v="https://www.tg.ch/news/fachdossier-coronavirus.html/10552 &amp; email der Staatskanzlei des Kanton Thurgau"/>
  </r>
  <r>
    <x v="31"/>
    <m/>
    <s v="UR"/>
    <m/>
    <n v="40"/>
    <n v="7"/>
    <m/>
    <m/>
    <n v="3"/>
    <m/>
    <s v="https://www.ur.ch/themen/2920"/>
  </r>
  <r>
    <x v="31"/>
    <m/>
    <s v="VD"/>
    <m/>
    <n v="3180"/>
    <n v="356"/>
    <n v="57"/>
    <m/>
    <m/>
    <n v="62"/>
    <s v="https://www.vd.ch/toutes-les-actualites/hotline-et-informations-sur-le-coronavirus/point-de-situation-statistique-dans-le-canton-de-vaud/"/>
  </r>
  <r>
    <x v="31"/>
    <m/>
    <s v="VS"/>
    <m/>
    <n v="968"/>
    <n v="137"/>
    <n v="20"/>
    <n v="16"/>
    <m/>
    <n v="21"/>
    <s v="https://www.vs.ch/de/web/coronavirus"/>
  </r>
  <r>
    <x v="31"/>
    <n v="0"/>
    <s v="SO"/>
    <m/>
    <n v="157"/>
    <m/>
    <m/>
    <m/>
    <m/>
    <n v="1"/>
    <s v="https://corona.so.ch/"/>
  </r>
  <r>
    <x v="31"/>
    <n v="0.33333333333333331"/>
    <s v="TI"/>
    <m/>
    <n v="1688"/>
    <n v="386"/>
    <n v="61"/>
    <n v="51"/>
    <n v="107"/>
    <n v="76"/>
    <s v="https://www4.ti.ch/fileadmin/DSS/DSP/UMC/malattie_infettive/Coronavirus/dati/COVID19_Dati_TI_per_github.xlsx"/>
  </r>
  <r>
    <x v="31"/>
    <n v="0.33333333333333331"/>
    <s v="ZG"/>
    <m/>
    <n v="94"/>
    <n v="12"/>
    <n v="5"/>
    <m/>
    <n v="18"/>
    <n v="0"/>
    <s v="https://www.zg.ch/behoerden/gesundheitsdirektion/statistikfachstelle/themen/gesundheit/corona"/>
  </r>
  <r>
    <x v="31"/>
    <n v="0.41666666666666669"/>
    <s v="BS"/>
    <m/>
    <n v="530"/>
    <n v="76"/>
    <n v="8"/>
    <m/>
    <n v="191"/>
    <n v="13"/>
    <s v="https://www.coronavirus.bs.ch/nm/2020-tagesbulletin-coronavirus-534-bestaetigte-faelle-im-kanton-basel-stadt-gd.html"/>
  </r>
  <r>
    <x v="31"/>
    <n v="0.45833333333333331"/>
    <s v="LU"/>
    <m/>
    <n v="287"/>
    <m/>
    <m/>
    <m/>
    <m/>
    <n v="3"/>
    <s v="https://gesundheit.lu.ch/themen/Humanmedizin/Infektionskrankheiten/Coronavirus"/>
  </r>
  <r>
    <x v="31"/>
    <n v="0.54166666666666663"/>
    <s v="AR"/>
    <m/>
    <n v="44"/>
    <m/>
    <m/>
    <m/>
    <m/>
    <n v="2"/>
    <s v="https://www.ar.ch/verwaltung/departement-gesundheit-und-soziales/amt-fuer-gesundheit/informationsseite-coronavirus/"/>
  </r>
  <r>
    <x v="31"/>
    <n v="0.60416666666666663"/>
    <s v="ZH"/>
    <m/>
    <n v="1630"/>
    <n v="171"/>
    <m/>
    <n v="38"/>
    <m/>
    <n v="15"/>
    <s v="https://gd.zh.ch/internet/gesundheitsdirektion/de/themen/coronavirus.html"/>
  </r>
  <r>
    <x v="31"/>
    <n v="0.625"/>
    <s v="AG"/>
    <m/>
    <n v="364"/>
    <n v="50"/>
    <n v="12"/>
    <n v="10"/>
    <m/>
    <n v="3"/>
    <s v="https://www.ag.ch/media/kanton_aargau/themen_1/coronavirus_1/lagebulletins/200327_KFS_Coronavirus_Lagebulletin_21.pdf"/>
  </r>
  <r>
    <x v="31"/>
    <n v="0.75"/>
    <s v="AI"/>
    <m/>
    <n v="12"/>
    <m/>
    <m/>
    <m/>
    <m/>
    <n v="0"/>
    <s v="https://www.ai.ch/themen/gesundheit-alter-und-soziales/gesundheitsfoerderung-und-praevention/uebertragbare-krankheiten/coronavirus"/>
  </r>
  <r>
    <x v="32"/>
    <m/>
    <s v="BE"/>
    <m/>
    <n v="767"/>
    <m/>
    <m/>
    <m/>
    <m/>
    <n v="9"/>
    <s v="https://www.besondere-lage.sites.be.ch/besondere-lage_sites/de/index/corona/index.html"/>
  </r>
  <r>
    <x v="32"/>
    <m/>
    <s v="BL"/>
    <m/>
    <n v="502"/>
    <n v="75"/>
    <n v="14"/>
    <n v="13"/>
    <n v="100"/>
    <n v="6"/>
    <s v="https://www.baselland.ch/politik-und-behorden/direktionen/volkswirtschafts-und-gesundheitsdirektion/amt-fur-gesundheit/medizinische-dienste/kantonsarztlicher-dienst/aktuelles/covid-19-faelle-kanton-basel-landschaft"/>
  </r>
  <r>
    <x v="32"/>
    <m/>
    <s v="FL"/>
    <m/>
    <n v="61"/>
    <m/>
    <m/>
    <m/>
    <m/>
    <m/>
    <s v="https://www.regierung.li/de/mitteilungen/223346/?typ=news"/>
  </r>
  <r>
    <x v="32"/>
    <m/>
    <s v="FR"/>
    <m/>
    <n v="421"/>
    <n v="67"/>
    <n v="12"/>
    <m/>
    <m/>
    <n v="15"/>
    <s v="https://www.fr.ch/sites/default/files/2020-05/statistiques_situation_FR_0705.xlsx"/>
  </r>
  <r>
    <x v="32"/>
    <m/>
    <s v="GE"/>
    <n v="9916"/>
    <n v="2365"/>
    <n v="339"/>
    <n v="59"/>
    <n v="54"/>
    <n v="175"/>
    <n v="41"/>
    <s v="https://www.ge.ch/document/20094/telecharger"/>
  </r>
  <r>
    <x v="32"/>
    <m/>
    <s v="GL"/>
    <m/>
    <n v="47"/>
    <n v="3"/>
    <m/>
    <m/>
    <m/>
    <n v="1"/>
    <s v="https://www.gl.ch/public/upload/assets/28096/COVID-19_Fallzahlen_Kanton_Glarus.xlsx"/>
  </r>
  <r>
    <x v="32"/>
    <m/>
    <s v="GR"/>
    <m/>
    <n v="495"/>
    <n v="63"/>
    <m/>
    <m/>
    <m/>
    <n v="12"/>
    <s v="https://www.gr.ch/DE/institutionen/verwaltung/djsg/ga/coronavirus/_layouts/15/GenericDataFeed/feed.aspx?PageID=26&amp;ID=g_1175d522_e609_4287_93af_d14c9efd5218&amp;FORMAT=JSONRAW"/>
  </r>
  <r>
    <x v="32"/>
    <m/>
    <s v="JU"/>
    <m/>
    <n v="119"/>
    <n v="27"/>
    <n v="5"/>
    <m/>
    <m/>
    <n v="0"/>
    <s v="https://www.jura.ch/Htdocs/Files/v/34356.xlsx/Departements/CHA/SIC/Carrousel/Coronavirus/Cornavirus/Chiffres/donnees_06_05.xlsx?download=1"/>
  </r>
  <r>
    <x v="32"/>
    <m/>
    <s v="NE"/>
    <m/>
    <n v="337"/>
    <n v="50"/>
    <n v="11"/>
    <n v="8"/>
    <m/>
    <n v="15"/>
    <s v="https://www.ne.ch/autorites/DFS/SCSP/medecin-cantonal/maladies-vaccinations/Documents/Covid-19-Statistiques/COVID19_PublicationInternet.xlsx"/>
  </r>
  <r>
    <x v="32"/>
    <m/>
    <s v="NW"/>
    <m/>
    <n v="55"/>
    <n v="4"/>
    <m/>
    <m/>
    <m/>
    <m/>
    <s v="http://www.nw.ch/coronastatistik"/>
  </r>
  <r>
    <x v="32"/>
    <m/>
    <s v="SG"/>
    <m/>
    <n v="339"/>
    <m/>
    <m/>
    <m/>
    <m/>
    <n v="5"/>
    <s v="https://www.sg.ch/tools/informationen-coronavirus.html"/>
  </r>
  <r>
    <x v="32"/>
    <m/>
    <s v="SH"/>
    <m/>
    <n v="40"/>
    <n v="14"/>
    <n v="1"/>
    <m/>
    <m/>
    <n v="0"/>
    <s v="https://sh.ch/CMS/get/file/1142c079-5d62-4035-b9ea-04901bfcdfe9"/>
  </r>
  <r>
    <x v="32"/>
    <m/>
    <s v="SZ"/>
    <m/>
    <n v="122"/>
    <m/>
    <m/>
    <m/>
    <n v="33"/>
    <n v="1"/>
    <s v="https://www.sz.ch/public/upload/assets/46502/COVID-19_Fallzahlen_Kanton_Schwyz.xlsx"/>
  </r>
  <r>
    <x v="32"/>
    <m/>
    <s v="TG"/>
    <m/>
    <n v="135"/>
    <m/>
    <m/>
    <m/>
    <m/>
    <n v="2"/>
    <s v="https://www.tg.ch/news/fachdossier-coronavirus.html/10552"/>
  </r>
  <r>
    <x v="32"/>
    <m/>
    <s v="UR"/>
    <m/>
    <n v="48"/>
    <n v="7"/>
    <m/>
    <m/>
    <n v="3"/>
    <m/>
    <s v="https://www.ur.ch/themen/2920"/>
  </r>
  <r>
    <x v="32"/>
    <m/>
    <s v="VD"/>
    <m/>
    <n v="3311"/>
    <n v="364"/>
    <n v="58"/>
    <m/>
    <m/>
    <n v="73"/>
    <s v="https://www.vd.ch/toutes-les-actualites/hotline-et-informations-sur-le-coronavirus/point-de-situation-statistique-dans-le-canton-de-vaud/"/>
  </r>
  <r>
    <x v="32"/>
    <m/>
    <s v="VS"/>
    <m/>
    <n v="1017"/>
    <n v="142"/>
    <n v="21"/>
    <n v="19"/>
    <m/>
    <n v="25"/>
    <s v="https://www.vs.ch/de/web/coronavirus"/>
  </r>
  <r>
    <x v="32"/>
    <n v="0"/>
    <s v="SO"/>
    <m/>
    <n v="173"/>
    <m/>
    <m/>
    <m/>
    <m/>
    <n v="1"/>
    <s v="https://corona.so.ch/"/>
  </r>
  <r>
    <x v="32"/>
    <n v="0.33333333333333331"/>
    <s v="AR"/>
    <m/>
    <n v="45"/>
    <m/>
    <m/>
    <m/>
    <m/>
    <n v="2"/>
    <s v="https://www.ar.ch/verwaltung/departement-gesundheit-und-soziales/amt-fuer-gesundheit/informationsseite-coronavirus/"/>
  </r>
  <r>
    <x v="32"/>
    <n v="0.33333333333333331"/>
    <s v="TI"/>
    <m/>
    <n v="1727"/>
    <n v="385"/>
    <n v="69"/>
    <n v="60"/>
    <n v="136"/>
    <n v="87"/>
    <s v="https://www4.ti.ch/fileadmin/DSS/DSP/UMC/malattie_infettive/Coronavirus/dati/COVID19_Dati_TI_per_github.xlsx"/>
  </r>
  <r>
    <x v="32"/>
    <n v="0.33333333333333331"/>
    <s v="ZG"/>
    <m/>
    <n v="101"/>
    <n v="12"/>
    <n v="5"/>
    <m/>
    <n v="21"/>
    <n v="1"/>
    <s v="https://www.zg.ch/behoerden/gesundheitsdirektion/statistikfachstelle/themen/gesundheit/corona"/>
  </r>
  <r>
    <x v="32"/>
    <n v="0.41666666666666669"/>
    <s v="BS"/>
    <m/>
    <n v="569"/>
    <n v="79"/>
    <n v="11"/>
    <m/>
    <n v="211"/>
    <n v="13"/>
    <s v="https://www.coronavirus.bs.ch/nm/2020-tagesbulletin-coronavirus-573-bestaetigte-faelle-im-kanton-basel-stadt-gd.html"/>
  </r>
  <r>
    <x v="32"/>
    <n v="0.45833333333333331"/>
    <s v="LU"/>
    <m/>
    <n v="317"/>
    <m/>
    <m/>
    <m/>
    <m/>
    <n v="4"/>
    <s v="https://gesundheit.lu.ch/themen/Humanmedizin/Infektionskrankheiten/Coronavirus"/>
  </r>
  <r>
    <x v="32"/>
    <n v="0.60416666666666663"/>
    <s v="ZH"/>
    <m/>
    <n v="1704"/>
    <n v="187"/>
    <m/>
    <n v="42"/>
    <m/>
    <n v="19"/>
    <s v="https://gd.zh.ch/internet/gesundheitsdirektion/de/themen/coronavirus.html"/>
  </r>
  <r>
    <x v="32"/>
    <n v="0.75"/>
    <s v="AI"/>
    <m/>
    <n v="13"/>
    <m/>
    <m/>
    <m/>
    <m/>
    <n v="0"/>
    <s v="https://www.ai.ch/themen/gesundheit-alter-und-soziales/gesundheitsfoerderung-und-praevention/uebertragbare-krankheiten/coronavirus"/>
  </r>
  <r>
    <x v="33"/>
    <m/>
    <s v="BE"/>
    <m/>
    <n v="798"/>
    <m/>
    <m/>
    <m/>
    <m/>
    <n v="10"/>
    <s v="https://www.besondere-lage.sites.be.ch/besondere-lage_sites/de/index/corona/index.html"/>
  </r>
  <r>
    <x v="33"/>
    <m/>
    <s v="BL"/>
    <m/>
    <n v="511"/>
    <n v="99"/>
    <n v="15"/>
    <n v="14"/>
    <n v="115"/>
    <n v="6"/>
    <s v="https://www.baselland.ch/politik-und-behorden/direktionen/volkswirtschafts-und-gesundheitsdirektion/amt-fur-gesundheit/medizinische-dienste/kantonsarztlicher-dienst/aktuelles/covid-19-faelle-kanton-basel-landschaft"/>
  </r>
  <r>
    <x v="33"/>
    <m/>
    <s v="FL"/>
    <m/>
    <n v="62"/>
    <m/>
    <m/>
    <m/>
    <m/>
    <m/>
    <s v="https://www.regierung.li/de/mitteilungen/223347/?typ=news"/>
  </r>
  <r>
    <x v="33"/>
    <m/>
    <s v="FR"/>
    <m/>
    <n v="442"/>
    <n v="76"/>
    <n v="13"/>
    <m/>
    <m/>
    <n v="15"/>
    <s v="https://www.fr.ch/sites/default/files/2020-05/statistiques_situation_FR_0705.xlsx"/>
  </r>
  <r>
    <x v="33"/>
    <m/>
    <s v="GE"/>
    <n v="10225"/>
    <n v="2472"/>
    <n v="365"/>
    <n v="59"/>
    <n v="55"/>
    <n v="193"/>
    <n v="49"/>
    <s v="https://www.ge.ch/document/20094/telecharger"/>
  </r>
  <r>
    <x v="33"/>
    <m/>
    <s v="GL"/>
    <m/>
    <n v="50"/>
    <n v="2"/>
    <m/>
    <m/>
    <m/>
    <n v="1"/>
    <s v="https://www.gl.ch/public/upload/assets/28096/COVID-19_Fallzahlen_Kanton_Glarus.xlsx"/>
  </r>
  <r>
    <x v="33"/>
    <m/>
    <s v="GR"/>
    <m/>
    <n v="519"/>
    <n v="63"/>
    <m/>
    <m/>
    <m/>
    <n v="15"/>
    <s v="https://www.gr.ch/DE/institutionen/verwaltung/djsg/ga/coronavirus/_layouts/15/GenericDataFeed/feed.aspx?PageID=26&amp;ID=g_1175d522_e609_4287_93af_d14c9efd5218&amp;FORMAT=JSONRAW"/>
  </r>
  <r>
    <x v="33"/>
    <m/>
    <s v="JU"/>
    <m/>
    <n v="127"/>
    <n v="28"/>
    <n v="5"/>
    <m/>
    <m/>
    <n v="0"/>
    <s v="https://www.jura.ch/Htdocs/Files/v/34356.xlsx/Departements/CHA/SIC/Carrousel/Coronavirus/Cornavirus/Chiffres/donnees_06_05.xlsx?download=1"/>
  </r>
  <r>
    <x v="33"/>
    <m/>
    <s v="NE"/>
    <m/>
    <n v="346"/>
    <n v="60"/>
    <n v="16"/>
    <n v="6"/>
    <m/>
    <n v="18"/>
    <s v="https://www.ne.ch/autorites/DFS/SCSP/medecin-cantonal/maladies-vaccinations/Documents/Covid-19-Statistiques/COVID19_PublicationInternet.xlsx"/>
  </r>
  <r>
    <x v="33"/>
    <m/>
    <s v="NW"/>
    <m/>
    <n v="59"/>
    <n v="4"/>
    <m/>
    <m/>
    <m/>
    <m/>
    <s v="http://www.nw.ch/coronastatistik"/>
  </r>
  <r>
    <x v="33"/>
    <m/>
    <s v="SG"/>
    <m/>
    <n v="365"/>
    <m/>
    <m/>
    <m/>
    <m/>
    <n v="5"/>
    <s v="https://www.sg.ch/tools/informationen-coronavirus.html"/>
  </r>
  <r>
    <x v="33"/>
    <m/>
    <s v="SH"/>
    <m/>
    <n v="41"/>
    <n v="15"/>
    <n v="1"/>
    <m/>
    <m/>
    <n v="0"/>
    <s v="https://sh.ch/CMS/get/file/1142c079-5d62-4035-b9ea-04901bfcdfe9"/>
  </r>
  <r>
    <x v="33"/>
    <m/>
    <s v="SZ"/>
    <m/>
    <n v="128"/>
    <m/>
    <m/>
    <m/>
    <n v="33"/>
    <n v="2"/>
    <s v="https://www.sz.ch/public/upload/assets/46502/COVID-19_Fallzahlen_Kanton_Schwyz.xlsx"/>
  </r>
  <r>
    <x v="33"/>
    <m/>
    <s v="TG"/>
    <m/>
    <n v="139"/>
    <m/>
    <m/>
    <m/>
    <m/>
    <n v="2"/>
    <s v="https://www.tg.ch/news/fachdossier-coronavirus.html/10552"/>
  </r>
  <r>
    <x v="33"/>
    <m/>
    <s v="UR"/>
    <m/>
    <n v="50"/>
    <n v="7"/>
    <m/>
    <m/>
    <n v="3"/>
    <m/>
    <s v="https://www.ur.ch/themen/2920"/>
  </r>
  <r>
    <x v="33"/>
    <m/>
    <s v="VD"/>
    <m/>
    <n v="3396"/>
    <n v="366"/>
    <n v="59"/>
    <m/>
    <m/>
    <n v="83"/>
    <s v="https://www.vd.ch/toutes-les-actualites/hotline-et-informations-sur-le-coronavirus/point-de-situation-statistique-dans-le-canton-de-vaud/"/>
  </r>
  <r>
    <x v="33"/>
    <m/>
    <s v="VS"/>
    <m/>
    <n v="1055"/>
    <n v="152"/>
    <n v="22"/>
    <n v="21"/>
    <m/>
    <n v="31"/>
    <s v="https://www.vs.ch/de/web/coronavirus"/>
  </r>
  <r>
    <x v="33"/>
    <n v="0"/>
    <s v="SO"/>
    <m/>
    <n v="190"/>
    <m/>
    <m/>
    <m/>
    <m/>
    <n v="2"/>
    <s v="https://corona.so.ch/"/>
  </r>
  <r>
    <x v="33"/>
    <n v="0.33333333333333331"/>
    <s v="AR"/>
    <m/>
    <n v="48"/>
    <m/>
    <m/>
    <m/>
    <m/>
    <n v="2"/>
    <s v="https://www.ar.ch/verwaltung/departement-gesundheit-und-soziales/amt-fuer-gesundheit/informationsseite-coronavirus/"/>
  </r>
  <r>
    <x v="33"/>
    <n v="0.33333333333333331"/>
    <s v="TI"/>
    <m/>
    <n v="1837"/>
    <n v="402"/>
    <n v="69"/>
    <n v="59"/>
    <n v="155"/>
    <n v="93"/>
    <s v="https://www4.ti.ch/fileadmin/DSS/DSP/UMC/malattie_infettive/Coronavirus/dati/COVID19_Dati_TI_per_github.xlsx"/>
  </r>
  <r>
    <x v="33"/>
    <n v="0.33333333333333331"/>
    <s v="ZG"/>
    <m/>
    <n v="101"/>
    <n v="12"/>
    <n v="5"/>
    <m/>
    <n v="21"/>
    <n v="1"/>
    <s v="https://www.zg.ch/behoerden/gesundheitsdirektion/statistikfachstelle/themen/gesundheit/corona"/>
  </r>
  <r>
    <x v="33"/>
    <n v="0.41666666666666669"/>
    <s v="BS"/>
    <m/>
    <n v="605"/>
    <n v="87"/>
    <n v="12"/>
    <m/>
    <n v="228"/>
    <n v="15"/>
    <s v="https://www.coronavirus.bs.ch/nm/2020-tagesbulletin-coronavirus-609-bestaetigte-faelle-im-kanton-basel-stadt-gd.html"/>
  </r>
  <r>
    <x v="33"/>
    <n v="0.45833333333333331"/>
    <s v="LU"/>
    <m/>
    <n v="339"/>
    <m/>
    <m/>
    <m/>
    <m/>
    <n v="5"/>
    <s v="https://gesundheit.lu.ch/themen/Humanmedizin/Infektionskrankheiten/Coronavirus"/>
  </r>
  <r>
    <x v="33"/>
    <n v="0.60416666666666663"/>
    <s v="ZH"/>
    <m/>
    <n v="1736"/>
    <n v="194"/>
    <m/>
    <n v="46"/>
    <m/>
    <n v="22"/>
    <s v="https://gd.zh.ch/internet/gesundheitsdirektion/de/themen/coronavirus.html"/>
  </r>
  <r>
    <x v="34"/>
    <m/>
    <s v="BL"/>
    <m/>
    <n v="539"/>
    <n v="86"/>
    <n v="17"/>
    <n v="16"/>
    <n v="158"/>
    <n v="7"/>
    <s v="https://www.baselland.ch/politik-und-behorden/direktionen/volkswirtschafts-und-gesundheitsdirektion/amt-fur-gesundheit/medizinische-dienste/kantonsarztlicher-dienst/aktuelles/covid-19-faelle-kanton-basel-landschaft"/>
  </r>
  <r>
    <x v="34"/>
    <m/>
    <s v="FL"/>
    <m/>
    <n v="64"/>
    <m/>
    <m/>
    <m/>
    <m/>
    <m/>
    <s v="https://www.regierung.li/de/mitteilungen/223349/?typ=newss"/>
  </r>
  <r>
    <x v="34"/>
    <m/>
    <s v="FR"/>
    <m/>
    <n v="477"/>
    <n v="77"/>
    <n v="16"/>
    <m/>
    <m/>
    <n v="17"/>
    <s v="https://www.fr.ch/sites/default/files/2020-05/statistiques_situation_FR_0705.xlsx"/>
  </r>
  <r>
    <x v="34"/>
    <m/>
    <s v="GE"/>
    <n v="10887"/>
    <n v="2682"/>
    <n v="382"/>
    <n v="57"/>
    <n v="54"/>
    <n v="216"/>
    <n v="59"/>
    <s v="https://www.ge.ch/document/20094/telecharger"/>
  </r>
  <r>
    <x v="34"/>
    <m/>
    <s v="GL"/>
    <m/>
    <n v="51"/>
    <n v="3"/>
    <m/>
    <m/>
    <m/>
    <n v="2"/>
    <s v="https://www.gl.ch/public/upload/assets/28096/COVID-19_Fallzahlen_Kanton_Glarus.xlsx"/>
  </r>
  <r>
    <x v="34"/>
    <m/>
    <s v="GR"/>
    <m/>
    <n v="535"/>
    <n v="58"/>
    <m/>
    <m/>
    <m/>
    <n v="19"/>
    <s v="https://www.gr.ch/DE/institutionen/verwaltung/djsg/ga/coronavirus/_layouts/15/GenericDataFeed/feed.aspx?PageID=26&amp;ID=g_1175d522_e609_4287_93af_d14c9efd5218&amp;FORMAT=JSONRAW"/>
  </r>
  <r>
    <x v="34"/>
    <m/>
    <s v="JU"/>
    <m/>
    <n v="128"/>
    <n v="28"/>
    <n v="5"/>
    <m/>
    <m/>
    <n v="0"/>
    <s v="https://www.jura.ch/Htdocs/Files/v/34356.xlsx/Departements/CHA/SIC/Carrousel/Coronavirus/Cornavirus/Chiffres/donnees_06_05.xlsx?download=1"/>
  </r>
  <r>
    <x v="34"/>
    <m/>
    <s v="NE"/>
    <m/>
    <n v="378"/>
    <n v="57"/>
    <n v="12"/>
    <n v="6"/>
    <m/>
    <n v="20"/>
    <s v="https://www.ne.ch/autorites/DFS/SCSP/medecin-cantonal/maladies-vaccinations/Documents/Covid-19-Statistiques/COVID19_PublicationInternet.xlsx"/>
  </r>
  <r>
    <x v="34"/>
    <m/>
    <s v="NW"/>
    <m/>
    <n v="63"/>
    <n v="8"/>
    <m/>
    <m/>
    <m/>
    <m/>
    <s v="http://www.nw.ch/coronastatistik"/>
  </r>
  <r>
    <x v="34"/>
    <m/>
    <s v="OW"/>
    <m/>
    <n v="46"/>
    <m/>
    <m/>
    <m/>
    <m/>
    <m/>
    <s v="https://www.ow.ch/de/verwaltung/dienstleistungen/?dienst_id=5962"/>
  </r>
  <r>
    <x v="34"/>
    <m/>
    <s v="SG"/>
    <m/>
    <n v="389"/>
    <m/>
    <m/>
    <m/>
    <m/>
    <n v="7"/>
    <s v="https://www.sg.ch/tools/informationen-coronavirus.html"/>
  </r>
  <r>
    <x v="34"/>
    <m/>
    <s v="SH"/>
    <m/>
    <n v="42"/>
    <n v="19"/>
    <n v="3"/>
    <m/>
    <m/>
    <n v="0"/>
    <s v="https://sh.ch/CMS/get/file/1142c079-5d62-4035-b9ea-04901bfcdfe9"/>
  </r>
  <r>
    <x v="34"/>
    <m/>
    <s v="SZ"/>
    <m/>
    <n v="135"/>
    <m/>
    <m/>
    <m/>
    <n v="33"/>
    <n v="2"/>
    <s v="https://www.sz.ch/public/upload/assets/46502/COVID-19_Fallzahlen_Kanton_Schwyz.xlsx"/>
  </r>
  <r>
    <x v="34"/>
    <m/>
    <s v="TG"/>
    <m/>
    <n v="149"/>
    <m/>
    <m/>
    <m/>
    <m/>
    <n v="2"/>
    <s v="https://www.tg.ch/news/fachdossier-coronavirus.html/10552"/>
  </r>
  <r>
    <x v="34"/>
    <m/>
    <s v="UR"/>
    <m/>
    <n v="53"/>
    <n v="7"/>
    <m/>
    <m/>
    <n v="9"/>
    <m/>
    <s v="https://www.ur.ch/themen/2920"/>
  </r>
  <r>
    <x v="34"/>
    <m/>
    <s v="VD"/>
    <m/>
    <n v="3608"/>
    <n v="368"/>
    <n v="61"/>
    <m/>
    <m/>
    <n v="95"/>
    <s v="https://www.vd.ch/toutes-les-actualites/hotline-et-informations-sur-le-coronavirus/point-de-situation-statistique-dans-le-canton-de-vaud/"/>
  </r>
  <r>
    <x v="34"/>
    <m/>
    <s v="VS"/>
    <m/>
    <n v="1144"/>
    <n v="152"/>
    <n v="25"/>
    <n v="23"/>
    <m/>
    <n v="35"/>
    <s v="https://www.vs.ch/de/web/coronavirus"/>
  </r>
  <r>
    <x v="34"/>
    <n v="0.29166666666666669"/>
    <s v="BE"/>
    <m/>
    <n v="826"/>
    <n v="112"/>
    <n v="21"/>
    <n v="17"/>
    <m/>
    <n v="13"/>
    <s v="https://www.besondere-lage.sites.be.ch/besondere-lage_sites/de/index/corona/index.html"/>
  </r>
  <r>
    <x v="34"/>
    <n v="0.33333333333333331"/>
    <s v="TI"/>
    <m/>
    <n v="1962"/>
    <n v="415"/>
    <n v="75"/>
    <n v="61"/>
    <n v="165"/>
    <n v="105"/>
    <s v="https://www4.ti.ch/fileadmin/DSS/DSP/UMC/malattie_infettive/Coronavirus/dati/COVID19_Dati_TI_per_github.xlsx"/>
  </r>
  <r>
    <x v="34"/>
    <n v="0.33333333333333331"/>
    <s v="ZG"/>
    <m/>
    <n v="112"/>
    <n v="13"/>
    <n v="5"/>
    <m/>
    <n v="29"/>
    <n v="1"/>
    <s v="https://www.zg.ch/behoerden/gesundheitsdirektion/statistikfachstelle/themen/gesundheit/corona"/>
  </r>
  <r>
    <x v="34"/>
    <n v="0.41666666666666669"/>
    <s v="BS"/>
    <m/>
    <n v="617"/>
    <n v="90"/>
    <n v="12"/>
    <m/>
    <n v="263"/>
    <n v="15"/>
    <s v="https://www.coronavirus.bs.ch/nm/2020-tagesbulletin-coronavirus-621-bestaetigte-faelle-im-kanton-basel-stadt-gd.html"/>
  </r>
  <r>
    <x v="34"/>
    <n v="0.45833333333333331"/>
    <s v="LU"/>
    <m/>
    <n v="351"/>
    <m/>
    <m/>
    <m/>
    <m/>
    <n v="6"/>
    <s v="https://gesundheit.lu.ch/themen/Humanmedizin/Infektionskrankheiten/Coronavirus"/>
  </r>
  <r>
    <x v="34"/>
    <n v="0.5"/>
    <s v="AI"/>
    <m/>
    <n v="14"/>
    <m/>
    <m/>
    <m/>
    <m/>
    <n v="0"/>
    <s v="https://www.ai.ch/themen/gesundheit-alter-und-soziales/gesundheitsfoerderung-und-praevention/uebertragbare-krankheiten/coronavirus"/>
  </r>
  <r>
    <x v="34"/>
    <n v="0.60416666666666663"/>
    <s v="ZH"/>
    <m/>
    <n v="1862"/>
    <n v="197"/>
    <m/>
    <n v="46"/>
    <m/>
    <n v="24"/>
    <s v="https://gd.zh.ch/internet/gesundheitsdirektion/de/themen/coronavirus.html"/>
  </r>
  <r>
    <x v="34"/>
    <n v="0.625"/>
    <s v="AG"/>
    <m/>
    <n v="481"/>
    <n v="94"/>
    <n v="25"/>
    <n v="23"/>
    <m/>
    <n v="8"/>
    <s v="https://www.ag.ch/media/kanton_aargau/themen_1/coronavirus_1/lagebulletins/200330_KFS_Coronavirus_Lagebulletin_22.pdf"/>
  </r>
  <r>
    <x v="34"/>
    <n v="0.75"/>
    <s v="AR"/>
    <m/>
    <n v="50"/>
    <m/>
    <m/>
    <m/>
    <m/>
    <n v="2"/>
    <s v="https://www.ar.ch/verwaltung/departement-gesundheit-und-soziales/amt-fuer-gesundheit/informationsseite-coronavirus/"/>
  </r>
  <r>
    <x v="35"/>
    <m/>
    <s v="BL"/>
    <m/>
    <n v="561"/>
    <n v="88"/>
    <n v="18"/>
    <n v="16"/>
    <n v="242"/>
    <n v="10"/>
    <s v="https://www.baselland.ch/politik-und-behorden/direktionen/volkswirtschafts-und-gesundheitsdirektion/amt-fur-gesundheit/medizinische-dienste/kantonsarztlicher-dienst/aktuelles/covid-19-faelle-kanton-basel-landschaft"/>
  </r>
  <r>
    <x v="35"/>
    <m/>
    <s v="FL"/>
    <m/>
    <n v="68"/>
    <m/>
    <m/>
    <m/>
    <m/>
    <m/>
    <s v="https://www.regierung.li/media/attachments/160-coronavirus-68-personen-positiv.pdf?t=637212737830081294"/>
  </r>
  <r>
    <x v="35"/>
    <m/>
    <s v="FR"/>
    <m/>
    <n v="491"/>
    <n v="77"/>
    <n v="20"/>
    <m/>
    <m/>
    <n v="20"/>
    <s v="https://www.fr.ch/sites/default/files/2020-05/statistiques_situation_FR_0705.xlsx"/>
  </r>
  <r>
    <x v="35"/>
    <m/>
    <s v="GE"/>
    <n v="11645"/>
    <n v="2914"/>
    <n v="405"/>
    <n v="64"/>
    <n v="49"/>
    <n v="241"/>
    <n v="68"/>
    <s v="https://www.ge.ch/document/20094/telecharger"/>
  </r>
  <r>
    <x v="35"/>
    <m/>
    <s v="GL"/>
    <m/>
    <n v="53"/>
    <n v="5"/>
    <m/>
    <m/>
    <m/>
    <n v="2"/>
    <s v="https://www.gl.ch/public/upload/assets/28096/COVID-19_Fallzahlen_Kanton_Glarus.xlsx"/>
  </r>
  <r>
    <x v="35"/>
    <m/>
    <s v="GR"/>
    <m/>
    <n v="547"/>
    <n v="58"/>
    <m/>
    <m/>
    <m/>
    <n v="23"/>
    <s v="https://www.gr.ch/DE/institutionen/verwaltung/djsg/ga/coronavirus/_layouts/15/GenericDataFeed/feed.aspx?PageID=26&amp;ID=g_1175d522_e609_4287_93af_d14c9efd5218&amp;FORMAT=JSONRAW"/>
  </r>
  <r>
    <x v="35"/>
    <m/>
    <s v="JU"/>
    <m/>
    <n v="140"/>
    <n v="29"/>
    <n v="5"/>
    <m/>
    <m/>
    <n v="0"/>
    <s v="https://www.jura.ch/Htdocs/Files/v/34356.xlsx/Departements/CHA/SIC/Carrousel/Coronavirus/Cornavirus/Chiffres/donnees_06_05.xlsx?download=1"/>
  </r>
  <r>
    <x v="35"/>
    <m/>
    <s v="NE"/>
    <m/>
    <n v="402"/>
    <n v="59"/>
    <n v="14"/>
    <n v="8"/>
    <m/>
    <n v="22"/>
    <s v="https://www.ne.ch/autorites/DFS/SCSP/medecin-cantonal/maladies-vaccinations/Documents/Covid-19-Statistiques/COVID19_PublicationInternet.xlsx"/>
  </r>
  <r>
    <x v="35"/>
    <m/>
    <s v="NW"/>
    <m/>
    <n v="70"/>
    <n v="7"/>
    <n v="1"/>
    <m/>
    <m/>
    <m/>
    <s v="http://www.nw.ch/coronastatistik"/>
  </r>
  <r>
    <x v="35"/>
    <m/>
    <s v="OW"/>
    <m/>
    <n v="46"/>
    <m/>
    <m/>
    <m/>
    <m/>
    <m/>
    <s v="https://www.ow.ch/de/verwaltung/dienstleistungen/?dienst_id=5962"/>
  </r>
  <r>
    <x v="35"/>
    <m/>
    <s v="SG"/>
    <m/>
    <n v="394"/>
    <m/>
    <m/>
    <m/>
    <m/>
    <n v="7"/>
    <s v="https://www.sg.ch/tools/informationen-coronavirus.html"/>
  </r>
  <r>
    <x v="35"/>
    <m/>
    <s v="SH"/>
    <m/>
    <n v="44"/>
    <n v="18"/>
    <n v="3"/>
    <m/>
    <m/>
    <n v="1"/>
    <s v="https://sh.ch/CMS/get/file/1142c079-5d62-4035-b9ea-04901bfcdfe9"/>
  </r>
  <r>
    <x v="35"/>
    <m/>
    <s v="SZ"/>
    <m/>
    <n v="140"/>
    <m/>
    <m/>
    <m/>
    <n v="48"/>
    <n v="4"/>
    <s v="https://www.sz.ch/public/upload/assets/46502/COVID-19_Fallzahlen_Kanton_Schwyz.xlsx"/>
  </r>
  <r>
    <x v="35"/>
    <m/>
    <s v="TG"/>
    <m/>
    <n v="155"/>
    <m/>
    <m/>
    <m/>
    <m/>
    <n v="3"/>
    <s v="https://www.tg.ch/news/fachdossier-coronavirus.html/10552"/>
  </r>
  <r>
    <x v="35"/>
    <m/>
    <s v="UR"/>
    <m/>
    <n v="57"/>
    <n v="9"/>
    <m/>
    <m/>
    <n v="11"/>
    <m/>
    <s v="https://www.ur.ch/themen/2920"/>
  </r>
  <r>
    <x v="35"/>
    <m/>
    <s v="VD"/>
    <m/>
    <n v="3767"/>
    <n v="376"/>
    <n v="64"/>
    <m/>
    <m/>
    <n v="107"/>
    <s v="https://www.vd.ch/toutes-les-actualites/hotline-et-informations-sur-le-coronavirus/point-de-situation-statistique-dans-le-canton-de-vaud/"/>
  </r>
  <r>
    <x v="35"/>
    <m/>
    <s v="VS"/>
    <m/>
    <n v="1211"/>
    <n v="151"/>
    <n v="24"/>
    <n v="23"/>
    <m/>
    <n v="37"/>
    <s v="https://www.vs.ch/de/web/coronavirus"/>
  </r>
  <r>
    <x v="35"/>
    <n v="0"/>
    <s v="SO"/>
    <m/>
    <n v="196"/>
    <m/>
    <m/>
    <m/>
    <m/>
    <n v="2"/>
    <s v="https://corona.so.ch/index.php?id=27979"/>
  </r>
  <r>
    <x v="35"/>
    <n v="0.33333333333333331"/>
    <s v="BE"/>
    <m/>
    <n v="856"/>
    <n v="111"/>
    <n v="23"/>
    <n v="18"/>
    <m/>
    <n v="16"/>
    <s v="https://www.besondere-lage.sites.be.ch/besondere-lage_sites/de/index/corona/index.html"/>
  </r>
  <r>
    <x v="35"/>
    <n v="0.33333333333333331"/>
    <s v="TI"/>
    <m/>
    <n v="2091"/>
    <n v="401"/>
    <n v="74"/>
    <n v="67"/>
    <n v="202"/>
    <n v="120"/>
    <s v="https://www4.ti.ch/fileadmin/DSS/DSP/UMC/malattie_infettive/Coronavirus/dati/COVID19_Dati_TI_per_github.xlsx"/>
  </r>
  <r>
    <x v="35"/>
    <n v="0.33333333333333331"/>
    <s v="ZG"/>
    <m/>
    <n v="114"/>
    <n v="14"/>
    <n v="6"/>
    <m/>
    <n v="39"/>
    <n v="1"/>
    <s v="https://www.zg.ch/behoerden/gesundheitsdirektion/statistikfachstelle/themen/gesundheit/corona"/>
  </r>
  <r>
    <x v="35"/>
    <n v="0.41666666666666669"/>
    <s v="BS"/>
    <m/>
    <n v="653"/>
    <n v="105"/>
    <n v="15"/>
    <m/>
    <n v="292"/>
    <n v="16"/>
    <s v="https://www.coronavirus.bs.ch/nm/2020-tagesbulletin-coronavirus-628-bestaetigte-faelle-im-kanton-basel-stadt-gd.html https://www.coronavirus.bs.ch/nm/2020-tagesbulletin-coronavirus-691-bestaetigte-faelle-im-kanton-basel-stadt-gd.html"/>
  </r>
  <r>
    <x v="35"/>
    <n v="0.45833333333333331"/>
    <s v="LU"/>
    <m/>
    <n v="375"/>
    <m/>
    <m/>
    <m/>
    <m/>
    <n v="7"/>
    <s v="https://gesundheit.lu.ch/themen/Humanmedizin/Infektionskrankheiten/Coronavirus"/>
  </r>
  <r>
    <x v="35"/>
    <n v="0.5"/>
    <s v="AI"/>
    <m/>
    <n v="14"/>
    <m/>
    <m/>
    <m/>
    <m/>
    <n v="0"/>
    <s v="https://www.ai.ch/themen/gesundheit-alter-und-soziales/gesundheitsfoerderung-und-praevention/uebertragbare-krankheiten/coronavirus"/>
  </r>
  <r>
    <x v="35"/>
    <n v="0.60416666666666663"/>
    <s v="ZH"/>
    <m/>
    <n v="1953"/>
    <n v="196"/>
    <m/>
    <n v="50"/>
    <m/>
    <n v="27"/>
    <s v="https://gd.zh.ch/internet/gesundheitsdirektion/de/themen/coronavirus.html"/>
  </r>
  <r>
    <x v="35"/>
    <n v="0.625"/>
    <s v="AG"/>
    <m/>
    <n v="499"/>
    <n v="85"/>
    <n v="25"/>
    <n v="25"/>
    <m/>
    <n v="11"/>
    <s v="https://www.ag.ch/media/kanton_aargau/themen_1/coronavirus_1/lagebulletins/200331_KFS_Coronavirus_Lagebulletin_23.pdf"/>
  </r>
  <r>
    <x v="35"/>
    <n v="0.66666666666666663"/>
    <s v="AR"/>
    <m/>
    <n v="58"/>
    <m/>
    <m/>
    <m/>
    <m/>
    <n v="2"/>
    <s v="https://www.ar.ch/verwaltung/departement-gesundheit-und-soziales/amt-fuer-gesundheit/informationsseite-coronavirus/"/>
  </r>
  <r>
    <x v="36"/>
    <m/>
    <s v="BL"/>
    <m/>
    <n v="588"/>
    <n v="86"/>
    <n v="17"/>
    <n v="17"/>
    <n v="249"/>
    <n v="11"/>
    <s v="https://www.baselland.ch/politik-und-behorden/direktionen/volkswirtschafts-und-gesundheitsdirektion/amt-fur-gesundheit/medizinische-dienste/kantonsarztlicher-dienst/aktuelles/covid-19-faelle-kanton-basel-landschaft"/>
  </r>
  <r>
    <x v="36"/>
    <m/>
    <s v="FL"/>
    <m/>
    <n v="72"/>
    <m/>
    <m/>
    <m/>
    <m/>
    <m/>
    <s v="https://www.regierung.li/media/attachments/164-corona-schweizer-sanitaetssoldaten-0401.pdf?t=637213766824962451"/>
  </r>
  <r>
    <x v="36"/>
    <m/>
    <s v="FR"/>
    <m/>
    <n v="525"/>
    <n v="81"/>
    <n v="23"/>
    <m/>
    <m/>
    <n v="23"/>
    <s v="https://www.fr.ch/sites/default/files/2020-05/statistiques_situation_FR_0705.xlsx"/>
  </r>
  <r>
    <x v="36"/>
    <m/>
    <s v="GE"/>
    <n v="12313"/>
    <n v="3094"/>
    <n v="406"/>
    <n v="64"/>
    <n v="58"/>
    <n v="260"/>
    <n v="77"/>
    <s v="https://www.ge.ch/document/20094/telecharger"/>
  </r>
  <r>
    <x v="36"/>
    <m/>
    <s v="GL"/>
    <m/>
    <n v="56"/>
    <n v="5"/>
    <m/>
    <m/>
    <m/>
    <n v="2"/>
    <s v="https://www.gl.ch/public/upload/assets/28096/COVID-19_Fallzahlen_Kanton_Glarus.xlsx"/>
  </r>
  <r>
    <x v="36"/>
    <m/>
    <s v="GR"/>
    <m/>
    <n v="592"/>
    <n v="59"/>
    <m/>
    <m/>
    <m/>
    <n v="26"/>
    <s v="https://www.gr.ch/DE/institutionen/verwaltung/djsg/ga/coronavirus/_layouts/15/GenericDataFeed/feed.aspx?PageID=26&amp;ID=g_1175d522_e609_4287_93af_d14c9efd5218&amp;FORMAT=JSONRAW"/>
  </r>
  <r>
    <x v="36"/>
    <m/>
    <s v="JU"/>
    <m/>
    <n v="145"/>
    <n v="29"/>
    <n v="5"/>
    <m/>
    <m/>
    <n v="0"/>
    <s v="https://www.jura.ch/Htdocs/Files/v/34356.xlsx/Departements/CHA/SIC/Carrousel/Coronavirus/Cornavirus/Chiffres/donnees_06_05.xlsx?download=1"/>
  </r>
  <r>
    <x v="36"/>
    <m/>
    <s v="NE"/>
    <m/>
    <n v="420"/>
    <n v="66"/>
    <n v="14"/>
    <n v="8"/>
    <m/>
    <n v="24"/>
    <s v="https://www.ne.ch/autorites/DFS/SCSP/medecin-cantonal/maladies-vaccinations/Documents/Covid-19-Statistiques/COVID19_PublicationInternet.xlsx"/>
  </r>
  <r>
    <x v="36"/>
    <m/>
    <s v="NW"/>
    <m/>
    <n v="70"/>
    <n v="9"/>
    <n v="2"/>
    <m/>
    <m/>
    <m/>
    <s v="http://www.nw.ch/coronastatistik"/>
  </r>
  <r>
    <x v="36"/>
    <m/>
    <s v="OW"/>
    <m/>
    <n v="48"/>
    <m/>
    <m/>
    <m/>
    <m/>
    <m/>
    <s v="https://www.ow.ch/de/verwaltung/dienstleistungen/?dienst_id=5962"/>
  </r>
  <r>
    <x v="36"/>
    <m/>
    <s v="SG"/>
    <m/>
    <n v="414"/>
    <m/>
    <m/>
    <m/>
    <m/>
    <n v="7"/>
    <s v="https://www.sg.ch/tools/informationen-coronavirus.html"/>
  </r>
  <r>
    <x v="36"/>
    <m/>
    <s v="SH"/>
    <m/>
    <n v="44"/>
    <n v="10"/>
    <n v="3"/>
    <m/>
    <m/>
    <n v="1"/>
    <s v="https://sh.ch/CMS/get/file/1142c079-5d62-4035-b9ea-04901bfcdfe9"/>
  </r>
  <r>
    <x v="36"/>
    <m/>
    <s v="SZ"/>
    <m/>
    <n v="146"/>
    <m/>
    <m/>
    <m/>
    <n v="65"/>
    <n v="4"/>
    <s v="https://www.sz.ch/public/upload/assets/46502/COVID-19_Fallzahlen_Kanton_Schwyz.xlsx"/>
  </r>
  <r>
    <x v="36"/>
    <m/>
    <s v="TG"/>
    <m/>
    <n v="167"/>
    <m/>
    <m/>
    <m/>
    <m/>
    <n v="4"/>
    <s v="https://www.tg.ch/news/fachdossier-coronavirus.html/10552"/>
  </r>
  <r>
    <x v="36"/>
    <m/>
    <s v="UR"/>
    <m/>
    <n v="59"/>
    <n v="10"/>
    <m/>
    <m/>
    <n v="13"/>
    <n v="1"/>
    <s v="https://www.ur.ch/themen/2920"/>
  </r>
  <r>
    <x v="36"/>
    <m/>
    <s v="VD"/>
    <m/>
    <n v="3919"/>
    <n v="381"/>
    <n v="66"/>
    <m/>
    <m/>
    <n v="118"/>
    <s v="https://www.vd.ch/toutes-les-actualites/hotline-et-informations-sur-le-coronavirus/point-de-situation-statistique-dans-le-canton-de-vaud/"/>
  </r>
  <r>
    <x v="36"/>
    <m/>
    <s v="VS"/>
    <m/>
    <n v="1282"/>
    <n v="145"/>
    <n v="26"/>
    <n v="25"/>
    <m/>
    <n v="40"/>
    <s v="https://www.vs.ch/de/web/coronavirus"/>
  </r>
  <r>
    <x v="36"/>
    <n v="0"/>
    <s v="SO"/>
    <m/>
    <n v="216"/>
    <m/>
    <m/>
    <m/>
    <m/>
    <n v="3"/>
    <s v="https://corona.so.ch/index.php?id=27979"/>
  </r>
  <r>
    <x v="36"/>
    <n v="0.33333333333333331"/>
    <s v="BE"/>
    <m/>
    <n v="909"/>
    <n v="115"/>
    <n v="26"/>
    <n v="21"/>
    <m/>
    <n v="20"/>
    <s v="https://www.besondere-lage.sites.be.ch/besondere-lage_sites/de/index/corona/index.html"/>
  </r>
  <r>
    <x v="36"/>
    <n v="0.33333333333333331"/>
    <s v="TI"/>
    <m/>
    <n v="2195"/>
    <n v="396"/>
    <n v="76"/>
    <n v="72"/>
    <n v="229"/>
    <n v="132"/>
    <s v="https://www4.ti.ch/fileadmin/DSS/DSP/UMC/malattie_infettive/Coronavirus/dati/COVID19_Dati_TI_per_github.xlsx"/>
  </r>
  <r>
    <x v="36"/>
    <n v="0.33333333333333331"/>
    <s v="ZG"/>
    <m/>
    <n v="125"/>
    <n v="13"/>
    <n v="5"/>
    <m/>
    <n v="40"/>
    <n v="1"/>
    <s v="https://www.zg.ch/behoerden/gesundheitsdirektion/statistikfachstelle/themen/gesundheit/corona"/>
  </r>
  <r>
    <x v="36"/>
    <n v="0.41666666666666669"/>
    <s v="BS"/>
    <m/>
    <n v="687"/>
    <n v="108"/>
    <n v="16"/>
    <m/>
    <n v="323"/>
    <n v="18"/>
    <s v="https://www.coronavirus.bs.ch/nm/2020-tagesbulletin-coronavirus-691-bestaetigte-faelle-im-kanton-basel-stadt-gd.html"/>
  </r>
  <r>
    <x v="36"/>
    <n v="0.45833333333333331"/>
    <s v="LU"/>
    <m/>
    <n v="401"/>
    <n v="57"/>
    <n v="12"/>
    <m/>
    <m/>
    <n v="7"/>
    <s v="https://gesundheit.lu.ch/themen/Humanmedizin/Infektionskrankheiten/Coronavirus"/>
  </r>
  <r>
    <x v="36"/>
    <n v="0.60416666666666663"/>
    <s v="ZH"/>
    <m/>
    <n v="2142"/>
    <n v="203"/>
    <m/>
    <n v="54"/>
    <m/>
    <n v="36"/>
    <s v="https://gd.zh.ch/internet/gesundheitsdirektion/de/themen/coronavirus.html"/>
  </r>
  <r>
    <x v="36"/>
    <n v="0.625"/>
    <s v="AG"/>
    <m/>
    <n v="549"/>
    <n v="94"/>
    <n v="27"/>
    <n v="27"/>
    <m/>
    <n v="11"/>
    <s v="https://www.ag.ch/media/kanton_aargau/themen_1/coronavirus_1/lagebulletins/200401_KFS_Coronavirus_Lagebulletin_24.pdf"/>
  </r>
  <r>
    <x v="36"/>
    <n v="0.70833333333333337"/>
    <s v="AR"/>
    <m/>
    <n v="61"/>
    <m/>
    <m/>
    <m/>
    <m/>
    <n v="3"/>
    <s v="https://www.ar.ch/verwaltung/departement-gesundheit-und-soziales/amt-fuer-gesundheit/informationsseite-coronavirus/"/>
  </r>
  <r>
    <x v="37"/>
    <m/>
    <s v="BL"/>
    <m/>
    <n v="610"/>
    <n v="81"/>
    <n v="18"/>
    <n v="18"/>
    <n v="262"/>
    <n v="12"/>
    <s v="https://www.baselland.ch/politik-und-behorden/direktionen/volkswirtschafts-und-gesundheitsdirektion/amt-fur-gesundheit/medizinische-dienste/kantonsarztlicher-dienst/aktuelles/covid-19-faelle-kanton-basel-landschaft"/>
  </r>
  <r>
    <x v="37"/>
    <m/>
    <s v="FL"/>
    <m/>
    <n v="75"/>
    <m/>
    <m/>
    <m/>
    <m/>
    <m/>
    <s v="https://www.regierung.li/media/attachments/166-massnahmen-weiter-einhalten-0402.pdf?t=637214501732587547"/>
  </r>
  <r>
    <x v="37"/>
    <m/>
    <s v="FR"/>
    <m/>
    <n v="550"/>
    <n v="80"/>
    <n v="23"/>
    <m/>
    <n v="46"/>
    <n v="26"/>
    <s v="https://www.fr.ch/sites/default/files/2020-05/statistiques_situation_FR_0705.xlsx"/>
  </r>
  <r>
    <x v="37"/>
    <m/>
    <s v="GE"/>
    <n v="13379"/>
    <n v="3354"/>
    <n v="424"/>
    <n v="62"/>
    <n v="54"/>
    <n v="283"/>
    <n v="85"/>
    <s v="https://www.ge.ch/document/20094/telecharger"/>
  </r>
  <r>
    <x v="37"/>
    <m/>
    <s v="GL"/>
    <m/>
    <n v="58"/>
    <n v="5"/>
    <m/>
    <m/>
    <m/>
    <n v="2"/>
    <s v="https://www.gl.ch/public/upload/assets/28096/COVID-19_Fallzahlen_Kanton_Glarus.xlsx"/>
  </r>
  <r>
    <x v="37"/>
    <m/>
    <s v="GR"/>
    <m/>
    <n v="622"/>
    <n v="60"/>
    <m/>
    <m/>
    <m/>
    <n v="28"/>
    <s v="https://www.gr.ch/DE/institutionen/verwaltung/djsg/ga/coronavirus/_layouts/15/GenericDataFeed/feed.aspx?PageID=26&amp;ID=g_1175d522_e609_4287_93af_d14c9efd5218&amp;FORMAT=JSONRAW"/>
  </r>
  <r>
    <x v="37"/>
    <m/>
    <s v="JU"/>
    <m/>
    <n v="149"/>
    <n v="29"/>
    <n v="3"/>
    <m/>
    <m/>
    <n v="0"/>
    <s v="https://www.jura.ch/Htdocs/Files/v/34356.xlsx/Departements/CHA/SIC/Carrousel/Coronavirus/Cornavirus/Chiffres/donnees_06_05.xlsx?download=1"/>
  </r>
  <r>
    <x v="37"/>
    <m/>
    <s v="NE"/>
    <m/>
    <n v="430"/>
    <n v="61"/>
    <n v="12"/>
    <n v="10"/>
    <m/>
    <n v="27"/>
    <s v="https://www.ne.ch/autorites/DFS/SCSP/medecin-cantonal/maladies-vaccinations/Documents/Covid-19-Statistiques/COVID19_PublicationInternet.xlsx"/>
  </r>
  <r>
    <x v="37"/>
    <m/>
    <s v="NW"/>
    <m/>
    <n v="76"/>
    <n v="9"/>
    <n v="2"/>
    <m/>
    <m/>
    <m/>
    <s v="http://www.nw.ch/coronastatistik"/>
  </r>
  <r>
    <x v="37"/>
    <m/>
    <s v="OW"/>
    <m/>
    <n v="51"/>
    <m/>
    <m/>
    <m/>
    <m/>
    <m/>
    <s v="https://www.ow.ch/de/verwaltung/dienstleistungen/?dienst_id=5962"/>
  </r>
  <r>
    <x v="37"/>
    <m/>
    <s v="SG"/>
    <m/>
    <n v="455"/>
    <n v="64"/>
    <n v="11"/>
    <m/>
    <n v="49"/>
    <n v="8"/>
    <s v="https://www.sg.ch/tools/informationen-coronavirus.html"/>
  </r>
  <r>
    <x v="37"/>
    <m/>
    <s v="SH"/>
    <m/>
    <n v="47"/>
    <n v="18"/>
    <n v="3"/>
    <m/>
    <m/>
    <n v="1"/>
    <s v="https://sh.ch/CMS/get/file/1142c079-5d62-4035-b9ea-04901bfcdfe9"/>
  </r>
  <r>
    <x v="37"/>
    <m/>
    <s v="SZ"/>
    <m/>
    <n v="155"/>
    <m/>
    <m/>
    <m/>
    <n v="65"/>
    <n v="4"/>
    <s v="https://www.sz.ch/public/upload/assets/46502/COVID-19_Fallzahlen_Kanton_Schwyz.xlsx"/>
  </r>
  <r>
    <x v="37"/>
    <m/>
    <s v="TG"/>
    <m/>
    <n v="180"/>
    <m/>
    <m/>
    <m/>
    <m/>
    <n v="4"/>
    <s v="https://www.tg.ch/news/fachdossier-coronavirus.html/10552"/>
  </r>
  <r>
    <x v="37"/>
    <m/>
    <s v="VD"/>
    <m/>
    <n v="4053"/>
    <n v="372"/>
    <n v="67"/>
    <m/>
    <m/>
    <n v="137"/>
    <s v="https://www.vd.ch/toutes-les-actualites/hotline-et-informations-sur-le-coronavirus/point-de-situation-statistique-dans-le-canton-de-vaud/"/>
  </r>
  <r>
    <x v="37"/>
    <m/>
    <s v="VS"/>
    <m/>
    <n v="1334"/>
    <n v="145"/>
    <n v="28"/>
    <n v="24"/>
    <m/>
    <n v="47"/>
    <s v="https://www.vs.ch/de/web/coronavirus"/>
  </r>
  <r>
    <x v="37"/>
    <n v="0"/>
    <s v="SO"/>
    <m/>
    <n v="227"/>
    <n v="14"/>
    <m/>
    <m/>
    <m/>
    <n v="3"/>
    <s v="https://corona.so.ch/index.php?id=27979"/>
  </r>
  <r>
    <x v="37"/>
    <n v="0.33333333333333331"/>
    <s v="BE"/>
    <m/>
    <n v="1003"/>
    <n v="104"/>
    <n v="24"/>
    <n v="20"/>
    <m/>
    <n v="23"/>
    <s v="https://www.besondere-lage.sites.be.ch/besondere-lage_sites/de/index/corona/index.html"/>
  </r>
  <r>
    <x v="37"/>
    <n v="0.33333333333333331"/>
    <s v="TI"/>
    <m/>
    <n v="2271"/>
    <n v="374"/>
    <n v="75"/>
    <n v="73"/>
    <n v="263"/>
    <n v="141"/>
    <s v="https://www4.ti.ch/fileadmin/DSS/DSP/UMC/malattie_infettive/Coronavirus/dati/COVID19_Dati_TI_per_github.xlsx"/>
  </r>
  <r>
    <x v="37"/>
    <n v="0.33333333333333331"/>
    <s v="ZG"/>
    <m/>
    <n v="131"/>
    <n v="14"/>
    <n v="5"/>
    <m/>
    <n v="41"/>
    <n v="1"/>
    <s v="https://www.zg.ch/behoerden/gesundheitsdirektion/statistikfachstelle/themen/gesundheit/corona"/>
  </r>
  <r>
    <x v="37"/>
    <n v="0.41666666666666669"/>
    <s v="BS"/>
    <m/>
    <n v="714"/>
    <n v="119"/>
    <n v="17"/>
    <m/>
    <n v="350"/>
    <n v="19"/>
    <s v="https://www.gd.bs.ch//nm/2020-tagesbulletin-coronavirus-718-bestaetigte-faelle-im-kanton-basel-stadt-gd.html"/>
  </r>
  <r>
    <x v="37"/>
    <n v="0.45833333333333331"/>
    <s v="LU"/>
    <m/>
    <n v="422"/>
    <n v="66"/>
    <n v="11"/>
    <m/>
    <m/>
    <n v="7"/>
    <s v="https://gesundheit.lu.ch/themen/Humanmedizin/Infektionskrankheiten/Coronavirus"/>
  </r>
  <r>
    <x v="37"/>
    <n v="0.5"/>
    <s v="AR"/>
    <m/>
    <n v="64"/>
    <m/>
    <m/>
    <m/>
    <m/>
    <n v="3"/>
    <s v="https://www.ar.ch/verwaltung/departement-gesundheit-und-soziales/amt-fuer-gesundheit/informationsseite-coronavirus/"/>
  </r>
  <r>
    <x v="37"/>
    <n v="0.58333333333333337"/>
    <s v="UR"/>
    <m/>
    <n v="60"/>
    <n v="4"/>
    <m/>
    <m/>
    <n v="13"/>
    <n v="1"/>
    <s v="https://www.ur.ch/themen/2920"/>
  </r>
  <r>
    <x v="37"/>
    <n v="0.60416666666666663"/>
    <s v="ZH"/>
    <m/>
    <n v="2306"/>
    <n v="200"/>
    <m/>
    <n v="53"/>
    <m/>
    <n v="39"/>
    <s v="https://gd.zh.ch/internet/gesundheitsdirektion/de/themen/coronavirus.html"/>
  </r>
  <r>
    <x v="37"/>
    <n v="0.625"/>
    <s v="AG"/>
    <m/>
    <n v="592"/>
    <n v="94"/>
    <n v="27"/>
    <n v="27"/>
    <m/>
    <n v="12"/>
    <s v="https://www.ag.ch/media/kanton_aargau/themen_1/coronavirus_1/lagebulletins/200402_KFS_Coronavirus_Lagebulletin_25.pdf"/>
  </r>
  <r>
    <x v="37"/>
    <n v="0.70833333333333337"/>
    <s v="AI"/>
    <m/>
    <n v="20"/>
    <m/>
    <m/>
    <m/>
    <m/>
    <n v="0"/>
    <s v="https://www.ai.ch/themen/gesundheit-alter-und-soziales/gesundheitsfoerderung-und-praevention/uebertragbare-krankheiten/coronavirus"/>
  </r>
  <r>
    <x v="38"/>
    <m/>
    <s v="BL"/>
    <m/>
    <n v="625"/>
    <n v="82"/>
    <n v="18"/>
    <n v="18"/>
    <n v="266"/>
    <n v="14"/>
    <s v="https://www.baselland.ch/politik-und-behorden/direktionen/volkswirtschafts-und-gesundheitsdirektion/amt-fur-gesundheit/medizinische-dienste/kantonsarztlicher-dienst/aktuelles/covid-19-faelle-kanton-basel-landschaft"/>
  </r>
  <r>
    <x v="38"/>
    <m/>
    <s v="FL"/>
    <m/>
    <n v="76"/>
    <m/>
    <m/>
    <m/>
    <m/>
    <m/>
    <s v="https://www.regierung.li/media/attachments/166-massnahmen-weiter-einhalten-0402.pdf?t=637214501732587547"/>
  </r>
  <r>
    <x v="38"/>
    <m/>
    <s v="FR"/>
    <m/>
    <n v="588"/>
    <n v="77"/>
    <n v="21"/>
    <m/>
    <n v="46"/>
    <n v="31"/>
    <s v="https://www.fr.ch/sites/default/files/2020-05/statistiques_situation_FR_0705.xlsx"/>
  </r>
  <r>
    <x v="38"/>
    <m/>
    <s v="GE"/>
    <n v="14220"/>
    <n v="3553"/>
    <n v="424"/>
    <n v="65"/>
    <n v="58"/>
    <n v="284"/>
    <n v="92"/>
    <s v="https://www.ge.ch/document/20094/telecharger"/>
  </r>
  <r>
    <x v="38"/>
    <m/>
    <s v="GL"/>
    <m/>
    <n v="59"/>
    <n v="5"/>
    <m/>
    <m/>
    <m/>
    <n v="2"/>
    <s v="https://www.gl.ch/public/upload/assets/28096/COVID-19_Fallzahlen_Kanton_Glarus.xlsx"/>
  </r>
  <r>
    <x v="38"/>
    <m/>
    <s v="GR"/>
    <m/>
    <n v="649"/>
    <n v="51"/>
    <m/>
    <m/>
    <m/>
    <n v="30"/>
    <s v="https://www.gr.ch/DE/institutionen/verwaltung/djsg/ga/coronavirus/_layouts/15/GenericDataFeed/feed.aspx?PageID=26&amp;ID=g_1175d522_e609_4287_93af_d14c9efd5218&amp;FORMAT=JSONRAW"/>
  </r>
  <r>
    <x v="38"/>
    <m/>
    <s v="JU"/>
    <m/>
    <n v="149"/>
    <n v="28"/>
    <n v="3"/>
    <m/>
    <m/>
    <n v="0"/>
    <s v="https://www.jura.ch/Htdocs/Files/v/34356.xlsx/Departements/CHA/SIC/Carrousel/Coronavirus/Cornavirus/Chiffres/donnees_06_05.xlsx?download=1"/>
  </r>
  <r>
    <x v="38"/>
    <m/>
    <s v="NE"/>
    <m/>
    <n v="444"/>
    <n v="61"/>
    <n v="11"/>
    <n v="9"/>
    <m/>
    <n v="28"/>
    <s v="https://www.ne.ch/autorites/DFS/SCSP/medecin-cantonal/maladies-vaccinations/Documents/Covid-19-Statistiques/COVID19_PublicationInternet.xlsx"/>
  </r>
  <r>
    <x v="38"/>
    <m/>
    <s v="NW"/>
    <m/>
    <n v="79"/>
    <n v="10"/>
    <n v="2"/>
    <m/>
    <m/>
    <m/>
    <s v="http://www.nw.ch/coronastatistik"/>
  </r>
  <r>
    <x v="38"/>
    <m/>
    <s v="OW"/>
    <m/>
    <n v="56"/>
    <m/>
    <m/>
    <m/>
    <m/>
    <m/>
    <s v="https://www.ow.ch/de/verwaltung/dienstleistungen/?dienst_id=5962"/>
  </r>
  <r>
    <x v="38"/>
    <m/>
    <s v="SG"/>
    <m/>
    <n v="480"/>
    <n v="75"/>
    <n v="12"/>
    <m/>
    <n v="50"/>
    <n v="8"/>
    <s v="https://www.sg.ch/tools/informationen-coronavirus.html"/>
  </r>
  <r>
    <x v="38"/>
    <m/>
    <s v="SH"/>
    <m/>
    <n v="47"/>
    <n v="9"/>
    <n v="3"/>
    <m/>
    <m/>
    <n v="1"/>
    <s v="https://sh.ch/CMS/get/file/1142c079-5d62-4035-b9ea-04901bfcdfe9"/>
  </r>
  <r>
    <x v="38"/>
    <m/>
    <s v="SZ"/>
    <m/>
    <n v="165"/>
    <m/>
    <m/>
    <m/>
    <n v="75"/>
    <n v="4"/>
    <s v="https://www.sz.ch/public/upload/assets/46502/COVID-19_Fallzahlen_Kanton_Schwyz.xlsx"/>
  </r>
  <r>
    <x v="38"/>
    <m/>
    <s v="TG"/>
    <m/>
    <n v="199"/>
    <m/>
    <m/>
    <m/>
    <m/>
    <n v="5"/>
    <s v="https://www.tg.ch/news/fachdossier-coronavirus.html/10552"/>
  </r>
  <r>
    <x v="38"/>
    <m/>
    <s v="VD"/>
    <m/>
    <n v="4189"/>
    <n v="364"/>
    <n v="65"/>
    <m/>
    <m/>
    <n v="155"/>
    <s v="https://www.vd.ch/toutes-les-actualites/hotline-et-informations-sur-le-coronavirus/point-de-situation-statistique-dans-le-canton-de-vaud/"/>
  </r>
  <r>
    <x v="38"/>
    <m/>
    <s v="VS"/>
    <m/>
    <n v="1383"/>
    <n v="145"/>
    <n v="26"/>
    <n v="23"/>
    <m/>
    <n v="51"/>
    <s v="https://www.vs.ch/de/web/coronavirus"/>
  </r>
  <r>
    <x v="38"/>
    <n v="0"/>
    <s v="SO"/>
    <m/>
    <n v="237"/>
    <n v="17"/>
    <m/>
    <m/>
    <m/>
    <n v="3"/>
    <s v="https://corona.so.ch/index.php?id=27979"/>
  </r>
  <r>
    <x v="38"/>
    <n v="0.33333333333333331"/>
    <s v="AR"/>
    <m/>
    <n v="65"/>
    <m/>
    <m/>
    <m/>
    <m/>
    <n v="3"/>
    <s v="https://www.ar.ch/verwaltung/departement-gesundheit-und-soziales/amt-fuer-gesundheit/informationsseite-coronavirus/"/>
  </r>
  <r>
    <x v="38"/>
    <n v="0.33333333333333331"/>
    <s v="BE"/>
    <m/>
    <n v="1073"/>
    <n v="109"/>
    <n v="30"/>
    <n v="26"/>
    <m/>
    <n v="26"/>
    <s v="https://www.besondere-lage.sites.be.ch/besondere-lage_sites/de/index/corona/index.html"/>
  </r>
  <r>
    <x v="38"/>
    <n v="0.33333333333333331"/>
    <s v="TI"/>
    <m/>
    <n v="2377"/>
    <n v="370"/>
    <n v="75"/>
    <n v="67"/>
    <n v="287"/>
    <n v="155"/>
    <s v="https://www4.ti.ch/fileadmin/DSS/DSP/UMC/malattie_infettive/Coronavirus/dati/COVID19_Dati_TI_per_github.xlsx"/>
  </r>
  <r>
    <x v="38"/>
    <n v="0.33333333333333331"/>
    <s v="ZG"/>
    <m/>
    <n v="138"/>
    <n v="15"/>
    <n v="7"/>
    <m/>
    <n v="44"/>
    <n v="1"/>
    <s v="https://www.zg.ch/behoerden/gesundheitsdirektion/statistikfachstelle/themen/gesundheit/corona"/>
  </r>
  <r>
    <x v="38"/>
    <n v="0.35416666666666669"/>
    <s v="BS"/>
    <m/>
    <n v="754"/>
    <n v="115"/>
    <n v="17"/>
    <m/>
    <n v="397"/>
    <n v="21"/>
    <s v="https://www.gd.bs.ch/nm/2020-tagesbulletin-coronavirus-748-bestaetigte-faelle-im-kanton-basel-stadt-gd.html https://www.coronavirus.bs.ch/nm/2020-tagesbulletin-coronavirus-771-bestaetigte-faelle-im-kanton-basel-stadt-gd.html"/>
  </r>
  <r>
    <x v="38"/>
    <n v="0.45833333333333331"/>
    <s v="AI"/>
    <m/>
    <n v="20"/>
    <m/>
    <m/>
    <m/>
    <m/>
    <n v="0"/>
    <s v="https://www.ai.ch/themen/gesundheit-alter-und-soziales/gesundheitsfoerderung-und-praevention/uebertragbare-krankheiten/coronavirus"/>
  </r>
  <r>
    <x v="38"/>
    <n v="0.45833333333333331"/>
    <s v="LU"/>
    <m/>
    <n v="449"/>
    <n v="49"/>
    <n v="12"/>
    <m/>
    <m/>
    <n v="7"/>
    <s v="https://gesundheit.lu.ch/themen/Humanmedizin/Infektionskrankheiten/Coronavirus"/>
  </r>
  <r>
    <x v="38"/>
    <n v="0.58333333333333337"/>
    <s v="UR"/>
    <m/>
    <n v="62"/>
    <n v="6"/>
    <m/>
    <m/>
    <n v="26"/>
    <n v="1"/>
    <s v="https://www.ur.ch/themen/2920"/>
  </r>
  <r>
    <x v="38"/>
    <n v="0.60416666666666663"/>
    <s v="ZH"/>
    <m/>
    <n v="2434"/>
    <n v="207"/>
    <m/>
    <n v="57"/>
    <m/>
    <n v="41"/>
    <s v="https://gd.zh.ch/internet/gesundheitsdirektion/de/themen/coronavirus.html"/>
  </r>
  <r>
    <x v="38"/>
    <n v="0.625"/>
    <s v="AG"/>
    <m/>
    <n v="626"/>
    <n v="100"/>
    <n v="27"/>
    <n v="26"/>
    <m/>
    <n v="12"/>
    <s v="https://www.ag.ch/media/kanton_aargau/themen_1/coronavirus_1/lagebulletins/200403_KFS_Coronavirus_Lagebulletin_26.pdf"/>
  </r>
  <r>
    <x v="39"/>
    <m/>
    <s v="BL"/>
    <m/>
    <n v="656"/>
    <n v="73"/>
    <n v="19"/>
    <n v="17"/>
    <n v="298"/>
    <n v="19"/>
    <s v="https://www.baselland.ch/politik-und-behorden/direktionen/volkswirtschafts-und-gesundheitsdirektion/amt-fur-gesundheit/medizinische-dienste/kantonsarztlicher-dienst/aktuelles/covid-19-faelle-kanton-basel-landschaft"/>
  </r>
  <r>
    <x v="39"/>
    <m/>
    <s v="FL"/>
    <m/>
    <n v="77"/>
    <m/>
    <m/>
    <m/>
    <m/>
    <n v="1"/>
    <s v="https://www.regierung.li/media/attachments/168-corona-person-verstorben-0404.pdf?t=637216219078826521"/>
  </r>
  <r>
    <x v="39"/>
    <m/>
    <s v="FR"/>
    <m/>
    <n v="638"/>
    <n v="89"/>
    <n v="21"/>
    <m/>
    <n v="49"/>
    <n v="37"/>
    <s v="https://www.fr.ch/sites/default/files/2020-05/statistiques_situation_FR_0705.xlsx"/>
  </r>
  <r>
    <x v="39"/>
    <m/>
    <s v="GE"/>
    <n v="14791"/>
    <n v="3685"/>
    <n v="421"/>
    <n v="61"/>
    <n v="51"/>
    <n v="305"/>
    <n v="106"/>
    <s v="https://www.ge.ch/document/20094/telecharger"/>
  </r>
  <r>
    <x v="39"/>
    <m/>
    <s v="GL"/>
    <m/>
    <n v="61"/>
    <n v="5"/>
    <m/>
    <m/>
    <m/>
    <n v="2"/>
    <s v="https://www.gl.ch/public/upload/assets/28096/COVID-19_Fallzahlen_Kanton_Glarus.xlsx"/>
  </r>
  <r>
    <x v="39"/>
    <m/>
    <s v="GR"/>
    <m/>
    <n v="657"/>
    <n v="52"/>
    <m/>
    <m/>
    <m/>
    <n v="30"/>
    <s v="https://www.gr.ch/DE/institutionen/verwaltung/djsg/ga/coronavirus/_layouts/15/GenericDataFeed/feed.aspx?PageID=26&amp;ID=g_1175d522_e609_4287_93af_d14c9efd5218&amp;FORMAT=JSONRAW"/>
  </r>
  <r>
    <x v="39"/>
    <m/>
    <s v="JU"/>
    <m/>
    <n v="154"/>
    <n v="27"/>
    <n v="3"/>
    <m/>
    <m/>
    <n v="0"/>
    <s v="https://www.jura.ch/Htdocs/Files/v/34356.xlsx/Departements/CHA/SIC/Carrousel/Coronavirus/Cornavirus/Chiffres/donnees_06_05.xlsx?download=1"/>
  </r>
  <r>
    <x v="39"/>
    <m/>
    <s v="NE"/>
    <m/>
    <n v="452"/>
    <n v="59"/>
    <n v="10"/>
    <n v="9"/>
    <m/>
    <n v="30"/>
    <s v="https://www.ne.ch/autorites/DFS/SCSP/medecin-cantonal/maladies-vaccinations/Documents/Covid-19-Statistiques/COVID19_PublicationInternet.xlsx"/>
  </r>
  <r>
    <x v="39"/>
    <m/>
    <s v="NW"/>
    <m/>
    <n v="80"/>
    <n v="10"/>
    <n v="2"/>
    <m/>
    <m/>
    <m/>
    <s v="http://www.nw.ch/coronastatistik"/>
  </r>
  <r>
    <x v="39"/>
    <m/>
    <s v="SG"/>
    <m/>
    <n v="504"/>
    <n v="79"/>
    <n v="13"/>
    <m/>
    <n v="62"/>
    <n v="9"/>
    <s v="https://www.sg.ch/tools/informationen-coronavirus.html"/>
  </r>
  <r>
    <x v="39"/>
    <m/>
    <s v="SH"/>
    <m/>
    <n v="47"/>
    <n v="12"/>
    <n v="3"/>
    <m/>
    <m/>
    <n v="1"/>
    <s v="https://sh.ch/CMS/get/file/1142c079-5d62-4035-b9ea-04901bfcdfe9"/>
  </r>
  <r>
    <x v="39"/>
    <m/>
    <s v="SZ"/>
    <m/>
    <n v="168"/>
    <m/>
    <m/>
    <m/>
    <n v="92"/>
    <n v="5"/>
    <s v="https://www.sz.ch/public/upload/assets/46502/COVID-19_Fallzahlen_Kanton_Schwyz.xlsx"/>
  </r>
  <r>
    <x v="39"/>
    <m/>
    <s v="TG"/>
    <m/>
    <n v="209"/>
    <m/>
    <m/>
    <m/>
    <m/>
    <n v="5"/>
    <s v="https://www.tg.ch/news/fachdossier-coronavirus.html/10552"/>
  </r>
  <r>
    <x v="39"/>
    <m/>
    <s v="VD"/>
    <m/>
    <n v="4261"/>
    <n v="364"/>
    <n v="65"/>
    <m/>
    <m/>
    <n v="166"/>
    <s v="https://www.vd.ch/toutes-les-actualites/hotline-et-informations-sur-le-coronavirus/point-de-situation-statistique-dans-le-canton-de-vaud/"/>
  </r>
  <r>
    <x v="39"/>
    <m/>
    <s v="VS"/>
    <m/>
    <n v="1416"/>
    <n v="148"/>
    <n v="28"/>
    <n v="23"/>
    <m/>
    <n v="53"/>
    <s v="https://www.vs.ch/de/web/coronavirus"/>
  </r>
  <r>
    <x v="39"/>
    <n v="0"/>
    <s v="SO"/>
    <m/>
    <n v="250"/>
    <m/>
    <m/>
    <m/>
    <m/>
    <n v="3"/>
    <s v="https://corona.so.ch/index.php?id=27979"/>
  </r>
  <r>
    <x v="39"/>
    <n v="0.33333333333333331"/>
    <s v="BE"/>
    <m/>
    <n v="1106"/>
    <n v="113"/>
    <n v="35"/>
    <n v="28"/>
    <m/>
    <n v="28"/>
    <s v="https://www.besondere-lage.sites.be.ch/besondere-lage_sites/de/index/corona/index.html"/>
  </r>
  <r>
    <x v="39"/>
    <n v="0.33333333333333331"/>
    <s v="TI"/>
    <m/>
    <n v="2442"/>
    <n v="363"/>
    <n v="72"/>
    <n v="67"/>
    <n v="314"/>
    <n v="165"/>
    <s v="https://www4.ti.ch/fileadmin/DSS/DSP/UMC/malattie_infettive/Coronavirus/dati/COVID19_Dati_TI_per_github.xlsx"/>
  </r>
  <r>
    <x v="39"/>
    <n v="0.33333333333333331"/>
    <s v="ZG"/>
    <m/>
    <n v="146"/>
    <n v="14"/>
    <n v="7"/>
    <m/>
    <n v="46"/>
    <n v="2"/>
    <s v="https://www.zg.ch/behoerden/gesundheitsdirektion/statistikfachstelle/themen/gesundheit/corona"/>
  </r>
  <r>
    <x v="39"/>
    <n v="0.42708333333333331"/>
    <s v="BS"/>
    <m/>
    <n v="767"/>
    <n v="112"/>
    <n v="16"/>
    <m/>
    <n v="434"/>
    <n v="24"/>
    <s v="https://www.gd.bs.ch//nm/2020-tagesbulletin-coronavirus-771-bestaetigte-faelle-im-kanton-basel-stadt-gd.html"/>
  </r>
  <r>
    <x v="39"/>
    <n v="0.45833333333333331"/>
    <s v="AI"/>
    <m/>
    <n v="21"/>
    <m/>
    <m/>
    <m/>
    <m/>
    <n v="0"/>
    <s v="https://www.ai.ch/themen/gesundheit-alter-und-soziales/gesundheitsfoerderung-und-praevention/uebertragbare-krankheiten/coronavirus"/>
  </r>
  <r>
    <x v="39"/>
    <n v="0.45833333333333331"/>
    <s v="LU"/>
    <m/>
    <n v="469"/>
    <n v="49"/>
    <n v="12"/>
    <m/>
    <m/>
    <n v="7"/>
    <s v="https://gesundheit.lu.ch/themen/Humanmedizin/Infektionskrankheiten/Coronavirus"/>
  </r>
  <r>
    <x v="39"/>
    <n v="0.54166666666666663"/>
    <s v="AR"/>
    <m/>
    <n v="66"/>
    <m/>
    <m/>
    <m/>
    <m/>
    <n v="3"/>
    <s v="https://www.ar.ch/verwaltung/departement-gesundheit-und-soziales/amt-fuer-gesundheit/informationsseite-coronavirus/"/>
  </r>
  <r>
    <x v="39"/>
    <n v="0.60416666666666663"/>
    <s v="ZH"/>
    <m/>
    <n v="2467"/>
    <n v="194"/>
    <m/>
    <n v="59"/>
    <m/>
    <n v="49"/>
    <s v="https://gd.zh.ch/internet/gesundheitsdirektion/de/themen/coronavirus.html"/>
  </r>
  <r>
    <x v="39"/>
    <n v="0.70833333333333337"/>
    <s v="UR"/>
    <m/>
    <n v="66"/>
    <n v="6"/>
    <m/>
    <m/>
    <n v="26"/>
    <n v="1"/>
    <s v="https://www.ur.ch/themen/2920"/>
  </r>
  <r>
    <x v="40"/>
    <m/>
    <s v="BL"/>
    <m/>
    <n v="670"/>
    <n v="73"/>
    <n v="19"/>
    <n v="17"/>
    <n v="369"/>
    <n v="19"/>
    <s v="https://www.baselland.ch/politik-und-behorden/direktionen/volkswirtschafts-und-gesundheitsdirektion/amt-fur-gesundheit/medizinische-dienste/kantonsarztlicher-dienst/aktuelles/covid-19-faelle-kanton-basel-landschaft"/>
  </r>
  <r>
    <x v="40"/>
    <m/>
    <s v="FL"/>
    <m/>
    <n v="77"/>
    <m/>
    <m/>
    <m/>
    <m/>
    <n v="1"/>
    <s v="https://www.regierung.li/de/mitteilungen/223366/?typ=news"/>
  </r>
  <r>
    <x v="40"/>
    <m/>
    <s v="FR"/>
    <m/>
    <n v="669"/>
    <n v="87"/>
    <n v="20"/>
    <m/>
    <n v="55"/>
    <n v="40"/>
    <s v="https://www.fr.ch/sites/default/files/2020-05/statistiques_situation_FR_0705.xlsx"/>
  </r>
  <r>
    <x v="40"/>
    <m/>
    <s v="GE"/>
    <n v="15085"/>
    <n v="3750"/>
    <n v="424"/>
    <n v="56"/>
    <n v="50"/>
    <n v="327"/>
    <n v="113"/>
    <s v="https://www.ge.ch/document/20094/telecharger"/>
  </r>
  <r>
    <x v="40"/>
    <m/>
    <s v="GL"/>
    <m/>
    <n v="63"/>
    <n v="5"/>
    <m/>
    <m/>
    <m/>
    <n v="2"/>
    <s v="https://www.gl.ch/public/upload/assets/28096/COVID-19_Fallzahlen_Kanton_Glarus.xlsx"/>
  </r>
  <r>
    <x v="40"/>
    <m/>
    <s v="GR"/>
    <m/>
    <n v="668"/>
    <n v="49"/>
    <m/>
    <m/>
    <m/>
    <n v="33"/>
    <s v="https://www.gr.ch/DE/institutionen/verwaltung/djsg/ga/coronavirus/_layouts/15/GenericDataFeed/feed.aspx?PageID=26&amp;ID=g_1175d522_e609_4287_93af_d14c9efd5218&amp;FORMAT=JSONRAW"/>
  </r>
  <r>
    <x v="40"/>
    <m/>
    <s v="JU"/>
    <m/>
    <n v="160"/>
    <n v="29"/>
    <n v="4"/>
    <m/>
    <m/>
    <n v="0"/>
    <s v="https://www.jura.ch/Htdocs/Files/v/34356.xlsx/Departements/CHA/SIC/Carrousel/Coronavirus/Cornavirus/Chiffres/donnees_06_05.xlsx?download=1"/>
  </r>
  <r>
    <x v="40"/>
    <m/>
    <s v="NE"/>
    <m/>
    <n v="463"/>
    <n v="58"/>
    <n v="12"/>
    <n v="8"/>
    <m/>
    <n v="30"/>
    <s v="https://www.ne.ch/autorites/DFS/SCSP/medecin-cantonal/maladies-vaccinations/Documents/Covid-19-Statistiques/COVID19_PublicationInternet.xlsx"/>
  </r>
  <r>
    <x v="40"/>
    <m/>
    <s v="NW"/>
    <m/>
    <n v="80"/>
    <n v="9"/>
    <n v="2"/>
    <m/>
    <m/>
    <m/>
    <s v="http://www.nw.ch/coronastatistik"/>
  </r>
  <r>
    <x v="40"/>
    <m/>
    <s v="SG"/>
    <m/>
    <n v="515"/>
    <n v="70"/>
    <n v="13"/>
    <m/>
    <n v="70"/>
    <n v="9"/>
    <s v="https://www.sg.ch/tools/informationen-coronavirus.html"/>
  </r>
  <r>
    <x v="40"/>
    <m/>
    <s v="SH"/>
    <m/>
    <n v="49"/>
    <n v="12"/>
    <n v="3"/>
    <m/>
    <m/>
    <n v="1"/>
    <s v="https://sh.ch/CMS/get/file/1142c079-5d62-4035-b9ea-04901bfcdfe9"/>
  </r>
  <r>
    <x v="40"/>
    <m/>
    <s v="SZ"/>
    <m/>
    <n v="170"/>
    <m/>
    <m/>
    <m/>
    <n v="93"/>
    <n v="5"/>
    <s v="https://www.sz.ch/public/upload/assets/46502/COVID-19_Fallzahlen_Kanton_Schwyz.xlsx"/>
  </r>
  <r>
    <x v="40"/>
    <m/>
    <s v="TG"/>
    <m/>
    <n v="214"/>
    <m/>
    <m/>
    <m/>
    <m/>
    <n v="7"/>
    <s v="https://www.tg.ch/news/fachdossier-coronavirus.html/10552"/>
  </r>
  <r>
    <x v="40"/>
    <m/>
    <s v="VD"/>
    <m/>
    <n v="4300"/>
    <n v="375"/>
    <n v="64"/>
    <m/>
    <m/>
    <n v="178"/>
    <s v="https://www.vd.ch/toutes-les-actualites/hotline-et-informations-sur-le-coronavirus/point-de-situation-statistique-dans-le-canton-de-vaud/"/>
  </r>
  <r>
    <x v="40"/>
    <m/>
    <s v="VS"/>
    <m/>
    <n v="1431"/>
    <n v="145"/>
    <n v="26"/>
    <n v="23"/>
    <m/>
    <n v="57"/>
    <s v="https://www.vs.ch/de/web/coronavirus"/>
  </r>
  <r>
    <x v="40"/>
    <n v="0"/>
    <s v="SO"/>
    <m/>
    <n v="258"/>
    <n v="16"/>
    <m/>
    <m/>
    <m/>
    <n v="3"/>
    <s v="https://corona.so.ch/index.php?id=27979"/>
  </r>
  <r>
    <x v="40"/>
    <n v="0.33333333333333331"/>
    <s v="BE"/>
    <m/>
    <n v="1137"/>
    <n v="110"/>
    <n v="30"/>
    <n v="25"/>
    <m/>
    <n v="28"/>
    <s v="https://www.besondere-lage.sites.be.ch/besondere-lage_sites/de/index/corona/index.html"/>
  </r>
  <r>
    <x v="40"/>
    <n v="0.33333333333333331"/>
    <s v="TI"/>
    <m/>
    <n v="2508"/>
    <n v="362"/>
    <n v="74"/>
    <n v="61"/>
    <n v="340"/>
    <n v="177"/>
    <s v="https://www4.ti.ch/fileadmin/DSS/DSP/UMC/malattie_infettive/Coronavirus/dati/COVID19_Dati_TI_per_github.xlsx"/>
  </r>
  <r>
    <x v="40"/>
    <n v="0.33333333333333331"/>
    <s v="ZG"/>
    <m/>
    <n v="146"/>
    <n v="14"/>
    <n v="7"/>
    <m/>
    <n v="46"/>
    <n v="2"/>
    <s v="https://www.zg.ch/behoerden/gesundheitsdirektion/statistikfachstelle/themen/gesundheit/corona"/>
  </r>
  <r>
    <x v="40"/>
    <n v="0.42708333333333331"/>
    <s v="BS"/>
    <m/>
    <n v="789"/>
    <n v="106"/>
    <n v="15"/>
    <m/>
    <n v="460"/>
    <n v="26"/>
    <s v="https://www.gd.bs.ch//nm/2020-tagesbulletin-coronavirus-794-bestaetigte-faelle-im-kanton-basel-stadt-gd.html"/>
  </r>
  <r>
    <x v="40"/>
    <n v="0.45833333333333331"/>
    <s v="LU"/>
    <m/>
    <n v="478"/>
    <n v="49"/>
    <n v="12"/>
    <m/>
    <m/>
    <n v="9"/>
    <s v="https://gesundheit.lu.ch/themen/Humanmedizin/Infektionskrankheiten/Coronavirus"/>
  </r>
  <r>
    <x v="40"/>
    <n v="0.54166666666666663"/>
    <s v="AR"/>
    <m/>
    <n v="67"/>
    <m/>
    <m/>
    <m/>
    <m/>
    <n v="3"/>
    <s v="https://www.ar.ch/verwaltung/departement-gesundheit-und-soziales/amt-fuer-gesundheit/informationsseite-coronavirus/"/>
  </r>
  <r>
    <x v="40"/>
    <n v="0.60416666666666663"/>
    <s v="ZH"/>
    <m/>
    <n v="2497"/>
    <n v="194"/>
    <m/>
    <n v="59"/>
    <m/>
    <n v="53"/>
    <s v="https://gd.zh.ch/internet/gesundheitsdirektion/de/themen/coronavirus.html"/>
  </r>
  <r>
    <x v="40"/>
    <n v="0.70833333333333337"/>
    <s v="UR"/>
    <m/>
    <n v="67"/>
    <n v="5"/>
    <m/>
    <m/>
    <n v="26"/>
    <n v="2"/>
    <s v="https://www.ur.ch/themen/2920"/>
  </r>
  <r>
    <x v="41"/>
    <m/>
    <s v="BL"/>
    <m/>
    <n v="682"/>
    <n v="67"/>
    <n v="17"/>
    <n v="17"/>
    <n v="412"/>
    <n v="19"/>
    <s v="https://www.baselland.ch/politik-und-behorden/direktionen/volkswirtschafts-und-gesundheitsdirektion/amt-fur-gesundheit/medizinische-dienste/kantonsarztlicher-dienst/aktuelles/covid-19-faelle-kanton-basel-landschaft"/>
  </r>
  <r>
    <x v="41"/>
    <m/>
    <s v="FR"/>
    <m/>
    <n v="689"/>
    <n v="87"/>
    <n v="19"/>
    <m/>
    <n v="56"/>
    <n v="41"/>
    <s v="https://www.fr.ch/sites/default/files/2020-05/statistiques_situation_FR_0705.xlsx"/>
  </r>
  <r>
    <x v="41"/>
    <m/>
    <s v="GE"/>
    <n v="15704"/>
    <n v="3869"/>
    <n v="418"/>
    <n v="56"/>
    <n v="50"/>
    <n v="345"/>
    <n v="125"/>
    <s v="https://www.ge.ch/document/20094/telecharger"/>
  </r>
  <r>
    <x v="41"/>
    <m/>
    <s v="GL"/>
    <m/>
    <n v="63"/>
    <n v="2"/>
    <m/>
    <m/>
    <m/>
    <n v="2"/>
    <s v="https://www.gl.ch/public/upload/assets/28096/COVID-19_Fallzahlen_Kanton_Glarus.xlsx"/>
  </r>
  <r>
    <x v="41"/>
    <m/>
    <s v="GR"/>
    <m/>
    <n v="679"/>
    <n v="52"/>
    <m/>
    <m/>
    <m/>
    <n v="34"/>
    <s v="https://www.gr.ch/DE/institutionen/verwaltung/djsg/ga/coronavirus/_layouts/15/GenericDataFeed/feed.aspx?PageID=26&amp;ID=g_1175d522_e609_4287_93af_d14c9efd5218&amp;FORMAT=JSONRAW"/>
  </r>
  <r>
    <x v="41"/>
    <m/>
    <s v="JU"/>
    <m/>
    <n v="164"/>
    <n v="27"/>
    <n v="4"/>
    <m/>
    <m/>
    <n v="0"/>
    <s v="https://www.jura.ch/Htdocs/Files/v/34356.xlsx/Departements/CHA/SIC/Carrousel/Coronavirus/Cornavirus/Chiffres/donnees_06_05.xlsx?download=1"/>
  </r>
  <r>
    <x v="41"/>
    <m/>
    <s v="NE"/>
    <m/>
    <n v="485"/>
    <n v="59"/>
    <n v="10"/>
    <n v="8"/>
    <m/>
    <n v="34"/>
    <s v="https://www.ne.ch/autorites/DFS/SCSP/medecin-cantonal/maladies-vaccinations/Documents/Covid-19-Statistiques/COVID19_PublicationInternet.xlsx"/>
  </r>
  <r>
    <x v="41"/>
    <m/>
    <s v="NW"/>
    <m/>
    <n v="86"/>
    <n v="11"/>
    <n v="2"/>
    <m/>
    <m/>
    <m/>
    <s v="http://www.nw.ch/coronastatistik"/>
  </r>
  <r>
    <x v="41"/>
    <m/>
    <s v="SG"/>
    <m/>
    <n v="532"/>
    <n v="70"/>
    <n v="12"/>
    <m/>
    <n v="75"/>
    <n v="11"/>
    <s v="https://www.sg.ch/tools/informationen-coronavirus.html"/>
  </r>
  <r>
    <x v="41"/>
    <m/>
    <s v="SH"/>
    <m/>
    <n v="50"/>
    <n v="15"/>
    <n v="3"/>
    <m/>
    <m/>
    <n v="1"/>
    <s v="https://sh.ch/CMS/get/file/1142c079-5d62-4035-b9ea-04901bfcdfe9"/>
  </r>
  <r>
    <x v="41"/>
    <m/>
    <s v="SZ"/>
    <m/>
    <n v="178"/>
    <m/>
    <m/>
    <m/>
    <n v="93"/>
    <n v="6"/>
    <s v="https://www.sz.ch/public/upload/assets/46502/COVID-19_Fallzahlen_Kanton_Schwyz.xlsx"/>
  </r>
  <r>
    <x v="41"/>
    <m/>
    <s v="TG"/>
    <m/>
    <n v="220"/>
    <n v="34"/>
    <n v="14"/>
    <m/>
    <m/>
    <n v="7"/>
    <s v="https://www.tg.ch/news/fachdossier-coronavirus.html/10552"/>
  </r>
  <r>
    <x v="41"/>
    <m/>
    <s v="VD"/>
    <m/>
    <n v="4418"/>
    <n v="360"/>
    <n v="62"/>
    <m/>
    <m/>
    <n v="194"/>
    <s v="https://www.vd.ch/toutes-les-actualites/hotline-et-informations-sur-le-coronavirus/point-de-situation-statistique-dans-le-canton-de-vaud/"/>
  </r>
  <r>
    <x v="41"/>
    <m/>
    <s v="VS"/>
    <m/>
    <n v="1497"/>
    <n v="132"/>
    <n v="26"/>
    <n v="22"/>
    <m/>
    <n v="60"/>
    <s v="https://www.vs.ch/de/web/coronavirus"/>
  </r>
  <r>
    <x v="41"/>
    <n v="0"/>
    <s v="SO"/>
    <m/>
    <n v="261"/>
    <n v="26"/>
    <m/>
    <m/>
    <m/>
    <n v="3"/>
    <s v="https://corona.so.ch/index.php?id=27979"/>
  </r>
  <r>
    <x v="41"/>
    <n v="0.33333333333333331"/>
    <s v="AR"/>
    <m/>
    <n v="69"/>
    <m/>
    <m/>
    <m/>
    <m/>
    <n v="3"/>
    <s v="https://www.ar.ch/verwaltung/departement-gesundheit-und-soziales/amt-fuer-gesundheit/informationsseite-coronavirus/"/>
  </r>
  <r>
    <x v="41"/>
    <n v="0.33333333333333331"/>
    <s v="BE"/>
    <m/>
    <n v="1173"/>
    <n v="117"/>
    <n v="35"/>
    <n v="30"/>
    <m/>
    <n v="31"/>
    <s v="https://www.besondere-lage.sites.be.ch/besondere-lage_sites/de/index/corona/index.html"/>
  </r>
  <r>
    <x v="41"/>
    <n v="0.33333333333333331"/>
    <s v="TI"/>
    <m/>
    <n v="2546"/>
    <n v="357"/>
    <n v="72"/>
    <n v="62"/>
    <n v="350"/>
    <n v="189"/>
    <s v="https://www4.ti.ch/fileadmin/DSS/DSP/UMC/malattie_infettive/Coronavirus/dati/COVID19_Dati_TI_per_github.xlsx"/>
  </r>
  <r>
    <x v="41"/>
    <n v="0.33333333333333331"/>
    <s v="ZG"/>
    <m/>
    <n v="152"/>
    <n v="14"/>
    <n v="8"/>
    <m/>
    <n v="52"/>
    <n v="3"/>
    <s v="https://www.zg.ch/behoerden/gesundheitsdirektion/statistikfachstelle/themen/gesundheit/corona"/>
  </r>
  <r>
    <x v="41"/>
    <n v="0.40625"/>
    <s v="BS"/>
    <m/>
    <n v="798"/>
    <n v="99"/>
    <n v="13"/>
    <m/>
    <n v="481"/>
    <n v="26"/>
    <s v="https://www.coronavirus.bs.ch/nm/2020-tagesbulletin-coronavirus-803-bestaetigte-faelle-im-kanton-basel-stadt-gd.html"/>
  </r>
  <r>
    <x v="41"/>
    <n v="0.45833333333333331"/>
    <s v="AI"/>
    <m/>
    <n v="21"/>
    <m/>
    <m/>
    <m/>
    <m/>
    <n v="0"/>
    <s v="https://www.ai.ch/themen/gesundheit-alter-und-soziales/gesundheitsfoerderung-und-praevention/uebertragbare-krankheiten/coronavirus"/>
  </r>
  <r>
    <x v="41"/>
    <n v="0.45833333333333331"/>
    <s v="LU"/>
    <m/>
    <n v="497"/>
    <n v="61"/>
    <n v="6"/>
    <m/>
    <m/>
    <n v="9"/>
    <s v="https://gesundheit.lu.ch/themen/Humanmedizin/Infektionskrankheiten/Coronavirus"/>
  </r>
  <r>
    <x v="41"/>
    <n v="0.58333333333333337"/>
    <s v="UR"/>
    <m/>
    <n v="67"/>
    <n v="9"/>
    <m/>
    <m/>
    <n v="34"/>
    <n v="2"/>
    <s v="https://www.ur.ch/themen/2920"/>
  </r>
  <r>
    <x v="41"/>
    <n v="0.60416666666666663"/>
    <s v="ZH"/>
    <m/>
    <n v="2611"/>
    <n v="198"/>
    <m/>
    <n v="58"/>
    <m/>
    <n v="55"/>
    <s v="https://gd.zh.ch/internet/gesundheitsdirektion/de/themen/coronavirus.html"/>
  </r>
  <r>
    <x v="41"/>
    <n v="0.625"/>
    <s v="AG"/>
    <m/>
    <n v="727"/>
    <n v="82"/>
    <n v="25"/>
    <n v="24"/>
    <m/>
    <n v="13"/>
    <s v="https://www.ag.ch/media/kanton_aargau/themen_1/coronavirus_1/lagebulletins/200406_KFS_Coronavirus_Lagebulletin_27.pdf"/>
  </r>
  <r>
    <x v="41"/>
    <n v="0.625"/>
    <s v="OW"/>
    <m/>
    <n v="60"/>
    <m/>
    <m/>
    <m/>
    <n v="1"/>
    <n v="0"/>
    <s v="https://www.ow.ch/de/verwaltung/dienstleistungen/?dienst_id=5962"/>
  </r>
  <r>
    <x v="42"/>
    <m/>
    <s v="BL"/>
    <m/>
    <n v="690"/>
    <n v="66"/>
    <n v="18"/>
    <n v="17"/>
    <n v="452"/>
    <n v="19"/>
    <s v="https://www.baselland.ch/politik-und-behorden/direktionen/volkswirtschafts-und-gesundheitsdirektion/amt-fur-gesundheit/medizinische-dienste/kantonsarztlicher-dienst/aktuelles/covid-19-faelle-kanton-basel-landschaft"/>
  </r>
  <r>
    <x v="42"/>
    <m/>
    <s v="FL"/>
    <m/>
    <n v="78"/>
    <m/>
    <m/>
    <m/>
    <m/>
    <n v="1"/>
    <s v="https://www.liechtenstein.li/news-detail/article/aktuelle-informationen-zum-coronavirus/"/>
  </r>
  <r>
    <x v="42"/>
    <m/>
    <s v="FR"/>
    <m/>
    <n v="729"/>
    <n v="78"/>
    <n v="22"/>
    <m/>
    <n v="73"/>
    <n v="44"/>
    <s v="https://www.fr.ch/sites/default/files/2020-05/statistiques_situation_FR_0705.xlsx"/>
  </r>
  <r>
    <x v="42"/>
    <m/>
    <s v="GE"/>
    <n v="16545"/>
    <n v="4029"/>
    <n v="412"/>
    <n v="51"/>
    <n v="48"/>
    <n v="374"/>
    <n v="136"/>
    <s v="https://www.ge.ch/document/20094/telecharger"/>
  </r>
  <r>
    <x v="42"/>
    <m/>
    <s v="GL"/>
    <m/>
    <n v="63"/>
    <n v="2"/>
    <m/>
    <m/>
    <m/>
    <n v="2"/>
    <s v="https://www.gl.ch/public/upload/assets/28096/COVID-19_Fallzahlen_Kanton_Glarus.xlsx"/>
  </r>
  <r>
    <x v="42"/>
    <m/>
    <s v="GR"/>
    <m/>
    <n v="684"/>
    <n v="49"/>
    <m/>
    <m/>
    <m/>
    <n v="35"/>
    <s v="https://www.gr.ch/DE/institutionen/verwaltung/djsg/ga/coronavirus/_layouts/15/GenericDataFeed/feed.aspx?PageID=26&amp;ID=g_1175d522_e609_4287_93af_d14c9efd5218&amp;FORMAT=JSONRAW"/>
  </r>
  <r>
    <x v="42"/>
    <m/>
    <s v="JU"/>
    <m/>
    <n v="171"/>
    <n v="28"/>
    <n v="4"/>
    <m/>
    <m/>
    <n v="0"/>
    <s v="https://www.jura.ch/Htdocs/Files/v/34356.xlsx/Departements/CHA/SIC/Carrousel/Coronavirus/Cornavirus/Chiffres/donnees_06_05.xlsx?download=1"/>
  </r>
  <r>
    <x v="42"/>
    <m/>
    <s v="NE"/>
    <m/>
    <n v="509"/>
    <n v="64"/>
    <n v="10"/>
    <n v="5"/>
    <m/>
    <n v="37"/>
    <s v="https://www.ne.ch/autorites/DFS/SCSP/medecin-cantonal/maladies-vaccinations/Documents/Covid-19-Statistiques/COVID19_PublicationInternet.xlsx"/>
  </r>
  <r>
    <x v="42"/>
    <m/>
    <s v="NW"/>
    <m/>
    <n v="87"/>
    <n v="9"/>
    <n v="2"/>
    <m/>
    <m/>
    <m/>
    <s v="http://www.nw.ch/coronastatistik"/>
  </r>
  <r>
    <x v="42"/>
    <m/>
    <s v="SG"/>
    <m/>
    <n v="557"/>
    <n v="65"/>
    <n v="9"/>
    <m/>
    <n v="79"/>
    <n v="13"/>
    <s v="https://www.sg.ch/tools/informationen-coronavirus.html"/>
  </r>
  <r>
    <x v="42"/>
    <m/>
    <s v="SZ"/>
    <m/>
    <n v="185"/>
    <m/>
    <m/>
    <m/>
    <n v="105"/>
    <n v="7"/>
    <s v="https://www.sz.ch/public/upload/assets/46502/COVID-19_Fallzahlen_Kanton_Schwyz.xlsx"/>
  </r>
  <r>
    <x v="42"/>
    <m/>
    <s v="TG"/>
    <m/>
    <n v="222"/>
    <n v="33"/>
    <n v="13"/>
    <m/>
    <m/>
    <n v="8"/>
    <s v="https://www.tg.ch/news/fachdossier-coronavirus.html/10552"/>
  </r>
  <r>
    <x v="42"/>
    <m/>
    <s v="VD"/>
    <m/>
    <n v="4495"/>
    <n v="333"/>
    <n v="61"/>
    <m/>
    <m/>
    <n v="206"/>
    <s v="https://www.vd.ch/toutes-les-actualites/hotline-et-informations-sur-le-coronavirus/point-de-situation-statistique-dans-le-canton-de-vaud/"/>
  </r>
  <r>
    <x v="42"/>
    <m/>
    <s v="VS"/>
    <m/>
    <n v="1536"/>
    <n v="129"/>
    <n v="25"/>
    <n v="20"/>
    <m/>
    <n v="68"/>
    <s v="https://www.vs.ch/de/web/coronavirus"/>
  </r>
  <r>
    <x v="42"/>
    <n v="0"/>
    <s v="SO"/>
    <m/>
    <n v="264"/>
    <n v="29"/>
    <m/>
    <m/>
    <m/>
    <n v="3"/>
    <s v="https://corona.so.ch/index.php?id=27979"/>
  </r>
  <r>
    <x v="42"/>
    <n v="0.33333333333333331"/>
    <s v="AR"/>
    <m/>
    <n v="69"/>
    <m/>
    <m/>
    <m/>
    <m/>
    <n v="3"/>
    <s v="https://www.ar.ch/verwaltung/departement-gesundheit-und-soziales/amt-fuer-gesundheit/informationsseite-coronavirus/"/>
  </r>
  <r>
    <x v="42"/>
    <n v="0.33333333333333331"/>
    <s v="BE"/>
    <m/>
    <n v="1228"/>
    <n v="122"/>
    <n v="34"/>
    <n v="26"/>
    <m/>
    <n v="33"/>
    <s v="https://www.besondere-lage.sites.be.ch/besondere-lage_sites/de/index/corona/index.html"/>
  </r>
  <r>
    <x v="42"/>
    <n v="0.33333333333333331"/>
    <s v="TI"/>
    <m/>
    <n v="2599"/>
    <n v="335"/>
    <n v="72"/>
    <n v="65"/>
    <n v="388"/>
    <n v="198"/>
    <s v="https://www4.ti.ch/fileadmin/DSS/DSP/UMC/malattie_infettive/Coronavirus/dati/COVID19_Dati_TI_per_github.xlsx"/>
  </r>
  <r>
    <x v="42"/>
    <n v="0.33333333333333331"/>
    <s v="ZG"/>
    <m/>
    <n v="157"/>
    <n v="15"/>
    <n v="8"/>
    <m/>
    <n v="54"/>
    <n v="3"/>
    <s v="https://www.zg.ch/behoerden/gesundheitsdirektion/statistikfachstelle/themen/gesundheit/corona"/>
  </r>
  <r>
    <x v="42"/>
    <n v="0.39583333333333331"/>
    <s v="BS"/>
    <m/>
    <n v="808"/>
    <n v="101"/>
    <n v="13"/>
    <m/>
    <n v="508"/>
    <n v="28"/>
    <s v="https://www.gd.bs.ch//nm/2020-tagesbulletin-coronavirus-813-bestaetigte-faelle-im-kanton-basel-stadt-gd.html"/>
  </r>
  <r>
    <x v="42"/>
    <n v="0.39583333333333331"/>
    <s v="SH"/>
    <m/>
    <n v="50"/>
    <n v="14"/>
    <n v="3"/>
    <m/>
    <m/>
    <n v="1"/>
    <s v="https://sh.ch/CMS/get/file/1142c079-5d62-4035-b9ea-04901bfcdfe9"/>
  </r>
  <r>
    <x v="42"/>
    <n v="0.45833333333333331"/>
    <s v="AI"/>
    <m/>
    <n v="21"/>
    <m/>
    <m/>
    <m/>
    <m/>
    <n v="0"/>
    <s v="https://www.ai.ch/themen/gesundheit-alter-und-soziales/gesundheitsfoerderung-und-praevention/uebertragbare-krankheiten/coronavirus"/>
  </r>
  <r>
    <x v="42"/>
    <n v="0.45833333333333331"/>
    <s v="LU"/>
    <m/>
    <n v="509"/>
    <n v="57"/>
    <n v="6"/>
    <m/>
    <m/>
    <n v="9"/>
    <s v="https://gesundheit.lu.ch/themen/Humanmedizin/Infektionskrankheiten/Coronavirus"/>
  </r>
  <r>
    <x v="42"/>
    <n v="0.58333333333333337"/>
    <s v="UR"/>
    <m/>
    <n v="68"/>
    <n v="7"/>
    <m/>
    <m/>
    <n v="42"/>
    <n v="2"/>
    <s v="https://www.ur.ch/themen/2920"/>
  </r>
  <r>
    <x v="42"/>
    <n v="0.60416666666666663"/>
    <s v="OW"/>
    <m/>
    <n v="60"/>
    <n v="2"/>
    <m/>
    <m/>
    <m/>
    <n v="0"/>
    <s v="https://www.ow.ch/de/verwaltung/dienstleistungen/?dienst_id=5962"/>
  </r>
  <r>
    <x v="42"/>
    <n v="0.60416666666666663"/>
    <s v="ZH"/>
    <m/>
    <n v="2695"/>
    <n v="181"/>
    <m/>
    <n v="60"/>
    <m/>
    <n v="57"/>
    <s v="https://gd.zh.ch/internet/gesundheitsdirektion/de/themen/coronavirus.html"/>
  </r>
  <r>
    <x v="42"/>
    <n v="0.61458333333333337"/>
    <s v="AG"/>
    <m/>
    <n v="760"/>
    <n v="84"/>
    <n v="25"/>
    <n v="25"/>
    <n v="170"/>
    <n v="16"/>
    <s v="https://www.ag.ch/media/kanton_aargau/themen_1/coronavirus_1/lagebulletins/200407_KFS_Coronavirus_Lagebulletin_28.pdf"/>
  </r>
  <r>
    <x v="43"/>
    <m/>
    <s v="BL"/>
    <m/>
    <n v="694"/>
    <n v="65"/>
    <n v="18"/>
    <n v="17"/>
    <n v="461"/>
    <n v="21"/>
    <s v="https://www.baselland.ch/politik-und-behorden/direktionen/volkswirtschafts-und-gesundheitsdirektion/amt-fur-gesundheit/medizinische-dienste/kantonsarztlicher-dienst/aktuelles/covid-19-faelle-kanton-basel-landschaft"/>
  </r>
  <r>
    <x v="43"/>
    <m/>
    <s v="FR"/>
    <m/>
    <n v="756"/>
    <n v="80"/>
    <n v="22"/>
    <m/>
    <n v="78"/>
    <n v="45"/>
    <s v="https://www.fr.ch/sites/default/files/2020-05/statistiques_situation_FR_0705.xlsx"/>
  </r>
  <r>
    <x v="43"/>
    <m/>
    <s v="GE"/>
    <n v="17314"/>
    <n v="4160"/>
    <n v="402"/>
    <n v="49"/>
    <n v="47"/>
    <n v="442"/>
    <n v="150"/>
    <s v="https://www.ge.ch/document/20094/telecharger"/>
  </r>
  <r>
    <x v="43"/>
    <m/>
    <s v="GL"/>
    <m/>
    <n v="64"/>
    <n v="2"/>
    <m/>
    <m/>
    <m/>
    <n v="2"/>
    <s v="https://www.gl.ch/public/upload/assets/28096/COVID-19_Fallzahlen_Kanton_Glarus.xlsx"/>
  </r>
  <r>
    <x v="43"/>
    <m/>
    <s v="GR"/>
    <m/>
    <n v="698"/>
    <n v="38"/>
    <m/>
    <m/>
    <m/>
    <n v="35"/>
    <s v="https://www.gr.ch/DE/institutionen/verwaltung/djsg/ga/coronavirus/_layouts/15/GenericDataFeed/feed.aspx?PageID=26&amp;ID=g_1175d522_e609_4287_93af_d14c9efd5218&amp;FORMAT=JSONRAW"/>
  </r>
  <r>
    <x v="43"/>
    <m/>
    <s v="JU"/>
    <m/>
    <n v="174"/>
    <n v="31"/>
    <n v="4"/>
    <m/>
    <m/>
    <n v="1"/>
    <s v="https://www.jura.ch/Htdocs/Files/v/34356.xlsx/Departements/CHA/SIC/Carrousel/Coronavirus/Cornavirus/Chiffres/donnees_06_05.xlsx?download=1"/>
  </r>
  <r>
    <x v="43"/>
    <m/>
    <s v="NE"/>
    <m/>
    <n v="513"/>
    <n v="63"/>
    <n v="10"/>
    <n v="7"/>
    <m/>
    <n v="40"/>
    <s v="https://www.ne.ch/autorites/DFS/SCSP/medecin-cantonal/maladies-vaccinations/Documents/Covid-19-Statistiques/COVID19_PublicationInternet.xlsx"/>
  </r>
  <r>
    <x v="43"/>
    <m/>
    <s v="NW"/>
    <m/>
    <n v="93"/>
    <n v="9"/>
    <n v="1"/>
    <m/>
    <m/>
    <m/>
    <s v="http://www.nw.ch/coronastatistik"/>
  </r>
  <r>
    <x v="43"/>
    <m/>
    <s v="SG"/>
    <m/>
    <n v="578"/>
    <n v="52"/>
    <n v="12"/>
    <m/>
    <n v="89"/>
    <n v="15"/>
    <s v="https://www.sg.ch/tools/informationen-coronavirus.html"/>
  </r>
  <r>
    <x v="43"/>
    <m/>
    <s v="SZ"/>
    <m/>
    <n v="196"/>
    <m/>
    <m/>
    <m/>
    <n v="107"/>
    <n v="7"/>
    <s v="https://www.sz.ch/public/upload/assets/46502/COVID-19_Fallzahlen_Kanton_Schwyz.xlsx"/>
  </r>
  <r>
    <x v="43"/>
    <m/>
    <s v="TG"/>
    <m/>
    <n v="237"/>
    <n v="30"/>
    <n v="15"/>
    <m/>
    <m/>
    <n v="8"/>
    <s v="https://www.tg.ch/news/fachdossier-coronavirus.html/10552"/>
  </r>
  <r>
    <x v="43"/>
    <m/>
    <s v="VD"/>
    <m/>
    <n v="4586"/>
    <n v="324"/>
    <n v="60"/>
    <m/>
    <m/>
    <n v="218"/>
    <s v="https://www.vd.ch/toutes-les-actualites/hotline-et-informations-sur-le-coronavirus/point-de-situation-statistique-dans-le-canton-de-vaud/"/>
  </r>
  <r>
    <x v="43"/>
    <m/>
    <s v="VS"/>
    <m/>
    <n v="1570"/>
    <n v="122"/>
    <n v="26"/>
    <n v="20"/>
    <m/>
    <n v="71"/>
    <s v="https://www.vs.ch/de/web/coronavirus"/>
  </r>
  <r>
    <x v="43"/>
    <n v="0"/>
    <s v="SO"/>
    <m/>
    <n v="276"/>
    <n v="22"/>
    <m/>
    <m/>
    <m/>
    <n v="3"/>
    <s v="https://corona.so.ch/index.php?id=27979"/>
  </r>
  <r>
    <x v="43"/>
    <n v="0.33333333333333331"/>
    <s v="AR"/>
    <m/>
    <n v="72"/>
    <m/>
    <m/>
    <m/>
    <m/>
    <n v="3"/>
    <s v="https://www.ar.ch/verwaltung/departement-gesundheit-und-soziales/amt-fuer-gesundheit/informationsseite-coronavirus/"/>
  </r>
  <r>
    <x v="43"/>
    <n v="0.33333333333333331"/>
    <s v="BE"/>
    <m/>
    <n v="1286"/>
    <n v="127"/>
    <n v="35"/>
    <n v="27"/>
    <m/>
    <n v="37"/>
    <s v="https://www.besondere-lage.sites.be.ch/besondere-lage_sites/de/index/corona/index.html"/>
  </r>
  <r>
    <x v="43"/>
    <n v="0.33333333333333331"/>
    <s v="TI"/>
    <m/>
    <n v="2659"/>
    <n v="319"/>
    <n v="71"/>
    <n v="64"/>
    <n v="420"/>
    <n v="211"/>
    <s v="https://www4.ti.ch/fileadmin/DSS/DSP/UMC/malattie_infettive/Coronavirus/dati/COVID19_Dati_TI_per_github.xlsx"/>
  </r>
  <r>
    <x v="43"/>
    <n v="0.33333333333333331"/>
    <s v="ZG"/>
    <m/>
    <n v="162"/>
    <n v="12"/>
    <n v="9"/>
    <m/>
    <n v="61"/>
    <n v="3"/>
    <s v="https://www.zg.ch/behoerden/gesundheitsdirektion/statistikfachstelle/themen/gesundheit/corona"/>
  </r>
  <r>
    <x v="43"/>
    <n v="0.39583333333333331"/>
    <s v="SH"/>
    <m/>
    <n v="50"/>
    <n v="15"/>
    <n v="2"/>
    <m/>
    <m/>
    <n v="1"/>
    <s v="https://sh.ch/CMS/get/file/1142c079-5d62-4035-b9ea-04901bfcdfe9"/>
  </r>
  <r>
    <x v="43"/>
    <n v="0.41666666666666669"/>
    <s v="BS"/>
    <m/>
    <n v="829"/>
    <n v="99"/>
    <n v="14"/>
    <m/>
    <n v="535"/>
    <n v="31"/>
    <s v="https://www.gd.bs.ch//nm/2020-tagesbulletin-coronavirus-834-bestaetigte-faelle-im-kanton-basel-stadt-gd.html"/>
  </r>
  <r>
    <x v="43"/>
    <n v="0.45833333333333331"/>
    <s v="AI"/>
    <m/>
    <n v="23"/>
    <m/>
    <m/>
    <m/>
    <m/>
    <n v="0"/>
    <s v="https://www.ai.ch/themen/gesundheit-alter-und-soziales/gesundheitsfoerderung-und-praevention/uebertragbare-krankheiten/coronavirus"/>
  </r>
  <r>
    <x v="43"/>
    <n v="0.45833333333333331"/>
    <s v="LU"/>
    <m/>
    <n v="527"/>
    <m/>
    <m/>
    <m/>
    <m/>
    <n v="9"/>
    <s v="https://gesundheit.lu.ch/themen/Humanmedizin/Infektionskrankheiten/Coronavirus"/>
  </r>
  <r>
    <x v="43"/>
    <n v="0.58333333333333337"/>
    <s v="UR"/>
    <m/>
    <n v="72"/>
    <n v="5"/>
    <m/>
    <m/>
    <n v="42"/>
    <n v="4"/>
    <s v="https://www.ur.ch/themen/2962"/>
  </r>
  <r>
    <x v="43"/>
    <n v="0.60416666666666663"/>
    <s v="ZH"/>
    <m/>
    <n v="2790"/>
    <n v="170"/>
    <m/>
    <n v="56"/>
    <m/>
    <n v="65"/>
    <s v="https://gd.zh.ch/internet/gesundheitsdirektion/de/themen/coronavirus.html"/>
  </r>
  <r>
    <x v="43"/>
    <n v="0.61458333333333337"/>
    <s v="AG"/>
    <m/>
    <n v="788"/>
    <n v="79"/>
    <n v="23"/>
    <n v="23"/>
    <n v="220"/>
    <n v="16"/>
    <s v="https://www.ag.ch/media/kanton_aargau/themen_1/coronavirus_1/lagebulletins/200408_KFS_Coronavirus_Lagebulletin_29.pdf"/>
  </r>
  <r>
    <x v="43"/>
    <n v="0.625"/>
    <s v="OW"/>
    <m/>
    <n v="61"/>
    <n v="2"/>
    <m/>
    <m/>
    <m/>
    <n v="0"/>
    <s v="https://www.ow.ch/de/verwaltung/dienstleistungen/?dienst_id=5962"/>
  </r>
  <r>
    <x v="44"/>
    <m/>
    <s v="BL"/>
    <m/>
    <n v="711"/>
    <n v="62"/>
    <n v="18"/>
    <n v="16"/>
    <n v="485"/>
    <n v="21"/>
    <s v="https://www.baselland.ch/politik-und-behorden/direktionen/volkswirtschafts-und-gesundheitsdirektion/amt-fur-gesundheit/medizinische-dienste/kantonsarztlicher-dienst/aktuelles/covid-19-faelle-kanton-basel-landschaft"/>
  </r>
  <r>
    <x v="44"/>
    <m/>
    <s v="FR"/>
    <m/>
    <n v="786"/>
    <n v="80"/>
    <n v="20"/>
    <m/>
    <n v="84"/>
    <n v="46"/>
    <s v="https://www.fr.ch/sites/default/files/2020-05/statistiques_situation_FR_0705.xlsx"/>
  </r>
  <r>
    <x v="44"/>
    <m/>
    <s v="GE"/>
    <n v="17898"/>
    <n v="4254"/>
    <n v="393"/>
    <n v="47"/>
    <n v="45"/>
    <m/>
    <n v="159"/>
    <s v="https://www.ge.ch/document/20094/telecharger"/>
  </r>
  <r>
    <x v="44"/>
    <m/>
    <s v="GL"/>
    <m/>
    <n v="67"/>
    <n v="2"/>
    <m/>
    <m/>
    <m/>
    <n v="2"/>
    <s v="https://www.gl.ch/public/upload/assets/28096/COVID-19_Fallzahlen_Kanton_Glarus.xlsx"/>
  </r>
  <r>
    <x v="44"/>
    <m/>
    <s v="GR"/>
    <m/>
    <n v="719"/>
    <n v="39"/>
    <m/>
    <m/>
    <m/>
    <n v="36"/>
    <s v="https://www.gr.ch/DE/institutionen/verwaltung/djsg/ga/coronavirus/_layouts/15/GenericDataFeed/feed.aspx?PageID=26&amp;ID=g_1175d522_e609_4287_93af_d14c9efd5218&amp;FORMAT=JSONRAW"/>
  </r>
  <r>
    <x v="44"/>
    <m/>
    <s v="JU"/>
    <m/>
    <n v="179"/>
    <n v="28"/>
    <n v="5"/>
    <m/>
    <m/>
    <n v="1"/>
    <s v="https://www.jura.ch/Htdocs/Files/v/34356.xlsx/Departements/CHA/SIC/Carrousel/Coronavirus/Cornavirus/Chiffres/donnees_06_05.xlsx?download=1"/>
  </r>
  <r>
    <x v="44"/>
    <m/>
    <s v="NE"/>
    <m/>
    <n v="545"/>
    <n v="58"/>
    <n v="10"/>
    <n v="7"/>
    <m/>
    <n v="42"/>
    <s v="https://www.ne.ch/autorites/DFS/SCSP/medecin-cantonal/maladies-vaccinations/Documents/Covid-19-Statistiques/COVID19_PublicationInternet.xlsx"/>
  </r>
  <r>
    <x v="44"/>
    <m/>
    <s v="NW"/>
    <m/>
    <n v="96"/>
    <n v="9"/>
    <n v="1"/>
    <m/>
    <m/>
    <m/>
    <s v="http://www.nw.ch/coronastatistik"/>
  </r>
  <r>
    <x v="44"/>
    <m/>
    <s v="SG"/>
    <m/>
    <n v="604"/>
    <n v="52"/>
    <n v="13"/>
    <m/>
    <n v="92"/>
    <n v="16"/>
    <s v="https://www.sg.ch/tools/informationen-coronavirus.html"/>
  </r>
  <r>
    <x v="44"/>
    <m/>
    <s v="SZ"/>
    <m/>
    <n v="213"/>
    <m/>
    <m/>
    <m/>
    <n v="113"/>
    <n v="9"/>
    <s v="https://www.sz.ch/public/upload/assets/46502/COVID-19_Fallzahlen_Kanton_Schwyz.xlsx"/>
  </r>
  <r>
    <x v="44"/>
    <m/>
    <s v="TG"/>
    <m/>
    <n v="256"/>
    <n v="27"/>
    <n v="12"/>
    <m/>
    <m/>
    <n v="8"/>
    <s v="https://www.tg.ch/news/fachdossier-coronavirus.html/10552"/>
  </r>
  <r>
    <x v="44"/>
    <m/>
    <s v="VD"/>
    <m/>
    <n v="4683"/>
    <n v="307"/>
    <n v="61"/>
    <m/>
    <m/>
    <n v="232"/>
    <s v="https://www.vd.ch/toutes-les-actualites/hotline-et-informations-sur-le-coronavirus/point-de-situation-statistique-dans-le-canton-de-vaud/"/>
  </r>
  <r>
    <x v="44"/>
    <m/>
    <s v="VS"/>
    <m/>
    <n v="1598"/>
    <n v="117"/>
    <n v="24"/>
    <n v="19"/>
    <m/>
    <n v="77"/>
    <s v="https://www.vs.ch/de/web/coronavirus"/>
  </r>
  <r>
    <x v="44"/>
    <n v="0"/>
    <s v="SO"/>
    <m/>
    <n v="282"/>
    <n v="23"/>
    <m/>
    <m/>
    <m/>
    <n v="5"/>
    <s v="https://corona.so.ch/index.php?id=27979"/>
  </r>
  <r>
    <x v="44"/>
    <n v="0.33333333333333331"/>
    <s v="AR"/>
    <m/>
    <n v="74"/>
    <m/>
    <m/>
    <m/>
    <m/>
    <n v="3"/>
    <s v="https://www.ar.ch/verwaltung/departement-gesundheit-und-soziales/amt-fuer-gesundheit/informationsseite-coronavirus/"/>
  </r>
  <r>
    <x v="44"/>
    <n v="0.33333333333333331"/>
    <s v="BE"/>
    <m/>
    <n v="1335"/>
    <n v="117"/>
    <n v="36"/>
    <n v="27"/>
    <m/>
    <n v="38"/>
    <s v="https://www.besondere-lage.sites.be.ch/besondere-lage_sites/de/index/corona/index.html"/>
  </r>
  <r>
    <x v="44"/>
    <n v="0.33333333333333331"/>
    <s v="TI"/>
    <m/>
    <n v="2714"/>
    <n v="301"/>
    <n v="72"/>
    <n v="68"/>
    <n v="447"/>
    <n v="219"/>
    <s v="https://www4.ti.ch/fileadmin/DSS/DSP/UMC/malattie_infettive/Coronavirus/dati/COVID19_Dati_TI_per_github.xlsx"/>
  </r>
  <r>
    <x v="44"/>
    <n v="0.33333333333333331"/>
    <s v="ZG"/>
    <m/>
    <n v="165"/>
    <n v="13"/>
    <n v="9"/>
    <m/>
    <n v="69"/>
    <n v="3"/>
    <s v="https://www.zg.ch/behoerden/gesundheitsdirektion/statistikfachstelle/themen/gesundheit/corona"/>
  </r>
  <r>
    <x v="44"/>
    <n v="0.39583333333333331"/>
    <s v="SH"/>
    <m/>
    <n v="52"/>
    <n v="17"/>
    <n v="2"/>
    <m/>
    <m/>
    <n v="1"/>
    <s v="https://sh.ch/CMS/get/file/1142c079-5d62-4035-b9ea-04901bfcdfe9"/>
  </r>
  <r>
    <x v="44"/>
    <n v="0.41666666666666669"/>
    <s v="BS"/>
    <m/>
    <n v="841"/>
    <n v="93"/>
    <n v="13"/>
    <m/>
    <n v="572"/>
    <n v="33"/>
    <s v="https://www.gd.bs.ch//nm/2020-tagesbulletin-coronavirus-846-bestaetigte-faelle-im-kanton-basel-stadt-gd.html"/>
  </r>
  <r>
    <x v="44"/>
    <n v="0.45833333333333331"/>
    <s v="AI"/>
    <m/>
    <n v="24"/>
    <m/>
    <m/>
    <m/>
    <m/>
    <n v="0"/>
    <s v="https://www.ai.ch/themen/gesundheit-alter-und-soziales/gesundheitsfoerderung-und-praevention/uebertragbare-krankheiten/coronavirus"/>
  </r>
  <r>
    <x v="44"/>
    <n v="0.54166666666666663"/>
    <s v="LU"/>
    <m/>
    <n v="542"/>
    <n v="62"/>
    <n v="6"/>
    <m/>
    <m/>
    <n v="9"/>
    <s v="https://gesundheit.lu.ch/themen/Humanmedizin/Infektionskrankheiten/Coronavirus"/>
  </r>
  <r>
    <x v="44"/>
    <n v="0.58333333333333337"/>
    <s v="UR"/>
    <m/>
    <n v="72"/>
    <n v="4"/>
    <m/>
    <m/>
    <n v="45"/>
    <n v="4"/>
    <s v="https://www.ur.ch/themen/2962"/>
  </r>
  <r>
    <x v="44"/>
    <n v="0.60416666666666663"/>
    <s v="ZH"/>
    <m/>
    <n v="2887"/>
    <n v="165"/>
    <m/>
    <n v="55"/>
    <m/>
    <n v="66"/>
    <s v="https://gd.zh.ch/internet/gesundheitsdirektion/de/themen/coronavirus.html"/>
  </r>
  <r>
    <x v="44"/>
    <n v="0.61458333333333337"/>
    <s v="AG"/>
    <m/>
    <n v="822"/>
    <n v="87"/>
    <n v="22"/>
    <n v="21"/>
    <n v="250"/>
    <n v="17"/>
    <s v="https://www.ag.ch/media/kanton_aargau/themen_1/coronavirus_1/lagebulletins/200409_KFS_Coronavirus_Lagebulletin_30.pdf"/>
  </r>
  <r>
    <x v="44"/>
    <n v="0.625"/>
    <s v="OW"/>
    <m/>
    <n v="62"/>
    <n v="1"/>
    <m/>
    <m/>
    <m/>
    <n v="0"/>
    <s v="https://www.ow.ch/de/verwaltung/dienstleistungen/?dienst_id=5962"/>
  </r>
  <r>
    <x v="45"/>
    <m/>
    <s v="BL"/>
    <m/>
    <n v="722"/>
    <n v="54"/>
    <n v="17"/>
    <n v="15"/>
    <n v="502"/>
    <n v="22"/>
    <s v="https://www.baselland.ch/politik-und-behorden/direktionen/volkswirtschafts-und-gesundheitsdirektion/amt-fur-gesundheit/medizinische-dienste/kantonsarztlicher-dienst/aktuelles/covid-19-faelle-kanton-basel-landschaft"/>
  </r>
  <r>
    <x v="45"/>
    <m/>
    <s v="FL"/>
    <m/>
    <n v="79"/>
    <m/>
    <m/>
    <m/>
    <m/>
    <n v="1"/>
    <s v="https://www.regierung.li/media/attachments/188-corona-keine-neuen-faelle-0410.pdf?t=637222261316868970"/>
  </r>
  <r>
    <x v="45"/>
    <m/>
    <s v="FR"/>
    <m/>
    <n v="796"/>
    <n v="73"/>
    <n v="19"/>
    <m/>
    <n v="88"/>
    <n v="49"/>
    <s v="https://www.fr.ch/sites/default/files/2020-05/statistiques_situation_FR_0705.xlsx"/>
  </r>
  <r>
    <x v="45"/>
    <m/>
    <s v="GE"/>
    <n v="18304"/>
    <n v="4296"/>
    <n v="379"/>
    <n v="47"/>
    <n v="47"/>
    <n v="448"/>
    <n v="170"/>
    <s v="https://www.ge.ch/document/20094/telecharger"/>
  </r>
  <r>
    <x v="45"/>
    <m/>
    <s v="GL"/>
    <m/>
    <n v="76"/>
    <n v="2"/>
    <m/>
    <m/>
    <m/>
    <n v="2"/>
    <s v="https://www.gl.ch/public/upload/assets/28096/COVID-19_Fallzahlen_Kanton_Glarus.xlsx"/>
  </r>
  <r>
    <x v="45"/>
    <m/>
    <s v="GR"/>
    <m/>
    <n v="730"/>
    <n v="35"/>
    <m/>
    <m/>
    <m/>
    <n v="36"/>
    <s v="https://www.gr.ch/DE/institutionen/verwaltung/djsg/ga/coronavirus/_layouts/15/GenericDataFeed/feed.aspx?PageID=26&amp;ID=g_1175d522_e609_4287_93af_d14c9efd5218&amp;FORMAT=JSONRAW"/>
  </r>
  <r>
    <x v="45"/>
    <m/>
    <s v="JU"/>
    <m/>
    <n v="182"/>
    <n v="25"/>
    <n v="5"/>
    <m/>
    <m/>
    <n v="3"/>
    <s v="https://www.jura.ch/Htdocs/Files/v/34356.xlsx/Departements/CHA/SIC/Carrousel/Coronavirus/Cornavirus/Chiffres/donnees_06_05.xlsx?download=1"/>
  </r>
  <r>
    <x v="45"/>
    <m/>
    <s v="NE"/>
    <m/>
    <n v="564"/>
    <n v="63"/>
    <n v="11"/>
    <n v="8"/>
    <m/>
    <n v="42"/>
    <s v="https://www.ne.ch/autorites/DFS/SCSP/medecin-cantonal/maladies-vaccinations/Documents/Covid-19-Statistiques/COVID19_PublicationInternet.xlsx"/>
  </r>
  <r>
    <x v="45"/>
    <m/>
    <s v="NW"/>
    <m/>
    <n v="100"/>
    <n v="7"/>
    <n v="1"/>
    <m/>
    <m/>
    <m/>
    <s v="http://www.nw.ch/coronastatistik"/>
  </r>
  <r>
    <x v="45"/>
    <m/>
    <s v="SG"/>
    <m/>
    <n v="632"/>
    <n v="60"/>
    <n v="11"/>
    <m/>
    <n v="93"/>
    <n v="17"/>
    <s v="https://www.sg.ch/tools/informationen-coronavirus.html"/>
  </r>
  <r>
    <x v="45"/>
    <m/>
    <s v="SZ"/>
    <m/>
    <n v="215"/>
    <m/>
    <m/>
    <m/>
    <n v="118"/>
    <n v="10"/>
    <s v="https://www.sz.ch/public/upload/assets/46502/COVID-19_Fallzahlen_Kanton_Schwyz.xlsx"/>
  </r>
  <r>
    <x v="45"/>
    <m/>
    <s v="TG"/>
    <m/>
    <n v="265"/>
    <n v="32"/>
    <n v="13"/>
    <m/>
    <m/>
    <n v="8"/>
    <s v="https://www.tg.ch/news/fachdossier-coronavirus.html/10552"/>
  </r>
  <r>
    <x v="45"/>
    <m/>
    <s v="VD"/>
    <m/>
    <n v="4732"/>
    <n v="298"/>
    <n v="64"/>
    <m/>
    <m/>
    <n v="240"/>
    <s v="https://www.vd.ch/toutes-les-actualites/hotline-et-informations-sur-le-coronavirus/point-de-situation-statistique-dans-le-canton-de-vaud/"/>
  </r>
  <r>
    <x v="45"/>
    <m/>
    <s v="VS"/>
    <m/>
    <n v="1627"/>
    <n v="115"/>
    <n v="24"/>
    <n v="18"/>
    <m/>
    <n v="83"/>
    <s v="https://www.vs.ch/de/web/coronavirus"/>
  </r>
  <r>
    <x v="45"/>
    <n v="0"/>
    <s v="SO"/>
    <m/>
    <n v="294"/>
    <n v="22"/>
    <m/>
    <m/>
    <m/>
    <n v="5"/>
    <s v="https://corona.so.ch/index.php?id=27979"/>
  </r>
  <r>
    <x v="45"/>
    <n v="0.33333333333333331"/>
    <s v="AR"/>
    <m/>
    <n v="77"/>
    <m/>
    <m/>
    <m/>
    <m/>
    <n v="3"/>
    <s v="https://www.ar.ch/verwaltung/departement-gesundheit-und-soziales/amt-fuer-gesundheit/informationsseite-coronavirus/"/>
  </r>
  <r>
    <x v="45"/>
    <n v="0.33333333333333331"/>
    <s v="BE"/>
    <m/>
    <n v="1375"/>
    <n v="107"/>
    <n v="33"/>
    <n v="25"/>
    <m/>
    <n v="42"/>
    <s v="https://www.besondere-lage.sites.be.ch/besondere-lage_sites/de/index/corona/index.html"/>
  </r>
  <r>
    <x v="45"/>
    <n v="0.33333333333333331"/>
    <s v="TI"/>
    <m/>
    <n v="2776"/>
    <n v="297"/>
    <n v="68"/>
    <n v="62"/>
    <n v="466"/>
    <n v="227"/>
    <s v="https://www4.ti.ch/fileadmin/DSS/DSP/UMC/malattie_infettive/Coronavirus/dati/COVID19_Dati_TI_per_github.xlsx"/>
  </r>
  <r>
    <x v="45"/>
    <n v="0.33333333333333331"/>
    <s v="ZG"/>
    <m/>
    <n v="168"/>
    <n v="15"/>
    <n v="9"/>
    <m/>
    <n v="76"/>
    <n v="3"/>
    <s v="https://www.zg.ch/behoerden/gesundheitsdirektion/statistikfachstelle/themen/gesundheit/corona"/>
  </r>
  <r>
    <x v="45"/>
    <n v="0.39583333333333331"/>
    <s v="SH"/>
    <m/>
    <n v="53"/>
    <n v="13"/>
    <n v="2"/>
    <m/>
    <m/>
    <n v="1"/>
    <s v="https://sh.ch/CMS/get/file/1142c079-5d62-4035-b9ea-04901bfcdfe9"/>
  </r>
  <r>
    <x v="45"/>
    <n v="0.41666666666666669"/>
    <s v="BS"/>
    <m/>
    <n v="854"/>
    <n v="87"/>
    <n v="13"/>
    <m/>
    <n v="593"/>
    <n v="33"/>
    <s v="https://www.gd.bs.ch//nm/2020-tagesbulletin-coronavirus-859-bestaetigte-faelle-im-kanton-basel-stadt-gd.html"/>
  </r>
  <r>
    <x v="45"/>
    <n v="0.54166666666666663"/>
    <s v="LU"/>
    <m/>
    <n v="560"/>
    <n v="69"/>
    <n v="6"/>
    <m/>
    <m/>
    <n v="9"/>
    <s v="https://gesundheit.lu.ch/themen/Humanmedizin/Infektionskrankheiten/Coronavirus"/>
  </r>
  <r>
    <x v="45"/>
    <n v="0.60416666666666663"/>
    <s v="ZH"/>
    <m/>
    <n v="2927"/>
    <n v="152"/>
    <m/>
    <n v="50"/>
    <m/>
    <n v="71"/>
    <s v="https://gd.zh.ch/internet/gesundheitsdirektion/de/themen/coronavirus.html"/>
  </r>
  <r>
    <x v="45"/>
    <n v="0.61458333333333337"/>
    <s v="AG"/>
    <m/>
    <n v="850"/>
    <m/>
    <m/>
    <m/>
    <m/>
    <n v="18"/>
    <s v="https://www.ag.ch/media/kanton_aargau/themen_1/coronavirus_1/lagebulletins/200411_KFS_Coronavirus_Lagebulletin_31.pdf"/>
  </r>
  <r>
    <x v="45"/>
    <n v="0.66666666666666663"/>
    <s v="UR"/>
    <m/>
    <n v="74"/>
    <n v="4"/>
    <m/>
    <m/>
    <n v="49"/>
    <n v="4"/>
    <s v="https://www.ur.ch/themen/2962"/>
  </r>
  <r>
    <x v="46"/>
    <m/>
    <s v="BL"/>
    <m/>
    <n v="736"/>
    <n v="50"/>
    <n v="16"/>
    <n v="15"/>
    <n v="527"/>
    <n v="22"/>
    <s v="https://www.baselland.ch/politik-und-behorden/direktionen/volkswirtschafts-und-gesundheitsdirektion/amt-fur-gesundheit/medizinische-dienste/kantonsarztlicher-dienst/aktuelles/covid-19-faelle-kanton-basel-landschaft"/>
  </r>
  <r>
    <x v="46"/>
    <m/>
    <s v="FL"/>
    <m/>
    <n v="79"/>
    <m/>
    <m/>
    <m/>
    <m/>
    <n v="1"/>
    <s v="https://www.regierung.li/media/attachments/189-corona-keine-neuen-faelle-0411.pdf?t=637222261316868970"/>
  </r>
  <r>
    <x v="46"/>
    <m/>
    <s v="FR"/>
    <m/>
    <n v="834"/>
    <n v="68"/>
    <n v="20"/>
    <m/>
    <n v="93"/>
    <n v="53"/>
    <s v="https://www.fr.ch/sites/default/files/2020-05/statistiques_situation_FR_0705.xlsx"/>
  </r>
  <r>
    <x v="46"/>
    <m/>
    <s v="GE"/>
    <n v="18647"/>
    <n v="4345"/>
    <n v="364"/>
    <n v="48"/>
    <n v="44"/>
    <n v="463"/>
    <n v="178"/>
    <s v="https://www.ge.ch/document/20094/telecharger"/>
  </r>
  <r>
    <x v="46"/>
    <m/>
    <s v="GL"/>
    <m/>
    <n v="91"/>
    <n v="2"/>
    <m/>
    <m/>
    <m/>
    <n v="2"/>
    <s v="https://www.gl.ch/public/upload/assets/28096/COVID-19_Fallzahlen_Kanton_Glarus.xlsx"/>
  </r>
  <r>
    <x v="46"/>
    <m/>
    <s v="GR"/>
    <m/>
    <n v="743"/>
    <n v="35"/>
    <m/>
    <m/>
    <m/>
    <n v="36"/>
    <s v="https://www.gr.ch/DE/institutionen/verwaltung/djsg/ga/coronavirus/_layouts/15/GenericDataFeed/feed.aspx?PageID=26&amp;ID=g_1175d522_e609_4287_93af_d14c9efd5218&amp;FORMAT=JSONRAW"/>
  </r>
  <r>
    <x v="46"/>
    <m/>
    <s v="JU"/>
    <m/>
    <n v="183"/>
    <n v="23"/>
    <n v="5"/>
    <m/>
    <m/>
    <n v="3"/>
    <s v="https://www.jura.ch/Htdocs/Files/v/34356.xlsx/Departements/CHA/SIC/Carrousel/Coronavirus/Cornavirus/Chiffres/donnees_06_05.xlsx?download=1"/>
  </r>
  <r>
    <x v="46"/>
    <m/>
    <s v="NE"/>
    <m/>
    <n v="573"/>
    <n v="64"/>
    <n v="11"/>
    <n v="9"/>
    <m/>
    <n v="45"/>
    <s v="https://www.ne.ch/autorites/DFS/SCSP/medecin-cantonal/maladies-vaccinations/Documents/Covid-19-Statistiques/COVID19_PublicationInternet.xlsx"/>
  </r>
  <r>
    <x v="46"/>
    <m/>
    <s v="NW"/>
    <m/>
    <n v="103"/>
    <n v="8"/>
    <n v="2"/>
    <m/>
    <m/>
    <n v="1"/>
    <s v="http://www.nw.ch/coronastatistik"/>
  </r>
  <r>
    <x v="46"/>
    <m/>
    <s v="SG"/>
    <m/>
    <n v="641"/>
    <n v="60"/>
    <n v="11"/>
    <m/>
    <n v="102"/>
    <n v="18"/>
    <s v="https://www.sg.ch/tools/informationen-coronavirus.html"/>
  </r>
  <r>
    <x v="46"/>
    <m/>
    <s v="SZ"/>
    <m/>
    <n v="249"/>
    <m/>
    <m/>
    <m/>
    <n v="118"/>
    <n v="10"/>
    <s v="https://www.sz.ch/public/upload/assets/46502/COVID-19_Fallzahlen_Kanton_Schwyz.xlsx"/>
  </r>
  <r>
    <x v="46"/>
    <m/>
    <s v="TG"/>
    <m/>
    <n v="275"/>
    <n v="32"/>
    <n v="14"/>
    <m/>
    <m/>
    <n v="8"/>
    <s v="https://www.tg.ch/news/fachdossier-coronavirus.html/10552"/>
  </r>
  <r>
    <x v="46"/>
    <m/>
    <s v="VD"/>
    <m/>
    <n v="4772"/>
    <n v="284"/>
    <n v="64"/>
    <m/>
    <m/>
    <n v="246"/>
    <s v="https://www.vd.ch/toutes-les-actualites/hotline-et-informations-sur-le-coronavirus/point-de-situation-statistique-dans-le-canton-de-vaud/"/>
  </r>
  <r>
    <x v="46"/>
    <m/>
    <s v="VS"/>
    <m/>
    <n v="1653"/>
    <n v="112"/>
    <n v="20"/>
    <n v="15"/>
    <m/>
    <n v="85"/>
    <s v="https://www.vs.ch/de/web/coronavirus"/>
  </r>
  <r>
    <x v="46"/>
    <n v="0"/>
    <s v="SO"/>
    <m/>
    <n v="306"/>
    <m/>
    <m/>
    <m/>
    <m/>
    <n v="6"/>
    <s v="https://corona.so.ch/index.php?id=27979"/>
  </r>
  <r>
    <x v="46"/>
    <n v="0.33333333333333331"/>
    <s v="BE"/>
    <m/>
    <n v="1419"/>
    <n v="99"/>
    <n v="33"/>
    <n v="24"/>
    <m/>
    <n v="44"/>
    <s v="https://www.besondere-lage.sites.be.ch/besondere-lage_sites/de/index/corona/index.html"/>
  </r>
  <r>
    <x v="46"/>
    <n v="0.33333333333333331"/>
    <s v="TI"/>
    <m/>
    <n v="2818"/>
    <n v="282"/>
    <n v="68"/>
    <n v="59"/>
    <n v="493"/>
    <n v="229"/>
    <s v="https://www4.ti.ch/fileadmin/DSS/DSP/UMC/malattie_infettive/Coronavirus/dati/COVID19_Dati_TI_per_github.xlsx"/>
  </r>
  <r>
    <x v="46"/>
    <n v="0.33333333333333331"/>
    <s v="ZG"/>
    <m/>
    <n v="168"/>
    <n v="14"/>
    <n v="9"/>
    <m/>
    <n v="79"/>
    <n v="4"/>
    <s v="https://www.zg.ch/behoerden/gesundheitsdirektion/statistikfachstelle/themen/gesundheit/corona"/>
  </r>
  <r>
    <x v="46"/>
    <n v="0.39583333333333331"/>
    <s v="BS"/>
    <m/>
    <n v="861"/>
    <m/>
    <m/>
    <m/>
    <n v="612"/>
    <n v="33"/>
    <s v="https://www.gd.bs.ch//nm/2020-tagesbulletin-coronavirus-866-bestaetigte-faelle-im-kanton-basel-stadt-gd.html"/>
  </r>
  <r>
    <x v="46"/>
    <n v="0.39583333333333331"/>
    <s v="SH"/>
    <m/>
    <n v="55"/>
    <n v="13"/>
    <n v="2"/>
    <m/>
    <m/>
    <n v="1"/>
    <s v="https://sh.ch/CMS/get/file/1142c079-5d62-4035-b9ea-04901bfcdfe9"/>
  </r>
  <r>
    <x v="46"/>
    <n v="0.41666666666666669"/>
    <s v="AR"/>
    <m/>
    <n v="77"/>
    <m/>
    <m/>
    <m/>
    <m/>
    <n v="3"/>
    <s v="https://www.ar.ch/verwaltung/departement-gesundheit-und-soziales/amt-fuer-gesundheit/informationsseite-coronavirus/"/>
  </r>
  <r>
    <x v="46"/>
    <n v="0.45833333333333331"/>
    <s v="AI"/>
    <m/>
    <n v="24"/>
    <m/>
    <m/>
    <m/>
    <m/>
    <n v="0"/>
    <s v="https://www.ai.ch/themen/gesundheit-alter-und-soziales/gesundheitsfoerderung-und-praevention/uebertragbare-krankheiten/coronavirus"/>
  </r>
  <r>
    <x v="46"/>
    <n v="0.45833333333333331"/>
    <s v="LU"/>
    <m/>
    <n v="568"/>
    <m/>
    <m/>
    <m/>
    <m/>
    <n v="10"/>
    <s v="https://gesundheit.lu.ch/themen/Humanmedizin/Infektionskrankheiten/Coronavirus"/>
  </r>
  <r>
    <x v="46"/>
    <n v="0.60416666666666663"/>
    <s v="ZH"/>
    <m/>
    <n v="2985"/>
    <n v="149"/>
    <m/>
    <n v="50"/>
    <m/>
    <n v="77"/>
    <s v="https://gd.zh.ch/internet/gesundheitsdirektion/de/themen/coronavirus.html"/>
  </r>
  <r>
    <x v="46"/>
    <n v="0.66666666666666663"/>
    <s v="UR"/>
    <m/>
    <n v="75"/>
    <n v="8"/>
    <m/>
    <m/>
    <n v="50"/>
    <n v="4"/>
    <s v="https://www.ur.ch/themen/2962"/>
  </r>
  <r>
    <x v="46"/>
    <n v="0.70833333333333337"/>
    <s v="AG"/>
    <m/>
    <n v="878"/>
    <n v="76"/>
    <n v="23"/>
    <n v="21"/>
    <n v="300"/>
    <n v="18"/>
    <s v="https://www.ag.ch/media/kanton_aargau/themen_1/coronavirus_1/lagebulletins/200411_KFS_Coronavirus_Lagebulletin_31.pdf"/>
  </r>
  <r>
    <x v="47"/>
    <m/>
    <s v="BL"/>
    <m/>
    <n v="740"/>
    <n v="48"/>
    <n v="17"/>
    <n v="14"/>
    <n v="554"/>
    <n v="23"/>
    <s v="https://www.baselland.ch/politik-und-behorden/direktionen/volkswirtschafts-und-gesundheitsdirektion/amt-fur-gesundheit/medizinische-dienste/kantonsarztlicher-dienst/aktuelles/covid-19-faelle-kanton-basel-landschaft"/>
  </r>
  <r>
    <x v="47"/>
    <m/>
    <s v="FL"/>
    <m/>
    <n v="80"/>
    <m/>
    <m/>
    <m/>
    <m/>
    <n v="1"/>
    <s v="https://www.regierung.li/media/attachments/190-corona-zusaetzliche-person-0412.pdf?t=637223083991919653"/>
  </r>
  <r>
    <x v="47"/>
    <m/>
    <s v="FR"/>
    <m/>
    <n v="846"/>
    <n v="65"/>
    <n v="19"/>
    <m/>
    <n v="97"/>
    <n v="54"/>
    <s v="https://www.fr.ch/sites/default/files/2020-05/statistiques_situation_FR_0705.xlsx"/>
  </r>
  <r>
    <x v="47"/>
    <m/>
    <s v="GE"/>
    <n v="18820"/>
    <n v="4367"/>
    <n v="363"/>
    <n v="47"/>
    <n v="43"/>
    <n v="479"/>
    <n v="185"/>
    <s v="https://www.ge.ch/document/20094/telecharger"/>
  </r>
  <r>
    <x v="47"/>
    <m/>
    <s v="GL"/>
    <m/>
    <n v="91"/>
    <n v="2"/>
    <m/>
    <m/>
    <m/>
    <n v="2"/>
    <s v="https://www.gl.ch/public/upload/assets/28096/COVID-19_Fallzahlen_Kanton_Glarus.xlsx"/>
  </r>
  <r>
    <x v="47"/>
    <m/>
    <s v="GR"/>
    <m/>
    <n v="747"/>
    <n v="35"/>
    <m/>
    <m/>
    <m/>
    <n v="36"/>
    <s v="https://www.gr.ch/DE/institutionen/verwaltung/djsg/ga/coronavirus/_layouts/15/GenericDataFeed/feed.aspx?PageID=26&amp;ID=g_1175d522_e609_4287_93af_d14c9efd5218&amp;FORMAT=JSONRAW"/>
  </r>
  <r>
    <x v="47"/>
    <m/>
    <s v="JU"/>
    <m/>
    <n v="183"/>
    <n v="22"/>
    <n v="5"/>
    <m/>
    <m/>
    <n v="3"/>
    <s v="https://www.jura.ch/Htdocs/Files/v/34356.xlsx/Departements/CHA/SIC/Carrousel/Coronavirus/Cornavirus/Chiffres/donnees_06_05.xlsx?download=1"/>
  </r>
  <r>
    <x v="47"/>
    <m/>
    <s v="NE"/>
    <m/>
    <n v="583"/>
    <n v="67"/>
    <n v="10"/>
    <n v="10"/>
    <m/>
    <n v="50"/>
    <s v="https://www.ne.ch/autorites/DFS/SCSP/medecin-cantonal/maladies-vaccinations/Documents/Covid-19-Statistiques/COVID19_PublicationInternet.xlsx"/>
  </r>
  <r>
    <x v="47"/>
    <m/>
    <s v="NW"/>
    <m/>
    <n v="104"/>
    <n v="7"/>
    <n v="2"/>
    <m/>
    <m/>
    <n v="1"/>
    <s v="http://www.nw.ch/coronastatistik"/>
  </r>
  <r>
    <x v="47"/>
    <m/>
    <s v="SG"/>
    <m/>
    <n v="649"/>
    <n v="58"/>
    <n v="9"/>
    <m/>
    <n v="109"/>
    <n v="21"/>
    <s v="https://www.sg.ch/tools/informationen-coronavirus.html"/>
  </r>
  <r>
    <x v="47"/>
    <m/>
    <s v="SZ"/>
    <m/>
    <n v="251"/>
    <m/>
    <m/>
    <m/>
    <n v="119"/>
    <n v="11"/>
    <s v="https://www.sz.ch/public/upload/assets/46502/COVID-19_Fallzahlen_Kanton_Schwyz.xlsx"/>
  </r>
  <r>
    <x v="47"/>
    <m/>
    <s v="TG"/>
    <m/>
    <n v="286"/>
    <n v="32"/>
    <n v="14"/>
    <m/>
    <m/>
    <n v="8"/>
    <s v="https://www.tg.ch/news/fachdossier-coronavirus.html/10552"/>
  </r>
  <r>
    <x v="47"/>
    <m/>
    <s v="VD"/>
    <m/>
    <n v="4809"/>
    <n v="293"/>
    <n v="63"/>
    <m/>
    <m/>
    <n v="254"/>
    <s v="https://www.vd.ch/toutes-les-actualites/hotline-et-informations-sur-le-coronavirus/point-de-situation-statistique-dans-le-canton-de-vaud/"/>
  </r>
  <r>
    <x v="47"/>
    <m/>
    <s v="VS"/>
    <m/>
    <n v="1666"/>
    <n v="110"/>
    <n v="22"/>
    <n v="14"/>
    <m/>
    <n v="91"/>
    <s v="https://www.vs.ch/de/web/coronavirus"/>
  </r>
  <r>
    <x v="47"/>
    <n v="0"/>
    <s v="SO"/>
    <m/>
    <n v="315"/>
    <n v="23"/>
    <m/>
    <m/>
    <m/>
    <n v="7"/>
    <s v="https://corona.so.ch/index.php?id=27979"/>
  </r>
  <r>
    <x v="47"/>
    <n v="0.33333333333333331"/>
    <s v="BE"/>
    <m/>
    <n v="1441"/>
    <n v="95"/>
    <n v="33"/>
    <n v="22"/>
    <m/>
    <n v="49"/>
    <s v="https://www.besondere-lage.sites.be.ch/besondere-lage_sites/de/index/corona/index.html"/>
  </r>
  <r>
    <x v="47"/>
    <n v="0.33333333333333331"/>
    <s v="TI"/>
    <m/>
    <n v="2869"/>
    <n v="269"/>
    <n v="63"/>
    <n v="56"/>
    <n v="511"/>
    <n v="244"/>
    <s v="https://www4.ti.ch/fileadmin/DSS/DSP/UMC/malattie_infettive/Coronavirus/dati/COVID19_Dati_TI_per_github.xlsx"/>
  </r>
  <r>
    <x v="47"/>
    <n v="0.33333333333333331"/>
    <s v="ZG"/>
    <m/>
    <n v="168"/>
    <n v="13"/>
    <n v="9"/>
    <m/>
    <n v="80"/>
    <n v="5"/>
    <s v="https://www.zg.ch/behoerden/gesundheitsdirektion/statistikfachstelle/themen/gesundheit/corona"/>
  </r>
  <r>
    <x v="47"/>
    <n v="0.39583333333333331"/>
    <s v="SH"/>
    <m/>
    <n v="57"/>
    <n v="16"/>
    <n v="2"/>
    <m/>
    <m/>
    <n v="1"/>
    <s v="https://sh.ch/CMS/get/file/1142c079-5d62-4035-b9ea-04901bfcdfe9"/>
  </r>
  <r>
    <x v="47"/>
    <n v="0.41666666666666669"/>
    <s v="BS"/>
    <m/>
    <n v="877"/>
    <n v="86"/>
    <n v="12"/>
    <m/>
    <n v="629"/>
    <n v="33"/>
    <s v="https://www.gd.bs.ch//nm/2020-tagesbulletin-coronavirus-882-bestaetigte-faelle-im-kanton-basel-stadt-gd.html"/>
  </r>
  <r>
    <x v="47"/>
    <n v="0.45833333333333331"/>
    <s v="LU"/>
    <m/>
    <n v="576"/>
    <n v="60"/>
    <n v="5"/>
    <m/>
    <m/>
    <n v="10"/>
    <s v="https://gesundheit.lu.ch/themen/Humanmedizin/Infektionskrankheiten/Coronavirus"/>
  </r>
  <r>
    <x v="47"/>
    <n v="0.60416666666666663"/>
    <s v="ZH"/>
    <m/>
    <n v="3002"/>
    <n v="153"/>
    <m/>
    <n v="49"/>
    <m/>
    <n v="79"/>
    <s v="https://gd.zh.ch/internet/gesundheitsdirektion/de/themen/coronavirus.html"/>
  </r>
  <r>
    <x v="47"/>
    <n v="0.61458333333333337"/>
    <s v="AG"/>
    <m/>
    <n v="899"/>
    <m/>
    <m/>
    <m/>
    <m/>
    <n v="18"/>
    <s v="https://www.ag.ch/media/kanton_aargau/themen_1/coronavirus_1/lagebulletins/200414_KFS_Coronavirus_Lagebulletin_32.pdf"/>
  </r>
  <r>
    <x v="47"/>
    <n v="0.625"/>
    <s v="UR"/>
    <m/>
    <n v="77"/>
    <n v="5"/>
    <m/>
    <m/>
    <n v="52"/>
    <n v="4"/>
    <s v="https://www.ur.ch/themen/2962"/>
  </r>
  <r>
    <x v="48"/>
    <m/>
    <s v="BL"/>
    <m/>
    <n v="749"/>
    <n v="48"/>
    <n v="16"/>
    <n v="12"/>
    <n v="570"/>
    <n v="24"/>
    <s v="https://www.baselland.ch/politik-und-behorden/direktionen/volkswirtschafts-und-gesundheitsdirektion/amt-fur-gesundheit/medizinische-dienste/kantonsarztlicher-dienst/aktuelles/covid-19-faelle-kanton-basel-landschaft"/>
  </r>
  <r>
    <x v="48"/>
    <m/>
    <s v="FL"/>
    <m/>
    <n v="80"/>
    <m/>
    <m/>
    <m/>
    <m/>
    <n v="1"/>
    <s v="https://www.regierung.li/media/attachments/191-corona-keine-neuen-faelle-0413.pdf?t=637224053004137202"/>
  </r>
  <r>
    <x v="48"/>
    <m/>
    <s v="FR"/>
    <m/>
    <n v="859"/>
    <n v="68"/>
    <n v="17"/>
    <m/>
    <n v="97"/>
    <n v="55"/>
    <s v="https://www.fr.ch/sites/default/files/2020-05/statistiques_situation_FR_0705.xlsx"/>
  </r>
  <r>
    <x v="48"/>
    <m/>
    <s v="GE"/>
    <n v="19114"/>
    <n v="4417"/>
    <n v="364"/>
    <n v="47"/>
    <n v="42"/>
    <n v="490"/>
    <n v="188"/>
    <s v="https://www.ge.ch/document/20094/telecharger"/>
  </r>
  <r>
    <x v="48"/>
    <m/>
    <s v="GL"/>
    <m/>
    <n v="92"/>
    <n v="2"/>
    <m/>
    <m/>
    <m/>
    <n v="2"/>
    <s v="https://www.gl.ch/public/upload/assets/28096/COVID-19_Fallzahlen_Kanton_Glarus.xlsx"/>
  </r>
  <r>
    <x v="48"/>
    <m/>
    <s v="GR"/>
    <m/>
    <n v="750"/>
    <n v="34"/>
    <m/>
    <m/>
    <m/>
    <n v="37"/>
    <s v="https://www.gr.ch/DE/institutionen/verwaltung/djsg/ga/coronavirus/_layouts/15/GenericDataFeed/feed.aspx?PageID=26&amp;ID=g_1175d522_e609_4287_93af_d14c9efd5218&amp;FORMAT=JSONRAW"/>
  </r>
  <r>
    <x v="48"/>
    <m/>
    <s v="JU"/>
    <m/>
    <n v="184"/>
    <n v="24"/>
    <n v="5"/>
    <m/>
    <m/>
    <n v="3"/>
    <s v="https://www.jura.ch/Htdocs/Files/v/34356.xlsx/Departements/CHA/SIC/Carrousel/Coronavirus/Cornavirus/Chiffres/donnees_06_05.xlsx?download=1"/>
  </r>
  <r>
    <x v="48"/>
    <m/>
    <s v="NE"/>
    <m/>
    <n v="588"/>
    <n v="67"/>
    <n v="10"/>
    <n v="10"/>
    <m/>
    <n v="52"/>
    <s v="https://www.ne.ch/autorites/DFS/SCSP/medecin-cantonal/maladies-vaccinations/Documents/Covid-19-Statistiques/COVID19_PublicationInternet.xlsx"/>
  </r>
  <r>
    <x v="48"/>
    <m/>
    <s v="NW"/>
    <m/>
    <n v="104"/>
    <n v="7"/>
    <n v="2"/>
    <m/>
    <m/>
    <n v="1"/>
    <s v="http://www.nw.ch/coronastatistik"/>
  </r>
  <r>
    <x v="48"/>
    <m/>
    <s v="SG"/>
    <m/>
    <n v="657"/>
    <n v="58"/>
    <n v="10"/>
    <m/>
    <n v="119"/>
    <n v="21"/>
    <s v="https://www.sg.ch/tools/informationen-coronavirus.html"/>
  </r>
  <r>
    <x v="48"/>
    <m/>
    <s v="SZ"/>
    <m/>
    <n v="251"/>
    <m/>
    <m/>
    <m/>
    <n v="128"/>
    <n v="12"/>
    <s v="https://www.sz.ch/public/upload/assets/46502/COVID-19_Fallzahlen_Kanton_Schwyz.xlsx"/>
  </r>
  <r>
    <x v="48"/>
    <m/>
    <s v="TG"/>
    <m/>
    <n v="293"/>
    <n v="32"/>
    <n v="17"/>
    <m/>
    <m/>
    <n v="8"/>
    <s v="https://www.tg.ch/news/fachdossier-coronavirus.html/10552"/>
  </r>
  <r>
    <x v="48"/>
    <m/>
    <s v="VD"/>
    <m/>
    <n v="4853"/>
    <n v="293"/>
    <n v="59"/>
    <m/>
    <m/>
    <n v="260"/>
    <s v="https://www.vd.ch/toutes-les-actualites/hotline-et-informations-sur-le-coronavirus/point-de-situation-statistique-dans-le-canton-de-vaud/"/>
  </r>
  <r>
    <x v="48"/>
    <m/>
    <s v="VS"/>
    <m/>
    <n v="1680"/>
    <n v="106"/>
    <n v="21"/>
    <n v="12"/>
    <m/>
    <n v="93"/>
    <s v="https://www.vs.ch/de/web/coronavirus"/>
  </r>
  <r>
    <x v="48"/>
    <n v="0"/>
    <s v="SO"/>
    <m/>
    <n v="321"/>
    <n v="23"/>
    <m/>
    <m/>
    <m/>
    <n v="7"/>
    <s v="https://corona.so.ch/index.php?id=27979"/>
  </r>
  <r>
    <x v="48"/>
    <n v="0.33333333333333331"/>
    <s v="AR"/>
    <m/>
    <n v="78"/>
    <m/>
    <m/>
    <m/>
    <m/>
    <n v="3"/>
    <s v="https://www.ar.ch/verwaltung/departement-gesundheit-und-soziales/amt-fuer-gesundheit/informationsseite-coronavirus/"/>
  </r>
  <r>
    <x v="48"/>
    <n v="0.33333333333333331"/>
    <s v="BE"/>
    <m/>
    <n v="1456"/>
    <n v="92"/>
    <n v="32"/>
    <n v="21"/>
    <m/>
    <n v="49"/>
    <s v="https://www.besondere-lage.sites.be.ch/besondere-lage_sites/de/index/corona/index.html"/>
  </r>
  <r>
    <x v="48"/>
    <n v="0.33333333333333331"/>
    <s v="TI"/>
    <m/>
    <n v="2900"/>
    <n v="274"/>
    <n v="63"/>
    <n v="55"/>
    <n v="517"/>
    <n v="251"/>
    <s v="https://www4.ti.ch/fileadmin/DSS/DSP/UMC/malattie_infettive/Coronavirus/dati/COVID19_Dati_TI_per_github.xlsx"/>
  </r>
  <r>
    <x v="48"/>
    <n v="0.33333333333333331"/>
    <s v="ZG"/>
    <m/>
    <n v="170"/>
    <n v="13"/>
    <n v="9"/>
    <m/>
    <n v="84"/>
    <n v="5"/>
    <s v="https://www.zg.ch/behoerden/gesundheitsdirektion/statistikfachstelle/themen/gesundheit/corona"/>
  </r>
  <r>
    <x v="48"/>
    <n v="0.39583333333333331"/>
    <s v="SH"/>
    <m/>
    <n v="57"/>
    <n v="16"/>
    <n v="2"/>
    <m/>
    <m/>
    <n v="1"/>
    <s v="https://sh.ch/CMS/get/file/1142c079-5d62-4035-b9ea-04901bfcdfe9"/>
  </r>
  <r>
    <x v="48"/>
    <n v="0.41666666666666669"/>
    <s v="BS"/>
    <m/>
    <n v="888"/>
    <m/>
    <m/>
    <m/>
    <n v="653"/>
    <n v="34"/>
    <s v="https://www.gd.bs.ch//nm/2020-tagesbulletin-coronavirus-893-bestaetigte-faelle-im-kanton-basel-stadt-gd.html"/>
  </r>
  <r>
    <x v="48"/>
    <n v="0.45833333333333331"/>
    <s v="AI"/>
    <m/>
    <n v="24"/>
    <m/>
    <m/>
    <m/>
    <m/>
    <n v="0"/>
    <s v="https://www.ai.ch/themen/gesundheit-alter-und-soziales/gesundheitsfoerderung-und-praevention/uebertragbare-krankheiten/coronavirus"/>
  </r>
  <r>
    <x v="48"/>
    <n v="0.45833333333333331"/>
    <s v="LU"/>
    <m/>
    <n v="580"/>
    <n v="40"/>
    <n v="5"/>
    <m/>
    <m/>
    <n v="10"/>
    <s v="https://gesundheit.lu.ch/themen/Humanmedizin/Infektionskrankheiten/Coronavirus"/>
  </r>
  <r>
    <x v="48"/>
    <n v="0.58333333333333337"/>
    <s v="UR"/>
    <m/>
    <n v="78"/>
    <n v="4"/>
    <m/>
    <m/>
    <n v="52"/>
    <n v="4"/>
    <s v="https://www.ur.ch/themen/2962"/>
  </r>
  <r>
    <x v="48"/>
    <n v="0.60416666666666663"/>
    <s v="ZH"/>
    <m/>
    <n v="3019"/>
    <n v="154"/>
    <m/>
    <n v="50"/>
    <m/>
    <n v="83"/>
    <s v="https://gd.zh.ch/internet/gesundheitsdirektion/de/themen/coronavirus.html"/>
  </r>
  <r>
    <x v="48"/>
    <n v="0.61458333333333337"/>
    <s v="AG"/>
    <m/>
    <n v="906"/>
    <m/>
    <m/>
    <m/>
    <m/>
    <n v="19"/>
    <s v="https://www.ag.ch/media/kanton_aargau/themen_1/coronavirus_1/lagebulletins/200414_KFS_Coronavirus_Lagebulletin_32.pdf"/>
  </r>
  <r>
    <x v="49"/>
    <m/>
    <s v="BL"/>
    <m/>
    <n v="755"/>
    <n v="48"/>
    <n v="14"/>
    <n v="8"/>
    <n v="597"/>
    <n v="25"/>
    <s v="https://www.baselland.ch/politik-und-behorden/direktionen/volkswirtschafts-und-gesundheitsdirektion/amt-fur-gesundheit/medizinische-dienste/kantonsarztlicher-dienst/aktuelles/covid-19-faelle-kanton-basel-landschaft"/>
  </r>
  <r>
    <x v="49"/>
    <m/>
    <s v="FR"/>
    <m/>
    <n v="879"/>
    <n v="68"/>
    <n v="14"/>
    <m/>
    <n v="98"/>
    <n v="57"/>
    <s v="https://www.fr.ch/sites/default/files/2020-05/statistiques_situation_FR_0705.xlsx"/>
  </r>
  <r>
    <x v="49"/>
    <m/>
    <s v="GE"/>
    <n v="19663"/>
    <n v="4471"/>
    <n v="365"/>
    <n v="46"/>
    <n v="41"/>
    <n v="490"/>
    <n v="193"/>
    <s v="https://www.ge.ch/document/20094/telecharger"/>
  </r>
  <r>
    <x v="49"/>
    <m/>
    <s v="GL"/>
    <m/>
    <n v="105"/>
    <n v="2"/>
    <m/>
    <m/>
    <m/>
    <n v="2"/>
    <s v="https://www.gl.ch/public/upload/assets/28096/COVID-19_Fallzahlen_Kanton_Glarus.xlsx"/>
  </r>
  <r>
    <x v="49"/>
    <m/>
    <s v="GR"/>
    <m/>
    <n v="753"/>
    <n v="34"/>
    <m/>
    <m/>
    <m/>
    <n v="37"/>
    <s v="https://www.gr.ch/DE/institutionen/verwaltung/djsg/ga/coronavirus/_layouts/15/GenericDataFeed/feed.aspx?PageID=26&amp;ID=g_1175d522_e609_4287_93af_d14c9efd5218&amp;FORMAT=JSONRAW"/>
  </r>
  <r>
    <x v="49"/>
    <m/>
    <s v="JU"/>
    <m/>
    <n v="185"/>
    <n v="21"/>
    <n v="5"/>
    <m/>
    <m/>
    <n v="3"/>
    <s v="https://www.jura.ch/Htdocs/Files/v/34356.xlsx/Departements/CHA/SIC/Carrousel/Coronavirus/Cornavirus/Chiffres/donnees_06_05.xlsx?download=1"/>
  </r>
  <r>
    <x v="49"/>
    <m/>
    <s v="NE"/>
    <m/>
    <n v="599"/>
    <n v="60"/>
    <n v="11"/>
    <n v="10"/>
    <m/>
    <n v="55"/>
    <s v="https://www.ne.ch/autorites/DFS/SCSP/medecin-cantonal/maladies-vaccinations/Documents/Covid-19-Statistiques/COVID19_PublicationInternet.xlsx"/>
  </r>
  <r>
    <x v="49"/>
    <m/>
    <s v="NW"/>
    <m/>
    <n v="105"/>
    <n v="7"/>
    <n v="2"/>
    <m/>
    <m/>
    <n v="1"/>
    <s v="http://www.nw.ch/coronastatistik"/>
  </r>
  <r>
    <x v="49"/>
    <m/>
    <s v="SG"/>
    <m/>
    <n v="664"/>
    <n v="59"/>
    <n v="9"/>
    <m/>
    <n v="120"/>
    <n v="21"/>
    <s v="https://www.sg.ch/tools/informationen-coronavirus.html"/>
  </r>
  <r>
    <x v="49"/>
    <m/>
    <s v="SZ"/>
    <m/>
    <n v="258"/>
    <m/>
    <m/>
    <m/>
    <n v="128"/>
    <n v="13"/>
    <s v="https://www.sz.ch/public/upload/assets/46502/COVID-19_Fallzahlen_Kanton_Schwyz.xlsx"/>
  </r>
  <r>
    <x v="49"/>
    <m/>
    <s v="TG"/>
    <m/>
    <n v="297"/>
    <n v="35"/>
    <n v="16"/>
    <m/>
    <m/>
    <n v="10"/>
    <s v="https://www.tg.ch/news/fachdossier-coronavirus.html/10552"/>
  </r>
  <r>
    <x v="49"/>
    <m/>
    <s v="VD"/>
    <m/>
    <n v="4920"/>
    <n v="276"/>
    <n v="58"/>
    <m/>
    <m/>
    <n v="270"/>
    <s v="https://www.vd.ch/toutes-les-actualites/hotline-et-informations-sur-le-coronavirus/point-de-situation-statistique-dans-le-canton-de-vaud/"/>
  </r>
  <r>
    <x v="49"/>
    <m/>
    <s v="VS"/>
    <m/>
    <n v="1707"/>
    <n v="100"/>
    <n v="20"/>
    <n v="11"/>
    <m/>
    <n v="94"/>
    <s v="https://www.vs.ch/de/web/coronavirus"/>
  </r>
  <r>
    <x v="49"/>
    <n v="0"/>
    <s v="SO"/>
    <m/>
    <n v="325"/>
    <n v="22"/>
    <m/>
    <m/>
    <m/>
    <n v="8"/>
    <s v="https://corona.so.ch/index.php?id=27979"/>
  </r>
  <r>
    <x v="49"/>
    <n v="0.33333333333333331"/>
    <s v="AR"/>
    <m/>
    <n v="79"/>
    <m/>
    <m/>
    <m/>
    <m/>
    <n v="3"/>
    <s v="https://www.ar.ch/verwaltung/departement-gesundheit-und-soziales/amt-fuer-gesundheit/informationsseite-coronavirus/"/>
  </r>
  <r>
    <x v="49"/>
    <n v="0.33333333333333331"/>
    <s v="BE"/>
    <m/>
    <n v="1470"/>
    <n v="85"/>
    <n v="31"/>
    <n v="21"/>
    <m/>
    <n v="49"/>
    <s v="https://www.besondere-lage.sites.be.ch/besondere-lage_sites/de/index/corona/index.html"/>
  </r>
  <r>
    <x v="49"/>
    <n v="0.33333333333333331"/>
    <s v="TI"/>
    <m/>
    <n v="2912"/>
    <n v="274"/>
    <n v="63"/>
    <n v="54"/>
    <n v="524"/>
    <n v="258"/>
    <s v="https://www4.ti.ch/fileadmin/DSS/DSP/UMC/malattie_infettive/Coronavirus/dati/COVID19_Dati_TI_per_github.xlsx"/>
  </r>
  <r>
    <x v="49"/>
    <n v="0.33333333333333331"/>
    <s v="ZG"/>
    <m/>
    <n v="171"/>
    <n v="13"/>
    <n v="9"/>
    <m/>
    <n v="88"/>
    <n v="5"/>
    <s v="https://www.zg.ch/behoerden/gesundheitsdirektion/statistikfachstelle/themen/gesundheit/corona"/>
  </r>
  <r>
    <x v="49"/>
    <n v="0.39583333333333331"/>
    <s v="SH"/>
    <m/>
    <n v="57"/>
    <n v="10"/>
    <n v="2"/>
    <m/>
    <m/>
    <n v="1"/>
    <s v="https://sh.ch/CMS/get/file/1142c079-5d62-4035-b9ea-04901bfcdfe9"/>
  </r>
  <r>
    <x v="49"/>
    <n v="0.41666666666666669"/>
    <s v="BS"/>
    <m/>
    <n v="894"/>
    <n v="86"/>
    <n v="9"/>
    <m/>
    <n v="663"/>
    <n v="34"/>
    <s v="https://www.gd.bs.ch//nm/2020-tagesbulletin-coronavirus-899-bestaetigte-faelle-im-kanton-basel-stadt-gd.html"/>
  </r>
  <r>
    <x v="49"/>
    <n v="0.45833333333333331"/>
    <s v="AI"/>
    <m/>
    <n v="24"/>
    <m/>
    <m/>
    <m/>
    <m/>
    <n v="0"/>
    <s v="https://www.ai.ch/themen/gesundheit-alter-und-soziales/gesundheitsfoerderung-und-praevention/uebertragbare-krankheiten/coronavirus"/>
  </r>
  <r>
    <x v="49"/>
    <n v="0.45833333333333331"/>
    <s v="LU"/>
    <m/>
    <n v="589"/>
    <n v="47"/>
    <n v="4"/>
    <m/>
    <m/>
    <n v="11"/>
    <s v="https://gesundheit.lu.ch/themen/Humanmedizin/Infektionskrankheiten/Coronavirus"/>
  </r>
  <r>
    <x v="49"/>
    <n v="0.58333333333333337"/>
    <s v="UR"/>
    <m/>
    <n v="78"/>
    <n v="3"/>
    <m/>
    <m/>
    <n v="56"/>
    <n v="4"/>
    <s v="https://www.ur.ch/themen/2962"/>
  </r>
  <r>
    <x v="49"/>
    <n v="0.60416666666666663"/>
    <s v="ZH"/>
    <m/>
    <n v="3066"/>
    <n v="149"/>
    <m/>
    <n v="52"/>
    <m/>
    <n v="87"/>
    <s v="https://gd.zh.ch/internet/gesundheitsdirektion/de/themen/coronavirus.html"/>
  </r>
  <r>
    <x v="49"/>
    <n v="0.61458333333333337"/>
    <s v="AG"/>
    <m/>
    <n v="912"/>
    <n v="78"/>
    <n v="22"/>
    <n v="22"/>
    <n v="400"/>
    <n v="19"/>
    <s v="https://www.ag.ch/media/kanton_aargau/themen_1/coronavirus_1/lagebulletins/200414_KFS_Coronavirus_Lagebulletin_32.pdf"/>
  </r>
  <r>
    <x v="49"/>
    <n v="0.65625"/>
    <s v="OW"/>
    <m/>
    <n v="64"/>
    <n v="0"/>
    <m/>
    <m/>
    <m/>
    <n v="0"/>
    <s v="https://www.ow.ch/de/verwaltung/dienstleistungen/?dienst_id=5962"/>
  </r>
  <r>
    <x v="50"/>
    <m/>
    <s v="BL"/>
    <m/>
    <n v="768"/>
    <n v="45"/>
    <n v="9"/>
    <n v="7"/>
    <n v="610"/>
    <n v="25"/>
    <s v="https://www.baselland.ch/politik-und-behorden/direktionen/volkswirtschafts-und-gesundheitsdirektion/amt-fur-gesundheit/medizinische-dienste/kantonsarztlicher-dienst/aktuelles/covid-19-faelle-kanton-basel-landschaft"/>
  </r>
  <r>
    <x v="50"/>
    <m/>
    <s v="FL"/>
    <m/>
    <n v="80"/>
    <m/>
    <m/>
    <m/>
    <m/>
    <n v="1"/>
    <s v="https://www.regierung.li/media/attachments/194-corona-neue-wege-zur-messung-0415.pdf?t=637225709239139141"/>
  </r>
  <r>
    <x v="50"/>
    <m/>
    <s v="FR"/>
    <m/>
    <n v="890"/>
    <n v="61"/>
    <n v="16"/>
    <m/>
    <n v="105"/>
    <n v="63"/>
    <s v="https://www.fr.ch/sites/default/files/2020-05/statistiques_situation_FR_0705.xlsx"/>
  </r>
  <r>
    <x v="50"/>
    <m/>
    <s v="GE"/>
    <n v="20107"/>
    <n v="4539"/>
    <n v="352"/>
    <n v="41"/>
    <n v="37"/>
    <n v="502"/>
    <n v="198"/>
    <s v="https://www.ge.ch/document/20094/telecharger"/>
  </r>
  <r>
    <x v="50"/>
    <m/>
    <s v="GL"/>
    <m/>
    <n v="105"/>
    <n v="2"/>
    <m/>
    <m/>
    <m/>
    <n v="2"/>
    <s v="https://www.gl.ch/public/upload/assets/28096/COVID-19_Fallzahlen_Kanton_Glarus.xlsx"/>
  </r>
  <r>
    <x v="50"/>
    <m/>
    <s v="GR"/>
    <m/>
    <n v="759"/>
    <n v="36"/>
    <m/>
    <m/>
    <m/>
    <n v="38"/>
    <s v="https://www.gr.ch/DE/institutionen/verwaltung/djsg/ga/coronavirus/_layouts/15/GenericDataFeed/feed.aspx?PageID=26&amp;ID=g_1175d522_e609_4287_93af_d14c9efd5218&amp;FORMAT=JSONRAW"/>
  </r>
  <r>
    <x v="50"/>
    <m/>
    <s v="JU"/>
    <m/>
    <n v="188"/>
    <n v="17"/>
    <n v="5"/>
    <m/>
    <m/>
    <n v="3"/>
    <s v="https://www.jura.ch/Htdocs/Files/v/34356.xlsx/Departements/CHA/SIC/Carrousel/Coronavirus/Cornavirus/Chiffres/donnees_06_05.xlsx?download=1"/>
  </r>
  <r>
    <x v="50"/>
    <m/>
    <s v="NE"/>
    <m/>
    <n v="612"/>
    <n v="54"/>
    <n v="12"/>
    <n v="10"/>
    <m/>
    <n v="56"/>
    <s v="https://www.ne.ch/autorites/DFS/SCSP/medecin-cantonal/maladies-vaccinations/Documents/Covid-19-Statistiques/COVID19_PublicationInternet.xlsx"/>
  </r>
  <r>
    <x v="50"/>
    <m/>
    <s v="NW"/>
    <m/>
    <n v="106"/>
    <n v="7"/>
    <n v="2"/>
    <m/>
    <m/>
    <n v="2"/>
    <s v="http://www.nw.ch/coronastatistik"/>
  </r>
  <r>
    <x v="50"/>
    <m/>
    <s v="SG"/>
    <m/>
    <n v="676"/>
    <n v="47"/>
    <n v="9"/>
    <m/>
    <n v="123"/>
    <n v="23"/>
    <s v="https://www.sg.ch/tools/informationen-coronavirus.html"/>
  </r>
  <r>
    <x v="50"/>
    <m/>
    <s v="SZ"/>
    <m/>
    <n v="261"/>
    <m/>
    <m/>
    <m/>
    <n v="144"/>
    <n v="13"/>
    <s v="https://www.sz.ch/public/upload/assets/46502/COVID-19_Fallzahlen_Kanton_Schwyz.xlsx"/>
  </r>
  <r>
    <x v="50"/>
    <m/>
    <s v="TG"/>
    <m/>
    <n v="303"/>
    <n v="28"/>
    <n v="14"/>
    <m/>
    <m/>
    <n v="11"/>
    <s v="https://www.tg.ch/news/fachdossier-coronavirus.html/10552"/>
  </r>
  <r>
    <x v="50"/>
    <m/>
    <s v="VD"/>
    <m/>
    <n v="4969"/>
    <n v="248"/>
    <n v="54"/>
    <m/>
    <m/>
    <n v="287"/>
    <s v="https://www.vd.ch/toutes-les-actualites/hotline-et-informations-sur-le-coronavirus/point-de-situation-statistique-dans-le-canton-de-vaud/"/>
  </r>
  <r>
    <x v="50"/>
    <m/>
    <s v="VS"/>
    <m/>
    <n v="1723"/>
    <n v="94"/>
    <n v="20"/>
    <n v="12"/>
    <m/>
    <n v="94"/>
    <s v="https://www.vs.ch/de/web/coronavirus"/>
  </r>
  <r>
    <x v="50"/>
    <n v="0"/>
    <s v="SO"/>
    <m/>
    <n v="329"/>
    <n v="22"/>
    <m/>
    <m/>
    <m/>
    <n v="8"/>
    <s v="https://corona.so.ch/index.php?id=27979"/>
  </r>
  <r>
    <x v="50"/>
    <n v="0.33333333333333331"/>
    <s v="AR"/>
    <m/>
    <n v="79"/>
    <m/>
    <m/>
    <m/>
    <m/>
    <n v="3"/>
    <s v="https://www.ar.ch/verwaltung/departement-gesundheit-und-soziales/amt-fuer-gesundheit/informationsseite-coronavirus/"/>
  </r>
  <r>
    <x v="50"/>
    <n v="0.33333333333333331"/>
    <s v="BE"/>
    <m/>
    <n v="1489"/>
    <n v="82"/>
    <n v="30"/>
    <n v="18"/>
    <m/>
    <n v="53"/>
    <s v="https://www.besondere-lage.sites.be.ch/besondere-lage_sites/de/index/corona/index.html"/>
  </r>
  <r>
    <x v="50"/>
    <n v="0.33333333333333331"/>
    <s v="TI"/>
    <m/>
    <n v="2927"/>
    <n v="265"/>
    <n v="60"/>
    <n v="50"/>
    <n v="548"/>
    <n v="263"/>
    <s v="https://www4.ti.ch/fileadmin/DSS/DSP/UMC/malattie_infettive/Coronavirus/dati/COVID19_Dati_TI_per_github.xlsx"/>
  </r>
  <r>
    <x v="50"/>
    <n v="0.33333333333333331"/>
    <s v="ZG"/>
    <m/>
    <n v="171"/>
    <n v="13"/>
    <n v="9"/>
    <m/>
    <n v="92"/>
    <n v="5"/>
    <s v="https://www.zg.ch/behoerden/gesundheitsdirektion/statistikfachstelle/themen/gesundheit/corona"/>
  </r>
  <r>
    <x v="50"/>
    <n v="0.39583333333333331"/>
    <s v="SH"/>
    <m/>
    <n v="59"/>
    <n v="11"/>
    <n v="2"/>
    <m/>
    <m/>
    <n v="1"/>
    <s v="https://sh.ch/CMS/get/file/1142c079-5d62-4035-b9ea-04901bfcdfe9"/>
  </r>
  <r>
    <x v="50"/>
    <n v="0.41666666666666669"/>
    <s v="BS"/>
    <m/>
    <n v="904"/>
    <n v="80"/>
    <n v="7"/>
    <m/>
    <n v="682"/>
    <n v="36"/>
    <s v="https://www.gd.bs.ch//nm/2020-tagesbulletin-coronavirus-909-bestaetigte-faelle-im-kanton-basel-stadt-gd.html"/>
  </r>
  <r>
    <x v="50"/>
    <n v="0.45833333333333331"/>
    <s v="AI"/>
    <m/>
    <n v="24"/>
    <m/>
    <m/>
    <m/>
    <m/>
    <n v="0"/>
    <s v="https://www.ai.ch/themen/gesundheit-alter-und-soziales/gesundheitsfoerderung-und-praevention/uebertragbare-krankheiten/coronavirus"/>
  </r>
  <r>
    <x v="50"/>
    <n v="0.45833333333333331"/>
    <s v="LU"/>
    <m/>
    <n v="596"/>
    <n v="46"/>
    <n v="4"/>
    <m/>
    <m/>
    <n v="12"/>
    <s v="https://gesundheit.lu.ch/themen/Humanmedizin/Infektionskrankheiten/Coronavirus"/>
  </r>
  <r>
    <x v="50"/>
    <n v="0.60416666666666663"/>
    <s v="ZH"/>
    <m/>
    <n v="3113"/>
    <n v="136"/>
    <m/>
    <n v="50"/>
    <m/>
    <n v="91"/>
    <s v="https://gd.zh.ch/internet/gesundheitsdirektion/de/themen/coronavirus.html"/>
  </r>
  <r>
    <x v="50"/>
    <n v="0.61458333333333337"/>
    <s v="AG"/>
    <m/>
    <n v="929"/>
    <n v="69"/>
    <n v="20"/>
    <n v="20"/>
    <n v="450"/>
    <n v="22"/>
    <s v="https://www.ag.ch/media/kanton_aargau/themen_1/coronavirus_1/lagebulletins/200415_KFS_Coronavirus_Lagebulletin_33.pdf"/>
  </r>
  <r>
    <x v="50"/>
    <n v="0.64236111111111116"/>
    <s v="OW"/>
    <m/>
    <n v="64"/>
    <n v="0"/>
    <m/>
    <m/>
    <m/>
    <n v="0"/>
    <s v="https://www.ow.ch/de/verwaltung/dienstleistungen/?dienst_id=5962"/>
  </r>
  <r>
    <x v="50"/>
    <n v="0.66666666666666663"/>
    <s v="UR"/>
    <m/>
    <n v="78"/>
    <n v="3"/>
    <m/>
    <m/>
    <n v="62"/>
    <n v="4"/>
    <s v="https://www.ur.ch/themen/2962"/>
  </r>
  <r>
    <x v="51"/>
    <m/>
    <s v="BL"/>
    <m/>
    <n v="781"/>
    <n v="46"/>
    <n v="8"/>
    <n v="6"/>
    <n v="623"/>
    <n v="25"/>
    <s v="https://www.baselland.ch/politik-und-behorden/direktionen/volkswirtschafts-und-gesundheitsdirektion/amt-fur-gesundheit/medizinische-dienste/kantonsarztlicher-dienst/aktuelles/covid-19-faelle-kanton-basel-landschaft"/>
  </r>
  <r>
    <x v="51"/>
    <m/>
    <s v="FL"/>
    <m/>
    <n v="80"/>
    <m/>
    <m/>
    <m/>
    <m/>
    <n v="1"/>
    <s v="https://www.regierung.li/media/attachments/196-corona-regierung-informiert-freitag-0416.pdf?t=637226573940474014"/>
  </r>
  <r>
    <x v="51"/>
    <m/>
    <s v="FR"/>
    <m/>
    <n v="907"/>
    <n v="60"/>
    <n v="15"/>
    <m/>
    <n v="105"/>
    <n v="65"/>
    <s v="https://www.fr.ch/sites/default/files/2020-05/statistiques_situation_FR_0705.xlsx"/>
  </r>
  <r>
    <x v="51"/>
    <m/>
    <s v="GE"/>
    <n v="20748"/>
    <n v="4605"/>
    <n v="350"/>
    <n v="38"/>
    <n v="33"/>
    <n v="520"/>
    <n v="205"/>
    <s v="https://www.ge.ch/document/20094/telecharger"/>
  </r>
  <r>
    <x v="51"/>
    <m/>
    <s v="GL"/>
    <m/>
    <n v="106"/>
    <n v="4"/>
    <m/>
    <m/>
    <m/>
    <n v="3"/>
    <s v="https://www.gl.ch/public/upload/assets/28096/COVID-19_Fallzahlen_Kanton_Glarus.xlsx"/>
  </r>
  <r>
    <x v="51"/>
    <m/>
    <s v="GR"/>
    <m/>
    <n v="764"/>
    <n v="37"/>
    <m/>
    <m/>
    <m/>
    <n v="39"/>
    <s v="https://www.gr.ch/DE/institutionen/verwaltung/djsg/ga/coronavirus/_layouts/15/GenericDataFeed/feed.aspx?PageID=26&amp;ID=g_1175d522_e609_4287_93af_d14c9efd5218&amp;FORMAT=JSONRAW"/>
  </r>
  <r>
    <x v="51"/>
    <m/>
    <s v="JU"/>
    <m/>
    <n v="189"/>
    <n v="18"/>
    <n v="5"/>
    <m/>
    <m/>
    <n v="3"/>
    <s v="https://www.jura.ch/Htdocs/Files/v/34356.xlsx/Departements/CHA/SIC/Carrousel/Coronavirus/Cornavirus/Chiffres/donnees_06_05.xlsx?download=1"/>
  </r>
  <r>
    <x v="51"/>
    <m/>
    <s v="NE"/>
    <m/>
    <n v="621"/>
    <n v="52"/>
    <n v="11"/>
    <n v="9"/>
    <m/>
    <n v="57"/>
    <s v="https://www.ne.ch/autorites/DFS/SCSP/medecin-cantonal/maladies-vaccinations/Documents/Covid-19-Statistiques/COVID19_PublicationInternet.xlsx"/>
  </r>
  <r>
    <x v="51"/>
    <m/>
    <s v="NW"/>
    <m/>
    <n v="106"/>
    <n v="5"/>
    <n v="2"/>
    <m/>
    <m/>
    <n v="2"/>
    <s v="http://www.nw.ch/coronastatistik"/>
  </r>
  <r>
    <x v="51"/>
    <m/>
    <s v="SG"/>
    <m/>
    <n v="680"/>
    <n v="56"/>
    <n v="7"/>
    <m/>
    <n v="138"/>
    <n v="25"/>
    <s v="https://www.sg.ch/tools/informationen-coronavirus.html"/>
  </r>
  <r>
    <x v="51"/>
    <m/>
    <s v="SZ"/>
    <m/>
    <n v="265"/>
    <m/>
    <m/>
    <m/>
    <n v="154"/>
    <n v="14"/>
    <s v="https://www.sz.ch/public/upload/assets/46502/COVID-19_Fallzahlen_Kanton_Schwyz.xlsx"/>
  </r>
  <r>
    <x v="51"/>
    <m/>
    <s v="TG"/>
    <m/>
    <n v="309"/>
    <n v="28"/>
    <n v="14"/>
    <m/>
    <m/>
    <n v="11"/>
    <s v="https://www.tg.ch/news/fachdossier-coronavirus.html/10552"/>
  </r>
  <r>
    <x v="51"/>
    <m/>
    <s v="VD"/>
    <m/>
    <n v="4998"/>
    <n v="240"/>
    <n v="53"/>
    <m/>
    <m/>
    <n v="300"/>
    <s v="https://www.vd.ch/toutes-les-actualites/hotline-et-informations-sur-le-coronavirus/point-de-situation-statistique-dans-le-canton-de-vaud/"/>
  </r>
  <r>
    <x v="51"/>
    <m/>
    <s v="VS"/>
    <m/>
    <n v="1740"/>
    <n v="92"/>
    <n v="17"/>
    <n v="12"/>
    <m/>
    <n v="95"/>
    <s v="https://www.vs.ch/de/web/coronavirus"/>
  </r>
  <r>
    <x v="51"/>
    <n v="0"/>
    <s v="SO"/>
    <m/>
    <n v="343"/>
    <n v="22"/>
    <m/>
    <m/>
    <m/>
    <n v="8"/>
    <s v="https://corona.so.ch/index.php?id=27979"/>
  </r>
  <r>
    <x v="51"/>
    <n v="0.33333333333333331"/>
    <s v="AR"/>
    <m/>
    <n v="79"/>
    <m/>
    <m/>
    <m/>
    <m/>
    <n v="3"/>
    <s v="https://www.ar.ch/verwaltung/departement-gesundheit-und-soziales/amt-fuer-gesundheit/informationsseite-coronavirus/"/>
  </r>
  <r>
    <x v="51"/>
    <n v="0.33333333333333331"/>
    <s v="BE"/>
    <m/>
    <n v="1515"/>
    <n v="70"/>
    <n v="26"/>
    <n v="12"/>
    <m/>
    <n v="55"/>
    <s v="https://www.besondere-lage.sites.be.ch/besondere-lage_sites/de/index/corona/index.html"/>
  </r>
  <r>
    <x v="51"/>
    <n v="0.33333333333333331"/>
    <s v="TI"/>
    <m/>
    <n v="2953"/>
    <n v="249"/>
    <n v="59"/>
    <n v="49"/>
    <n v="568"/>
    <n v="269"/>
    <s v="https://www4.ti.ch/fileadmin/DSS/DSP/UMC/malattie_infettive/Coronavirus/dati/COVID19_Dati_TI_per_github.xlsx"/>
  </r>
  <r>
    <x v="51"/>
    <n v="0.33333333333333331"/>
    <s v="ZG"/>
    <m/>
    <n v="171"/>
    <n v="9"/>
    <n v="7"/>
    <m/>
    <n v="94"/>
    <n v="6"/>
    <s v="https://www.zg.ch/behoerden/gesundheitsdirektion/statistikfachstelle/themen/gesundheit/corona"/>
  </r>
  <r>
    <x v="51"/>
    <n v="0.375"/>
    <s v="BS"/>
    <m/>
    <n v="912"/>
    <n v="76"/>
    <n v="6"/>
    <m/>
    <n v="711"/>
    <n v="37"/>
    <s v="https://www.gd.bs.ch//nm/2020-tagesbulletin-coronavirus-917-bestaetigte-faelle-im-kanton-basel-stadt-gd.html"/>
  </r>
  <r>
    <x v="51"/>
    <n v="0.39583333333333331"/>
    <s v="SH"/>
    <m/>
    <n v="60"/>
    <n v="10"/>
    <n v="2"/>
    <m/>
    <m/>
    <n v="1"/>
    <s v="https://sh.ch/CMS/get/file/1142c079-5d62-4035-b9ea-04901bfcdfe9"/>
  </r>
  <r>
    <x v="51"/>
    <n v="0.45833333333333331"/>
    <s v="AI"/>
    <m/>
    <n v="24"/>
    <m/>
    <m/>
    <m/>
    <m/>
    <n v="0"/>
    <s v="https://www.ai.ch/themen/gesundheit-alter-und-soziales/gesundheitsfoerderung-und-praevention/uebertragbare-krankheiten/coronavirus"/>
  </r>
  <r>
    <x v="51"/>
    <n v="0.52083333333333337"/>
    <s v="LU"/>
    <m/>
    <n v="599"/>
    <n v="40"/>
    <n v="3"/>
    <m/>
    <m/>
    <n v="13"/>
    <s v="https://gesundheit.lu.ch/themen/Humanmedizin/Infektionskrankheiten/Coronavirus"/>
  </r>
  <r>
    <x v="51"/>
    <n v="0.60416666666666663"/>
    <s v="ZH"/>
    <m/>
    <n v="3148"/>
    <n v="135"/>
    <m/>
    <n v="51"/>
    <m/>
    <n v="95"/>
    <s v="https://gd.zh.ch/internet/gesundheitsdirektion/de/themen/coronavirus.html"/>
  </r>
  <r>
    <x v="51"/>
    <n v="0.61458333333333337"/>
    <s v="AG"/>
    <m/>
    <n v="943"/>
    <n v="61"/>
    <n v="20"/>
    <n v="20"/>
    <n v="500"/>
    <n v="23"/>
    <s v="https://www.ag.ch/media/kanton_aargau/themen_1/coronavirus_1/lagebulletins/200416_KFS_Coronavirus_Lagebulletin_34.pdf"/>
  </r>
  <r>
    <x v="51"/>
    <n v="0.625"/>
    <s v="UR"/>
    <m/>
    <n v="78"/>
    <n v="2"/>
    <m/>
    <m/>
    <n v="62"/>
    <n v="5"/>
    <s v="https://www.ur.ch/themen/2962"/>
  </r>
  <r>
    <x v="51"/>
    <n v="0.64583333333333337"/>
    <s v="OW"/>
    <m/>
    <n v="65"/>
    <n v="0"/>
    <m/>
    <m/>
    <m/>
    <n v="0"/>
    <s v="https://www.ow.ch/de/verwaltung/dienstleistungen/?dienst_id=5962"/>
  </r>
  <r>
    <x v="52"/>
    <m/>
    <s v="BL"/>
    <m/>
    <n v="794"/>
    <n v="40"/>
    <n v="8"/>
    <n v="5"/>
    <n v="632"/>
    <n v="25"/>
    <s v="https://www.baselland.ch/politik-und-behorden/direktionen/volkswirtschafts-und-gesundheitsdirektion/amt-fur-gesundheit/medizinische-dienste/kantonsarztlicher-dienst/aktuelles/covid-19-faelle-kanton-basel-landschaft"/>
  </r>
  <r>
    <x v="52"/>
    <m/>
    <s v="FL"/>
    <m/>
    <n v="81"/>
    <m/>
    <m/>
    <m/>
    <m/>
    <n v="1"/>
    <s v="https://www.regierung.li/media/attachments/197-corona-regierung-orientiert-ueber-vorgehen-0417.pdf?t=637227446845695629"/>
  </r>
  <r>
    <x v="52"/>
    <m/>
    <s v="FR"/>
    <m/>
    <n v="930"/>
    <n v="66"/>
    <n v="13"/>
    <m/>
    <n v="106"/>
    <n v="67"/>
    <s v="https://www.fr.ch/sites/default/files/2020-05/statistiques_situation_FR_0705.xlsx"/>
  </r>
  <r>
    <x v="52"/>
    <m/>
    <s v="GE"/>
    <n v="21162"/>
    <n v="4665"/>
    <n v="329"/>
    <n v="39"/>
    <n v="33"/>
    <n v="532"/>
    <n v="211"/>
    <s v="https://www.ge.ch/document/20094/telecharger"/>
  </r>
  <r>
    <x v="52"/>
    <m/>
    <s v="GR"/>
    <m/>
    <n v="770"/>
    <n v="33"/>
    <m/>
    <m/>
    <m/>
    <n v="40"/>
    <s v="https://www.gr.ch/DE/institutionen/verwaltung/djsg/ga/coronavirus/_layouts/15/GenericDataFeed/feed.aspx?PageID=26&amp;ID=g_1175d522_e609_4287_93af_d14c9efd5218&amp;FORMAT=JSONRAW"/>
  </r>
  <r>
    <x v="52"/>
    <m/>
    <s v="JU"/>
    <m/>
    <n v="191"/>
    <n v="18"/>
    <n v="5"/>
    <m/>
    <m/>
    <n v="3"/>
    <s v="https://www.jura.ch/Htdocs/Files/v/34356.xlsx/Departements/CHA/SIC/Carrousel/Coronavirus/Cornavirus/Chiffres/donnees_06_05.xlsx?download=1"/>
  </r>
  <r>
    <x v="52"/>
    <m/>
    <s v="NE"/>
    <m/>
    <n v="630"/>
    <n v="44"/>
    <n v="10"/>
    <n v="8"/>
    <m/>
    <n v="60"/>
    <s v="https://www.ne.ch/autorites/DFS/SCSP/medecin-cantonal/maladies-vaccinations/Documents/Covid-19-Statistiques/COVID19_PublicationInternet.xlsx"/>
  </r>
  <r>
    <x v="52"/>
    <m/>
    <s v="NW"/>
    <m/>
    <n v="107"/>
    <n v="4"/>
    <n v="2"/>
    <m/>
    <m/>
    <n v="3"/>
    <s v="http://www.nw.ch/coronastatistik"/>
  </r>
  <r>
    <x v="52"/>
    <m/>
    <s v="SG"/>
    <m/>
    <n v="693"/>
    <n v="41"/>
    <n v="9"/>
    <m/>
    <n v="144"/>
    <n v="27"/>
    <s v="https://www.sg.ch/tools/informationen-coronavirus.html"/>
  </r>
  <r>
    <x v="52"/>
    <m/>
    <s v="SZ"/>
    <m/>
    <n v="266"/>
    <m/>
    <m/>
    <m/>
    <n v="161"/>
    <n v="14"/>
    <s v="https://www.sz.ch/public/upload/assets/46502/COVID-19_Fallzahlen_Kanton_Schwyz.xlsx"/>
  </r>
  <r>
    <x v="52"/>
    <m/>
    <s v="TG"/>
    <m/>
    <n v="322"/>
    <n v="25"/>
    <n v="13"/>
    <m/>
    <m/>
    <n v="12"/>
    <s v="https://www.tg.ch/news/fachdossier-coronavirus.html/10552"/>
  </r>
  <r>
    <x v="52"/>
    <m/>
    <s v="VD"/>
    <m/>
    <n v="5030"/>
    <n v="224"/>
    <n v="52"/>
    <m/>
    <m/>
    <n v="307"/>
    <s v="https://www.vd.ch/toutes-les-actualites/hotline-et-informations-sur-le-coronavirus/point-de-situation-statistique-dans-le-canton-de-vaud/"/>
  </r>
  <r>
    <x v="52"/>
    <m/>
    <s v="VS"/>
    <m/>
    <n v="1760"/>
    <n v="85"/>
    <n v="16"/>
    <n v="10"/>
    <m/>
    <n v="99"/>
    <s v="https://www.vs.ch/de/web/coronavirus"/>
  </r>
  <r>
    <x v="52"/>
    <n v="0"/>
    <s v="SO"/>
    <m/>
    <n v="350"/>
    <n v="20"/>
    <m/>
    <m/>
    <m/>
    <n v="9"/>
    <s v="https://corona.so.ch/index.php?id=27979"/>
  </r>
  <r>
    <x v="52"/>
    <n v="0.33333333333333331"/>
    <s v="BE"/>
    <m/>
    <n v="1553"/>
    <n v="69"/>
    <n v="25"/>
    <n v="13"/>
    <m/>
    <n v="67"/>
    <s v="https://www.besondere-lage.sites.be.ch/besondere-lage_sites/de/index/corona/index.html"/>
  </r>
  <r>
    <x v="52"/>
    <n v="0.33333333333333331"/>
    <s v="TI"/>
    <m/>
    <n v="2977"/>
    <n v="254"/>
    <n v="57"/>
    <n v="44"/>
    <n v="580"/>
    <n v="270"/>
    <s v="https://www4.ti.ch/fileadmin/DSS/DSP/UMC/malattie_infettive/Coronavirus/dati/COVID19_Dati_TI_per_github.xlsx"/>
  </r>
  <r>
    <x v="52"/>
    <n v="0.33333333333333331"/>
    <s v="ZG"/>
    <m/>
    <n v="172"/>
    <n v="8"/>
    <n v="6"/>
    <m/>
    <n v="96"/>
    <n v="6"/>
    <s v="https://www.zg.ch/behoerden/gesundheitsdirektion/statistikfachstelle/themen/gesundheit/corona"/>
  </r>
  <r>
    <x v="52"/>
    <n v="0.375"/>
    <s v="BS"/>
    <m/>
    <n v="918"/>
    <n v="68"/>
    <n v="7"/>
    <m/>
    <n v="720"/>
    <n v="37"/>
    <s v="https://www.gd.bs.ch//nm/2020-tagesbulletin-coronavirus-923-bestaetigte-faelle-im-kanton-basel-stadt-gd.html"/>
  </r>
  <r>
    <x v="52"/>
    <n v="0.39583333333333331"/>
    <s v="SH"/>
    <m/>
    <n v="60"/>
    <n v="8"/>
    <n v="2"/>
    <m/>
    <m/>
    <n v="1"/>
    <s v="https://sh.ch/CMS/get/file/1142c079-5d62-4035-b9ea-04901bfcdfe9"/>
  </r>
  <r>
    <x v="52"/>
    <n v="0.45833333333333331"/>
    <s v="AI"/>
    <m/>
    <n v="24"/>
    <m/>
    <m/>
    <m/>
    <m/>
    <n v="0"/>
    <s v="https://www.ai.ch/themen/gesundheit-alter-und-soziales/gesundheitsfoerderung-und-praevention/uebertragbare-krankheiten/coronavirus"/>
  </r>
  <r>
    <x v="52"/>
    <n v="0.45833333333333331"/>
    <s v="LU"/>
    <m/>
    <n v="607"/>
    <n v="40"/>
    <n v="3"/>
    <m/>
    <m/>
    <n v="14"/>
    <s v="https://gesundheit.lu.ch/themen/Humanmedizin/Infektionskrankheiten/Coronavirus"/>
  </r>
  <r>
    <x v="52"/>
    <n v="0.5"/>
    <s v="AR"/>
    <m/>
    <n v="82"/>
    <m/>
    <m/>
    <m/>
    <m/>
    <n v="3"/>
    <s v="https://www.ar.ch/verwaltung/departement-gesundheit-und-soziales/amt-fuer-gesundheit/informationsseite-coronavirus/"/>
  </r>
  <r>
    <x v="52"/>
    <n v="0.54166666666666663"/>
    <s v="GL"/>
    <m/>
    <n v="108"/>
    <n v="4"/>
    <m/>
    <m/>
    <m/>
    <n v="3"/>
    <s v="https://www.gl.ch/public/upload/assets/28096/COVID-19_Fallzahlen_Kanton_Glarus.xlsx"/>
  </r>
  <r>
    <x v="52"/>
    <n v="0.58333333333333337"/>
    <s v="UR"/>
    <m/>
    <n v="78"/>
    <n v="2"/>
    <m/>
    <m/>
    <n v="66"/>
    <n v="5"/>
    <s v="https://www.ur.ch/themen/2962"/>
  </r>
  <r>
    <x v="52"/>
    <n v="0.60416666666666663"/>
    <s v="ZH"/>
    <m/>
    <n v="3171"/>
    <n v="123"/>
    <m/>
    <n v="45"/>
    <m/>
    <n v="99"/>
    <s v="https://gd.zh.ch/internet/gesundheitsdirektion/de/themen/coronavirus.html"/>
  </r>
  <r>
    <x v="52"/>
    <n v="0.61458333333333337"/>
    <s v="AG"/>
    <m/>
    <n v="960"/>
    <n v="58"/>
    <n v="20"/>
    <n v="20"/>
    <n v="540"/>
    <n v="24"/>
    <s v="https://www.ag.ch/media/kanton_aargau/themen_1/coronavirus_1/lagebulletins/200417_KFS_Coronavirus_Lagebulletin_35.pdf"/>
  </r>
  <r>
    <x v="52"/>
    <n v="0.66666666666666663"/>
    <s v="OW"/>
    <m/>
    <n v="66"/>
    <n v="0"/>
    <m/>
    <m/>
    <m/>
    <n v="0"/>
    <s v="https://www.ow.ch/de/verwaltung/dienstleistungen/?dienst_id=5962"/>
  </r>
  <r>
    <x v="53"/>
    <m/>
    <s v="BL"/>
    <m/>
    <n v="798"/>
    <n v="44"/>
    <n v="7"/>
    <n v="5"/>
    <n v="636"/>
    <n v="25"/>
    <s v="https://www.baselland.ch/politik-und-behorden/direktionen/volkswirtschafts-und-gesundheitsdirektion/amt-fur-gesundheit/medizinische-dienste/kantonsarztlicher-dienst/aktuelles/covid-19-faelle-kanton-basel-landschaft"/>
  </r>
  <r>
    <x v="53"/>
    <m/>
    <s v="FL"/>
    <m/>
    <n v="81"/>
    <m/>
    <m/>
    <m/>
    <m/>
    <n v="1"/>
    <s v="https://www.regierung.li/media/attachments/198-corona-kein-zusaetzlicher-fall-0418.pdf?t=637228301134424983"/>
  </r>
  <r>
    <x v="53"/>
    <m/>
    <s v="FR"/>
    <m/>
    <n v="956"/>
    <n v="64"/>
    <n v="11"/>
    <m/>
    <n v="109"/>
    <n v="69"/>
    <s v="https://www.fr.ch/sites/default/files/2020-05/statistiques_situation_FR_0705.xlsx"/>
  </r>
  <r>
    <x v="53"/>
    <m/>
    <s v="GE"/>
    <n v="21576"/>
    <n v="4716"/>
    <n v="315"/>
    <n v="34"/>
    <n v="33"/>
    <n v="553"/>
    <n v="215"/>
    <s v="https://www.ge.ch/document/20094/telecharger"/>
  </r>
  <r>
    <x v="53"/>
    <m/>
    <s v="GR"/>
    <m/>
    <n v="773"/>
    <n v="29"/>
    <m/>
    <m/>
    <m/>
    <n v="40"/>
    <s v="https://www.gr.ch/DE/institutionen/verwaltung/djsg/ga/coronavirus/_layouts/15/GenericDataFeed/feed.aspx?PageID=26&amp;ID=g_1175d522_e609_4287_93af_d14c9efd5218&amp;FORMAT=JSONRAW"/>
  </r>
  <r>
    <x v="53"/>
    <m/>
    <s v="JU"/>
    <m/>
    <n v="192"/>
    <n v="17"/>
    <n v="5"/>
    <m/>
    <m/>
    <n v="3"/>
    <s v="https://www.jura.ch/Htdocs/Files/v/34356.xlsx/Departements/CHA/SIC/Carrousel/Coronavirus/Cornavirus/Chiffres/donnees_06_05.xlsx?download=1"/>
  </r>
  <r>
    <x v="53"/>
    <m/>
    <s v="NE"/>
    <m/>
    <n v="633"/>
    <n v="44"/>
    <n v="10"/>
    <n v="8"/>
    <m/>
    <n v="60"/>
    <s v="https://www.ne.ch/autorites/DFS/SCSP/medecin-cantonal/maladies-vaccinations/Documents/Covid-19-Statistiques/COVID19_PublicationInternet.xlsx"/>
  </r>
  <r>
    <x v="53"/>
    <m/>
    <s v="NW"/>
    <m/>
    <n v="108"/>
    <n v="4"/>
    <n v="2"/>
    <m/>
    <m/>
    <n v="3"/>
    <s v="http://www.nw.ch/coronastatistik"/>
  </r>
  <r>
    <x v="53"/>
    <m/>
    <s v="SG"/>
    <m/>
    <n v="699"/>
    <n v="44"/>
    <n v="7"/>
    <m/>
    <n v="150"/>
    <n v="27"/>
    <s v="https://www.sg.ch/tools/informationen-coronavirus.html"/>
  </r>
  <r>
    <x v="53"/>
    <m/>
    <s v="SZ"/>
    <m/>
    <n v="266"/>
    <m/>
    <m/>
    <m/>
    <n v="176"/>
    <n v="14"/>
    <s v="https://www.sz.ch/public/upload/assets/46502/COVID-19_Fallzahlen_Kanton_Schwyz.xlsx"/>
  </r>
  <r>
    <x v="53"/>
    <m/>
    <s v="TG"/>
    <m/>
    <n v="333"/>
    <n v="23"/>
    <n v="12"/>
    <m/>
    <m/>
    <n v="13"/>
    <s v="https://www.tg.ch/news/fachdossier-coronavirus.html/10552"/>
  </r>
  <r>
    <x v="53"/>
    <m/>
    <s v="VD"/>
    <m/>
    <n v="5052"/>
    <n v="221"/>
    <n v="49"/>
    <m/>
    <m/>
    <n v="315"/>
    <s v="https://www.vd.ch/toutes-les-actualites/hotline-et-informations-sur-le-coronavirus/point-de-situation-statistique-dans-le-canton-de-vaud/"/>
  </r>
  <r>
    <x v="53"/>
    <m/>
    <s v="VS"/>
    <m/>
    <n v="1769"/>
    <n v="84"/>
    <n v="18"/>
    <n v="10"/>
    <m/>
    <n v="104"/>
    <s v="https://www.vs.ch/de/web/coronavirus"/>
  </r>
  <r>
    <x v="53"/>
    <n v="0"/>
    <s v="SO"/>
    <m/>
    <n v="353"/>
    <n v="19"/>
    <m/>
    <m/>
    <m/>
    <n v="10"/>
    <s v="https://corona.so.ch/index.php?id=27979"/>
  </r>
  <r>
    <x v="53"/>
    <n v="0.33333333333333331"/>
    <s v="BE"/>
    <m/>
    <n v="1586"/>
    <n v="71"/>
    <n v="22"/>
    <n v="12"/>
    <m/>
    <n v="69"/>
    <s v="https://www.besondere-lage.sites.be.ch/besondere-lage_sites/de/index/corona/index.html"/>
  </r>
  <r>
    <x v="53"/>
    <n v="0.33333333333333331"/>
    <s v="TI"/>
    <m/>
    <n v="2994"/>
    <n v="244"/>
    <n v="56"/>
    <n v="42"/>
    <n v="606"/>
    <n v="277"/>
    <s v="https://www4.ti.ch/fileadmin/DSS/DSP/UMC/malattie_infettive/Coronavirus/dati/COVID19_Dati_TI_per_github.xlsx"/>
  </r>
  <r>
    <x v="53"/>
    <n v="0.33333333333333331"/>
    <s v="ZG"/>
    <m/>
    <n v="174"/>
    <n v="6"/>
    <n v="6"/>
    <m/>
    <n v="99"/>
    <n v="7"/>
    <s v="https://www.zg.ch/behoerden/gesundheitsdirektion/statistikfachstelle/themen/gesundheit/corona"/>
  </r>
  <r>
    <x v="53"/>
    <n v="0.39583333333333331"/>
    <s v="SH"/>
    <m/>
    <n v="61"/>
    <n v="11"/>
    <n v="4"/>
    <m/>
    <m/>
    <n v="1"/>
    <s v="https://sh.ch/CMS/get/file/1142c079-5d62-4035-b9ea-04901bfcdfe9"/>
  </r>
  <r>
    <x v="53"/>
    <n v="0.40625"/>
    <s v="BS"/>
    <m/>
    <n v="924"/>
    <m/>
    <m/>
    <m/>
    <n v="753"/>
    <n v="40"/>
    <s v="https://www.gd.bs.ch//nm/2020-tagesbulletin-coronavirus-929-bestaetigte-faelle-im-kanton-basel-stadt-gd.html"/>
  </r>
  <r>
    <x v="53"/>
    <n v="0.52083333333333337"/>
    <s v="LU"/>
    <m/>
    <n v="623"/>
    <n v="26"/>
    <n v="4"/>
    <m/>
    <m/>
    <n v="15"/>
    <s v="https://gesundheit.lu.ch/themen/Humanmedizin/Infektionskrankheiten/Coronavirus"/>
  </r>
  <r>
    <x v="53"/>
    <n v="0.54166666666666663"/>
    <s v="GL"/>
    <m/>
    <n v="111"/>
    <n v="4"/>
    <m/>
    <m/>
    <m/>
    <n v="3"/>
    <s v="https://www.gl.ch/public/upload/assets/28096/COVID-19_Fallzahlen_Kanton_Glarus.xlsx"/>
  </r>
  <r>
    <x v="53"/>
    <n v="0.60416666666666663"/>
    <s v="ZH"/>
    <m/>
    <n v="3211"/>
    <n v="114"/>
    <m/>
    <n v="44"/>
    <m/>
    <n v="105"/>
    <s v="https://gd.zh.ch/internet/gesundheitsdirektion/de/themen/coronavirus.html"/>
  </r>
  <r>
    <x v="53"/>
    <n v="0.61458333333333337"/>
    <s v="AG"/>
    <m/>
    <n v="987"/>
    <m/>
    <m/>
    <m/>
    <m/>
    <n v="25"/>
    <s v="https://www.ag.ch/media/kanton_aargau/themen_1/coronavirus_1/lagebulletins/200420_KFS_Coronavirus_Lagebulletin_36.pdf"/>
  </r>
  <r>
    <x v="53"/>
    <n v="0.625"/>
    <s v="UR"/>
    <m/>
    <n v="78"/>
    <n v="2"/>
    <m/>
    <m/>
    <n v="69"/>
    <n v="5"/>
    <s v="https://www.ur.ch/themen/2962"/>
  </r>
  <r>
    <x v="54"/>
    <m/>
    <s v="BL"/>
    <m/>
    <n v="803"/>
    <n v="40"/>
    <n v="7"/>
    <n v="5"/>
    <n v="653"/>
    <n v="25"/>
    <s v="https://www.baselland.ch/politik-und-behorden/direktionen/volkswirtschafts-und-gesundheitsdirektion/amt-fur-gesundheit/medizinische-dienste/kantonsarztlicher-dienst/aktuelles/covid-19-faelle-kanton-basel-landschaft"/>
  </r>
  <r>
    <x v="54"/>
    <m/>
    <s v="FL"/>
    <m/>
    <n v="81"/>
    <m/>
    <m/>
    <m/>
    <m/>
    <n v="1"/>
    <s v="https://www.regierung.li/media/attachments/199-corona-keine-neuen-faelle-0419.pdf?t=637229165752237624"/>
  </r>
  <r>
    <x v="54"/>
    <m/>
    <s v="FR"/>
    <m/>
    <n v="980"/>
    <n v="61"/>
    <n v="12"/>
    <m/>
    <n v="113"/>
    <n v="71"/>
    <s v="https://www.fr.ch/sites/default/files/2020-05/statistiques_situation_FR_0705.xlsx"/>
  </r>
  <r>
    <x v="54"/>
    <m/>
    <s v="GE"/>
    <n v="21734"/>
    <n v="4727"/>
    <n v="315"/>
    <n v="35"/>
    <n v="33"/>
    <n v="558"/>
    <n v="218"/>
    <s v="https://www.ge.ch/document/20094/telecharger"/>
  </r>
  <r>
    <x v="54"/>
    <m/>
    <s v="GR"/>
    <m/>
    <n v="778"/>
    <n v="28"/>
    <m/>
    <m/>
    <m/>
    <n v="41"/>
    <s v="https://www.gr.ch/DE/institutionen/verwaltung/djsg/ga/coronavirus/_layouts/15/GenericDataFeed/feed.aspx?PageID=26&amp;ID=g_1175d522_e609_4287_93af_d14c9efd5218&amp;FORMAT=JSONRAW"/>
  </r>
  <r>
    <x v="54"/>
    <m/>
    <s v="JU"/>
    <m/>
    <n v="192"/>
    <n v="16"/>
    <n v="5"/>
    <m/>
    <m/>
    <n v="5"/>
    <s v="https://www.jura.ch/Htdocs/Files/v/34356.xlsx/Departements/CHA/SIC/Carrousel/Coronavirus/Cornavirus/Chiffres/donnees_06_05.xlsx?download=1"/>
  </r>
  <r>
    <x v="54"/>
    <m/>
    <s v="NE"/>
    <m/>
    <n v="634"/>
    <n v="43"/>
    <n v="9"/>
    <n v="4"/>
    <m/>
    <n v="62"/>
    <s v="https://www.ne.ch/autorites/DFS/SCSP/medecin-cantonal/maladies-vaccinations/Documents/Covid-19-Statistiques/COVID19_PublicationInternet.xlsx"/>
  </r>
  <r>
    <x v="54"/>
    <m/>
    <s v="NW"/>
    <m/>
    <n v="108"/>
    <n v="4"/>
    <n v="2"/>
    <m/>
    <m/>
    <n v="3"/>
    <s v="http://www.nw.ch/coronastatistik"/>
  </r>
  <r>
    <x v="54"/>
    <m/>
    <s v="SG"/>
    <m/>
    <n v="705"/>
    <n v="45"/>
    <n v="7"/>
    <m/>
    <n v="150"/>
    <n v="27"/>
    <s v="https://www.sg.ch/tools/informationen-coronavirus.html"/>
  </r>
  <r>
    <x v="54"/>
    <m/>
    <s v="SZ"/>
    <m/>
    <n v="268"/>
    <m/>
    <m/>
    <m/>
    <n v="180"/>
    <n v="15"/>
    <s v="https://www.sz.ch/public/upload/assets/46502/COVID-19_Fallzahlen_Kanton_Schwyz.xlsx"/>
  </r>
  <r>
    <x v="54"/>
    <m/>
    <s v="TG"/>
    <m/>
    <n v="334"/>
    <n v="23"/>
    <n v="12"/>
    <m/>
    <m/>
    <n v="13"/>
    <s v="https://www.tg.ch/news/fachdossier-coronavirus.html/10552"/>
  </r>
  <r>
    <x v="54"/>
    <m/>
    <s v="VD"/>
    <m/>
    <n v="5063"/>
    <n v="222"/>
    <n v="48"/>
    <m/>
    <m/>
    <n v="320"/>
    <s v="https://www.vd.ch/toutes-les-actualites/hotline-et-informations-sur-le-coronavirus/point-de-situation-statistique-dans-le-canton-de-vaud/"/>
  </r>
  <r>
    <x v="54"/>
    <m/>
    <s v="VS"/>
    <m/>
    <n v="1776"/>
    <n v="82"/>
    <n v="16"/>
    <n v="9"/>
    <m/>
    <n v="107"/>
    <s v="https://www.vs.ch/de/web/coronavirus"/>
  </r>
  <r>
    <x v="54"/>
    <n v="0"/>
    <s v="SO"/>
    <m/>
    <n v="355"/>
    <n v="19"/>
    <m/>
    <m/>
    <m/>
    <n v="11"/>
    <s v="https://corona.so.ch/index.php?id=27979"/>
  </r>
  <r>
    <x v="54"/>
    <n v="0.33333333333333331"/>
    <s v="BE"/>
    <m/>
    <n v="1599"/>
    <n v="78"/>
    <n v="20"/>
    <n v="13"/>
    <m/>
    <n v="69"/>
    <s v="https://www.besondere-lage.sites.be.ch/besondere-lage_sites/de/index/corona/index.html"/>
  </r>
  <r>
    <x v="54"/>
    <n v="0.33333333333333331"/>
    <s v="TI"/>
    <m/>
    <n v="3032"/>
    <n v="237"/>
    <n v="54"/>
    <n v="42"/>
    <n v="616"/>
    <n v="281"/>
    <s v="https://www4.ti.ch/fileadmin/DSS/DSP/UMC/malattie_infettive/Coronavirus/dati/COVID19_Dati_TI_per_github.xlsx"/>
  </r>
  <r>
    <x v="54"/>
    <n v="0.33333333333333331"/>
    <s v="ZG"/>
    <m/>
    <n v="175"/>
    <n v="11"/>
    <n v="6"/>
    <m/>
    <n v="99"/>
    <n v="7"/>
    <s v="https://www.zg.ch/behoerden/gesundheitsdirektion/statistikfachstelle/themen/gesundheit/corona"/>
  </r>
  <r>
    <x v="54"/>
    <n v="0.39583333333333331"/>
    <s v="SH"/>
    <m/>
    <n v="62"/>
    <n v="6"/>
    <n v="2"/>
    <m/>
    <m/>
    <n v="1"/>
    <s v="https://sh.ch/CMS/get/file/1142c079-5d62-4035-b9ea-04901bfcdfe9"/>
  </r>
  <r>
    <x v="54"/>
    <n v="0.41666666666666669"/>
    <s v="BS"/>
    <m/>
    <n v="927"/>
    <m/>
    <m/>
    <m/>
    <n v="764"/>
    <n v="40"/>
    <s v="https://www.gd.bs.ch//nm/2020-tagesbulletin-coronavirus-932-bestaetigte-faelle-im-kanton-basel-stadt-gd.html"/>
  </r>
  <r>
    <x v="54"/>
    <n v="0.45833333333333331"/>
    <s v="AI"/>
    <m/>
    <n v="24"/>
    <m/>
    <m/>
    <m/>
    <m/>
    <n v="0"/>
    <s v="https://www.ai.ch/themen/gesundheit-alter-und-soziales/gesundheitsfoerderung-und-praevention/uebertragbare-krankheiten/coronavirus"/>
  </r>
  <r>
    <x v="54"/>
    <n v="0.45833333333333331"/>
    <s v="LU"/>
    <m/>
    <n v="626"/>
    <n v="26"/>
    <n v="4"/>
    <m/>
    <m/>
    <n v="15"/>
    <s v="https://gesundheit.lu.ch/themen/Humanmedizin/Infektionskrankheiten/Coronavirus"/>
  </r>
  <r>
    <x v="54"/>
    <n v="0.54166666666666663"/>
    <s v="GL"/>
    <m/>
    <n v="111"/>
    <n v="4"/>
    <m/>
    <m/>
    <m/>
    <n v="3"/>
    <s v="https://www.gl.ch/public/upload/assets/28096/COVID-19_Fallzahlen_Kanton_Glarus.xlsx"/>
  </r>
  <r>
    <x v="54"/>
    <n v="0.54166666666666663"/>
    <s v="UR"/>
    <m/>
    <n v="78"/>
    <n v="2"/>
    <m/>
    <m/>
    <n v="69"/>
    <n v="5"/>
    <s v="https://www.ur.ch/themen/2962"/>
  </r>
  <r>
    <x v="54"/>
    <n v="0.60416666666666663"/>
    <s v="ZH"/>
    <m/>
    <n v="3238"/>
    <n v="116"/>
    <m/>
    <n v="43"/>
    <m/>
    <n v="105"/>
    <s v="https://gd.zh.ch/internet/gesundheitsdirektion/de/themen/coronavirus.html"/>
  </r>
  <r>
    <x v="54"/>
    <n v="0.61458333333333337"/>
    <s v="AG"/>
    <m/>
    <n v="1003"/>
    <m/>
    <m/>
    <m/>
    <m/>
    <n v="25"/>
    <s v="https://www.ag.ch/media/kanton_aargau/themen_1/coronavirus_1/lagebulletins/200420_KFS_Coronavirus_Lagebulletin_36.pdf"/>
  </r>
  <r>
    <x v="55"/>
    <m/>
    <s v="BL"/>
    <m/>
    <n v="806"/>
    <n v="40"/>
    <n v="6"/>
    <n v="3"/>
    <n v="664"/>
    <n v="25"/>
    <s v="https://www.baselland.ch/politik-und-behorden/direktionen/volkswirtschafts-und-gesundheitsdirektion/amt-fur-gesundheit/medizinische-dienste/kantonsarztlicher-dienst/aktuelles/covid-19-faelle-kanton-basel-landschaft"/>
  </r>
  <r>
    <x v="55"/>
    <m/>
    <s v="FL"/>
    <m/>
    <n v="81"/>
    <m/>
    <m/>
    <m/>
    <m/>
    <n v="1"/>
    <s v="https://www.regierung.li/de/mitteilungen/223410/?typ=news"/>
  </r>
  <r>
    <x v="55"/>
    <m/>
    <s v="FR"/>
    <m/>
    <n v="989"/>
    <n v="62"/>
    <n v="11"/>
    <m/>
    <n v="113"/>
    <n v="72"/>
    <s v="https://www.fr.ch/sites/default/files/2020-05/statistiques_situation_FR_0705.xlsx"/>
  </r>
  <r>
    <x v="55"/>
    <m/>
    <s v="GE"/>
    <n v="22105"/>
    <n v="4754"/>
    <n v="321"/>
    <n v="34"/>
    <n v="29"/>
    <n v="561"/>
    <n v="220"/>
    <s v="https://www.ge.ch/document/20094/telecharger"/>
  </r>
  <r>
    <x v="55"/>
    <m/>
    <s v="GR"/>
    <m/>
    <n v="785"/>
    <n v="29"/>
    <m/>
    <m/>
    <m/>
    <n v="42"/>
    <s v="https://www.gr.ch/DE/institutionen/verwaltung/djsg/ga/coronavirus/_layouts/15/GenericDataFeed/feed.aspx?PageID=26&amp;ID=g_1175d522_e609_4287_93af_d14c9efd5218&amp;FORMAT=JSONRAW"/>
  </r>
  <r>
    <x v="55"/>
    <m/>
    <s v="JU"/>
    <m/>
    <n v="195"/>
    <n v="14"/>
    <n v="4"/>
    <m/>
    <m/>
    <n v="6"/>
    <s v="https://www.jura.ch/Htdocs/Files/v/34356.xlsx/Departements/CHA/SIC/Carrousel/Coronavirus/Cornavirus/Chiffres/donnees_06_05.xlsx?download=1"/>
  </r>
  <r>
    <x v="55"/>
    <m/>
    <s v="NE"/>
    <m/>
    <n v="643"/>
    <n v="44"/>
    <n v="10"/>
    <n v="5"/>
    <m/>
    <n v="65"/>
    <s v="https://www.ne.ch/autorites/DFS/SCSP/medecin-cantonal/maladies-vaccinations/Documents/Covid-19-Statistiques/COVID19_PublicationInternet.xlsx"/>
  </r>
  <r>
    <x v="55"/>
    <m/>
    <s v="NW"/>
    <m/>
    <n v="108"/>
    <n v="4"/>
    <n v="2"/>
    <m/>
    <m/>
    <n v="3"/>
    <s v="http://www.nw.ch/coronastatistik"/>
  </r>
  <r>
    <x v="55"/>
    <m/>
    <s v="SG"/>
    <m/>
    <n v="711"/>
    <n v="42"/>
    <n v="7"/>
    <m/>
    <n v="159"/>
    <n v="27"/>
    <s v="https://www.sg.ch/tools/informationen-coronavirus.html"/>
  </r>
  <r>
    <x v="55"/>
    <m/>
    <s v="SZ"/>
    <m/>
    <n v="272"/>
    <m/>
    <m/>
    <m/>
    <n v="180"/>
    <n v="15"/>
    <s v="https://www.sz.ch/public/upload/assets/46502/COVID-19_Fallzahlen_Kanton_Schwyz.xlsx"/>
  </r>
  <r>
    <x v="55"/>
    <m/>
    <s v="TG"/>
    <m/>
    <n v="336"/>
    <n v="24"/>
    <n v="12"/>
    <m/>
    <m/>
    <n v="13"/>
    <s v="https://www.tg.ch/news/fachdossier-coronavirus.html/10552"/>
  </r>
  <r>
    <x v="55"/>
    <m/>
    <s v="VD"/>
    <m/>
    <n v="5095"/>
    <n v="205"/>
    <n v="42"/>
    <m/>
    <m/>
    <n v="331"/>
    <s v="https://www.vd.ch/toutes-les-actualites/hotline-et-informations-sur-le-coronavirus/point-de-situation-statistique-dans-le-canton-de-vaud/"/>
  </r>
  <r>
    <x v="55"/>
    <m/>
    <s v="VS"/>
    <m/>
    <n v="1793"/>
    <n v="79"/>
    <n v="15"/>
    <n v="9"/>
    <m/>
    <n v="110"/>
    <s v="https://www.vs.ch/de/web/coronavirus"/>
  </r>
  <r>
    <x v="55"/>
    <n v="0"/>
    <s v="SO"/>
    <m/>
    <n v="355"/>
    <n v="19"/>
    <m/>
    <m/>
    <m/>
    <n v="11"/>
    <s v="https://corona.so.ch/index.php?id=27979"/>
  </r>
  <r>
    <x v="55"/>
    <n v="0.33333333333333331"/>
    <s v="BE"/>
    <m/>
    <n v="1613"/>
    <n v="71"/>
    <n v="19"/>
    <n v="11"/>
    <m/>
    <n v="73"/>
    <s v="https://www.besondere-lage.sites.be.ch/besondere-lage_sites/de/index/corona/index.html"/>
  </r>
  <r>
    <x v="55"/>
    <n v="0.33333333333333331"/>
    <s v="TI"/>
    <m/>
    <n v="3058"/>
    <n v="237"/>
    <n v="55"/>
    <n v="42"/>
    <n v="621"/>
    <n v="288"/>
    <s v="https://www4.ti.ch/fileadmin/DSS/DSP/UMC/malattie_infettive/Coronavirus/dati/COVID19_Dati_TI_per_github.xlsx"/>
  </r>
  <r>
    <x v="55"/>
    <n v="0.33333333333333331"/>
    <s v="ZG"/>
    <m/>
    <n v="175"/>
    <n v="11"/>
    <n v="5"/>
    <m/>
    <n v="99"/>
    <n v="7"/>
    <s v="https://www.zg.ch/behoerden/gesundheitsdirektion/statistikfachstelle/themen/gesundheit/corona"/>
  </r>
  <r>
    <x v="55"/>
    <n v="0.39583333333333331"/>
    <s v="BS"/>
    <m/>
    <n v="928"/>
    <m/>
    <m/>
    <m/>
    <n v="770"/>
    <n v="42"/>
    <s v="https://www.gd.bs.ch//nm/2020-tagesbulletin-coronavirus-933-bestaetigte-faelle-im-kanton-basel-stadt-gd.html"/>
  </r>
  <r>
    <x v="55"/>
    <n v="0.39583333333333331"/>
    <s v="SH"/>
    <m/>
    <n v="63"/>
    <n v="6"/>
    <n v="2"/>
    <m/>
    <m/>
    <n v="1"/>
    <s v="https://sh.ch/CMS/get/file/1142c079-5d62-4035-b9ea-04901bfcdfe9"/>
  </r>
  <r>
    <x v="55"/>
    <n v="0.45833333333333331"/>
    <s v="AI"/>
    <m/>
    <n v="24"/>
    <m/>
    <m/>
    <m/>
    <m/>
    <n v="0"/>
    <s v="https://www.ai.ch/themen/gesundheit-alter-und-soziales/gesundheitsfoerderung-und-praevention/uebertragbare-krankheiten/coronavirus"/>
  </r>
  <r>
    <x v="55"/>
    <n v="0.45833333333333331"/>
    <s v="LU"/>
    <m/>
    <n v="633"/>
    <n v="33"/>
    <n v="5"/>
    <m/>
    <m/>
    <n v="15"/>
    <s v="https://gesundheit.lu.ch/themen/Humanmedizin/Infektionskrankheiten/Coronavirus"/>
  </r>
  <r>
    <x v="55"/>
    <n v="0.54166666666666663"/>
    <s v="AR"/>
    <m/>
    <n v="86"/>
    <m/>
    <m/>
    <m/>
    <m/>
    <n v="3"/>
    <s v="https://www.ar.ch/verwaltung/departement-gesundheit-und-soziales/amt-fuer-gesundheit/informationsseite-coronavirus/"/>
  </r>
  <r>
    <x v="55"/>
    <n v="0.54166666666666663"/>
    <s v="GL"/>
    <m/>
    <n v="114"/>
    <n v="5"/>
    <m/>
    <m/>
    <m/>
    <n v="5"/>
    <s v="https://www.gl.ch/public/upload/assets/28096/COVID-19_Fallzahlen_Kanton_Glarus.xlsx"/>
  </r>
  <r>
    <x v="55"/>
    <n v="0.58333333333333337"/>
    <s v="UR"/>
    <m/>
    <n v="78"/>
    <n v="2"/>
    <m/>
    <m/>
    <n v="69"/>
    <n v="5"/>
    <s v="https://www.ur.ch/themen/2962"/>
  </r>
  <r>
    <x v="55"/>
    <n v="0.60416666666666663"/>
    <s v="ZH"/>
    <m/>
    <n v="3254"/>
    <n v="121"/>
    <m/>
    <n v="43"/>
    <m/>
    <n v="107"/>
    <s v="https://gd.zh.ch/internet/gesundheitsdirektion/de/themen/coronavirus.html"/>
  </r>
  <r>
    <x v="55"/>
    <n v="0.61458333333333337"/>
    <s v="AG"/>
    <m/>
    <n v="1012"/>
    <n v="45"/>
    <n v="16"/>
    <n v="16"/>
    <n v="640"/>
    <n v="28"/>
    <s v="https://www.ag.ch/media/kanton_aargau/themen_1/coronavirus_1/lagebulletins/200420_KFS_Coronavirus_Lagebulletin_36.pdf"/>
  </r>
  <r>
    <x v="55"/>
    <n v="0.625"/>
    <s v="OW"/>
    <m/>
    <n v="67"/>
    <n v="0"/>
    <m/>
    <m/>
    <m/>
    <n v="0"/>
    <s v="https://www.ow.ch/de/verwaltung/dienstleistungen/?dienst_id=5962"/>
  </r>
  <r>
    <x v="56"/>
    <m/>
    <s v="BL"/>
    <m/>
    <n v="809"/>
    <n v="33"/>
    <n v="3"/>
    <n v="3"/>
    <n v="679"/>
    <n v="26"/>
    <s v="https://www.baselland.ch/politik-und-behorden/direktionen/volkswirtschafts-und-gesundheitsdirektion/amt-fur-gesundheit/medizinische-dienste/kantonsarztlicher-dienst/aktuelles/covid-19-faelle-kanton-basel-landschaft"/>
  </r>
  <r>
    <x v="56"/>
    <m/>
    <s v="FL"/>
    <m/>
    <n v="81"/>
    <m/>
    <m/>
    <m/>
    <m/>
    <n v="1"/>
    <s v="https://www.regierung.li/media/attachments/207-corona-keine-neuen-Faelle-0421.pdf?t=637230900737305962"/>
  </r>
  <r>
    <x v="56"/>
    <m/>
    <s v="FR"/>
    <m/>
    <n v="995"/>
    <n v="60"/>
    <n v="8"/>
    <m/>
    <n v="115"/>
    <n v="74"/>
    <s v="https://www.fr.ch/sites/default/files/2020-05/statistiques_situation_FR_0705.xlsx"/>
  </r>
  <r>
    <x v="56"/>
    <m/>
    <s v="GE"/>
    <n v="22579"/>
    <n v="4784"/>
    <n v="304"/>
    <n v="32"/>
    <n v="29"/>
    <n v="581"/>
    <n v="225"/>
    <s v="https://www.ge.ch/document/20094/telecharger"/>
  </r>
  <r>
    <x v="56"/>
    <m/>
    <s v="GR"/>
    <m/>
    <n v="787"/>
    <n v="27"/>
    <m/>
    <m/>
    <m/>
    <n v="43"/>
    <s v="https://www.gr.ch/DE/institutionen/verwaltung/djsg/ga/coronavirus/_layouts/15/GenericDataFeed/feed.aspx?PageID=26&amp;ID=g_1175d522_e609_4287_93af_d14c9efd5218&amp;FORMAT=JSONRAW"/>
  </r>
  <r>
    <x v="56"/>
    <m/>
    <s v="JU"/>
    <m/>
    <n v="195"/>
    <n v="12"/>
    <n v="4"/>
    <m/>
    <m/>
    <n v="6"/>
    <s v="https://www.jura.ch/Htdocs/Files/v/34356.xlsx/Departements/CHA/SIC/Carrousel/Coronavirus/Cornavirus/Chiffres/donnees_06_05.xlsx?download=1"/>
  </r>
  <r>
    <x v="56"/>
    <m/>
    <s v="NE"/>
    <m/>
    <n v="648"/>
    <n v="37"/>
    <n v="7"/>
    <n v="4"/>
    <m/>
    <n v="66"/>
    <s v="https://www.ne.ch/autorites/DFS/SCSP/medecin-cantonal/maladies-vaccinations/Documents/Covid-19-Statistiques/COVID19_PublicationInternet.xlsx"/>
  </r>
  <r>
    <x v="56"/>
    <m/>
    <s v="NW"/>
    <m/>
    <n v="108"/>
    <n v="4"/>
    <n v="1"/>
    <m/>
    <m/>
    <n v="3"/>
    <s v="http://www.nw.ch/coronastatistik"/>
  </r>
  <r>
    <x v="56"/>
    <m/>
    <s v="SG"/>
    <m/>
    <n v="718"/>
    <n v="48"/>
    <n v="8"/>
    <m/>
    <n v="159"/>
    <n v="29"/>
    <s v="https://www.sg.ch/tools/informationen-coronavirus.html"/>
  </r>
  <r>
    <x v="56"/>
    <m/>
    <s v="TG"/>
    <m/>
    <n v="340"/>
    <n v="24"/>
    <n v="12"/>
    <m/>
    <m/>
    <n v="13"/>
    <s v="https://www.tg.ch/news/fachdossier-coronavirus.html/10552"/>
  </r>
  <r>
    <x v="56"/>
    <m/>
    <s v="VD"/>
    <m/>
    <n v="5127"/>
    <n v="192"/>
    <n v="42"/>
    <m/>
    <m/>
    <n v="339"/>
    <s v="https://www.vd.ch/toutes-les-actualites/hotline-et-informations-sur-le-coronavirus/point-de-situation-statistique-dans-le-canton-de-vaud/"/>
  </r>
  <r>
    <x v="56"/>
    <m/>
    <s v="VS"/>
    <m/>
    <n v="1800"/>
    <n v="76"/>
    <n v="14"/>
    <n v="10"/>
    <m/>
    <n v="115"/>
    <s v="https://www.vs.ch/de/web/coronavirus"/>
  </r>
  <r>
    <x v="56"/>
    <n v="0"/>
    <s v="SO"/>
    <m/>
    <n v="359"/>
    <n v="19"/>
    <m/>
    <m/>
    <m/>
    <n v="11"/>
    <s v="https://corona.so.ch/index.php?id=27979"/>
  </r>
  <r>
    <x v="56"/>
    <n v="0.33333333333333331"/>
    <s v="BE"/>
    <m/>
    <n v="1622"/>
    <n v="66"/>
    <n v="17"/>
    <n v="11"/>
    <m/>
    <n v="77"/>
    <s v="https://www.besondere-lage.sites.be.ch/besondere-lage_sites/de/index/corona/index.html"/>
  </r>
  <r>
    <x v="56"/>
    <n v="0.33333333333333331"/>
    <s v="TI"/>
    <m/>
    <n v="3065"/>
    <n v="236"/>
    <n v="54"/>
    <n v="36"/>
    <n v="639"/>
    <n v="291"/>
    <s v="https://www4.ti.ch/fileadmin/DSS/DSP/UMC/malattie_infettive/Coronavirus/dati/COVID19_Dati_TI_per_github.xlsx"/>
  </r>
  <r>
    <x v="56"/>
    <n v="0.33333333333333331"/>
    <s v="ZG"/>
    <m/>
    <n v="176"/>
    <n v="9"/>
    <n v="4"/>
    <m/>
    <n v="99"/>
    <n v="8"/>
    <s v="https://www.zg.ch/behoerden/gesundheitsdirektion/statistikfachstelle/themen/gesundheit/corona"/>
  </r>
  <r>
    <x v="56"/>
    <n v="0.38541666666666669"/>
    <s v="BS"/>
    <m/>
    <n v="928"/>
    <n v="54"/>
    <n v="9"/>
    <m/>
    <n v="781"/>
    <n v="44"/>
    <s v="https://www.gd.bs.ch//nm/2020-tagesbulletin-coronavirus-933-bestaetigte-faelle-im-kanton-basel-stadt-gd-2.html"/>
  </r>
  <r>
    <x v="56"/>
    <n v="0.39583333333333331"/>
    <s v="SH"/>
    <m/>
    <n v="63"/>
    <n v="10"/>
    <n v="2"/>
    <m/>
    <m/>
    <n v="2"/>
    <s v="https://sh.ch/CMS/get/file/1142c079-5d62-4035-b9ea-04901bfcdfe9"/>
  </r>
  <r>
    <x v="56"/>
    <n v="0.41666666666666669"/>
    <s v="SZ"/>
    <m/>
    <n v="276"/>
    <m/>
    <m/>
    <m/>
    <n v="192"/>
    <n v="16"/>
    <s v="https://www.sz.ch/public/upload/assets/46502/COVID-19_Fallzahlen_Kanton_Schwyz.xlsx"/>
  </r>
  <r>
    <x v="56"/>
    <n v="0.45833333333333331"/>
    <s v="AI"/>
    <m/>
    <n v="24"/>
    <m/>
    <m/>
    <m/>
    <m/>
    <n v="0"/>
    <s v="https://www.ai.ch/themen/gesundheit-alter-und-soziales/gesundheitsfoerderung-und-praevention/uebertragbare-krankheiten/coronavirus"/>
  </r>
  <r>
    <x v="56"/>
    <n v="0.47916666666666669"/>
    <s v="OW"/>
    <m/>
    <n v="67"/>
    <n v="0"/>
    <m/>
    <m/>
    <m/>
    <n v="0"/>
    <s v="https://www.ow.ch/de/verwaltung/dienstleistungen/?dienst_id=5962"/>
  </r>
  <r>
    <x v="56"/>
    <n v="0.5"/>
    <s v="LU"/>
    <m/>
    <n v="643"/>
    <n v="35"/>
    <n v="5"/>
    <m/>
    <m/>
    <n v="15"/>
    <s v="https://gesundheit.lu.ch/themen/Humanmedizin/Infektionskrankheiten/Coronavirus"/>
  </r>
  <r>
    <x v="56"/>
    <n v="0.54166666666666663"/>
    <s v="AR"/>
    <m/>
    <n v="86"/>
    <m/>
    <m/>
    <m/>
    <m/>
    <n v="3"/>
    <s v="https://www.ar.ch/verwaltung/departement-gesundheit-und-soziales/amt-fuer-gesundheit/informationsseite-coronavirus/"/>
  </r>
  <r>
    <x v="56"/>
    <n v="0.5625"/>
    <s v="GL"/>
    <m/>
    <n v="115"/>
    <n v="3"/>
    <m/>
    <m/>
    <m/>
    <n v="6"/>
    <s v="https://www.gl.ch/public/upload/assets/28096/COVID-19_Fallzahlen_Kanton_Glarus.xlsx"/>
  </r>
  <r>
    <x v="56"/>
    <n v="0.60416666666666663"/>
    <s v="ZH"/>
    <m/>
    <n v="3280"/>
    <n v="110"/>
    <m/>
    <n v="41"/>
    <m/>
    <n v="109"/>
    <s v="https://gd.zh.ch/internet/gesundheitsdirektion/de/themen/coronavirus.html"/>
  </r>
  <r>
    <x v="56"/>
    <n v="0.61458333333333337"/>
    <s v="AG"/>
    <m/>
    <n v="1017"/>
    <n v="43"/>
    <n v="18"/>
    <n v="18"/>
    <n v="680"/>
    <n v="29"/>
    <s v="https://www.ag.ch/media/kanton_aargau/themen_1/coronavirus_1/lagebulletins/200421_KFS_Coronavirus_Lagebulletin_37.pdf"/>
  </r>
  <r>
    <x v="56"/>
    <n v="0.70833333333333337"/>
    <s v="UR"/>
    <m/>
    <n v="78"/>
    <n v="2"/>
    <m/>
    <m/>
    <n v="69"/>
    <n v="5"/>
    <s v="https://www.ur.ch/themen/2962"/>
  </r>
  <r>
    <x v="57"/>
    <m/>
    <s v="BL"/>
    <m/>
    <n v="811"/>
    <n v="33"/>
    <n v="3"/>
    <n v="3"/>
    <n v="683"/>
    <n v="26"/>
    <s v="https://www.baselland.ch/politik-und-behorden/direktionen/volkswirtschafts-und-gesundheitsdirektion/amt-fur-gesundheit/medizinische-dienste/kantonsarztlicher-dienst/aktuelles/covid-19-faelle-kanton-basel-landschaft"/>
  </r>
  <r>
    <x v="57"/>
    <m/>
    <s v="FL"/>
    <m/>
    <n v="81"/>
    <m/>
    <m/>
    <m/>
    <m/>
    <n v="1"/>
    <s v="https://www.regierung.li/de/mitteilungen/223419/?typ=news"/>
  </r>
  <r>
    <x v="57"/>
    <m/>
    <s v="FR"/>
    <m/>
    <n v="1006"/>
    <n v="57"/>
    <n v="5"/>
    <m/>
    <n v="116"/>
    <n v="76"/>
    <s v="https://www.fr.ch/sites/default/files/2020-05/statistiques_situation_FR_0705.xlsx"/>
  </r>
  <r>
    <x v="57"/>
    <m/>
    <s v="GE"/>
    <n v="22938"/>
    <n v="4809"/>
    <n v="288"/>
    <n v="30"/>
    <n v="27"/>
    <n v="589"/>
    <n v="230"/>
    <s v="https://www.ge.ch/document/20094/telecharger"/>
  </r>
  <r>
    <x v="57"/>
    <m/>
    <s v="GR"/>
    <m/>
    <n v="791"/>
    <n v="26"/>
    <m/>
    <m/>
    <m/>
    <n v="43"/>
    <s v="https://www.gr.ch/DE/institutionen/verwaltung/djsg/ga/coronavirus/_layouts/15/GenericDataFeed/feed.aspx?PageID=26&amp;ID=g_1175d522_e609_4287_93af_d14c9efd5218&amp;FORMAT=JSONRAW"/>
  </r>
  <r>
    <x v="57"/>
    <m/>
    <s v="JU"/>
    <m/>
    <n v="196"/>
    <n v="12"/>
    <n v="4"/>
    <m/>
    <m/>
    <n v="6"/>
    <s v="https://www.jura.ch/Htdocs/Files/v/34356.xlsx/Departements/CHA/SIC/Carrousel/Coronavirus/Cornavirus/Chiffres/donnees_06_05.xlsx?download=1"/>
  </r>
  <r>
    <x v="57"/>
    <m/>
    <s v="NE"/>
    <m/>
    <n v="655"/>
    <n v="37"/>
    <n v="6"/>
    <n v="4"/>
    <m/>
    <n v="68"/>
    <s v="https://www.ne.ch/autorites/DFS/SCSP/medecin-cantonal/maladies-vaccinations/Documents/Covid-19-Statistiques/COVID19_PublicationInternet.xlsx"/>
  </r>
  <r>
    <x v="57"/>
    <m/>
    <s v="NW"/>
    <m/>
    <n v="108"/>
    <n v="4"/>
    <n v="1"/>
    <m/>
    <m/>
    <n v="3"/>
    <s v="http://www.nw.ch/coronastatistik"/>
  </r>
  <r>
    <x v="57"/>
    <m/>
    <s v="SG"/>
    <m/>
    <n v="724"/>
    <n v="52"/>
    <n v="6"/>
    <m/>
    <n v="162"/>
    <n v="29"/>
    <s v="https://www.sg.ch/tools/informationen-coronavirus.html"/>
  </r>
  <r>
    <x v="57"/>
    <m/>
    <s v="TG"/>
    <m/>
    <n v="341"/>
    <n v="23"/>
    <n v="9"/>
    <m/>
    <m/>
    <n v="14"/>
    <s v="https://www.tg.ch/news/fachdossier-coronavirus.html/10552"/>
  </r>
  <r>
    <x v="57"/>
    <m/>
    <s v="VD"/>
    <m/>
    <n v="5148"/>
    <n v="180"/>
    <n v="41"/>
    <m/>
    <m/>
    <n v="344"/>
    <s v="https://www.vd.ch/toutes-les-actualites/hotline-et-informations-sur-le-coronavirus/point-de-situation-statistique-dans-le-canton-de-vaud/"/>
  </r>
  <r>
    <x v="57"/>
    <m/>
    <s v="VS"/>
    <m/>
    <n v="1806"/>
    <n v="77"/>
    <n v="13"/>
    <n v="10"/>
    <m/>
    <n v="118"/>
    <s v="https://www.vs.ch/de/web/coronavirus"/>
  </r>
  <r>
    <x v="57"/>
    <n v="0"/>
    <s v="SO"/>
    <m/>
    <n v="368"/>
    <n v="18"/>
    <m/>
    <m/>
    <m/>
    <n v="11"/>
    <s v="https://corona.so.ch/index.php?id=27979"/>
  </r>
  <r>
    <x v="57"/>
    <n v="0.33333333333333331"/>
    <s v="BE"/>
    <m/>
    <n v="1643"/>
    <n v="67"/>
    <n v="14"/>
    <n v="10"/>
    <m/>
    <n v="77"/>
    <s v="https://www.besondere-lage.sites.be.ch/besondere-lage_sites/de/index/corona/index.html"/>
  </r>
  <r>
    <x v="57"/>
    <n v="0.33333333333333331"/>
    <s v="TI"/>
    <m/>
    <n v="3089"/>
    <n v="213"/>
    <n v="42"/>
    <n v="32"/>
    <n v="661"/>
    <n v="295"/>
    <s v="https://www4.ti.ch/fileadmin/DSS/DSP/UMC/malattie_infettive/Coronavirus/dati/COVID19_Dati_TI_per_github.xlsx"/>
  </r>
  <r>
    <x v="57"/>
    <n v="0.33333333333333331"/>
    <s v="ZG"/>
    <m/>
    <n v="176"/>
    <n v="6"/>
    <n v="3"/>
    <m/>
    <n v="131"/>
    <n v="8"/>
    <s v="https://www.zg.ch/behoerden/gesundheitsdirektion/statistikfachstelle/themen/gesundheit/corona"/>
  </r>
  <r>
    <x v="57"/>
    <n v="0.39583333333333331"/>
    <s v="SH"/>
    <m/>
    <n v="63"/>
    <n v="10"/>
    <n v="2"/>
    <m/>
    <m/>
    <n v="3"/>
    <s v="https://sh.ch/CMS/get/file/1142c079-5d62-4035-b9ea-04901bfcdfe9"/>
  </r>
  <r>
    <x v="57"/>
    <n v="0.40625"/>
    <s v="BS"/>
    <m/>
    <n v="928"/>
    <n v="49"/>
    <n v="7"/>
    <m/>
    <n v="786"/>
    <n v="45"/>
    <s v="https://www.gd.bs.ch//nm/2020-tagesbulletin-coronavirus-933-bestaetigte-faelle-im-kanton-basel-stadt-gd-3.html"/>
  </r>
  <r>
    <x v="57"/>
    <n v="0.41666666666666669"/>
    <s v="SZ"/>
    <m/>
    <n v="282"/>
    <m/>
    <m/>
    <m/>
    <n v="194"/>
    <n v="16"/>
    <s v="https://www.sz.ch/public/upload/assets/46502/COVID-19_Fallzahlen_Kanton_Schwyz.xlsx"/>
  </r>
  <r>
    <x v="57"/>
    <n v="0.45833333333333331"/>
    <s v="AI"/>
    <m/>
    <n v="24"/>
    <m/>
    <m/>
    <m/>
    <m/>
    <n v="0"/>
    <s v="https://www.ai.ch/themen/gesundheit-alter-und-soziales/gesundheitsfoerderung-und-praevention/uebertragbare-krankheiten/coronavirus"/>
  </r>
  <r>
    <x v="57"/>
    <n v="0.45833333333333331"/>
    <s v="LU"/>
    <m/>
    <n v="648"/>
    <m/>
    <m/>
    <m/>
    <m/>
    <n v="15"/>
    <s v="https://gesundheit.lu.ch/themen/Humanmedizin/Infektionskrankheiten/Coronavirus"/>
  </r>
  <r>
    <x v="57"/>
    <n v="0.5625"/>
    <s v="GL"/>
    <m/>
    <n v="117"/>
    <n v="3"/>
    <m/>
    <m/>
    <m/>
    <n v="6"/>
    <s v="https://www.gl.ch/public/upload/assets/28096/COVID-19_Fallzahlen_Kanton_Glarus.xlsx"/>
  </r>
  <r>
    <x v="57"/>
    <n v="0.60416666666666663"/>
    <s v="ZH"/>
    <m/>
    <n v="3320"/>
    <n v="110"/>
    <m/>
    <n v="44"/>
    <m/>
    <n v="110"/>
    <s v="https://gd.zh.ch/internet/gesundheitsdirektion/de/themen/coronavirus.html"/>
  </r>
  <r>
    <x v="57"/>
    <n v="0.61458333333333337"/>
    <s v="AG"/>
    <m/>
    <n v="1026"/>
    <n v="37"/>
    <n v="15"/>
    <n v="15"/>
    <n v="710"/>
    <n v="31"/>
    <s v="https://www.ag.ch/media/kanton_aargau/themen_1/coronavirus_1/lagebulletins/200422_KFS_Coronavirus_Lagebulletin_38.pdf"/>
  </r>
  <r>
    <x v="57"/>
    <n v="0.625"/>
    <s v="UR"/>
    <m/>
    <n v="78"/>
    <n v="3"/>
    <m/>
    <m/>
    <n v="69"/>
    <n v="5"/>
    <s v="https://www.ur.ch/themen/2962"/>
  </r>
  <r>
    <x v="57"/>
    <n v="0.66666666666666663"/>
    <s v="OW"/>
    <m/>
    <n v="67"/>
    <n v="0"/>
    <m/>
    <m/>
    <m/>
    <n v="0"/>
    <s v="https://www.ow.ch/de/verwaltung/dienstleistungen/?dienst_id=5962"/>
  </r>
  <r>
    <x v="57"/>
    <n v="0.75"/>
    <s v="AR"/>
    <m/>
    <n v="87"/>
    <m/>
    <m/>
    <m/>
    <m/>
    <n v="3"/>
    <s v="https://www.ar.ch/verwaltung/departement-gesundheit-und-soziales/amt-fuer-gesundheit/informationsseite-coronavirus/"/>
  </r>
  <r>
    <x v="58"/>
    <m/>
    <s v="BL"/>
    <m/>
    <n v="811"/>
    <n v="32"/>
    <n v="3"/>
    <n v="2"/>
    <n v="692"/>
    <n v="26"/>
    <s v="https://www.baselland.ch/politik-und-behorden/direktionen/volkswirtschafts-und-gesundheitsdirektion/amt-fur-gesundheit/medizinische-dienste/kantonsarztlicher-dienst/aktuelles/covid-19-faelle-kanton-basel-landschaft"/>
  </r>
  <r>
    <x v="58"/>
    <m/>
    <s v="FL"/>
    <m/>
    <n v="81"/>
    <m/>
    <m/>
    <m/>
    <m/>
    <n v="1"/>
    <s v="https://www.regierung.li/de/mitteilungen/223424/?typ=news"/>
  </r>
  <r>
    <x v="58"/>
    <m/>
    <s v="FR"/>
    <m/>
    <n v="1014"/>
    <n v="57"/>
    <n v="5"/>
    <m/>
    <n v="118"/>
    <n v="76"/>
    <s v="https://www.fr.ch/sites/default/files/2020-05/statistiques_situation_FR_0705.xlsx"/>
  </r>
  <r>
    <x v="58"/>
    <m/>
    <s v="GE"/>
    <n v="23392"/>
    <n v="4841"/>
    <n v="284"/>
    <n v="29"/>
    <n v="27"/>
    <n v="592"/>
    <n v="234"/>
    <s v="https://www.ge.ch/document/20094/telecharger"/>
  </r>
  <r>
    <x v="58"/>
    <m/>
    <s v="GR"/>
    <m/>
    <n v="794"/>
    <n v="26"/>
    <m/>
    <m/>
    <m/>
    <n v="43"/>
    <s v="https://www.gr.ch/DE/institutionen/verwaltung/djsg/ga/coronavirus/_layouts/15/GenericDataFeed/feed.aspx?PageID=26&amp;ID=g_1175d522_e609_4287_93af_d14c9efd5218&amp;FORMAT=JSONRAW"/>
  </r>
  <r>
    <x v="58"/>
    <m/>
    <s v="JU"/>
    <m/>
    <n v="196"/>
    <n v="11"/>
    <n v="4"/>
    <m/>
    <m/>
    <n v="6"/>
    <s v="https://www.jura.ch/Htdocs/Files/v/34356.xlsx/Departements/CHA/SIC/Carrousel/Coronavirus/Cornavirus/Chiffres/donnees_06_05.xlsx?download=1"/>
  </r>
  <r>
    <x v="58"/>
    <m/>
    <s v="NE"/>
    <m/>
    <n v="662"/>
    <n v="35"/>
    <n v="6"/>
    <n v="4"/>
    <m/>
    <n v="68"/>
    <s v="https://www.ne.ch/autorites/DFS/SCSP/medecin-cantonal/maladies-vaccinations/Documents/Covid-19-Statistiques/COVID19_PublicationInternet.xlsx"/>
  </r>
  <r>
    <x v="58"/>
    <m/>
    <s v="NW"/>
    <m/>
    <n v="108"/>
    <n v="4"/>
    <n v="1"/>
    <m/>
    <m/>
    <n v="3"/>
    <s v="http://www.nw.ch/coronastatistik"/>
  </r>
  <r>
    <x v="58"/>
    <m/>
    <s v="SG"/>
    <m/>
    <n v="736"/>
    <n v="37"/>
    <n v="2"/>
    <m/>
    <n v="170"/>
    <n v="31"/>
    <s v="https://www.sg.ch/tools/informationen-coronavirus.html"/>
  </r>
  <r>
    <x v="58"/>
    <m/>
    <s v="TG"/>
    <m/>
    <n v="354"/>
    <n v="21"/>
    <n v="9"/>
    <m/>
    <m/>
    <n v="14"/>
    <s v="https://www.tg.ch/news/fachdossier-coronavirus.html/10552"/>
  </r>
  <r>
    <x v="58"/>
    <m/>
    <s v="VD"/>
    <m/>
    <n v="5181"/>
    <n v="180"/>
    <n v="39"/>
    <m/>
    <m/>
    <n v="354"/>
    <s v="https://www.vd.ch/toutes-les-actualites/hotline-et-informations-sur-le-coronavirus/point-de-situation-statistique-dans-le-canton-de-vaud/"/>
  </r>
  <r>
    <x v="58"/>
    <m/>
    <s v="VS"/>
    <m/>
    <n v="1822"/>
    <n v="73"/>
    <n v="13"/>
    <n v="9"/>
    <m/>
    <n v="123"/>
    <s v="https://www.vs.ch/de/web/coronavirus"/>
  </r>
  <r>
    <x v="58"/>
    <n v="0"/>
    <s v="SO"/>
    <m/>
    <n v="375"/>
    <n v="15"/>
    <m/>
    <m/>
    <m/>
    <n v="12"/>
    <s v="https://corona.so.ch/index.php?id=27979"/>
  </r>
  <r>
    <x v="58"/>
    <n v="0.33333333333333331"/>
    <s v="BE"/>
    <m/>
    <n v="1670"/>
    <n v="66"/>
    <n v="11"/>
    <n v="7"/>
    <m/>
    <n v="79"/>
    <s v="https://www.besondere-lage.sites.be.ch/besondere-lage_sites/de/index/corona/index.html"/>
  </r>
  <r>
    <x v="58"/>
    <n v="0.33333333333333331"/>
    <s v="TI"/>
    <m/>
    <n v="3106"/>
    <n v="215"/>
    <n v="41"/>
    <n v="32"/>
    <n v="676"/>
    <n v="298"/>
    <s v="https://www4.ti.ch/fileadmin/DSS/DSP/UMC/malattie_infettive/Coronavirus/dati/COVID19_Dati_TI_per_github.xlsx"/>
  </r>
  <r>
    <x v="58"/>
    <n v="0.33333333333333331"/>
    <s v="ZG"/>
    <m/>
    <n v="178"/>
    <n v="6"/>
    <n v="3"/>
    <m/>
    <n v="133"/>
    <n v="8"/>
    <s v="https://www.zg.ch/behoerden/gesundheitsdirektion/statistikfachstelle/themen/gesundheit/corona"/>
  </r>
  <r>
    <x v="58"/>
    <n v="0.375"/>
    <s v="BS"/>
    <m/>
    <n v="931"/>
    <n v="42"/>
    <n v="7"/>
    <m/>
    <n v="793"/>
    <n v="45"/>
    <s v="https://www.gd.bs.ch//nm/2020-tagesbulletin-coronavirus-931-bestaetigte-faelle-im-kanton-basel-stadt-gd.html"/>
  </r>
  <r>
    <x v="58"/>
    <n v="0.39583333333333331"/>
    <s v="SH"/>
    <m/>
    <n v="65"/>
    <n v="8"/>
    <n v="2"/>
    <m/>
    <m/>
    <n v="3"/>
    <s v="https://sh.ch/CMS/get/file/1142c079-5d62-4035-b9ea-04901bfcdfe9"/>
  </r>
  <r>
    <x v="58"/>
    <n v="0.41666666666666669"/>
    <s v="SZ"/>
    <m/>
    <n v="282"/>
    <m/>
    <m/>
    <m/>
    <n v="198"/>
    <n v="16"/>
    <s v="https://www.sz.ch/public/upload/assets/46502/COVID-19_Fallzahlen_Kanton_Schwyz.xlsx"/>
  </r>
  <r>
    <x v="58"/>
    <n v="0.45833333333333331"/>
    <s v="AI"/>
    <m/>
    <n v="25"/>
    <m/>
    <m/>
    <m/>
    <m/>
    <n v="0"/>
    <s v="https://www.ai.ch/themen/gesundheit-alter-und-soziales/gesundheitsfoerderung-und-praevention/uebertragbare-krankheiten/coronavirus"/>
  </r>
  <r>
    <x v="58"/>
    <n v="0.45833333333333331"/>
    <s v="LU"/>
    <m/>
    <n v="654"/>
    <n v="38"/>
    <n v="7"/>
    <m/>
    <m/>
    <n v="15"/>
    <s v="https://gesundheit.lu.ch/themen/Humanmedizin/Infektionskrankheiten/Coronavirus"/>
  </r>
  <r>
    <x v="58"/>
    <n v="0.54166666666666663"/>
    <s v="OW"/>
    <m/>
    <n v="68"/>
    <n v="0"/>
    <m/>
    <m/>
    <m/>
    <n v="0"/>
    <s v="https://www.ow.ch/de/verwaltung/dienstleistungen/?dienst_id=5962"/>
  </r>
  <r>
    <x v="58"/>
    <n v="0.5625"/>
    <s v="GL"/>
    <m/>
    <n v="117"/>
    <n v="3"/>
    <m/>
    <m/>
    <m/>
    <n v="6"/>
    <s v="https://www.gl.ch/public/upload/assets/28096/COVID-19_Fallzahlen_Kanton_Glarus.xlsx"/>
  </r>
  <r>
    <x v="58"/>
    <n v="0.58333333333333337"/>
    <s v="AR"/>
    <m/>
    <n v="88"/>
    <n v="5"/>
    <n v="2"/>
    <m/>
    <m/>
    <n v="3"/>
    <s v="https://www.ar.ch/verwaltung/departement-gesundheit-und-soziales/amt-fuer-gesundheit/informationsseite-coronavirus/"/>
  </r>
  <r>
    <x v="58"/>
    <n v="0.60416666666666663"/>
    <s v="ZH"/>
    <m/>
    <n v="3337"/>
    <n v="96"/>
    <m/>
    <n v="44"/>
    <m/>
    <n v="113"/>
    <s v="https://gd.zh.ch/internet/gesundheitsdirektion/de/themen/coronavirus.html"/>
  </r>
  <r>
    <x v="58"/>
    <n v="0.61458333333333337"/>
    <s v="AG"/>
    <m/>
    <n v="1037"/>
    <n v="35"/>
    <n v="14"/>
    <n v="14"/>
    <n v="750"/>
    <n v="31"/>
    <s v="https://www.ag.ch/media/kanton_aargau/themen_1/coronavirus_1/lagebulletins/200423_KFS_Coronavirus_Lagebulletin_39.pdf"/>
  </r>
  <r>
    <x v="58"/>
    <n v="0.625"/>
    <s v="UR"/>
    <m/>
    <n v="78"/>
    <n v="4"/>
    <m/>
    <m/>
    <n v="69"/>
    <n v="5"/>
    <s v="https://www.ur.ch/themen/2962"/>
  </r>
  <r>
    <x v="59"/>
    <m/>
    <s v="BL"/>
    <m/>
    <n v="813"/>
    <n v="24"/>
    <n v="2"/>
    <n v="1"/>
    <n v="698"/>
    <n v="30"/>
    <s v="https://www.baselland.ch/politik-und-behorden/direktionen/volkswirtschafts-und-gesundheitsdirektion/amt-fur-gesundheit/medizinische-dienste/kantonsarztlicher-dienst/aktuelles/covid-19-faelle-kanton-basel-landschaft"/>
  </r>
  <r>
    <x v="59"/>
    <m/>
    <s v="FL"/>
    <m/>
    <n v="82"/>
    <m/>
    <m/>
    <m/>
    <m/>
    <n v="1"/>
    <s v="https://www.regierung.li/media/attachments/212-corona-massnahmen-und-wirtschaft.pdf?t=637233485133850178"/>
  </r>
  <r>
    <x v="59"/>
    <m/>
    <s v="FR"/>
    <m/>
    <n v="1021"/>
    <n v="55"/>
    <n v="8"/>
    <m/>
    <n v="119"/>
    <n v="76"/>
    <s v="https://www.fr.ch/sites/default/files/2020-05/statistiques_situation_FR_0705.xlsx"/>
  </r>
  <r>
    <x v="59"/>
    <m/>
    <s v="GE"/>
    <n v="23757"/>
    <n v="4859"/>
    <n v="278"/>
    <n v="26"/>
    <n v="25"/>
    <n v="600"/>
    <n v="239"/>
    <s v="https://www.ge.ch/document/20094/telecharger"/>
  </r>
  <r>
    <x v="59"/>
    <m/>
    <s v="GR"/>
    <m/>
    <n v="799"/>
    <n v="29"/>
    <m/>
    <m/>
    <m/>
    <n v="44"/>
    <s v="https://www.gr.ch/DE/institutionen/verwaltung/djsg/ga/coronavirus/_layouts/15/GenericDataFeed/feed.aspx?PageID=26&amp;ID=g_1175d522_e609_4287_93af_d14c9efd5218&amp;FORMAT=JSONRAW"/>
  </r>
  <r>
    <x v="59"/>
    <m/>
    <s v="JU"/>
    <m/>
    <n v="196"/>
    <n v="12"/>
    <n v="4"/>
    <m/>
    <m/>
    <n v="6"/>
    <s v="https://www.jura.ch/Htdocs/Files/v/34356.xlsx/Departements/CHA/SIC/Carrousel/Coronavirus/Cornavirus/Chiffres/donnees_06_05.xlsx?download=1"/>
  </r>
  <r>
    <x v="59"/>
    <m/>
    <s v="NE"/>
    <m/>
    <n v="665"/>
    <n v="36"/>
    <n v="6"/>
    <n v="4"/>
    <m/>
    <n v="70"/>
    <s v="https://www.ne.ch/autorites/DFS/SCSP/medecin-cantonal/maladies-vaccinations/Documents/Covid-19-Statistiques/COVID19_PublicationInternet.xlsx"/>
  </r>
  <r>
    <x v="59"/>
    <m/>
    <s v="NW"/>
    <m/>
    <n v="108"/>
    <n v="3"/>
    <n v="0"/>
    <m/>
    <m/>
    <n v="3"/>
    <s v="http://www.nw.ch/coronastatistik"/>
  </r>
  <r>
    <x v="59"/>
    <m/>
    <s v="SG"/>
    <m/>
    <n v="745"/>
    <n v="43"/>
    <n v="4"/>
    <m/>
    <n v="175"/>
    <n v="31"/>
    <s v="https://www.sg.ch/tools/informationen-coronavirus.html"/>
  </r>
  <r>
    <x v="59"/>
    <m/>
    <s v="TG"/>
    <m/>
    <n v="359"/>
    <n v="21"/>
    <n v="9"/>
    <m/>
    <m/>
    <n v="14"/>
    <s v="https://www.tg.ch/news/fachdossier-coronavirus.html/10552"/>
  </r>
  <r>
    <x v="59"/>
    <m/>
    <s v="VD"/>
    <m/>
    <n v="5204"/>
    <n v="168"/>
    <n v="36"/>
    <m/>
    <m/>
    <n v="357"/>
    <s v="https://www.vd.ch/toutes-les-actualites/hotline-et-informations-sur-le-coronavirus/point-de-situation-statistique-dans-le-canton-de-vaud/"/>
  </r>
  <r>
    <x v="59"/>
    <m/>
    <s v="VS"/>
    <m/>
    <n v="1831"/>
    <n v="71"/>
    <n v="14"/>
    <n v="9"/>
    <m/>
    <n v="127"/>
    <s v="https://www.vs.ch/de/web/coronavirus"/>
  </r>
  <r>
    <x v="59"/>
    <n v="0"/>
    <s v="SO"/>
    <m/>
    <n v="376"/>
    <n v="15"/>
    <m/>
    <m/>
    <m/>
    <n v="14"/>
    <s v="https://corona.so.ch/index.php?id=27979"/>
  </r>
  <r>
    <x v="59"/>
    <n v="0.33333333333333331"/>
    <s v="BE"/>
    <m/>
    <n v="1694"/>
    <n v="60"/>
    <n v="11"/>
    <n v="8"/>
    <m/>
    <n v="82"/>
    <s v="https://www.besondere-lage.sites.be.ch/besondere-lage_sites/de/index/corona/index.html"/>
  </r>
  <r>
    <x v="59"/>
    <n v="0.33333333333333331"/>
    <s v="TI"/>
    <m/>
    <n v="3121"/>
    <n v="214"/>
    <n v="42"/>
    <n v="33"/>
    <n v="682"/>
    <n v="299"/>
    <s v="https://www4.ti.ch/fileadmin/DSS/DSP/UMC/malattie_infettive/Coronavirus/dati/COVID19_Dati_TI_per_github.xlsx"/>
  </r>
  <r>
    <x v="59"/>
    <n v="0.33333333333333331"/>
    <s v="ZG"/>
    <m/>
    <n v="180"/>
    <n v="6"/>
    <n v="3"/>
    <m/>
    <n v="133"/>
    <n v="8"/>
    <s v="https://www.zg.ch/behoerden/gesundheitsdirektion/statistikfachstelle/themen/gesundheit/corona"/>
  </r>
  <r>
    <x v="59"/>
    <n v="0.38541666666666669"/>
    <s v="BS"/>
    <m/>
    <n v="936"/>
    <n v="40"/>
    <n v="7"/>
    <m/>
    <n v="800"/>
    <n v="46"/>
    <s v="https://www.gd.bs.ch//nm/2020-tagesbulletin-coronavirus-936-bestaetigte-faelle-im-kanton-basel-stadt-gd.html"/>
  </r>
  <r>
    <x v="59"/>
    <n v="0.39583333333333331"/>
    <s v="AR"/>
    <m/>
    <n v="88"/>
    <n v="4"/>
    <n v="2"/>
    <m/>
    <m/>
    <n v="3"/>
    <s v="https://www.ar.ch/verwaltung/departement-gesundheit-und-soziales/amt-fuer-gesundheit/informationsseite-coronavirus/"/>
  </r>
  <r>
    <x v="59"/>
    <n v="0.39583333333333331"/>
    <s v="SH"/>
    <m/>
    <n v="70"/>
    <n v="4"/>
    <n v="1"/>
    <m/>
    <m/>
    <n v="3"/>
    <s v="https://sh.ch/CMS/get/file/1142c079-5d62-4035-b9ea-04901bfcdfe9"/>
  </r>
  <r>
    <x v="59"/>
    <n v="0.41666666666666669"/>
    <s v="SZ"/>
    <m/>
    <n v="284"/>
    <m/>
    <m/>
    <m/>
    <n v="206"/>
    <n v="16"/>
    <s v="https://www.sz.ch/public/upload/assets/46502/COVID-19_Fallzahlen_Kanton_Schwyz.xlsx"/>
  </r>
  <r>
    <x v="59"/>
    <n v="0.45833333333333331"/>
    <s v="AI"/>
    <m/>
    <n v="25"/>
    <m/>
    <m/>
    <m/>
    <m/>
    <n v="0"/>
    <s v="https://www.ai.ch/themen/gesundheit-alter-und-soziales/gesundheitsfoerderung-und-praevention/uebertragbare-krankheiten/coronavirus"/>
  </r>
  <r>
    <x v="59"/>
    <n v="0.45833333333333331"/>
    <s v="LU"/>
    <m/>
    <n v="660"/>
    <m/>
    <m/>
    <m/>
    <m/>
    <n v="16"/>
    <s v="https://gesundheit.lu.ch/themen/Humanmedizin/Infektionskrankheiten/Coronavirus"/>
  </r>
  <r>
    <x v="59"/>
    <n v="0.54166666666666663"/>
    <s v="GL"/>
    <m/>
    <n v="117"/>
    <n v="3"/>
    <m/>
    <m/>
    <m/>
    <n v="7"/>
    <s v="https://www.gl.ch/public/upload/assets/28096/COVID-19_Fallzahlen_Kanton_Glarus.xlsx"/>
  </r>
  <r>
    <x v="59"/>
    <n v="0.58333333333333337"/>
    <s v="UR"/>
    <m/>
    <n v="78"/>
    <n v="3"/>
    <m/>
    <m/>
    <n v="69"/>
    <n v="5"/>
    <s v="https://www.ur.ch/themen/2962"/>
  </r>
  <r>
    <x v="59"/>
    <n v="0.60416666666666663"/>
    <s v="ZH"/>
    <m/>
    <n v="3366"/>
    <n v="83"/>
    <m/>
    <n v="42"/>
    <m/>
    <n v="114"/>
    <s v="https://gd.zh.ch/internet/gesundheitsdirektion/de/themen/coronavirus.html"/>
  </r>
  <r>
    <x v="59"/>
    <n v="0.61458333333333337"/>
    <s v="AG"/>
    <m/>
    <n v="1052"/>
    <n v="40"/>
    <n v="14"/>
    <n v="14"/>
    <n v="780"/>
    <n v="31"/>
    <s v="https://www.ag.ch/media/kanton_aargau/themen_1/coronavirus_1/lagebulletins/200424_KFS_Coronavirus_Lagebulletin_40.pdf"/>
  </r>
  <r>
    <x v="59"/>
    <n v="0.70833333333333337"/>
    <s v="OW"/>
    <m/>
    <n v="71"/>
    <n v="0"/>
    <m/>
    <m/>
    <m/>
    <n v="0"/>
    <s v="https://www.ow.ch/de/verwaltung/dienstleistungen/?dienst_id=5962"/>
  </r>
  <r>
    <x v="60"/>
    <m/>
    <s v="BL"/>
    <m/>
    <n v="816"/>
    <n v="23"/>
    <n v="1"/>
    <n v="0"/>
    <n v="710"/>
    <n v="30"/>
    <s v="https://www.baselland.ch/politik-und-behorden/direktionen/volkswirtschafts-und-gesundheitsdirektion/amt-fur-gesundheit/medizinische-dienste/kantonsarztlicher-dienst/aktuelles/covid-19-faelle-kanton-basel-landschaft"/>
  </r>
  <r>
    <x v="60"/>
    <m/>
    <s v="FL"/>
    <m/>
    <n v="82"/>
    <m/>
    <m/>
    <m/>
    <m/>
    <n v="1"/>
    <s v="https://www.regierung.li/de/mitteilungen/223427/?typ=news"/>
  </r>
  <r>
    <x v="60"/>
    <m/>
    <s v="FR"/>
    <m/>
    <n v="1029"/>
    <n v="54"/>
    <n v="7"/>
    <m/>
    <n v="119"/>
    <n v="76"/>
    <s v="https://www.fr.ch/sites/default/files/2020-05/statistiques_situation_FR_0705.xlsx"/>
  </r>
  <r>
    <x v="60"/>
    <m/>
    <s v="GE"/>
    <n v="24115"/>
    <n v="4872"/>
    <n v="271"/>
    <n v="27"/>
    <n v="26"/>
    <m/>
    <n v="240"/>
    <s v="https://www.ge.ch/document/20094/telecharger"/>
  </r>
  <r>
    <x v="60"/>
    <m/>
    <s v="GR"/>
    <m/>
    <n v="800"/>
    <n v="28"/>
    <m/>
    <m/>
    <m/>
    <n v="44"/>
    <s v="https://www.gr.ch/DE/institutionen/verwaltung/djsg/ga/coronavirus/_layouts/15/GenericDataFeed/feed.aspx?PageID=26&amp;ID=g_1175d522_e609_4287_93af_d14c9efd5218&amp;FORMAT=JSONRAW"/>
  </r>
  <r>
    <x v="60"/>
    <m/>
    <s v="JU"/>
    <m/>
    <n v="196"/>
    <n v="12"/>
    <n v="4"/>
    <m/>
    <m/>
    <n v="6"/>
    <s v="https://www.jura.ch/Htdocs/Files/v/34356.xlsx/Departements/CHA/SIC/Carrousel/Coronavirus/Cornavirus/Chiffres/donnees_06_05.xlsx?download=1"/>
  </r>
  <r>
    <x v="60"/>
    <m/>
    <s v="NE"/>
    <m/>
    <n v="666"/>
    <n v="35"/>
    <n v="4"/>
    <n v="3"/>
    <m/>
    <n v="71"/>
    <s v="https://www.ne.ch/autorites/DFS/SCSP/medecin-cantonal/maladies-vaccinations/Documents/Covid-19-Statistiques/COVID19_PublicationInternet.xlsx"/>
  </r>
  <r>
    <x v="60"/>
    <m/>
    <s v="NW"/>
    <m/>
    <n v="108"/>
    <n v="3"/>
    <n v="0"/>
    <m/>
    <m/>
    <n v="3"/>
    <s v="http://www.nw.ch/coronastatistik"/>
  </r>
  <r>
    <x v="60"/>
    <m/>
    <s v="SG"/>
    <m/>
    <n v="753"/>
    <m/>
    <m/>
    <m/>
    <m/>
    <n v="31"/>
    <s v="https://www.sg.ch/tools/informationen-coronavirus.html"/>
  </r>
  <r>
    <x v="60"/>
    <m/>
    <s v="TG"/>
    <m/>
    <n v="360"/>
    <n v="23"/>
    <n v="8"/>
    <m/>
    <m/>
    <n v="14"/>
    <s v="https://www.tg.ch/news/fachdossier-coronavirus.html/10552"/>
  </r>
  <r>
    <x v="60"/>
    <m/>
    <s v="VD"/>
    <m/>
    <n v="5217"/>
    <n v="173"/>
    <n v="36"/>
    <m/>
    <m/>
    <n v="367"/>
    <s v="https://www.vd.ch/toutes-les-actualites/hotline-et-informations-sur-le-coronavirus/point-de-situation-statistique-dans-le-canton-de-vaud/"/>
  </r>
  <r>
    <x v="60"/>
    <m/>
    <s v="VS"/>
    <m/>
    <n v="1836"/>
    <n v="74"/>
    <n v="14"/>
    <n v="9"/>
    <m/>
    <n v="129"/>
    <s v="https://www.vs.ch/de/web/coronavirus"/>
  </r>
  <r>
    <x v="60"/>
    <n v="0"/>
    <s v="SO"/>
    <m/>
    <n v="379"/>
    <n v="13"/>
    <m/>
    <m/>
    <m/>
    <n v="14"/>
    <s v="https://corona.so.ch/index.php?id=27979"/>
  </r>
  <r>
    <x v="60"/>
    <n v="6.9444444444444447E-4"/>
    <s v="SZ"/>
    <m/>
    <n v="287"/>
    <m/>
    <m/>
    <m/>
    <n v="215"/>
    <n v="17"/>
    <s v="https://www.sz.ch/public/upload/assets/46502/COVID-19_Fallzahlen_Kanton_Schwyz.xlsx"/>
  </r>
  <r>
    <x v="60"/>
    <n v="0.33333333333333331"/>
    <s v="BE"/>
    <m/>
    <n v="1708"/>
    <n v="61"/>
    <n v="11"/>
    <n v="10"/>
    <m/>
    <n v="83"/>
    <s v="https://www.besondere-lage.sites.be.ch/besondere-lage_sites/de/index/corona/index.html"/>
  </r>
  <r>
    <x v="60"/>
    <n v="0.33333333333333331"/>
    <s v="TI"/>
    <m/>
    <n v="3142"/>
    <n v="198"/>
    <n v="40"/>
    <n v="30"/>
    <n v="698"/>
    <n v="304"/>
    <s v="https://www4.ti.ch/fileadmin/DSS/DSP/UMC/malattie_infettive/Coronavirus/dati/COVID19_Dati_TI_per_github.xlsx"/>
  </r>
  <r>
    <x v="60"/>
    <n v="0.33333333333333331"/>
    <s v="ZG"/>
    <m/>
    <n v="181"/>
    <n v="6"/>
    <n v="3"/>
    <m/>
    <n v="133"/>
    <n v="8"/>
    <s v="https://www.zg.ch/behoerden/gesundheitsdirektion/statistikfachstelle/themen/gesundheit/corona"/>
  </r>
  <r>
    <x v="60"/>
    <n v="0.39583333333333331"/>
    <s v="BS"/>
    <m/>
    <n v="938"/>
    <m/>
    <m/>
    <m/>
    <m/>
    <n v="46"/>
    <s v="https://www.gd.bs.ch//nm/2020-tagesbulletin-coronavirus-941-bestaetigte-faelle-im-kanton-basel-stadt-gd.html"/>
  </r>
  <r>
    <x v="60"/>
    <n v="0.39583333333333331"/>
    <s v="SH"/>
    <m/>
    <n v="71"/>
    <n v="6"/>
    <n v="1"/>
    <m/>
    <m/>
    <n v="5"/>
    <s v="https://sh.ch/CMS/get/file/1142c079-5d62-4035-b9ea-04901bfcdfe9"/>
  </r>
  <r>
    <x v="60"/>
    <n v="0.45833333333333331"/>
    <s v="AI"/>
    <m/>
    <n v="25"/>
    <m/>
    <m/>
    <m/>
    <m/>
    <n v="0"/>
    <s v="https://www.ai.ch/themen/gesundheit-alter-und-soziales/gesundheitsfoerderung-und-praevention/uebertragbare-krankheiten/coronavirus"/>
  </r>
  <r>
    <x v="60"/>
    <n v="0.5"/>
    <s v="LU"/>
    <m/>
    <n v="667"/>
    <n v="32"/>
    <n v="8"/>
    <m/>
    <m/>
    <n v="16"/>
    <s v="https://gesundheit.lu.ch/themen/Humanmedizin/Infektionskrankheiten/Coronavirus"/>
  </r>
  <r>
    <x v="60"/>
    <n v="0.5"/>
    <s v="UR"/>
    <m/>
    <n v="78"/>
    <n v="3"/>
    <m/>
    <m/>
    <n v="69"/>
    <n v="5"/>
    <s v="https://www.ur.ch/themen/2962"/>
  </r>
  <r>
    <x v="60"/>
    <n v="0.54166666666666663"/>
    <s v="GL"/>
    <m/>
    <n v="120"/>
    <n v="3"/>
    <m/>
    <m/>
    <m/>
    <n v="7"/>
    <s v="https://www.gl.ch/public/upload/assets/28096/COVID-19_Fallzahlen_Kanton_Glarus.xlsx"/>
  </r>
  <r>
    <x v="60"/>
    <n v="0.60416666666666663"/>
    <s v="ZH"/>
    <m/>
    <n v="3397"/>
    <n v="77"/>
    <m/>
    <n v="38"/>
    <m/>
    <n v="115"/>
    <s v="https://gd.zh.ch/internet/gesundheitsdirektion/de/themen/coronavirus.html"/>
  </r>
  <r>
    <x v="61"/>
    <m/>
    <s v="BL"/>
    <m/>
    <n v="816"/>
    <n v="21"/>
    <n v="0"/>
    <n v="0"/>
    <n v="724"/>
    <n v="30"/>
    <s v="https://www.baselland.ch/politik-und-behorden/direktionen/volkswirtschafts-und-gesundheitsdirektion/amt-fur-gesundheit/medizinische-dienste/kantonsarztlicher-dienst/aktuelles/covid-19-faelle-kanton-basel-landschaft"/>
  </r>
  <r>
    <x v="61"/>
    <m/>
    <s v="FL"/>
    <m/>
    <n v="82"/>
    <m/>
    <m/>
    <m/>
    <m/>
    <n v="1"/>
    <s v="https://www.regierung.li/de/mitteilungen/223428/?typ=news"/>
  </r>
  <r>
    <x v="61"/>
    <m/>
    <s v="FR"/>
    <m/>
    <n v="1033"/>
    <n v="54"/>
    <n v="5"/>
    <m/>
    <n v="120"/>
    <n v="77"/>
    <s v="https://www.fr.ch/sites/default/files/2020-05/statistiques_situation_FR_0705.xlsx"/>
  </r>
  <r>
    <x v="61"/>
    <m/>
    <s v="GE"/>
    <n v="24297"/>
    <n v="4877"/>
    <n v="271"/>
    <n v="25"/>
    <n v="24"/>
    <n v="610"/>
    <n v="242"/>
    <s v="https://www.ge.ch/document/20094/telecharger"/>
  </r>
  <r>
    <x v="61"/>
    <m/>
    <s v="GR"/>
    <m/>
    <n v="802"/>
    <n v="28"/>
    <m/>
    <m/>
    <m/>
    <n v="44"/>
    <s v="https://www.gr.ch/DE/institutionen/verwaltung/djsg/ga/coronavirus/_layouts/15/GenericDataFeed/feed.aspx?PageID=26&amp;ID=g_1175d522_e609_4287_93af_d14c9efd5218&amp;FORMAT=JSONRAW"/>
  </r>
  <r>
    <x v="61"/>
    <m/>
    <s v="JU"/>
    <m/>
    <n v="196"/>
    <n v="12"/>
    <n v="4"/>
    <m/>
    <m/>
    <n v="6"/>
    <s v="https://www.jura.ch/Htdocs/Files/v/34356.xlsx/Departements/CHA/SIC/Carrousel/Coronavirus/Cornavirus/Chiffres/donnees_06_05.xlsx?download=1"/>
  </r>
  <r>
    <x v="61"/>
    <m/>
    <s v="NE"/>
    <m/>
    <n v="667"/>
    <n v="32"/>
    <n v="3"/>
    <n v="3"/>
    <m/>
    <n v="73"/>
    <s v="https://www.ne.ch/autorites/DFS/SCSP/medecin-cantonal/maladies-vaccinations/Documents/Covid-19-Statistiques/COVID19_PublicationInternet.xlsx"/>
  </r>
  <r>
    <x v="61"/>
    <m/>
    <s v="NW"/>
    <m/>
    <n v="110"/>
    <n v="3"/>
    <n v="0"/>
    <m/>
    <m/>
    <n v="3"/>
    <s v="http://www.nw.ch/coronastatistik"/>
  </r>
  <r>
    <x v="61"/>
    <m/>
    <s v="SG"/>
    <m/>
    <n v="761"/>
    <n v="38"/>
    <n v="4"/>
    <m/>
    <n v="176"/>
    <n v="31"/>
    <s v="https://www.sg.ch/tools/informationen-coronavirus.html"/>
  </r>
  <r>
    <x v="61"/>
    <m/>
    <s v="TG"/>
    <m/>
    <n v="361"/>
    <n v="21"/>
    <n v="8"/>
    <m/>
    <m/>
    <n v="16"/>
    <s v="https://www.tg.ch/news/fachdossier-coronavirus.html/10552"/>
  </r>
  <r>
    <x v="61"/>
    <m/>
    <s v="VD"/>
    <m/>
    <n v="5229"/>
    <n v="181"/>
    <n v="36"/>
    <m/>
    <m/>
    <n v="371"/>
    <s v="https://www.vd.ch/toutes-les-actualites/hotline-et-informations-sur-le-coronavirus/point-de-situation-statistique-dans-le-canton-de-vaud/"/>
  </r>
  <r>
    <x v="61"/>
    <m/>
    <s v="VS"/>
    <m/>
    <n v="1838"/>
    <n v="76"/>
    <n v="15"/>
    <n v="8"/>
    <m/>
    <n v="131"/>
    <s v="https://www.vs.ch/de/web/coronavirus"/>
  </r>
  <r>
    <x v="61"/>
    <n v="0"/>
    <s v="SO"/>
    <m/>
    <n v="380"/>
    <n v="12"/>
    <m/>
    <m/>
    <m/>
    <n v="15"/>
    <s v="https://corona.so.ch/index.php?id=27979"/>
  </r>
  <r>
    <x v="61"/>
    <n v="6.9444444444444447E-4"/>
    <s v="SZ"/>
    <m/>
    <n v="293"/>
    <m/>
    <m/>
    <m/>
    <n v="216"/>
    <n v="18"/>
    <s v="https://www.sz.ch/public/upload/assets/46502/COVID-19_Fallzahlen_Kanton_Schwyz.xlsx"/>
  </r>
  <r>
    <x v="61"/>
    <n v="0.33333333333333331"/>
    <s v="BE"/>
    <m/>
    <n v="1714"/>
    <n v="54"/>
    <n v="9"/>
    <n v="9"/>
    <m/>
    <n v="83"/>
    <s v="https://www.besondere-lage.sites.be.ch/besondere-lage_sites/de/index/corona/index.html"/>
  </r>
  <r>
    <x v="61"/>
    <n v="0.33333333333333331"/>
    <s v="TI"/>
    <m/>
    <n v="3161"/>
    <n v="192"/>
    <n v="37"/>
    <n v="26"/>
    <n v="704"/>
    <n v="306"/>
    <s v="https://www4.ti.ch/fileadmin/DSS/DSP/UMC/malattie_infettive/Coronavirus/dati/COVID19_Dati_TI_per_github.xlsx"/>
  </r>
  <r>
    <x v="61"/>
    <n v="0.33333333333333331"/>
    <s v="ZG"/>
    <m/>
    <n v="181"/>
    <n v="6"/>
    <n v="3"/>
    <m/>
    <n v="133"/>
    <n v="8"/>
    <s v="https://www.zg.ch/behoerden/gesundheitsdirektion/statistikfachstelle/themen/gesundheit/corona"/>
  </r>
  <r>
    <x v="61"/>
    <n v="0.39583333333333331"/>
    <s v="BS"/>
    <m/>
    <n v="940"/>
    <m/>
    <m/>
    <m/>
    <m/>
    <n v="46"/>
    <s v="https://www.gd.bs.ch//nm/2020-tagesbulletin-coronavirus-941-bestaetigte-faelle-im-kanton-basel-stadt-gd.html"/>
  </r>
  <r>
    <x v="61"/>
    <n v="0.39583333333333331"/>
    <s v="SH"/>
    <m/>
    <n v="72"/>
    <n v="9"/>
    <n v="2"/>
    <m/>
    <m/>
    <n v="5"/>
    <s v="https://sh.ch/CMS/get/file/1142c079-5d62-4035-b9ea-04901bfcdfe9"/>
  </r>
  <r>
    <x v="61"/>
    <n v="0.5"/>
    <s v="LU"/>
    <m/>
    <n v="670"/>
    <n v="26"/>
    <n v="7"/>
    <m/>
    <m/>
    <n v="16"/>
    <s v="https://gesundheit.lu.ch/themen/Humanmedizin/Infektionskrankheiten/Coronavirus"/>
  </r>
  <r>
    <x v="61"/>
    <n v="0.5"/>
    <s v="UR"/>
    <m/>
    <n v="80"/>
    <n v="3"/>
    <m/>
    <m/>
    <n v="69"/>
    <n v="5"/>
    <s v="https://www.ur.ch/themen/2962"/>
  </r>
  <r>
    <x v="61"/>
    <n v="0.54166666666666663"/>
    <s v="GL"/>
    <m/>
    <n v="120"/>
    <n v="3"/>
    <m/>
    <m/>
    <m/>
    <n v="7"/>
    <s v="https://www.gl.ch/public/upload/assets/28096/COVID-19_Fallzahlen_Kanton_Glarus.xlsx"/>
  </r>
  <r>
    <x v="61"/>
    <n v="0.60416666666666663"/>
    <s v="ZH"/>
    <m/>
    <n v="3400"/>
    <n v="75"/>
    <m/>
    <n v="26"/>
    <m/>
    <n v="115"/>
    <s v="https://gd.zh.ch/internet/gesundheitsdirektion/de/themen/coronavirus.html"/>
  </r>
  <r>
    <x v="62"/>
    <m/>
    <s v="BL"/>
    <m/>
    <n v="816"/>
    <n v="17"/>
    <n v="1"/>
    <n v="0"/>
    <n v="738"/>
    <n v="30"/>
    <s v="https://www.baselland.ch/politik-und-behorden/direktionen/volkswirtschafts-und-gesundheitsdirektion/amt-fur-gesundheit/medizinische-dienste/kantonsarztlicher-dienst/aktuelles/covid-19-faelle-kanton-basel-landschaft"/>
  </r>
  <r>
    <x v="62"/>
    <m/>
    <s v="FL"/>
    <m/>
    <n v="82"/>
    <m/>
    <m/>
    <m/>
    <m/>
    <n v="1"/>
    <s v="https://www.regierung.li/de/mitteilungen/223429/?typ=content&amp;nid=11076"/>
  </r>
  <r>
    <x v="62"/>
    <m/>
    <s v="FR"/>
    <m/>
    <n v="1040"/>
    <n v="55"/>
    <n v="5"/>
    <m/>
    <n v="120"/>
    <n v="78"/>
    <s v="https://www.fr.ch/sites/default/files/2020-05/statistiques_situation_FR_0705.xlsx"/>
  </r>
  <r>
    <x v="62"/>
    <m/>
    <s v="GE"/>
    <n v="24597"/>
    <n v="4888"/>
    <n v="270"/>
    <n v="26"/>
    <n v="24"/>
    <n v="610"/>
    <n v="244"/>
    <s v="https://www.ge.ch/document/20094/telecharger"/>
  </r>
  <r>
    <x v="62"/>
    <m/>
    <s v="GR"/>
    <m/>
    <n v="807"/>
    <n v="29"/>
    <m/>
    <m/>
    <m/>
    <n v="45"/>
    <s v="https://www.gr.ch/DE/institutionen/verwaltung/djsg/ga/coronavirus/_layouts/15/GenericDataFeed/feed.aspx?PageID=26&amp;ID=g_1175d522_e609_4287_93af_d14c9efd5218&amp;FORMAT=JSONRAW"/>
  </r>
  <r>
    <x v="62"/>
    <m/>
    <s v="JU"/>
    <m/>
    <n v="196"/>
    <n v="10"/>
    <n v="4"/>
    <m/>
    <m/>
    <n v="7"/>
    <s v="https://www.jura.ch/Htdocs/Files/v/34356.xlsx/Departements/CHA/SIC/Carrousel/Coronavirus/Cornavirus/Chiffres/donnees_06_05.xlsx?download=1"/>
  </r>
  <r>
    <x v="62"/>
    <m/>
    <s v="NE"/>
    <m/>
    <n v="672"/>
    <n v="28"/>
    <n v="3"/>
    <n v="3"/>
    <m/>
    <n v="73"/>
    <s v="https://www.ne.ch/autorites/DFS/SCSP/medecin-cantonal/maladies-vaccinations/Documents/Covid-19-Statistiques/COVID19_PublicationInternet.xlsx"/>
  </r>
  <r>
    <x v="62"/>
    <m/>
    <s v="NW"/>
    <m/>
    <n v="110"/>
    <n v="2"/>
    <n v="0"/>
    <m/>
    <m/>
    <n v="3"/>
    <s v="http://www.nw.ch/coronastatistik"/>
  </r>
  <r>
    <x v="62"/>
    <m/>
    <s v="SG"/>
    <m/>
    <n v="767"/>
    <n v="39"/>
    <n v="2"/>
    <m/>
    <n v="176"/>
    <n v="31"/>
    <s v="https://www.sg.ch/tools/informationen-coronavirus.html"/>
  </r>
  <r>
    <x v="62"/>
    <m/>
    <s v="TG"/>
    <m/>
    <n v="361"/>
    <n v="21"/>
    <n v="8"/>
    <m/>
    <m/>
    <n v="17"/>
    <s v="https://www.tg.ch/news/fachdossier-coronavirus.html/10552"/>
  </r>
  <r>
    <x v="62"/>
    <m/>
    <s v="VD"/>
    <m/>
    <n v="5253"/>
    <n v="170"/>
    <n v="33"/>
    <m/>
    <m/>
    <n v="375"/>
    <s v="https://www.vd.ch/toutes-les-actualites/hotline-et-informations-sur-le-coronavirus/point-de-situation-statistique-dans-le-canton-de-vaud/"/>
  </r>
  <r>
    <x v="62"/>
    <m/>
    <s v="VS"/>
    <m/>
    <n v="1853"/>
    <n v="66"/>
    <n v="14"/>
    <n v="9"/>
    <m/>
    <n v="132"/>
    <s v="https://www.vs.ch/de/web/coronavirus"/>
  </r>
  <r>
    <x v="62"/>
    <n v="0"/>
    <s v="SO"/>
    <m/>
    <n v="382"/>
    <n v="13"/>
    <m/>
    <m/>
    <m/>
    <n v="15"/>
    <s v="https://corona.so.ch/index.php?id=27979"/>
  </r>
  <r>
    <x v="62"/>
    <n v="0.33333333333333331"/>
    <s v="BE"/>
    <m/>
    <n v="1722"/>
    <n v="54"/>
    <n v="10"/>
    <n v="9"/>
    <m/>
    <n v="83"/>
    <s v="https://www.besondere-lage.sites.be.ch/besondere-lage_sites/de/index/corona/index.html"/>
  </r>
  <r>
    <x v="62"/>
    <n v="0.33333333333333331"/>
    <s v="TI"/>
    <m/>
    <n v="3169"/>
    <n v="188"/>
    <n v="34"/>
    <n v="25"/>
    <n v="709"/>
    <n v="311"/>
    <s v="https://www4.ti.ch/fileadmin/DSS/DSP/UMC/malattie_infettive/Coronavirus/dati/COVID19_Dati_TI_per_github.xlsx"/>
  </r>
  <r>
    <x v="62"/>
    <n v="0.33333333333333331"/>
    <s v="ZG"/>
    <m/>
    <n v="185"/>
    <n v="7"/>
    <n v="3"/>
    <m/>
    <n v="134"/>
    <n v="8"/>
    <s v="https://www.zg.ch/behoerden/gesundheitsdirektion/statistikfachstelle/themen/gesundheit/corona"/>
  </r>
  <r>
    <x v="62"/>
    <n v="0.39583333333333331"/>
    <s v="SH"/>
    <m/>
    <n v="73"/>
    <n v="12"/>
    <n v="3"/>
    <m/>
    <m/>
    <n v="5"/>
    <s v="https://sh.ch/CMS/get/file/1142c079-5d62-4035-b9ea-04901bfcdfe9"/>
  </r>
  <r>
    <x v="62"/>
    <n v="0.41666666666666669"/>
    <s v="SZ"/>
    <m/>
    <n v="293"/>
    <m/>
    <m/>
    <m/>
    <n v="216"/>
    <n v="18"/>
    <s v="https://www.sz.ch/public/upload/assets/46502/COVID-19_Fallzahlen_Kanton_Schwyz.xlsx"/>
  </r>
  <r>
    <x v="62"/>
    <n v="0.42708333333333331"/>
    <s v="AR"/>
    <m/>
    <n v="94"/>
    <n v="2"/>
    <n v="2"/>
    <m/>
    <m/>
    <n v="3"/>
    <s v="https://www.ar.ch/verwaltung/departement-gesundheit-und-soziales/amt-fuer-gesundheit/informationsseite-coronavirus/"/>
  </r>
  <r>
    <x v="62"/>
    <n v="0.4375"/>
    <s v="BS"/>
    <m/>
    <n v="941"/>
    <m/>
    <m/>
    <m/>
    <m/>
    <n v="46"/>
    <s v="https://www.gd.bs.ch//nm/2020-tagesbulletin-coronavirus-941-bestaetigte-faelle-im-kanton-basel-stadt-gd.html"/>
  </r>
  <r>
    <x v="62"/>
    <n v="0.45833333333333331"/>
    <s v="AI"/>
    <m/>
    <n v="25"/>
    <m/>
    <m/>
    <m/>
    <m/>
    <n v="0"/>
    <s v="https://www.ai.ch/themen/gesundheit-alter-und-soziales/gesundheitsfoerderung-und-praevention/uebertragbare-krankheiten/coronavirus"/>
  </r>
  <r>
    <x v="62"/>
    <n v="0.5"/>
    <s v="LU"/>
    <m/>
    <n v="674"/>
    <n v="32"/>
    <n v="7"/>
    <m/>
    <m/>
    <n v="16"/>
    <s v="https://gesundheit.lu.ch/themen/Humanmedizin/Infektionskrankheiten/Coronavirus"/>
  </r>
  <r>
    <x v="62"/>
    <n v="0.5625"/>
    <s v="GL"/>
    <m/>
    <n v="121"/>
    <n v="3"/>
    <m/>
    <m/>
    <m/>
    <n v="7"/>
    <s v="https://www.gl.ch/public/upload/assets/28096/COVID-19_Fallzahlen_Kanton_Glarus.xlsx"/>
  </r>
  <r>
    <x v="62"/>
    <n v="0.58333333333333337"/>
    <s v="UR"/>
    <m/>
    <n v="83"/>
    <n v="4"/>
    <m/>
    <m/>
    <n v="69"/>
    <n v="5"/>
    <s v="https://www.ur.ch/themen/2962"/>
  </r>
  <r>
    <x v="62"/>
    <n v="0.60416666666666663"/>
    <s v="ZH"/>
    <m/>
    <n v="3418"/>
    <n v="73"/>
    <m/>
    <n v="24"/>
    <m/>
    <n v="119"/>
    <s v="https://gd.zh.ch/internet/gesundheitsdirektion/de/themen/coronavirus.html"/>
  </r>
  <r>
    <x v="62"/>
    <n v="0.61458333333333337"/>
    <s v="AG"/>
    <m/>
    <n v="1088"/>
    <n v="42"/>
    <n v="15"/>
    <n v="14"/>
    <n v="830"/>
    <n v="33"/>
    <s v="https://www.ag.ch/media/kanton_aargau/themen_1/coronavirus_1/lagebulletins/200427_KFS_Coronavirus_Lagebulletin_41.pdf"/>
  </r>
  <r>
    <x v="62"/>
    <n v="0.64583333333333337"/>
    <s v="OW"/>
    <m/>
    <n v="75"/>
    <n v="0"/>
    <m/>
    <m/>
    <m/>
    <n v="0"/>
    <s v="https://www.ow.ch/de/verwaltung/dienstleistungen/?dienst_id=5962"/>
  </r>
  <r>
    <x v="63"/>
    <m/>
    <s v="BL"/>
    <m/>
    <n v="818"/>
    <n v="15"/>
    <n v="1"/>
    <n v="0"/>
    <n v="747"/>
    <n v="30"/>
    <s v="https://www.baselland.ch/politik-und-behorden/direktionen/volkswirtschafts-und-gesundheitsdirektion/amt-fur-gesundheit/medizinische-dienste/kantonsarztlicher-dienst/aktuelles/covid-19-faelle-kanton-basel-landschaft"/>
  </r>
  <r>
    <x v="63"/>
    <m/>
    <s v="FL"/>
    <m/>
    <n v="82"/>
    <m/>
    <m/>
    <m/>
    <m/>
    <n v="1"/>
    <s v="https://www.regierung.li/de/mitteilungen/223435/?typ=content&amp;nid=11076"/>
  </r>
  <r>
    <x v="63"/>
    <m/>
    <s v="FR"/>
    <m/>
    <n v="1044"/>
    <n v="49"/>
    <n v="5"/>
    <m/>
    <n v="121"/>
    <n v="78"/>
    <s v="https://www.fr.ch/sites/default/files/2020-05/statistiques_situation_FR_0705.xlsx"/>
  </r>
  <r>
    <x v="63"/>
    <m/>
    <s v="GE"/>
    <n v="24971"/>
    <n v="4901"/>
    <n v="277"/>
    <n v="23"/>
    <n v="21"/>
    <n v="617"/>
    <n v="245"/>
    <s v="https://www.ge.ch/document/20094/telecharger"/>
  </r>
  <r>
    <x v="63"/>
    <m/>
    <s v="GR"/>
    <m/>
    <n v="809"/>
    <n v="27"/>
    <m/>
    <m/>
    <m/>
    <n v="45"/>
    <s v="https://www.gr.ch/DE/institutionen/verwaltung/djsg/ga/coronavirus/_layouts/15/GenericDataFeed/feed.aspx?PageID=26&amp;ID=g_1175d522_e609_4287_93af_d14c9efd5218&amp;FORMAT=JSONRAW"/>
  </r>
  <r>
    <x v="63"/>
    <m/>
    <s v="JU"/>
    <m/>
    <n v="197"/>
    <n v="10"/>
    <n v="5"/>
    <m/>
    <m/>
    <n v="7"/>
    <s v="https://www.jura.ch/Htdocs/Files/v/34356.xlsx/Departements/CHA/SIC/Carrousel/Coronavirus/Cornavirus/Chiffres/donnees_06_05.xlsx?download=1"/>
  </r>
  <r>
    <x v="63"/>
    <m/>
    <s v="LU"/>
    <m/>
    <n v="677"/>
    <n v="29"/>
    <n v="7"/>
    <m/>
    <m/>
    <n v="17"/>
    <s v="https://gesundheit.lu.ch/themen/Humanmedizin/Infektionskrankheiten/Coronavirus"/>
  </r>
  <r>
    <x v="63"/>
    <m/>
    <s v="NE"/>
    <m/>
    <n v="676"/>
    <n v="26"/>
    <n v="3"/>
    <n v="3"/>
    <m/>
    <n v="74"/>
    <s v="https://www.ne.ch/autorites/DFS/SCSP/medecin-cantonal/maladies-vaccinations/Documents/Covid-19-Statistiques/COVID19_PublicationInternet.xlsx"/>
  </r>
  <r>
    <x v="63"/>
    <m/>
    <s v="NW"/>
    <m/>
    <n v="111"/>
    <n v="2"/>
    <n v="0"/>
    <m/>
    <m/>
    <n v="3"/>
    <s v="http://www.nw.ch/coronastatistik"/>
  </r>
  <r>
    <x v="63"/>
    <m/>
    <s v="SG"/>
    <m/>
    <n v="775"/>
    <n v="44"/>
    <n v="3"/>
    <m/>
    <n v="176"/>
    <n v="33"/>
    <s v="https://www.sg.ch/tools/informationen-coronavirus.html"/>
  </r>
  <r>
    <x v="63"/>
    <m/>
    <s v="TG"/>
    <m/>
    <n v="362"/>
    <n v="21"/>
    <n v="8"/>
    <m/>
    <m/>
    <n v="17"/>
    <s v="https://www.tg.ch/news/fachdossier-coronavirus.html/10552"/>
  </r>
  <r>
    <x v="63"/>
    <m/>
    <s v="VD"/>
    <m/>
    <n v="5275"/>
    <n v="159"/>
    <n v="32"/>
    <m/>
    <m/>
    <n v="380"/>
    <s v="https://www.vd.ch/toutes-les-actualites/hotline-et-informations-sur-le-coronavirus/point-de-situation-statistique-dans-le-canton-de-vaud/"/>
  </r>
  <r>
    <x v="63"/>
    <m/>
    <s v="VS"/>
    <m/>
    <n v="1864"/>
    <n v="62"/>
    <n v="13"/>
    <n v="8"/>
    <m/>
    <n v="135"/>
    <s v="https://www.vs.ch/de/web/coronavirus"/>
  </r>
  <r>
    <x v="63"/>
    <n v="0"/>
    <s v="SO"/>
    <m/>
    <n v="383"/>
    <n v="13"/>
    <m/>
    <m/>
    <m/>
    <n v="15"/>
    <s v="https://corona.so.ch/index.php?id=27979"/>
  </r>
  <r>
    <x v="63"/>
    <n v="0.33333333333333331"/>
    <s v="BE"/>
    <m/>
    <n v="1733"/>
    <n v="47"/>
    <n v="7"/>
    <n v="7"/>
    <m/>
    <n v="83"/>
    <s v="https://www.besondere-lage.sites.be.ch/besondere-lage_sites/de/index/corona/index.html"/>
  </r>
  <r>
    <x v="63"/>
    <n v="0.33333333333333331"/>
    <s v="TI"/>
    <m/>
    <n v="3176"/>
    <n v="186"/>
    <n v="30"/>
    <n v="22"/>
    <n v="712"/>
    <n v="316"/>
    <s v="https://www4.ti.ch/fileadmin/DSS/DSP/UMC/malattie_infettive/Coronavirus/dati/COVID19_Dati_TI_per_github.xlsx"/>
  </r>
  <r>
    <x v="63"/>
    <n v="0.33333333333333331"/>
    <s v="ZG"/>
    <m/>
    <n v="185"/>
    <n v="7"/>
    <n v="3"/>
    <m/>
    <n v="134"/>
    <n v="8"/>
    <s v="https://www.zg.ch/behoerden/gesundheitsdirektion/statistikfachstelle/themen/gesundheit/corona"/>
  </r>
  <r>
    <x v="63"/>
    <n v="0.39583333333333331"/>
    <s v="BS"/>
    <m/>
    <n v="943"/>
    <n v="28"/>
    <n v="7"/>
    <m/>
    <m/>
    <n v="49"/>
    <s v="https://www.gd.bs.ch//nm/2020-tagesbulletin-coronavirus-943-bestaetigte-faelle-im-kanton-basel-stadt-gd.html"/>
  </r>
  <r>
    <x v="63"/>
    <n v="0.39583333333333331"/>
    <s v="SH"/>
    <m/>
    <n v="74"/>
    <n v="10"/>
    <n v="2"/>
    <m/>
    <m/>
    <n v="6"/>
    <s v="https://sh.ch/CMS/get/file/1142c079-5d62-4035-b9ea-04901bfcdfe9"/>
  </r>
  <r>
    <x v="63"/>
    <n v="0.40277777777777779"/>
    <s v="AR"/>
    <m/>
    <n v="94"/>
    <n v="4"/>
    <n v="2"/>
    <m/>
    <m/>
    <n v="3"/>
    <s v="https://www.ar.ch/verwaltung/departement-gesundheit-und-soziales/amt-fuer-gesundheit/informationsseite-coronavirus/"/>
  </r>
  <r>
    <x v="63"/>
    <n v="0.41666666666666669"/>
    <s v="SZ"/>
    <m/>
    <n v="295"/>
    <m/>
    <m/>
    <m/>
    <n v="223"/>
    <n v="20"/>
    <s v="https://www.sz.ch/public/upload/assets/46502/COVID-19_Fallzahlen_Kanton_Schwyz.xlsx"/>
  </r>
  <r>
    <x v="63"/>
    <n v="0.45833333333333331"/>
    <s v="AI"/>
    <m/>
    <n v="25"/>
    <m/>
    <m/>
    <m/>
    <m/>
    <n v="0"/>
    <s v="https://www.ai.ch/themen/gesundheit-alter-und-soziales/gesundheitsfoerderung-und-praevention/uebertragbare-krankheiten/coronavirus"/>
  </r>
  <r>
    <x v="63"/>
    <n v="0.5"/>
    <s v="UR"/>
    <m/>
    <n v="85"/>
    <n v="5"/>
    <m/>
    <m/>
    <n v="71"/>
    <n v="5"/>
    <s v="https://www.ur.ch/themen/2962"/>
  </r>
  <r>
    <x v="63"/>
    <n v="0.5625"/>
    <s v="GL"/>
    <m/>
    <n v="121"/>
    <n v="3"/>
    <m/>
    <m/>
    <m/>
    <n v="8"/>
    <s v="https://www.gl.ch/public/upload/assets/28096/COVID-19_Fallzahlen_Kanton_Glarus.xlsx"/>
  </r>
  <r>
    <x v="63"/>
    <n v="0.60416666666666663"/>
    <s v="ZH"/>
    <m/>
    <n v="3433"/>
    <n v="84"/>
    <m/>
    <n v="19"/>
    <m/>
    <n v="119"/>
    <s v="https://gd.zh.ch/internet/gesundheitsdirektion/de/themen/coronavirus.html"/>
  </r>
  <r>
    <x v="63"/>
    <n v="0.61458333333333337"/>
    <s v="AG"/>
    <m/>
    <n v="1093"/>
    <n v="39"/>
    <n v="12"/>
    <n v="11"/>
    <n v="840"/>
    <n v="33"/>
    <s v="https://www.ag.ch/media/kanton_aargau/themen_1/coronavirus_1/lagebulletins/200428_KFS_Coronavirus_Lagebulletin_42.pdf"/>
  </r>
  <r>
    <x v="63"/>
    <n v="0.63541666666666663"/>
    <s v="OW"/>
    <m/>
    <n v="78"/>
    <n v="1"/>
    <m/>
    <m/>
    <m/>
    <n v="0"/>
    <s v="https://www.ow.ch/de/verwaltung/dienstleistungen/?dienst_id=5962"/>
  </r>
  <r>
    <x v="64"/>
    <m/>
    <s v="BL"/>
    <m/>
    <n v="822"/>
    <n v="12"/>
    <n v="1"/>
    <n v="1"/>
    <n v="752"/>
    <n v="30"/>
    <s v="https://www.baselland.ch/politik-und-behorden/direktionen/volkswirtschafts-und-gesundheitsdirektion/amt-fur-gesundheit/medizinische-dienste/kantonsarztlicher-dienst/aktuelles/covid-19-faelle-kanton-basel-landschaft"/>
  </r>
  <r>
    <x v="64"/>
    <m/>
    <s v="FL"/>
    <m/>
    <n v="82"/>
    <m/>
    <m/>
    <m/>
    <m/>
    <m/>
    <s v="https://www.regierung.li/media/attachments/228-corona-information-lockerungen-0429.pdf?t=637237803125206694"/>
  </r>
  <r>
    <x v="64"/>
    <m/>
    <s v="FR"/>
    <m/>
    <n v="1057"/>
    <n v="48"/>
    <n v="7"/>
    <m/>
    <n v="123"/>
    <n v="78"/>
    <s v="https://www.fr.ch/sites/default/files/2020-05/statistiques_situation_FR_0705.xlsx"/>
  </r>
  <r>
    <x v="64"/>
    <m/>
    <s v="GE"/>
    <n v="25418"/>
    <n v="4916"/>
    <n v="254"/>
    <n v="21"/>
    <n v="19"/>
    <n v="634"/>
    <n v="246"/>
    <s v="https://www.ge.ch/document/20094/telecharger"/>
  </r>
  <r>
    <x v="64"/>
    <m/>
    <s v="GR"/>
    <m/>
    <n v="811"/>
    <n v="23"/>
    <m/>
    <m/>
    <m/>
    <n v="45"/>
    <s v="https://www.gr.ch/DE/institutionen/verwaltung/djsg/ga/coronavirus/_layouts/15/GenericDataFeed/feed.aspx?PageID=26&amp;ID=g_1175d522_e609_4287_93af_d14c9efd5218&amp;FORMAT=JSONRAW"/>
  </r>
  <r>
    <x v="64"/>
    <m/>
    <s v="JU"/>
    <m/>
    <n v="197"/>
    <n v="9"/>
    <n v="5"/>
    <m/>
    <m/>
    <n v="7"/>
    <s v="https://www.jura.ch/Htdocs/Files/v/34356.xlsx/Departements/CHA/SIC/Carrousel/Coronavirus/Cornavirus/Chiffres/donnees_06_05.xlsx?download=1"/>
  </r>
  <r>
    <x v="64"/>
    <m/>
    <s v="LU"/>
    <m/>
    <n v="687"/>
    <n v="31"/>
    <n v="8"/>
    <m/>
    <m/>
    <n v="17"/>
    <s v="https://gesundheit.lu.ch/themen/Humanmedizin/Infektionskrankheiten/Coronavirus"/>
  </r>
  <r>
    <x v="64"/>
    <m/>
    <s v="NE"/>
    <m/>
    <n v="680"/>
    <n v="26"/>
    <n v="4"/>
    <n v="4"/>
    <m/>
    <n v="74"/>
    <s v="https://www.ne.ch/autorites/DFS/SCSP/medecin-cantonal/maladies-vaccinations/Documents/Covid-19-Statistiques/COVID19_PublicationInternet.xlsx"/>
  </r>
  <r>
    <x v="64"/>
    <m/>
    <s v="NW"/>
    <m/>
    <n v="111"/>
    <n v="2"/>
    <n v="0"/>
    <m/>
    <m/>
    <n v="3"/>
    <s v="http://www.nw.ch/coronastatistik"/>
  </r>
  <r>
    <x v="64"/>
    <m/>
    <s v="SG"/>
    <m/>
    <n v="776"/>
    <n v="44"/>
    <n v="10"/>
    <m/>
    <n v="176"/>
    <n v="33"/>
    <s v="https://www.sg.ch/tools/informationen-coronavirus.html"/>
  </r>
  <r>
    <x v="64"/>
    <m/>
    <s v="TG"/>
    <m/>
    <n v="363"/>
    <n v="15"/>
    <n v="7"/>
    <m/>
    <m/>
    <n v="17"/>
    <s v="https://www.tg.ch/news/fachdossier-coronavirus.html/10552"/>
  </r>
  <r>
    <x v="64"/>
    <m/>
    <s v="VD"/>
    <m/>
    <n v="5289"/>
    <n v="149"/>
    <n v="31"/>
    <m/>
    <m/>
    <n v="381"/>
    <s v="https://www.vd.ch/toutes-les-actualites/hotline-et-informations-sur-le-coronavirus/point-de-situation-statistique-dans-le-canton-de-vaud/"/>
  </r>
  <r>
    <x v="64"/>
    <m/>
    <s v="VS"/>
    <m/>
    <n v="1876"/>
    <n v="61"/>
    <n v="11"/>
    <n v="8"/>
    <m/>
    <n v="136"/>
    <s v="https://www.vs.ch/de/web/coronavirus"/>
  </r>
  <r>
    <x v="64"/>
    <n v="0"/>
    <s v="SO"/>
    <m/>
    <n v="384"/>
    <n v="12"/>
    <m/>
    <m/>
    <m/>
    <n v="15"/>
    <s v="https://corona.so.ch/index.php?id=27979"/>
  </r>
  <r>
    <x v="64"/>
    <n v="0.33333333333333331"/>
    <s v="BE"/>
    <m/>
    <n v="1741"/>
    <n v="44"/>
    <n v="10"/>
    <n v="10"/>
    <m/>
    <n v="83"/>
    <s v="https://www.besondere-lage.sites.be.ch/besondere-lage_sites/de/index/corona/index.html"/>
  </r>
  <r>
    <x v="64"/>
    <n v="0.33333333333333331"/>
    <s v="TI"/>
    <m/>
    <n v="3191"/>
    <n v="172"/>
    <n v="29"/>
    <n v="21"/>
    <n v="728"/>
    <n v="318"/>
    <s v="https://www4.ti.ch/fileadmin/DSS/DSP/UMC/malattie_infettive/Coronavirus/dati/COVID19_Dati_TI_per_github.xlsx"/>
  </r>
  <r>
    <x v="64"/>
    <n v="0.33333333333333331"/>
    <s v="ZG"/>
    <m/>
    <n v="185"/>
    <n v="6"/>
    <n v="3"/>
    <m/>
    <n v="135"/>
    <n v="8"/>
    <s v="https://www.zg.ch/behoerden/gesundheitsdirektion/statistikfachstelle/themen/gesundheit/corona"/>
  </r>
  <r>
    <x v="64"/>
    <n v="0.39583333333333331"/>
    <s v="SH"/>
    <m/>
    <n v="74"/>
    <n v="12"/>
    <n v="2"/>
    <m/>
    <m/>
    <n v="6"/>
    <s v="https://sh.ch/CMS/get/file/1142c079-5d62-4035-b9ea-04901bfcdfe9"/>
  </r>
  <r>
    <x v="64"/>
    <n v="0.41666666666666669"/>
    <s v="SZ"/>
    <m/>
    <n v="295"/>
    <m/>
    <m/>
    <m/>
    <n v="224"/>
    <n v="20"/>
    <s v="https://www.sz.ch/public/upload/assets/46502/COVID-19_Fallzahlen_Kanton_Schwyz.xlsx"/>
  </r>
  <r>
    <x v="64"/>
    <n v="0.43055555555555558"/>
    <s v="AR"/>
    <m/>
    <n v="94"/>
    <n v="2"/>
    <n v="2"/>
    <m/>
    <m/>
    <n v="3"/>
    <s v="https://www.ar.ch/verwaltung/departement-gesundheit-und-soziales/amt-fuer-gesundheit/informationsseite-coronavirus/"/>
  </r>
  <r>
    <x v="64"/>
    <n v="0.4375"/>
    <s v="BS"/>
    <m/>
    <n v="946"/>
    <n v="26"/>
    <n v="7"/>
    <m/>
    <n v="810"/>
    <n v="49"/>
    <s v="https://www.gd.bs.ch//nm/2020-tagesbulletin-coronavirus-946-bestaetigte-faelle-im-kanton-basel-stadt-gd.html"/>
  </r>
  <r>
    <x v="64"/>
    <n v="0.45833333333333331"/>
    <s v="AI"/>
    <m/>
    <n v="25"/>
    <m/>
    <m/>
    <m/>
    <m/>
    <n v="0"/>
    <s v="https://www.ai.ch/themen/gesundheit-alter-und-soziales/gesundheitsfoerderung-und-praevention/uebertragbare-krankheiten/coronavirus"/>
  </r>
  <r>
    <x v="64"/>
    <n v="0.5625"/>
    <s v="GL"/>
    <m/>
    <n v="122"/>
    <n v="3"/>
    <m/>
    <m/>
    <m/>
    <n v="9"/>
    <s v="https://www.gl.ch/public/upload/assets/28096/COVID-19_Fallzahlen_Kanton_Glarus.xlsx"/>
  </r>
  <r>
    <x v="64"/>
    <n v="0.58333333333333337"/>
    <s v="UR"/>
    <m/>
    <n v="85"/>
    <n v="5"/>
    <m/>
    <m/>
    <n v="71"/>
    <n v="5"/>
    <s v="https://www.ur.ch/themen/2962"/>
  </r>
  <r>
    <x v="64"/>
    <n v="0.60416666666666663"/>
    <s v="ZH"/>
    <m/>
    <n v="3462"/>
    <n v="82"/>
    <m/>
    <n v="19"/>
    <m/>
    <n v="121"/>
    <s v="https://gd.zh.ch/internet/gesundheitsdirektion/de/themen/coronavirus.html"/>
  </r>
  <r>
    <x v="64"/>
    <n v="0.61458333333333337"/>
    <s v="AG"/>
    <m/>
    <n v="1099"/>
    <n v="38"/>
    <n v="10"/>
    <n v="9"/>
    <n v="850"/>
    <n v="33"/>
    <s v="https://www.ag.ch/media/kanton_aargau/themen_1/coronavirus_1/lagebulletins/200429_KFS_Coronavirus_Lagebulletin_43.pdf"/>
  </r>
  <r>
    <x v="64"/>
    <n v="0.63541666666666663"/>
    <s v="OW"/>
    <m/>
    <n v="78"/>
    <n v="2"/>
    <m/>
    <m/>
    <m/>
    <n v="0"/>
    <s v="https://www.ow.ch/de/verwaltung/dienstleistungen/?dienst_id=5962"/>
  </r>
  <r>
    <x v="65"/>
    <m/>
    <s v="BL"/>
    <m/>
    <n v="824"/>
    <n v="9"/>
    <n v="1"/>
    <n v="1"/>
    <n v="756"/>
    <n v="30"/>
    <s v="https://www.baselland.ch/politik-und-behorden/direktionen/volkswirtschafts-und-gesundheitsdirektion/amt-fur-gesundheit/medizinische-dienste/kantonsarztlicher-dienst/aktuelles/covid-19-faelle-kanton-basel-landschaft"/>
  </r>
  <r>
    <x v="65"/>
    <m/>
    <s v="FL"/>
    <m/>
    <n v="82"/>
    <m/>
    <m/>
    <m/>
    <m/>
    <m/>
    <s v="https://www.regierung.li/media/attachments/229-corona-massnahmen-0430.pdf?t=637238673125266621"/>
  </r>
  <r>
    <x v="65"/>
    <m/>
    <s v="FR"/>
    <m/>
    <n v="1070"/>
    <n v="46"/>
    <n v="6"/>
    <m/>
    <n v="123"/>
    <n v="78"/>
    <s v="https://www.fr.ch/sites/default/files/2020-05/statistiques_situation_FR_0705.xlsx"/>
  </r>
  <r>
    <x v="65"/>
    <m/>
    <s v="GE"/>
    <n v="25631"/>
    <n v="4921"/>
    <n v="252"/>
    <n v="19"/>
    <n v="18"/>
    <n v="640"/>
    <n v="249"/>
    <s v="https://www.ge.ch/document/20094/telecharger"/>
  </r>
  <r>
    <x v="65"/>
    <m/>
    <s v="GR"/>
    <m/>
    <n v="813"/>
    <n v="21"/>
    <m/>
    <m/>
    <m/>
    <n v="45"/>
    <s v="https://www.gr.ch/DE/institutionen/verwaltung/djsg/ga/coronavirus/_layouts/15/GenericDataFeed/feed.aspx?PageID=26&amp;ID=g_1175d522_e609_4287_93af_d14c9efd5218&amp;FORMAT=JSONRAW"/>
  </r>
  <r>
    <x v="65"/>
    <m/>
    <s v="JU"/>
    <m/>
    <n v="198"/>
    <n v="8"/>
    <n v="5"/>
    <m/>
    <m/>
    <n v="7"/>
    <s v="https://www.jura.ch/Htdocs/Files/v/34356.xlsx/Departements/CHA/SIC/Carrousel/Coronavirus/Cornavirus/Chiffres/donnees_06_05.xlsx?download=1"/>
  </r>
  <r>
    <x v="65"/>
    <m/>
    <s v="LU"/>
    <m/>
    <n v="694"/>
    <n v="31"/>
    <n v="8"/>
    <m/>
    <m/>
    <n v="17"/>
    <s v="https://gesundheit.lu.ch/themen/Humanmedizin/Infektionskrankheiten/Coronavirus"/>
  </r>
  <r>
    <x v="65"/>
    <m/>
    <s v="NE"/>
    <m/>
    <n v="685"/>
    <n v="25"/>
    <n v="5"/>
    <n v="4"/>
    <m/>
    <n v="76"/>
    <s v="https://www.ne.ch/autorites/DFS/SCSP/medecin-cantonal/maladies-vaccinations/Documents/Covid-19-Statistiques/COVID19_PublicationInternet.xlsx"/>
  </r>
  <r>
    <x v="65"/>
    <m/>
    <s v="NW"/>
    <m/>
    <n v="113"/>
    <n v="1"/>
    <n v="0"/>
    <m/>
    <m/>
    <n v="3"/>
    <s v="http://www.nw.ch/coronastatistik"/>
  </r>
  <r>
    <x v="65"/>
    <m/>
    <s v="SG"/>
    <m/>
    <n v="780"/>
    <n v="37"/>
    <n v="3"/>
    <m/>
    <n v="184"/>
    <n v="33"/>
    <s v="https://www.sg.ch/tools/informationen-coronavirus.html"/>
  </r>
  <r>
    <x v="65"/>
    <m/>
    <s v="TG"/>
    <m/>
    <n v="365"/>
    <n v="14"/>
    <n v="6"/>
    <m/>
    <m/>
    <n v="17"/>
    <s v="https://www.tg.ch/news/fachdossier-coronavirus.html/10552"/>
  </r>
  <r>
    <x v="65"/>
    <m/>
    <s v="VD"/>
    <m/>
    <n v="5301"/>
    <n v="141"/>
    <n v="27"/>
    <m/>
    <m/>
    <n v="383"/>
    <s v="https://www.vd.ch/toutes-les-actualites/hotline-et-informations-sur-le-coronavirus/point-de-situation-statistique-dans-le-canton-de-vaud/"/>
  </r>
  <r>
    <x v="65"/>
    <m/>
    <s v="VS"/>
    <m/>
    <n v="1882"/>
    <n v="61"/>
    <n v="10"/>
    <n v="8"/>
    <m/>
    <n v="138"/>
    <s v="https://www.vs.ch/de/web/coronavirus"/>
  </r>
  <r>
    <x v="65"/>
    <n v="0"/>
    <s v="SO"/>
    <m/>
    <n v="388"/>
    <n v="12"/>
    <m/>
    <m/>
    <m/>
    <n v="15"/>
    <s v="https://corona.so.ch/index.php?id=27979"/>
  </r>
  <r>
    <x v="65"/>
    <n v="0.33333333333333331"/>
    <s v="BE"/>
    <m/>
    <n v="1757"/>
    <n v="39"/>
    <n v="9"/>
    <n v="9"/>
    <m/>
    <n v="85"/>
    <s v="https://www.besondere-lage.sites.be.ch/besondere-lage_sites/de/index/corona/index.html"/>
  </r>
  <r>
    <x v="65"/>
    <n v="0.33333333333333331"/>
    <s v="TI"/>
    <m/>
    <n v="3210"/>
    <n v="162"/>
    <n v="30"/>
    <n v="23"/>
    <n v="739"/>
    <n v="321"/>
    <s v="https://www4.ti.ch/fileadmin/DSS/DSP/UMC/malattie_infettive/Coronavirus/dati/COVID19_Dati_TI_per_github.xlsx"/>
  </r>
  <r>
    <x v="65"/>
    <n v="0.33333333333333331"/>
    <s v="ZG"/>
    <m/>
    <n v="189"/>
    <n v="6"/>
    <n v="3"/>
    <m/>
    <n v="135"/>
    <n v="8"/>
    <s v="https://www.zg.ch/behoerden/gesundheitsdirektion/statistikfachstelle/themen/gesundheit/corona"/>
  </r>
  <r>
    <x v="65"/>
    <n v="0.375"/>
    <s v="BS"/>
    <m/>
    <n v="951"/>
    <n v="24"/>
    <n v="8"/>
    <m/>
    <n v="828"/>
    <n v="50"/>
    <s v="https://www.gd.bs.ch//nm/2020-tagesbulletin-coronavirus-951-bestaetigte-faelle-im-kanton-basel-stadt-gd.html"/>
  </r>
  <r>
    <x v="65"/>
    <n v="0.39583333333333331"/>
    <s v="SH"/>
    <m/>
    <n v="75"/>
    <n v="8"/>
    <n v="2"/>
    <m/>
    <m/>
    <n v="6"/>
    <s v="https://sh.ch/CMS/get/file/1142c079-5d62-4035-b9ea-04901bfcdfe9"/>
  </r>
  <r>
    <x v="65"/>
    <n v="0.41666666666666669"/>
    <s v="SZ"/>
    <m/>
    <n v="302"/>
    <m/>
    <m/>
    <m/>
    <n v="239"/>
    <n v="20"/>
    <s v="https://www.sz.ch/public/upload/assets/46502/COVID-19_Fallzahlen_Kanton_Schwyz.xlsx"/>
  </r>
  <r>
    <x v="65"/>
    <n v="0.45833333333333331"/>
    <s v="AI"/>
    <m/>
    <n v="25"/>
    <m/>
    <m/>
    <m/>
    <m/>
    <n v="0"/>
    <s v="https://www.ai.ch/themen/gesundheit-alter-und-soziales/gesundheitsfoerderung-und-praevention/uebertragbare-krankheiten/coronavirus"/>
  </r>
  <r>
    <x v="65"/>
    <n v="0.54166666666666663"/>
    <s v="GL"/>
    <m/>
    <n v="122"/>
    <n v="2"/>
    <m/>
    <m/>
    <m/>
    <n v="10"/>
    <s v="https://www.gl.ch/public/upload/assets/28096/COVID-19_Fallzahlen_Kanton_Glarus.xlsx"/>
  </r>
  <r>
    <x v="65"/>
    <n v="0.5625"/>
    <s v="AR"/>
    <m/>
    <n v="95"/>
    <n v="2"/>
    <n v="2"/>
    <m/>
    <m/>
    <n v="3"/>
    <s v="https://www.ar.ch/verwaltung/departement-gesundheit-und-soziales/amt-fuer-gesundheit/informationsseite-coronavirus/"/>
  </r>
  <r>
    <x v="65"/>
    <n v="0.60416666666666663"/>
    <s v="ZH"/>
    <m/>
    <n v="3473"/>
    <n v="61"/>
    <m/>
    <n v="15"/>
    <m/>
    <n v="123"/>
    <s v="https://gd.zh.ch/internet/gesundheitsdirektion/de/themen/coronavirus.html"/>
  </r>
  <r>
    <x v="65"/>
    <n v="0.61458333333333337"/>
    <s v="AG"/>
    <m/>
    <n v="1108"/>
    <n v="33"/>
    <n v="9"/>
    <n v="8"/>
    <n v="870"/>
    <n v="33"/>
    <s v="https://www.ag.ch/media/kanton_aargau/themen_1/coronavirus_1/lagebulletins/200430_KFS_Coronavirus_Lagebulletin_44.pdf"/>
  </r>
  <r>
    <x v="65"/>
    <n v="0.66666666666666663"/>
    <s v="OW"/>
    <m/>
    <n v="78"/>
    <n v="0"/>
    <m/>
    <m/>
    <m/>
    <n v="0"/>
    <s v="https://www.ow.ch/de/verwaltung/dienstleistungen/?dienst_id=5962"/>
  </r>
  <r>
    <x v="65"/>
    <n v="0.66666666666666663"/>
    <s v="UR"/>
    <m/>
    <n v="86"/>
    <n v="4"/>
    <m/>
    <m/>
    <n v="71"/>
    <n v="5"/>
    <s v="https://www.ur.ch/themen/2962"/>
  </r>
  <r>
    <x v="66"/>
    <m/>
    <s v="BL"/>
    <m/>
    <n v="825"/>
    <n v="8"/>
    <n v="1"/>
    <n v="1"/>
    <n v="758"/>
    <n v="32"/>
    <s v="https://www.baselland.ch/politik-und-behorden/direktionen/volkswirtschafts-und-gesundheitsdirektion/amt-fur-gesundheit/medizinische-dienste/kantonsarztlicher-dienst/aktuelles/covid-19-faelle-kanton-basel-landschaft"/>
  </r>
  <r>
    <x v="66"/>
    <m/>
    <s v="FL"/>
    <m/>
    <n v="82"/>
    <m/>
    <m/>
    <m/>
    <m/>
    <m/>
    <s v="https://www.regierung.li/media/attachments/230-corona-immer-noch-82-0501.pdf?t=637239528964359340"/>
  </r>
  <r>
    <x v="66"/>
    <m/>
    <s v="FR"/>
    <m/>
    <n v="1078"/>
    <n v="43"/>
    <n v="5"/>
    <m/>
    <n v="123"/>
    <n v="78"/>
    <s v="https://www.fr.ch/sites/default/files/2020-05/statistiques_situation_FR_0705.xlsx"/>
  </r>
  <r>
    <x v="66"/>
    <m/>
    <s v="GE"/>
    <n v="26099"/>
    <n v="4938"/>
    <n v="242"/>
    <n v="18"/>
    <n v="17"/>
    <n v="658"/>
    <n v="251"/>
    <s v="https://www.ge.ch/document/20094/telecharger"/>
  </r>
  <r>
    <x v="66"/>
    <m/>
    <s v="GR"/>
    <m/>
    <n v="814"/>
    <n v="21"/>
    <m/>
    <m/>
    <m/>
    <n v="45"/>
    <s v="https://www.gr.ch/DE/institutionen/verwaltung/djsg/ga/coronavirus/_layouts/15/GenericDataFeed/feed.aspx?PageID=26&amp;ID=g_1175d522_e609_4287_93af_d14c9efd5218&amp;FORMAT=JSONRAW"/>
  </r>
  <r>
    <x v="66"/>
    <m/>
    <s v="JU"/>
    <m/>
    <n v="198"/>
    <n v="8"/>
    <n v="5"/>
    <m/>
    <m/>
    <n v="7"/>
    <s v="https://www.jura.ch/Htdocs/Files/v/34356.xlsx/Departements/CHA/SIC/Carrousel/Coronavirus/Cornavirus/Chiffres/donnees_06_05.xlsx?download=1"/>
  </r>
  <r>
    <x v="66"/>
    <m/>
    <s v="LU"/>
    <m/>
    <n v="703"/>
    <n v="40"/>
    <n v="8"/>
    <m/>
    <m/>
    <n v="17"/>
    <s v="https://gesundheit.lu.ch/themen/Humanmedizin/Infektionskrankheiten/Coronavirus"/>
  </r>
  <r>
    <x v="66"/>
    <m/>
    <s v="NE"/>
    <m/>
    <n v="687"/>
    <n v="26"/>
    <n v="2"/>
    <n v="2"/>
    <m/>
    <m/>
    <s v="https://www.ne.ch/autorites/DFS/SCSP/medecin-cantonal/maladies-vaccinations/Documents/Covid-19-Statistiques/COVID19_PublicationInternet.xlsx"/>
  </r>
  <r>
    <x v="66"/>
    <m/>
    <s v="NW"/>
    <m/>
    <n v="113"/>
    <n v="1"/>
    <n v="0"/>
    <m/>
    <m/>
    <n v="3"/>
    <s v="http://www.nw.ch/coronastatistik"/>
  </r>
  <r>
    <x v="66"/>
    <m/>
    <s v="SG"/>
    <m/>
    <n v="788"/>
    <n v="36"/>
    <n v="3"/>
    <m/>
    <n v="187"/>
    <n v="33"/>
    <s v="https://www.sg.ch/tools/informationen-coronavirus.html"/>
  </r>
  <r>
    <x v="66"/>
    <m/>
    <s v="TG"/>
    <m/>
    <n v="367"/>
    <n v="14"/>
    <n v="6"/>
    <m/>
    <m/>
    <n v="17"/>
    <s v="https://www.tg.ch/news/fachdossier-coronavirus.html/10552"/>
  </r>
  <r>
    <x v="66"/>
    <m/>
    <s v="VD"/>
    <m/>
    <n v="5315"/>
    <n v="132"/>
    <n v="26"/>
    <m/>
    <m/>
    <n v="385"/>
    <s v="https://www.vd.ch/toutes-les-actualites/hotline-et-informations-sur-le-coronavirus/point-de-situation-statistique-dans-le-canton-de-vaud/"/>
  </r>
  <r>
    <x v="66"/>
    <m/>
    <s v="VS"/>
    <m/>
    <n v="1886"/>
    <n v="59"/>
    <n v="10"/>
    <n v="8"/>
    <m/>
    <n v="138"/>
    <s v="https://www.vs.ch/de/web/coronavirus"/>
  </r>
  <r>
    <x v="66"/>
    <n v="0"/>
    <s v="SO"/>
    <m/>
    <n v="390"/>
    <n v="12"/>
    <m/>
    <m/>
    <m/>
    <n v="15"/>
    <s v="https://corona.so.ch/index.php?id=27979"/>
  </r>
  <r>
    <x v="66"/>
    <n v="0.33333333333333331"/>
    <s v="BE"/>
    <m/>
    <n v="1767"/>
    <n v="40"/>
    <n v="9"/>
    <n v="7"/>
    <m/>
    <n v="86"/>
    <s v="https://www.besondere-lage.sites.be.ch/besondere-lage_sites/de/index/corona/index.html"/>
  </r>
  <r>
    <x v="66"/>
    <n v="0.33333333333333331"/>
    <s v="TI"/>
    <m/>
    <n v="3218"/>
    <n v="142"/>
    <n v="25"/>
    <n v="20"/>
    <n v="764"/>
    <n v="322"/>
    <s v="https://www4.ti.ch/fileadmin/DSS/DSP/UMC/malattie_infettive/Coronavirus/dati/COVID19_Dati_TI_per_github.xlsx"/>
  </r>
  <r>
    <x v="66"/>
    <n v="0.33333333333333331"/>
    <s v="ZG"/>
    <m/>
    <n v="189"/>
    <n v="4"/>
    <n v="1"/>
    <m/>
    <n v="136"/>
    <n v="8"/>
    <s v="https://www.zg.ch/behoerden/gesundheitsdirektion/statistikfachstelle/themen/gesundheit/corona"/>
  </r>
  <r>
    <x v="66"/>
    <n v="0.39583333333333331"/>
    <s v="SH"/>
    <m/>
    <n v="75"/>
    <n v="7"/>
    <n v="2"/>
    <m/>
    <m/>
    <n v="6"/>
    <s v="https://sh.ch/CMS/get/file/1142c079-5d62-4035-b9ea-04901bfcdfe9"/>
  </r>
  <r>
    <x v="66"/>
    <n v="0.41666666666666669"/>
    <s v="BS"/>
    <m/>
    <n v="952"/>
    <m/>
    <m/>
    <m/>
    <n v="833"/>
    <n v="50"/>
    <s v="https://www.gd.bs.ch//nm/2020-tagesbulletin-coronavirus-958-bestaetigte-faelle-im-kanton-basel-stadt-gd.html"/>
  </r>
  <r>
    <x v="66"/>
    <n v="0.41666666666666669"/>
    <s v="SZ"/>
    <m/>
    <n v="303"/>
    <m/>
    <m/>
    <m/>
    <n v="242"/>
    <n v="21"/>
    <s v="https://www.sz.ch/public/upload/assets/46502/COVID-19_Fallzahlen_Kanton_Schwyz.xlsx"/>
  </r>
  <r>
    <x v="66"/>
    <n v="0.45833333333333331"/>
    <s v="AI"/>
    <m/>
    <n v="25"/>
    <m/>
    <m/>
    <m/>
    <m/>
    <n v="0"/>
    <s v="https://www.ai.ch/themen/gesundheit-alter-und-soziales/gesundheitsfoerderung-und-praevention/uebertragbare-krankheiten/coronavirus"/>
  </r>
  <r>
    <x v="66"/>
    <n v="0.52083333333333337"/>
    <s v="AR"/>
    <m/>
    <n v="96"/>
    <n v="6"/>
    <n v="2"/>
    <m/>
    <m/>
    <n v="3"/>
    <s v="https://www.ar.ch/verwaltung/departement-gesundheit-und-soziales/amt-fuer-gesundheit/informationsseite-coronavirus/"/>
  </r>
  <r>
    <x v="66"/>
    <n v="0.54166666666666663"/>
    <s v="GL"/>
    <m/>
    <n v="122"/>
    <n v="2"/>
    <m/>
    <m/>
    <m/>
    <n v="11"/>
    <s v="https://www.gl.ch/public/upload/assets/28096/COVID-19_Fallzahlen_Kanton_Glarus.xlsx"/>
  </r>
  <r>
    <x v="66"/>
    <n v="0.60416666666666663"/>
    <s v="ZH"/>
    <m/>
    <n v="3486"/>
    <n v="43"/>
    <m/>
    <n v="14"/>
    <m/>
    <n v="123"/>
    <s v="https://gd.zh.ch/internet/gesundheitsdirektion/de/themen/coronavirus.html"/>
  </r>
  <r>
    <x v="66"/>
    <n v="0.61458333333333337"/>
    <s v="AG"/>
    <m/>
    <n v="1112"/>
    <n v="34"/>
    <n v="11"/>
    <n v="8"/>
    <n v="890"/>
    <n v="34"/>
    <s v="https://www.ag.ch/media/kanton_aargau/themen_1/coronavirus_1/lagebulletins/200501_KFS_Coronavirus_Lagebulletin_45.pdf"/>
  </r>
  <r>
    <x v="66"/>
    <n v="0.625"/>
    <s v="OW"/>
    <m/>
    <n v="78"/>
    <n v="0"/>
    <m/>
    <m/>
    <m/>
    <n v="0"/>
    <s v="https://www.ow.ch/de/verwaltung/dienstleistungen/?dienst_id=5962"/>
  </r>
  <r>
    <x v="66"/>
    <n v="0.64583333333333337"/>
    <s v="UR"/>
    <m/>
    <n v="87"/>
    <n v="3"/>
    <m/>
    <m/>
    <n v="72"/>
    <n v="6"/>
    <s v="https://www.ur.ch/themen/2962"/>
  </r>
  <r>
    <x v="67"/>
    <m/>
    <s v="AG"/>
    <m/>
    <n v="1124"/>
    <m/>
    <m/>
    <m/>
    <m/>
    <m/>
    <s v="https://www.ag.ch/media/kanton_aargau/themen_1/coronavirus_1/lagebulletins/200504_KFS_Coronavirus_Lagebulletin_46.pdf"/>
  </r>
  <r>
    <x v="67"/>
    <m/>
    <s v="BL"/>
    <m/>
    <n v="828"/>
    <n v="8"/>
    <n v="2"/>
    <n v="2"/>
    <n v="762"/>
    <n v="32"/>
    <s v="https://www.baselland.ch/politik-und-behorden/direktionen/volkswirtschafts-und-gesundheitsdirektion/amt-fur-gesundheit/medizinische-dienste/kantonsarztlicher-dienst/aktuelles/covid-19-faelle-kanton-basel-landschaft"/>
  </r>
  <r>
    <x v="67"/>
    <m/>
    <s v="FL"/>
    <m/>
    <n v="82"/>
    <m/>
    <m/>
    <m/>
    <m/>
    <m/>
    <s v="https://www.regierung.li/media/attachments/231-corona-samstag-keine-neuen-faelle-0502.pdf?t=637240398540917983"/>
  </r>
  <r>
    <x v="67"/>
    <m/>
    <s v="FR"/>
    <m/>
    <n v="1092"/>
    <n v="38"/>
    <n v="4"/>
    <m/>
    <n v="129"/>
    <n v="79"/>
    <s v="https://www.fr.ch/sites/default/files/2020-05/statistiques_situation_FR_0705.xlsx"/>
  </r>
  <r>
    <x v="67"/>
    <m/>
    <s v="GE"/>
    <n v="26384"/>
    <n v="4943"/>
    <n v="235"/>
    <n v="17"/>
    <n v="17"/>
    <n v="660"/>
    <n v="253"/>
    <s v="https://www.ge.ch/document/20094/telecharger"/>
  </r>
  <r>
    <x v="67"/>
    <m/>
    <s v="GR"/>
    <m/>
    <n v="816"/>
    <n v="19"/>
    <m/>
    <m/>
    <m/>
    <n v="45"/>
    <s v="https://www.gr.ch/DE/institutionen/verwaltung/djsg/ga/coronavirus/_layouts/15/GenericDataFeed/feed.aspx?PageID=26&amp;ID=g_1175d522_e609_4287_93af_d14c9efd5218&amp;FORMAT=JSONRAW"/>
  </r>
  <r>
    <x v="67"/>
    <m/>
    <s v="JU"/>
    <m/>
    <n v="198"/>
    <n v="8"/>
    <n v="5"/>
    <m/>
    <m/>
    <n v="7"/>
    <s v="https://www.jura.ch/Htdocs/Files/v/34356.xlsx/Departements/CHA/SIC/Carrousel/Coronavirus/Cornavirus/Chiffres/donnees_06_05.xlsx?download=1"/>
  </r>
  <r>
    <x v="67"/>
    <m/>
    <s v="LU"/>
    <m/>
    <n v="704"/>
    <n v="40"/>
    <n v="8"/>
    <m/>
    <m/>
    <n v="17"/>
    <s v="https://gesundheit.lu.ch/themen/Humanmedizin/Infektionskrankheiten/Coronavirus"/>
  </r>
  <r>
    <x v="67"/>
    <m/>
    <s v="NE"/>
    <m/>
    <n v="687"/>
    <n v="26"/>
    <n v="2"/>
    <n v="2"/>
    <m/>
    <m/>
    <s v="https://www.ne.ch/autorites/DFS/SCSP/medecin-cantonal/maladies-vaccinations/Documents/Covid-19-Statistiques/COVID19_PublicationInternet.xlsx"/>
  </r>
  <r>
    <x v="67"/>
    <m/>
    <s v="NW"/>
    <m/>
    <n v="113"/>
    <n v="1"/>
    <n v="0"/>
    <m/>
    <m/>
    <n v="3"/>
    <s v="http://www.nw.ch/coronastatistik"/>
  </r>
  <r>
    <x v="67"/>
    <m/>
    <s v="TG"/>
    <m/>
    <n v="368"/>
    <n v="14"/>
    <n v="5"/>
    <m/>
    <m/>
    <n v="17"/>
    <s v="https://www.tg.ch/news/fachdossier-coronavirus.html/10552"/>
  </r>
  <r>
    <x v="67"/>
    <m/>
    <s v="VD"/>
    <m/>
    <n v="5324"/>
    <n v="113"/>
    <n v="24"/>
    <m/>
    <m/>
    <n v="387"/>
    <s v="https://www.vd.ch/toutes-les-actualites/hotline-et-informations-sur-le-coronavirus/point-de-situation-statistique-dans-le-canton-de-vaud/"/>
  </r>
  <r>
    <x v="67"/>
    <m/>
    <s v="VS"/>
    <m/>
    <n v="1888"/>
    <n v="59"/>
    <n v="10"/>
    <n v="8"/>
    <m/>
    <n v="140"/>
    <s v="https://www.vs.ch/de/web/coronavirus"/>
  </r>
  <r>
    <x v="67"/>
    <n v="0"/>
    <s v="SO"/>
    <m/>
    <n v="392"/>
    <n v="11"/>
    <m/>
    <m/>
    <m/>
    <n v="15"/>
    <s v="https://corona.so.ch/index.php?id=27979"/>
  </r>
  <r>
    <x v="67"/>
    <n v="6.9444444444444447E-4"/>
    <s v="SZ"/>
    <m/>
    <n v="304"/>
    <m/>
    <m/>
    <m/>
    <n v="246"/>
    <n v="21"/>
    <s v="https://www.sz.ch/public/upload/assets/46502/COVID-19_Fallzahlen_Kanton_Schwyz.xlsx"/>
  </r>
  <r>
    <x v="67"/>
    <n v="0.33333333333333331"/>
    <s v="BE"/>
    <m/>
    <n v="1779"/>
    <n v="44"/>
    <n v="9"/>
    <n v="6"/>
    <m/>
    <n v="90"/>
    <s v="https://www.besondere-lage.sites.be.ch/besondere-lage_sites/de/index/corona/index.html"/>
  </r>
  <r>
    <x v="67"/>
    <n v="0.33333333333333331"/>
    <s v="TI"/>
    <m/>
    <n v="3225"/>
    <n v="134"/>
    <n v="23"/>
    <n v="16"/>
    <n v="774"/>
    <n v="323"/>
    <s v="https://www4.ti.ch/fileadmin/DSS/DSP/UMC/malattie_infettive/Coronavirus/dati/COVID19_Dati_TI_per_github.xlsx"/>
  </r>
  <r>
    <x v="67"/>
    <n v="0.33333333333333331"/>
    <s v="ZG"/>
    <m/>
    <n v="189"/>
    <n v="3"/>
    <n v="1"/>
    <m/>
    <n v="136"/>
    <n v="8"/>
    <s v="https://www.zg.ch/behoerden/gesundheitsdirektion/statistikfachstelle/themen/gesundheit/corona"/>
  </r>
  <r>
    <x v="67"/>
    <n v="0.39583333333333331"/>
    <s v="SH"/>
    <m/>
    <n v="75"/>
    <n v="7"/>
    <n v="2"/>
    <m/>
    <m/>
    <n v="6"/>
    <s v="https://sh.ch/CMS/get/file/1142c079-5d62-4035-b9ea-04901bfcdfe9"/>
  </r>
  <r>
    <x v="67"/>
    <n v="0.41666666666666669"/>
    <s v="BS"/>
    <m/>
    <n v="955"/>
    <m/>
    <m/>
    <m/>
    <n v="835"/>
    <n v="50"/>
    <s v="https://www.gd.bs.ch//nm/2020-tagesbulletin-coronavirus-958-bestaetigte-faelle-im-kanton-basel-stadt-gd.html"/>
  </r>
  <r>
    <x v="67"/>
    <n v="0.52083333333333337"/>
    <s v="AR"/>
    <m/>
    <n v="96"/>
    <n v="3"/>
    <n v="2"/>
    <m/>
    <m/>
    <n v="3"/>
    <s v="https://www.ar.ch/verwaltung/departement-gesundheit-und-soziales/amt-fuer-gesundheit/informationsseite-coronavirus/"/>
  </r>
  <r>
    <x v="67"/>
    <n v="0.54166666666666663"/>
    <s v="GL"/>
    <m/>
    <n v="122"/>
    <n v="2"/>
    <m/>
    <m/>
    <m/>
    <n v="11"/>
    <s v="https://www.gl.ch/public/upload/assets/28096/COVID-19_Fallzahlen_Kanton_Glarus.xlsx"/>
  </r>
  <r>
    <x v="67"/>
    <n v="0.60416666666666663"/>
    <s v="ZH"/>
    <m/>
    <n v="3489"/>
    <n v="41"/>
    <m/>
    <n v="13"/>
    <m/>
    <n v="123"/>
    <s v="https://gd.zh.ch/internet/gesundheitsdirektion/de/themen/coronavirus.html"/>
  </r>
  <r>
    <x v="67"/>
    <n v="0.625"/>
    <s v="UR"/>
    <m/>
    <n v="89"/>
    <n v="0"/>
    <m/>
    <m/>
    <n v="72"/>
    <n v="6"/>
    <s v="https://www.ur.ch/themen/2962"/>
  </r>
  <r>
    <x v="68"/>
    <m/>
    <s v="AG"/>
    <m/>
    <n v="1129"/>
    <m/>
    <m/>
    <m/>
    <m/>
    <m/>
    <s v="https://www.ag.ch/media/kanton_aargau/themen_1/coronavirus_1/lagebulletins/200504_KFS_Coronavirus_Lagebulletin_46.pdf"/>
  </r>
  <r>
    <x v="68"/>
    <m/>
    <s v="BL"/>
    <m/>
    <n v="828"/>
    <n v="10"/>
    <n v="1"/>
    <n v="1"/>
    <n v="767"/>
    <n v="32"/>
    <s v="https://www.baselland.ch/politik-und-behorden/direktionen/volkswirtschafts-und-gesundheitsdirektion/amt-fur-gesundheit/medizinische-dienste/kantonsarztlicher-dienst/aktuelles/covid-19-faelle-kanton-basel-landschaft"/>
  </r>
  <r>
    <x v="68"/>
    <m/>
    <s v="FL"/>
    <m/>
    <n v="82"/>
    <m/>
    <m/>
    <m/>
    <m/>
    <m/>
    <s v="https://www.regierung.li/de/mitteilungen/223445/?typ=news"/>
  </r>
  <r>
    <x v="68"/>
    <m/>
    <s v="FR"/>
    <m/>
    <n v="1097"/>
    <n v="35"/>
    <n v="4"/>
    <m/>
    <n v="130"/>
    <n v="79"/>
    <s v="https://www.fr.ch/sites/default/files/2020-05/statistiques_situation_FR_0705.xlsx"/>
  </r>
  <r>
    <x v="68"/>
    <m/>
    <s v="GE"/>
    <n v="26551"/>
    <n v="4947"/>
    <n v="238"/>
    <n v="17"/>
    <n v="16"/>
    <n v="660"/>
    <n v="254"/>
    <s v="https://www.ge.ch/document/20094/telecharger"/>
  </r>
  <r>
    <x v="68"/>
    <m/>
    <s v="GR"/>
    <m/>
    <n v="816"/>
    <n v="18"/>
    <m/>
    <m/>
    <m/>
    <n v="45"/>
    <s v="https://www.gr.ch/DE/institutionen/verwaltung/djsg/ga/coronavirus/_layouts/15/GenericDataFeed/feed.aspx?PageID=26&amp;ID=g_1175d522_e609_4287_93af_d14c9efd5218&amp;FORMAT=JSONRAW"/>
  </r>
  <r>
    <x v="68"/>
    <m/>
    <s v="JU"/>
    <m/>
    <n v="198"/>
    <n v="8"/>
    <n v="5"/>
    <m/>
    <m/>
    <n v="7"/>
    <s v="https://www.jura.ch/Htdocs/Files/v/34356.xlsx/Departements/CHA/SIC/Carrousel/Coronavirus/Cornavirus/Chiffres/donnees_06_05.xlsx?download=1"/>
  </r>
  <r>
    <x v="68"/>
    <m/>
    <s v="LU"/>
    <m/>
    <n v="705"/>
    <n v="40"/>
    <n v="7"/>
    <m/>
    <m/>
    <n v="18"/>
    <s v="https://gesundheit.lu.ch/themen/Humanmedizin/Infektionskrankheiten/Coronavirus"/>
  </r>
  <r>
    <x v="68"/>
    <m/>
    <s v="NE"/>
    <m/>
    <n v="688"/>
    <n v="26"/>
    <n v="2"/>
    <n v="2"/>
    <m/>
    <m/>
    <s v="https://www.ne.ch/autorites/DFS/SCSP/medecin-cantonal/maladies-vaccinations/Documents/Covid-19-Statistiques/COVID19_PublicationInternet.xlsx"/>
  </r>
  <r>
    <x v="68"/>
    <m/>
    <s v="NW"/>
    <m/>
    <n v="113"/>
    <n v="1"/>
    <n v="0"/>
    <m/>
    <m/>
    <n v="3"/>
    <s v="http://www.nw.ch/coronastatistik"/>
  </r>
  <r>
    <x v="68"/>
    <m/>
    <s v="TG"/>
    <m/>
    <n v="368"/>
    <n v="14"/>
    <n v="5"/>
    <m/>
    <m/>
    <n v="17"/>
    <s v="https://www.tg.ch/news/fachdossier-coronavirus.html/10552"/>
  </r>
  <r>
    <x v="68"/>
    <m/>
    <s v="VD"/>
    <m/>
    <n v="5328"/>
    <n v="114"/>
    <n v="23"/>
    <m/>
    <m/>
    <n v="388"/>
    <s v="https://www.vd.ch/toutes-les-actualites/hotline-et-informations-sur-le-coronavirus/point-de-situation-statistique-dans-le-canton-de-vaud/"/>
  </r>
  <r>
    <x v="68"/>
    <m/>
    <s v="VS"/>
    <m/>
    <n v="1890"/>
    <n v="59"/>
    <n v="10"/>
    <n v="8"/>
    <m/>
    <n v="142"/>
    <s v="https://www.vs.ch/de/web/coronavirus"/>
  </r>
  <r>
    <x v="68"/>
    <n v="0"/>
    <s v="SO"/>
    <m/>
    <n v="398"/>
    <n v="11"/>
    <m/>
    <m/>
    <m/>
    <n v="15"/>
    <s v="https://corona.so.ch/index.php?id=27979"/>
  </r>
  <r>
    <x v="68"/>
    <n v="6.9444444444444447E-4"/>
    <s v="SZ"/>
    <m/>
    <n v="304"/>
    <m/>
    <m/>
    <m/>
    <n v="248"/>
    <n v="21"/>
    <s v="https://www.sz.ch/public/upload/assets/46502/COVID-19_Fallzahlen_Kanton_Schwyz.xlsx"/>
  </r>
  <r>
    <x v="68"/>
    <n v="0.33333333333333331"/>
    <s v="BE"/>
    <m/>
    <n v="1791"/>
    <n v="41"/>
    <n v="10"/>
    <n v="7"/>
    <m/>
    <n v="90"/>
    <s v="https://www.besondere-lage.sites.be.ch/besondere-lage_sites/de/index/corona/index.html"/>
  </r>
  <r>
    <x v="68"/>
    <n v="0.33333333333333331"/>
    <s v="TI"/>
    <m/>
    <n v="3235"/>
    <n v="132"/>
    <n v="23"/>
    <n v="16"/>
    <n v="779"/>
    <n v="324"/>
    <s v="https://www4.ti.ch/fileadmin/DSS/DSP/UMC/malattie_infettive/Coronavirus/dati/COVID19_Dati_TI_per_github.xlsx"/>
  </r>
  <r>
    <x v="68"/>
    <n v="0.33333333333333331"/>
    <s v="ZG"/>
    <m/>
    <n v="189"/>
    <n v="3"/>
    <n v="1"/>
    <m/>
    <n v="137"/>
    <n v="8"/>
    <s v="https://www.zg.ch/behoerden/gesundheitsdirektion/statistikfachstelle/themen/gesundheit/corona"/>
  </r>
  <r>
    <x v="68"/>
    <n v="0.39583333333333331"/>
    <s v="SH"/>
    <m/>
    <n v="75"/>
    <n v="6"/>
    <n v="2"/>
    <m/>
    <m/>
    <n v="6"/>
    <s v="https://sh.ch/CMS/get/file/1142c079-5d62-4035-b9ea-04901bfcdfe9"/>
  </r>
  <r>
    <x v="68"/>
    <n v="0.41666666666666669"/>
    <s v="BS"/>
    <m/>
    <n v="956"/>
    <m/>
    <m/>
    <m/>
    <n v="839"/>
    <n v="50"/>
    <s v="https://www.gd.bs.ch//nm/2020-tagesbulletin-coronavirus-958-bestaetigte-faelle-im-kanton-basel-stadt-gd.html"/>
  </r>
  <r>
    <x v="68"/>
    <n v="0.54166666666666663"/>
    <s v="GL"/>
    <m/>
    <n v="122"/>
    <n v="2"/>
    <m/>
    <m/>
    <m/>
    <n v="11"/>
    <s v="https://www.gl.ch/public/upload/assets/28096/COVID-19_Fallzahlen_Kanton_Glarus.xlsx"/>
  </r>
  <r>
    <x v="68"/>
    <n v="0.54166666666666663"/>
    <s v="UR"/>
    <m/>
    <n v="90"/>
    <n v="0"/>
    <m/>
    <m/>
    <n v="72"/>
    <n v="6"/>
    <s v="https://www.ur.ch/themen/2962"/>
  </r>
  <r>
    <x v="68"/>
    <n v="0.5625"/>
    <s v="AR"/>
    <m/>
    <n v="97"/>
    <n v="3"/>
    <n v="2"/>
    <m/>
    <m/>
    <n v="3"/>
    <s v="https://www.ar.ch/verwaltung/departement-gesundheit-und-soziales/amt-fuer-gesundheit/informationsseite-coronavirus/"/>
  </r>
  <r>
    <x v="68"/>
    <n v="0.60416666666666663"/>
    <s v="ZH"/>
    <m/>
    <n v="3493"/>
    <n v="42"/>
    <m/>
    <n v="12"/>
    <m/>
    <n v="123"/>
    <s v="https://gd.zh.ch/internet/gesundheitsdirektion/de/themen/coronavirus.html"/>
  </r>
  <r>
    <x v="69"/>
    <m/>
    <s v="BL"/>
    <m/>
    <n v="828"/>
    <n v="9"/>
    <n v="1"/>
    <n v="1"/>
    <n v="769"/>
    <n v="32"/>
    <s v="https://www.baselland.ch/politik-und-behorden/direktionen/volkswirtschafts-und-gesundheitsdirektion/amt-fur-gesundheit/medizinische-dienste/kantonsarztlicher-dienst/aktuelles/covid-19-faelle-kanton-basel-landschaft"/>
  </r>
  <r>
    <x v="69"/>
    <m/>
    <s v="FL"/>
    <m/>
    <n v="82"/>
    <m/>
    <m/>
    <m/>
    <m/>
    <m/>
    <s v="https://www.regierung.li/media/attachments/238-corona-oeffnung-von-bildungseinrichtungen-0505.pdf?t=637243077631918468"/>
  </r>
  <r>
    <x v="69"/>
    <m/>
    <s v="FR"/>
    <m/>
    <n v="1102"/>
    <n v="36"/>
    <n v="4"/>
    <m/>
    <n v="130"/>
    <n v="79"/>
    <s v="https://www.fr.ch/sites/default/files/2020-05/statistiques_situation_FR_0705.xlsx"/>
  </r>
  <r>
    <x v="69"/>
    <m/>
    <s v="GE"/>
    <n v="26873"/>
    <n v="4951"/>
    <n v="236"/>
    <n v="17"/>
    <n v="16"/>
    <n v="661"/>
    <n v="254"/>
    <s v="https://www.ge.ch/document/20094/telecharger"/>
  </r>
  <r>
    <x v="69"/>
    <m/>
    <s v="GR"/>
    <m/>
    <n v="816"/>
    <n v="16"/>
    <m/>
    <m/>
    <m/>
    <n v="45"/>
    <s v="https://www.gr.ch/DE/institutionen/verwaltung/djsg/ga/coronavirus/_layouts/15/GenericDataFeed/feed.aspx?PageID=26&amp;ID=g_1175d522_e609_4287_93af_d14c9efd5218&amp;FORMAT=JSONRAW"/>
  </r>
  <r>
    <x v="69"/>
    <m/>
    <s v="JU"/>
    <m/>
    <n v="198"/>
    <n v="8"/>
    <n v="5"/>
    <m/>
    <m/>
    <n v="7"/>
    <s v="https://www.jura.ch/Htdocs/Files/v/34356.xlsx/Departements/CHA/SIC/Carrousel/Coronavirus/Cornavirus/Chiffres/donnees_06_05.xlsx?download=1"/>
  </r>
  <r>
    <x v="69"/>
    <m/>
    <s v="LU"/>
    <m/>
    <n v="705"/>
    <n v="34"/>
    <n v="6"/>
    <m/>
    <m/>
    <n v="18"/>
    <s v="https://gesundheit.lu.ch/themen/Humanmedizin/Infektionskrankheiten/Coronavirus"/>
  </r>
  <r>
    <x v="69"/>
    <m/>
    <s v="NE"/>
    <m/>
    <n v="689"/>
    <n v="25"/>
    <n v="3"/>
    <n v="3"/>
    <m/>
    <m/>
    <s v="https://www.ne.ch/autorites/DFS/SCSP/medecin-cantonal/maladies-vaccinations/Documents/Covid-19-Statistiques/COVID19_PublicationInternet.xlsx"/>
  </r>
  <r>
    <x v="69"/>
    <m/>
    <s v="NW"/>
    <m/>
    <n v="113"/>
    <n v="1"/>
    <n v="0"/>
    <m/>
    <m/>
    <n v="3"/>
    <s v="http://www.nw.ch/coronastatistik"/>
  </r>
  <r>
    <x v="69"/>
    <m/>
    <s v="SG"/>
    <m/>
    <n v="793"/>
    <n v="29"/>
    <n v="2"/>
    <m/>
    <n v="189"/>
    <n v="33"/>
    <s v="https://www.sg.ch/tools/informationen-coronavirus.html"/>
  </r>
  <r>
    <x v="69"/>
    <m/>
    <s v="TG"/>
    <m/>
    <n v="372"/>
    <n v="14"/>
    <n v="5"/>
    <m/>
    <m/>
    <n v="17"/>
    <s v="https://www.tg.ch/news/fachdossier-coronavirus.html/10552"/>
  </r>
  <r>
    <x v="69"/>
    <m/>
    <s v="VD"/>
    <m/>
    <n v="5334"/>
    <n v="114"/>
    <n v="23"/>
    <m/>
    <m/>
    <n v="388"/>
    <s v="https://www.vd.ch/toutes-les-actualites/hotline-et-informations-sur-le-coronavirus/point-de-situation-statistique-dans-le-canton-de-vaud/"/>
  </r>
  <r>
    <x v="69"/>
    <m/>
    <s v="VS"/>
    <m/>
    <n v="1897"/>
    <n v="54"/>
    <n v="10"/>
    <n v="7"/>
    <m/>
    <n v="142"/>
    <s v="https://www.vs.ch/de/web/coronavirus"/>
  </r>
  <r>
    <x v="69"/>
    <n v="0"/>
    <s v="SO"/>
    <m/>
    <n v="400"/>
    <n v="11"/>
    <m/>
    <m/>
    <m/>
    <n v="15"/>
    <s v="https://corona.so.ch/index.php?id=27979"/>
  </r>
  <r>
    <x v="69"/>
    <n v="0.33333333333333331"/>
    <s v="AI"/>
    <m/>
    <n v="25"/>
    <m/>
    <m/>
    <m/>
    <m/>
    <n v="0"/>
    <s v="https://www.ai.ch/themen/gesundheit-alter-und-soziales/gesundheitsfoerderung-und-praevention/uebertragbare-krankheiten/coronavirus"/>
  </r>
  <r>
    <x v="69"/>
    <n v="0.33333333333333331"/>
    <s v="AR"/>
    <m/>
    <n v="97"/>
    <n v="6"/>
    <n v="2"/>
    <m/>
    <m/>
    <n v="3"/>
    <s v="https://www.ar.ch/verwaltung/departement-gesundheit-und-soziales/amt-fuer-gesundheit/informationsseite-coronavirus/"/>
  </r>
  <r>
    <x v="69"/>
    <n v="0.33333333333333331"/>
    <s v="BE"/>
    <m/>
    <n v="1796"/>
    <n v="35"/>
    <n v="8"/>
    <n v="7"/>
    <m/>
    <n v="90"/>
    <s v="https://www.besondere-lage.sites.be.ch/besondere-lage_sites/de/index/corona/index.html"/>
  </r>
  <r>
    <x v="69"/>
    <n v="0.33333333333333331"/>
    <s v="TI"/>
    <m/>
    <n v="3238"/>
    <n v="129"/>
    <n v="22"/>
    <n v="15"/>
    <n v="782"/>
    <n v="326"/>
    <s v="https://www4.ti.ch/fileadmin/DSS/DSP/UMC/malattie_infettive/Coronavirus/dati/COVID19_Dati_TI_per_github.xlsx"/>
  </r>
  <r>
    <x v="69"/>
    <n v="0.33333333333333331"/>
    <s v="ZG"/>
    <m/>
    <n v="190"/>
    <n v="3"/>
    <n v="1"/>
    <m/>
    <n v="138"/>
    <n v="8"/>
    <s v="https://www.zg.ch/behoerden/gesundheitsdirektion/statistikfachstelle/themen/gesundheit/corona"/>
  </r>
  <r>
    <x v="69"/>
    <n v="0.39583333333333331"/>
    <s v="SH"/>
    <m/>
    <n v="75"/>
    <n v="4"/>
    <n v="2"/>
    <m/>
    <m/>
    <n v="6"/>
    <s v="https://sh.ch/CMS/get/file/1142c079-5d62-4035-b9ea-04901bfcdfe9"/>
  </r>
  <r>
    <x v="69"/>
    <n v="0.41666666666666669"/>
    <s v="BS"/>
    <m/>
    <n v="958"/>
    <m/>
    <m/>
    <m/>
    <n v="840"/>
    <n v="50"/>
    <s v="https://www.gd.bs.ch//nm/2020-tagesbulletin-coronavirus-958-bestaetigte-faelle-im-kanton-basel-stadt-gd.html"/>
  </r>
  <r>
    <x v="69"/>
    <n v="0.41666666666666669"/>
    <s v="SZ"/>
    <m/>
    <n v="305"/>
    <m/>
    <m/>
    <m/>
    <n v="248"/>
    <n v="21"/>
    <s v="https://www.sz.ch/public/upload/assets/46502/COVID-19_Fallzahlen_Kanton_Schwyz.xlsx"/>
  </r>
  <r>
    <x v="69"/>
    <n v="0.54166666666666663"/>
    <s v="GL"/>
    <m/>
    <n v="122"/>
    <n v="2"/>
    <m/>
    <m/>
    <m/>
    <n v="12"/>
    <s v="https://www.gl.ch/public/upload/assets/28096/COVID-19_Fallzahlen_Kanton_Glarus.xlsx"/>
  </r>
  <r>
    <x v="69"/>
    <n v="0.58333333333333337"/>
    <s v="UR"/>
    <m/>
    <n v="91"/>
    <n v="2"/>
    <m/>
    <m/>
    <n v="72"/>
    <n v="6"/>
    <s v="https://www.ur.ch/themen/2962"/>
  </r>
  <r>
    <x v="69"/>
    <n v="0.60416666666666663"/>
    <s v="ZH"/>
    <m/>
    <n v="3495"/>
    <n v="43"/>
    <m/>
    <n v="11"/>
    <m/>
    <n v="123"/>
    <s v="https://gd.zh.ch/internet/gesundheitsdirektion/de/themen/coronavirus.html"/>
  </r>
  <r>
    <x v="69"/>
    <n v="0.61458333333333337"/>
    <s v="AG"/>
    <m/>
    <n v="1133"/>
    <n v="38"/>
    <n v="5"/>
    <n v="4"/>
    <n v="940"/>
    <n v="36"/>
    <s v="https://www.ag.ch/media/kanton_aargau/themen_1/coronavirus_1/lagebulletins/200504_KFS_Coronavirus_Lagebulletin_46.pdf"/>
  </r>
  <r>
    <x v="69"/>
    <n v="0.625"/>
    <s v="OW"/>
    <m/>
    <n v="79"/>
    <n v="0"/>
    <m/>
    <m/>
    <m/>
    <n v="0"/>
    <s v="https://www.ow.ch/de/verwaltung/dienstleistungen/?dienst_id=5962"/>
  </r>
  <r>
    <x v="70"/>
    <m/>
    <s v="BL"/>
    <m/>
    <n v="829"/>
    <n v="8"/>
    <n v="1"/>
    <n v="1"/>
    <n v="773"/>
    <n v="32"/>
    <s v="https://www.baselland.ch/politik-und-behorden/direktionen/volkswirtschafts-und-gesundheitsdirektion/amt-fur-gesundheit/medizinische-dienste/kantonsarztlicher-dienst/aktuelles/covid-19-faelle-kanton-basel-landschaft"/>
  </r>
  <r>
    <x v="70"/>
    <m/>
    <s v="FL"/>
    <m/>
    <n v="82"/>
    <m/>
    <m/>
    <m/>
    <m/>
    <m/>
    <s v="https://www.regierung.li/media/attachments/246-corona-keine-neuen-faelle-0506.pdf?t=637243865310890323"/>
  </r>
  <r>
    <x v="70"/>
    <m/>
    <s v="FR"/>
    <m/>
    <n v="1104"/>
    <n v="35"/>
    <n v="3"/>
    <m/>
    <n v="131"/>
    <n v="80"/>
    <s v="https://www.fr.ch/sites/default/files/2020-05/statistiques_situation_FR_0705.xlsx"/>
  </r>
  <r>
    <x v="70"/>
    <m/>
    <s v="GE"/>
    <n v="27239"/>
    <n v="4958"/>
    <n v="234"/>
    <n v="17"/>
    <n v="16"/>
    <n v="664"/>
    <n v="254"/>
    <s v="https://www.ge.ch/document/20094/telecharger"/>
  </r>
  <r>
    <x v="70"/>
    <m/>
    <s v="GR"/>
    <m/>
    <n v="816"/>
    <n v="18"/>
    <m/>
    <m/>
    <m/>
    <n v="45"/>
    <s v="https://www.gr.ch/DE/institutionen/verwaltung/djsg/ga/coronavirus/_layouts/15/GenericDataFeed/feed.aspx?PageID=26&amp;ID=g_1175d522_e609_4287_93af_d14c9efd5218&amp;FORMAT=JSONRAW"/>
  </r>
  <r>
    <x v="70"/>
    <m/>
    <s v="JU"/>
    <m/>
    <n v="201"/>
    <n v="8"/>
    <n v="5"/>
    <m/>
    <m/>
    <n v="7"/>
    <s v="https://www.jura.ch/Htdocs/Files/v/34356.xlsx/Departements/CHA/SIC/Carrousel/Coronavirus/Cornavirus/Chiffres/donnees_06_05.xlsx?download=1"/>
  </r>
  <r>
    <x v="70"/>
    <m/>
    <s v="LU"/>
    <m/>
    <n v="706"/>
    <n v="37"/>
    <n v="6"/>
    <m/>
    <m/>
    <n v="18"/>
    <s v="https://gesundheit.lu.ch/themen/Humanmedizin/Infektionskrankheiten/Coronavirus"/>
  </r>
  <r>
    <x v="70"/>
    <m/>
    <s v="NE"/>
    <m/>
    <m/>
    <n v="21"/>
    <n v="3"/>
    <n v="2"/>
    <m/>
    <m/>
    <s v="https://www.ne.ch/autorites/DFS/SCSP/medecin-cantonal/maladies-vaccinations/Documents/Covid-19-Statistiques/COVID19_PublicationInternet.xlsx"/>
  </r>
  <r>
    <x v="70"/>
    <m/>
    <s v="NW"/>
    <m/>
    <n v="113"/>
    <n v="1"/>
    <n v="0"/>
    <m/>
    <m/>
    <n v="3"/>
    <s v="http://www.nw.ch/coronastatistik"/>
  </r>
  <r>
    <x v="70"/>
    <m/>
    <s v="SG"/>
    <m/>
    <n v="793"/>
    <m/>
    <m/>
    <m/>
    <m/>
    <n v="33"/>
    <s v="https://www.sg.ch/tools/informationen-coronavirus.html"/>
  </r>
  <r>
    <x v="70"/>
    <m/>
    <s v="TG"/>
    <m/>
    <n v="373"/>
    <n v="16"/>
    <n v="6"/>
    <m/>
    <m/>
    <n v="17"/>
    <s v="https://www.tg.ch/news/fachdossier-coronavirus.html/10552"/>
  </r>
  <r>
    <x v="70"/>
    <m/>
    <s v="VD"/>
    <m/>
    <n v="5335"/>
    <n v="105"/>
    <n v="22"/>
    <m/>
    <m/>
    <n v="388"/>
    <s v="https://www.vd.ch/toutes-les-actualites/hotline-et-informations-sur-le-coronavirus/point-de-situation-statistique-dans-le-canton-de-vaud/"/>
  </r>
  <r>
    <x v="70"/>
    <m/>
    <s v="VS"/>
    <m/>
    <n v="1897"/>
    <n v="49"/>
    <n v="8"/>
    <n v="6"/>
    <m/>
    <n v="146"/>
    <s v="https://www.vs.ch/de/web/coronavirus"/>
  </r>
  <r>
    <x v="70"/>
    <n v="0"/>
    <s v="SO"/>
    <m/>
    <n v="402"/>
    <n v="10"/>
    <m/>
    <m/>
    <m/>
    <n v="15"/>
    <s v="https://corona.so.ch/index.php?id=27979"/>
  </r>
  <r>
    <x v="70"/>
    <n v="0.33333333333333331"/>
    <s v="BE"/>
    <m/>
    <n v="1798"/>
    <n v="38"/>
    <n v="7"/>
    <n v="5"/>
    <m/>
    <n v="90"/>
    <s v="https://www.besondere-lage.sites.be.ch/besondere-lage_sites/de/index/corona/index.html"/>
  </r>
  <r>
    <x v="70"/>
    <n v="0.33333333333333331"/>
    <s v="TI"/>
    <m/>
    <n v="3239"/>
    <n v="117"/>
    <n v="20"/>
    <n v="14"/>
    <n v="794"/>
    <n v="329"/>
    <s v="https://www4.ti.ch/fileadmin/DSS/DSP/UMC/malattie_infettive/Coronavirus/dati/COVID19_Dati_TI_per_github.xlsx"/>
  </r>
  <r>
    <x v="70"/>
    <n v="0.33333333333333331"/>
    <s v="ZG"/>
    <m/>
    <n v="191"/>
    <n v="4"/>
    <n v="2"/>
    <m/>
    <n v="138"/>
    <n v="8"/>
    <s v="https://www.zg.ch/behoerden/gesundheitsdirektion/statistikfachstelle/themen/gesundheit/corona"/>
  </r>
  <r>
    <x v="70"/>
    <n v="0.375"/>
    <s v="BS"/>
    <m/>
    <n v="959"/>
    <n v="21"/>
    <n v="4"/>
    <m/>
    <n v="842"/>
    <n v="50"/>
    <s v="https://www.gd.bs.ch//nm/2020-tagesbulletin-coronavirus-959-bestaetigte-faelle-im-kanton-basel-stadt-gd.html"/>
  </r>
  <r>
    <x v="70"/>
    <n v="0.39583333333333331"/>
    <s v="AR"/>
    <m/>
    <n v="97"/>
    <n v="6"/>
    <n v="3"/>
    <m/>
    <m/>
    <n v="3"/>
    <s v="https://www.ar.ch/verwaltung/departement-gesundheit-und-soziales/amt-fuer-gesundheit/informationsseite-coronavirus/"/>
  </r>
  <r>
    <x v="70"/>
    <n v="0.39583333333333331"/>
    <s v="SH"/>
    <m/>
    <n v="75"/>
    <n v="6"/>
    <n v="4"/>
    <m/>
    <m/>
    <n v="6"/>
    <s v="https://sh.ch/CMS/get/file/1142c079-5d62-4035-b9ea-04901bfcdfe9"/>
  </r>
  <r>
    <x v="70"/>
    <n v="0.41666666666666669"/>
    <s v="SZ"/>
    <m/>
    <n v="305"/>
    <m/>
    <m/>
    <m/>
    <n v="252"/>
    <n v="22"/>
    <s v="https://www.sz.ch/public/upload/assets/46502/COVID-19_Fallzahlen_Kanton_Schwyz.xlsx"/>
  </r>
  <r>
    <x v="70"/>
    <n v="0.45833333333333331"/>
    <s v="AI"/>
    <m/>
    <n v="25"/>
    <m/>
    <m/>
    <m/>
    <m/>
    <n v="0"/>
    <s v="https://www.ai.ch/themen/gesundheit-alter-und-soziales/gesundheitsfoerderung-und-praevention/uebertragbare-krankheiten/coronavirus"/>
  </r>
  <r>
    <x v="70"/>
    <n v="0.5625"/>
    <s v="GL"/>
    <m/>
    <n v="122"/>
    <n v="2"/>
    <m/>
    <m/>
    <m/>
    <n v="12"/>
    <s v="https://www.gl.ch/public/upload/assets/28096/COVID-19_Fallzahlen_Kanton_Glarus.xlsx"/>
  </r>
  <r>
    <x v="70"/>
    <n v="0.60416666666666663"/>
    <s v="ZH"/>
    <m/>
    <n v="3511"/>
    <n v="54"/>
    <m/>
    <n v="9"/>
    <m/>
    <n v="124"/>
    <s v="https://gd.zh.ch/internet/gesundheitsdirektion/de/themen/coronavirus.html"/>
  </r>
  <r>
    <x v="70"/>
    <n v="0.61458333333333337"/>
    <s v="AG"/>
    <m/>
    <n v="1135"/>
    <n v="23"/>
    <n v="5"/>
    <n v="4"/>
    <n v="940"/>
    <n v="36"/>
    <s v="https://www.ag.ch/media/kanton_aargau/themen_1/coronavirus_1/lagebulletins/200505_KFS_Coronavirus_Lagebulletin_47.pdf"/>
  </r>
  <r>
    <x v="70"/>
    <n v="0.625"/>
    <s v="OW"/>
    <m/>
    <n v="79"/>
    <n v="0"/>
    <m/>
    <m/>
    <m/>
    <n v="0"/>
    <s v="https://www.ow.ch/de/verwaltung/dienstleistungen/?dienst_id=5962"/>
  </r>
  <r>
    <x v="70"/>
    <n v="0.64583333333333337"/>
    <s v="UR"/>
    <m/>
    <n v="91"/>
    <n v="2"/>
    <m/>
    <m/>
    <n v="74"/>
    <n v="7"/>
    <s v="https://www.ur.ch/themen/2962"/>
  </r>
  <r>
    <x v="71"/>
    <m/>
    <s v="BL"/>
    <m/>
    <n v="830"/>
    <n v="6"/>
    <n v="1"/>
    <n v="1"/>
    <n v="774"/>
    <n v="33"/>
    <s v="https://www.baselland.ch/politik-und-behorden/direktionen/volkswirtschafts-und-gesundheitsdirektion/amt-fur-gesundheit/medizinische-dienste/kantonsarztlicher-dienst/aktuelles/covid-19-faelle-kanton-basel-landschaft"/>
  </r>
  <r>
    <x v="71"/>
    <m/>
    <s v="FL"/>
    <m/>
    <n v="82"/>
    <m/>
    <m/>
    <m/>
    <m/>
    <m/>
    <s v="https://www.regierung.li/media/attachments/246-corona-keine-neuen-faelle-0506.pdf?t=637243865310890323"/>
  </r>
  <r>
    <x v="71"/>
    <m/>
    <s v="FR"/>
    <m/>
    <n v="1107"/>
    <n v="34"/>
    <n v="5"/>
    <m/>
    <n v="131"/>
    <n v="80"/>
    <s v="https://www.fr.ch/sites/default/files/2020-05/statistiques_situation_FR_0705.xlsx"/>
  </r>
  <r>
    <x v="71"/>
    <m/>
    <s v="GR"/>
    <m/>
    <n v="818"/>
    <n v="20"/>
    <m/>
    <m/>
    <m/>
    <n v="45"/>
    <s v="https://www.gr.ch/DE/institutionen/verwaltung/djsg/ga/coronavirus/_layouts/15/GenericDataFeed/feed.aspx?PageID=26&amp;ID=g_1175d522_e609_4287_93af_d14c9efd5218&amp;FORMAT=JSONRAW"/>
  </r>
  <r>
    <x v="71"/>
    <m/>
    <s v="JU"/>
    <m/>
    <n v="201"/>
    <n v="8"/>
    <n v="5"/>
    <m/>
    <m/>
    <n v="7"/>
    <s v="https://www.jura.ch/Htdocs/Files/v/34356.xlsx/Departements/CHA/SIC/Carrousel/Coronavirus/Cornavirus/Chiffres/donnees_06_05.xlsx?download=1"/>
  </r>
  <r>
    <x v="71"/>
    <m/>
    <s v="LU"/>
    <m/>
    <n v="709"/>
    <n v="32"/>
    <n v="6"/>
    <m/>
    <m/>
    <n v="18"/>
    <s v="https://gesundheit.lu.ch/themen/Humanmedizin/Infektionskrankheiten/Coronavirus"/>
  </r>
  <r>
    <x v="71"/>
    <m/>
    <s v="NE"/>
    <m/>
    <m/>
    <n v="22"/>
    <n v="3"/>
    <n v="2"/>
    <m/>
    <m/>
    <s v="https://www.ne.ch/autorites/DFS/SCSP/medecin-cantonal/maladies-vaccinations/Documents/Covid-19-Statistiques/COVID19_PublicationInternet.xlsx"/>
  </r>
  <r>
    <x v="71"/>
    <m/>
    <s v="SG"/>
    <m/>
    <n v="794"/>
    <n v="25"/>
    <n v="2"/>
    <m/>
    <n v="210"/>
    <n v="33"/>
    <s v="https://www.sg.ch/tools/informationen-coronavirus.html"/>
  </r>
  <r>
    <x v="71"/>
    <m/>
    <s v="TG"/>
    <m/>
    <n v="374"/>
    <n v="15"/>
    <n v="6"/>
    <m/>
    <m/>
    <n v="17"/>
    <s v="https://www.tg.ch/news/fachdossier-coronavirus.html/10552"/>
  </r>
  <r>
    <x v="71"/>
    <m/>
    <s v="VS"/>
    <m/>
    <m/>
    <n v="49"/>
    <n v="8"/>
    <n v="6"/>
    <m/>
    <n v="146"/>
    <s v="https://www.vs.ch/de/web/coronavirus"/>
  </r>
  <r>
    <x v="71"/>
    <n v="0"/>
    <s v="SO"/>
    <m/>
    <n v="403"/>
    <n v="11"/>
    <m/>
    <m/>
    <m/>
    <n v="15"/>
    <s v="https://corona.so.ch/index.php?id=27979"/>
  </r>
  <r>
    <x v="71"/>
    <n v="0.33333333333333331"/>
    <s v="BE"/>
    <m/>
    <n v="1804"/>
    <n v="34"/>
    <n v="6"/>
    <n v="4"/>
    <m/>
    <n v="90"/>
    <s v="https://www.besondere-lage.sites.be.ch/besondere-lage_sites/de/index/corona/index.html"/>
  </r>
  <r>
    <x v="71"/>
    <n v="0.33333333333333331"/>
    <s v="TI"/>
    <m/>
    <n v="3245"/>
    <n v="109"/>
    <n v="15"/>
    <n v="11"/>
    <n v="802"/>
    <n v="331"/>
    <s v="https://www4.ti.ch/fileadmin/DSS/DSP/UMC/malattie_infettive/Coronavirus/dati/COVID19_Dati_TI_per_github.xlsx"/>
  </r>
  <r>
    <x v="71"/>
    <n v="0.33333333333333331"/>
    <s v="ZG"/>
    <m/>
    <n v="191"/>
    <n v="3"/>
    <n v="2"/>
    <m/>
    <n v="142"/>
    <n v="8"/>
    <s v="https://www.zg.ch/behoerden/gesundheitsdirektion/statistikfachstelle/themen/gesundheit/corona"/>
  </r>
  <r>
    <x v="71"/>
    <n v="0.39583333333333331"/>
    <s v="BS"/>
    <m/>
    <n v="962"/>
    <n v="21"/>
    <n v="4"/>
    <m/>
    <n v="868"/>
    <n v="50"/>
    <s v="https://www.gd.bs.ch//nm/2020-tagesbulletin-coronavirus-962-bestaetigte-faelle-im-kanton-basel-stadt-gd.html"/>
  </r>
  <r>
    <x v="71"/>
    <n v="0.39583333333333331"/>
    <s v="SH"/>
    <m/>
    <n v="75"/>
    <n v="5"/>
    <n v="4"/>
    <m/>
    <m/>
    <n v="6"/>
    <s v="https://sh.ch/CMS/get/file/1142c079-5d62-4035-b9ea-04901bfcdfe9"/>
  </r>
  <r>
    <x v="71"/>
    <n v="0.41666666666666669"/>
    <s v="SZ"/>
    <m/>
    <n v="305"/>
    <m/>
    <m/>
    <m/>
    <n v="258"/>
    <n v="23"/>
    <s v="https://www.sz.ch/public/upload/assets/46502/COVID-19_Fallzahlen_Kanton_Schwyz.xlsx"/>
  </r>
  <r>
    <x v="71"/>
    <n v="0.44444444444444442"/>
    <s v="AR"/>
    <m/>
    <n v="97"/>
    <n v="8"/>
    <n v="3"/>
    <m/>
    <m/>
    <n v="3"/>
    <s v="https://www.ar.ch/verwaltung/departement-gesundheit-und-soziales/amt-fuer-gesundheit/informationsseite-coronavirus/"/>
  </r>
  <r>
    <x v="71"/>
    <n v="0.45833333333333331"/>
    <s v="AI"/>
    <m/>
    <n v="25"/>
    <m/>
    <m/>
    <m/>
    <m/>
    <n v="0"/>
    <s v="https://www.ai.ch/themen/gesundheit-alter-und-soziales/gesundheitsfoerderung-und-praevention/uebertragbare-krankheiten/coronavirus"/>
  </r>
  <r>
    <x v="71"/>
    <n v="0.5"/>
    <s v="GE"/>
    <m/>
    <m/>
    <n v="231"/>
    <n v="16"/>
    <n v="15"/>
    <n v="671"/>
    <m/>
    <s v="https://www.ge.ch/document/20094/telecharger"/>
  </r>
  <r>
    <x v="71"/>
    <n v="0.54166666666666663"/>
    <s v="GL"/>
    <m/>
    <n v="125"/>
    <n v="2"/>
    <m/>
    <m/>
    <m/>
    <n v="12"/>
    <s v="https://www.gl.ch/public/upload/assets/28096/COVID-19_Fallzahlen_Kanton_Glarus.xlsx"/>
  </r>
  <r>
    <x v="71"/>
    <n v="0.58333333333333337"/>
    <s v="UR"/>
    <m/>
    <n v="91"/>
    <n v="3"/>
    <m/>
    <m/>
    <n v="74"/>
    <n v="7"/>
    <s v="https://www.ur.ch/themen/2962"/>
  </r>
  <r>
    <x v="71"/>
    <n v="0.60416666666666663"/>
    <s v="ZH"/>
    <m/>
    <n v="3526"/>
    <n v="53"/>
    <m/>
    <n v="7"/>
    <m/>
    <n v="124"/>
    <s v="https://gd.zh.ch/internet/gesundheitsdirektion/de/themen/coronavirus.html"/>
  </r>
  <r>
    <x v="71"/>
    <n v="0.61458333333333337"/>
    <s v="AG"/>
    <m/>
    <n v="1141"/>
    <n v="24"/>
    <n v="5"/>
    <n v="5"/>
    <n v="960"/>
    <n v="36"/>
    <s v="https://www.ag.ch/media/kanton_aargau/themen_1/coronavirus_1/lagebulletins/200506_KFS_Coronavirus_Lagebulletin_48.pdf"/>
  </r>
  <r>
    <x v="71"/>
    <n v="0.625"/>
    <s v="OW"/>
    <m/>
    <n v="79"/>
    <n v="0"/>
    <m/>
    <m/>
    <m/>
    <n v="0"/>
    <s v="https://www.ow.ch/de/verwaltung/dienstleistungen/?dienst_id=5962"/>
  </r>
  <r>
    <x v="72"/>
    <m/>
    <s v="FR"/>
    <m/>
    <n v="1115"/>
    <n v="30"/>
    <n v="5"/>
    <m/>
    <n v="134"/>
    <n v="80"/>
    <s v="https://www.fr.ch/sites/default/files/2020-05/statistiques_situation_FR_0705.xlsx"/>
  </r>
  <r>
    <x v="72"/>
    <m/>
    <s v="LU"/>
    <m/>
    <n v="710"/>
    <m/>
    <m/>
    <m/>
    <m/>
    <n v="19"/>
    <s v="https://gesundheit.lu.ch/themen/Humanmedizin/Infektionskrankheiten/Coronavirus"/>
  </r>
  <r>
    <x v="72"/>
    <m/>
    <s v="SG"/>
    <m/>
    <n v="795"/>
    <m/>
    <m/>
    <m/>
    <m/>
    <n v="33"/>
    <s v="https://www.sg.ch/tools/informationen-coronavirus.html"/>
  </r>
  <r>
    <x v="72"/>
    <n v="0"/>
    <s v="SO"/>
    <m/>
    <n v="406"/>
    <n v="11"/>
    <m/>
    <m/>
    <m/>
    <n v="15"/>
    <s v="https://corona.so.ch/index.php?id=27979"/>
  </r>
  <r>
    <x v="72"/>
    <n v="0.33333333333333331"/>
    <s v="ZG"/>
    <m/>
    <n v="192"/>
    <n v="2"/>
    <n v="1"/>
    <m/>
    <n v="143"/>
    <n v="8"/>
    <s v="https://www.zg.ch/behoerden/gesundheitsdirektion/statistikfachstelle/themen/gesundheit/corona"/>
  </r>
  <r>
    <x v="72"/>
    <n v="0.37847222222222221"/>
    <s v="AR"/>
    <m/>
    <n v="97"/>
    <n v="5"/>
    <n v="2"/>
    <m/>
    <m/>
    <n v="3"/>
    <s v="https://www.ar.ch/verwaltung/departement-gesundheit-und-soziales/amt-fuer-gesundheit/informationsseite-coronavirus/"/>
  </r>
  <r>
    <x v="72"/>
    <n v="0.39583333333333331"/>
    <s v="SH"/>
    <m/>
    <n v="76"/>
    <n v="7"/>
    <n v="4"/>
    <m/>
    <m/>
    <n v="6"/>
    <s v="https://sh.ch/CMS/get/file/1142c079-5d62-4035-b9ea-04901bfcdfe9"/>
  </r>
  <r>
    <x v="72"/>
    <n v="0.41666666666666669"/>
    <s v="BS"/>
    <m/>
    <n v="965"/>
    <n v="20"/>
    <n v="4"/>
    <m/>
    <n v="870"/>
    <n v="50"/>
    <s v="https://www.gd.bs.ch//nm/2020-tagesbulletin-coronavirus-965-bestaetigte-faelle-im-kanton-basel-stadt-gd.html"/>
  </r>
  <r>
    <x v="72"/>
    <n v="0.41666666666666669"/>
    <s v="SZ"/>
    <m/>
    <n v="305"/>
    <m/>
    <m/>
    <m/>
    <n v="264"/>
    <n v="23"/>
    <s v="https://www.sz.ch/public/upload/assets/46502/COVID-19_Fallzahlen_Kanton_Schwyz.xlsx"/>
  </r>
  <r>
    <x v="73"/>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72">
  <r>
    <x v="0"/>
    <m/>
    <x v="0"/>
    <n v="72"/>
    <n v="0"/>
    <n v="0"/>
    <n v="0"/>
    <n v="0"/>
    <m/>
    <n v="0"/>
    <s v="https://www.ge.ch/document/20094/telecharger"/>
  </r>
  <r>
    <x v="0"/>
    <m/>
    <x v="1"/>
    <m/>
    <n v="0"/>
    <n v="0"/>
    <n v="0"/>
    <n v="0"/>
    <n v="0"/>
    <n v="0"/>
    <s v="https://www4.ti.ch/fileadmin/DSS/DSP/UMC/malattie_infettive/Coronavirus/dati/COVID19_Dati_TI_per_github.xlsx"/>
  </r>
  <r>
    <x v="1"/>
    <m/>
    <x v="0"/>
    <n v="177"/>
    <n v="1"/>
    <n v="1"/>
    <n v="0"/>
    <n v="0"/>
    <m/>
    <n v="0"/>
    <s v="https://www.ge.ch/document/20094/telecharger"/>
  </r>
  <r>
    <x v="1"/>
    <m/>
    <x v="1"/>
    <m/>
    <n v="1"/>
    <n v="0"/>
    <n v="0"/>
    <n v="0"/>
    <n v="0"/>
    <n v="0"/>
    <s v="https://www4.ti.ch/fileadmin/DSS/DSP/UMC/malattie_infettive/Coronavirus/dati/COVID19_Dati_TI_per_github.xlsx"/>
  </r>
  <r>
    <x v="2"/>
    <m/>
    <x v="2"/>
    <n v="3"/>
    <m/>
    <m/>
    <m/>
    <m/>
    <m/>
    <m/>
    <s v="https://www.regierung.li/media/attachments/83-verdachtsfaelle-negativ-getestet.pdf?t=637202562374055719"/>
  </r>
  <r>
    <x v="2"/>
    <m/>
    <x v="0"/>
    <n v="325"/>
    <n v="1"/>
    <n v="1"/>
    <n v="0"/>
    <n v="0"/>
    <m/>
    <n v="0"/>
    <s v="https://www.ge.ch/document/20094/telecharger"/>
  </r>
  <r>
    <x v="2"/>
    <m/>
    <x v="3"/>
    <m/>
    <n v="1"/>
    <n v="1"/>
    <n v="0"/>
    <m/>
    <m/>
    <n v="0"/>
    <s v="https://www.jura.ch/Htdocs/Files/v/34356.xlsx/Departements/CHA/SIC/Carrousel/Coronavirus/Cornavirus/Chiffres/donnees_06_05.xlsx?download=1"/>
  </r>
  <r>
    <x v="2"/>
    <m/>
    <x v="1"/>
    <m/>
    <n v="1"/>
    <n v="0"/>
    <n v="0"/>
    <n v="0"/>
    <n v="0"/>
    <n v="0"/>
    <s v="https://www4.ti.ch/fileadmin/DSS/DSP/UMC/malattie_infettive/Coronavirus/dati/COVID19_Dati_TI_per_github.xlsx"/>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20094/telecharger"/>
  </r>
  <r>
    <x v="3"/>
    <m/>
    <x v="3"/>
    <m/>
    <n v="1"/>
    <n v="1"/>
    <n v="0"/>
    <m/>
    <m/>
    <n v="0"/>
    <s v="https://www.jura.ch/Htdocs/Files/v/34356.xlsx/Departements/CHA/SIC/Carrousel/Coronavirus/Cornavirus/Chiffres/donnees_06_05.xlsx?download=1"/>
  </r>
  <r>
    <x v="3"/>
    <m/>
    <x v="1"/>
    <m/>
    <n v="1"/>
    <n v="0"/>
    <n v="0"/>
    <n v="0"/>
    <n v="0"/>
    <n v="0"/>
    <s v="https://www4.ti.ch/fileadmin/DSS/DSP/UMC/malattie_infettive/Coronavirus/dati/COVID19_Dati_TI_per_github.xlsx"/>
  </r>
  <r>
    <x v="3"/>
    <m/>
    <x v="8"/>
    <m/>
    <m/>
    <n v="4"/>
    <m/>
    <m/>
    <m/>
    <m/>
    <s v="https://www.vd.ch/toutes-les-actualites/hotline-et-informations-sur-le-coronavirus/"/>
  </r>
  <r>
    <x v="3"/>
    <m/>
    <x v="9"/>
    <m/>
    <n v="1"/>
    <n v="5"/>
    <n v="0"/>
    <n v="0"/>
    <m/>
    <n v="0"/>
    <s v="https://www.vs.ch/de/web/coronavirus"/>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3"/>
    <n v="7"/>
    <n v="3"/>
    <n v="0"/>
    <n v="0"/>
    <m/>
    <n v="0"/>
    <s v="https://www.ge.ch/document/20094/telecharger"/>
  </r>
  <r>
    <x v="4"/>
    <m/>
    <x v="3"/>
    <m/>
    <n v="1"/>
    <n v="1"/>
    <n v="0"/>
    <m/>
    <m/>
    <n v="0"/>
    <s v="https://www.jura.ch/Htdocs/Files/v/34356.xlsx/Departements/CHA/SIC/Carrousel/Coronavirus/Cornavirus/Chiffres/donnees_06_05.xlsx?download=1"/>
  </r>
  <r>
    <x v="4"/>
    <m/>
    <x v="1"/>
    <m/>
    <n v="2"/>
    <n v="0"/>
    <n v="0"/>
    <n v="0"/>
    <n v="0"/>
    <n v="0"/>
    <s v="https://www4.ti.ch/fileadmin/DSS/DSP/UMC/malattie_infettive/Coronavirus/dati/COVID19_Dati_TI_per_github.xlsx"/>
  </r>
  <r>
    <x v="4"/>
    <m/>
    <x v="8"/>
    <m/>
    <m/>
    <n v="4"/>
    <m/>
    <m/>
    <m/>
    <m/>
    <s v="https://www.vd.ch/toutes-les-actualites/hotline-et-informations-sur-le-coronavirus/"/>
  </r>
  <r>
    <x v="4"/>
    <m/>
    <x v="9"/>
    <m/>
    <n v="1"/>
    <n v="5"/>
    <n v="0"/>
    <n v="0"/>
    <m/>
    <n v="0"/>
    <s v="https://www.vs.ch/de/web/coronavirus"/>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80"/>
    <n v="10"/>
    <n v="3"/>
    <n v="0"/>
    <n v="0"/>
    <m/>
    <n v="0"/>
    <s v="https://www.ge.ch/document/20094/telecharger"/>
  </r>
  <r>
    <x v="5"/>
    <m/>
    <x v="3"/>
    <m/>
    <n v="1"/>
    <n v="1"/>
    <n v="0"/>
    <m/>
    <m/>
    <n v="0"/>
    <s v="https://www.jura.ch/Htdocs/Files/v/34356.xlsx/Departements/CHA/SIC/Carrousel/Coronavirus/Cornavirus/Chiffres/donnees_06_05.xlsx?download=1"/>
  </r>
  <r>
    <x v="5"/>
    <m/>
    <x v="13"/>
    <m/>
    <n v="1"/>
    <m/>
    <m/>
    <m/>
    <m/>
    <m/>
    <s v="https://www.ne.ch/autorites/DFS/SCSP/medecin-cantonal/maladies-vaccinations/Documents/Covid-19-Statistiques/COVID19_PublicationInternet.xlsx"/>
  </r>
  <r>
    <x v="5"/>
    <m/>
    <x v="1"/>
    <m/>
    <n v="2"/>
    <n v="0"/>
    <n v="0"/>
    <n v="0"/>
    <n v="0"/>
    <n v="0"/>
    <s v="https://www4.ti.ch/fileadmin/DSS/DSP/UMC/malattie_infettive/Coronavirus/dati/COVID19_Dati_TI_per_github.xlsx"/>
  </r>
  <r>
    <x v="5"/>
    <m/>
    <x v="8"/>
    <m/>
    <m/>
    <n v="4"/>
    <m/>
    <m/>
    <m/>
    <m/>
    <s v="https://www.vd.ch/toutes-les-actualites/hotline-et-informations-sur-le-coronavirus/"/>
  </r>
  <r>
    <x v="5"/>
    <m/>
    <x v="9"/>
    <m/>
    <n v="2"/>
    <n v="6"/>
    <n v="0"/>
    <n v="0"/>
    <m/>
    <n v="0"/>
    <s v="https://www.vs.ch/de/web/coronavirus"/>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8"/>
    <n v="11"/>
    <n v="3"/>
    <n v="0"/>
    <n v="0"/>
    <m/>
    <n v="0"/>
    <s v="https://www.ge.ch/document/20094/telecharger"/>
  </r>
  <r>
    <x v="6"/>
    <m/>
    <x v="3"/>
    <m/>
    <n v="1"/>
    <n v="1"/>
    <n v="0"/>
    <m/>
    <m/>
    <n v="0"/>
    <s v="https://www.jura.ch/Htdocs/Files/v/34356.xlsx/Departements/CHA/SIC/Carrousel/Coronavirus/Cornavirus/Chiffres/donnees_06_05.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4"/>
    <n v="0"/>
    <n v="0"/>
    <n v="0"/>
    <n v="0"/>
    <n v="0"/>
    <s v="https://www4.ti.ch/fileadmin/DSS/DSP/UMC/malattie_infettive/Coronavirus/dati/COVID19_Dati_TI_per_github.xlsx"/>
  </r>
  <r>
    <x v="6"/>
    <m/>
    <x v="8"/>
    <m/>
    <m/>
    <n v="6"/>
    <m/>
    <m/>
    <m/>
    <m/>
    <s v="https://www.vd.ch/toutes-les-actualites/hotline-et-informations-sur-le-coronavirus/"/>
  </r>
  <r>
    <x v="6"/>
    <m/>
    <x v="9"/>
    <m/>
    <n v="3"/>
    <n v="9"/>
    <n v="0"/>
    <n v="0"/>
    <m/>
    <n v="0"/>
    <s v="https://www.vs.ch/de/web/coronavirus"/>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7"/>
    <n v="14"/>
    <n v="4"/>
    <n v="0"/>
    <n v="0"/>
    <m/>
    <n v="0"/>
    <s v="https://www.ge.ch/document/20094/telecharger"/>
  </r>
  <r>
    <x v="7"/>
    <m/>
    <x v="3"/>
    <m/>
    <n v="2"/>
    <n v="1"/>
    <n v="0"/>
    <m/>
    <m/>
    <n v="0"/>
    <s v="https://www.jura.ch/Htdocs/Files/v/34356.xlsx/Departements/CHA/SIC/Carrousel/Coronavirus/Cornavirus/Chiffres/donnees_06_05.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8"/>
    <n v="0"/>
    <n v="0"/>
    <n v="0"/>
    <n v="0"/>
    <n v="0"/>
    <s v="https://www4.ti.ch/fileadmin/DSS/DSP/UMC/malattie_infettive/Coronavirus/dati/COVID19_Dati_TI_per_github.xlsx"/>
  </r>
  <r>
    <x v="7"/>
    <m/>
    <x v="8"/>
    <m/>
    <m/>
    <n v="8"/>
    <m/>
    <m/>
    <m/>
    <m/>
    <s v="https://www.vd.ch/toutes-les-actualites/hotline-et-informations-sur-le-coronavirus/"/>
  </r>
  <r>
    <x v="7"/>
    <m/>
    <x v="9"/>
    <m/>
    <n v="3"/>
    <n v="11"/>
    <n v="0"/>
    <n v="0"/>
    <m/>
    <n v="0"/>
    <s v="https://www.vs.ch/de/web/coronavirus"/>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4"/>
    <n v="14"/>
    <n v="4"/>
    <n v="0"/>
    <n v="0"/>
    <m/>
    <n v="0"/>
    <s v="https://www.ge.ch/document/20094/telecharger"/>
  </r>
  <r>
    <x v="8"/>
    <m/>
    <x v="3"/>
    <m/>
    <n v="2"/>
    <n v="1"/>
    <n v="0"/>
    <m/>
    <m/>
    <n v="0"/>
    <s v="https://www.jura.ch/Htdocs/Files/v/34356.xlsx/Departements/CHA/SIC/Carrousel/Coronavirus/Cornavirus/Chiffres/donnees_06_05.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13"/>
    <n v="0"/>
    <n v="0"/>
    <n v="0"/>
    <n v="0"/>
    <n v="0"/>
    <s v="https://www4.ti.ch/fileadmin/DSS/DSP/UMC/malattie_infettive/Coronavirus/dati/COVID19_Dati_TI_per_github.xlsx"/>
  </r>
  <r>
    <x v="8"/>
    <m/>
    <x v="8"/>
    <m/>
    <m/>
    <n v="11"/>
    <n v="1"/>
    <m/>
    <m/>
    <m/>
    <s v="https://www.vd.ch/toutes-les-actualites/hotline-et-informations-sur-le-coronavirus/"/>
  </r>
  <r>
    <x v="8"/>
    <m/>
    <x v="9"/>
    <m/>
    <n v="4"/>
    <n v="12"/>
    <n v="0"/>
    <n v="0"/>
    <m/>
    <n v="0"/>
    <s v="https://www.vs.ch/de/web/coronavirus"/>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8"/>
    <n v="17"/>
    <n v="5"/>
    <n v="0"/>
    <n v="0"/>
    <m/>
    <n v="0"/>
    <s v="https://www.ge.ch/document/20094/telecharger"/>
  </r>
  <r>
    <x v="9"/>
    <m/>
    <x v="3"/>
    <m/>
    <n v="4"/>
    <n v="2"/>
    <n v="0"/>
    <m/>
    <m/>
    <n v="0"/>
    <s v="https://www.jura.ch/Htdocs/Files/v/34356.xlsx/Departements/CHA/SIC/Carrousel/Coronavirus/Cornavirus/Chiffres/donnees_06_05.xlsx?download=1"/>
  </r>
  <r>
    <x v="9"/>
    <m/>
    <x v="13"/>
    <m/>
    <n v="9"/>
    <n v="4"/>
    <m/>
    <m/>
    <m/>
    <m/>
    <s v="https://www.ne.ch/autorites/DFS/SCSP/medecin-cantonal/maladies-vaccinations/Documents/Covid-19-Statistiques/COVID19_PublicationInternet.xlsx"/>
  </r>
  <r>
    <x v="9"/>
    <m/>
    <x v="1"/>
    <m/>
    <n v="25"/>
    <n v="0"/>
    <n v="0"/>
    <n v="0"/>
    <n v="0"/>
    <n v="0"/>
    <s v="https://www4.ti.ch/fileadmin/DSS/DSP/UMC/malattie_infettive/Coronavirus/dati/COVID19_Dati_TI_per_github.xlsx"/>
  </r>
  <r>
    <x v="9"/>
    <m/>
    <x v="8"/>
    <m/>
    <m/>
    <n v="14"/>
    <n v="1"/>
    <m/>
    <m/>
    <m/>
    <s v="https://www.vd.ch/toutes-les-actualites/hotline-et-informations-sur-le-coronavirus/"/>
  </r>
  <r>
    <x v="9"/>
    <m/>
    <x v="9"/>
    <m/>
    <n v="5"/>
    <n v="10"/>
    <n v="0"/>
    <n v="0"/>
    <m/>
    <n v="0"/>
    <s v="https://www.vs.ch/de/web/coronavirus"/>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3"/>
    <n v="21"/>
    <n v="7"/>
    <n v="0"/>
    <n v="0"/>
    <m/>
    <n v="0"/>
    <s v="https://www.ge.ch/document/20094/telecharger"/>
  </r>
  <r>
    <x v="10"/>
    <m/>
    <x v="3"/>
    <m/>
    <n v="4"/>
    <n v="5"/>
    <n v="0"/>
    <m/>
    <m/>
    <n v="0"/>
    <s v="https://www.jura.ch/Htdocs/Files/v/34356.xlsx/Departements/CHA/SIC/Carrousel/Coronavirus/Cornavirus/Chiffres/donnees_06_05.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n v="28"/>
    <n v="0"/>
    <n v="0"/>
    <n v="0"/>
    <n v="0"/>
    <n v="0"/>
    <s v="https://www4.ti.ch/fileadmin/DSS/DSP/UMC/malattie_infettive/Coronavirus/dati/COVID19_Dati_TI_per_github.xlsx"/>
  </r>
  <r>
    <x v="10"/>
    <m/>
    <x v="8"/>
    <m/>
    <n v="23"/>
    <n v="15"/>
    <n v="2"/>
    <m/>
    <m/>
    <n v="1"/>
    <s v="https://www.vd.ch/toutes-les-actualites/hotline-et-informations-sur-le-coronavirus/"/>
  </r>
  <r>
    <x v="10"/>
    <m/>
    <x v="9"/>
    <m/>
    <n v="6"/>
    <n v="11"/>
    <n v="0"/>
    <n v="0"/>
    <m/>
    <n v="0"/>
    <s v="https://www.vs.ch/de/web/coronavirus"/>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8"/>
    <n v="32"/>
    <n v="7"/>
    <n v="0"/>
    <n v="0"/>
    <m/>
    <n v="0"/>
    <s v="https://www.ge.ch/document/20094/telecharger"/>
  </r>
  <r>
    <x v="11"/>
    <m/>
    <x v="3"/>
    <m/>
    <n v="5"/>
    <n v="5"/>
    <n v="0"/>
    <m/>
    <m/>
    <n v="0"/>
    <s v="https://www.jura.ch/Htdocs/Files/v/34356.xlsx/Departements/CHA/SIC/Carrousel/Coronavirus/Cornavirus/Chiffres/donnees_06_05.xlsx?download=1"/>
  </r>
  <r>
    <x v="11"/>
    <m/>
    <x v="13"/>
    <m/>
    <n v="18"/>
    <n v="2"/>
    <m/>
    <m/>
    <m/>
    <m/>
    <s v="https://www.ne.ch/autorites/DFS/SCSP/medecin-cantonal/maladies-vaccinations/Documents/Covid-19-Statistiques/COVID19_PublicationInternet.xlsx"/>
  </r>
  <r>
    <x v="11"/>
    <m/>
    <x v="1"/>
    <m/>
    <n v="41"/>
    <n v="0"/>
    <n v="0"/>
    <n v="0"/>
    <n v="0"/>
    <n v="0"/>
    <s v="https://www4.ti.ch/fileadmin/DSS/DSP/UMC/malattie_infettive/Coronavirus/dati/COVID19_Dati_TI_per_github.xlsx"/>
  </r>
  <r>
    <x v="11"/>
    <m/>
    <x v="8"/>
    <m/>
    <n v="30"/>
    <n v="16"/>
    <n v="4"/>
    <m/>
    <m/>
    <n v="1"/>
    <s v="https://www.vd.ch/toutes-les-actualites/hotline-et-informations-sur-le-coronavirus/"/>
  </r>
  <r>
    <x v="11"/>
    <m/>
    <x v="9"/>
    <m/>
    <n v="7"/>
    <n v="11"/>
    <n v="0"/>
    <n v="0"/>
    <m/>
    <n v="0"/>
    <s v="https://www.vs.ch/de/web/coronavirus"/>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5"/>
    <n v="40"/>
    <n v="9"/>
    <n v="0"/>
    <n v="0"/>
    <m/>
    <n v="0"/>
    <s v="https://www.ge.ch/document/20094/telecharger"/>
  </r>
  <r>
    <x v="12"/>
    <m/>
    <x v="3"/>
    <m/>
    <n v="5"/>
    <n v="5"/>
    <n v="0"/>
    <m/>
    <m/>
    <n v="0"/>
    <s v="https://www.jura.ch/Htdocs/Files/v/34356.xlsx/Departements/CHA/SIC/Carrousel/Coronavirus/Cornavirus/Chiffres/donnees_06_05.xlsx?download=1"/>
  </r>
  <r>
    <x v="12"/>
    <m/>
    <x v="13"/>
    <m/>
    <n v="24"/>
    <n v="3"/>
    <m/>
    <m/>
    <m/>
    <m/>
    <s v="https://www.ne.ch/autorites/DFS/SCSP/medecin-cantonal/maladies-vaccinations/Documents/Covid-19-Statistiques/COVID19_PublicationInternet.xlsx"/>
  </r>
  <r>
    <x v="12"/>
    <m/>
    <x v="1"/>
    <m/>
    <n v="49"/>
    <n v="0"/>
    <n v="0"/>
    <n v="0"/>
    <n v="0"/>
    <n v="0"/>
    <s v="https://www4.ti.ch/fileadmin/DSS/DSP/UMC/malattie_infettive/Coronavirus/dati/COVID19_Dati_TI_per_github.xlsx"/>
  </r>
  <r>
    <x v="12"/>
    <m/>
    <x v="8"/>
    <m/>
    <n v="40"/>
    <n v="22"/>
    <n v="3"/>
    <m/>
    <m/>
    <n v="1"/>
    <s v="https://www.vd.ch/toutes-les-actualites/hotline-et-informations-sur-le-coronavirus/"/>
  </r>
  <r>
    <x v="12"/>
    <m/>
    <x v="9"/>
    <m/>
    <n v="12"/>
    <n v="15"/>
    <n v="1"/>
    <n v="1"/>
    <m/>
    <n v="0"/>
    <s v="https://www.vs.ch/de/web/coronavirus"/>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91"/>
    <n v="50"/>
    <n v="13"/>
    <n v="3"/>
    <n v="1"/>
    <m/>
    <n v="0"/>
    <s v="https://www.ge.ch/document/20094/telecharger"/>
  </r>
  <r>
    <x v="13"/>
    <m/>
    <x v="3"/>
    <m/>
    <n v="7"/>
    <n v="5"/>
    <n v="0"/>
    <m/>
    <m/>
    <n v="0"/>
    <s v="https://www.jura.ch/Htdocs/Files/v/34356.xlsx/Departements/CHA/SIC/Carrousel/Coronavirus/Cornavirus/Chiffres/donnees_06_05.xlsx?download=1"/>
  </r>
  <r>
    <x v="13"/>
    <m/>
    <x v="13"/>
    <m/>
    <n v="27"/>
    <n v="4"/>
    <m/>
    <m/>
    <m/>
    <m/>
    <s v="https://www.ne.ch/autorites/DFS/SCSP/medecin-cantonal/maladies-vaccinations/Documents/Covid-19-Statistiques/COVID19_PublicationInternet.xlsx"/>
  </r>
  <r>
    <x v="13"/>
    <m/>
    <x v="1"/>
    <m/>
    <n v="61"/>
    <n v="0"/>
    <n v="0"/>
    <n v="0"/>
    <n v="0"/>
    <n v="0"/>
    <s v="https://www4.ti.ch/fileadmin/DSS/DSP/UMC/malattie_infettive/Coronavirus/dati/COVID19_Dati_TI_per_github.xlsx"/>
  </r>
  <r>
    <x v="13"/>
    <m/>
    <x v="8"/>
    <m/>
    <n v="51"/>
    <n v="29"/>
    <n v="5"/>
    <m/>
    <m/>
    <n v="1"/>
    <s v="https://www.vd.ch/toutes-les-actualites/hotline-et-informations-sur-le-coronavirus/"/>
  </r>
  <r>
    <x v="13"/>
    <m/>
    <x v="9"/>
    <m/>
    <n v="17"/>
    <n v="16"/>
    <n v="1"/>
    <n v="1"/>
    <m/>
    <n v="0"/>
    <s v="https://www.vs.ch/de/web/coronavirus"/>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4"/>
    <n v="75"/>
    <n v="18"/>
    <n v="4"/>
    <n v="1"/>
    <m/>
    <n v="1"/>
    <s v="https://www.ge.ch/document/20094/telecharger"/>
  </r>
  <r>
    <x v="14"/>
    <m/>
    <x v="19"/>
    <m/>
    <n v="1"/>
    <n v="0"/>
    <m/>
    <m/>
    <m/>
    <n v="0"/>
    <s v="https://www.gl.ch/public/upload/assets/28096/COVID-19_Fallzahlen_Kanton_Glarus.xlsx"/>
  </r>
  <r>
    <x v="14"/>
    <m/>
    <x v="3"/>
    <m/>
    <n v="7"/>
    <n v="5"/>
    <n v="0"/>
    <m/>
    <m/>
    <n v="0"/>
    <s v="https://www.jura.ch/Htdocs/Files/v/34356.xlsx/Departements/CHA/SIC/Carrousel/Coronavirus/Cornavirus/Chiffres/donnees_06_05.xlsx?download=1"/>
  </r>
  <r>
    <x v="14"/>
    <m/>
    <x v="13"/>
    <m/>
    <n v="31"/>
    <n v="4"/>
    <m/>
    <m/>
    <m/>
    <m/>
    <s v="https://www.ne.ch/autorites/DFS/SCSP/medecin-cantonal/maladies-vaccinations/Documents/Covid-19-Statistiques/COVID19_PublicationInternet.xlsx"/>
  </r>
  <r>
    <x v="14"/>
    <m/>
    <x v="1"/>
    <m/>
    <n v="75"/>
    <n v="0"/>
    <n v="0"/>
    <n v="0"/>
    <n v="0"/>
    <n v="1"/>
    <s v="https://www4.ti.ch/fileadmin/DSS/DSP/UMC/malattie_infettive/Coronavirus/dati/COVID19_Dati_TI_per_github.xlsx"/>
  </r>
  <r>
    <x v="14"/>
    <m/>
    <x v="8"/>
    <m/>
    <n v="130"/>
    <n v="48"/>
    <n v="8"/>
    <m/>
    <m/>
    <n v="1"/>
    <s v="https://www.vd.ch/toutes-les-actualites/hotline-et-informations-sur-le-coronavirus/point-de-situation-statistique-dans-le-canton-de-vaud/"/>
  </r>
  <r>
    <x v="14"/>
    <m/>
    <x v="9"/>
    <m/>
    <n v="22"/>
    <n v="19"/>
    <n v="1"/>
    <n v="1"/>
    <m/>
    <n v="0"/>
    <s v="https://www.vs.ch/de/web/coronavirus"/>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705.xlsx"/>
  </r>
  <r>
    <x v="15"/>
    <m/>
    <x v="0"/>
    <n v="1924"/>
    <n v="91"/>
    <n v="20"/>
    <n v="6"/>
    <n v="4"/>
    <m/>
    <n v="1"/>
    <s v="https://www.ge.ch/document/20094/telecharger"/>
  </r>
  <r>
    <x v="15"/>
    <m/>
    <x v="19"/>
    <m/>
    <n v="1"/>
    <n v="0"/>
    <m/>
    <m/>
    <m/>
    <n v="0"/>
    <s v="https://www.gl.ch/public/upload/assets/28096/COVID-19_Fallzahlen_Kanton_Glarus.xlsx"/>
  </r>
  <r>
    <x v="15"/>
    <m/>
    <x v="3"/>
    <m/>
    <n v="7"/>
    <n v="6"/>
    <n v="0"/>
    <m/>
    <m/>
    <n v="0"/>
    <s v="https://www.jura.ch/Htdocs/Files/v/34356.xlsx/Departements/CHA/SIC/Carrousel/Coronavirus/Cornavirus/Chiffres/donnees_06_05.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1142c079-5d62-4035-b9ea-04901bfcdfe9"/>
  </r>
  <r>
    <x v="15"/>
    <m/>
    <x v="1"/>
    <m/>
    <n v="108"/>
    <n v="0"/>
    <n v="0"/>
    <n v="0"/>
    <n v="0"/>
    <n v="1"/>
    <s v="https://www4.ti.ch/fileadmin/DSS/DSP/UMC/malattie_infettive/Coronavirus/dati/COVID19_Dati_TI_per_github.xlsx"/>
  </r>
  <r>
    <x v="15"/>
    <m/>
    <x v="8"/>
    <m/>
    <n v="203"/>
    <n v="51"/>
    <n v="7"/>
    <m/>
    <m/>
    <n v="1"/>
    <s v="https://www.vd.ch/toutes-les-actualites/hotline-et-informations-sur-le-coronavirus/point-de-situation-statistique-dans-le-canton-de-vaud/"/>
  </r>
  <r>
    <x v="15"/>
    <m/>
    <x v="9"/>
    <m/>
    <n v="30"/>
    <n v="20"/>
    <n v="1"/>
    <n v="1"/>
    <m/>
    <n v="0"/>
    <s v="https://www.vs.ch/de/web/coronavirus"/>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705.xlsx"/>
  </r>
  <r>
    <x v="16"/>
    <m/>
    <x v="0"/>
    <n v="2277"/>
    <n v="123"/>
    <n v="23"/>
    <n v="6"/>
    <n v="4"/>
    <m/>
    <n v="2"/>
    <s v="https://www.ge.ch/document/20094/telecharger"/>
  </r>
  <r>
    <x v="16"/>
    <m/>
    <x v="19"/>
    <m/>
    <n v="3"/>
    <n v="0"/>
    <m/>
    <m/>
    <m/>
    <n v="0"/>
    <s v="https://www.gl.ch/public/upload/assets/28096/COVID-19_Fallzahlen_Kanton_Glarus.xlsx"/>
  </r>
  <r>
    <x v="16"/>
    <m/>
    <x v="3"/>
    <m/>
    <n v="12"/>
    <n v="6"/>
    <n v="0"/>
    <m/>
    <m/>
    <n v="0"/>
    <s v="https://www.jura.ch/Htdocs/Files/v/34356.xlsx/Departements/CHA/SIC/Carrousel/Coronavirus/Cornavirus/Chiffres/donnees_06_05.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1142c079-5d62-4035-b9ea-04901bfcdfe9"/>
  </r>
  <r>
    <x v="16"/>
    <m/>
    <x v="1"/>
    <m/>
    <n v="163"/>
    <n v="0"/>
    <n v="0"/>
    <n v="0"/>
    <n v="0"/>
    <n v="1"/>
    <s v="https://www4.ti.ch/fileadmin/DSS/DSP/UMC/malattie_infettive/Coronavirus/dati/COVID19_Dati_TI_per_github.xlsx"/>
  </r>
  <r>
    <x v="16"/>
    <m/>
    <x v="22"/>
    <m/>
    <n v="2"/>
    <m/>
    <m/>
    <m/>
    <m/>
    <m/>
    <s v=""/>
  </r>
  <r>
    <x v="16"/>
    <m/>
    <x v="8"/>
    <m/>
    <n v="277"/>
    <n v="55"/>
    <n v="6"/>
    <m/>
    <m/>
    <n v="3"/>
    <s v="https://www.vd.ch/toutes-les-actualites/hotline-et-informations-sur-le-coronavirus/point-de-situation-statistique-dans-le-canton-de-vaud/"/>
  </r>
  <r>
    <x v="16"/>
    <m/>
    <x v="9"/>
    <m/>
    <n v="53"/>
    <n v="27"/>
    <n v="1"/>
    <n v="1"/>
    <m/>
    <n v="0"/>
    <s v="https://www.vs.ch/de/web/coronavirus"/>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705.xlsx"/>
  </r>
  <r>
    <x v="17"/>
    <m/>
    <x v="0"/>
    <n v="2717"/>
    <n v="197"/>
    <n v="33"/>
    <n v="7"/>
    <n v="5"/>
    <m/>
    <n v="2"/>
    <s v="https://www.ge.ch/document/20094/telecharger"/>
  </r>
  <r>
    <x v="17"/>
    <m/>
    <x v="19"/>
    <m/>
    <n v="6"/>
    <n v="0"/>
    <m/>
    <m/>
    <m/>
    <n v="0"/>
    <s v="https://www.gl.ch/public/upload/assets/28096/COVID-19_Fallzahlen_Kanton_Glarus.xlsx"/>
  </r>
  <r>
    <x v="17"/>
    <m/>
    <x v="3"/>
    <m/>
    <n v="17"/>
    <n v="8"/>
    <n v="0"/>
    <m/>
    <m/>
    <n v="0"/>
    <s v="https://www.jura.ch/Htdocs/Files/v/34356.xlsx/Departements/CHA/SIC/Carrousel/Coronavirus/Cornavirus/Chiffres/donnees_06_05.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1142c079-5d62-4035-b9ea-04901bfcdfe9"/>
  </r>
  <r>
    <x v="17"/>
    <m/>
    <x v="1"/>
    <m/>
    <n v="206"/>
    <n v="0"/>
    <n v="0"/>
    <n v="0"/>
    <n v="0"/>
    <n v="1"/>
    <s v="https://www4.ti.ch/fileadmin/DSS/DSP/UMC/malattie_infettive/Coronavirus/dati/COVID19_Dati_TI_per_github.xlsx"/>
  </r>
  <r>
    <x v="17"/>
    <m/>
    <x v="8"/>
    <m/>
    <n v="370"/>
    <n v="61"/>
    <n v="7"/>
    <m/>
    <m/>
    <n v="3"/>
    <s v="https://www.vd.ch/toutes-les-actualites/hotline-et-informations-sur-le-coronavirus/point-de-situation-statistique-dans-le-canton-de-vaud/"/>
  </r>
  <r>
    <x v="17"/>
    <m/>
    <x v="9"/>
    <m/>
    <n v="76"/>
    <n v="29"/>
    <n v="1"/>
    <n v="1"/>
    <m/>
    <n v="1"/>
    <s v="https://www.vs.ch/de/web/coronavirus"/>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n v="0"/>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705.xlsx"/>
  </r>
  <r>
    <x v="18"/>
    <m/>
    <x v="0"/>
    <n v="3309"/>
    <n v="310"/>
    <n v="43"/>
    <n v="8"/>
    <n v="5"/>
    <m/>
    <n v="2"/>
    <s v="https://www.ge.ch/document/20094/telecharger"/>
  </r>
  <r>
    <x v="18"/>
    <m/>
    <x v="19"/>
    <m/>
    <n v="8"/>
    <n v="0"/>
    <m/>
    <m/>
    <m/>
    <n v="0"/>
    <s v="https://www.gl.ch/public/upload/assets/28096/COVID-19_Fallzahlen_Kanton_Glarus.xlsx"/>
  </r>
  <r>
    <x v="18"/>
    <m/>
    <x v="3"/>
    <m/>
    <n v="18"/>
    <n v="8"/>
    <n v="0"/>
    <m/>
    <m/>
    <n v="0"/>
    <s v="https://www.jura.ch/Htdocs/Files/v/34356.xlsx/Departements/CHA/SIC/Carrousel/Coronavirus/Cornavirus/Chiffres/donnees_06_05.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1142c079-5d62-4035-b9ea-04901bfcdfe9"/>
  </r>
  <r>
    <x v="18"/>
    <m/>
    <x v="1"/>
    <m/>
    <n v="265"/>
    <n v="77"/>
    <n v="13"/>
    <n v="0"/>
    <n v="61"/>
    <n v="3"/>
    <s v="https://www4.ti.ch/fileadmin/DSS/DSP/UMC/malattie_infettive/Coronavirus/dati/COVID19_Dati_TI_per_github.xlsx"/>
  </r>
  <r>
    <x v="18"/>
    <m/>
    <x v="8"/>
    <m/>
    <n v="477"/>
    <n v="75"/>
    <n v="10"/>
    <m/>
    <m/>
    <n v="5"/>
    <s v="https://www.vd.ch/toutes-les-actualites/hotline-et-informations-sur-le-coronavirus/point-de-situation-statistique-dans-le-canton-de-vaud/"/>
  </r>
  <r>
    <x v="18"/>
    <m/>
    <x v="9"/>
    <m/>
    <n v="98"/>
    <n v="33"/>
    <n v="1"/>
    <n v="1"/>
    <m/>
    <n v="1"/>
    <s v="https://www.vs.ch/de/web/coronavirus"/>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705.xlsx"/>
  </r>
  <r>
    <x v="19"/>
    <m/>
    <x v="0"/>
    <n v="3712"/>
    <n v="403"/>
    <n v="46"/>
    <n v="12"/>
    <n v="8"/>
    <m/>
    <n v="4"/>
    <s v="https://www.ge.ch/document/20094/telecharger"/>
  </r>
  <r>
    <x v="19"/>
    <m/>
    <x v="19"/>
    <m/>
    <n v="10"/>
    <n v="0"/>
    <m/>
    <m/>
    <m/>
    <n v="0"/>
    <s v="https://www.gl.ch/public/upload/assets/28096/COVID-19_Fallzahlen_Kanton_Glarus.xlsx"/>
  </r>
  <r>
    <x v="19"/>
    <m/>
    <x v="3"/>
    <m/>
    <n v="19"/>
    <n v="9"/>
    <n v="0"/>
    <m/>
    <m/>
    <n v="0"/>
    <s v="https://www.jura.ch/Htdocs/Files/v/34356.xlsx/Departements/CHA/SIC/Carrousel/Coronavirus/Cornavirus/Chiffres/donnees_06_05.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1142c079-5d62-4035-b9ea-04901bfcdfe9"/>
  </r>
  <r>
    <x v="19"/>
    <m/>
    <x v="15"/>
    <m/>
    <n v="13"/>
    <m/>
    <m/>
    <m/>
    <m/>
    <m/>
    <s v="https://www.sz.ch/public/upload/assets/45590/MM_Coronavirus_15_3_2020.pdf"/>
  </r>
  <r>
    <x v="19"/>
    <m/>
    <x v="1"/>
    <m/>
    <n v="293"/>
    <n v="92"/>
    <n v="16"/>
    <n v="0"/>
    <n v="61"/>
    <n v="6"/>
    <s v="https://www4.ti.ch/fileadmin/DSS/DSP/UMC/malattie_infettive/Coronavirus/dati/COVID19_Dati_TI_per_github.xlsx"/>
  </r>
  <r>
    <x v="19"/>
    <m/>
    <x v="8"/>
    <m/>
    <n v="567"/>
    <n v="90"/>
    <n v="10"/>
    <m/>
    <m/>
    <n v="6"/>
    <s v="https://www.vd.ch/toutes-les-actualites/hotline-et-informations-sur-le-coronavirus/point-de-situation-statistique-dans-le-canton-de-vaud/"/>
  </r>
  <r>
    <x v="19"/>
    <m/>
    <x v="9"/>
    <m/>
    <n v="115"/>
    <n v="35"/>
    <n v="1"/>
    <n v="1"/>
    <m/>
    <n v="2"/>
    <s v="https://www.vs.ch/de/web/coronavirus"/>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n v="0"/>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705.xlsx"/>
  </r>
  <r>
    <x v="20"/>
    <m/>
    <x v="0"/>
    <n v="4164"/>
    <n v="497"/>
    <n v="66"/>
    <n v="10"/>
    <n v="9"/>
    <m/>
    <n v="4"/>
    <s v="https://www.ge.ch/document/20094/telecharger"/>
  </r>
  <r>
    <x v="20"/>
    <m/>
    <x v="19"/>
    <m/>
    <n v="10"/>
    <n v="0"/>
    <m/>
    <m/>
    <m/>
    <n v="0"/>
    <s v="https://www.gl.ch/public/upload/assets/28096/COVID-19_Fallzahlen_Kanton_Glarus.xlsx"/>
  </r>
  <r>
    <x v="20"/>
    <m/>
    <x v="3"/>
    <m/>
    <n v="25"/>
    <n v="9"/>
    <n v="0"/>
    <m/>
    <m/>
    <n v="0"/>
    <s v="https://www.jura.ch/Htdocs/Files/v/34356.xlsx/Departements/CHA/SIC/Carrousel/Coronavirus/Cornavirus/Chiffres/donnees_06_05.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1142c079-5d62-4035-b9ea-04901bfcdfe9"/>
  </r>
  <r>
    <x v="20"/>
    <m/>
    <x v="25"/>
    <n v="246"/>
    <n v="17"/>
    <m/>
    <m/>
    <m/>
    <m/>
    <m/>
    <s v=""/>
  </r>
  <r>
    <x v="20"/>
    <m/>
    <x v="1"/>
    <m/>
    <n v="368"/>
    <n v="112"/>
    <n v="18"/>
    <n v="0"/>
    <n v="61"/>
    <n v="8"/>
    <s v="https://www4.ti.ch/fileadmin/DSS/DSP/UMC/malattie_infettive/Coronavirus/dati/COVID19_Dati_TI_per_github.xlsx"/>
  </r>
  <r>
    <x v="20"/>
    <m/>
    <x v="8"/>
    <m/>
    <n v="797"/>
    <n v="126"/>
    <n v="20"/>
    <m/>
    <m/>
    <n v="8"/>
    <s v="https://www.vd.ch/toutes-les-actualites/hotline-et-informations-sur-le-coronavirus/point-de-situation-statistique-dans-le-canton-de-vaud/"/>
  </r>
  <r>
    <x v="20"/>
    <m/>
    <x v="9"/>
    <m/>
    <n v="172"/>
    <n v="41"/>
    <n v="2"/>
    <n v="1"/>
    <m/>
    <n v="3"/>
    <s v="https://www.vs.ch/de/web/coronavirus"/>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n v="0"/>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705.xlsx"/>
  </r>
  <r>
    <x v="21"/>
    <m/>
    <x v="0"/>
    <n v="4773"/>
    <n v="633"/>
    <n v="75"/>
    <n v="19"/>
    <n v="17"/>
    <m/>
    <n v="5"/>
    <s v="https://www.ge.ch/document/20094/telecharger"/>
  </r>
  <r>
    <x v="21"/>
    <m/>
    <x v="19"/>
    <m/>
    <n v="12"/>
    <n v="0"/>
    <m/>
    <m/>
    <m/>
    <n v="0"/>
    <s v="https://www.gl.ch/public/upload/assets/28096/COVID-19_Fallzahlen_Kanton_Glarus.xlsx"/>
  </r>
  <r>
    <x v="21"/>
    <m/>
    <x v="26"/>
    <m/>
    <n v="101"/>
    <n v="9"/>
    <m/>
    <m/>
    <m/>
    <n v="1"/>
    <s v="https://www.gr.ch/DE/institutionen/verwaltung/djsg/ga/coronavirus/_layouts/15/GenericDataFeed/feed.aspx?PageID=26&amp;ID=g_1175d522_e609_4287_93af_d14c9efd5218&amp;FORMAT=JSONRAW"/>
  </r>
  <r>
    <x v="21"/>
    <m/>
    <x v="3"/>
    <m/>
    <n v="29"/>
    <n v="11"/>
    <n v="0"/>
    <m/>
    <m/>
    <n v="0"/>
    <s v="https://www.jura.ch/Htdocs/Files/v/34356.xlsx/Departements/CHA/SIC/Carrousel/Coronavirus/Cornavirus/Chiffres/donnees_06_05.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1142c079-5d62-4035-b9ea-04901bfcdfe9"/>
  </r>
  <r>
    <x v="21"/>
    <m/>
    <x v="25"/>
    <n v="276"/>
    <n v="23"/>
    <m/>
    <m/>
    <m/>
    <m/>
    <m/>
    <s v=""/>
  </r>
  <r>
    <x v="21"/>
    <m/>
    <x v="1"/>
    <m/>
    <n v="426"/>
    <n v="137"/>
    <n v="23"/>
    <n v="0"/>
    <n v="62"/>
    <n v="10"/>
    <s v="https://www4.ti.ch/fileadmin/DSS/DSP/UMC/malattie_infettive/Coronavirus/dati/COVID19_Dati_TI_per_github.xlsx"/>
  </r>
  <r>
    <x v="21"/>
    <m/>
    <x v="8"/>
    <m/>
    <n v="1040"/>
    <n v="140"/>
    <n v="24"/>
    <m/>
    <m/>
    <n v="10"/>
    <s v="https://www.vd.ch/toutes-les-actualites/hotline-et-informations-sur-le-coronavirus/point-de-situation-statistique-dans-le-canton-de-vaud/"/>
  </r>
  <r>
    <x v="21"/>
    <m/>
    <x v="9"/>
    <m/>
    <n v="225"/>
    <n v="46"/>
    <n v="2"/>
    <n v="2"/>
    <m/>
    <n v="3"/>
    <s v="https://www.vs.ch/de/web/coronavirus"/>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705.xlsx"/>
  </r>
  <r>
    <x v="22"/>
    <m/>
    <x v="0"/>
    <n v="5548"/>
    <n v="778"/>
    <n v="78"/>
    <n v="20"/>
    <n v="17"/>
    <m/>
    <n v="6"/>
    <s v="https://www.ge.ch/document/20094/telecharger"/>
  </r>
  <r>
    <x v="22"/>
    <m/>
    <x v="19"/>
    <m/>
    <n v="14"/>
    <n v="0"/>
    <m/>
    <m/>
    <m/>
    <n v="0"/>
    <s v="https://www.gl.ch/public/upload/assets/28096/COVID-19_Fallzahlen_Kanton_Glarus.xlsx"/>
  </r>
  <r>
    <x v="22"/>
    <m/>
    <x v="26"/>
    <m/>
    <n v="128"/>
    <n v="13"/>
    <m/>
    <m/>
    <m/>
    <n v="1"/>
    <s v="https://www.gr.ch/DE/institutionen/verwaltung/djsg/ga/coronavirus/_layouts/15/GenericDataFeed/feed.aspx?PageID=26&amp;ID=g_1175d522_e609_4287_93af_d14c9efd5218&amp;FORMAT=JSONRAW"/>
  </r>
  <r>
    <x v="22"/>
    <m/>
    <x v="3"/>
    <m/>
    <n v="32"/>
    <n v="11"/>
    <n v="0"/>
    <m/>
    <m/>
    <n v="0"/>
    <s v="https://www.jura.ch/Htdocs/Files/v/34356.xlsx/Departements/CHA/SIC/Carrousel/Coronavirus/Cornavirus/Chiffres/donnees_06_05.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1142c079-5d62-4035-b9ea-04901bfcdfe9"/>
  </r>
  <r>
    <x v="22"/>
    <m/>
    <x v="18"/>
    <m/>
    <n v="43"/>
    <m/>
    <m/>
    <m/>
    <m/>
    <m/>
    <s v="https://www.oltnertagblatt.ch/solothurn/kanton-solothurn/zivilschuetzer-kontrollieren-wer-in-die-solothurner-spitaeler-rein-will-137174885"/>
  </r>
  <r>
    <x v="22"/>
    <m/>
    <x v="25"/>
    <m/>
    <n v="32"/>
    <m/>
    <m/>
    <m/>
    <m/>
    <m/>
    <s v="https://www.tg.ch/news/fachdossier-coronavirus.html/10552"/>
  </r>
  <r>
    <x v="22"/>
    <m/>
    <x v="1"/>
    <m/>
    <n v="511"/>
    <n v="163"/>
    <n v="29"/>
    <n v="28"/>
    <n v="62"/>
    <n v="12"/>
    <s v="https://www4.ti.ch/fileadmin/DSS/DSP/UMC/malattie_infettive/Coronavirus/dati/COVID19_Dati_TI_per_github.xlsx"/>
  </r>
  <r>
    <x v="22"/>
    <m/>
    <x v="22"/>
    <n v="85"/>
    <n v="5"/>
    <m/>
    <m/>
    <m/>
    <m/>
    <m/>
    <s v="https://www.ur.ch/mmdirektionen/63802"/>
  </r>
  <r>
    <x v="22"/>
    <m/>
    <x v="8"/>
    <m/>
    <n v="1306"/>
    <n v="153"/>
    <n v="24"/>
    <m/>
    <m/>
    <n v="13"/>
    <s v="https://www.vd.ch/toutes-les-actualites/hotline-et-informations-sur-le-coronavirus/point-de-situation-statistique-dans-le-canton-de-vaud/"/>
  </r>
  <r>
    <x v="22"/>
    <m/>
    <x v="9"/>
    <m/>
    <n v="312"/>
    <n v="58"/>
    <n v="2"/>
    <n v="2"/>
    <m/>
    <n v="4"/>
    <s v="https://www.vs.ch/de/web/coronavirus"/>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n v="0"/>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705.xlsx"/>
  </r>
  <r>
    <x v="23"/>
    <m/>
    <x v="0"/>
    <n v="6176"/>
    <n v="967"/>
    <n v="92"/>
    <n v="19"/>
    <n v="18"/>
    <m/>
    <n v="7"/>
    <s v="https://www.ge.ch/document/20094/telecharger"/>
  </r>
  <r>
    <x v="23"/>
    <m/>
    <x v="19"/>
    <m/>
    <n v="16"/>
    <n v="0"/>
    <m/>
    <m/>
    <m/>
    <n v="0"/>
    <s v="https://www.gl.ch/public/upload/assets/28096/COVID-19_Fallzahlen_Kanton_Glarus.xlsx"/>
  </r>
  <r>
    <x v="23"/>
    <m/>
    <x v="26"/>
    <m/>
    <n v="182"/>
    <n v="18"/>
    <m/>
    <m/>
    <m/>
    <n v="2"/>
    <s v="https://www.gr.ch/DE/institutionen/verwaltung/djsg/ga/coronavirus/_layouts/15/GenericDataFeed/feed.aspx?PageID=26&amp;ID=g_1175d522_e609_4287_93af_d14c9efd5218&amp;FORMAT=JSONRAW"/>
  </r>
  <r>
    <x v="23"/>
    <m/>
    <x v="3"/>
    <m/>
    <n v="36"/>
    <n v="12"/>
    <n v="0"/>
    <m/>
    <m/>
    <n v="0"/>
    <s v="https://www.jura.ch/Htdocs/Files/v/34356.xlsx/Departements/CHA/SIC/Carrousel/Coronavirus/Cornavirus/Chiffres/donnees_06_05.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1142c079-5d62-4035-b9ea-04901bfcdfe9"/>
  </r>
  <r>
    <x v="23"/>
    <m/>
    <x v="25"/>
    <m/>
    <n v="37"/>
    <m/>
    <m/>
    <m/>
    <m/>
    <m/>
    <s v="https://www.tg.ch/news/fachdossier-coronavirus.html/10552"/>
  </r>
  <r>
    <x v="23"/>
    <m/>
    <x v="1"/>
    <m/>
    <n v="638"/>
    <n v="182"/>
    <n v="33"/>
    <n v="32"/>
    <n v="65"/>
    <n v="13"/>
    <s v="https://www4.ti.ch/fileadmin/DSS/DSP/UMC/malattie_infettive/Coronavirus/dati/COVID19_Dati_TI_per_github.xlsx"/>
  </r>
  <r>
    <x v="23"/>
    <m/>
    <x v="22"/>
    <m/>
    <n v="7"/>
    <m/>
    <m/>
    <m/>
    <m/>
    <m/>
    <s v="https://www.ur.ch/mmdirektionen/63841"/>
  </r>
  <r>
    <x v="23"/>
    <m/>
    <x v="8"/>
    <m/>
    <n v="1515"/>
    <n v="170"/>
    <n v="23"/>
    <m/>
    <m/>
    <n v="14"/>
    <s v="https://www.vd.ch/toutes-les-actualites/hotline-et-informations-sur-le-coronavirus/point-de-situation-statistique-dans-le-canton-de-vaud/"/>
  </r>
  <r>
    <x v="23"/>
    <m/>
    <x v="9"/>
    <m/>
    <n v="349"/>
    <n v="64"/>
    <n v="5"/>
    <n v="5"/>
    <m/>
    <n v="6"/>
    <s v="https://www.vs.ch/de/web/coronavirus"/>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705.xlsx"/>
  </r>
  <r>
    <x v="24"/>
    <m/>
    <x v="0"/>
    <n v="6607"/>
    <n v="1110"/>
    <n v="109"/>
    <n v="22"/>
    <n v="21"/>
    <m/>
    <n v="9"/>
    <s v="https://www.ge.ch/document/20094/telecharger"/>
  </r>
  <r>
    <x v="24"/>
    <m/>
    <x v="19"/>
    <m/>
    <n v="20"/>
    <n v="0"/>
    <m/>
    <m/>
    <m/>
    <n v="0"/>
    <s v="https://www.gl.ch/public/upload/assets/28096/COVID-19_Fallzahlen_Kanton_Glarus.xlsx"/>
  </r>
  <r>
    <x v="24"/>
    <m/>
    <x v="26"/>
    <m/>
    <n v="226"/>
    <n v="24"/>
    <m/>
    <m/>
    <m/>
    <n v="3"/>
    <s v="https://www.gr.ch/DE/institutionen/verwaltung/djsg/ga/coronavirus/_layouts/15/GenericDataFeed/feed.aspx?PageID=26&amp;ID=g_1175d522_e609_4287_93af_d14c9efd5218&amp;FORMAT=JSONRAW"/>
  </r>
  <r>
    <x v="24"/>
    <m/>
    <x v="3"/>
    <m/>
    <n v="44"/>
    <n v="14"/>
    <n v="1"/>
    <m/>
    <m/>
    <n v="0"/>
    <s v="https://www.jura.ch/Htdocs/Files/v/34356.xlsx/Departements/CHA/SIC/Carrousel/Coronavirus/Cornavirus/Chiffres/donnees_06_05.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1142c079-5d62-4035-b9ea-04901bfcdfe9"/>
  </r>
  <r>
    <x v="24"/>
    <m/>
    <x v="25"/>
    <m/>
    <n v="50"/>
    <m/>
    <m/>
    <m/>
    <m/>
    <m/>
    <s v="https://www.tg.ch/news/fachdossier-coronavirus.html/10552"/>
  </r>
  <r>
    <x v="24"/>
    <m/>
    <x v="8"/>
    <m/>
    <n v="1757"/>
    <n v="182"/>
    <n v="23"/>
    <m/>
    <m/>
    <n v="20"/>
    <s v="https://www.vd.ch/toutes-les-actualites/hotline-et-informations-sur-le-coronavirus/point-de-situation-statistique-dans-le-canton-de-vaud/"/>
  </r>
  <r>
    <x v="24"/>
    <m/>
    <x v="9"/>
    <m/>
    <n v="436"/>
    <n v="73"/>
    <n v="6"/>
    <n v="5"/>
    <m/>
    <n v="7"/>
    <s v="https://www.vs.ch/de/web/coronavirus"/>
  </r>
  <r>
    <x v="24"/>
    <n v="0.33333333333333331"/>
    <x v="1"/>
    <m/>
    <n v="849"/>
    <n v="190"/>
    <n v="35"/>
    <n v="34"/>
    <n v="67"/>
    <n v="22"/>
    <s v="https://www4.ti.ch/fileadmin/DSS/DSP/UMC/malattie_infettive/Coronavirus/dati/COVID19_Dati_TI_per_github.xlsx"/>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705.xlsx"/>
  </r>
  <r>
    <x v="25"/>
    <m/>
    <x v="0"/>
    <n v="6968"/>
    <n v="1241"/>
    <n v="145"/>
    <n v="25"/>
    <n v="24"/>
    <m/>
    <n v="9"/>
    <s v="https://www.ge.ch/document/20094/telecharger"/>
  </r>
  <r>
    <x v="25"/>
    <m/>
    <x v="19"/>
    <m/>
    <n v="25"/>
    <n v="0"/>
    <m/>
    <m/>
    <m/>
    <n v="0"/>
    <s v="https://www.gl.ch/public/upload/assets/28096/COVID-19_Fallzahlen_Kanton_Glarus.xlsx"/>
  </r>
  <r>
    <x v="25"/>
    <m/>
    <x v="26"/>
    <m/>
    <n v="258"/>
    <n v="24"/>
    <m/>
    <m/>
    <m/>
    <n v="4"/>
    <s v="https://www.gr.ch/DE/institutionen/verwaltung/djsg/ga/coronavirus/_layouts/15/GenericDataFeed/feed.aspx?PageID=26&amp;ID=g_1175d522_e609_4287_93af_d14c9efd5218&amp;FORMAT=JSONRAW"/>
  </r>
  <r>
    <x v="25"/>
    <m/>
    <x v="3"/>
    <m/>
    <n v="54"/>
    <n v="13"/>
    <n v="1"/>
    <m/>
    <m/>
    <n v="0"/>
    <s v="https://www.jura.ch/Htdocs/Files/v/34356.xlsx/Departements/CHA/SIC/Carrousel/Coronavirus/Cornavirus/Chiffres/donnees_06_05.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1142c079-5d62-4035-b9ea-04901bfcdfe9"/>
  </r>
  <r>
    <x v="25"/>
    <m/>
    <x v="25"/>
    <m/>
    <n v="57"/>
    <m/>
    <m/>
    <m/>
    <m/>
    <m/>
    <s v="https://www.tg.ch/news/fachdossier-coronavirus.html/10552"/>
  </r>
  <r>
    <x v="25"/>
    <m/>
    <x v="8"/>
    <m/>
    <n v="1876"/>
    <n v="211"/>
    <n v="24"/>
    <m/>
    <m/>
    <n v="23"/>
    <s v="https://www.vd.ch/toutes-les-actualites/hotline-et-informations-sur-le-coronavirus/point-de-situation-statistique-dans-le-canton-de-vaud/"/>
  </r>
  <r>
    <x v="25"/>
    <m/>
    <x v="9"/>
    <m/>
    <n v="498"/>
    <n v="83"/>
    <n v="8"/>
    <n v="6"/>
    <m/>
    <n v="10"/>
    <s v="https://www.vs.ch/de/web/coronavirus"/>
  </r>
  <r>
    <x v="25"/>
    <n v="0.33333333333333331"/>
    <x v="1"/>
    <m/>
    <n v="916"/>
    <n v="224"/>
    <n v="40"/>
    <n v="37"/>
    <n v="68"/>
    <n v="28"/>
    <s v="https://www4.ti.ch/fileadmin/DSS/DSP/UMC/malattie_infettive/Coronavirus/dati/COVID19_Dati_TI_per_github.xlsx"/>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705.xlsx"/>
  </r>
  <r>
    <x v="26"/>
    <m/>
    <x v="0"/>
    <n v="7202"/>
    <n v="1383"/>
    <n v="179"/>
    <n v="36"/>
    <n v="36"/>
    <m/>
    <n v="10"/>
    <s v="https://www.ge.ch/document/20094/telecharger"/>
  </r>
  <r>
    <x v="26"/>
    <m/>
    <x v="19"/>
    <m/>
    <n v="29"/>
    <n v="0"/>
    <m/>
    <m/>
    <m/>
    <n v="0"/>
    <s v="https://www.gl.ch/public/upload/assets/28096/COVID-19_Fallzahlen_Kanton_Glarus.xlsx"/>
  </r>
  <r>
    <x v="26"/>
    <m/>
    <x v="26"/>
    <m/>
    <n v="284"/>
    <n v="27"/>
    <m/>
    <m/>
    <m/>
    <n v="4"/>
    <s v="https://www.gr.ch/DE/institutionen/verwaltung/djsg/ga/coronavirus/_layouts/15/GenericDataFeed/feed.aspx?PageID=26&amp;ID=g_1175d522_e609_4287_93af_d14c9efd5218&amp;FORMAT=JSONRAW"/>
  </r>
  <r>
    <x v="26"/>
    <m/>
    <x v="3"/>
    <m/>
    <n v="61"/>
    <n v="18"/>
    <n v="2"/>
    <m/>
    <m/>
    <n v="0"/>
    <s v="https://www.jura.ch/Htdocs/Files/v/34356.xlsx/Departements/CHA/SIC/Carrousel/Coronavirus/Cornavirus/Chiffres/donnees_06_05.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1142c079-5d62-4035-b9ea-04901bfcdfe9"/>
  </r>
  <r>
    <x v="26"/>
    <m/>
    <x v="25"/>
    <m/>
    <n v="76"/>
    <m/>
    <m/>
    <m/>
    <m/>
    <m/>
    <s v="https://www.tg.ch/news/fachdossier-coronavirus.html/10552"/>
  </r>
  <r>
    <x v="26"/>
    <m/>
    <x v="8"/>
    <m/>
    <n v="1978"/>
    <n v="231"/>
    <n v="30"/>
    <m/>
    <m/>
    <n v="25"/>
    <s v="https://www.vd.ch/toutes-les-actualites/hotline-et-informations-sur-le-coronavirus/point-de-situation-statistique-dans-le-canton-de-vaud/"/>
  </r>
  <r>
    <x v="26"/>
    <m/>
    <x v="9"/>
    <m/>
    <n v="535"/>
    <n v="92"/>
    <n v="11"/>
    <n v="7"/>
    <m/>
    <n v="11"/>
    <s v="https://www.vs.ch/de/web/coronavirus"/>
  </r>
  <r>
    <x v="26"/>
    <n v="0.33333333333333331"/>
    <x v="1"/>
    <m/>
    <n v="945"/>
    <n v="246"/>
    <n v="46"/>
    <n v="43"/>
    <n v="70"/>
    <n v="37"/>
    <s v="https://www4.ti.ch/fileadmin/DSS/DSP/UMC/malattie_infettive/Coronavirus/dati/COVID19_Dati_TI_per_github.xlsx"/>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705.xlsx"/>
  </r>
  <r>
    <x v="27"/>
    <m/>
    <x v="0"/>
    <n v="7581"/>
    <n v="1532"/>
    <n v="214"/>
    <n v="43"/>
    <n v="41"/>
    <m/>
    <n v="16"/>
    <s v="https://www.ge.ch/document/20094/telecharger"/>
  </r>
  <r>
    <x v="27"/>
    <m/>
    <x v="19"/>
    <m/>
    <n v="31"/>
    <n v="3"/>
    <m/>
    <m/>
    <m/>
    <n v="0"/>
    <s v="https://www.gl.ch/public/upload/assets/28096/COVID-19_Fallzahlen_Kanton_Glarus.xlsx"/>
  </r>
  <r>
    <x v="27"/>
    <m/>
    <x v="26"/>
    <m/>
    <n v="300"/>
    <n v="29"/>
    <m/>
    <m/>
    <m/>
    <n v="5"/>
    <s v="https://www.gr.ch/DE/institutionen/verwaltung/djsg/ga/coronavirus/_layouts/15/GenericDataFeed/feed.aspx?PageID=26&amp;ID=g_1175d522_e609_4287_93af_d14c9efd5218&amp;FORMAT=JSONRAW"/>
  </r>
  <r>
    <x v="27"/>
    <m/>
    <x v="3"/>
    <m/>
    <n v="69"/>
    <n v="18"/>
    <n v="3"/>
    <m/>
    <m/>
    <n v="0"/>
    <s v="https://www.jura.ch/Htdocs/Files/v/34356.xlsx/Departements/CHA/SIC/Carrousel/Coronavirus/Cornavirus/Chiffres/donnees_06_05.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1142c079-5d62-4035-b9ea-04901bfcdfe9"/>
  </r>
  <r>
    <x v="27"/>
    <m/>
    <x v="25"/>
    <m/>
    <n v="82"/>
    <m/>
    <m/>
    <m/>
    <m/>
    <m/>
    <s v="https://www.tg.ch/news/fachdossier-coronavirus.html/10552"/>
  </r>
  <r>
    <x v="27"/>
    <m/>
    <x v="22"/>
    <m/>
    <n v="22"/>
    <n v="1"/>
    <m/>
    <m/>
    <n v="1"/>
    <m/>
    <s v="https://www.ur.ch/themen/2920"/>
  </r>
  <r>
    <x v="27"/>
    <m/>
    <x v="8"/>
    <m/>
    <n v="2284"/>
    <n v="248"/>
    <n v="38"/>
    <m/>
    <m/>
    <n v="29"/>
    <s v="https://www.vd.ch/toutes-les-actualites/hotline-et-informations-sur-le-coronavirus/point-de-situation-statistique-dans-le-canton-de-vaud/"/>
  </r>
  <r>
    <x v="27"/>
    <m/>
    <x v="9"/>
    <m/>
    <n v="628"/>
    <n v="104"/>
    <n v="12"/>
    <n v="9"/>
    <m/>
    <n v="13"/>
    <s v="https://www.vs.ch/de/web/coronavirus"/>
  </r>
  <r>
    <x v="27"/>
    <n v="0.33333333333333331"/>
    <x v="1"/>
    <m/>
    <n v="1162"/>
    <n v="261"/>
    <n v="45"/>
    <n v="43"/>
    <n v="71"/>
    <n v="48"/>
    <s v="https://www4.ti.ch/fileadmin/DSS/DSP/UMC/malattie_infettive/Coronavirus/dati/COVID19_Dati_TI_per_github.xlsx"/>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705.xlsx"/>
  </r>
  <r>
    <x v="28"/>
    <m/>
    <x v="0"/>
    <n v="7922"/>
    <n v="1632"/>
    <n v="238"/>
    <n v="41"/>
    <n v="41"/>
    <n v="103"/>
    <n v="17"/>
    <s v="https://www.ge.ch/document/20094/telecharger"/>
  </r>
  <r>
    <x v="28"/>
    <m/>
    <x v="19"/>
    <m/>
    <n v="33"/>
    <n v="3"/>
    <m/>
    <m/>
    <m/>
    <n v="0"/>
    <s v="https://www.gl.ch/public/upload/assets/28096/COVID-19_Fallzahlen_Kanton_Glarus.xlsx"/>
  </r>
  <r>
    <x v="28"/>
    <m/>
    <x v="26"/>
    <m/>
    <n v="343"/>
    <n v="43"/>
    <m/>
    <m/>
    <m/>
    <n v="6"/>
    <s v="https://www.gr.ch/DE/institutionen/verwaltung/djsg/ga/coronavirus/_layouts/15/GenericDataFeed/feed.aspx?PageID=26&amp;ID=g_1175d522_e609_4287_93af_d14c9efd5218&amp;FORMAT=JSONRAW"/>
  </r>
  <r>
    <x v="28"/>
    <m/>
    <x v="3"/>
    <m/>
    <n v="82"/>
    <n v="22"/>
    <n v="4"/>
    <m/>
    <m/>
    <n v="0"/>
    <s v="https://www.jura.ch/Htdocs/Files/v/34356.xlsx/Departements/CHA/SIC/Carrousel/Coronavirus/Cornavirus/Chiffres/donnees_06_05.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1142c079-5d62-4035-b9ea-04901bfcdfe9"/>
  </r>
  <r>
    <x v="28"/>
    <m/>
    <x v="15"/>
    <m/>
    <n v="97"/>
    <m/>
    <m/>
    <m/>
    <n v="10"/>
    <n v="0"/>
    <s v="https://www.sz.ch/public/upload/assets/46502/COVID-19_Fallzahlen_Kanton_Schwyz.xlsx"/>
  </r>
  <r>
    <x v="28"/>
    <m/>
    <x v="25"/>
    <m/>
    <n v="88"/>
    <m/>
    <m/>
    <m/>
    <m/>
    <n v="1"/>
    <s v="https://www.tg.ch/news/fachdossier-coronavirus.html/10552 &amp; https://www.tg.ch/news/news-detailseite.html/485/news/44925"/>
  </r>
  <r>
    <x v="28"/>
    <m/>
    <x v="8"/>
    <m/>
    <n v="2549"/>
    <n v="284"/>
    <n v="39"/>
    <m/>
    <m/>
    <n v="33"/>
    <s v="https://www.vd.ch/toutes-les-actualites/hotline-et-informations-sur-le-coronavirus/point-de-situation-statistique-dans-le-canton-de-vaud/"/>
  </r>
  <r>
    <x v="28"/>
    <m/>
    <x v="9"/>
    <m/>
    <n v="728"/>
    <n v="117"/>
    <n v="13"/>
    <n v="12"/>
    <m/>
    <n v="14"/>
    <s v="https://www.vs.ch/de/web/coronavirus"/>
  </r>
  <r>
    <x v="28"/>
    <n v="0"/>
    <x v="18"/>
    <m/>
    <n v="104"/>
    <m/>
    <m/>
    <m/>
    <m/>
    <n v="1"/>
    <s v="https://corona.so.ch/"/>
  </r>
  <r>
    <x v="28"/>
    <n v="0.33333333333333331"/>
    <x v="1"/>
    <m/>
    <n v="1209"/>
    <n v="285"/>
    <n v="50"/>
    <n v="48"/>
    <n v="80"/>
    <n v="53"/>
    <s v="https://www4.ti.ch/fileadmin/DSS/DSP/UMC/malattie_infettive/Coronavirus/dati/COVID19_Dati_TI_per_github.xlsx"/>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n v="0"/>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705.xlsx"/>
  </r>
  <r>
    <x v="29"/>
    <m/>
    <x v="0"/>
    <n v="8328"/>
    <n v="1755"/>
    <n v="258"/>
    <n v="50"/>
    <n v="48"/>
    <n v="122"/>
    <n v="24"/>
    <s v="https://www.ge.ch/document/20094/telecharger"/>
  </r>
  <r>
    <x v="29"/>
    <m/>
    <x v="19"/>
    <m/>
    <n v="40"/>
    <n v="2"/>
    <m/>
    <m/>
    <m/>
    <n v="0"/>
    <s v="https://www.gl.ch/public/upload/assets/28096/COVID-19_Fallzahlen_Kanton_Glarus.xlsx"/>
  </r>
  <r>
    <x v="29"/>
    <m/>
    <x v="26"/>
    <m/>
    <n v="393"/>
    <n v="45"/>
    <m/>
    <m/>
    <m/>
    <n v="8"/>
    <s v="https://www.gr.ch/DE/institutionen/verwaltung/djsg/ga/coronavirus/_layouts/15/GenericDataFeed/feed.aspx?PageID=26&amp;ID=g_1175d522_e609_4287_93af_d14c9efd5218&amp;FORMAT=JSONRAW"/>
  </r>
  <r>
    <x v="29"/>
    <m/>
    <x v="3"/>
    <m/>
    <n v="92"/>
    <n v="23"/>
    <n v="4"/>
    <m/>
    <m/>
    <n v="0"/>
    <s v="https://www.jura.ch/Htdocs/Files/v/34356.xlsx/Departements/CHA/SIC/Carrousel/Coronavirus/Cornavirus/Chiffres/donnees_06_05.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1142c079-5d62-4035-b9ea-04901bfcdfe9"/>
  </r>
  <r>
    <x v="29"/>
    <m/>
    <x v="15"/>
    <m/>
    <m/>
    <m/>
    <m/>
    <m/>
    <n v="10"/>
    <n v="0"/>
    <s v="https://www.sz.ch/public/upload/assets/46502/COVID-19_Fallzahlen_Kanton_Schwyz.xlsx"/>
  </r>
  <r>
    <x v="29"/>
    <m/>
    <x v="25"/>
    <m/>
    <n v="97"/>
    <m/>
    <m/>
    <m/>
    <m/>
    <n v="1"/>
    <s v="https://www.tg.ch/news/fachdossier-coronavirus.html/10552"/>
  </r>
  <r>
    <x v="29"/>
    <m/>
    <x v="8"/>
    <m/>
    <n v="2741"/>
    <n v="312"/>
    <n v="49"/>
    <m/>
    <m/>
    <n v="41"/>
    <s v="https://www.vd.ch/toutes-les-actualites/hotline-et-informations-sur-le-coronavirus/point-de-situation-statistique-dans-le-canton-de-vaud/"/>
  </r>
  <r>
    <x v="29"/>
    <m/>
    <x v="9"/>
    <m/>
    <n v="793"/>
    <n v="118"/>
    <n v="15"/>
    <n v="14"/>
    <m/>
    <n v="15"/>
    <s v="https://www.vs.ch/de/web/coronavirus"/>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n v="85"/>
    <n v="60"/>
    <s v="https://www4.ti.ch/fileadmin/DSS/DSP/UMC/malattie_infettive/Coronavirus/dati/COVID19_Dati_TI_per_github.xlsx"/>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n v="0"/>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705.xlsx"/>
  </r>
  <r>
    <x v="30"/>
    <m/>
    <x v="0"/>
    <n v="8835"/>
    <n v="1981"/>
    <n v="272"/>
    <n v="52"/>
    <n v="48"/>
    <n v="144"/>
    <n v="26"/>
    <s v="https://www.ge.ch/document/20094/telecharger"/>
  </r>
  <r>
    <x v="30"/>
    <m/>
    <x v="19"/>
    <m/>
    <n v="43"/>
    <n v="2"/>
    <m/>
    <m/>
    <m/>
    <n v="0"/>
    <s v="https://www.gl.ch/public/upload/assets/28096/COVID-19_Fallzahlen_Kanton_Glarus.xlsx"/>
  </r>
  <r>
    <x v="30"/>
    <m/>
    <x v="26"/>
    <m/>
    <n v="433"/>
    <n v="52"/>
    <m/>
    <m/>
    <m/>
    <n v="8"/>
    <s v="https://www.gr.ch/DE/institutionen/verwaltung/djsg/ga/coronavirus/_layouts/15/GenericDataFeed/feed.aspx?PageID=26&amp;ID=g_1175d522_e609_4287_93af_d14c9efd5218&amp;FORMAT=JSONRAW"/>
  </r>
  <r>
    <x v="30"/>
    <m/>
    <x v="3"/>
    <m/>
    <n v="100"/>
    <n v="22"/>
    <n v="4"/>
    <m/>
    <m/>
    <n v="0"/>
    <s v="https://www.jura.ch/Htdocs/Files/v/34356.xlsx/Departements/CHA/SIC/Carrousel/Coronavirus/Cornavirus/Chiffres/donnees_06_05.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1142c079-5d62-4035-b9ea-04901bfcdfe9"/>
  </r>
  <r>
    <x v="30"/>
    <m/>
    <x v="15"/>
    <m/>
    <n v="107"/>
    <m/>
    <m/>
    <m/>
    <n v="20"/>
    <n v="0"/>
    <s v="https://www.sz.ch/public/upload/assets/46502/COVID-19_Fallzahlen_Kanton_Schwyz.xlsx"/>
  </r>
  <r>
    <x v="30"/>
    <m/>
    <x v="25"/>
    <m/>
    <n v="111"/>
    <m/>
    <m/>
    <m/>
    <m/>
    <n v="1"/>
    <s v="https://www.tg.ch/news/fachdossier-coronavirus.html/10552"/>
  </r>
  <r>
    <x v="30"/>
    <m/>
    <x v="22"/>
    <m/>
    <n v="38"/>
    <n v="4"/>
    <m/>
    <m/>
    <n v="2"/>
    <m/>
    <s v="https://www.ur.ch/themen/2920"/>
  </r>
  <r>
    <x v="30"/>
    <m/>
    <x v="8"/>
    <m/>
    <n v="2946"/>
    <n v="323"/>
    <n v="53"/>
    <m/>
    <m/>
    <n v="58"/>
    <s v="https://www.vd.ch/toutes-les-actualites/hotline-et-informations-sur-le-coronavirus/point-de-situation-statistique-dans-le-canton-de-vaud/"/>
  </r>
  <r>
    <x v="30"/>
    <m/>
    <x v="9"/>
    <m/>
    <n v="874"/>
    <n v="128"/>
    <n v="19"/>
    <n v="17"/>
    <m/>
    <n v="17"/>
    <s v="https://www.vs.ch/de/web/coronavirus"/>
  </r>
  <r>
    <x v="30"/>
    <n v="0"/>
    <x v="18"/>
    <m/>
    <n v="141"/>
    <m/>
    <m/>
    <m/>
    <m/>
    <n v="1"/>
    <s v="https://corona.so.ch/"/>
  </r>
  <r>
    <x v="30"/>
    <n v="0.33333333333333331"/>
    <x v="1"/>
    <m/>
    <n v="1401"/>
    <n v="358"/>
    <n v="60"/>
    <n v="56"/>
    <n v="91"/>
    <n v="67"/>
    <s v="https://www4.ti.ch/fileadmin/DSS/DSP/UMC/malattie_infettive/Coronavirus/dati/COVID19_Dati_TI_per_github.xlsx"/>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n v="0"/>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705.xlsx"/>
  </r>
  <r>
    <x v="31"/>
    <m/>
    <x v="0"/>
    <n v="9327"/>
    <n v="2169"/>
    <n v="313"/>
    <n v="54"/>
    <n v="54"/>
    <n v="153"/>
    <n v="33"/>
    <s v="https://www.ge.ch/document/20094/telecharger"/>
  </r>
  <r>
    <x v="31"/>
    <m/>
    <x v="19"/>
    <m/>
    <n v="47"/>
    <n v="3"/>
    <m/>
    <m/>
    <m/>
    <n v="0"/>
    <s v="https://www.gl.ch/public/upload/assets/28096/COVID-19_Fallzahlen_Kanton_Glarus.xlsx"/>
  </r>
  <r>
    <x v="31"/>
    <m/>
    <x v="26"/>
    <m/>
    <n v="474"/>
    <n v="58"/>
    <m/>
    <m/>
    <m/>
    <n v="9"/>
    <s v="https://www.gr.ch/DE/institutionen/verwaltung/djsg/ga/coronavirus/_layouts/15/GenericDataFeed/feed.aspx?PageID=26&amp;ID=g_1175d522_e609_4287_93af_d14c9efd5218&amp;FORMAT=JSONRAW"/>
  </r>
  <r>
    <x v="31"/>
    <m/>
    <x v="3"/>
    <m/>
    <n v="114"/>
    <n v="25"/>
    <n v="6"/>
    <m/>
    <m/>
    <n v="0"/>
    <s v="https://www.jura.ch/Htdocs/Files/v/34356.xlsx/Departements/CHA/SIC/Carrousel/Coronavirus/Cornavirus/Chiffres/donnees_06_05.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1142c079-5d62-4035-b9ea-04901bfcdfe9"/>
  </r>
  <r>
    <x v="31"/>
    <m/>
    <x v="15"/>
    <m/>
    <n v="119"/>
    <m/>
    <m/>
    <m/>
    <n v="32"/>
    <n v="1"/>
    <s v="https://www.sz.ch/public/upload/assets/46502/COVID-19_Fallzahlen_Kanton_Schwyz.xlsx"/>
  </r>
  <r>
    <x v="31"/>
    <m/>
    <x v="25"/>
    <m/>
    <n v="118"/>
    <m/>
    <m/>
    <m/>
    <m/>
    <n v="2"/>
    <s v="https://www.tg.ch/news/fachdossier-coronavirus.html/10552 &amp; email der Staatskanzlei des Kanton Thurgau"/>
  </r>
  <r>
    <x v="31"/>
    <m/>
    <x v="22"/>
    <m/>
    <n v="40"/>
    <n v="7"/>
    <m/>
    <m/>
    <n v="3"/>
    <m/>
    <s v="https://www.ur.ch/themen/2920"/>
  </r>
  <r>
    <x v="31"/>
    <m/>
    <x v="8"/>
    <m/>
    <n v="3180"/>
    <n v="356"/>
    <n v="57"/>
    <m/>
    <m/>
    <n v="62"/>
    <s v="https://www.vd.ch/toutes-les-actualites/hotline-et-informations-sur-le-coronavirus/point-de-situation-statistique-dans-le-canton-de-vaud/"/>
  </r>
  <r>
    <x v="31"/>
    <m/>
    <x v="9"/>
    <m/>
    <n v="968"/>
    <n v="137"/>
    <n v="20"/>
    <n v="16"/>
    <m/>
    <n v="21"/>
    <s v="https://www.vs.ch/de/web/coronavirus"/>
  </r>
  <r>
    <x v="31"/>
    <n v="0"/>
    <x v="18"/>
    <m/>
    <n v="157"/>
    <m/>
    <m/>
    <m/>
    <m/>
    <n v="1"/>
    <s v="https://corona.so.ch/"/>
  </r>
  <r>
    <x v="31"/>
    <n v="0.33333333333333331"/>
    <x v="1"/>
    <m/>
    <n v="1688"/>
    <n v="386"/>
    <n v="61"/>
    <n v="51"/>
    <n v="107"/>
    <n v="76"/>
    <s v="https://www4.ti.ch/fileadmin/DSS/DSP/UMC/malattie_infettive/Coronavirus/dati/COVID19_Dati_TI_per_github.xlsx"/>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n v="0"/>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705.xlsx"/>
  </r>
  <r>
    <x v="32"/>
    <m/>
    <x v="0"/>
    <n v="9916"/>
    <n v="2365"/>
    <n v="339"/>
    <n v="59"/>
    <n v="54"/>
    <n v="175"/>
    <n v="41"/>
    <s v="https://www.ge.ch/document/20094/telecharger"/>
  </r>
  <r>
    <x v="32"/>
    <m/>
    <x v="19"/>
    <m/>
    <n v="47"/>
    <n v="3"/>
    <m/>
    <m/>
    <m/>
    <n v="1"/>
    <s v="https://www.gl.ch/public/upload/assets/28096/COVID-19_Fallzahlen_Kanton_Glarus.xlsx"/>
  </r>
  <r>
    <x v="32"/>
    <m/>
    <x v="26"/>
    <m/>
    <n v="495"/>
    <n v="63"/>
    <m/>
    <m/>
    <m/>
    <n v="12"/>
    <s v="https://www.gr.ch/DE/institutionen/verwaltung/djsg/ga/coronavirus/_layouts/15/GenericDataFeed/feed.aspx?PageID=26&amp;ID=g_1175d522_e609_4287_93af_d14c9efd5218&amp;FORMAT=JSONRAW"/>
  </r>
  <r>
    <x v="32"/>
    <m/>
    <x v="3"/>
    <m/>
    <n v="119"/>
    <n v="27"/>
    <n v="5"/>
    <m/>
    <m/>
    <n v="0"/>
    <s v="https://www.jura.ch/Htdocs/Files/v/34356.xlsx/Departements/CHA/SIC/Carrousel/Coronavirus/Cornavirus/Chiffres/donnees_06_05.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1142c079-5d62-4035-b9ea-04901bfcdfe9"/>
  </r>
  <r>
    <x v="32"/>
    <m/>
    <x v="15"/>
    <m/>
    <n v="122"/>
    <m/>
    <m/>
    <m/>
    <n v="33"/>
    <n v="1"/>
    <s v="https://www.sz.ch/public/upload/assets/46502/COVID-19_Fallzahlen_Kanton_Schwyz.xlsx"/>
  </r>
  <r>
    <x v="32"/>
    <m/>
    <x v="25"/>
    <m/>
    <n v="135"/>
    <m/>
    <m/>
    <m/>
    <m/>
    <n v="2"/>
    <s v="https://www.tg.ch/news/fachdossier-coronavirus.html/10552"/>
  </r>
  <r>
    <x v="32"/>
    <m/>
    <x v="22"/>
    <m/>
    <n v="48"/>
    <n v="7"/>
    <m/>
    <m/>
    <n v="3"/>
    <m/>
    <s v="https://www.ur.ch/themen/2920"/>
  </r>
  <r>
    <x v="32"/>
    <m/>
    <x v="8"/>
    <m/>
    <n v="3311"/>
    <n v="364"/>
    <n v="58"/>
    <m/>
    <m/>
    <n v="73"/>
    <s v="https://www.vd.ch/toutes-les-actualites/hotline-et-informations-sur-le-coronavirus/point-de-situation-statistique-dans-le-canton-de-vaud/"/>
  </r>
  <r>
    <x v="32"/>
    <m/>
    <x v="9"/>
    <m/>
    <n v="1017"/>
    <n v="142"/>
    <n v="21"/>
    <n v="19"/>
    <m/>
    <n v="25"/>
    <s v="https://www.vs.ch/de/web/coronavirus"/>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n v="136"/>
    <n v="87"/>
    <s v="https://www4.ti.ch/fileadmin/DSS/DSP/UMC/malattie_infettive/Coronavirus/dati/COVID19_Dati_TI_per_github.xlsx"/>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n v="0"/>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705.xlsx"/>
  </r>
  <r>
    <x v="33"/>
    <m/>
    <x v="0"/>
    <n v="10225"/>
    <n v="2472"/>
    <n v="365"/>
    <n v="59"/>
    <n v="55"/>
    <n v="193"/>
    <n v="49"/>
    <s v="https://www.ge.ch/document/20094/telecharger"/>
  </r>
  <r>
    <x v="33"/>
    <m/>
    <x v="19"/>
    <m/>
    <n v="50"/>
    <n v="2"/>
    <m/>
    <m/>
    <m/>
    <n v="1"/>
    <s v="https://www.gl.ch/public/upload/assets/28096/COVID-19_Fallzahlen_Kanton_Glarus.xlsx"/>
  </r>
  <r>
    <x v="33"/>
    <m/>
    <x v="26"/>
    <m/>
    <n v="519"/>
    <n v="63"/>
    <m/>
    <m/>
    <m/>
    <n v="15"/>
    <s v="https://www.gr.ch/DE/institutionen/verwaltung/djsg/ga/coronavirus/_layouts/15/GenericDataFeed/feed.aspx?PageID=26&amp;ID=g_1175d522_e609_4287_93af_d14c9efd5218&amp;FORMAT=JSONRAW"/>
  </r>
  <r>
    <x v="33"/>
    <m/>
    <x v="3"/>
    <m/>
    <n v="127"/>
    <n v="28"/>
    <n v="5"/>
    <m/>
    <m/>
    <n v="0"/>
    <s v="https://www.jura.ch/Htdocs/Files/v/34356.xlsx/Departements/CHA/SIC/Carrousel/Coronavirus/Cornavirus/Chiffres/donnees_06_05.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1142c079-5d62-4035-b9ea-04901bfcdfe9"/>
  </r>
  <r>
    <x v="33"/>
    <m/>
    <x v="15"/>
    <m/>
    <n v="128"/>
    <m/>
    <m/>
    <m/>
    <n v="33"/>
    <n v="2"/>
    <s v="https://www.sz.ch/public/upload/assets/46502/COVID-19_Fallzahlen_Kanton_Schwyz.xlsx"/>
  </r>
  <r>
    <x v="33"/>
    <m/>
    <x v="25"/>
    <m/>
    <n v="139"/>
    <m/>
    <m/>
    <m/>
    <m/>
    <n v="2"/>
    <s v="https://www.tg.ch/news/fachdossier-coronavirus.html/10552"/>
  </r>
  <r>
    <x v="33"/>
    <m/>
    <x v="22"/>
    <m/>
    <n v="50"/>
    <n v="7"/>
    <m/>
    <m/>
    <n v="3"/>
    <m/>
    <s v="https://www.ur.ch/themen/2920"/>
  </r>
  <r>
    <x v="33"/>
    <m/>
    <x v="8"/>
    <m/>
    <n v="3396"/>
    <n v="366"/>
    <n v="59"/>
    <m/>
    <m/>
    <n v="83"/>
    <s v="https://www.vd.ch/toutes-les-actualites/hotline-et-informations-sur-le-coronavirus/point-de-situation-statistique-dans-le-canton-de-vaud/"/>
  </r>
  <r>
    <x v="33"/>
    <m/>
    <x v="9"/>
    <m/>
    <n v="1055"/>
    <n v="152"/>
    <n v="22"/>
    <n v="21"/>
    <m/>
    <n v="31"/>
    <s v="https://www.vs.ch/de/web/coronavirus"/>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n v="155"/>
    <n v="93"/>
    <s v="https://www4.ti.ch/fileadmin/DSS/DSP/UMC/malattie_infettive/Coronavirus/dati/COVID19_Dati_TI_per_github.xlsx"/>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705.xlsx"/>
  </r>
  <r>
    <x v="34"/>
    <m/>
    <x v="0"/>
    <n v="10887"/>
    <n v="2682"/>
    <n v="382"/>
    <n v="57"/>
    <n v="54"/>
    <n v="216"/>
    <n v="59"/>
    <s v="https://www.ge.ch/document/20094/telecharger"/>
  </r>
  <r>
    <x v="34"/>
    <m/>
    <x v="19"/>
    <m/>
    <n v="51"/>
    <n v="3"/>
    <m/>
    <m/>
    <m/>
    <n v="2"/>
    <s v="https://www.gl.ch/public/upload/assets/28096/COVID-19_Fallzahlen_Kanton_Glarus.xlsx"/>
  </r>
  <r>
    <x v="34"/>
    <m/>
    <x v="26"/>
    <m/>
    <n v="535"/>
    <n v="58"/>
    <m/>
    <m/>
    <m/>
    <n v="19"/>
    <s v="https://www.gr.ch/DE/institutionen/verwaltung/djsg/ga/coronavirus/_layouts/15/GenericDataFeed/feed.aspx?PageID=26&amp;ID=g_1175d522_e609_4287_93af_d14c9efd5218&amp;FORMAT=JSONRAW"/>
  </r>
  <r>
    <x v="34"/>
    <m/>
    <x v="3"/>
    <m/>
    <n v="128"/>
    <n v="28"/>
    <n v="5"/>
    <m/>
    <m/>
    <n v="0"/>
    <s v="https://www.jura.ch/Htdocs/Files/v/34356.xlsx/Departements/CHA/SIC/Carrousel/Coronavirus/Cornavirus/Chiffres/donnees_06_05.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1142c079-5d62-4035-b9ea-04901bfcdfe9"/>
  </r>
  <r>
    <x v="34"/>
    <m/>
    <x v="15"/>
    <m/>
    <n v="135"/>
    <m/>
    <m/>
    <m/>
    <n v="33"/>
    <n v="2"/>
    <s v="https://www.sz.ch/public/upload/assets/46502/COVID-19_Fallzahlen_Kanton_Schwyz.xlsx"/>
  </r>
  <r>
    <x v="34"/>
    <m/>
    <x v="25"/>
    <m/>
    <n v="149"/>
    <m/>
    <m/>
    <m/>
    <m/>
    <n v="2"/>
    <s v="https://www.tg.ch/news/fachdossier-coronavirus.html/10552"/>
  </r>
  <r>
    <x v="34"/>
    <m/>
    <x v="22"/>
    <m/>
    <n v="53"/>
    <n v="7"/>
    <m/>
    <m/>
    <n v="9"/>
    <m/>
    <s v="https://www.ur.ch/themen/2920"/>
  </r>
  <r>
    <x v="34"/>
    <m/>
    <x v="8"/>
    <m/>
    <n v="3608"/>
    <n v="368"/>
    <n v="61"/>
    <m/>
    <m/>
    <n v="95"/>
    <s v="https://www.vd.ch/toutes-les-actualites/hotline-et-informations-sur-le-coronavirus/point-de-situation-statistique-dans-le-canton-de-vaud/"/>
  </r>
  <r>
    <x v="34"/>
    <m/>
    <x v="9"/>
    <m/>
    <n v="1144"/>
    <n v="152"/>
    <n v="25"/>
    <n v="23"/>
    <m/>
    <n v="35"/>
    <s v="https://www.vs.ch/de/web/coronavirus"/>
  </r>
  <r>
    <x v="34"/>
    <n v="0.29166666666666669"/>
    <x v="6"/>
    <m/>
    <n v="826"/>
    <n v="112"/>
    <n v="21"/>
    <n v="17"/>
    <m/>
    <n v="13"/>
    <s v="https://www.besondere-lage.sites.be.ch/besondere-lage_sites/de/index/corona/index.html"/>
  </r>
  <r>
    <x v="34"/>
    <n v="0.33333333333333331"/>
    <x v="1"/>
    <m/>
    <n v="1962"/>
    <n v="415"/>
    <n v="75"/>
    <n v="61"/>
    <n v="165"/>
    <n v="105"/>
    <s v="https://www4.ti.ch/fileadmin/DSS/DSP/UMC/malattie_infettive/Coronavirus/dati/COVID19_Dati_TI_per_github.xlsx"/>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n v="0"/>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705.xlsx"/>
  </r>
  <r>
    <x v="35"/>
    <m/>
    <x v="0"/>
    <n v="11645"/>
    <n v="2914"/>
    <n v="405"/>
    <n v="64"/>
    <n v="49"/>
    <n v="241"/>
    <n v="68"/>
    <s v="https://www.ge.ch/document/20094/telecharger"/>
  </r>
  <r>
    <x v="35"/>
    <m/>
    <x v="19"/>
    <m/>
    <n v="53"/>
    <n v="5"/>
    <m/>
    <m/>
    <m/>
    <n v="2"/>
    <s v="https://www.gl.ch/public/upload/assets/28096/COVID-19_Fallzahlen_Kanton_Glarus.xlsx"/>
  </r>
  <r>
    <x v="35"/>
    <m/>
    <x v="26"/>
    <m/>
    <n v="547"/>
    <n v="58"/>
    <m/>
    <m/>
    <m/>
    <n v="23"/>
    <s v="https://www.gr.ch/DE/institutionen/verwaltung/djsg/ga/coronavirus/_layouts/15/GenericDataFeed/feed.aspx?PageID=26&amp;ID=g_1175d522_e609_4287_93af_d14c9efd5218&amp;FORMAT=JSONRAW"/>
  </r>
  <r>
    <x v="35"/>
    <m/>
    <x v="3"/>
    <m/>
    <n v="140"/>
    <n v="29"/>
    <n v="5"/>
    <m/>
    <m/>
    <n v="0"/>
    <s v="https://www.jura.ch/Htdocs/Files/v/34356.xlsx/Departements/CHA/SIC/Carrousel/Coronavirus/Cornavirus/Chiffres/donnees_06_05.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1142c079-5d62-4035-b9ea-04901bfcdfe9"/>
  </r>
  <r>
    <x v="35"/>
    <m/>
    <x v="15"/>
    <m/>
    <n v="140"/>
    <m/>
    <m/>
    <m/>
    <n v="48"/>
    <n v="4"/>
    <s v="https://www.sz.ch/public/upload/assets/46502/COVID-19_Fallzahlen_Kanton_Schwyz.xlsx"/>
  </r>
  <r>
    <x v="35"/>
    <m/>
    <x v="25"/>
    <m/>
    <n v="155"/>
    <m/>
    <m/>
    <m/>
    <m/>
    <n v="3"/>
    <s v="https://www.tg.ch/news/fachdossier-coronavirus.html/10552"/>
  </r>
  <r>
    <x v="35"/>
    <m/>
    <x v="22"/>
    <m/>
    <n v="57"/>
    <n v="9"/>
    <m/>
    <m/>
    <n v="11"/>
    <m/>
    <s v="https://www.ur.ch/themen/2920"/>
  </r>
  <r>
    <x v="35"/>
    <m/>
    <x v="8"/>
    <m/>
    <n v="3767"/>
    <n v="376"/>
    <n v="64"/>
    <m/>
    <m/>
    <n v="107"/>
    <s v="https://www.vd.ch/toutes-les-actualites/hotline-et-informations-sur-le-coronavirus/point-de-situation-statistique-dans-le-canton-de-vaud/"/>
  </r>
  <r>
    <x v="35"/>
    <m/>
    <x v="9"/>
    <m/>
    <n v="1211"/>
    <n v="151"/>
    <n v="24"/>
    <n v="23"/>
    <m/>
    <n v="37"/>
    <s v="https://www.vs.ch/de/web/coronavirus"/>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fileadmin/DSS/DSP/UMC/malattie_infettive/Coronavirus/dati/COVID19_Dati_TI_per_github.xlsx"/>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n v="0"/>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705.xlsx"/>
  </r>
  <r>
    <x v="36"/>
    <m/>
    <x v="0"/>
    <n v="12313"/>
    <n v="3094"/>
    <n v="406"/>
    <n v="64"/>
    <n v="58"/>
    <n v="260"/>
    <n v="77"/>
    <s v="https://www.ge.ch/document/20094/telecharger"/>
  </r>
  <r>
    <x v="36"/>
    <m/>
    <x v="19"/>
    <m/>
    <n v="56"/>
    <n v="5"/>
    <m/>
    <m/>
    <m/>
    <n v="2"/>
    <s v="https://www.gl.ch/public/upload/assets/28096/COVID-19_Fallzahlen_Kanton_Glarus.xlsx"/>
  </r>
  <r>
    <x v="36"/>
    <m/>
    <x v="26"/>
    <m/>
    <n v="592"/>
    <n v="59"/>
    <m/>
    <m/>
    <m/>
    <n v="26"/>
    <s v="https://www.gr.ch/DE/institutionen/verwaltung/djsg/ga/coronavirus/_layouts/15/GenericDataFeed/feed.aspx?PageID=26&amp;ID=g_1175d522_e609_4287_93af_d14c9efd5218&amp;FORMAT=JSONRAW"/>
  </r>
  <r>
    <x v="36"/>
    <m/>
    <x v="3"/>
    <m/>
    <n v="145"/>
    <n v="29"/>
    <n v="5"/>
    <m/>
    <m/>
    <n v="0"/>
    <s v="https://www.jura.ch/Htdocs/Files/v/34356.xlsx/Departements/CHA/SIC/Carrousel/Coronavirus/Cornavirus/Chiffres/donnees_06_05.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1142c079-5d62-4035-b9ea-04901bfcdfe9"/>
  </r>
  <r>
    <x v="36"/>
    <m/>
    <x v="15"/>
    <m/>
    <n v="146"/>
    <m/>
    <m/>
    <m/>
    <n v="65"/>
    <n v="4"/>
    <s v="https://www.sz.ch/public/upload/assets/46502/COVID-19_Fallzahlen_Kanton_Schwyz.xlsx"/>
  </r>
  <r>
    <x v="36"/>
    <m/>
    <x v="25"/>
    <m/>
    <n v="167"/>
    <m/>
    <m/>
    <m/>
    <m/>
    <n v="4"/>
    <s v="https://www.tg.ch/news/fachdossier-coronavirus.html/10552"/>
  </r>
  <r>
    <x v="36"/>
    <m/>
    <x v="22"/>
    <m/>
    <n v="59"/>
    <n v="10"/>
    <m/>
    <m/>
    <n v="13"/>
    <n v="1"/>
    <s v="https://www.ur.ch/themen/2920"/>
  </r>
  <r>
    <x v="36"/>
    <m/>
    <x v="8"/>
    <m/>
    <n v="3919"/>
    <n v="381"/>
    <n v="66"/>
    <m/>
    <m/>
    <n v="118"/>
    <s v="https://www.vd.ch/toutes-les-actualites/hotline-et-informations-sur-le-coronavirus/point-de-situation-statistique-dans-le-canton-de-vaud/"/>
  </r>
  <r>
    <x v="36"/>
    <m/>
    <x v="9"/>
    <m/>
    <n v="1282"/>
    <n v="145"/>
    <n v="26"/>
    <n v="25"/>
    <m/>
    <n v="40"/>
    <s v="https://www.vs.ch/de/web/coronavirus"/>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fileadmin/DSS/DSP/UMC/malattie_infettive/Coronavirus/dati/COVID19_Dati_TI_per_github.xlsx"/>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705.xlsx"/>
  </r>
  <r>
    <x v="37"/>
    <m/>
    <x v="0"/>
    <n v="13379"/>
    <n v="3354"/>
    <n v="424"/>
    <n v="62"/>
    <n v="54"/>
    <n v="283"/>
    <n v="85"/>
    <s v="https://www.ge.ch/document/20094/telecharger"/>
  </r>
  <r>
    <x v="37"/>
    <m/>
    <x v="19"/>
    <m/>
    <n v="58"/>
    <n v="5"/>
    <m/>
    <m/>
    <m/>
    <n v="2"/>
    <s v="https://www.gl.ch/public/upload/assets/28096/COVID-19_Fallzahlen_Kanton_Glarus.xlsx"/>
  </r>
  <r>
    <x v="37"/>
    <m/>
    <x v="26"/>
    <m/>
    <n v="622"/>
    <n v="60"/>
    <m/>
    <m/>
    <m/>
    <n v="28"/>
    <s v="https://www.gr.ch/DE/institutionen/verwaltung/djsg/ga/coronavirus/_layouts/15/GenericDataFeed/feed.aspx?PageID=26&amp;ID=g_1175d522_e609_4287_93af_d14c9efd5218&amp;FORMAT=JSONRAW"/>
  </r>
  <r>
    <x v="37"/>
    <m/>
    <x v="3"/>
    <m/>
    <n v="149"/>
    <n v="29"/>
    <n v="3"/>
    <m/>
    <m/>
    <n v="0"/>
    <s v="https://www.jura.ch/Htdocs/Files/v/34356.xlsx/Departements/CHA/SIC/Carrousel/Coronavirus/Cornavirus/Chiffres/donnees_06_05.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1142c079-5d62-4035-b9ea-04901bfcdfe9"/>
  </r>
  <r>
    <x v="37"/>
    <m/>
    <x v="15"/>
    <m/>
    <n v="155"/>
    <m/>
    <m/>
    <m/>
    <n v="65"/>
    <n v="4"/>
    <s v="https://www.sz.ch/public/upload/assets/46502/COVID-19_Fallzahlen_Kanton_Schwyz.xlsx"/>
  </r>
  <r>
    <x v="37"/>
    <m/>
    <x v="25"/>
    <m/>
    <n v="180"/>
    <m/>
    <m/>
    <m/>
    <m/>
    <n v="4"/>
    <s v="https://www.tg.ch/news/fachdossier-coronavirus.html/10552"/>
  </r>
  <r>
    <x v="37"/>
    <m/>
    <x v="8"/>
    <m/>
    <n v="4053"/>
    <n v="372"/>
    <n v="67"/>
    <m/>
    <m/>
    <n v="137"/>
    <s v="https://www.vd.ch/toutes-les-actualites/hotline-et-informations-sur-le-coronavirus/point-de-situation-statistique-dans-le-canton-de-vaud/"/>
  </r>
  <r>
    <x v="37"/>
    <m/>
    <x v="9"/>
    <m/>
    <n v="1334"/>
    <n v="145"/>
    <n v="28"/>
    <n v="24"/>
    <m/>
    <n v="47"/>
    <s v="https://www.vs.ch/de/web/coronavirus"/>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fileadmin/DSS/DSP/UMC/malattie_infettive/Coronavirus/dati/COVID19_Dati_TI_per_github.xlsx"/>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n v="0"/>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705.xlsx"/>
  </r>
  <r>
    <x v="38"/>
    <m/>
    <x v="0"/>
    <n v="14220"/>
    <n v="3553"/>
    <n v="424"/>
    <n v="65"/>
    <n v="58"/>
    <n v="284"/>
    <n v="92"/>
    <s v="https://www.ge.ch/document/20094/telecharger"/>
  </r>
  <r>
    <x v="38"/>
    <m/>
    <x v="19"/>
    <m/>
    <n v="59"/>
    <n v="5"/>
    <m/>
    <m/>
    <m/>
    <n v="2"/>
    <s v="https://www.gl.ch/public/upload/assets/28096/COVID-19_Fallzahlen_Kanton_Glarus.xlsx"/>
  </r>
  <r>
    <x v="38"/>
    <m/>
    <x v="26"/>
    <m/>
    <n v="649"/>
    <n v="51"/>
    <m/>
    <m/>
    <m/>
    <n v="30"/>
    <s v="https://www.gr.ch/DE/institutionen/verwaltung/djsg/ga/coronavirus/_layouts/15/GenericDataFeed/feed.aspx?PageID=26&amp;ID=g_1175d522_e609_4287_93af_d14c9efd5218&amp;FORMAT=JSONRAW"/>
  </r>
  <r>
    <x v="38"/>
    <m/>
    <x v="3"/>
    <m/>
    <n v="149"/>
    <n v="28"/>
    <n v="3"/>
    <m/>
    <m/>
    <n v="0"/>
    <s v="https://www.jura.ch/Htdocs/Files/v/34356.xlsx/Departements/CHA/SIC/Carrousel/Coronavirus/Cornavirus/Chiffres/donnees_06_05.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1142c079-5d62-4035-b9ea-04901bfcdfe9"/>
  </r>
  <r>
    <x v="38"/>
    <m/>
    <x v="15"/>
    <m/>
    <n v="165"/>
    <m/>
    <m/>
    <m/>
    <n v="75"/>
    <n v="4"/>
    <s v="https://www.sz.ch/public/upload/assets/46502/COVID-19_Fallzahlen_Kanton_Schwyz.xlsx"/>
  </r>
  <r>
    <x v="38"/>
    <m/>
    <x v="25"/>
    <m/>
    <n v="199"/>
    <m/>
    <m/>
    <m/>
    <m/>
    <n v="5"/>
    <s v="https://www.tg.ch/news/fachdossier-coronavirus.html/10552"/>
  </r>
  <r>
    <x v="38"/>
    <m/>
    <x v="8"/>
    <m/>
    <n v="4189"/>
    <n v="364"/>
    <n v="65"/>
    <m/>
    <m/>
    <n v="155"/>
    <s v="https://www.vd.ch/toutes-les-actualites/hotline-et-informations-sur-le-coronavirus/point-de-situation-statistique-dans-le-canton-de-vaud/"/>
  </r>
  <r>
    <x v="38"/>
    <m/>
    <x v="9"/>
    <m/>
    <n v="1383"/>
    <n v="145"/>
    <n v="26"/>
    <n v="23"/>
    <m/>
    <n v="51"/>
    <s v="https://www.vs.ch/de/web/coronavirus"/>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fileadmin/DSS/DSP/UMC/malattie_infettive/Coronavirus/dati/COVID19_Dati_TI_per_github.xlsx"/>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n v="0"/>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705.xlsx"/>
  </r>
  <r>
    <x v="39"/>
    <m/>
    <x v="0"/>
    <n v="14791"/>
    <n v="3685"/>
    <n v="421"/>
    <n v="61"/>
    <n v="51"/>
    <n v="305"/>
    <n v="106"/>
    <s v="https://www.ge.ch/document/20094/telecharger"/>
  </r>
  <r>
    <x v="39"/>
    <m/>
    <x v="19"/>
    <m/>
    <n v="61"/>
    <n v="5"/>
    <m/>
    <m/>
    <m/>
    <n v="2"/>
    <s v="https://www.gl.ch/public/upload/assets/28096/COVID-19_Fallzahlen_Kanton_Glarus.xlsx"/>
  </r>
  <r>
    <x v="39"/>
    <m/>
    <x v="26"/>
    <m/>
    <n v="657"/>
    <n v="52"/>
    <m/>
    <m/>
    <m/>
    <n v="30"/>
    <s v="https://www.gr.ch/DE/institutionen/verwaltung/djsg/ga/coronavirus/_layouts/15/GenericDataFeed/feed.aspx?PageID=26&amp;ID=g_1175d522_e609_4287_93af_d14c9efd5218&amp;FORMAT=JSONRAW"/>
  </r>
  <r>
    <x v="39"/>
    <m/>
    <x v="3"/>
    <m/>
    <n v="154"/>
    <n v="27"/>
    <n v="3"/>
    <m/>
    <m/>
    <n v="0"/>
    <s v="https://www.jura.ch/Htdocs/Files/v/34356.xlsx/Departements/CHA/SIC/Carrousel/Coronavirus/Cornavirus/Chiffres/donnees_06_05.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1142c079-5d62-4035-b9ea-04901bfcdfe9"/>
  </r>
  <r>
    <x v="39"/>
    <m/>
    <x v="15"/>
    <m/>
    <n v="168"/>
    <m/>
    <m/>
    <m/>
    <n v="92"/>
    <n v="5"/>
    <s v="https://www.sz.ch/public/upload/assets/46502/COVID-19_Fallzahlen_Kanton_Schwyz.xlsx"/>
  </r>
  <r>
    <x v="39"/>
    <m/>
    <x v="25"/>
    <m/>
    <n v="209"/>
    <m/>
    <m/>
    <m/>
    <m/>
    <n v="5"/>
    <s v="https://www.tg.ch/news/fachdossier-coronavirus.html/10552"/>
  </r>
  <r>
    <x v="39"/>
    <m/>
    <x v="8"/>
    <m/>
    <n v="4261"/>
    <n v="364"/>
    <n v="65"/>
    <m/>
    <m/>
    <n v="166"/>
    <s v="https://www.vd.ch/toutes-les-actualites/hotline-et-informations-sur-le-coronavirus/point-de-situation-statistique-dans-le-canton-de-vaud/"/>
  </r>
  <r>
    <x v="39"/>
    <m/>
    <x v="9"/>
    <m/>
    <n v="1416"/>
    <n v="148"/>
    <n v="28"/>
    <n v="23"/>
    <m/>
    <n v="53"/>
    <s v="https://www.vs.ch/de/web/coronavirus"/>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fileadmin/DSS/DSP/UMC/malattie_infettive/Coronavirus/dati/COVID19_Dati_TI_per_github.xlsx"/>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n v="0"/>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705.xlsx"/>
  </r>
  <r>
    <x v="40"/>
    <m/>
    <x v="0"/>
    <n v="15085"/>
    <n v="3750"/>
    <n v="424"/>
    <n v="56"/>
    <n v="50"/>
    <n v="327"/>
    <n v="113"/>
    <s v="https://www.ge.ch/document/20094/telecharger"/>
  </r>
  <r>
    <x v="40"/>
    <m/>
    <x v="19"/>
    <m/>
    <n v="63"/>
    <n v="5"/>
    <m/>
    <m/>
    <m/>
    <n v="2"/>
    <s v="https://www.gl.ch/public/upload/assets/28096/COVID-19_Fallzahlen_Kanton_Glarus.xlsx"/>
  </r>
  <r>
    <x v="40"/>
    <m/>
    <x v="26"/>
    <m/>
    <n v="668"/>
    <n v="49"/>
    <m/>
    <m/>
    <m/>
    <n v="33"/>
    <s v="https://www.gr.ch/DE/institutionen/verwaltung/djsg/ga/coronavirus/_layouts/15/GenericDataFeed/feed.aspx?PageID=26&amp;ID=g_1175d522_e609_4287_93af_d14c9efd5218&amp;FORMAT=JSONRAW"/>
  </r>
  <r>
    <x v="40"/>
    <m/>
    <x v="3"/>
    <m/>
    <n v="160"/>
    <n v="29"/>
    <n v="4"/>
    <m/>
    <m/>
    <n v="0"/>
    <s v="https://www.jura.ch/Htdocs/Files/v/34356.xlsx/Departements/CHA/SIC/Carrousel/Coronavirus/Cornavirus/Chiffres/donnees_06_05.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1142c079-5d62-4035-b9ea-04901bfcdfe9"/>
  </r>
  <r>
    <x v="40"/>
    <m/>
    <x v="15"/>
    <m/>
    <n v="170"/>
    <m/>
    <m/>
    <m/>
    <n v="93"/>
    <n v="5"/>
    <s v="https://www.sz.ch/public/upload/assets/46502/COVID-19_Fallzahlen_Kanton_Schwyz.xlsx"/>
  </r>
  <r>
    <x v="40"/>
    <m/>
    <x v="25"/>
    <m/>
    <n v="214"/>
    <m/>
    <m/>
    <m/>
    <m/>
    <n v="7"/>
    <s v="https://www.tg.ch/news/fachdossier-coronavirus.html/10552"/>
  </r>
  <r>
    <x v="40"/>
    <m/>
    <x v="8"/>
    <m/>
    <n v="4300"/>
    <n v="375"/>
    <n v="64"/>
    <m/>
    <m/>
    <n v="178"/>
    <s v="https://www.vd.ch/toutes-les-actualites/hotline-et-informations-sur-le-coronavirus/point-de-situation-statistique-dans-le-canton-de-vaud/"/>
  </r>
  <r>
    <x v="40"/>
    <m/>
    <x v="9"/>
    <m/>
    <n v="1431"/>
    <n v="145"/>
    <n v="26"/>
    <n v="23"/>
    <m/>
    <n v="57"/>
    <s v="https://www.vs.ch/de/web/coronavirus"/>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fileadmin/DSS/DSP/UMC/malattie_infettive/Coronavirus/dati/COVID19_Dati_TI_per_github.xlsx"/>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705.xlsx"/>
  </r>
  <r>
    <x v="41"/>
    <m/>
    <x v="0"/>
    <n v="15704"/>
    <n v="3869"/>
    <n v="418"/>
    <n v="56"/>
    <n v="50"/>
    <n v="345"/>
    <n v="125"/>
    <s v="https://www.ge.ch/document/20094/telecharger"/>
  </r>
  <r>
    <x v="41"/>
    <m/>
    <x v="19"/>
    <m/>
    <n v="63"/>
    <n v="2"/>
    <m/>
    <m/>
    <m/>
    <n v="2"/>
    <s v="https://www.gl.ch/public/upload/assets/28096/COVID-19_Fallzahlen_Kanton_Glarus.xlsx"/>
  </r>
  <r>
    <x v="41"/>
    <m/>
    <x v="26"/>
    <m/>
    <n v="679"/>
    <n v="52"/>
    <m/>
    <m/>
    <m/>
    <n v="34"/>
    <s v="https://www.gr.ch/DE/institutionen/verwaltung/djsg/ga/coronavirus/_layouts/15/GenericDataFeed/feed.aspx?PageID=26&amp;ID=g_1175d522_e609_4287_93af_d14c9efd5218&amp;FORMAT=JSONRAW"/>
  </r>
  <r>
    <x v="41"/>
    <m/>
    <x v="3"/>
    <m/>
    <n v="164"/>
    <n v="27"/>
    <n v="4"/>
    <m/>
    <m/>
    <n v="0"/>
    <s v="https://www.jura.ch/Htdocs/Files/v/34356.xlsx/Departements/CHA/SIC/Carrousel/Coronavirus/Cornavirus/Chiffres/donnees_06_05.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1142c079-5d62-4035-b9ea-04901bfcdfe9"/>
  </r>
  <r>
    <x v="41"/>
    <m/>
    <x v="15"/>
    <m/>
    <n v="178"/>
    <m/>
    <m/>
    <m/>
    <n v="93"/>
    <n v="6"/>
    <s v="https://www.sz.ch/public/upload/assets/46502/COVID-19_Fallzahlen_Kanton_Schwyz.xlsx"/>
  </r>
  <r>
    <x v="41"/>
    <m/>
    <x v="25"/>
    <m/>
    <n v="220"/>
    <n v="34"/>
    <n v="14"/>
    <m/>
    <m/>
    <n v="7"/>
    <s v="https://www.tg.ch/news/fachdossier-coronavirus.html/10552"/>
  </r>
  <r>
    <x v="41"/>
    <m/>
    <x v="8"/>
    <m/>
    <n v="4418"/>
    <n v="360"/>
    <n v="62"/>
    <m/>
    <m/>
    <n v="194"/>
    <s v="https://www.vd.ch/toutes-les-actualites/hotline-et-informations-sur-le-coronavirus/point-de-situation-statistique-dans-le-canton-de-vaud/"/>
  </r>
  <r>
    <x v="41"/>
    <m/>
    <x v="9"/>
    <m/>
    <n v="1497"/>
    <n v="132"/>
    <n v="26"/>
    <n v="22"/>
    <m/>
    <n v="60"/>
    <s v="https://www.vs.ch/de/web/coronavirus"/>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fileadmin/DSS/DSP/UMC/malattie_infettive/Coronavirus/dati/COVID19_Dati_TI_per_github.xlsx"/>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n v="0"/>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705.xlsx"/>
  </r>
  <r>
    <x v="42"/>
    <m/>
    <x v="0"/>
    <n v="16545"/>
    <n v="4029"/>
    <n v="412"/>
    <n v="51"/>
    <n v="48"/>
    <n v="374"/>
    <n v="136"/>
    <s v="https://www.ge.ch/document/20094/telecharger"/>
  </r>
  <r>
    <x v="42"/>
    <m/>
    <x v="19"/>
    <m/>
    <n v="63"/>
    <n v="2"/>
    <m/>
    <m/>
    <m/>
    <n v="2"/>
    <s v="https://www.gl.ch/public/upload/assets/28096/COVID-19_Fallzahlen_Kanton_Glarus.xlsx"/>
  </r>
  <r>
    <x v="42"/>
    <m/>
    <x v="26"/>
    <m/>
    <n v="684"/>
    <n v="49"/>
    <m/>
    <m/>
    <m/>
    <n v="35"/>
    <s v="https://www.gr.ch/DE/institutionen/verwaltung/djsg/ga/coronavirus/_layouts/15/GenericDataFeed/feed.aspx?PageID=26&amp;ID=g_1175d522_e609_4287_93af_d14c9efd5218&amp;FORMAT=JSONRAW"/>
  </r>
  <r>
    <x v="42"/>
    <m/>
    <x v="3"/>
    <m/>
    <n v="171"/>
    <n v="28"/>
    <n v="4"/>
    <m/>
    <m/>
    <n v="0"/>
    <s v="https://www.jura.ch/Htdocs/Files/v/34356.xlsx/Departements/CHA/SIC/Carrousel/Coronavirus/Cornavirus/Chiffres/donnees_06_05.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502/COVID-19_Fallzahlen_Kanton_Schwyz.xlsx"/>
  </r>
  <r>
    <x v="42"/>
    <m/>
    <x v="25"/>
    <m/>
    <n v="222"/>
    <n v="33"/>
    <n v="13"/>
    <m/>
    <m/>
    <n v="8"/>
    <s v="https://www.tg.ch/news/fachdossier-coronavirus.html/10552"/>
  </r>
  <r>
    <x v="42"/>
    <m/>
    <x v="8"/>
    <m/>
    <n v="4495"/>
    <n v="333"/>
    <n v="61"/>
    <m/>
    <m/>
    <n v="206"/>
    <s v="https://www.vd.ch/toutes-les-actualites/hotline-et-informations-sur-le-coronavirus/point-de-situation-statistique-dans-le-canton-de-vaud/"/>
  </r>
  <r>
    <x v="42"/>
    <m/>
    <x v="9"/>
    <m/>
    <n v="1536"/>
    <n v="129"/>
    <n v="25"/>
    <n v="20"/>
    <m/>
    <n v="68"/>
    <s v="https://www.vs.ch/de/web/coronavirus"/>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fileadmin/DSS/DSP/UMC/malattie_infettive/Coronavirus/dati/COVID19_Dati_TI_per_github.xlsx"/>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1142c079-5d62-4035-b9ea-04901bfcdfe9"/>
  </r>
  <r>
    <x v="42"/>
    <n v="0.45833333333333331"/>
    <x v="24"/>
    <m/>
    <n v="21"/>
    <m/>
    <m/>
    <m/>
    <m/>
    <n v="0"/>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705.xlsx"/>
  </r>
  <r>
    <x v="43"/>
    <m/>
    <x v="0"/>
    <n v="17314"/>
    <n v="4160"/>
    <n v="402"/>
    <n v="49"/>
    <n v="47"/>
    <n v="442"/>
    <n v="150"/>
    <s v="https://www.ge.ch/document/20094/telecharger"/>
  </r>
  <r>
    <x v="43"/>
    <m/>
    <x v="19"/>
    <m/>
    <n v="64"/>
    <n v="2"/>
    <m/>
    <m/>
    <m/>
    <n v="2"/>
    <s v="https://www.gl.ch/public/upload/assets/28096/COVID-19_Fallzahlen_Kanton_Glarus.xlsx"/>
  </r>
  <r>
    <x v="43"/>
    <m/>
    <x v="26"/>
    <m/>
    <n v="698"/>
    <n v="38"/>
    <m/>
    <m/>
    <m/>
    <n v="35"/>
    <s v="https://www.gr.ch/DE/institutionen/verwaltung/djsg/ga/coronavirus/_layouts/15/GenericDataFeed/feed.aspx?PageID=26&amp;ID=g_1175d522_e609_4287_93af_d14c9efd5218&amp;FORMAT=JSONRAW"/>
  </r>
  <r>
    <x v="43"/>
    <m/>
    <x v="3"/>
    <m/>
    <n v="174"/>
    <n v="31"/>
    <n v="4"/>
    <m/>
    <m/>
    <n v="1"/>
    <s v="https://www.jura.ch/Htdocs/Files/v/34356.xlsx/Departements/CHA/SIC/Carrousel/Coronavirus/Cornavirus/Chiffres/donnees_06_05.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502/COVID-19_Fallzahlen_Kanton_Schwyz.xlsx"/>
  </r>
  <r>
    <x v="43"/>
    <m/>
    <x v="25"/>
    <m/>
    <n v="237"/>
    <n v="30"/>
    <n v="15"/>
    <m/>
    <m/>
    <n v="8"/>
    <s v="https://www.tg.ch/news/fachdossier-coronavirus.html/10552"/>
  </r>
  <r>
    <x v="43"/>
    <m/>
    <x v="8"/>
    <m/>
    <n v="4586"/>
    <n v="324"/>
    <n v="60"/>
    <m/>
    <m/>
    <n v="218"/>
    <s v="https://www.vd.ch/toutes-les-actualites/hotline-et-informations-sur-le-coronavirus/point-de-situation-statistique-dans-le-canton-de-vaud/"/>
  </r>
  <r>
    <x v="43"/>
    <m/>
    <x v="9"/>
    <m/>
    <n v="1570"/>
    <n v="122"/>
    <n v="26"/>
    <n v="20"/>
    <m/>
    <n v="71"/>
    <s v="https://www.vs.ch/de/web/coronavirus"/>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fileadmin/DSS/DSP/UMC/malattie_infettive/Coronavirus/dati/COVID19_Dati_TI_per_github.xlsx"/>
  </r>
  <r>
    <x v="43"/>
    <n v="0.33333333333333331"/>
    <x v="11"/>
    <m/>
    <n v="162"/>
    <n v="12"/>
    <n v="9"/>
    <m/>
    <n v="61"/>
    <n v="3"/>
    <s v="https://www.zg.ch/behoerden/gesundheitsdirektion/statistikfachstelle/themen/gesundheit/corona"/>
  </r>
  <r>
    <x v="43"/>
    <n v="0.39583333333333331"/>
    <x v="21"/>
    <m/>
    <n v="50"/>
    <n v="15"/>
    <n v="2"/>
    <m/>
    <m/>
    <n v="1"/>
    <s v="https://sh.ch/CMS/get/file/1142c079-5d62-4035-b9ea-04901bfcdfe9"/>
  </r>
  <r>
    <x v="43"/>
    <n v="0.41666666666666669"/>
    <x v="5"/>
    <m/>
    <n v="829"/>
    <n v="99"/>
    <n v="14"/>
    <m/>
    <n v="535"/>
    <n v="31"/>
    <s v="https://www.gd.bs.ch//nm/2020-tagesbulletin-coronavirus-834-bestaetigte-faelle-im-kanton-basel-stadt-gd.html"/>
  </r>
  <r>
    <x v="43"/>
    <n v="0.45833333333333331"/>
    <x v="24"/>
    <m/>
    <n v="23"/>
    <m/>
    <m/>
    <m/>
    <m/>
    <n v="0"/>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705.xlsx"/>
  </r>
  <r>
    <x v="44"/>
    <m/>
    <x v="0"/>
    <n v="17898"/>
    <n v="4254"/>
    <n v="393"/>
    <n v="47"/>
    <n v="45"/>
    <m/>
    <n v="159"/>
    <s v="https://www.ge.ch/document/20094/telecharger"/>
  </r>
  <r>
    <x v="44"/>
    <m/>
    <x v="19"/>
    <m/>
    <n v="67"/>
    <n v="2"/>
    <m/>
    <m/>
    <m/>
    <n v="2"/>
    <s v="https://www.gl.ch/public/upload/assets/28096/COVID-19_Fallzahlen_Kanton_Glarus.xlsx"/>
  </r>
  <r>
    <x v="44"/>
    <m/>
    <x v="26"/>
    <m/>
    <n v="719"/>
    <n v="39"/>
    <m/>
    <m/>
    <m/>
    <n v="36"/>
    <s v="https://www.gr.ch/DE/institutionen/verwaltung/djsg/ga/coronavirus/_layouts/15/GenericDataFeed/feed.aspx?PageID=26&amp;ID=g_1175d522_e609_4287_93af_d14c9efd5218&amp;FORMAT=JSONRAW"/>
  </r>
  <r>
    <x v="44"/>
    <m/>
    <x v="3"/>
    <m/>
    <n v="179"/>
    <n v="28"/>
    <n v="5"/>
    <m/>
    <m/>
    <n v="1"/>
    <s v="https://www.jura.ch/Htdocs/Files/v/34356.xlsx/Departements/CHA/SIC/Carrousel/Coronavirus/Cornavirus/Chiffres/donnees_06_05.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502/COVID-19_Fallzahlen_Kanton_Schwyz.xlsx"/>
  </r>
  <r>
    <x v="44"/>
    <m/>
    <x v="25"/>
    <m/>
    <n v="256"/>
    <n v="27"/>
    <n v="12"/>
    <m/>
    <m/>
    <n v="8"/>
    <s v="https://www.tg.ch/news/fachdossier-coronavirus.html/10552"/>
  </r>
  <r>
    <x v="44"/>
    <m/>
    <x v="8"/>
    <m/>
    <n v="4683"/>
    <n v="307"/>
    <n v="61"/>
    <m/>
    <m/>
    <n v="232"/>
    <s v="https://www.vd.ch/toutes-les-actualites/hotline-et-informations-sur-le-coronavirus/point-de-situation-statistique-dans-le-canton-de-vaud/"/>
  </r>
  <r>
    <x v="44"/>
    <m/>
    <x v="9"/>
    <m/>
    <n v="1598"/>
    <n v="117"/>
    <n v="24"/>
    <n v="19"/>
    <m/>
    <n v="77"/>
    <s v="https://www.vs.ch/de/web/coronavirus"/>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fileadmin/DSS/DSP/UMC/malattie_infettive/Coronavirus/dati/COVID19_Dati_TI_per_github.xlsx"/>
  </r>
  <r>
    <x v="44"/>
    <n v="0.33333333333333331"/>
    <x v="11"/>
    <m/>
    <n v="165"/>
    <n v="13"/>
    <n v="9"/>
    <m/>
    <n v="69"/>
    <n v="3"/>
    <s v="https://www.zg.ch/behoerden/gesundheitsdirektion/statistikfachstelle/themen/gesundheit/corona"/>
  </r>
  <r>
    <x v="44"/>
    <n v="0.39583333333333331"/>
    <x v="21"/>
    <m/>
    <n v="52"/>
    <n v="17"/>
    <n v="2"/>
    <m/>
    <m/>
    <n v="1"/>
    <s v="https://sh.ch/CMS/get/file/1142c079-5d62-4035-b9ea-04901bfcdfe9"/>
  </r>
  <r>
    <x v="44"/>
    <n v="0.41666666666666669"/>
    <x v="5"/>
    <m/>
    <n v="841"/>
    <n v="93"/>
    <n v="13"/>
    <m/>
    <n v="572"/>
    <n v="33"/>
    <s v="https://www.gd.bs.ch//nm/2020-tagesbulletin-coronavirus-846-bestaetigte-faelle-im-kanton-basel-stadt-gd.html"/>
  </r>
  <r>
    <x v="44"/>
    <n v="0.45833333333333331"/>
    <x v="24"/>
    <m/>
    <n v="24"/>
    <m/>
    <m/>
    <m/>
    <m/>
    <n v="0"/>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705.xlsx"/>
  </r>
  <r>
    <x v="45"/>
    <m/>
    <x v="0"/>
    <n v="18304"/>
    <n v="4296"/>
    <n v="379"/>
    <n v="47"/>
    <n v="47"/>
    <n v="448"/>
    <n v="170"/>
    <s v="https://www.ge.ch/document/20094/telecharger"/>
  </r>
  <r>
    <x v="45"/>
    <m/>
    <x v="19"/>
    <m/>
    <n v="76"/>
    <n v="2"/>
    <m/>
    <m/>
    <m/>
    <n v="2"/>
    <s v="https://www.gl.ch/public/upload/assets/28096/COVID-19_Fallzahlen_Kanton_Glarus.xlsx"/>
  </r>
  <r>
    <x v="45"/>
    <m/>
    <x v="26"/>
    <m/>
    <n v="730"/>
    <n v="35"/>
    <m/>
    <m/>
    <m/>
    <n v="36"/>
    <s v="https://www.gr.ch/DE/institutionen/verwaltung/djsg/ga/coronavirus/_layouts/15/GenericDataFeed/feed.aspx?PageID=26&amp;ID=g_1175d522_e609_4287_93af_d14c9efd5218&amp;FORMAT=JSONRAW"/>
  </r>
  <r>
    <x v="45"/>
    <m/>
    <x v="3"/>
    <m/>
    <n v="182"/>
    <n v="25"/>
    <n v="5"/>
    <m/>
    <m/>
    <n v="3"/>
    <s v="https://www.jura.ch/Htdocs/Files/v/34356.xlsx/Departements/CHA/SIC/Carrousel/Coronavirus/Cornavirus/Chiffres/donnees_06_05.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502/COVID-19_Fallzahlen_Kanton_Schwyz.xlsx"/>
  </r>
  <r>
    <x v="45"/>
    <m/>
    <x v="25"/>
    <m/>
    <n v="265"/>
    <n v="32"/>
    <n v="13"/>
    <m/>
    <m/>
    <n v="8"/>
    <s v="https://www.tg.ch/news/fachdossier-coronavirus.html/10552"/>
  </r>
  <r>
    <x v="45"/>
    <m/>
    <x v="8"/>
    <m/>
    <n v="4732"/>
    <n v="298"/>
    <n v="64"/>
    <m/>
    <m/>
    <n v="240"/>
    <s v="https://www.vd.ch/toutes-les-actualites/hotline-et-informations-sur-le-coronavirus/point-de-situation-statistique-dans-le-canton-de-vaud/"/>
  </r>
  <r>
    <x v="45"/>
    <m/>
    <x v="9"/>
    <m/>
    <n v="1627"/>
    <n v="115"/>
    <n v="24"/>
    <n v="18"/>
    <m/>
    <n v="83"/>
    <s v="https://www.vs.ch/de/web/coronavirus"/>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fileadmin/DSS/DSP/UMC/malattie_infettive/Coronavirus/dati/COVID19_Dati_TI_per_github.xlsx"/>
  </r>
  <r>
    <x v="45"/>
    <n v="0.33333333333333331"/>
    <x v="11"/>
    <m/>
    <n v="168"/>
    <n v="15"/>
    <n v="9"/>
    <m/>
    <n v="76"/>
    <n v="3"/>
    <s v="https://www.zg.ch/behoerden/gesundheitsdirektion/statistikfachstelle/themen/gesundheit/corona"/>
  </r>
  <r>
    <x v="45"/>
    <n v="0.39583333333333331"/>
    <x v="21"/>
    <m/>
    <n v="53"/>
    <n v="13"/>
    <n v="2"/>
    <m/>
    <m/>
    <n v="1"/>
    <s v="https://sh.ch/CMS/get/file/1142c079-5d62-4035-b9ea-04901bfcdfe9"/>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705.xlsx"/>
  </r>
  <r>
    <x v="46"/>
    <m/>
    <x v="0"/>
    <n v="18647"/>
    <n v="4345"/>
    <n v="364"/>
    <n v="48"/>
    <n v="44"/>
    <n v="463"/>
    <n v="178"/>
    <s v="https://www.ge.ch/document/20094/telecharger"/>
  </r>
  <r>
    <x v="46"/>
    <m/>
    <x v="19"/>
    <m/>
    <n v="91"/>
    <n v="2"/>
    <m/>
    <m/>
    <m/>
    <n v="2"/>
    <s v="https://www.gl.ch/public/upload/assets/28096/COVID-19_Fallzahlen_Kanton_Glarus.xlsx"/>
  </r>
  <r>
    <x v="46"/>
    <m/>
    <x v="26"/>
    <m/>
    <n v="743"/>
    <n v="35"/>
    <m/>
    <m/>
    <m/>
    <n v="36"/>
    <s v="https://www.gr.ch/DE/institutionen/verwaltung/djsg/ga/coronavirus/_layouts/15/GenericDataFeed/feed.aspx?PageID=26&amp;ID=g_1175d522_e609_4287_93af_d14c9efd5218&amp;FORMAT=JSONRAW"/>
  </r>
  <r>
    <x v="46"/>
    <m/>
    <x v="3"/>
    <m/>
    <n v="183"/>
    <n v="23"/>
    <n v="5"/>
    <m/>
    <m/>
    <n v="3"/>
    <s v="https://www.jura.ch/Htdocs/Files/v/34356.xlsx/Departements/CHA/SIC/Carrousel/Coronavirus/Cornavirus/Chiffres/donnees_06_05.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502/COVID-19_Fallzahlen_Kanton_Schwyz.xlsx"/>
  </r>
  <r>
    <x v="46"/>
    <m/>
    <x v="25"/>
    <m/>
    <n v="275"/>
    <n v="32"/>
    <n v="14"/>
    <m/>
    <m/>
    <n v="8"/>
    <s v="https://www.tg.ch/news/fachdossier-coronavirus.html/10552"/>
  </r>
  <r>
    <x v="46"/>
    <m/>
    <x v="8"/>
    <m/>
    <n v="4772"/>
    <n v="284"/>
    <n v="64"/>
    <m/>
    <m/>
    <n v="246"/>
    <s v="https://www.vd.ch/toutes-les-actualites/hotline-et-informations-sur-le-coronavirus/point-de-situation-statistique-dans-le-canton-de-vaud/"/>
  </r>
  <r>
    <x v="46"/>
    <m/>
    <x v="9"/>
    <m/>
    <n v="1653"/>
    <n v="112"/>
    <n v="20"/>
    <n v="15"/>
    <m/>
    <n v="85"/>
    <s v="https://www.vs.ch/de/web/coronavirus"/>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fileadmin/DSS/DSP/UMC/malattie_infettive/Coronavirus/dati/COVID19_Dati_TI_per_github.xlsx"/>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1142c079-5d62-4035-b9ea-04901bfcdfe9"/>
  </r>
  <r>
    <x v="46"/>
    <n v="0.41666666666666669"/>
    <x v="17"/>
    <m/>
    <n v="77"/>
    <m/>
    <m/>
    <m/>
    <m/>
    <n v="3"/>
    <s v="https://www.ar.ch/verwaltung/departement-gesundheit-und-soziales/amt-fuer-gesundheit/informationsseite-coronavirus/"/>
  </r>
  <r>
    <x v="46"/>
    <n v="0.45833333333333331"/>
    <x v="24"/>
    <m/>
    <n v="24"/>
    <m/>
    <m/>
    <m/>
    <m/>
    <n v="0"/>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705.xlsx"/>
  </r>
  <r>
    <x v="47"/>
    <m/>
    <x v="0"/>
    <n v="18820"/>
    <n v="4367"/>
    <n v="363"/>
    <n v="47"/>
    <n v="43"/>
    <n v="479"/>
    <n v="185"/>
    <s v="https://www.ge.ch/document/20094/telecharger"/>
  </r>
  <r>
    <x v="47"/>
    <m/>
    <x v="19"/>
    <m/>
    <n v="91"/>
    <n v="2"/>
    <m/>
    <m/>
    <m/>
    <n v="2"/>
    <s v="https://www.gl.ch/public/upload/assets/28096/COVID-19_Fallzahlen_Kanton_Glarus.xlsx"/>
  </r>
  <r>
    <x v="47"/>
    <m/>
    <x v="26"/>
    <m/>
    <n v="747"/>
    <n v="35"/>
    <m/>
    <m/>
    <m/>
    <n v="36"/>
    <s v="https://www.gr.ch/DE/institutionen/verwaltung/djsg/ga/coronavirus/_layouts/15/GenericDataFeed/feed.aspx?PageID=26&amp;ID=g_1175d522_e609_4287_93af_d14c9efd5218&amp;FORMAT=JSONRAW"/>
  </r>
  <r>
    <x v="47"/>
    <m/>
    <x v="3"/>
    <m/>
    <n v="183"/>
    <n v="22"/>
    <n v="5"/>
    <m/>
    <m/>
    <n v="3"/>
    <s v="https://www.jura.ch/Htdocs/Files/v/34356.xlsx/Departements/CHA/SIC/Carrousel/Coronavirus/Cornavirus/Chiffres/donnees_06_05.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502/COVID-19_Fallzahlen_Kanton_Schwyz.xlsx"/>
  </r>
  <r>
    <x v="47"/>
    <m/>
    <x v="25"/>
    <m/>
    <n v="286"/>
    <n v="32"/>
    <n v="14"/>
    <m/>
    <m/>
    <n v="8"/>
    <s v="https://www.tg.ch/news/fachdossier-coronavirus.html/10552"/>
  </r>
  <r>
    <x v="47"/>
    <m/>
    <x v="8"/>
    <m/>
    <n v="4809"/>
    <n v="293"/>
    <n v="63"/>
    <m/>
    <m/>
    <n v="254"/>
    <s v="https://www.vd.ch/toutes-les-actualites/hotline-et-informations-sur-le-coronavirus/point-de-situation-statistique-dans-le-canton-de-vaud/"/>
  </r>
  <r>
    <x v="47"/>
    <m/>
    <x v="9"/>
    <m/>
    <n v="1666"/>
    <n v="110"/>
    <n v="22"/>
    <n v="14"/>
    <m/>
    <n v="91"/>
    <s v="https://www.vs.ch/de/web/coronavirus"/>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fileadmin/DSS/DSP/UMC/malattie_infettive/Coronavirus/dati/COVID19_Dati_TI_per_github.xlsx"/>
  </r>
  <r>
    <x v="47"/>
    <n v="0.33333333333333331"/>
    <x v="11"/>
    <m/>
    <n v="168"/>
    <n v="13"/>
    <n v="9"/>
    <m/>
    <n v="80"/>
    <n v="5"/>
    <s v="https://www.zg.ch/behoerden/gesundheitsdirektion/statistikfachstelle/themen/gesundheit/corona"/>
  </r>
  <r>
    <x v="47"/>
    <n v="0.39583333333333331"/>
    <x v="21"/>
    <m/>
    <n v="57"/>
    <n v="16"/>
    <n v="2"/>
    <m/>
    <m/>
    <n v="1"/>
    <s v="https://sh.ch/CMS/get/file/1142c079-5d62-4035-b9ea-04901bfcdfe9"/>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705.xlsx"/>
  </r>
  <r>
    <x v="48"/>
    <m/>
    <x v="0"/>
    <n v="19114"/>
    <n v="4417"/>
    <n v="364"/>
    <n v="47"/>
    <n v="42"/>
    <n v="490"/>
    <n v="188"/>
    <s v="https://www.ge.ch/document/20094/telecharger"/>
  </r>
  <r>
    <x v="48"/>
    <m/>
    <x v="19"/>
    <m/>
    <n v="92"/>
    <n v="2"/>
    <m/>
    <m/>
    <m/>
    <n v="2"/>
    <s v="https://www.gl.ch/public/upload/assets/28096/COVID-19_Fallzahlen_Kanton_Glarus.xlsx"/>
  </r>
  <r>
    <x v="48"/>
    <m/>
    <x v="26"/>
    <m/>
    <n v="750"/>
    <n v="34"/>
    <m/>
    <m/>
    <m/>
    <n v="37"/>
    <s v="https://www.gr.ch/DE/institutionen/verwaltung/djsg/ga/coronavirus/_layouts/15/GenericDataFeed/feed.aspx?PageID=26&amp;ID=g_1175d522_e609_4287_93af_d14c9efd5218&amp;FORMAT=JSONRAW"/>
  </r>
  <r>
    <x v="48"/>
    <m/>
    <x v="3"/>
    <m/>
    <n v="184"/>
    <n v="24"/>
    <n v="5"/>
    <m/>
    <m/>
    <n v="3"/>
    <s v="https://www.jura.ch/Htdocs/Files/v/34356.xlsx/Departements/CHA/SIC/Carrousel/Coronavirus/Cornavirus/Chiffres/donnees_06_05.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502/COVID-19_Fallzahlen_Kanton_Schwyz.xlsx"/>
  </r>
  <r>
    <x v="48"/>
    <m/>
    <x v="25"/>
    <m/>
    <n v="293"/>
    <n v="32"/>
    <n v="17"/>
    <m/>
    <m/>
    <n v="8"/>
    <s v="https://www.tg.ch/news/fachdossier-coronavirus.html/10552"/>
  </r>
  <r>
    <x v="48"/>
    <m/>
    <x v="8"/>
    <m/>
    <n v="4853"/>
    <n v="293"/>
    <n v="59"/>
    <m/>
    <m/>
    <n v="260"/>
    <s v="https://www.vd.ch/toutes-les-actualites/hotline-et-informations-sur-le-coronavirus/point-de-situation-statistique-dans-le-canton-de-vaud/"/>
  </r>
  <r>
    <x v="48"/>
    <m/>
    <x v="9"/>
    <m/>
    <n v="1680"/>
    <n v="106"/>
    <n v="21"/>
    <n v="12"/>
    <m/>
    <n v="93"/>
    <s v="https://www.vs.ch/de/web/coronavirus"/>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fileadmin/DSS/DSP/UMC/malattie_infettive/Coronavirus/dati/COVID19_Dati_TI_per_github.xlsx"/>
  </r>
  <r>
    <x v="48"/>
    <n v="0.33333333333333331"/>
    <x v="11"/>
    <m/>
    <n v="170"/>
    <n v="13"/>
    <n v="9"/>
    <m/>
    <n v="84"/>
    <n v="5"/>
    <s v="https://www.zg.ch/behoerden/gesundheitsdirektion/statistikfachstelle/themen/gesundheit/corona"/>
  </r>
  <r>
    <x v="48"/>
    <n v="0.39583333333333331"/>
    <x v="21"/>
    <m/>
    <n v="57"/>
    <n v="16"/>
    <n v="2"/>
    <m/>
    <m/>
    <n v="1"/>
    <s v="https://sh.ch/CMS/get/file/1142c079-5d62-4035-b9ea-04901bfcdfe9"/>
  </r>
  <r>
    <x v="48"/>
    <n v="0.41666666666666669"/>
    <x v="5"/>
    <m/>
    <n v="888"/>
    <m/>
    <m/>
    <m/>
    <n v="653"/>
    <n v="34"/>
    <s v="https://www.gd.bs.ch//nm/2020-tagesbulletin-coronavirus-893-bestaetigte-faelle-im-kanton-basel-stadt-gd.html"/>
  </r>
  <r>
    <x v="48"/>
    <n v="0.45833333333333331"/>
    <x v="24"/>
    <m/>
    <n v="24"/>
    <m/>
    <m/>
    <m/>
    <m/>
    <n v="0"/>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705.xlsx"/>
  </r>
  <r>
    <x v="49"/>
    <m/>
    <x v="0"/>
    <n v="19663"/>
    <n v="4471"/>
    <n v="365"/>
    <n v="46"/>
    <n v="41"/>
    <n v="490"/>
    <n v="193"/>
    <s v="https://www.ge.ch/document/20094/telecharger"/>
  </r>
  <r>
    <x v="49"/>
    <m/>
    <x v="19"/>
    <m/>
    <n v="105"/>
    <n v="2"/>
    <m/>
    <m/>
    <m/>
    <n v="2"/>
    <s v="https://www.gl.ch/public/upload/assets/28096/COVID-19_Fallzahlen_Kanton_Glarus.xlsx"/>
  </r>
  <r>
    <x v="49"/>
    <m/>
    <x v="26"/>
    <m/>
    <n v="753"/>
    <n v="34"/>
    <m/>
    <m/>
    <m/>
    <n v="37"/>
    <s v="https://www.gr.ch/DE/institutionen/verwaltung/djsg/ga/coronavirus/_layouts/15/GenericDataFeed/feed.aspx?PageID=26&amp;ID=g_1175d522_e609_4287_93af_d14c9efd5218&amp;FORMAT=JSONRAW"/>
  </r>
  <r>
    <x v="49"/>
    <m/>
    <x v="3"/>
    <m/>
    <n v="185"/>
    <n v="21"/>
    <n v="5"/>
    <m/>
    <m/>
    <n v="3"/>
    <s v="https://www.jura.ch/Htdocs/Files/v/34356.xlsx/Departements/CHA/SIC/Carrousel/Coronavirus/Cornavirus/Chiffres/donnees_06_05.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502/COVID-19_Fallzahlen_Kanton_Schwyz.xlsx"/>
  </r>
  <r>
    <x v="49"/>
    <m/>
    <x v="25"/>
    <m/>
    <n v="297"/>
    <n v="35"/>
    <n v="16"/>
    <m/>
    <m/>
    <n v="10"/>
    <s v="https://www.tg.ch/news/fachdossier-coronavirus.html/10552"/>
  </r>
  <r>
    <x v="49"/>
    <m/>
    <x v="8"/>
    <m/>
    <n v="4920"/>
    <n v="276"/>
    <n v="58"/>
    <m/>
    <m/>
    <n v="270"/>
    <s v="https://www.vd.ch/toutes-les-actualites/hotline-et-informations-sur-le-coronavirus/point-de-situation-statistique-dans-le-canton-de-vaud/"/>
  </r>
  <r>
    <x v="49"/>
    <m/>
    <x v="9"/>
    <m/>
    <n v="1707"/>
    <n v="100"/>
    <n v="20"/>
    <n v="11"/>
    <m/>
    <n v="94"/>
    <s v="https://www.vs.ch/de/web/coronavirus"/>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fileadmin/DSS/DSP/UMC/malattie_infettive/Coronavirus/dati/COVID19_Dati_TI_per_github.xlsx"/>
  </r>
  <r>
    <x v="49"/>
    <n v="0.33333333333333331"/>
    <x v="11"/>
    <m/>
    <n v="171"/>
    <n v="13"/>
    <n v="9"/>
    <m/>
    <n v="88"/>
    <n v="5"/>
    <s v="https://www.zg.ch/behoerden/gesundheitsdirektion/statistikfachstelle/themen/gesundheit/corona"/>
  </r>
  <r>
    <x v="49"/>
    <n v="0.39583333333333331"/>
    <x v="21"/>
    <m/>
    <n v="57"/>
    <n v="10"/>
    <n v="2"/>
    <m/>
    <m/>
    <n v="1"/>
    <s v="https://sh.ch/CMS/get/file/1142c079-5d62-4035-b9ea-04901bfcdfe9"/>
  </r>
  <r>
    <x v="49"/>
    <n v="0.41666666666666669"/>
    <x v="5"/>
    <m/>
    <n v="894"/>
    <n v="86"/>
    <n v="9"/>
    <m/>
    <n v="663"/>
    <n v="34"/>
    <s v="https://www.gd.bs.ch//nm/2020-tagesbulletin-coronavirus-899-bestaetigte-faelle-im-kanton-basel-stadt-gd.html"/>
  </r>
  <r>
    <x v="49"/>
    <n v="0.45833333333333331"/>
    <x v="24"/>
    <m/>
    <n v="24"/>
    <m/>
    <m/>
    <m/>
    <m/>
    <n v="0"/>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705.xlsx"/>
  </r>
  <r>
    <x v="50"/>
    <m/>
    <x v="0"/>
    <n v="20107"/>
    <n v="4539"/>
    <n v="352"/>
    <n v="41"/>
    <n v="37"/>
    <n v="502"/>
    <n v="198"/>
    <s v="https://www.ge.ch/document/20094/telecharger"/>
  </r>
  <r>
    <x v="50"/>
    <m/>
    <x v="19"/>
    <m/>
    <n v="105"/>
    <n v="2"/>
    <m/>
    <m/>
    <m/>
    <n v="2"/>
    <s v="https://www.gl.ch/public/upload/assets/28096/COVID-19_Fallzahlen_Kanton_Glarus.xlsx"/>
  </r>
  <r>
    <x v="50"/>
    <m/>
    <x v="26"/>
    <m/>
    <n v="759"/>
    <n v="36"/>
    <m/>
    <m/>
    <m/>
    <n v="38"/>
    <s v="https://www.gr.ch/DE/institutionen/verwaltung/djsg/ga/coronavirus/_layouts/15/GenericDataFeed/feed.aspx?PageID=26&amp;ID=g_1175d522_e609_4287_93af_d14c9efd5218&amp;FORMAT=JSONRAW"/>
  </r>
  <r>
    <x v="50"/>
    <m/>
    <x v="3"/>
    <m/>
    <n v="188"/>
    <n v="17"/>
    <n v="5"/>
    <m/>
    <m/>
    <n v="3"/>
    <s v="https://www.jura.ch/Htdocs/Files/v/34356.xlsx/Departements/CHA/SIC/Carrousel/Coronavirus/Cornavirus/Chiffres/donnees_06_05.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502/COVID-19_Fallzahlen_Kanton_Schwyz.xlsx"/>
  </r>
  <r>
    <x v="50"/>
    <m/>
    <x v="25"/>
    <m/>
    <n v="303"/>
    <n v="28"/>
    <n v="14"/>
    <m/>
    <m/>
    <n v="11"/>
    <s v="https://www.tg.ch/news/fachdossier-coronavirus.html/10552"/>
  </r>
  <r>
    <x v="50"/>
    <m/>
    <x v="8"/>
    <m/>
    <n v="4969"/>
    <n v="248"/>
    <n v="54"/>
    <m/>
    <m/>
    <n v="287"/>
    <s v="https://www.vd.ch/toutes-les-actualites/hotline-et-informations-sur-le-coronavirus/point-de-situation-statistique-dans-le-canton-de-vaud/"/>
  </r>
  <r>
    <x v="50"/>
    <m/>
    <x v="9"/>
    <m/>
    <n v="1723"/>
    <n v="94"/>
    <n v="20"/>
    <n v="12"/>
    <m/>
    <n v="94"/>
    <s v="https://www.vs.ch/de/web/coronavirus"/>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fileadmin/DSS/DSP/UMC/malattie_infettive/Coronavirus/dati/COVID19_Dati_TI_per_github.xlsx"/>
  </r>
  <r>
    <x v="50"/>
    <n v="0.33333333333333331"/>
    <x v="11"/>
    <m/>
    <n v="171"/>
    <n v="13"/>
    <n v="9"/>
    <m/>
    <n v="92"/>
    <n v="5"/>
    <s v="https://www.zg.ch/behoerden/gesundheitsdirektion/statistikfachstelle/themen/gesundheit/corona"/>
  </r>
  <r>
    <x v="50"/>
    <n v="0.39583333333333331"/>
    <x v="21"/>
    <m/>
    <n v="59"/>
    <n v="11"/>
    <n v="2"/>
    <m/>
    <m/>
    <n v="1"/>
    <s v="https://sh.ch/CMS/get/file/1142c079-5d62-4035-b9ea-04901bfcdfe9"/>
  </r>
  <r>
    <x v="50"/>
    <n v="0.41666666666666669"/>
    <x v="5"/>
    <m/>
    <n v="904"/>
    <n v="80"/>
    <n v="7"/>
    <m/>
    <n v="682"/>
    <n v="36"/>
    <s v="https://www.gd.bs.ch//nm/2020-tagesbulletin-coronavirus-909-bestaetigte-faelle-im-kanton-basel-stadt-gd.html"/>
  </r>
  <r>
    <x v="50"/>
    <n v="0.45833333333333331"/>
    <x v="24"/>
    <m/>
    <n v="24"/>
    <m/>
    <m/>
    <m/>
    <m/>
    <n v="0"/>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705.xlsx"/>
  </r>
  <r>
    <x v="51"/>
    <m/>
    <x v="0"/>
    <n v="20748"/>
    <n v="4605"/>
    <n v="350"/>
    <n v="38"/>
    <n v="33"/>
    <n v="520"/>
    <n v="205"/>
    <s v="https://www.ge.ch/document/20094/telecharger"/>
  </r>
  <r>
    <x v="51"/>
    <m/>
    <x v="19"/>
    <m/>
    <n v="106"/>
    <n v="4"/>
    <m/>
    <m/>
    <m/>
    <n v="3"/>
    <s v="https://www.gl.ch/public/upload/assets/28096/COVID-19_Fallzahlen_Kanton_Glarus.xlsx"/>
  </r>
  <r>
    <x v="51"/>
    <m/>
    <x v="26"/>
    <m/>
    <n v="764"/>
    <n v="37"/>
    <m/>
    <m/>
    <m/>
    <n v="39"/>
    <s v="https://www.gr.ch/DE/institutionen/verwaltung/djsg/ga/coronavirus/_layouts/15/GenericDataFeed/feed.aspx?PageID=26&amp;ID=g_1175d522_e609_4287_93af_d14c9efd5218&amp;FORMAT=JSONRAW"/>
  </r>
  <r>
    <x v="51"/>
    <m/>
    <x v="3"/>
    <m/>
    <n v="189"/>
    <n v="18"/>
    <n v="5"/>
    <m/>
    <m/>
    <n v="3"/>
    <s v="https://www.jura.ch/Htdocs/Files/v/34356.xlsx/Departements/CHA/SIC/Carrousel/Coronavirus/Cornavirus/Chiffres/donnees_06_05.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502/COVID-19_Fallzahlen_Kanton_Schwyz.xlsx"/>
  </r>
  <r>
    <x v="51"/>
    <m/>
    <x v="25"/>
    <m/>
    <n v="309"/>
    <n v="28"/>
    <n v="14"/>
    <m/>
    <m/>
    <n v="11"/>
    <s v="https://www.tg.ch/news/fachdossier-coronavirus.html/10552"/>
  </r>
  <r>
    <x v="51"/>
    <m/>
    <x v="8"/>
    <m/>
    <n v="4998"/>
    <n v="240"/>
    <n v="53"/>
    <m/>
    <m/>
    <n v="300"/>
    <s v="https://www.vd.ch/toutes-les-actualites/hotline-et-informations-sur-le-coronavirus/point-de-situation-statistique-dans-le-canton-de-vaud/"/>
  </r>
  <r>
    <x v="51"/>
    <m/>
    <x v="9"/>
    <m/>
    <n v="1740"/>
    <n v="92"/>
    <n v="17"/>
    <n v="12"/>
    <m/>
    <n v="95"/>
    <s v="https://www.vs.ch/de/web/coronavirus"/>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fileadmin/DSS/DSP/UMC/malattie_infettive/Coronavirus/dati/COVID19_Dati_TI_per_github.xlsx"/>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1142c079-5d62-4035-b9ea-04901bfcdfe9"/>
  </r>
  <r>
    <x v="51"/>
    <n v="0.45833333333333331"/>
    <x v="24"/>
    <m/>
    <n v="24"/>
    <m/>
    <m/>
    <m/>
    <m/>
    <n v="0"/>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705.xlsx"/>
  </r>
  <r>
    <x v="52"/>
    <m/>
    <x v="0"/>
    <n v="21162"/>
    <n v="4665"/>
    <n v="329"/>
    <n v="39"/>
    <n v="33"/>
    <n v="532"/>
    <n v="211"/>
    <s v="https://www.ge.ch/document/20094/telecharger"/>
  </r>
  <r>
    <x v="52"/>
    <m/>
    <x v="26"/>
    <m/>
    <n v="770"/>
    <n v="33"/>
    <m/>
    <m/>
    <m/>
    <n v="40"/>
    <s v="https://www.gr.ch/DE/institutionen/verwaltung/djsg/ga/coronavirus/_layouts/15/GenericDataFeed/feed.aspx?PageID=26&amp;ID=g_1175d522_e609_4287_93af_d14c9efd5218&amp;FORMAT=JSONRAW"/>
  </r>
  <r>
    <x v="52"/>
    <m/>
    <x v="3"/>
    <m/>
    <n v="191"/>
    <n v="18"/>
    <n v="5"/>
    <m/>
    <m/>
    <n v="3"/>
    <s v="https://www.jura.ch/Htdocs/Files/v/34356.xlsx/Departements/CHA/SIC/Carrousel/Coronavirus/Cornavirus/Chiffres/donnees_06_05.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502/COVID-19_Fallzahlen_Kanton_Schwyz.xlsx"/>
  </r>
  <r>
    <x v="52"/>
    <m/>
    <x v="25"/>
    <m/>
    <n v="322"/>
    <n v="25"/>
    <n v="13"/>
    <m/>
    <m/>
    <n v="12"/>
    <s v="https://www.tg.ch/news/fachdossier-coronavirus.html/10552"/>
  </r>
  <r>
    <x v="52"/>
    <m/>
    <x v="8"/>
    <m/>
    <n v="5030"/>
    <n v="224"/>
    <n v="52"/>
    <m/>
    <m/>
    <n v="307"/>
    <s v="https://www.vd.ch/toutes-les-actualites/hotline-et-informations-sur-le-coronavirus/point-de-situation-statistique-dans-le-canton-de-vaud/"/>
  </r>
  <r>
    <x v="52"/>
    <m/>
    <x v="9"/>
    <m/>
    <n v="1760"/>
    <n v="85"/>
    <n v="16"/>
    <n v="10"/>
    <m/>
    <n v="99"/>
    <s v="https://www.vs.ch/de/web/coronavirus"/>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fileadmin/DSS/DSP/UMC/malattie_infettive/Coronavirus/dati/COVID19_Dati_TI_per_github.xlsx"/>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1142c079-5d62-4035-b9ea-04901bfcdfe9"/>
  </r>
  <r>
    <x v="52"/>
    <n v="0.45833333333333331"/>
    <x v="24"/>
    <m/>
    <n v="24"/>
    <m/>
    <m/>
    <m/>
    <m/>
    <n v="0"/>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8096/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705.xlsx"/>
  </r>
  <r>
    <x v="53"/>
    <m/>
    <x v="0"/>
    <n v="21576"/>
    <n v="4716"/>
    <n v="315"/>
    <n v="34"/>
    <n v="33"/>
    <n v="553"/>
    <n v="215"/>
    <s v="https://www.ge.ch/document/20094/telecharger"/>
  </r>
  <r>
    <x v="53"/>
    <m/>
    <x v="26"/>
    <m/>
    <n v="773"/>
    <n v="29"/>
    <m/>
    <m/>
    <m/>
    <n v="40"/>
    <s v="https://www.gr.ch/DE/institutionen/verwaltung/djsg/ga/coronavirus/_layouts/15/GenericDataFeed/feed.aspx?PageID=26&amp;ID=g_1175d522_e609_4287_93af_d14c9efd5218&amp;FORMAT=JSONRAW"/>
  </r>
  <r>
    <x v="53"/>
    <m/>
    <x v="3"/>
    <m/>
    <n v="192"/>
    <n v="17"/>
    <n v="5"/>
    <m/>
    <m/>
    <n v="3"/>
    <s v="https://www.jura.ch/Htdocs/Files/v/34356.xlsx/Departements/CHA/SIC/Carrousel/Coronavirus/Cornavirus/Chiffres/donnees_06_05.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502/COVID-19_Fallzahlen_Kanton_Schwyz.xlsx"/>
  </r>
  <r>
    <x v="53"/>
    <m/>
    <x v="25"/>
    <m/>
    <n v="333"/>
    <n v="23"/>
    <n v="12"/>
    <m/>
    <m/>
    <n v="13"/>
    <s v="https://www.tg.ch/news/fachdossier-coronavirus.html/10552"/>
  </r>
  <r>
    <x v="53"/>
    <m/>
    <x v="8"/>
    <m/>
    <n v="5052"/>
    <n v="221"/>
    <n v="49"/>
    <m/>
    <m/>
    <n v="315"/>
    <s v="https://www.vd.ch/toutes-les-actualites/hotline-et-informations-sur-le-coronavirus/point-de-situation-statistique-dans-le-canton-de-vaud/"/>
  </r>
  <r>
    <x v="53"/>
    <m/>
    <x v="9"/>
    <m/>
    <n v="1769"/>
    <n v="84"/>
    <n v="18"/>
    <n v="10"/>
    <m/>
    <n v="104"/>
    <s v="https://www.vs.ch/de/web/coronavirus"/>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fileadmin/DSS/DSP/UMC/malattie_infettive/Coronavirus/dati/COVID19_Dati_TI_per_github.xlsx"/>
  </r>
  <r>
    <x v="53"/>
    <n v="0.33333333333333331"/>
    <x v="11"/>
    <m/>
    <n v="174"/>
    <n v="6"/>
    <n v="6"/>
    <m/>
    <n v="99"/>
    <n v="7"/>
    <s v="https://www.zg.ch/behoerden/gesundheitsdirektion/statistikfachstelle/themen/gesundheit/corona"/>
  </r>
  <r>
    <x v="53"/>
    <n v="0.39583333333333331"/>
    <x v="21"/>
    <m/>
    <n v="61"/>
    <n v="11"/>
    <n v="4"/>
    <m/>
    <m/>
    <n v="1"/>
    <s v="https://sh.ch/CMS/get/file/1142c079-5d62-4035-b9ea-04901bfcdfe9"/>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8096/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705.xlsx"/>
  </r>
  <r>
    <x v="54"/>
    <m/>
    <x v="0"/>
    <n v="21734"/>
    <n v="4727"/>
    <n v="315"/>
    <n v="35"/>
    <n v="33"/>
    <n v="558"/>
    <n v="218"/>
    <s v="https://www.ge.ch/document/20094/telecharger"/>
  </r>
  <r>
    <x v="54"/>
    <m/>
    <x v="26"/>
    <m/>
    <n v="778"/>
    <n v="28"/>
    <m/>
    <m/>
    <m/>
    <n v="41"/>
    <s v="https://www.gr.ch/DE/institutionen/verwaltung/djsg/ga/coronavirus/_layouts/15/GenericDataFeed/feed.aspx?PageID=26&amp;ID=g_1175d522_e609_4287_93af_d14c9efd5218&amp;FORMAT=JSONRAW"/>
  </r>
  <r>
    <x v="54"/>
    <m/>
    <x v="3"/>
    <m/>
    <n v="192"/>
    <n v="16"/>
    <n v="5"/>
    <m/>
    <m/>
    <n v="5"/>
    <s v="https://www.jura.ch/Htdocs/Files/v/34356.xlsx/Departements/CHA/SIC/Carrousel/Coronavirus/Cornavirus/Chiffres/donnees_06_05.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502/COVID-19_Fallzahlen_Kanton_Schwyz.xlsx"/>
  </r>
  <r>
    <x v="54"/>
    <m/>
    <x v="25"/>
    <m/>
    <n v="334"/>
    <n v="23"/>
    <n v="12"/>
    <m/>
    <m/>
    <n v="13"/>
    <s v="https://www.tg.ch/news/fachdossier-coronavirus.html/10552"/>
  </r>
  <r>
    <x v="54"/>
    <m/>
    <x v="8"/>
    <m/>
    <n v="5063"/>
    <n v="222"/>
    <n v="48"/>
    <m/>
    <m/>
    <n v="320"/>
    <s v="https://www.vd.ch/toutes-les-actualites/hotline-et-informations-sur-le-coronavirus/point-de-situation-statistique-dans-le-canton-de-vaud/"/>
  </r>
  <r>
    <x v="54"/>
    <m/>
    <x v="9"/>
    <m/>
    <n v="1776"/>
    <n v="82"/>
    <n v="16"/>
    <n v="9"/>
    <m/>
    <n v="107"/>
    <s v="https://www.vs.ch/de/web/coronavirus"/>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fileadmin/DSS/DSP/UMC/malattie_infettive/Coronavirus/dati/COVID19_Dati_TI_per_github.xlsx"/>
  </r>
  <r>
    <x v="54"/>
    <n v="0.33333333333333331"/>
    <x v="11"/>
    <m/>
    <n v="175"/>
    <n v="11"/>
    <n v="6"/>
    <m/>
    <n v="99"/>
    <n v="7"/>
    <s v="https://www.zg.ch/behoerden/gesundheitsdirektion/statistikfachstelle/themen/gesundheit/corona"/>
  </r>
  <r>
    <x v="54"/>
    <n v="0.39583333333333331"/>
    <x v="21"/>
    <m/>
    <n v="62"/>
    <n v="6"/>
    <n v="2"/>
    <m/>
    <m/>
    <n v="1"/>
    <s v="https://sh.ch/CMS/get/file/1142c079-5d62-4035-b9ea-04901bfcdfe9"/>
  </r>
  <r>
    <x v="54"/>
    <n v="0.41666666666666669"/>
    <x v="5"/>
    <m/>
    <n v="927"/>
    <m/>
    <m/>
    <m/>
    <n v="764"/>
    <n v="40"/>
    <s v="https://www.gd.bs.ch//nm/2020-tagesbulletin-coronavirus-932-bestaetigte-faelle-im-kanton-basel-stadt-gd.html"/>
  </r>
  <r>
    <x v="54"/>
    <n v="0.45833333333333331"/>
    <x v="24"/>
    <m/>
    <n v="24"/>
    <m/>
    <m/>
    <m/>
    <m/>
    <n v="0"/>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8096/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705.xlsx"/>
  </r>
  <r>
    <x v="55"/>
    <m/>
    <x v="0"/>
    <n v="22105"/>
    <n v="4754"/>
    <n v="321"/>
    <n v="34"/>
    <n v="29"/>
    <n v="561"/>
    <n v="220"/>
    <s v="https://www.ge.ch/document/20094/telecharger"/>
  </r>
  <r>
    <x v="55"/>
    <m/>
    <x v="26"/>
    <m/>
    <n v="785"/>
    <n v="29"/>
    <m/>
    <m/>
    <m/>
    <n v="42"/>
    <s v="https://www.gr.ch/DE/institutionen/verwaltung/djsg/ga/coronavirus/_layouts/15/GenericDataFeed/feed.aspx?PageID=26&amp;ID=g_1175d522_e609_4287_93af_d14c9efd5218&amp;FORMAT=JSONRAW"/>
  </r>
  <r>
    <x v="55"/>
    <m/>
    <x v="3"/>
    <m/>
    <n v="195"/>
    <n v="14"/>
    <n v="4"/>
    <m/>
    <m/>
    <n v="6"/>
    <s v="https://www.jura.ch/Htdocs/Files/v/34356.xlsx/Departements/CHA/SIC/Carrousel/Coronavirus/Cornavirus/Chiffres/donnees_06_05.xlsx?download=1"/>
  </r>
  <r>
    <x v="55"/>
    <m/>
    <x v="13"/>
    <m/>
    <n v="643"/>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502/COVID-19_Fallzahlen_Kanton_Schwyz.xlsx"/>
  </r>
  <r>
    <x v="55"/>
    <m/>
    <x v="25"/>
    <m/>
    <n v="336"/>
    <n v="24"/>
    <n v="12"/>
    <m/>
    <m/>
    <n v="13"/>
    <s v="https://www.tg.ch/news/fachdossier-coronavirus.html/10552"/>
  </r>
  <r>
    <x v="55"/>
    <m/>
    <x v="8"/>
    <m/>
    <n v="5095"/>
    <n v="205"/>
    <n v="42"/>
    <m/>
    <m/>
    <n v="331"/>
    <s v="https://www.vd.ch/toutes-les-actualites/hotline-et-informations-sur-le-coronavirus/point-de-situation-statistique-dans-le-canton-de-vaud/"/>
  </r>
  <r>
    <x v="55"/>
    <m/>
    <x v="9"/>
    <m/>
    <n v="1793"/>
    <n v="79"/>
    <n v="15"/>
    <n v="9"/>
    <m/>
    <n v="110"/>
    <s v="https://www.vs.ch/de/web/coronavirus"/>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fileadmin/DSS/DSP/UMC/malattie_infettive/Coronavirus/dati/COVID19_Dati_TI_per_github.xlsx"/>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1142c079-5d62-4035-b9ea-04901bfcdfe9"/>
  </r>
  <r>
    <x v="55"/>
    <n v="0.45833333333333331"/>
    <x v="24"/>
    <m/>
    <n v="24"/>
    <m/>
    <m/>
    <m/>
    <m/>
    <n v="0"/>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8096/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705.xlsx"/>
  </r>
  <r>
    <x v="56"/>
    <m/>
    <x v="0"/>
    <n v="22579"/>
    <n v="4784"/>
    <n v="304"/>
    <n v="32"/>
    <n v="29"/>
    <n v="581"/>
    <n v="225"/>
    <s v="https://www.ge.ch/document/20094/telecharger"/>
  </r>
  <r>
    <x v="56"/>
    <m/>
    <x v="26"/>
    <m/>
    <n v="787"/>
    <n v="27"/>
    <m/>
    <m/>
    <m/>
    <n v="43"/>
    <s v="https://www.gr.ch/DE/institutionen/verwaltung/djsg/ga/coronavirus/_layouts/15/GenericDataFeed/feed.aspx?PageID=26&amp;ID=g_1175d522_e609_4287_93af_d14c9efd5218&amp;FORMAT=JSONRAW"/>
  </r>
  <r>
    <x v="56"/>
    <m/>
    <x v="3"/>
    <m/>
    <n v="195"/>
    <n v="12"/>
    <n v="4"/>
    <m/>
    <m/>
    <n v="6"/>
    <s v="https://www.jura.ch/Htdocs/Files/v/34356.xlsx/Departements/CHA/SIC/Carrousel/Coronavirus/Cornavirus/Chiffres/donnees_06_05.xlsx?download=1"/>
  </r>
  <r>
    <x v="56"/>
    <m/>
    <x v="13"/>
    <m/>
    <n v="648"/>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4"/>
    <n v="12"/>
    <m/>
    <m/>
    <n v="13"/>
    <s v="https://www.tg.ch/news/fachdossier-coronavirus.html/10552"/>
  </r>
  <r>
    <x v="56"/>
    <m/>
    <x v="8"/>
    <m/>
    <n v="5127"/>
    <n v="192"/>
    <n v="42"/>
    <m/>
    <m/>
    <n v="339"/>
    <s v="https://www.vd.ch/toutes-les-actualites/hotline-et-informations-sur-le-coronavirus/point-de-situation-statistique-dans-le-canton-de-vaud/"/>
  </r>
  <r>
    <x v="56"/>
    <m/>
    <x v="9"/>
    <m/>
    <n v="1800"/>
    <n v="76"/>
    <n v="14"/>
    <n v="10"/>
    <m/>
    <n v="115"/>
    <s v="https://www.vs.ch/de/web/coronavirus"/>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fileadmin/DSS/DSP/UMC/malattie_infettive/Coronavirus/dati/COVID19_Dati_TI_per_github.xlsx"/>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1142c079-5d62-4035-b9ea-04901bfcdfe9"/>
  </r>
  <r>
    <x v="56"/>
    <n v="0.41666666666666669"/>
    <x v="15"/>
    <m/>
    <n v="276"/>
    <m/>
    <m/>
    <m/>
    <n v="192"/>
    <n v="16"/>
    <s v="https://www.sz.ch/public/upload/assets/46502/COVID-19_Fallzahlen_Kanton_Schwyz.xlsx"/>
  </r>
  <r>
    <x v="56"/>
    <n v="0.45833333333333331"/>
    <x v="24"/>
    <m/>
    <n v="24"/>
    <m/>
    <m/>
    <m/>
    <m/>
    <n v="0"/>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8096/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705.xlsx"/>
  </r>
  <r>
    <x v="57"/>
    <m/>
    <x v="0"/>
    <n v="22938"/>
    <n v="4809"/>
    <n v="288"/>
    <n v="30"/>
    <n v="27"/>
    <n v="589"/>
    <n v="230"/>
    <s v="https://www.ge.ch/document/20094/telecharger"/>
  </r>
  <r>
    <x v="57"/>
    <m/>
    <x v="26"/>
    <m/>
    <n v="791"/>
    <n v="26"/>
    <m/>
    <m/>
    <m/>
    <n v="43"/>
    <s v="https://www.gr.ch/DE/institutionen/verwaltung/djsg/ga/coronavirus/_layouts/15/GenericDataFeed/feed.aspx?PageID=26&amp;ID=g_1175d522_e609_4287_93af_d14c9efd5218&amp;FORMAT=JSONRAW"/>
  </r>
  <r>
    <x v="57"/>
    <m/>
    <x v="3"/>
    <m/>
    <n v="196"/>
    <n v="12"/>
    <n v="4"/>
    <m/>
    <m/>
    <n v="6"/>
    <s v="https://www.jura.ch/Htdocs/Files/v/34356.xlsx/Departements/CHA/SIC/Carrousel/Coronavirus/Cornavirus/Chiffres/donnees_06_05.xlsx?download=1"/>
  </r>
  <r>
    <x v="57"/>
    <m/>
    <x v="13"/>
    <m/>
    <n v="655"/>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3"/>
    <n v="9"/>
    <m/>
    <m/>
    <n v="14"/>
    <s v="https://www.tg.ch/news/fachdossier-coronavirus.html/10552"/>
  </r>
  <r>
    <x v="57"/>
    <m/>
    <x v="8"/>
    <m/>
    <n v="5148"/>
    <n v="180"/>
    <n v="41"/>
    <m/>
    <m/>
    <n v="344"/>
    <s v="https://www.vd.ch/toutes-les-actualites/hotline-et-informations-sur-le-coronavirus/point-de-situation-statistique-dans-le-canton-de-vaud/"/>
  </r>
  <r>
    <x v="57"/>
    <m/>
    <x v="9"/>
    <m/>
    <n v="1806"/>
    <n v="77"/>
    <n v="13"/>
    <n v="10"/>
    <m/>
    <n v="118"/>
    <s v="https://www.vs.ch/de/web/coronavirus"/>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fileadmin/DSS/DSP/UMC/malattie_infettive/Coronavirus/dati/COVID19_Dati_TI_per_github.xlsx"/>
  </r>
  <r>
    <x v="57"/>
    <n v="0.33333333333333331"/>
    <x v="11"/>
    <m/>
    <n v="176"/>
    <n v="6"/>
    <n v="3"/>
    <m/>
    <n v="131"/>
    <n v="8"/>
    <s v="https://www.zg.ch/behoerden/gesundheitsdirektion/statistikfachstelle/themen/gesundheit/corona"/>
  </r>
  <r>
    <x v="57"/>
    <n v="0.39583333333333331"/>
    <x v="21"/>
    <m/>
    <n v="63"/>
    <n v="10"/>
    <n v="2"/>
    <m/>
    <m/>
    <n v="3"/>
    <s v="https://sh.ch/CMS/get/file/1142c079-5d62-4035-b9ea-04901bfcdfe9"/>
  </r>
  <r>
    <x v="57"/>
    <n v="0.40625"/>
    <x v="5"/>
    <m/>
    <n v="928"/>
    <n v="49"/>
    <n v="7"/>
    <m/>
    <n v="786"/>
    <n v="45"/>
    <s v="https://www.gd.bs.ch//nm/2020-tagesbulletin-coronavirus-933-bestaetigte-faelle-im-kanton-basel-stadt-gd-3.html"/>
  </r>
  <r>
    <x v="57"/>
    <n v="0.41666666666666669"/>
    <x v="15"/>
    <m/>
    <n v="282"/>
    <m/>
    <m/>
    <m/>
    <n v="194"/>
    <n v="16"/>
    <s v="https://www.sz.ch/public/upload/assets/46502/COVID-19_Fallzahlen_Kanton_Schwyz.xlsx"/>
  </r>
  <r>
    <x v="57"/>
    <n v="0.45833333333333331"/>
    <x v="24"/>
    <m/>
    <n v="24"/>
    <m/>
    <m/>
    <m/>
    <m/>
    <n v="0"/>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8096/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705.xlsx"/>
  </r>
  <r>
    <x v="58"/>
    <m/>
    <x v="0"/>
    <n v="23392"/>
    <n v="4841"/>
    <n v="284"/>
    <n v="29"/>
    <n v="27"/>
    <n v="592"/>
    <n v="234"/>
    <s v="https://www.ge.ch/document/20094/telecharger"/>
  </r>
  <r>
    <x v="58"/>
    <m/>
    <x v="26"/>
    <m/>
    <n v="794"/>
    <n v="26"/>
    <m/>
    <m/>
    <m/>
    <n v="43"/>
    <s v="https://www.gr.ch/DE/institutionen/verwaltung/djsg/ga/coronavirus/_layouts/15/GenericDataFeed/feed.aspx?PageID=26&amp;ID=g_1175d522_e609_4287_93af_d14c9efd5218&amp;FORMAT=JSONRAW"/>
  </r>
  <r>
    <x v="58"/>
    <m/>
    <x v="3"/>
    <m/>
    <n v="196"/>
    <n v="11"/>
    <n v="4"/>
    <m/>
    <m/>
    <n v="6"/>
    <s v="https://www.jura.ch/Htdocs/Files/v/34356.xlsx/Departements/CHA/SIC/Carrousel/Coronavirus/Cornavirus/Chiffres/donnees_06_05.xlsx?download=1"/>
  </r>
  <r>
    <x v="58"/>
    <m/>
    <x v="13"/>
    <m/>
    <n v="662"/>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21"/>
    <n v="9"/>
    <m/>
    <m/>
    <n v="14"/>
    <s v="https://www.tg.ch/news/fachdossier-coronavirus.html/10552"/>
  </r>
  <r>
    <x v="58"/>
    <m/>
    <x v="8"/>
    <m/>
    <n v="5181"/>
    <n v="180"/>
    <n v="39"/>
    <m/>
    <m/>
    <n v="354"/>
    <s v="https://www.vd.ch/toutes-les-actualites/hotline-et-informations-sur-le-coronavirus/point-de-situation-statistique-dans-le-canton-de-vaud/"/>
  </r>
  <r>
    <x v="58"/>
    <m/>
    <x v="9"/>
    <m/>
    <n v="1822"/>
    <n v="73"/>
    <n v="13"/>
    <n v="9"/>
    <m/>
    <n v="123"/>
    <s v="https://www.vs.ch/de/web/coronavirus"/>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fileadmin/DSS/DSP/UMC/malattie_infettive/Coronavirus/dati/COVID19_Dati_TI_per_github.xlsx"/>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1142c079-5d62-4035-b9ea-04901bfcdfe9"/>
  </r>
  <r>
    <x v="58"/>
    <n v="0.41666666666666669"/>
    <x v="15"/>
    <m/>
    <n v="282"/>
    <m/>
    <m/>
    <m/>
    <n v="198"/>
    <n v="16"/>
    <s v="https://www.sz.ch/public/upload/assets/46502/COVID-19_Fallzahlen_Kanton_Schwyz.xlsx"/>
  </r>
  <r>
    <x v="58"/>
    <n v="0.45833333333333331"/>
    <x v="24"/>
    <m/>
    <n v="25"/>
    <m/>
    <m/>
    <m/>
    <m/>
    <n v="0"/>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8096/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705.xlsx"/>
  </r>
  <r>
    <x v="59"/>
    <m/>
    <x v="0"/>
    <n v="23757"/>
    <n v="4859"/>
    <n v="278"/>
    <n v="26"/>
    <n v="25"/>
    <n v="600"/>
    <n v="239"/>
    <s v="https://www.ge.ch/document/20094/telecharger"/>
  </r>
  <r>
    <x v="59"/>
    <m/>
    <x v="26"/>
    <m/>
    <n v="799"/>
    <n v="29"/>
    <m/>
    <m/>
    <m/>
    <n v="44"/>
    <s v="https://www.gr.ch/DE/institutionen/verwaltung/djsg/ga/coronavirus/_layouts/15/GenericDataFeed/feed.aspx?PageID=26&amp;ID=g_1175d522_e609_4287_93af_d14c9efd5218&amp;FORMAT=JSONRAW"/>
  </r>
  <r>
    <x v="59"/>
    <m/>
    <x v="3"/>
    <m/>
    <n v="196"/>
    <n v="12"/>
    <n v="4"/>
    <m/>
    <m/>
    <n v="6"/>
    <s v="https://www.jura.ch/Htdocs/Files/v/34356.xlsx/Departements/CHA/SIC/Carrousel/Coronavirus/Cornavirus/Chiffres/donnees_06_05.xlsx?download=1"/>
  </r>
  <r>
    <x v="59"/>
    <m/>
    <x v="13"/>
    <m/>
    <n v="665"/>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21"/>
    <n v="9"/>
    <m/>
    <m/>
    <n v="14"/>
    <s v="https://www.tg.ch/news/fachdossier-coronavirus.html/10552"/>
  </r>
  <r>
    <x v="59"/>
    <m/>
    <x v="8"/>
    <m/>
    <n v="5204"/>
    <n v="168"/>
    <n v="36"/>
    <m/>
    <m/>
    <n v="357"/>
    <s v="https://www.vd.ch/toutes-les-actualites/hotline-et-informations-sur-le-coronavirus/point-de-situation-statistique-dans-le-canton-de-vaud/"/>
  </r>
  <r>
    <x v="59"/>
    <m/>
    <x v="9"/>
    <m/>
    <n v="1831"/>
    <n v="71"/>
    <n v="14"/>
    <n v="9"/>
    <m/>
    <n v="127"/>
    <s v="https://www.vs.ch/de/web/coronavirus"/>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fileadmin/DSS/DSP/UMC/malattie_infettive/Coronavirus/dati/COVID19_Dati_TI_per_github.xlsx"/>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1142c079-5d62-4035-b9ea-04901bfcdfe9"/>
  </r>
  <r>
    <x v="59"/>
    <n v="0.41666666666666669"/>
    <x v="15"/>
    <m/>
    <n v="284"/>
    <m/>
    <m/>
    <m/>
    <n v="206"/>
    <n v="16"/>
    <s v="https://www.sz.ch/public/upload/assets/46502/COVID-19_Fallzahlen_Kanton_Schwyz.xlsx"/>
  </r>
  <r>
    <x v="59"/>
    <n v="0.45833333333333331"/>
    <x v="24"/>
    <m/>
    <n v="25"/>
    <m/>
    <m/>
    <m/>
    <m/>
    <n v="0"/>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8096/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705.xlsx"/>
  </r>
  <r>
    <x v="60"/>
    <m/>
    <x v="0"/>
    <n v="24115"/>
    <n v="4872"/>
    <n v="271"/>
    <n v="27"/>
    <n v="26"/>
    <m/>
    <n v="240"/>
    <s v="https://www.ge.ch/document/20094/telecharger"/>
  </r>
  <r>
    <x v="60"/>
    <m/>
    <x v="26"/>
    <m/>
    <n v="800"/>
    <n v="28"/>
    <m/>
    <m/>
    <m/>
    <n v="44"/>
    <s v="https://www.gr.ch/DE/institutionen/verwaltung/djsg/ga/coronavirus/_layouts/15/GenericDataFeed/feed.aspx?PageID=26&amp;ID=g_1175d522_e609_4287_93af_d14c9efd5218&amp;FORMAT=JSONRAW"/>
  </r>
  <r>
    <x v="60"/>
    <m/>
    <x v="3"/>
    <m/>
    <n v="196"/>
    <n v="12"/>
    <n v="4"/>
    <m/>
    <m/>
    <n v="6"/>
    <s v="https://www.jura.ch/Htdocs/Files/v/34356.xlsx/Departements/CHA/SIC/Carrousel/Coronavirus/Cornavirus/Chiffres/donnees_06_05.xlsx?download=1"/>
  </r>
  <r>
    <x v="60"/>
    <m/>
    <x v="13"/>
    <m/>
    <n v="666"/>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3"/>
    <n v="8"/>
    <m/>
    <m/>
    <n v="14"/>
    <s v="https://www.tg.ch/news/fachdossier-coronavirus.html/10552"/>
  </r>
  <r>
    <x v="60"/>
    <m/>
    <x v="8"/>
    <m/>
    <n v="5217"/>
    <n v="173"/>
    <n v="36"/>
    <m/>
    <m/>
    <n v="367"/>
    <s v="https://www.vd.ch/toutes-les-actualites/hotline-et-informations-sur-le-coronavirus/point-de-situation-statistique-dans-le-canton-de-vaud/"/>
  </r>
  <r>
    <x v="60"/>
    <m/>
    <x v="9"/>
    <m/>
    <n v="1836"/>
    <n v="74"/>
    <n v="14"/>
    <n v="9"/>
    <m/>
    <n v="129"/>
    <s v="https://www.vs.ch/de/web/coronavirus"/>
  </r>
  <r>
    <x v="60"/>
    <n v="0"/>
    <x v="18"/>
    <m/>
    <n v="379"/>
    <n v="13"/>
    <m/>
    <m/>
    <m/>
    <n v="14"/>
    <s v="https://corona.so.ch/index.php?id=27979"/>
  </r>
  <r>
    <x v="60"/>
    <n v="6.9444444444444447E-4"/>
    <x v="15"/>
    <m/>
    <n v="287"/>
    <m/>
    <m/>
    <m/>
    <n v="215"/>
    <n v="17"/>
    <s v="https://www.sz.ch/public/upload/assets/46502/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fileadmin/DSS/DSP/UMC/malattie_infettive/Coronavirus/dati/COVID19_Dati_TI_per_github.xlsx"/>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1142c079-5d62-4035-b9ea-04901bfcdfe9"/>
  </r>
  <r>
    <x v="60"/>
    <n v="0.45833333333333331"/>
    <x v="24"/>
    <m/>
    <n v="25"/>
    <m/>
    <m/>
    <m/>
    <m/>
    <n v="0"/>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8096/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705.xlsx"/>
  </r>
  <r>
    <x v="61"/>
    <m/>
    <x v="0"/>
    <n v="24297"/>
    <n v="4877"/>
    <n v="271"/>
    <n v="25"/>
    <n v="24"/>
    <n v="610"/>
    <n v="242"/>
    <s v="https://www.ge.ch/document/20094/telecharger"/>
  </r>
  <r>
    <x v="61"/>
    <m/>
    <x v="26"/>
    <m/>
    <n v="802"/>
    <n v="28"/>
    <m/>
    <m/>
    <m/>
    <n v="44"/>
    <s v="https://www.gr.ch/DE/institutionen/verwaltung/djsg/ga/coronavirus/_layouts/15/GenericDataFeed/feed.aspx?PageID=26&amp;ID=g_1175d522_e609_4287_93af_d14c9efd5218&amp;FORMAT=JSONRAW"/>
  </r>
  <r>
    <x v="61"/>
    <m/>
    <x v="3"/>
    <m/>
    <n v="196"/>
    <n v="12"/>
    <n v="4"/>
    <m/>
    <m/>
    <n v="6"/>
    <s v="https://www.jura.ch/Htdocs/Files/v/34356.xlsx/Departements/CHA/SIC/Carrousel/Coronavirus/Cornavirus/Chiffres/donnees_06_05.xlsx?download=1"/>
  </r>
  <r>
    <x v="61"/>
    <m/>
    <x v="13"/>
    <m/>
    <n v="667"/>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21"/>
    <n v="8"/>
    <m/>
    <m/>
    <n v="16"/>
    <s v="https://www.tg.ch/news/fachdossier-coronavirus.html/10552"/>
  </r>
  <r>
    <x v="61"/>
    <m/>
    <x v="8"/>
    <m/>
    <n v="5229"/>
    <n v="181"/>
    <n v="36"/>
    <m/>
    <m/>
    <n v="371"/>
    <s v="https://www.vd.ch/toutes-les-actualites/hotline-et-informations-sur-le-coronavirus/point-de-situation-statistique-dans-le-canton-de-vaud/"/>
  </r>
  <r>
    <x v="61"/>
    <m/>
    <x v="9"/>
    <m/>
    <n v="1838"/>
    <n v="76"/>
    <n v="15"/>
    <n v="8"/>
    <m/>
    <n v="131"/>
    <s v="https://www.vs.ch/de/web/coronavirus"/>
  </r>
  <r>
    <x v="61"/>
    <n v="0"/>
    <x v="18"/>
    <m/>
    <n v="380"/>
    <n v="12"/>
    <m/>
    <m/>
    <m/>
    <n v="15"/>
    <s v="https://corona.so.ch/index.php?id=27979"/>
  </r>
  <r>
    <x v="61"/>
    <n v="6.9444444444444447E-4"/>
    <x v="15"/>
    <m/>
    <n v="293"/>
    <m/>
    <m/>
    <m/>
    <n v="216"/>
    <n v="18"/>
    <s v="https://www.sz.ch/public/upload/assets/46502/COVID-19_Fallzahlen_Kanton_Schwyz.xlsx"/>
  </r>
  <r>
    <x v="61"/>
    <n v="0.33333333333333331"/>
    <x v="6"/>
    <m/>
    <n v="1714"/>
    <n v="54"/>
    <n v="9"/>
    <n v="9"/>
    <m/>
    <n v="83"/>
    <s v="https://www.besondere-lage.sites.be.ch/besondere-lage_sites/de/index/corona/index.html"/>
  </r>
  <r>
    <x v="61"/>
    <n v="0.33333333333333331"/>
    <x v="1"/>
    <m/>
    <n v="3161"/>
    <n v="192"/>
    <n v="37"/>
    <n v="26"/>
    <n v="704"/>
    <n v="306"/>
    <s v="https://www4.ti.ch/fileadmin/DSS/DSP/UMC/malattie_infettive/Coronavirus/dati/COVID19_Dati_TI_per_github.xlsx"/>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1142c079-5d62-4035-b9ea-04901bfcdfe9"/>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8096/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705.xlsx"/>
  </r>
  <r>
    <x v="62"/>
    <m/>
    <x v="0"/>
    <n v="24597"/>
    <n v="4888"/>
    <n v="270"/>
    <n v="26"/>
    <n v="24"/>
    <n v="610"/>
    <n v="244"/>
    <s v="https://www.ge.ch/document/20094/telecharger"/>
  </r>
  <r>
    <x v="62"/>
    <m/>
    <x v="26"/>
    <m/>
    <n v="807"/>
    <n v="29"/>
    <m/>
    <m/>
    <m/>
    <n v="45"/>
    <s v="https://www.gr.ch/DE/institutionen/verwaltung/djsg/ga/coronavirus/_layouts/15/GenericDataFeed/feed.aspx?PageID=26&amp;ID=g_1175d522_e609_4287_93af_d14c9efd5218&amp;FORMAT=JSONRAW"/>
  </r>
  <r>
    <x v="62"/>
    <m/>
    <x v="3"/>
    <m/>
    <n v="196"/>
    <n v="10"/>
    <n v="4"/>
    <m/>
    <m/>
    <n v="7"/>
    <s v="https://www.jura.ch/Htdocs/Files/v/34356.xlsx/Departements/CHA/SIC/Carrousel/Coronavirus/Cornavirus/Chiffres/donnees_06_05.xlsx?download=1"/>
  </r>
  <r>
    <x v="62"/>
    <m/>
    <x v="13"/>
    <m/>
    <n v="672"/>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21"/>
    <n v="8"/>
    <m/>
    <m/>
    <n v="17"/>
    <s v="https://www.tg.ch/news/fachdossier-coronavirus.html/10552"/>
  </r>
  <r>
    <x v="62"/>
    <m/>
    <x v="8"/>
    <m/>
    <n v="5253"/>
    <n v="170"/>
    <n v="33"/>
    <m/>
    <m/>
    <n v="375"/>
    <s v="https://www.vd.ch/toutes-les-actualites/hotline-et-informations-sur-le-coronavirus/point-de-situation-statistique-dans-le-canton-de-vaud/"/>
  </r>
  <r>
    <x v="62"/>
    <m/>
    <x v="9"/>
    <m/>
    <n v="1853"/>
    <n v="66"/>
    <n v="14"/>
    <n v="9"/>
    <m/>
    <n v="132"/>
    <s v="https://www.vs.ch/de/web/coronavirus"/>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fileadmin/DSS/DSP/UMC/malattie_infettive/Coronavirus/dati/COVID19_Dati_TI_per_github.xlsx"/>
  </r>
  <r>
    <x v="62"/>
    <n v="0.33333333333333331"/>
    <x v="11"/>
    <m/>
    <n v="185"/>
    <n v="7"/>
    <n v="3"/>
    <m/>
    <n v="134"/>
    <n v="8"/>
    <s v="https://www.zg.ch/behoerden/gesundheitsdirektion/statistikfachstelle/themen/gesundheit/corona"/>
  </r>
  <r>
    <x v="62"/>
    <n v="0.39583333333333331"/>
    <x v="21"/>
    <m/>
    <n v="73"/>
    <n v="12"/>
    <n v="3"/>
    <m/>
    <m/>
    <n v="5"/>
    <s v="https://sh.ch/CMS/get/file/1142c079-5d62-4035-b9ea-04901bfcdfe9"/>
  </r>
  <r>
    <x v="62"/>
    <n v="0.41666666666666669"/>
    <x v="15"/>
    <m/>
    <n v="293"/>
    <m/>
    <m/>
    <m/>
    <n v="216"/>
    <n v="18"/>
    <s v="https://www.sz.ch/public/upload/assets/46502/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n v="0"/>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8096/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705.xlsx"/>
  </r>
  <r>
    <x v="63"/>
    <m/>
    <x v="0"/>
    <n v="24971"/>
    <n v="4901"/>
    <n v="277"/>
    <n v="23"/>
    <n v="21"/>
    <n v="617"/>
    <n v="245"/>
    <s v="https://www.ge.ch/document/20094/telecharger"/>
  </r>
  <r>
    <x v="63"/>
    <m/>
    <x v="26"/>
    <m/>
    <n v="809"/>
    <n v="27"/>
    <m/>
    <m/>
    <m/>
    <n v="45"/>
    <s v="https://www.gr.ch/DE/institutionen/verwaltung/djsg/ga/coronavirus/_layouts/15/GenericDataFeed/feed.aspx?PageID=26&amp;ID=g_1175d522_e609_4287_93af_d14c9efd5218&amp;FORMAT=JSONRAW"/>
  </r>
  <r>
    <x v="63"/>
    <m/>
    <x v="3"/>
    <m/>
    <n v="197"/>
    <n v="10"/>
    <n v="5"/>
    <m/>
    <m/>
    <n v="7"/>
    <s v="https://www.jura.ch/Htdocs/Files/v/34356.xlsx/Departements/CHA/SIC/Carrousel/Coronavirus/Cornavirus/Chiffres/donnees_06_05.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21"/>
    <n v="8"/>
    <m/>
    <m/>
    <n v="17"/>
    <s v="https://www.tg.ch/news/fachdossier-coronavirus.html/10552"/>
  </r>
  <r>
    <x v="63"/>
    <m/>
    <x v="8"/>
    <m/>
    <n v="5275"/>
    <n v="159"/>
    <n v="32"/>
    <m/>
    <m/>
    <n v="380"/>
    <s v="https://www.vd.ch/toutes-les-actualites/hotline-et-informations-sur-le-coronavirus/point-de-situation-statistique-dans-le-canton-de-vaud/"/>
  </r>
  <r>
    <x v="63"/>
    <m/>
    <x v="9"/>
    <m/>
    <n v="1864"/>
    <n v="62"/>
    <n v="13"/>
    <n v="8"/>
    <m/>
    <n v="135"/>
    <s v="https://www.vs.ch/de/web/coronavirus"/>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fileadmin/DSS/DSP/UMC/malattie_infettive/Coronavirus/dati/COVID19_Dati_TI_per_github.xlsx"/>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1142c079-5d62-4035-b9ea-04901bfcdfe9"/>
  </r>
  <r>
    <x v="63"/>
    <n v="0.40277777777777779"/>
    <x v="17"/>
    <m/>
    <n v="94"/>
    <n v="4"/>
    <n v="2"/>
    <m/>
    <m/>
    <n v="3"/>
    <s v="https://www.ar.ch/verwaltung/departement-gesundheit-und-soziales/amt-fuer-gesundheit/informationsseite-coronavirus/"/>
  </r>
  <r>
    <x v="63"/>
    <n v="0.41666666666666669"/>
    <x v="15"/>
    <m/>
    <n v="295"/>
    <m/>
    <m/>
    <m/>
    <n v="223"/>
    <n v="20"/>
    <s v="https://www.sz.ch/public/upload/assets/46502/COVID-19_Fallzahlen_Kanton_Schwyz.xlsx"/>
  </r>
  <r>
    <x v="63"/>
    <n v="0.45833333333333331"/>
    <x v="24"/>
    <m/>
    <n v="25"/>
    <m/>
    <m/>
    <m/>
    <m/>
    <n v="0"/>
    <s v="https://www.ai.ch/themen/gesundheit-alter-und-soziales/gesundheitsfoerderung-und-praevention/uebertragbare-krankheiten/coronavirus"/>
  </r>
  <r>
    <x v="63"/>
    <n v="0.5"/>
    <x v="22"/>
    <m/>
    <n v="85"/>
    <n v="5"/>
    <m/>
    <m/>
    <n v="71"/>
    <n v="5"/>
    <s v="https://www.ur.ch/themen/2962"/>
  </r>
  <r>
    <x v="63"/>
    <n v="0.5625"/>
    <x v="19"/>
    <m/>
    <n v="121"/>
    <n v="3"/>
    <m/>
    <m/>
    <m/>
    <n v="8"/>
    <s v="https://www.gl.ch/public/upload/assets/28096/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705.xlsx"/>
  </r>
  <r>
    <x v="64"/>
    <m/>
    <x v="0"/>
    <n v="25418"/>
    <n v="4916"/>
    <n v="254"/>
    <n v="21"/>
    <n v="19"/>
    <n v="634"/>
    <n v="246"/>
    <s v="https://www.ge.ch/document/20094/telecharger"/>
  </r>
  <r>
    <x v="64"/>
    <m/>
    <x v="26"/>
    <m/>
    <n v="811"/>
    <n v="23"/>
    <m/>
    <m/>
    <m/>
    <n v="45"/>
    <s v="https://www.gr.ch/DE/institutionen/verwaltung/djsg/ga/coronavirus/_layouts/15/GenericDataFeed/feed.aspx?PageID=26&amp;ID=g_1175d522_e609_4287_93af_d14c9efd5218&amp;FORMAT=JSONRAW"/>
  </r>
  <r>
    <x v="64"/>
    <m/>
    <x v="3"/>
    <m/>
    <n v="197"/>
    <n v="9"/>
    <n v="5"/>
    <m/>
    <m/>
    <n v="7"/>
    <s v="https://www.jura.ch/Htdocs/Files/v/34356.xlsx/Departements/CHA/SIC/Carrousel/Coronavirus/Cornavirus/Chiffres/donnees_06_05.xlsx?download=1"/>
  </r>
  <r>
    <x v="64"/>
    <m/>
    <x v="16"/>
    <m/>
    <n v="687"/>
    <n v="31"/>
    <n v="8"/>
    <m/>
    <m/>
    <n v="17"/>
    <s v="https://gesundheit.lu.ch/themen/Humanmedizin/Infektionskrankheiten/Coronavirus"/>
  </r>
  <r>
    <x v="64"/>
    <m/>
    <x v="13"/>
    <m/>
    <n v="680"/>
    <n v="26"/>
    <n v="4"/>
    <n v="4"/>
    <m/>
    <n v="74"/>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5"/>
    <n v="7"/>
    <m/>
    <m/>
    <n v="17"/>
    <s v="https://www.tg.ch/news/fachdossier-coronavirus.html/10552"/>
  </r>
  <r>
    <x v="64"/>
    <m/>
    <x v="8"/>
    <m/>
    <n v="5289"/>
    <n v="149"/>
    <n v="31"/>
    <m/>
    <m/>
    <n v="381"/>
    <s v="https://www.vd.ch/toutes-les-actualites/hotline-et-informations-sur-le-coronavirus/point-de-situation-statistique-dans-le-canton-de-vaud/"/>
  </r>
  <r>
    <x v="64"/>
    <m/>
    <x v="9"/>
    <m/>
    <n v="1876"/>
    <n v="61"/>
    <n v="11"/>
    <n v="8"/>
    <m/>
    <n v="136"/>
    <s v="https://www.vs.ch/de/web/coronavirus"/>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fileadmin/DSS/DSP/UMC/malattie_infettive/Coronavirus/dati/COVID19_Dati_TI_per_github.xlsx"/>
  </r>
  <r>
    <x v="64"/>
    <n v="0.33333333333333331"/>
    <x v="11"/>
    <m/>
    <n v="185"/>
    <n v="6"/>
    <n v="3"/>
    <m/>
    <n v="135"/>
    <n v="8"/>
    <s v="https://www.zg.ch/behoerden/gesundheitsdirektion/statistikfachstelle/themen/gesundheit/corona"/>
  </r>
  <r>
    <x v="64"/>
    <n v="0.39583333333333331"/>
    <x v="21"/>
    <m/>
    <n v="74"/>
    <n v="12"/>
    <n v="2"/>
    <m/>
    <m/>
    <n v="6"/>
    <s v="https://sh.ch/CMS/get/file/1142c079-5d62-4035-b9ea-04901bfcdfe9"/>
  </r>
  <r>
    <x v="64"/>
    <n v="0.41666666666666669"/>
    <x v="15"/>
    <m/>
    <n v="295"/>
    <m/>
    <m/>
    <m/>
    <n v="224"/>
    <n v="20"/>
    <s v="https://www.sz.ch/public/upload/assets/46502/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n v="0"/>
    <s v="https://www.ai.ch/themen/gesundheit-alter-und-soziales/gesundheitsfoerderung-und-praevention/uebertragbare-krankheiten/coronavirus"/>
  </r>
  <r>
    <x v="64"/>
    <n v="0.5625"/>
    <x v="19"/>
    <m/>
    <n v="122"/>
    <n v="3"/>
    <m/>
    <m/>
    <m/>
    <n v="9"/>
    <s v="https://www.gl.ch/public/upload/assets/28096/COVID-19_Fallzahlen_Kanton_Glarus.xlsx"/>
  </r>
  <r>
    <x v="64"/>
    <n v="0.58333333333333337"/>
    <x v="22"/>
    <m/>
    <n v="85"/>
    <n v="5"/>
    <m/>
    <m/>
    <n v="71"/>
    <n v="5"/>
    <s v="https://www.ur.ch/themen/2962"/>
  </r>
  <r>
    <x v="64"/>
    <n v="0.60416666666666663"/>
    <x v="4"/>
    <m/>
    <n v="3462"/>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705.xlsx"/>
  </r>
  <r>
    <x v="65"/>
    <m/>
    <x v="0"/>
    <n v="25631"/>
    <n v="4921"/>
    <n v="252"/>
    <n v="19"/>
    <n v="18"/>
    <n v="640"/>
    <n v="249"/>
    <s v="https://www.ge.ch/document/20094/telecharger"/>
  </r>
  <r>
    <x v="65"/>
    <m/>
    <x v="26"/>
    <m/>
    <n v="813"/>
    <n v="21"/>
    <m/>
    <m/>
    <m/>
    <n v="45"/>
    <s v="https://www.gr.ch/DE/institutionen/verwaltung/djsg/ga/coronavirus/_layouts/15/GenericDataFeed/feed.aspx?PageID=26&amp;ID=g_1175d522_e609_4287_93af_d14c9efd5218&amp;FORMAT=JSONRAW"/>
  </r>
  <r>
    <x v="65"/>
    <m/>
    <x v="3"/>
    <m/>
    <n v="198"/>
    <n v="8"/>
    <n v="5"/>
    <m/>
    <m/>
    <n v="7"/>
    <s v="https://www.jura.ch/Htdocs/Files/v/34356.xlsx/Departements/CHA/SIC/Carrousel/Coronavirus/Cornavirus/Chiffres/donnees_06_05.xlsx?download=1"/>
  </r>
  <r>
    <x v="65"/>
    <m/>
    <x v="16"/>
    <m/>
    <n v="694"/>
    <n v="31"/>
    <n v="8"/>
    <m/>
    <m/>
    <n v="17"/>
    <s v="https://gesundheit.lu.ch/themen/Humanmedizin/Infektionskrankheiten/Coronavirus"/>
  </r>
  <r>
    <x v="65"/>
    <m/>
    <x v="13"/>
    <m/>
    <n v="685"/>
    <n v="25"/>
    <n v="5"/>
    <n v="4"/>
    <m/>
    <n v="76"/>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4"/>
    <n v="6"/>
    <m/>
    <m/>
    <n v="17"/>
    <s v="https://www.tg.ch/news/fachdossier-coronavirus.html/10552"/>
  </r>
  <r>
    <x v="65"/>
    <m/>
    <x v="8"/>
    <m/>
    <n v="5301"/>
    <n v="141"/>
    <n v="27"/>
    <m/>
    <m/>
    <n v="383"/>
    <s v="https://www.vd.ch/toutes-les-actualites/hotline-et-informations-sur-le-coronavirus/point-de-situation-statistique-dans-le-canton-de-vaud/"/>
  </r>
  <r>
    <x v="65"/>
    <m/>
    <x v="9"/>
    <m/>
    <n v="1882"/>
    <n v="61"/>
    <n v="10"/>
    <n v="8"/>
    <m/>
    <n v="138"/>
    <s v="https://www.vs.ch/de/web/coronavirus"/>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fileadmin/DSS/DSP/UMC/malattie_infettive/Coronavirus/dati/COVID19_Dati_TI_per_github.xlsx"/>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1142c079-5d62-4035-b9ea-04901bfcdfe9"/>
  </r>
  <r>
    <x v="65"/>
    <n v="0.41666666666666669"/>
    <x v="15"/>
    <m/>
    <n v="302"/>
    <m/>
    <m/>
    <m/>
    <n v="239"/>
    <n v="20"/>
    <s v="https://www.sz.ch/public/upload/assets/46502/COVID-19_Fallzahlen_Kanton_Schwyz.xlsx"/>
  </r>
  <r>
    <x v="65"/>
    <n v="0.45833333333333331"/>
    <x v="24"/>
    <m/>
    <n v="25"/>
    <m/>
    <m/>
    <m/>
    <m/>
    <n v="0"/>
    <s v="https://www.ai.ch/themen/gesundheit-alter-und-soziales/gesundheitsfoerderung-und-praevention/uebertragbare-krankheiten/coronavirus"/>
  </r>
  <r>
    <x v="65"/>
    <n v="0.54166666666666663"/>
    <x v="19"/>
    <m/>
    <n v="122"/>
    <n v="2"/>
    <m/>
    <m/>
    <m/>
    <n v="10"/>
    <s v="https://www.gl.ch/public/upload/assets/28096/COVID-19_Fallzahlen_Kanton_Glarus.xlsx"/>
  </r>
  <r>
    <x v="65"/>
    <n v="0.5625"/>
    <x v="17"/>
    <m/>
    <n v="95"/>
    <n v="2"/>
    <n v="2"/>
    <m/>
    <m/>
    <n v="3"/>
    <s v="https://www.ar.ch/verwaltung/departement-gesundheit-und-soziales/amt-fuer-gesundheit/informationsseite-coronavirus/"/>
  </r>
  <r>
    <x v="65"/>
    <n v="0.60416666666666663"/>
    <x v="4"/>
    <m/>
    <n v="3473"/>
    <n v="61"/>
    <m/>
    <n v="15"/>
    <m/>
    <n v="123"/>
    <s v="https://gd.zh.ch/internet/gesundheitsdirektion/de/themen/coronavirus.html"/>
  </r>
  <r>
    <x v="65"/>
    <n v="0.61458333333333337"/>
    <x v="10"/>
    <m/>
    <n v="1108"/>
    <n v="33"/>
    <n v="9"/>
    <n v="8"/>
    <n v="870"/>
    <n v="33"/>
    <s v="https://www.ag.ch/media/kanton_aargau/themen_1/coronavirus_1/lagebulletins/200430_KFS_Coronavirus_Lagebulletin_44.pdf"/>
  </r>
  <r>
    <x v="65"/>
    <n v="0.66666666666666663"/>
    <x v="23"/>
    <m/>
    <n v="78"/>
    <n v="0"/>
    <m/>
    <m/>
    <m/>
    <n v="0"/>
    <s v="https://www.ow.ch/de/verwaltung/dienstleistungen/?dienst_id=5962"/>
  </r>
  <r>
    <x v="65"/>
    <n v="0.66666666666666663"/>
    <x v="22"/>
    <m/>
    <n v="86"/>
    <n v="4"/>
    <m/>
    <m/>
    <n v="71"/>
    <n v="5"/>
    <s v="https://www.ur.ch/themen/2962"/>
  </r>
  <r>
    <x v="66"/>
    <m/>
    <x v="7"/>
    <m/>
    <n v="825"/>
    <n v="8"/>
    <n v="1"/>
    <n v="1"/>
    <n v="758"/>
    <n v="32"/>
    <s v="https://www.baselland.ch/politik-und-behorden/direktionen/volkswirtschafts-und-gesundheitsdirektion/amt-fur-gesundheit/medizinische-dienste/kantonsarztlicher-dienst/aktuelles/covid-19-faelle-kanton-basel-landschaft"/>
  </r>
  <r>
    <x v="66"/>
    <m/>
    <x v="2"/>
    <m/>
    <n v="82"/>
    <m/>
    <m/>
    <m/>
    <m/>
    <m/>
    <s v="https://www.regierung.li/media/attachments/230-corona-immer-noch-82-0501.pdf?t=637239528964359340"/>
  </r>
  <r>
    <x v="66"/>
    <m/>
    <x v="12"/>
    <m/>
    <n v="1078"/>
    <n v="43"/>
    <n v="5"/>
    <m/>
    <n v="123"/>
    <n v="78"/>
    <s v="https://www.fr.ch/sites/default/files/2020-05/statistiques_situation_FR_0705.xlsx"/>
  </r>
  <r>
    <x v="66"/>
    <m/>
    <x v="0"/>
    <n v="26099"/>
    <n v="4938"/>
    <n v="242"/>
    <n v="18"/>
    <n v="17"/>
    <n v="658"/>
    <n v="251"/>
    <s v="https://www.ge.ch/document/20094/telecharger"/>
  </r>
  <r>
    <x v="66"/>
    <m/>
    <x v="26"/>
    <m/>
    <n v="814"/>
    <n v="21"/>
    <m/>
    <m/>
    <m/>
    <n v="45"/>
    <s v="https://www.gr.ch/DE/institutionen/verwaltung/djsg/ga/coronavirus/_layouts/15/GenericDataFeed/feed.aspx?PageID=26&amp;ID=g_1175d522_e609_4287_93af_d14c9efd5218&amp;FORMAT=JSONRAW"/>
  </r>
  <r>
    <x v="66"/>
    <m/>
    <x v="3"/>
    <m/>
    <n v="198"/>
    <n v="8"/>
    <n v="5"/>
    <m/>
    <m/>
    <n v="7"/>
    <s v="https://www.jura.ch/Htdocs/Files/v/34356.xlsx/Departements/CHA/SIC/Carrousel/Coronavirus/Cornavirus/Chiffres/donnees_06_05.xlsx?download=1"/>
  </r>
  <r>
    <x v="66"/>
    <m/>
    <x v="16"/>
    <m/>
    <n v="703"/>
    <n v="40"/>
    <n v="8"/>
    <m/>
    <m/>
    <n v="17"/>
    <s v="https://gesundheit.lu.ch/themen/Humanmedizin/Infektionskrankheiten/Coronavirus"/>
  </r>
  <r>
    <x v="66"/>
    <m/>
    <x v="13"/>
    <m/>
    <n v="687"/>
    <n v="26"/>
    <n v="2"/>
    <n v="2"/>
    <m/>
    <m/>
    <s v="https://www.ne.ch/autorites/DFS/SCSP/medecin-cantonal/maladies-vaccinations/Documents/Covid-19-Statistiques/COVID19_PublicationInternet.xlsx"/>
  </r>
  <r>
    <x v="66"/>
    <m/>
    <x v="20"/>
    <m/>
    <n v="113"/>
    <n v="1"/>
    <n v="0"/>
    <m/>
    <m/>
    <n v="3"/>
    <s v="http://www.nw.ch/coronastatistik"/>
  </r>
  <r>
    <x v="66"/>
    <m/>
    <x v="14"/>
    <m/>
    <n v="788"/>
    <n v="36"/>
    <n v="3"/>
    <m/>
    <n v="187"/>
    <n v="33"/>
    <s v="https://www.sg.ch/tools/informationen-coronavirus.html"/>
  </r>
  <r>
    <x v="66"/>
    <m/>
    <x v="25"/>
    <m/>
    <n v="367"/>
    <n v="14"/>
    <n v="6"/>
    <m/>
    <m/>
    <n v="17"/>
    <s v="https://www.tg.ch/news/fachdossier-coronavirus.html/10552"/>
  </r>
  <r>
    <x v="66"/>
    <m/>
    <x v="8"/>
    <m/>
    <n v="5315"/>
    <n v="132"/>
    <n v="26"/>
    <m/>
    <m/>
    <n v="385"/>
    <s v="https://www.vd.ch/toutes-les-actualites/hotline-et-informations-sur-le-coronavirus/point-de-situation-statistique-dans-le-canton-de-vaud/"/>
  </r>
  <r>
    <x v="66"/>
    <m/>
    <x v="9"/>
    <m/>
    <n v="1886"/>
    <n v="59"/>
    <n v="10"/>
    <n v="8"/>
    <m/>
    <n v="138"/>
    <s v="https://www.vs.ch/de/web/coronavirus"/>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42"/>
    <n v="25"/>
    <n v="20"/>
    <n v="764"/>
    <n v="322"/>
    <s v="https://www4.ti.ch/fileadmin/DSS/DSP/UMC/malattie_infettive/Coronavirus/dati/COVID19_Dati_TI_per_github.xlsx"/>
  </r>
  <r>
    <x v="66"/>
    <n v="0.33333333333333331"/>
    <x v="11"/>
    <m/>
    <n v="189"/>
    <n v="4"/>
    <n v="1"/>
    <m/>
    <n v="136"/>
    <n v="8"/>
    <s v="https://www.zg.ch/behoerden/gesundheitsdirektion/statistikfachstelle/themen/gesundheit/corona"/>
  </r>
  <r>
    <x v="66"/>
    <n v="0.39583333333333331"/>
    <x v="21"/>
    <m/>
    <n v="75"/>
    <n v="7"/>
    <n v="2"/>
    <m/>
    <m/>
    <n v="6"/>
    <s v="https://sh.ch/CMS/get/file/1142c079-5d62-4035-b9ea-04901bfcdfe9"/>
  </r>
  <r>
    <x v="66"/>
    <n v="0.41666666666666669"/>
    <x v="5"/>
    <m/>
    <n v="952"/>
    <m/>
    <m/>
    <m/>
    <n v="833"/>
    <n v="50"/>
    <s v="https://www.gd.bs.ch//nm/2020-tagesbulletin-coronavirus-958-bestaetigte-faelle-im-kanton-basel-stadt-gd.html"/>
  </r>
  <r>
    <x v="66"/>
    <n v="0.41666666666666669"/>
    <x v="15"/>
    <m/>
    <n v="303"/>
    <m/>
    <m/>
    <m/>
    <n v="242"/>
    <n v="21"/>
    <s v="https://www.sz.ch/public/upload/assets/46502/COVID-19_Fallzahlen_Kanton_Schwyz.xlsx"/>
  </r>
  <r>
    <x v="66"/>
    <n v="0.45833333333333331"/>
    <x v="24"/>
    <m/>
    <n v="25"/>
    <m/>
    <m/>
    <m/>
    <m/>
    <n v="0"/>
    <s v="https://www.ai.ch/themen/gesundheit-alter-und-soziales/gesundheitsfoerderung-und-praevention/uebertragbare-krankheiten/coronavirus"/>
  </r>
  <r>
    <x v="66"/>
    <n v="0.52083333333333337"/>
    <x v="17"/>
    <m/>
    <n v="96"/>
    <n v="6"/>
    <n v="2"/>
    <m/>
    <m/>
    <n v="3"/>
    <s v="https://www.ar.ch/verwaltung/departement-gesundheit-und-soziales/amt-fuer-gesundheit/informationsseite-coronavirus/"/>
  </r>
  <r>
    <x v="66"/>
    <n v="0.54166666666666663"/>
    <x v="19"/>
    <m/>
    <n v="122"/>
    <n v="2"/>
    <m/>
    <m/>
    <m/>
    <n v="11"/>
    <s v="https://www.gl.ch/public/upload/assets/28096/COVID-19_Fallzahlen_Kanton_Glarus.xlsx"/>
  </r>
  <r>
    <x v="66"/>
    <n v="0.60416666666666663"/>
    <x v="4"/>
    <m/>
    <n v="3486"/>
    <n v="43"/>
    <m/>
    <n v="14"/>
    <m/>
    <n v="123"/>
    <s v="https://gd.zh.ch/internet/gesundheitsdirektion/de/themen/coronavirus.html"/>
  </r>
  <r>
    <x v="66"/>
    <n v="0.61458333333333337"/>
    <x v="10"/>
    <m/>
    <n v="1112"/>
    <n v="34"/>
    <n v="11"/>
    <n v="8"/>
    <n v="890"/>
    <n v="34"/>
    <s v="https://www.ag.ch/media/kanton_aargau/themen_1/coronavirus_1/lagebulletins/200501_KFS_Coronavirus_Lagebulletin_45.pdf"/>
  </r>
  <r>
    <x v="66"/>
    <n v="0.625"/>
    <x v="23"/>
    <m/>
    <n v="78"/>
    <n v="0"/>
    <m/>
    <m/>
    <m/>
    <n v="0"/>
    <s v="https://www.ow.ch/de/verwaltung/dienstleistungen/?dienst_id=5962"/>
  </r>
  <r>
    <x v="66"/>
    <n v="0.64583333333333337"/>
    <x v="22"/>
    <m/>
    <n v="87"/>
    <n v="3"/>
    <m/>
    <m/>
    <n v="72"/>
    <n v="6"/>
    <s v="https://www.ur.ch/themen/2962"/>
  </r>
  <r>
    <x v="67"/>
    <m/>
    <x v="10"/>
    <m/>
    <n v="1124"/>
    <m/>
    <m/>
    <m/>
    <m/>
    <m/>
    <s v="https://www.ag.ch/media/kanton_aargau/themen_1/coronavirus_1/lagebulletins/200504_KFS_Coronavirus_Lagebulletin_46.pdf"/>
  </r>
  <r>
    <x v="67"/>
    <m/>
    <x v="7"/>
    <m/>
    <n v="828"/>
    <n v="8"/>
    <n v="2"/>
    <n v="2"/>
    <n v="762"/>
    <n v="32"/>
    <s v="https://www.baselland.ch/politik-und-behorden/direktionen/volkswirtschafts-und-gesundheitsdirektion/amt-fur-gesundheit/medizinische-dienste/kantonsarztlicher-dienst/aktuelles/covid-19-faelle-kanton-basel-landschaft"/>
  </r>
  <r>
    <x v="67"/>
    <m/>
    <x v="2"/>
    <m/>
    <n v="82"/>
    <m/>
    <m/>
    <m/>
    <m/>
    <m/>
    <s v="https://www.regierung.li/media/attachments/231-corona-samstag-keine-neuen-faelle-0502.pdf?t=637240398540917983"/>
  </r>
  <r>
    <x v="67"/>
    <m/>
    <x v="12"/>
    <m/>
    <n v="1092"/>
    <n v="38"/>
    <n v="4"/>
    <m/>
    <n v="129"/>
    <n v="79"/>
    <s v="https://www.fr.ch/sites/default/files/2020-05/statistiques_situation_FR_0705.xlsx"/>
  </r>
  <r>
    <x v="67"/>
    <m/>
    <x v="0"/>
    <n v="26384"/>
    <n v="4943"/>
    <n v="235"/>
    <n v="17"/>
    <n v="17"/>
    <n v="660"/>
    <n v="253"/>
    <s v="https://www.ge.ch/document/20094/telecharger"/>
  </r>
  <r>
    <x v="67"/>
    <m/>
    <x v="26"/>
    <m/>
    <n v="816"/>
    <n v="19"/>
    <m/>
    <m/>
    <m/>
    <n v="45"/>
    <s v="https://www.gr.ch/DE/institutionen/verwaltung/djsg/ga/coronavirus/_layouts/15/GenericDataFeed/feed.aspx?PageID=26&amp;ID=g_1175d522_e609_4287_93af_d14c9efd5218&amp;FORMAT=JSONRAW"/>
  </r>
  <r>
    <x v="67"/>
    <m/>
    <x v="3"/>
    <m/>
    <n v="198"/>
    <n v="8"/>
    <n v="5"/>
    <m/>
    <m/>
    <n v="7"/>
    <s v="https://www.jura.ch/Htdocs/Files/v/34356.xlsx/Departements/CHA/SIC/Carrousel/Coronavirus/Cornavirus/Chiffres/donnees_06_05.xlsx?download=1"/>
  </r>
  <r>
    <x v="67"/>
    <m/>
    <x v="16"/>
    <m/>
    <n v="704"/>
    <n v="40"/>
    <n v="8"/>
    <m/>
    <m/>
    <n v="17"/>
    <s v="https://gesundheit.lu.ch/themen/Humanmedizin/Infektionskrankheiten/Coronavirus"/>
  </r>
  <r>
    <x v="67"/>
    <m/>
    <x v="13"/>
    <m/>
    <n v="687"/>
    <n v="26"/>
    <n v="2"/>
    <n v="2"/>
    <m/>
    <m/>
    <s v="https://www.ne.ch/autorites/DFS/SCSP/medecin-cantonal/maladies-vaccinations/Documents/Covid-19-Statistiques/COVID19_PublicationInternet.xlsx"/>
  </r>
  <r>
    <x v="67"/>
    <m/>
    <x v="20"/>
    <m/>
    <n v="113"/>
    <n v="1"/>
    <n v="0"/>
    <m/>
    <m/>
    <n v="3"/>
    <s v="http://www.nw.ch/coronastatistik"/>
  </r>
  <r>
    <x v="67"/>
    <m/>
    <x v="25"/>
    <m/>
    <n v="368"/>
    <n v="14"/>
    <n v="5"/>
    <m/>
    <m/>
    <n v="17"/>
    <s v="https://www.tg.ch/news/fachdossier-coronavirus.html/10552"/>
  </r>
  <r>
    <x v="67"/>
    <m/>
    <x v="8"/>
    <m/>
    <n v="5324"/>
    <n v="113"/>
    <n v="24"/>
    <m/>
    <m/>
    <n v="387"/>
    <s v="https://www.vd.ch/toutes-les-actualites/hotline-et-informations-sur-le-coronavirus/point-de-situation-statistique-dans-le-canton-de-vaud/"/>
  </r>
  <r>
    <x v="67"/>
    <m/>
    <x v="9"/>
    <m/>
    <n v="1888"/>
    <n v="59"/>
    <n v="10"/>
    <n v="8"/>
    <m/>
    <n v="140"/>
    <s v="https://www.vs.ch/de/web/coronavirus"/>
  </r>
  <r>
    <x v="67"/>
    <n v="0"/>
    <x v="18"/>
    <m/>
    <n v="392"/>
    <n v="11"/>
    <m/>
    <m/>
    <m/>
    <n v="15"/>
    <s v="https://corona.so.ch/index.php?id=27979"/>
  </r>
  <r>
    <x v="67"/>
    <n v="6.9444444444444447E-4"/>
    <x v="15"/>
    <m/>
    <n v="304"/>
    <m/>
    <m/>
    <m/>
    <n v="246"/>
    <n v="21"/>
    <s v="https://www.sz.ch/public/upload/assets/46502/COVID-19_Fallzahlen_Kanton_Schwyz.xlsx"/>
  </r>
  <r>
    <x v="67"/>
    <n v="0.33333333333333331"/>
    <x v="6"/>
    <m/>
    <n v="1779"/>
    <n v="44"/>
    <n v="9"/>
    <n v="6"/>
    <m/>
    <n v="90"/>
    <s v="https://www.besondere-lage.sites.be.ch/besondere-lage_sites/de/index/corona/index.html"/>
  </r>
  <r>
    <x v="67"/>
    <n v="0.33333333333333331"/>
    <x v="1"/>
    <m/>
    <n v="3225"/>
    <n v="134"/>
    <n v="23"/>
    <n v="16"/>
    <n v="774"/>
    <n v="323"/>
    <s v="https://www4.ti.ch/fileadmin/DSS/DSP/UMC/malattie_infettive/Coronavirus/dati/COVID19_Dati_TI_per_github.xlsx"/>
  </r>
  <r>
    <x v="67"/>
    <n v="0.33333333333333331"/>
    <x v="11"/>
    <m/>
    <n v="189"/>
    <n v="3"/>
    <n v="1"/>
    <m/>
    <n v="136"/>
    <n v="8"/>
    <s v="https://www.zg.ch/behoerden/gesundheitsdirektion/statistikfachstelle/themen/gesundheit/corona"/>
  </r>
  <r>
    <x v="67"/>
    <n v="0.39583333333333331"/>
    <x v="21"/>
    <m/>
    <n v="75"/>
    <n v="7"/>
    <n v="2"/>
    <m/>
    <m/>
    <n v="6"/>
    <s v="https://sh.ch/CMS/get/file/1142c079-5d62-4035-b9ea-04901bfcdfe9"/>
  </r>
  <r>
    <x v="67"/>
    <n v="0.41666666666666669"/>
    <x v="5"/>
    <m/>
    <n v="955"/>
    <m/>
    <m/>
    <m/>
    <n v="835"/>
    <n v="50"/>
    <s v="https://www.gd.bs.ch//nm/2020-tagesbulletin-coronavirus-958-bestaetigte-faelle-im-kanton-basel-stadt-gd.html"/>
  </r>
  <r>
    <x v="67"/>
    <n v="0.52083333333333337"/>
    <x v="17"/>
    <m/>
    <n v="96"/>
    <n v="3"/>
    <n v="2"/>
    <m/>
    <m/>
    <n v="3"/>
    <s v="https://www.ar.ch/verwaltung/departement-gesundheit-und-soziales/amt-fuer-gesundheit/informationsseite-coronavirus/"/>
  </r>
  <r>
    <x v="67"/>
    <n v="0.54166666666666663"/>
    <x v="19"/>
    <m/>
    <n v="122"/>
    <n v="2"/>
    <m/>
    <m/>
    <m/>
    <n v="11"/>
    <s v="https://www.gl.ch/public/upload/assets/28096/COVID-19_Fallzahlen_Kanton_Glarus.xlsx"/>
  </r>
  <r>
    <x v="67"/>
    <n v="0.60416666666666663"/>
    <x v="4"/>
    <m/>
    <n v="3489"/>
    <n v="41"/>
    <m/>
    <n v="13"/>
    <m/>
    <n v="123"/>
    <s v="https://gd.zh.ch/internet/gesundheitsdirektion/de/themen/coronavirus.html"/>
  </r>
  <r>
    <x v="67"/>
    <n v="0.625"/>
    <x v="22"/>
    <m/>
    <n v="89"/>
    <n v="0"/>
    <m/>
    <m/>
    <n v="72"/>
    <n v="6"/>
    <s v="https://www.ur.ch/themen/2962"/>
  </r>
  <r>
    <x v="68"/>
    <m/>
    <x v="10"/>
    <m/>
    <n v="1129"/>
    <m/>
    <m/>
    <m/>
    <m/>
    <m/>
    <s v="https://www.ag.ch/media/kanton_aargau/themen_1/coronavirus_1/lagebulletins/200504_KFS_Coronavirus_Lagebulletin_46.pdf"/>
  </r>
  <r>
    <x v="68"/>
    <m/>
    <x v="7"/>
    <m/>
    <n v="828"/>
    <n v="10"/>
    <n v="1"/>
    <n v="1"/>
    <n v="767"/>
    <n v="32"/>
    <s v="https://www.baselland.ch/politik-und-behorden/direktionen/volkswirtschafts-und-gesundheitsdirektion/amt-fur-gesundheit/medizinische-dienste/kantonsarztlicher-dienst/aktuelles/covid-19-faelle-kanton-basel-landschaft"/>
  </r>
  <r>
    <x v="68"/>
    <m/>
    <x v="2"/>
    <m/>
    <n v="82"/>
    <m/>
    <m/>
    <m/>
    <m/>
    <m/>
    <s v="https://www.regierung.li/de/mitteilungen/223445/?typ=news"/>
  </r>
  <r>
    <x v="68"/>
    <m/>
    <x v="12"/>
    <m/>
    <n v="1097"/>
    <n v="35"/>
    <n v="4"/>
    <m/>
    <n v="130"/>
    <n v="79"/>
    <s v="https://www.fr.ch/sites/default/files/2020-05/statistiques_situation_FR_0705.xlsx"/>
  </r>
  <r>
    <x v="68"/>
    <m/>
    <x v="0"/>
    <n v="26551"/>
    <n v="4947"/>
    <n v="238"/>
    <n v="17"/>
    <n v="16"/>
    <n v="660"/>
    <n v="254"/>
    <s v="https://www.ge.ch/document/20094/telecharger"/>
  </r>
  <r>
    <x v="68"/>
    <m/>
    <x v="26"/>
    <m/>
    <n v="816"/>
    <n v="18"/>
    <m/>
    <m/>
    <m/>
    <n v="45"/>
    <s v="https://www.gr.ch/DE/institutionen/verwaltung/djsg/ga/coronavirus/_layouts/15/GenericDataFeed/feed.aspx?PageID=26&amp;ID=g_1175d522_e609_4287_93af_d14c9efd5218&amp;FORMAT=JSONRAW"/>
  </r>
  <r>
    <x v="68"/>
    <m/>
    <x v="3"/>
    <m/>
    <n v="198"/>
    <n v="8"/>
    <n v="5"/>
    <m/>
    <m/>
    <n v="7"/>
    <s v="https://www.jura.ch/Htdocs/Files/v/34356.xlsx/Departements/CHA/SIC/Carrousel/Coronavirus/Cornavirus/Chiffres/donnees_06_05.xlsx?download=1"/>
  </r>
  <r>
    <x v="68"/>
    <m/>
    <x v="16"/>
    <m/>
    <n v="705"/>
    <n v="40"/>
    <n v="7"/>
    <m/>
    <m/>
    <n v="18"/>
    <s v="https://gesundheit.lu.ch/themen/Humanmedizin/Infektionskrankheiten/Coronavirus"/>
  </r>
  <r>
    <x v="68"/>
    <m/>
    <x v="13"/>
    <m/>
    <n v="688"/>
    <n v="26"/>
    <n v="2"/>
    <n v="2"/>
    <m/>
    <m/>
    <s v="https://www.ne.ch/autorites/DFS/SCSP/medecin-cantonal/maladies-vaccinations/Documents/Covid-19-Statistiques/COVID19_PublicationInternet.xlsx"/>
  </r>
  <r>
    <x v="68"/>
    <m/>
    <x v="20"/>
    <m/>
    <n v="113"/>
    <n v="1"/>
    <n v="0"/>
    <m/>
    <m/>
    <n v="3"/>
    <s v="http://www.nw.ch/coronastatistik"/>
  </r>
  <r>
    <x v="68"/>
    <m/>
    <x v="25"/>
    <m/>
    <n v="368"/>
    <n v="14"/>
    <n v="5"/>
    <m/>
    <m/>
    <n v="17"/>
    <s v="https://www.tg.ch/news/fachdossier-coronavirus.html/10552"/>
  </r>
  <r>
    <x v="68"/>
    <m/>
    <x v="8"/>
    <m/>
    <n v="5328"/>
    <n v="114"/>
    <n v="23"/>
    <m/>
    <m/>
    <n v="388"/>
    <s v="https://www.vd.ch/toutes-les-actualites/hotline-et-informations-sur-le-coronavirus/point-de-situation-statistique-dans-le-canton-de-vaud/"/>
  </r>
  <r>
    <x v="68"/>
    <m/>
    <x v="9"/>
    <m/>
    <n v="1890"/>
    <n v="59"/>
    <n v="10"/>
    <n v="8"/>
    <m/>
    <n v="142"/>
    <s v="https://www.vs.ch/de/web/coronavirus"/>
  </r>
  <r>
    <x v="68"/>
    <n v="0"/>
    <x v="18"/>
    <m/>
    <n v="398"/>
    <n v="11"/>
    <m/>
    <m/>
    <m/>
    <n v="15"/>
    <s v="https://corona.so.ch/index.php?id=27979"/>
  </r>
  <r>
    <x v="68"/>
    <n v="6.9444444444444447E-4"/>
    <x v="15"/>
    <m/>
    <n v="304"/>
    <m/>
    <m/>
    <m/>
    <n v="248"/>
    <n v="21"/>
    <s v="https://www.sz.ch/public/upload/assets/46502/COVID-19_Fallzahlen_Kanton_Schwyz.xlsx"/>
  </r>
  <r>
    <x v="68"/>
    <n v="0.33333333333333331"/>
    <x v="6"/>
    <m/>
    <n v="1791"/>
    <n v="41"/>
    <n v="10"/>
    <n v="7"/>
    <m/>
    <n v="90"/>
    <s v="https://www.besondere-lage.sites.be.ch/besondere-lage_sites/de/index/corona/index.html"/>
  </r>
  <r>
    <x v="68"/>
    <n v="0.33333333333333331"/>
    <x v="1"/>
    <m/>
    <n v="3235"/>
    <n v="132"/>
    <n v="23"/>
    <n v="16"/>
    <n v="779"/>
    <n v="324"/>
    <s v="https://www4.ti.ch/fileadmin/DSS/DSP/UMC/malattie_infettive/Coronavirus/dati/COVID19_Dati_TI_per_github.xlsx"/>
  </r>
  <r>
    <x v="68"/>
    <n v="0.33333333333333331"/>
    <x v="11"/>
    <m/>
    <n v="189"/>
    <n v="3"/>
    <n v="1"/>
    <m/>
    <n v="137"/>
    <n v="8"/>
    <s v="https://www.zg.ch/behoerden/gesundheitsdirektion/statistikfachstelle/themen/gesundheit/corona"/>
  </r>
  <r>
    <x v="68"/>
    <n v="0.39583333333333331"/>
    <x v="21"/>
    <m/>
    <n v="75"/>
    <n v="6"/>
    <n v="2"/>
    <m/>
    <m/>
    <n v="6"/>
    <s v="https://sh.ch/CMS/get/file/1142c079-5d62-4035-b9ea-04901bfcdfe9"/>
  </r>
  <r>
    <x v="68"/>
    <n v="0.41666666666666669"/>
    <x v="5"/>
    <m/>
    <n v="956"/>
    <m/>
    <m/>
    <m/>
    <n v="839"/>
    <n v="50"/>
    <s v="https://www.gd.bs.ch//nm/2020-tagesbulletin-coronavirus-958-bestaetigte-faelle-im-kanton-basel-stadt-gd.html"/>
  </r>
  <r>
    <x v="68"/>
    <n v="0.54166666666666663"/>
    <x v="19"/>
    <m/>
    <n v="122"/>
    <n v="2"/>
    <m/>
    <m/>
    <m/>
    <n v="11"/>
    <s v="https://www.gl.ch/public/upload/assets/28096/COVID-19_Fallzahlen_Kanton_Glarus.xlsx"/>
  </r>
  <r>
    <x v="68"/>
    <n v="0.54166666666666663"/>
    <x v="22"/>
    <m/>
    <n v="90"/>
    <n v="0"/>
    <m/>
    <m/>
    <n v="72"/>
    <n v="6"/>
    <s v="https://www.ur.ch/themen/2962"/>
  </r>
  <r>
    <x v="68"/>
    <n v="0.5625"/>
    <x v="17"/>
    <m/>
    <n v="97"/>
    <n v="3"/>
    <n v="2"/>
    <m/>
    <m/>
    <n v="3"/>
    <s v="https://www.ar.ch/verwaltung/departement-gesundheit-und-soziales/amt-fuer-gesundheit/informationsseite-coronavirus/"/>
  </r>
  <r>
    <x v="68"/>
    <n v="0.60416666666666663"/>
    <x v="4"/>
    <m/>
    <n v="3493"/>
    <n v="42"/>
    <m/>
    <n v="12"/>
    <m/>
    <n v="123"/>
    <s v="https://gd.zh.ch/internet/gesundheitsdirektion/de/themen/coronavirus.html"/>
  </r>
  <r>
    <x v="69"/>
    <m/>
    <x v="7"/>
    <m/>
    <n v="828"/>
    <n v="9"/>
    <n v="1"/>
    <n v="1"/>
    <n v="769"/>
    <n v="32"/>
    <s v="https://www.baselland.ch/politik-und-behorden/direktionen/volkswirtschafts-und-gesundheitsdirektion/amt-fur-gesundheit/medizinische-dienste/kantonsarztlicher-dienst/aktuelles/covid-19-faelle-kanton-basel-landschaft"/>
  </r>
  <r>
    <x v="69"/>
    <m/>
    <x v="2"/>
    <m/>
    <n v="82"/>
    <m/>
    <m/>
    <m/>
    <m/>
    <m/>
    <s v="https://www.regierung.li/media/attachments/238-corona-oeffnung-von-bildungseinrichtungen-0505.pdf?t=637243077631918468"/>
  </r>
  <r>
    <x v="69"/>
    <m/>
    <x v="12"/>
    <m/>
    <n v="1102"/>
    <n v="36"/>
    <n v="4"/>
    <m/>
    <n v="130"/>
    <n v="79"/>
    <s v="https://www.fr.ch/sites/default/files/2020-05/statistiques_situation_FR_0705.xlsx"/>
  </r>
  <r>
    <x v="69"/>
    <m/>
    <x v="0"/>
    <n v="26873"/>
    <n v="4951"/>
    <n v="236"/>
    <n v="17"/>
    <n v="16"/>
    <n v="661"/>
    <n v="254"/>
    <s v="https://www.ge.ch/document/20094/telecharger"/>
  </r>
  <r>
    <x v="69"/>
    <m/>
    <x v="26"/>
    <m/>
    <n v="816"/>
    <n v="16"/>
    <m/>
    <m/>
    <m/>
    <n v="45"/>
    <s v="https://www.gr.ch/DE/institutionen/verwaltung/djsg/ga/coronavirus/_layouts/15/GenericDataFeed/feed.aspx?PageID=26&amp;ID=g_1175d522_e609_4287_93af_d14c9efd5218&amp;FORMAT=JSONRAW"/>
  </r>
  <r>
    <x v="69"/>
    <m/>
    <x v="3"/>
    <m/>
    <n v="198"/>
    <n v="8"/>
    <n v="5"/>
    <m/>
    <m/>
    <n v="7"/>
    <s v="https://www.jura.ch/Htdocs/Files/v/34356.xlsx/Departements/CHA/SIC/Carrousel/Coronavirus/Cornavirus/Chiffres/donnees_06_05.xlsx?download=1"/>
  </r>
  <r>
    <x v="69"/>
    <m/>
    <x v="16"/>
    <m/>
    <n v="705"/>
    <n v="34"/>
    <n v="6"/>
    <m/>
    <m/>
    <n v="18"/>
    <s v="https://gesundheit.lu.ch/themen/Humanmedizin/Infektionskrankheiten/Coronavirus"/>
  </r>
  <r>
    <x v="69"/>
    <m/>
    <x v="13"/>
    <m/>
    <n v="689"/>
    <n v="25"/>
    <n v="3"/>
    <n v="3"/>
    <m/>
    <m/>
    <s v="https://www.ne.ch/autorites/DFS/SCSP/medecin-cantonal/maladies-vaccinations/Documents/Covid-19-Statistiques/COVID19_PublicationInternet.xlsx"/>
  </r>
  <r>
    <x v="69"/>
    <m/>
    <x v="20"/>
    <m/>
    <n v="113"/>
    <n v="1"/>
    <n v="0"/>
    <m/>
    <m/>
    <n v="3"/>
    <s v="http://www.nw.ch/coronastatistik"/>
  </r>
  <r>
    <x v="69"/>
    <m/>
    <x v="14"/>
    <m/>
    <n v="793"/>
    <n v="29"/>
    <n v="2"/>
    <m/>
    <n v="189"/>
    <n v="33"/>
    <s v="https://www.sg.ch/tools/informationen-coronavirus.html"/>
  </r>
  <r>
    <x v="69"/>
    <m/>
    <x v="25"/>
    <m/>
    <n v="372"/>
    <n v="14"/>
    <n v="5"/>
    <m/>
    <m/>
    <n v="17"/>
    <s v="https://www.tg.ch/news/fachdossier-coronavirus.html/10552"/>
  </r>
  <r>
    <x v="69"/>
    <m/>
    <x v="8"/>
    <m/>
    <n v="5334"/>
    <n v="114"/>
    <n v="23"/>
    <m/>
    <m/>
    <n v="388"/>
    <s v="https://www.vd.ch/toutes-les-actualites/hotline-et-informations-sur-le-coronavirus/point-de-situation-statistique-dans-le-canton-de-vaud/"/>
  </r>
  <r>
    <x v="69"/>
    <m/>
    <x v="9"/>
    <m/>
    <n v="1897"/>
    <n v="54"/>
    <n v="10"/>
    <n v="7"/>
    <m/>
    <n v="142"/>
    <s v="https://www.vs.ch/de/web/coronavirus"/>
  </r>
  <r>
    <x v="69"/>
    <n v="0"/>
    <x v="18"/>
    <m/>
    <n v="400"/>
    <n v="11"/>
    <m/>
    <m/>
    <m/>
    <n v="15"/>
    <s v="https://corona.so.ch/index.php?id=27979"/>
  </r>
  <r>
    <x v="69"/>
    <n v="0.33333333333333331"/>
    <x v="24"/>
    <m/>
    <n v="25"/>
    <m/>
    <m/>
    <m/>
    <m/>
    <n v="0"/>
    <s v="https://www.ai.ch/themen/gesundheit-alter-und-soziales/gesundheitsfoerderung-und-praevention/uebertragbare-krankheiten/coronavirus"/>
  </r>
  <r>
    <x v="69"/>
    <n v="0.33333333333333331"/>
    <x v="17"/>
    <m/>
    <n v="97"/>
    <n v="6"/>
    <n v="2"/>
    <m/>
    <m/>
    <n v="3"/>
    <s v="https://www.ar.ch/verwaltung/departement-gesundheit-und-soziales/amt-fuer-gesundheit/informationsseite-coronavirus/"/>
  </r>
  <r>
    <x v="69"/>
    <n v="0.33333333333333331"/>
    <x v="6"/>
    <m/>
    <n v="1796"/>
    <n v="35"/>
    <n v="8"/>
    <n v="7"/>
    <m/>
    <n v="90"/>
    <s v="https://www.besondere-lage.sites.be.ch/besondere-lage_sites/de/index/corona/index.html"/>
  </r>
  <r>
    <x v="69"/>
    <n v="0.33333333333333331"/>
    <x v="1"/>
    <m/>
    <n v="3238"/>
    <n v="129"/>
    <n v="22"/>
    <n v="15"/>
    <n v="782"/>
    <n v="326"/>
    <s v="https://www4.ti.ch/fileadmin/DSS/DSP/UMC/malattie_infettive/Coronavirus/dati/COVID19_Dati_TI_per_github.xlsx"/>
  </r>
  <r>
    <x v="69"/>
    <n v="0.33333333333333331"/>
    <x v="11"/>
    <m/>
    <n v="190"/>
    <n v="3"/>
    <n v="1"/>
    <m/>
    <n v="138"/>
    <n v="8"/>
    <s v="https://www.zg.ch/behoerden/gesundheitsdirektion/statistikfachstelle/themen/gesundheit/corona"/>
  </r>
  <r>
    <x v="69"/>
    <n v="0.39583333333333331"/>
    <x v="21"/>
    <m/>
    <n v="75"/>
    <n v="4"/>
    <n v="2"/>
    <m/>
    <m/>
    <n v="6"/>
    <s v="https://sh.ch/CMS/get/file/1142c079-5d62-4035-b9ea-04901bfcdfe9"/>
  </r>
  <r>
    <x v="69"/>
    <n v="0.41666666666666669"/>
    <x v="5"/>
    <m/>
    <n v="958"/>
    <m/>
    <m/>
    <m/>
    <n v="840"/>
    <n v="50"/>
    <s v="https://www.gd.bs.ch//nm/2020-tagesbulletin-coronavirus-958-bestaetigte-faelle-im-kanton-basel-stadt-gd.html"/>
  </r>
  <r>
    <x v="69"/>
    <n v="0.41666666666666669"/>
    <x v="15"/>
    <m/>
    <n v="305"/>
    <m/>
    <m/>
    <m/>
    <n v="248"/>
    <n v="21"/>
    <s v="https://www.sz.ch/public/upload/assets/46502/COVID-19_Fallzahlen_Kanton_Schwyz.xlsx"/>
  </r>
  <r>
    <x v="69"/>
    <n v="0.54166666666666663"/>
    <x v="19"/>
    <m/>
    <n v="122"/>
    <n v="2"/>
    <m/>
    <m/>
    <m/>
    <n v="12"/>
    <s v="https://www.gl.ch/public/upload/assets/28096/COVID-19_Fallzahlen_Kanton_Glarus.xlsx"/>
  </r>
  <r>
    <x v="69"/>
    <n v="0.58333333333333337"/>
    <x v="22"/>
    <m/>
    <n v="91"/>
    <n v="2"/>
    <m/>
    <m/>
    <n v="72"/>
    <n v="6"/>
    <s v="https://www.ur.ch/themen/2962"/>
  </r>
  <r>
    <x v="69"/>
    <n v="0.60416666666666663"/>
    <x v="4"/>
    <m/>
    <n v="3495"/>
    <n v="43"/>
    <m/>
    <n v="11"/>
    <m/>
    <n v="123"/>
    <s v="https://gd.zh.ch/internet/gesundheitsdirektion/de/themen/coronavirus.html"/>
  </r>
  <r>
    <x v="69"/>
    <n v="0.61458333333333337"/>
    <x v="10"/>
    <m/>
    <n v="1133"/>
    <n v="38"/>
    <n v="5"/>
    <n v="4"/>
    <n v="940"/>
    <n v="36"/>
    <s v="https://www.ag.ch/media/kanton_aargau/themen_1/coronavirus_1/lagebulletins/200504_KFS_Coronavirus_Lagebulletin_46.pdf"/>
  </r>
  <r>
    <x v="69"/>
    <n v="0.625"/>
    <x v="23"/>
    <m/>
    <n v="79"/>
    <n v="0"/>
    <m/>
    <m/>
    <m/>
    <n v="0"/>
    <s v="https://www.ow.ch/de/verwaltung/dienstleistungen/?dienst_id=5962"/>
  </r>
  <r>
    <x v="70"/>
    <m/>
    <x v="7"/>
    <m/>
    <n v="829"/>
    <n v="8"/>
    <n v="1"/>
    <n v="1"/>
    <n v="773"/>
    <n v="32"/>
    <s v="https://www.baselland.ch/politik-und-behorden/direktionen/volkswirtschafts-und-gesundheitsdirektion/amt-fur-gesundheit/medizinische-dienste/kantonsarztlicher-dienst/aktuelles/covid-19-faelle-kanton-basel-landschaft"/>
  </r>
  <r>
    <x v="70"/>
    <m/>
    <x v="2"/>
    <m/>
    <n v="82"/>
    <m/>
    <m/>
    <m/>
    <m/>
    <m/>
    <s v="https://www.regierung.li/media/attachments/246-corona-keine-neuen-faelle-0506.pdf?t=637243865310890323"/>
  </r>
  <r>
    <x v="70"/>
    <m/>
    <x v="12"/>
    <m/>
    <n v="1104"/>
    <n v="35"/>
    <n v="3"/>
    <m/>
    <n v="131"/>
    <n v="80"/>
    <s v="https://www.fr.ch/sites/default/files/2020-05/statistiques_situation_FR_0705.xlsx"/>
  </r>
  <r>
    <x v="70"/>
    <m/>
    <x v="0"/>
    <n v="27239"/>
    <n v="4958"/>
    <n v="234"/>
    <n v="17"/>
    <n v="16"/>
    <n v="664"/>
    <n v="254"/>
    <s v="https://www.ge.ch/document/20094/telecharger"/>
  </r>
  <r>
    <x v="70"/>
    <m/>
    <x v="26"/>
    <m/>
    <n v="816"/>
    <n v="18"/>
    <m/>
    <m/>
    <m/>
    <n v="45"/>
    <s v="https://www.gr.ch/DE/institutionen/verwaltung/djsg/ga/coronavirus/_layouts/15/GenericDataFeed/feed.aspx?PageID=26&amp;ID=g_1175d522_e609_4287_93af_d14c9efd5218&amp;FORMAT=JSONRAW"/>
  </r>
  <r>
    <x v="70"/>
    <m/>
    <x v="3"/>
    <m/>
    <n v="201"/>
    <n v="8"/>
    <n v="5"/>
    <m/>
    <m/>
    <n v="7"/>
    <s v="https://www.jura.ch/Htdocs/Files/v/34356.xlsx/Departements/CHA/SIC/Carrousel/Coronavirus/Cornavirus/Chiffres/donnees_06_05.xlsx?download=1"/>
  </r>
  <r>
    <x v="70"/>
    <m/>
    <x v="16"/>
    <m/>
    <n v="706"/>
    <n v="37"/>
    <n v="6"/>
    <m/>
    <m/>
    <n v="18"/>
    <s v="https://gesundheit.lu.ch/themen/Humanmedizin/Infektionskrankheiten/Coronavirus"/>
  </r>
  <r>
    <x v="70"/>
    <m/>
    <x v="13"/>
    <m/>
    <m/>
    <n v="21"/>
    <n v="3"/>
    <n v="2"/>
    <m/>
    <m/>
    <s v="https://www.ne.ch/autorites/DFS/SCSP/medecin-cantonal/maladies-vaccinations/Documents/Covid-19-Statistiques/COVID19_PublicationInternet.xlsx"/>
  </r>
  <r>
    <x v="70"/>
    <m/>
    <x v="20"/>
    <m/>
    <n v="113"/>
    <n v="1"/>
    <n v="0"/>
    <m/>
    <m/>
    <n v="3"/>
    <s v="http://www.nw.ch/coronastatistik"/>
  </r>
  <r>
    <x v="70"/>
    <m/>
    <x v="14"/>
    <m/>
    <n v="793"/>
    <m/>
    <m/>
    <m/>
    <m/>
    <n v="33"/>
    <s v="https://www.sg.ch/tools/informationen-coronavirus.html"/>
  </r>
  <r>
    <x v="70"/>
    <m/>
    <x v="25"/>
    <m/>
    <n v="373"/>
    <n v="16"/>
    <n v="6"/>
    <m/>
    <m/>
    <n v="17"/>
    <s v="https://www.tg.ch/news/fachdossier-coronavirus.html/10552"/>
  </r>
  <r>
    <x v="70"/>
    <m/>
    <x v="8"/>
    <m/>
    <n v="5335"/>
    <n v="105"/>
    <n v="22"/>
    <m/>
    <m/>
    <n v="388"/>
    <s v="https://www.vd.ch/toutes-les-actualites/hotline-et-informations-sur-le-coronavirus/point-de-situation-statistique-dans-le-canton-de-vaud/"/>
  </r>
  <r>
    <x v="70"/>
    <m/>
    <x v="9"/>
    <m/>
    <n v="1897"/>
    <n v="49"/>
    <n v="8"/>
    <n v="6"/>
    <m/>
    <n v="146"/>
    <s v="https://www.vs.ch/de/web/coronavirus"/>
  </r>
  <r>
    <x v="70"/>
    <n v="0"/>
    <x v="18"/>
    <m/>
    <n v="402"/>
    <n v="10"/>
    <m/>
    <m/>
    <m/>
    <n v="15"/>
    <s v="https://corona.so.ch/index.php?id=27979"/>
  </r>
  <r>
    <x v="70"/>
    <n v="0.33333333333333331"/>
    <x v="6"/>
    <m/>
    <n v="1798"/>
    <n v="38"/>
    <n v="7"/>
    <n v="5"/>
    <m/>
    <n v="90"/>
    <s v="https://www.besondere-lage.sites.be.ch/besondere-lage_sites/de/index/corona/index.html"/>
  </r>
  <r>
    <x v="70"/>
    <n v="0.33333333333333331"/>
    <x v="1"/>
    <m/>
    <n v="3239"/>
    <n v="117"/>
    <n v="20"/>
    <n v="14"/>
    <n v="794"/>
    <n v="329"/>
    <s v="https://www4.ti.ch/fileadmin/DSS/DSP/UMC/malattie_infettive/Coronavirus/dati/COVID19_Dati_TI_per_github.xlsx"/>
  </r>
  <r>
    <x v="70"/>
    <n v="0.33333333333333331"/>
    <x v="11"/>
    <m/>
    <n v="191"/>
    <n v="4"/>
    <n v="2"/>
    <m/>
    <n v="138"/>
    <n v="8"/>
    <s v="https://www.zg.ch/behoerden/gesundheitsdirektion/statistikfachstelle/themen/gesundheit/corona"/>
  </r>
  <r>
    <x v="70"/>
    <n v="0.375"/>
    <x v="5"/>
    <m/>
    <n v="959"/>
    <n v="21"/>
    <n v="4"/>
    <m/>
    <n v="842"/>
    <n v="50"/>
    <s v="https://www.gd.bs.ch//nm/2020-tagesbulletin-coronavirus-959-bestaetigte-faelle-im-kanton-basel-stadt-gd.html"/>
  </r>
  <r>
    <x v="70"/>
    <n v="0.39583333333333331"/>
    <x v="17"/>
    <m/>
    <n v="97"/>
    <n v="6"/>
    <n v="3"/>
    <m/>
    <m/>
    <n v="3"/>
    <s v="https://www.ar.ch/verwaltung/departement-gesundheit-und-soziales/amt-fuer-gesundheit/informationsseite-coronavirus/"/>
  </r>
  <r>
    <x v="70"/>
    <n v="0.39583333333333331"/>
    <x v="21"/>
    <m/>
    <n v="75"/>
    <n v="6"/>
    <n v="4"/>
    <m/>
    <m/>
    <n v="6"/>
    <s v="https://sh.ch/CMS/get/file/1142c079-5d62-4035-b9ea-04901bfcdfe9"/>
  </r>
  <r>
    <x v="70"/>
    <n v="0.41666666666666669"/>
    <x v="15"/>
    <m/>
    <n v="305"/>
    <m/>
    <m/>
    <m/>
    <n v="252"/>
    <n v="22"/>
    <s v="https://www.sz.ch/public/upload/assets/46502/COVID-19_Fallzahlen_Kanton_Schwyz.xlsx"/>
  </r>
  <r>
    <x v="70"/>
    <n v="0.45833333333333331"/>
    <x v="24"/>
    <m/>
    <n v="25"/>
    <m/>
    <m/>
    <m/>
    <m/>
    <n v="0"/>
    <s v="https://www.ai.ch/themen/gesundheit-alter-und-soziales/gesundheitsfoerderung-und-praevention/uebertragbare-krankheiten/coronavirus"/>
  </r>
  <r>
    <x v="70"/>
    <n v="0.5625"/>
    <x v="19"/>
    <m/>
    <n v="122"/>
    <n v="2"/>
    <m/>
    <m/>
    <m/>
    <n v="12"/>
    <s v="https://www.gl.ch/public/upload/assets/28096/COVID-19_Fallzahlen_Kanton_Glarus.xlsx"/>
  </r>
  <r>
    <x v="70"/>
    <n v="0.60416666666666663"/>
    <x v="4"/>
    <m/>
    <n v="3511"/>
    <n v="54"/>
    <m/>
    <n v="9"/>
    <m/>
    <n v="124"/>
    <s v="https://gd.zh.ch/internet/gesundheitsdirektion/de/themen/coronavirus.html"/>
  </r>
  <r>
    <x v="70"/>
    <n v="0.61458333333333337"/>
    <x v="10"/>
    <m/>
    <n v="1135"/>
    <n v="23"/>
    <n v="5"/>
    <n v="4"/>
    <n v="940"/>
    <n v="36"/>
    <s v="https://www.ag.ch/media/kanton_aargau/themen_1/coronavirus_1/lagebulletins/200505_KFS_Coronavirus_Lagebulletin_47.pdf"/>
  </r>
  <r>
    <x v="70"/>
    <n v="0.625"/>
    <x v="23"/>
    <m/>
    <n v="79"/>
    <n v="0"/>
    <m/>
    <m/>
    <m/>
    <n v="0"/>
    <s v="https://www.ow.ch/de/verwaltung/dienstleistungen/?dienst_id=5962"/>
  </r>
  <r>
    <x v="70"/>
    <n v="0.64583333333333337"/>
    <x v="22"/>
    <m/>
    <n v="91"/>
    <n v="2"/>
    <m/>
    <m/>
    <n v="74"/>
    <n v="7"/>
    <s v="https://www.ur.ch/themen/2962"/>
  </r>
  <r>
    <x v="71"/>
    <m/>
    <x v="7"/>
    <m/>
    <n v="830"/>
    <n v="6"/>
    <n v="1"/>
    <n v="1"/>
    <n v="774"/>
    <n v="33"/>
    <s v="https://www.baselland.ch/politik-und-behorden/direktionen/volkswirtschafts-und-gesundheitsdirektion/amt-fur-gesundheit/medizinische-dienste/kantonsarztlicher-dienst/aktuelles/covid-19-faelle-kanton-basel-landschaft"/>
  </r>
  <r>
    <x v="71"/>
    <m/>
    <x v="2"/>
    <m/>
    <n v="82"/>
    <m/>
    <m/>
    <m/>
    <m/>
    <m/>
    <s v="https://www.regierung.li/media/attachments/246-corona-keine-neuen-faelle-0506.pdf?t=637243865310890323"/>
  </r>
  <r>
    <x v="71"/>
    <m/>
    <x v="12"/>
    <m/>
    <n v="1107"/>
    <n v="34"/>
    <n v="5"/>
    <m/>
    <n v="131"/>
    <n v="80"/>
    <s v="https://www.fr.ch/sites/default/files/2020-05/statistiques_situation_FR_0705.xlsx"/>
  </r>
  <r>
    <x v="71"/>
    <m/>
    <x v="26"/>
    <m/>
    <n v="818"/>
    <n v="20"/>
    <m/>
    <m/>
    <m/>
    <n v="45"/>
    <s v="https://www.gr.ch/DE/institutionen/verwaltung/djsg/ga/coronavirus/_layouts/15/GenericDataFeed/feed.aspx?PageID=26&amp;ID=g_1175d522_e609_4287_93af_d14c9efd5218&amp;FORMAT=JSONRAW"/>
  </r>
  <r>
    <x v="71"/>
    <m/>
    <x v="3"/>
    <m/>
    <n v="201"/>
    <n v="8"/>
    <n v="5"/>
    <m/>
    <m/>
    <n v="7"/>
    <s v="https://www.jura.ch/Htdocs/Files/v/34356.xlsx/Departements/CHA/SIC/Carrousel/Coronavirus/Cornavirus/Chiffres/donnees_06_05.xlsx?download=1"/>
  </r>
  <r>
    <x v="71"/>
    <m/>
    <x v="16"/>
    <m/>
    <n v="709"/>
    <n v="32"/>
    <n v="6"/>
    <m/>
    <m/>
    <n v="18"/>
    <s v="https://gesundheit.lu.ch/themen/Humanmedizin/Infektionskrankheiten/Coronavirus"/>
  </r>
  <r>
    <x v="71"/>
    <m/>
    <x v="13"/>
    <m/>
    <m/>
    <n v="22"/>
    <n v="3"/>
    <n v="2"/>
    <m/>
    <m/>
    <s v="https://www.ne.ch/autorites/DFS/SCSP/medecin-cantonal/maladies-vaccinations/Documents/Covid-19-Statistiques/COVID19_PublicationInternet.xlsx"/>
  </r>
  <r>
    <x v="71"/>
    <m/>
    <x v="14"/>
    <m/>
    <n v="794"/>
    <n v="25"/>
    <n v="2"/>
    <m/>
    <n v="210"/>
    <n v="33"/>
    <s v="https://www.sg.ch/tools/informationen-coronavirus.html"/>
  </r>
  <r>
    <x v="71"/>
    <m/>
    <x v="25"/>
    <m/>
    <n v="374"/>
    <n v="15"/>
    <n v="6"/>
    <m/>
    <m/>
    <n v="17"/>
    <s v="https://www.tg.ch/news/fachdossier-coronavirus.html/10552"/>
  </r>
  <r>
    <x v="71"/>
    <m/>
    <x v="9"/>
    <m/>
    <m/>
    <n v="49"/>
    <n v="8"/>
    <n v="6"/>
    <m/>
    <n v="146"/>
    <s v="https://www.vs.ch/de/web/coronavirus"/>
  </r>
  <r>
    <x v="71"/>
    <n v="0"/>
    <x v="18"/>
    <m/>
    <n v="403"/>
    <n v="11"/>
    <m/>
    <m/>
    <m/>
    <n v="15"/>
    <s v="https://corona.so.ch/index.php?id=27979"/>
  </r>
  <r>
    <x v="71"/>
    <n v="0.33333333333333331"/>
    <x v="6"/>
    <m/>
    <n v="1804"/>
    <n v="34"/>
    <n v="6"/>
    <n v="4"/>
    <m/>
    <n v="90"/>
    <s v="https://www.besondere-lage.sites.be.ch/besondere-lage_sites/de/index/corona/index.html"/>
  </r>
  <r>
    <x v="71"/>
    <n v="0.33333333333333331"/>
    <x v="1"/>
    <m/>
    <n v="3245"/>
    <n v="109"/>
    <n v="15"/>
    <n v="11"/>
    <n v="802"/>
    <n v="331"/>
    <s v="https://www4.ti.ch/fileadmin/DSS/DSP/UMC/malattie_infettive/Coronavirus/dati/COVID19_Dati_TI_per_github.xlsx"/>
  </r>
  <r>
    <x v="71"/>
    <n v="0.33333333333333331"/>
    <x v="11"/>
    <m/>
    <n v="191"/>
    <n v="3"/>
    <n v="2"/>
    <m/>
    <n v="142"/>
    <n v="8"/>
    <s v="https://www.zg.ch/behoerden/gesundheitsdirektion/statistikfachstelle/themen/gesundheit/corona"/>
  </r>
  <r>
    <x v="71"/>
    <n v="0.39583333333333331"/>
    <x v="5"/>
    <m/>
    <n v="962"/>
    <n v="21"/>
    <n v="4"/>
    <m/>
    <n v="868"/>
    <n v="50"/>
    <s v="https://www.gd.bs.ch//nm/2020-tagesbulletin-coronavirus-962-bestaetigte-faelle-im-kanton-basel-stadt-gd.html"/>
  </r>
  <r>
    <x v="71"/>
    <n v="0.39583333333333331"/>
    <x v="21"/>
    <m/>
    <n v="75"/>
    <n v="5"/>
    <n v="4"/>
    <m/>
    <m/>
    <n v="6"/>
    <s v="https://sh.ch/CMS/get/file/1142c079-5d62-4035-b9ea-04901bfcdfe9"/>
  </r>
  <r>
    <x v="71"/>
    <n v="0.41666666666666669"/>
    <x v="15"/>
    <m/>
    <n v="305"/>
    <m/>
    <m/>
    <m/>
    <n v="258"/>
    <n v="23"/>
    <s v="https://www.sz.ch/public/upload/assets/46502/COVID-19_Fallzahlen_Kanton_Schwyz.xlsx"/>
  </r>
  <r>
    <x v="71"/>
    <n v="0.44444444444444442"/>
    <x v="17"/>
    <m/>
    <n v="97"/>
    <n v="8"/>
    <n v="3"/>
    <m/>
    <m/>
    <n v="3"/>
    <s v="https://www.ar.ch/verwaltung/departement-gesundheit-und-soziales/amt-fuer-gesundheit/informationsseite-coronavirus/"/>
  </r>
  <r>
    <x v="71"/>
    <n v="0.45833333333333331"/>
    <x v="24"/>
    <m/>
    <n v="25"/>
    <m/>
    <m/>
    <m/>
    <m/>
    <n v="0"/>
    <s v="https://www.ai.ch/themen/gesundheit-alter-und-soziales/gesundheitsfoerderung-und-praevention/uebertragbare-krankheiten/coronavirus"/>
  </r>
  <r>
    <x v="71"/>
    <n v="0.5"/>
    <x v="0"/>
    <m/>
    <m/>
    <n v="231"/>
    <n v="16"/>
    <n v="15"/>
    <n v="671"/>
    <m/>
    <s v="https://www.ge.ch/document/20094/telecharger"/>
  </r>
  <r>
    <x v="71"/>
    <n v="0.54166666666666663"/>
    <x v="19"/>
    <m/>
    <n v="125"/>
    <n v="2"/>
    <m/>
    <m/>
    <m/>
    <n v="12"/>
    <s v="https://www.gl.ch/public/upload/assets/28096/COVID-19_Fallzahlen_Kanton_Glarus.xlsx"/>
  </r>
  <r>
    <x v="71"/>
    <n v="0.58333333333333337"/>
    <x v="22"/>
    <m/>
    <n v="91"/>
    <n v="3"/>
    <m/>
    <m/>
    <n v="74"/>
    <n v="7"/>
    <s v="https://www.ur.ch/themen/2962"/>
  </r>
  <r>
    <x v="71"/>
    <n v="0.60416666666666663"/>
    <x v="4"/>
    <m/>
    <n v="3526"/>
    <n v="53"/>
    <m/>
    <n v="7"/>
    <m/>
    <n v="124"/>
    <s v="https://gd.zh.ch/internet/gesundheitsdirektion/de/themen/coronavirus.html"/>
  </r>
  <r>
    <x v="71"/>
    <n v="0.61458333333333337"/>
    <x v="10"/>
    <m/>
    <n v="1141"/>
    <n v="24"/>
    <n v="5"/>
    <n v="5"/>
    <n v="960"/>
    <n v="36"/>
    <s v="https://www.ag.ch/media/kanton_aargau/themen_1/coronavirus_1/lagebulletins/200506_KFS_Coronavirus_Lagebulletin_48.pdf"/>
  </r>
  <r>
    <x v="71"/>
    <n v="0.625"/>
    <x v="23"/>
    <m/>
    <n v="79"/>
    <n v="0"/>
    <m/>
    <m/>
    <m/>
    <n v="0"/>
    <s v="https://www.ow.ch/de/verwaltung/dienstleistungen/?dienst_id=5962"/>
  </r>
  <r>
    <x v="72"/>
    <m/>
    <x v="12"/>
    <m/>
    <n v="1115"/>
    <n v="30"/>
    <n v="5"/>
    <m/>
    <n v="134"/>
    <n v="80"/>
    <s v="https://www.fr.ch/sites/default/files/2020-05/statistiques_situation_FR_0705.xlsx"/>
  </r>
  <r>
    <x v="72"/>
    <m/>
    <x v="16"/>
    <m/>
    <n v="710"/>
    <m/>
    <m/>
    <m/>
    <m/>
    <n v="19"/>
    <s v="https://gesundheit.lu.ch/themen/Humanmedizin/Infektionskrankheiten/Coronavirus"/>
  </r>
  <r>
    <x v="72"/>
    <m/>
    <x v="14"/>
    <m/>
    <n v="795"/>
    <m/>
    <m/>
    <m/>
    <m/>
    <n v="33"/>
    <s v="https://www.sg.ch/tools/informationen-coronavirus.html"/>
  </r>
  <r>
    <x v="72"/>
    <n v="0"/>
    <x v="18"/>
    <m/>
    <n v="406"/>
    <n v="11"/>
    <m/>
    <m/>
    <m/>
    <n v="15"/>
    <s v="https://corona.so.ch/index.php?id=27979"/>
  </r>
  <r>
    <x v="72"/>
    <n v="0.33333333333333331"/>
    <x v="11"/>
    <m/>
    <n v="192"/>
    <n v="2"/>
    <n v="1"/>
    <m/>
    <n v="143"/>
    <n v="8"/>
    <s v="https://www.zg.ch/behoerden/gesundheitsdirektion/statistikfachstelle/themen/gesundheit/corona"/>
  </r>
  <r>
    <x v="72"/>
    <n v="0.37847222222222221"/>
    <x v="17"/>
    <m/>
    <n v="97"/>
    <n v="5"/>
    <n v="2"/>
    <m/>
    <m/>
    <n v="3"/>
    <s v="https://www.ar.ch/verwaltung/departement-gesundheit-und-soziales/amt-fuer-gesundheit/informationsseite-coronavirus/"/>
  </r>
  <r>
    <x v="72"/>
    <n v="0.39583333333333331"/>
    <x v="21"/>
    <m/>
    <n v="76"/>
    <n v="7"/>
    <n v="4"/>
    <m/>
    <m/>
    <n v="6"/>
    <s v="https://sh.ch/CMS/get/file/1142c079-5d62-4035-b9ea-04901bfcdfe9"/>
  </r>
  <r>
    <x v="72"/>
    <n v="0.41666666666666669"/>
    <x v="5"/>
    <m/>
    <n v="965"/>
    <n v="20"/>
    <n v="4"/>
    <m/>
    <n v="870"/>
    <n v="50"/>
    <s v="https://www.gd.bs.ch//nm/2020-tagesbulletin-coronavirus-965-bestaetigte-faelle-im-kanton-basel-stadt-gd.html"/>
  </r>
  <r>
    <x v="72"/>
    <n v="0.41666666666666669"/>
    <x v="15"/>
    <m/>
    <n v="305"/>
    <m/>
    <m/>
    <m/>
    <n v="264"/>
    <n v="23"/>
    <s v="https://www.sz.ch/public/upload/assets/46502/COVID-19_Fallzahlen_Kanton_Schwyz.xlsx"/>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1792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D78" firstHeaderRow="0" firstDataRow="1" firstDataCol="1"/>
  <pivotFields count="11">
    <pivotField axis="axisRow" showAl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73"/>
        <item x="64"/>
        <item x="65"/>
        <item x="66"/>
        <item x="67"/>
        <item x="68"/>
        <item x="69"/>
        <item x="70"/>
        <item x="71"/>
        <item x="72"/>
        <item t="default"/>
      </items>
    </pivotField>
    <pivotField showAll="0"/>
    <pivotField showAll="0"/>
    <pivotField showAll="0"/>
    <pivotField dataField="1" showAll="0"/>
    <pivotField showAll="0"/>
    <pivotField showAll="0"/>
    <pivotField showAll="0"/>
    <pivotField dataField="1" showAll="0"/>
    <pivotField dataField="1" showAll="0"/>
    <pivotField showAll="0"/>
  </pivotFields>
  <rowFields count="1">
    <field x="0"/>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Fields count="1">
    <field x="-2"/>
  </colFields>
  <colItems count="3">
    <i>
      <x/>
    </i>
    <i i="1">
      <x v="1"/>
    </i>
    <i i="2">
      <x v="2"/>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3B131-2EC0-4F0F-84D9-CE9161EC6F9B}" name="PivotTable3" cacheId="1792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78" firstHeaderRow="1" firstDataRow="2" firstDataCol="1"/>
  <pivotFields count="12">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8">
        <item x="12"/>
        <item x="18"/>
        <item x="10"/>
        <item x="24"/>
        <item x="17"/>
        <item x="6"/>
        <item x="7"/>
        <item x="5"/>
        <item x="2"/>
        <item x="0"/>
        <item x="19"/>
        <item x="26"/>
        <item x="3"/>
        <item x="16"/>
        <item x="13"/>
        <item x="20"/>
        <item x="23"/>
        <item x="14"/>
        <item x="21"/>
        <item x="15"/>
        <item x="25"/>
        <item x="1"/>
        <item x="22"/>
        <item x="8"/>
        <item x="9"/>
        <item x="11"/>
        <item x="4"/>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4">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2" format="274" series="1">
      <pivotArea type="data" outline="0" fieldPosition="0">
        <references count="2">
          <reference field="4294967294" count="1" selected="0">
            <x v="0"/>
          </reference>
          <reference field="2" count="1" selected="0">
            <x v="0"/>
          </reference>
        </references>
      </pivotArea>
    </chartFormat>
    <chartFormat chart="2" format="275" series="1">
      <pivotArea type="data" outline="0" fieldPosition="0">
        <references count="2">
          <reference field="4294967294" count="1" selected="0">
            <x v="0"/>
          </reference>
          <reference field="2" count="1" selected="0">
            <x v="1"/>
          </reference>
        </references>
      </pivotArea>
    </chartFormat>
    <chartFormat chart="2" format="276" series="1">
      <pivotArea type="data" outline="0" fieldPosition="0">
        <references count="2">
          <reference field="4294967294" count="1" selected="0">
            <x v="0"/>
          </reference>
          <reference field="2" count="1" selected="0">
            <x v="2"/>
          </reference>
        </references>
      </pivotArea>
    </chartFormat>
    <chartFormat chart="2" format="277" series="1">
      <pivotArea type="data" outline="0" fieldPosition="0">
        <references count="2">
          <reference field="4294967294" count="1" selected="0">
            <x v="0"/>
          </reference>
          <reference field="2" count="1" selected="0">
            <x v="3"/>
          </reference>
        </references>
      </pivotArea>
    </chartFormat>
    <chartFormat chart="2" format="278" series="1">
      <pivotArea type="data" outline="0" fieldPosition="0">
        <references count="2">
          <reference field="4294967294" count="1" selected="0">
            <x v="0"/>
          </reference>
          <reference field="2" count="1" selected="0">
            <x v="4"/>
          </reference>
        </references>
      </pivotArea>
    </chartFormat>
    <chartFormat chart="2" format="279" series="1">
      <pivotArea type="data" outline="0" fieldPosition="0">
        <references count="2">
          <reference field="4294967294" count="1" selected="0">
            <x v="0"/>
          </reference>
          <reference field="2" count="1" selected="0">
            <x v="5"/>
          </reference>
        </references>
      </pivotArea>
    </chartFormat>
    <chartFormat chart="2" format="280" series="1">
      <pivotArea type="data" outline="0" fieldPosition="0">
        <references count="2">
          <reference field="4294967294" count="1" selected="0">
            <x v="0"/>
          </reference>
          <reference field="2" count="1" selected="0">
            <x v="6"/>
          </reference>
        </references>
      </pivotArea>
    </chartFormat>
    <chartFormat chart="2" format="281" series="1">
      <pivotArea type="data" outline="0" fieldPosition="0">
        <references count="2">
          <reference field="4294967294" count="1" selected="0">
            <x v="0"/>
          </reference>
          <reference field="2" count="1" selected="0">
            <x v="7"/>
          </reference>
        </references>
      </pivotArea>
    </chartFormat>
    <chartFormat chart="2" format="282" series="1">
      <pivotArea type="data" outline="0" fieldPosition="0">
        <references count="2">
          <reference field="4294967294" count="1" selected="0">
            <x v="0"/>
          </reference>
          <reference field="2" count="1" selected="0">
            <x v="8"/>
          </reference>
        </references>
      </pivotArea>
    </chartFormat>
    <chartFormat chart="2" format="283" series="1">
      <pivotArea type="data" outline="0" fieldPosition="0">
        <references count="2">
          <reference field="4294967294" count="1" selected="0">
            <x v="0"/>
          </reference>
          <reference field="2" count="1" selected="0">
            <x v="9"/>
          </reference>
        </references>
      </pivotArea>
    </chartFormat>
    <chartFormat chart="2" format="284" series="1">
      <pivotArea type="data" outline="0" fieldPosition="0">
        <references count="2">
          <reference field="4294967294" count="1" selected="0">
            <x v="0"/>
          </reference>
          <reference field="2" count="1" selected="0">
            <x v="10"/>
          </reference>
        </references>
      </pivotArea>
    </chartFormat>
    <chartFormat chart="2" format="285" series="1">
      <pivotArea type="data" outline="0" fieldPosition="0">
        <references count="2">
          <reference field="4294967294" count="1" selected="0">
            <x v="0"/>
          </reference>
          <reference field="2" count="1" selected="0">
            <x v="11"/>
          </reference>
        </references>
      </pivotArea>
    </chartFormat>
    <chartFormat chart="2" format="286" series="1">
      <pivotArea type="data" outline="0" fieldPosition="0">
        <references count="2">
          <reference field="4294967294" count="1" selected="0">
            <x v="0"/>
          </reference>
          <reference field="2" count="1" selected="0">
            <x v="12"/>
          </reference>
        </references>
      </pivotArea>
    </chartFormat>
    <chartFormat chart="2" format="287" series="1">
      <pivotArea type="data" outline="0" fieldPosition="0">
        <references count="2">
          <reference field="4294967294" count="1" selected="0">
            <x v="0"/>
          </reference>
          <reference field="2" count="1" selected="0">
            <x v="13"/>
          </reference>
        </references>
      </pivotArea>
    </chartFormat>
    <chartFormat chart="2" format="288" series="1">
      <pivotArea type="data" outline="0" fieldPosition="0">
        <references count="2">
          <reference field="4294967294" count="1" selected="0">
            <x v="0"/>
          </reference>
          <reference field="2" count="1" selected="0">
            <x v="14"/>
          </reference>
        </references>
      </pivotArea>
    </chartFormat>
    <chartFormat chart="2" format="289" series="1">
      <pivotArea type="data" outline="0" fieldPosition="0">
        <references count="2">
          <reference field="4294967294" count="1" selected="0">
            <x v="0"/>
          </reference>
          <reference field="2" count="1" selected="0">
            <x v="15"/>
          </reference>
        </references>
      </pivotArea>
    </chartFormat>
    <chartFormat chart="2" format="290" series="1">
      <pivotArea type="data" outline="0" fieldPosition="0">
        <references count="2">
          <reference field="4294967294" count="1" selected="0">
            <x v="0"/>
          </reference>
          <reference field="2" count="1" selected="0">
            <x v="16"/>
          </reference>
        </references>
      </pivotArea>
    </chartFormat>
    <chartFormat chart="2" format="291" series="1">
      <pivotArea type="data" outline="0" fieldPosition="0">
        <references count="2">
          <reference field="4294967294" count="1" selected="0">
            <x v="0"/>
          </reference>
          <reference field="2" count="1" selected="0">
            <x v="17"/>
          </reference>
        </references>
      </pivotArea>
    </chartFormat>
    <chartFormat chart="2" format="292" series="1">
      <pivotArea type="data" outline="0" fieldPosition="0">
        <references count="2">
          <reference field="4294967294" count="1" selected="0">
            <x v="0"/>
          </reference>
          <reference field="2" count="1" selected="0">
            <x v="18"/>
          </reference>
        </references>
      </pivotArea>
    </chartFormat>
    <chartFormat chart="2" format="293" series="1">
      <pivotArea type="data" outline="0" fieldPosition="0">
        <references count="2">
          <reference field="4294967294" count="1" selected="0">
            <x v="0"/>
          </reference>
          <reference field="2" count="1" selected="0">
            <x v="19"/>
          </reference>
        </references>
      </pivotArea>
    </chartFormat>
    <chartFormat chart="2" format="294" series="1">
      <pivotArea type="data" outline="0" fieldPosition="0">
        <references count="2">
          <reference field="4294967294" count="1" selected="0">
            <x v="0"/>
          </reference>
          <reference field="2" count="1" selected="0">
            <x v="20"/>
          </reference>
        </references>
      </pivotArea>
    </chartFormat>
    <chartFormat chart="2" format="295" series="1">
      <pivotArea type="data" outline="0" fieldPosition="0">
        <references count="2">
          <reference field="4294967294" count="1" selected="0">
            <x v="0"/>
          </reference>
          <reference field="2" count="1" selected="0">
            <x v="21"/>
          </reference>
        </references>
      </pivotArea>
    </chartFormat>
    <chartFormat chart="2" format="296" series="1">
      <pivotArea type="data" outline="0" fieldPosition="0">
        <references count="2">
          <reference field="4294967294" count="1" selected="0">
            <x v="0"/>
          </reference>
          <reference field="2" count="1" selected="0">
            <x v="22"/>
          </reference>
        </references>
      </pivotArea>
    </chartFormat>
    <chartFormat chart="2" format="297" series="1">
      <pivotArea type="data" outline="0" fieldPosition="0">
        <references count="2">
          <reference field="4294967294" count="1" selected="0">
            <x v="0"/>
          </reference>
          <reference field="2" count="1" selected="0">
            <x v="23"/>
          </reference>
        </references>
      </pivotArea>
    </chartFormat>
    <chartFormat chart="2" format="298" series="1">
      <pivotArea type="data" outline="0" fieldPosition="0">
        <references count="2">
          <reference field="4294967294" count="1" selected="0">
            <x v="0"/>
          </reference>
          <reference field="2" count="1" selected="0">
            <x v="24"/>
          </reference>
        </references>
      </pivotArea>
    </chartFormat>
    <chartFormat chart="2" format="299" series="1">
      <pivotArea type="data" outline="0" fieldPosition="0">
        <references count="2">
          <reference field="4294967294" count="1" selected="0">
            <x v="0"/>
          </reference>
          <reference field="2" count="1" selected="0">
            <x v="25"/>
          </reference>
        </references>
      </pivotArea>
    </chartFormat>
    <chartFormat chart="2" format="300" series="1">
      <pivotArea type="data" outline="0" fieldPosition="0">
        <references count="2">
          <reference field="4294967294" count="1" selected="0">
            <x v="0"/>
          </reference>
          <reference field="2" count="1" selected="0">
            <x v="26"/>
          </reference>
        </references>
      </pivotArea>
    </chartFormat>
    <chartFormat chart="4" format="328" series="1">
      <pivotArea type="data" outline="0" fieldPosition="0">
        <references count="2">
          <reference field="4294967294" count="1" selected="0">
            <x v="0"/>
          </reference>
          <reference field="2" count="1" selected="0">
            <x v="0"/>
          </reference>
        </references>
      </pivotArea>
    </chartFormat>
    <chartFormat chart="4" format="329" series="1">
      <pivotArea type="data" outline="0" fieldPosition="0">
        <references count="2">
          <reference field="4294967294" count="1" selected="0">
            <x v="0"/>
          </reference>
          <reference field="2" count="1" selected="0">
            <x v="1"/>
          </reference>
        </references>
      </pivotArea>
    </chartFormat>
    <chartFormat chart="4" format="330" series="1">
      <pivotArea type="data" outline="0" fieldPosition="0">
        <references count="2">
          <reference field="4294967294" count="1" selected="0">
            <x v="0"/>
          </reference>
          <reference field="2" count="1" selected="0">
            <x v="2"/>
          </reference>
        </references>
      </pivotArea>
    </chartFormat>
    <chartFormat chart="4" format="331" series="1">
      <pivotArea type="data" outline="0" fieldPosition="0">
        <references count="2">
          <reference field="4294967294" count="1" selected="0">
            <x v="0"/>
          </reference>
          <reference field="2" count="1" selected="0">
            <x v="3"/>
          </reference>
        </references>
      </pivotArea>
    </chartFormat>
    <chartFormat chart="4" format="332" series="1">
      <pivotArea type="data" outline="0" fieldPosition="0">
        <references count="2">
          <reference field="4294967294" count="1" selected="0">
            <x v="0"/>
          </reference>
          <reference field="2" count="1" selected="0">
            <x v="4"/>
          </reference>
        </references>
      </pivotArea>
    </chartFormat>
    <chartFormat chart="4" format="333" series="1">
      <pivotArea type="data" outline="0" fieldPosition="0">
        <references count="2">
          <reference field="4294967294" count="1" selected="0">
            <x v="0"/>
          </reference>
          <reference field="2" count="1" selected="0">
            <x v="5"/>
          </reference>
        </references>
      </pivotArea>
    </chartFormat>
    <chartFormat chart="4" format="334" series="1">
      <pivotArea type="data" outline="0" fieldPosition="0">
        <references count="2">
          <reference field="4294967294" count="1" selected="0">
            <x v="0"/>
          </reference>
          <reference field="2" count="1" selected="0">
            <x v="6"/>
          </reference>
        </references>
      </pivotArea>
    </chartFormat>
    <chartFormat chart="4" format="335" series="1">
      <pivotArea type="data" outline="0" fieldPosition="0">
        <references count="2">
          <reference field="4294967294" count="1" selected="0">
            <x v="0"/>
          </reference>
          <reference field="2" count="1" selected="0">
            <x v="7"/>
          </reference>
        </references>
      </pivotArea>
    </chartFormat>
    <chartFormat chart="4" format="336" series="1">
      <pivotArea type="data" outline="0" fieldPosition="0">
        <references count="2">
          <reference field="4294967294" count="1" selected="0">
            <x v="0"/>
          </reference>
          <reference field="2" count="1" selected="0">
            <x v="8"/>
          </reference>
        </references>
      </pivotArea>
    </chartFormat>
    <chartFormat chart="4" format="337" series="1">
      <pivotArea type="data" outline="0" fieldPosition="0">
        <references count="2">
          <reference field="4294967294" count="1" selected="0">
            <x v="0"/>
          </reference>
          <reference field="2" count="1" selected="0">
            <x v="9"/>
          </reference>
        </references>
      </pivotArea>
    </chartFormat>
    <chartFormat chart="4" format="338" series="1">
      <pivotArea type="data" outline="0" fieldPosition="0">
        <references count="2">
          <reference field="4294967294" count="1" selected="0">
            <x v="0"/>
          </reference>
          <reference field="2" count="1" selected="0">
            <x v="10"/>
          </reference>
        </references>
      </pivotArea>
    </chartFormat>
    <chartFormat chart="4" format="339" series="1">
      <pivotArea type="data" outline="0" fieldPosition="0">
        <references count="2">
          <reference field="4294967294" count="1" selected="0">
            <x v="0"/>
          </reference>
          <reference field="2" count="1" selected="0">
            <x v="11"/>
          </reference>
        </references>
      </pivotArea>
    </chartFormat>
    <chartFormat chart="4" format="340" series="1">
      <pivotArea type="data" outline="0" fieldPosition="0">
        <references count="2">
          <reference field="4294967294" count="1" selected="0">
            <x v="0"/>
          </reference>
          <reference field="2" count="1" selected="0">
            <x v="12"/>
          </reference>
        </references>
      </pivotArea>
    </chartFormat>
    <chartFormat chart="4" format="341" series="1">
      <pivotArea type="data" outline="0" fieldPosition="0">
        <references count="2">
          <reference field="4294967294" count="1" selected="0">
            <x v="0"/>
          </reference>
          <reference field="2" count="1" selected="0">
            <x v="13"/>
          </reference>
        </references>
      </pivotArea>
    </chartFormat>
    <chartFormat chart="4" format="342" series="1">
      <pivotArea type="data" outline="0" fieldPosition="0">
        <references count="2">
          <reference field="4294967294" count="1" selected="0">
            <x v="0"/>
          </reference>
          <reference field="2" count="1" selected="0">
            <x v="14"/>
          </reference>
        </references>
      </pivotArea>
    </chartFormat>
    <chartFormat chart="4" format="343" series="1">
      <pivotArea type="data" outline="0" fieldPosition="0">
        <references count="2">
          <reference field="4294967294" count="1" selected="0">
            <x v="0"/>
          </reference>
          <reference field="2" count="1" selected="0">
            <x v="15"/>
          </reference>
        </references>
      </pivotArea>
    </chartFormat>
    <chartFormat chart="4" format="344" series="1">
      <pivotArea type="data" outline="0" fieldPosition="0">
        <references count="2">
          <reference field="4294967294" count="1" selected="0">
            <x v="0"/>
          </reference>
          <reference field="2" count="1" selected="0">
            <x v="16"/>
          </reference>
        </references>
      </pivotArea>
    </chartFormat>
    <chartFormat chart="4" format="345" series="1">
      <pivotArea type="data" outline="0" fieldPosition="0">
        <references count="2">
          <reference field="4294967294" count="1" selected="0">
            <x v="0"/>
          </reference>
          <reference field="2" count="1" selected="0">
            <x v="17"/>
          </reference>
        </references>
      </pivotArea>
    </chartFormat>
    <chartFormat chart="4" format="346" series="1">
      <pivotArea type="data" outline="0" fieldPosition="0">
        <references count="2">
          <reference field="4294967294" count="1" selected="0">
            <x v="0"/>
          </reference>
          <reference field="2" count="1" selected="0">
            <x v="18"/>
          </reference>
        </references>
      </pivotArea>
    </chartFormat>
    <chartFormat chart="4" format="347" series="1">
      <pivotArea type="data" outline="0" fieldPosition="0">
        <references count="2">
          <reference field="4294967294" count="1" selected="0">
            <x v="0"/>
          </reference>
          <reference field="2" count="1" selected="0">
            <x v="19"/>
          </reference>
        </references>
      </pivotArea>
    </chartFormat>
    <chartFormat chart="4" format="348" series="1">
      <pivotArea type="data" outline="0" fieldPosition="0">
        <references count="2">
          <reference field="4294967294" count="1" selected="0">
            <x v="0"/>
          </reference>
          <reference field="2" count="1" selected="0">
            <x v="20"/>
          </reference>
        </references>
      </pivotArea>
    </chartFormat>
    <chartFormat chart="4" format="349" series="1">
      <pivotArea type="data" outline="0" fieldPosition="0">
        <references count="2">
          <reference field="4294967294" count="1" selected="0">
            <x v="0"/>
          </reference>
          <reference field="2" count="1" selected="0">
            <x v="21"/>
          </reference>
        </references>
      </pivotArea>
    </chartFormat>
    <chartFormat chart="4" format="350" series="1">
      <pivotArea type="data" outline="0" fieldPosition="0">
        <references count="2">
          <reference field="4294967294" count="1" selected="0">
            <x v="0"/>
          </reference>
          <reference field="2" count="1" selected="0">
            <x v="22"/>
          </reference>
        </references>
      </pivotArea>
    </chartFormat>
    <chartFormat chart="4" format="351" series="1">
      <pivotArea type="data" outline="0" fieldPosition="0">
        <references count="2">
          <reference field="4294967294" count="1" selected="0">
            <x v="0"/>
          </reference>
          <reference field="2" count="1" selected="0">
            <x v="23"/>
          </reference>
        </references>
      </pivotArea>
    </chartFormat>
    <chartFormat chart="4" format="352" series="1">
      <pivotArea type="data" outline="0" fieldPosition="0">
        <references count="2">
          <reference field="4294967294" count="1" selected="0">
            <x v="0"/>
          </reference>
          <reference field="2" count="1" selected="0">
            <x v="24"/>
          </reference>
        </references>
      </pivotArea>
    </chartFormat>
    <chartFormat chart="4" format="353" series="1">
      <pivotArea type="data" outline="0" fieldPosition="0">
        <references count="2">
          <reference field="4294967294" count="1" selected="0">
            <x v="0"/>
          </reference>
          <reference field="2" count="1" selected="0">
            <x v="25"/>
          </reference>
        </references>
      </pivotArea>
    </chartFormat>
    <chartFormat chart="4" format="354"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17931"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1793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backgroundRefresh="0"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4" tableType="queryTable" totalsRowShown="0">
  <autoFilter ref="A1:R74" xr:uid="{6F225EC8-7A7D-4B80-86A4-6825D487A60A}"/>
  <tableColumns count="18">
    <tableColumn id="1" xr3:uid="{6A0F9E37-4397-4ADD-8579-65A87BF278C6}" uniqueName="1" name="date" queryTableFieldId="1" dataDxfId="62"/>
    <tableColumn id="2" xr3:uid="{78ED2279-E7E4-4383-97AD-DD81455353CB}" uniqueName="2" name="last_update" queryTableFieldId="2" dataDxfId="61"/>
    <tableColumn id="3" xr3:uid="{7330173D-7C78-4290-B0C6-D6DF398A317F}" uniqueName="3" name="country" queryTableFieldId="3" dataDxfId="60"/>
    <tableColumn id="4" xr3:uid="{65EE738C-5483-4B69-B874-72F1C792909F}" uniqueName="4" name="intensive_care" queryTableFieldId="4" dataDxfId="59"/>
    <tableColumn id="5" xr3:uid="{E85055BB-8DC4-4122-A8D6-678E0DF46381}" uniqueName="5" name="total_hospitalized" queryTableFieldId="5" dataDxfId="58"/>
    <tableColumn id="6" xr3:uid="{F28B9E35-6CBB-4856-9FE5-9E1EE2E5A5DF}" uniqueName="6" name="total_currently_positive" queryTableFieldId="6" dataDxfId="57"/>
    <tableColumn id="7" xr3:uid="{9822154C-FBDD-48C8-9E55-A1ED6BCF3FDE}" uniqueName="7" name="total_positive" queryTableFieldId="7" dataDxfId="56"/>
    <tableColumn id="8" xr3:uid="{8099F923-302D-471D-91F1-B84EC5D10EFD}" uniqueName="8" name="tests_performed" queryTableFieldId="8" dataDxfId="55"/>
    <tableColumn id="9" xr3:uid="{5D6DFCAF-B0B0-4BA5-A431-87E623F0D502}" uniqueName="9" name="released" queryTableFieldId="9" dataDxfId="54"/>
    <tableColumn id="10" xr3:uid="{12870F4D-C81E-4917-BBA5-C836CEA08DCB}" uniqueName="10" name="deaths" queryTableFieldId="10" dataDxfId="53"/>
    <tableColumn id="11" xr3:uid="{DED131D7-F154-419D-8ABA-D92225E873A1}" uniqueName="11" name="home_confinment" queryTableFieldId="11" dataDxfId="52"/>
    <tableColumn id="12" xr3:uid="{4B032FCD-B91A-4DD1-A09E-E9D6111B560B}" uniqueName="12" name="new_positive" queryTableFieldId="12" dataDxfId="51"/>
    <tableColumn id="13" xr3:uid="{B66CE066-035E-41EC-9268-2A380BD56CDF}" uniqueName="13" name="old_positive" queryTableFieldId="13" dataDxfId="50"/>
    <tableColumn id="14" xr3:uid="{726933BE-EDE9-4F94-8888-164DCFF0C153}" uniqueName="14" name="hospitalized_with_symptoms" queryTableFieldId="14" dataDxfId="49"/>
    <tableColumn id="15" xr3:uid="{280259FB-A44C-493B-827A-B68AABDD4BFA}" uniqueName="15" name="new_deaths" queryTableFieldId="15" dataDxfId="48"/>
    <tableColumn id="16" xr3:uid="{52E76B6F-A8F7-41E3-94DF-6C07AA5CAA27}" uniqueName="16" name="old_deaths" queryTableFieldId="16" dataDxfId="47"/>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66" dataDxfId="65">
  <autoFilter ref="A1:AF28" xr:uid="{89752692-E394-464C-BA07-8219685F2E97}"/>
  <tableColumns count="32">
    <tableColumn id="81" xr3:uid="{BD7551A6-2E54-4A0A-A512-844547126CE6}" uniqueName="81" name="last_update" queryTableFieldId="126" dataDxfId="46"/>
    <tableColumn id="82" xr3:uid="{169E8657-81D9-4121-B1E0-967EF19D08C7}" uniqueName="82" name="timestamp" queryTableFieldId="127" dataDxfId="45"/>
    <tableColumn id="83" xr3:uid="{C2548048-DA88-48AB-8D0C-7E1C32ECCEA0}" uniqueName="83" name="country" queryTableFieldId="128" dataDxfId="44"/>
    <tableColumn id="84" xr3:uid="{1962423F-2331-4CF9-B64C-90C443B6F96B}" uniqueName="84" name="abbreviation_canton" queryTableFieldId="129" dataDxfId="43"/>
    <tableColumn id="85" xr3:uid="{D933CDEF-19CE-425E-875D-93AB1A918087}" uniqueName="85" name="name_canton" queryTableFieldId="130" dataDxfId="42"/>
    <tableColumn id="86" xr3:uid="{3F8251B9-8DA4-4339-A941-C54073E55C29}" uniqueName="86" name="number_canton" queryTableFieldId="131" dataDxfId="41"/>
    <tableColumn id="87" xr3:uid="{3ABD4B2E-2F3B-497F-8B32-AE24848FA5D9}" uniqueName="87" name="lat" queryTableFieldId="132" dataDxfId="40"/>
    <tableColumn id="88" xr3:uid="{AC4B13B1-9F39-4494-B9A6-BCE5C12DD752}" uniqueName="88" name="long" queryTableFieldId="133" dataDxfId="39"/>
    <tableColumn id="89" xr3:uid="{C6538C4F-E9E4-486A-94C3-8204FABD9475}" uniqueName="89" name="tests_performed" queryTableFieldId="134" dataDxfId="38"/>
    <tableColumn id="90" xr3:uid="{41D81CB9-DE21-43F8-8FE7-2F8E7B4C26AD}" uniqueName="90" name="total_currently_positive_cases" queryTableFieldId="135" dataDxfId="37"/>
    <tableColumn id="91" xr3:uid="{57E80A67-2982-48CF-A984-DDE62E123930}" uniqueName="91" name="total_positive_cases" queryTableFieldId="136" dataDxfId="36"/>
    <tableColumn id="92" xr3:uid="{7681BB1C-A4EB-47B3-9393-ECAA0CAE0226}" uniqueName="92" name="new_hosp" queryTableFieldId="137" dataDxfId="35"/>
    <tableColumn id="93" xr3:uid="{E9FF1802-B294-4852-80AD-8993F68F207C}" uniqueName="93" name="total_hospitalized" queryTableFieldId="138" dataDxfId="34"/>
    <tableColumn id="94" xr3:uid="{C6CFE750-D3F4-4E46-BD1F-8270F8DC268D}" uniqueName="94" name="total_currently_positive_per_100k" queryTableFieldId="139" dataDxfId="33"/>
    <tableColumn id="95" xr3:uid="{174B2500-501F-45F7-97B5-A65E8C5957C7}" uniqueName="95" name="deaths_per_100k" queryTableFieldId="140" dataDxfId="32"/>
    <tableColumn id="96" xr3:uid="{514D0DAA-4C02-43C5-AB8C-78045220FD81}" uniqueName="96" name="released" queryTableFieldId="141" dataDxfId="31"/>
    <tableColumn id="97" xr3:uid="{1A57C2DC-422E-4B27-8FFF-CB40EB8A7C7F}" uniqueName="97" name="ncumul_ICU_intub" queryTableFieldId="142" dataDxfId="30"/>
    <tableColumn id="98" xr3:uid="{4D1F1B4F-CBE7-45DA-9DA6-3E03DCAE8958}" uniqueName="98" name="deaths" queryTableFieldId="143" dataDxfId="29"/>
    <tableColumn id="99" xr3:uid="{0DB3B02E-03CE-40F4-96B7-14B5202719A0}" uniqueName="99" name="intensive_care" queryTableFieldId="144" dataDxfId="28"/>
    <tableColumn id="100" xr3:uid="{E838FFB4-C39A-4EB6-B048-62D97341CDBE}" uniqueName="100" name="ncumul_vent" queryTableFieldId="145" dataDxfId="27"/>
    <tableColumn id="101" xr3:uid="{F167F275-63C7-4B9F-8F53-129518ED56DD}" uniqueName="101" name="ncumul_confirmed_non_resident" queryTableFieldId="146" dataDxfId="26"/>
    <tableColumn id="102" xr3:uid="{E39886E8-7831-4D4F-9D9A-816746CBFE29}" uniqueName="102" name="current_hosp_non_resident" queryTableFieldId="147" dataDxfId="25"/>
    <tableColumn id="103" xr3:uid="{959026E0-3966-43F3-B12C-F463827AF110}" uniqueName="103" name="TotalPosTests1" queryTableFieldId="148" dataDxfId="24"/>
    <tableColumn id="104" xr3:uid="{20F3D390-DEC6-4518-AF37-2055E2F0F4D3}" uniqueName="104" name="ninst_ICU_intub" queryTableFieldId="149" dataDxfId="23"/>
    <tableColumn id="105" xr3:uid="{1000ABBF-DE10-4DD7-B34D-251727F2D5F5}" uniqueName="105" name="ncumul_ICF" queryTableFieldId="150" dataDxfId="22"/>
    <tableColumn id="106" xr3:uid="{CDA89904-DA80-4895-9355-59E3A0C7C8C4}" uniqueName="106" name="new_positive_cases" queryTableFieldId="151" dataDxfId="21"/>
    <tableColumn id="107" xr3:uid="{4B673FF3-FE26-46F3-B81E-4FDC30571B56}" uniqueName="107" name="new_deaths" queryTableFieldId="152" dataDxfId="20"/>
    <tableColumn id="108" xr3:uid="{B961F8C0-6F21-404B-B0DB-738E91415198}" uniqueName="108" name="doubling_time_total_positive" queryTableFieldId="153" dataDxfId="19"/>
    <tableColumn id="109" xr3:uid="{102C069A-210A-4B72-9DFA-5CF96304D642}" uniqueName="109" name="doubling_time_fatalities" queryTableFieldId="154" dataDxfId="18"/>
    <tableColumn id="110" xr3:uid="{94416B9E-E748-470D-A329-63CC8F663B4E}" uniqueName="110" name="source" queryTableFieldId="155" dataDxfId="17"/>
    <tableColumn id="9" xr3:uid="{3900AD70-572C-48F7-9B7A-CF71ACE86FE6}" uniqueName="9" name="Column1" queryTableFieldId="9" dataDxfId="16"/>
    <tableColumn id="111" xr3:uid="{CE08C0AD-B8FD-4809-A2F5-942C6B821EA9}" uniqueName="111" name="_1" queryTableFieldId="156" dataDxf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573" tableType="queryTable" totalsRowShown="0" headerRowDxfId="64" dataDxfId="63">
  <autoFilter ref="A1:K1573" xr:uid="{A5098CA2-967B-441C-9EBC-5C26E6F395B9}"/>
  <sortState xmlns:xlrd2="http://schemas.microsoft.com/office/spreadsheetml/2017/richdata2" ref="A2:K1573">
    <sortCondition ref="A1:A1573"/>
  </sortState>
  <tableColumns count="11">
    <tableColumn id="1" xr3:uid="{57B39077-80BD-49E0-86C0-9242464DEFFD}" uniqueName="1" name="date" queryTableFieldId="1" dataDxfId="14"/>
    <tableColumn id="2" xr3:uid="{BA3D136C-8AFA-4319-B6DD-BCCE1BD1CBD2}" uniqueName="2" name="time" queryTableFieldId="2" dataDxfId="13"/>
    <tableColumn id="3" xr3:uid="{BBB9F675-2771-422C-9642-4C61E4DE5CCF}" uniqueName="3" name="abbreviation_canton_and_fl" queryTableFieldId="3" dataDxfId="12"/>
    <tableColumn id="4" xr3:uid="{1E010AD2-8812-4614-8A81-1F6970C8DAAD}" uniqueName="4" name="ncumul_tested" queryTableFieldId="4" dataDxfId="11"/>
    <tableColumn id="5" xr3:uid="{E39472B2-A399-4842-943C-9420DEFF0ABE}" uniqueName="5" name="ncumul_conf" queryTableFieldId="5" dataDxfId="10"/>
    <tableColumn id="6" xr3:uid="{6505E105-FC90-4BB3-8DCD-01B96CE3D305}" uniqueName="6" name="ncumul_hosp" queryTableFieldId="6" dataDxfId="9"/>
    <tableColumn id="7" xr3:uid="{C01CB3EE-BB7C-4BE9-B4C9-D6A006A22116}" uniqueName="7" name="ncumul_ICU" queryTableFieldId="7" dataDxfId="8"/>
    <tableColumn id="8" xr3:uid="{6EE9CB04-706D-4177-85EB-40C540BC6343}" uniqueName="8" name="ncumul_vent" queryTableFieldId="8" dataDxfId="7"/>
    <tableColumn id="9" xr3:uid="{846085B2-E34F-45C4-8B31-B0391C2CEB5B}" uniqueName="9" name="ncumul_released" queryTableFieldId="9" dataDxfId="6"/>
    <tableColumn id="10" xr3:uid="{1B4F757D-8DCD-4E74-97D5-428B1D870722}" uniqueName="10" name="ncumul_deceased" queryTableFieldId="10" dataDxfId="5"/>
    <tableColumn id="11" xr3:uid="{8BCC6226-31A8-4A2B-BC80-FC261295931D}" uniqueName="11" name="source" queryTableFieldId="11"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3"/>
    <tableColumn id="2" xr3:uid="{2113284A-AA9B-4C12-9E80-FA7214EA333F}" uniqueName="2" name="Alter" queryTableFieldId="2" dataDxfId="2"/>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1"/>
    <tableColumn id="4" xr3:uid="{96CA9658-62DE-40DB-B098-F836BDB22CBB}" uniqueName="4" name="Alter" queryTableFieldId="4" dataDxfId="0"/>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zoomScale="90" zoomScaleNormal="90" workbookViewId="0">
      <pane ySplit="1" topLeftCell="A2" activePane="bottomLeft" state="frozen"/>
      <selection pane="bottomLeft" activeCell="G8" sqref="G8"/>
    </sheetView>
  </sheetViews>
  <sheetFormatPr baseColWidth="10" defaultColWidth="40.6328125" defaultRowHeight="14.5"/>
  <cols>
    <col min="1" max="16384" width="40.6328125" style="13"/>
  </cols>
  <sheetData>
    <row r="1" spans="1:7" s="24" customFormat="1" ht="20" customHeight="1">
      <c r="A1" s="53" t="s">
        <v>303</v>
      </c>
      <c r="B1" s="53"/>
      <c r="C1" s="53"/>
      <c r="D1" s="53"/>
      <c r="E1" s="53"/>
      <c r="F1" s="53"/>
      <c r="G1" s="23"/>
    </row>
    <row r="2" spans="1:7" s="37" customFormat="1">
      <c r="A2" s="31" t="s">
        <v>264</v>
      </c>
      <c r="B2" s="32" t="s">
        <v>265</v>
      </c>
      <c r="C2" s="32" t="s">
        <v>365</v>
      </c>
      <c r="D2" s="33" t="s">
        <v>266</v>
      </c>
      <c r="E2" s="34" t="s">
        <v>267</v>
      </c>
      <c r="F2" s="35" t="s">
        <v>268</v>
      </c>
      <c r="G2" s="36" t="s">
        <v>302</v>
      </c>
    </row>
    <row r="3" spans="1:7" s="23" customFormat="1" ht="46">
      <c r="A3" s="25">
        <f>analyse!$B$2</f>
        <v>29985</v>
      </c>
      <c r="B3" s="26">
        <f>INDEX(ch_latest!E1:'ch_latest'!E222,COUNTA(ch_latest!E1:'ch_latest'!E222))</f>
        <v>820</v>
      </c>
      <c r="C3" s="26">
        <f>INDEX(ch_latest!D1:'ch_latest'!D222,COUNTA(ch_latest!D1:'ch_latest'!D222))</f>
        <v>118</v>
      </c>
      <c r="D3" s="27">
        <f>MAX(ch_latest!J:J)</f>
        <v>1806</v>
      </c>
      <c r="E3" s="28">
        <f>INDEX(ch_latest!I1:'ch_latest'!I222,COUNTA(ch_latest!I1:'ch_latest'!I222))</f>
        <v>4901</v>
      </c>
      <c r="F3" s="29">
        <f>analyse!$C$5</f>
        <v>488.45419199999998</v>
      </c>
      <c r="G3" s="30">
        <f>analyse!$B$12</f>
        <v>43958</v>
      </c>
    </row>
    <row r="4" spans="1:7" ht="31">
      <c r="A4" s="14">
        <f>analyse!B5</f>
        <v>9</v>
      </c>
      <c r="B4" s="51">
        <f>analyse!$B$17</f>
        <v>-3</v>
      </c>
      <c r="C4" s="51">
        <f>analyse!$B$22</f>
        <v>-2</v>
      </c>
      <c r="D4" s="52">
        <f>INDEX(ch_latest!O1:'ch_latest'!O222,COUNTA(ch_latest!O1:'ch_latest'!O222)+1)</f>
        <v>0</v>
      </c>
      <c r="E4" s="46">
        <f>analyse!$B$10</f>
        <v>9</v>
      </c>
      <c r="F4" s="15"/>
      <c r="G4" s="22">
        <f>analyse!$C$12</f>
        <v>43958.377581018518</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39" customWidth="1"/>
    <col min="2" max="16384" width="10.90625" style="39"/>
  </cols>
  <sheetData>
    <row r="1" spans="1:1" ht="409" customHeight="1">
      <c r="A1" s="43" t="s">
        <v>304</v>
      </c>
    </row>
    <row r="2" spans="1:1" ht="409" customHeight="1">
      <c r="A2" s="38" t="s">
        <v>305</v>
      </c>
    </row>
    <row r="3" spans="1:1">
      <c r="A3" s="38"/>
    </row>
    <row r="4" spans="1:1" ht="15.5">
      <c r="A4" s="42"/>
    </row>
    <row r="5" spans="1:1">
      <c r="A5" s="38"/>
    </row>
    <row r="6" spans="1:1" ht="15.5">
      <c r="A6" s="42"/>
    </row>
    <row r="7" spans="1:1">
      <c r="A7" s="38"/>
    </row>
    <row r="8" spans="1:1">
      <c r="A8" s="38"/>
    </row>
    <row r="9" spans="1:1">
      <c r="A9" s="38"/>
    </row>
    <row r="10" spans="1:1">
      <c r="A10" s="38"/>
    </row>
    <row r="11" spans="1:1">
      <c r="A11" s="40"/>
    </row>
    <row r="12" spans="1:1">
      <c r="A12" s="38"/>
    </row>
    <row r="13" spans="1:1" ht="15.5">
      <c r="A13" s="42"/>
    </row>
    <row r="14" spans="1:1">
      <c r="A14" s="38"/>
    </row>
    <row r="15" spans="1:1" ht="15.5">
      <c r="A15" s="42"/>
    </row>
    <row r="16" spans="1:1">
      <c r="A16" s="38"/>
    </row>
    <row r="17" spans="1:1" ht="15.5">
      <c r="A17" s="42"/>
    </row>
    <row r="18" spans="1:1">
      <c r="A18" s="38"/>
    </row>
    <row r="19" spans="1:1">
      <c r="A19" s="38"/>
    </row>
    <row r="20" spans="1:1">
      <c r="A20" s="38"/>
    </row>
    <row r="21" spans="1:1" ht="15.5">
      <c r="A21" s="42"/>
    </row>
    <row r="22" spans="1:1">
      <c r="A22" s="40"/>
    </row>
    <row r="23" spans="1:1">
      <c r="A23" s="38"/>
    </row>
    <row r="24" spans="1:1">
      <c r="A24" s="38"/>
    </row>
    <row r="25" spans="1:1">
      <c r="A25" s="38"/>
    </row>
    <row r="26" spans="1:1">
      <c r="A26" s="38"/>
    </row>
    <row r="27" spans="1:1">
      <c r="A27" s="41"/>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4"/>
  <sheetViews>
    <sheetView tabSelected="1" workbookViewId="0">
      <selection sqref="A1:R74"/>
    </sheetView>
  </sheetViews>
  <sheetFormatPr baseColWidth="10" defaultRowHeight="14.5"/>
  <cols>
    <col min="1" max="1" width="9.90625" style="2" bestFit="1" customWidth="1"/>
    <col min="2" max="2" width="14.90625" bestFit="1" customWidth="1"/>
    <col min="3" max="3" width="9.54296875" bestFit="1" customWidth="1"/>
    <col min="4" max="4" width="15.1796875" style="47" bestFit="1" customWidth="1"/>
    <col min="5" max="5" width="18.26953125" style="47" bestFit="1" customWidth="1"/>
    <col min="6" max="6" width="23.36328125" style="47" bestFit="1" customWidth="1"/>
    <col min="7" max="7" width="14.6328125" style="47" bestFit="1" customWidth="1"/>
    <col min="8" max="8" width="17.1796875" style="47" bestFit="1" customWidth="1"/>
    <col min="9" max="9" width="10.1796875" style="47" bestFit="1" customWidth="1"/>
    <col min="10" max="10" width="8.81640625" style="47" bestFit="1" customWidth="1"/>
    <col min="11" max="11" width="18.6328125" style="47" bestFit="1" customWidth="1"/>
    <col min="12" max="12" width="14.1796875" style="47" bestFit="1" customWidth="1"/>
    <col min="13" max="13" width="13.26953125" style="47" bestFit="1" customWidth="1"/>
    <col min="14" max="14" width="27.81640625" style="47" bestFit="1" customWidth="1"/>
    <col min="15" max="15" width="13.36328125" style="47" bestFit="1" customWidth="1"/>
    <col min="16" max="16" width="12.453125" style="47" bestFit="1" customWidth="1"/>
    <col min="17" max="17" width="27.90625" bestFit="1" customWidth="1"/>
    <col min="18" max="18" width="23.6328125" bestFit="1" customWidth="1"/>
  </cols>
  <sheetData>
    <row r="1" spans="1:18">
      <c r="A1" s="2" t="s">
        <v>0</v>
      </c>
      <c r="B1" t="s">
        <v>1</v>
      </c>
      <c r="C1" t="s">
        <v>2</v>
      </c>
      <c r="D1" s="47" t="s">
        <v>11</v>
      </c>
      <c r="E1" s="47" t="s">
        <v>9</v>
      </c>
      <c r="F1" s="47" t="s">
        <v>4</v>
      </c>
      <c r="G1" s="47" t="s">
        <v>5</v>
      </c>
      <c r="H1" s="47" t="s">
        <v>3</v>
      </c>
      <c r="I1" s="47" t="s">
        <v>12</v>
      </c>
      <c r="J1" s="47" t="s">
        <v>13</v>
      </c>
      <c r="K1" s="47" t="s">
        <v>8</v>
      </c>
      <c r="L1" s="47" t="s">
        <v>6</v>
      </c>
      <c r="M1" s="47" t="s">
        <v>7</v>
      </c>
      <c r="N1" s="47" t="s">
        <v>10</v>
      </c>
      <c r="O1" s="47" t="s">
        <v>282</v>
      </c>
      <c r="P1" s="47" t="s">
        <v>283</v>
      </c>
      <c r="Q1" t="s">
        <v>14</v>
      </c>
      <c r="R1" t="s">
        <v>15</v>
      </c>
    </row>
    <row r="2" spans="1:18">
      <c r="A2" s="2">
        <v>43886</v>
      </c>
      <c r="B2" s="3">
        <v>43958.377581018518</v>
      </c>
      <c r="C2" s="1" t="s">
        <v>16</v>
      </c>
      <c r="D2" s="47">
        <v>0</v>
      </c>
      <c r="E2" s="47">
        <v>0</v>
      </c>
      <c r="F2" s="47">
        <v>0</v>
      </c>
      <c r="G2" s="47">
        <v>0</v>
      </c>
      <c r="H2" s="47">
        <v>72</v>
      </c>
      <c r="I2" s="47">
        <v>0</v>
      </c>
      <c r="J2" s="47">
        <v>0</v>
      </c>
      <c r="K2" s="47">
        <v>0</v>
      </c>
      <c r="M2" s="47">
        <v>0</v>
      </c>
      <c r="N2" s="47">
        <v>0</v>
      </c>
      <c r="P2" s="47">
        <v>0</v>
      </c>
      <c r="Q2">
        <v>0</v>
      </c>
      <c r="R2">
        <v>0</v>
      </c>
    </row>
    <row r="3" spans="1:18">
      <c r="A3" s="2">
        <v>43887</v>
      </c>
      <c r="B3" s="3">
        <v>43958.377581018518</v>
      </c>
      <c r="C3" s="1" t="s">
        <v>16</v>
      </c>
      <c r="D3" s="47">
        <v>0</v>
      </c>
      <c r="E3" s="47">
        <v>1</v>
      </c>
      <c r="F3" s="47">
        <v>2</v>
      </c>
      <c r="G3" s="47">
        <v>2</v>
      </c>
      <c r="H3" s="47">
        <v>177</v>
      </c>
      <c r="I3" s="47">
        <v>0</v>
      </c>
      <c r="J3" s="47">
        <v>0</v>
      </c>
      <c r="K3" s="47">
        <v>0</v>
      </c>
      <c r="L3" s="47">
        <v>2</v>
      </c>
      <c r="M3" s="47">
        <v>0</v>
      </c>
      <c r="N3" s="47">
        <v>0</v>
      </c>
      <c r="O3" s="47">
        <v>0</v>
      </c>
      <c r="P3" s="47">
        <v>0</v>
      </c>
      <c r="Q3">
        <v>0</v>
      </c>
      <c r="R3">
        <v>0</v>
      </c>
    </row>
    <row r="4" spans="1:18">
      <c r="A4" s="2">
        <v>43888</v>
      </c>
      <c r="B4" s="3">
        <v>43958.377581018518</v>
      </c>
      <c r="C4" s="1" t="s">
        <v>16</v>
      </c>
      <c r="D4" s="47">
        <v>0</v>
      </c>
      <c r="E4" s="47">
        <v>2</v>
      </c>
      <c r="F4" s="47">
        <v>6</v>
      </c>
      <c r="G4" s="47">
        <v>6</v>
      </c>
      <c r="H4" s="47">
        <v>328</v>
      </c>
      <c r="I4" s="47">
        <v>0</v>
      </c>
      <c r="J4" s="47">
        <v>0</v>
      </c>
      <c r="K4" s="47">
        <v>0</v>
      </c>
      <c r="L4" s="47">
        <v>4</v>
      </c>
      <c r="M4" s="47">
        <v>2</v>
      </c>
      <c r="N4" s="47">
        <v>0</v>
      </c>
      <c r="O4" s="47">
        <v>0</v>
      </c>
      <c r="P4" s="47">
        <v>0</v>
      </c>
      <c r="Q4">
        <v>0</v>
      </c>
      <c r="R4">
        <v>0</v>
      </c>
    </row>
    <row r="5" spans="1:18">
      <c r="A5" s="2">
        <v>43889</v>
      </c>
      <c r="B5" s="3">
        <v>43958.377581018518</v>
      </c>
      <c r="C5" s="1" t="s">
        <v>16</v>
      </c>
      <c r="D5" s="47">
        <v>0</v>
      </c>
      <c r="E5" s="47">
        <v>12</v>
      </c>
      <c r="F5" s="47">
        <v>13</v>
      </c>
      <c r="G5" s="47">
        <v>13</v>
      </c>
      <c r="H5" s="47">
        <v>535</v>
      </c>
      <c r="I5" s="47">
        <v>0</v>
      </c>
      <c r="J5" s="47">
        <v>0</v>
      </c>
      <c r="K5" s="47">
        <v>0</v>
      </c>
      <c r="L5" s="47">
        <v>7</v>
      </c>
      <c r="M5" s="47">
        <v>6</v>
      </c>
      <c r="N5" s="47">
        <v>0</v>
      </c>
      <c r="O5" s="47">
        <v>0</v>
      </c>
      <c r="P5" s="47">
        <v>0</v>
      </c>
      <c r="Q5">
        <v>0</v>
      </c>
      <c r="R5">
        <v>0</v>
      </c>
    </row>
    <row r="6" spans="1:18">
      <c r="A6" s="2">
        <v>43890</v>
      </c>
      <c r="B6" s="3">
        <v>43958.377581018518</v>
      </c>
      <c r="C6" s="1" t="s">
        <v>16</v>
      </c>
      <c r="D6" s="47">
        <v>0</v>
      </c>
      <c r="E6" s="47">
        <v>14</v>
      </c>
      <c r="F6" s="47">
        <v>22</v>
      </c>
      <c r="G6" s="47">
        <v>22</v>
      </c>
      <c r="H6" s="47">
        <v>676</v>
      </c>
      <c r="I6" s="47">
        <v>0</v>
      </c>
      <c r="J6" s="47">
        <v>0</v>
      </c>
      <c r="K6" s="47">
        <v>0</v>
      </c>
      <c r="L6" s="47">
        <v>9</v>
      </c>
      <c r="M6" s="47">
        <v>13</v>
      </c>
      <c r="N6" s="47">
        <v>0</v>
      </c>
      <c r="O6" s="47">
        <v>0</v>
      </c>
      <c r="P6" s="47">
        <v>0</v>
      </c>
      <c r="Q6">
        <v>0</v>
      </c>
      <c r="R6">
        <v>0</v>
      </c>
    </row>
    <row r="7" spans="1:18">
      <c r="A7" s="2">
        <v>43891</v>
      </c>
      <c r="B7" s="3">
        <v>43958.377581018518</v>
      </c>
      <c r="C7" s="1" t="s">
        <v>16</v>
      </c>
      <c r="D7" s="47">
        <v>0</v>
      </c>
      <c r="E7" s="47">
        <v>15</v>
      </c>
      <c r="F7" s="47">
        <v>30</v>
      </c>
      <c r="G7" s="47">
        <v>30</v>
      </c>
      <c r="H7" s="47">
        <v>813</v>
      </c>
      <c r="I7" s="47">
        <v>0</v>
      </c>
      <c r="J7" s="47">
        <v>0</v>
      </c>
      <c r="K7" s="47">
        <v>0</v>
      </c>
      <c r="L7" s="47">
        <v>8</v>
      </c>
      <c r="M7" s="47">
        <v>22</v>
      </c>
      <c r="N7" s="47">
        <v>0</v>
      </c>
      <c r="O7" s="47">
        <v>0</v>
      </c>
      <c r="P7" s="47">
        <v>0</v>
      </c>
      <c r="Q7">
        <v>0</v>
      </c>
      <c r="R7">
        <v>0</v>
      </c>
    </row>
    <row r="8" spans="1:18">
      <c r="A8" s="2">
        <v>43892</v>
      </c>
      <c r="B8" s="3">
        <v>43958.377581018518</v>
      </c>
      <c r="C8" s="1" t="s">
        <v>16</v>
      </c>
      <c r="D8" s="47">
        <v>0</v>
      </c>
      <c r="E8" s="47">
        <v>21</v>
      </c>
      <c r="F8" s="47">
        <v>42</v>
      </c>
      <c r="G8" s="47">
        <v>42</v>
      </c>
      <c r="H8" s="47">
        <v>1136</v>
      </c>
      <c r="I8" s="47">
        <v>0</v>
      </c>
      <c r="J8" s="47">
        <v>0</v>
      </c>
      <c r="K8" s="47">
        <v>0</v>
      </c>
      <c r="L8" s="47">
        <v>12</v>
      </c>
      <c r="M8" s="47">
        <v>30</v>
      </c>
      <c r="N8" s="47">
        <v>0</v>
      </c>
      <c r="O8" s="47">
        <v>0</v>
      </c>
      <c r="P8" s="47">
        <v>0</v>
      </c>
      <c r="Q8">
        <v>1.1383509999999999</v>
      </c>
      <c r="R8">
        <v>0</v>
      </c>
    </row>
    <row r="9" spans="1:18">
      <c r="A9" s="2">
        <v>43893</v>
      </c>
      <c r="B9" s="3">
        <v>43958.377581018518</v>
      </c>
      <c r="C9" s="1" t="s">
        <v>16</v>
      </c>
      <c r="D9" s="47">
        <v>0</v>
      </c>
      <c r="E9" s="47">
        <v>26</v>
      </c>
      <c r="F9" s="47">
        <v>61</v>
      </c>
      <c r="G9" s="47">
        <v>61</v>
      </c>
      <c r="H9" s="47">
        <v>1257</v>
      </c>
      <c r="I9" s="47">
        <v>0</v>
      </c>
      <c r="J9" s="47">
        <v>0</v>
      </c>
      <c r="K9" s="47">
        <v>0</v>
      </c>
      <c r="L9" s="47">
        <v>19</v>
      </c>
      <c r="M9" s="47">
        <v>42</v>
      </c>
      <c r="N9" s="47">
        <v>0</v>
      </c>
      <c r="O9" s="47">
        <v>0</v>
      </c>
      <c r="P9" s="47">
        <v>0</v>
      </c>
      <c r="Q9">
        <v>1.4944219999999999</v>
      </c>
      <c r="R9">
        <v>0</v>
      </c>
    </row>
    <row r="10" spans="1:18">
      <c r="A10" s="2">
        <v>43894</v>
      </c>
      <c r="B10" s="3">
        <v>43958.377581018518</v>
      </c>
      <c r="C10" s="1" t="s">
        <v>16</v>
      </c>
      <c r="D10" s="47">
        <v>1</v>
      </c>
      <c r="E10" s="47">
        <v>34</v>
      </c>
      <c r="F10" s="47">
        <v>85</v>
      </c>
      <c r="G10" s="47">
        <v>85</v>
      </c>
      <c r="H10" s="47">
        <v>1368</v>
      </c>
      <c r="I10" s="47">
        <v>0</v>
      </c>
      <c r="J10" s="47">
        <v>0</v>
      </c>
      <c r="K10" s="47">
        <v>0</v>
      </c>
      <c r="L10" s="47">
        <v>24</v>
      </c>
      <c r="M10" s="47">
        <v>61</v>
      </c>
      <c r="N10" s="47">
        <v>0</v>
      </c>
      <c r="O10" s="47">
        <v>0</v>
      </c>
      <c r="P10" s="47">
        <v>0</v>
      </c>
      <c r="Q10">
        <v>1.8457330000000001</v>
      </c>
      <c r="R10">
        <v>0</v>
      </c>
    </row>
    <row r="11" spans="1:18">
      <c r="A11" s="2">
        <v>43895</v>
      </c>
      <c r="B11" s="3">
        <v>43958.377581018518</v>
      </c>
      <c r="C11" s="1" t="s">
        <v>16</v>
      </c>
      <c r="D11" s="47">
        <v>1</v>
      </c>
      <c r="E11" s="47">
        <v>38</v>
      </c>
      <c r="F11" s="47">
        <v>127</v>
      </c>
      <c r="G11" s="47">
        <v>127</v>
      </c>
      <c r="H11" s="47">
        <v>1434</v>
      </c>
      <c r="I11" s="47">
        <v>0</v>
      </c>
      <c r="J11" s="47">
        <v>0</v>
      </c>
      <c r="K11" s="47">
        <v>0</v>
      </c>
      <c r="L11" s="47">
        <v>42</v>
      </c>
      <c r="M11" s="47">
        <v>85</v>
      </c>
      <c r="N11" s="47">
        <v>0</v>
      </c>
      <c r="O11" s="47">
        <v>0</v>
      </c>
      <c r="P11" s="47">
        <v>0</v>
      </c>
      <c r="Q11">
        <v>1.9768680000000001</v>
      </c>
      <c r="R11">
        <v>0</v>
      </c>
    </row>
    <row r="12" spans="1:18">
      <c r="A12" s="2">
        <v>43896</v>
      </c>
      <c r="B12" s="3">
        <v>43958.377581018518</v>
      </c>
      <c r="C12" s="1" t="s">
        <v>16</v>
      </c>
      <c r="D12" s="47">
        <v>4</v>
      </c>
      <c r="E12" s="47">
        <v>46</v>
      </c>
      <c r="F12" s="47">
        <v>195</v>
      </c>
      <c r="G12" s="47">
        <v>195</v>
      </c>
      <c r="H12" s="47">
        <v>1536</v>
      </c>
      <c r="I12" s="47">
        <v>1</v>
      </c>
      <c r="J12" s="47">
        <v>1</v>
      </c>
      <c r="K12" s="47">
        <v>0</v>
      </c>
      <c r="L12" s="47">
        <v>68</v>
      </c>
      <c r="M12" s="47">
        <v>127</v>
      </c>
      <c r="N12" s="47">
        <v>0</v>
      </c>
      <c r="O12" s="47">
        <v>1</v>
      </c>
      <c r="P12" s="47">
        <v>0</v>
      </c>
      <c r="Q12">
        <v>1.85155</v>
      </c>
      <c r="R12">
        <v>0</v>
      </c>
    </row>
    <row r="13" spans="1:18">
      <c r="A13" s="2">
        <v>43897</v>
      </c>
      <c r="B13" s="3">
        <v>43958.377581018518</v>
      </c>
      <c r="C13" s="1" t="s">
        <v>16</v>
      </c>
      <c r="D13" s="47">
        <v>6</v>
      </c>
      <c r="E13" s="47">
        <v>47</v>
      </c>
      <c r="F13" s="47">
        <v>253</v>
      </c>
      <c r="G13" s="47">
        <v>253</v>
      </c>
      <c r="H13" s="47">
        <v>1611</v>
      </c>
      <c r="I13" s="47">
        <v>1</v>
      </c>
      <c r="J13" s="47">
        <v>1</v>
      </c>
      <c r="K13" s="47">
        <v>0</v>
      </c>
      <c r="L13" s="47">
        <v>58</v>
      </c>
      <c r="M13" s="47">
        <v>195</v>
      </c>
      <c r="N13" s="47">
        <v>0</v>
      </c>
      <c r="O13" s="47">
        <v>0</v>
      </c>
      <c r="P13" s="47">
        <v>1</v>
      </c>
      <c r="Q13">
        <v>1.9299980000000001</v>
      </c>
      <c r="R13">
        <v>0</v>
      </c>
    </row>
    <row r="14" spans="1:18">
      <c r="A14" s="2">
        <v>43898</v>
      </c>
      <c r="B14" s="3">
        <v>43958.377581018518</v>
      </c>
      <c r="C14" s="1" t="s">
        <v>16</v>
      </c>
      <c r="D14" s="47">
        <v>6</v>
      </c>
      <c r="E14" s="47">
        <v>60</v>
      </c>
      <c r="F14" s="47">
        <v>305</v>
      </c>
      <c r="G14" s="47">
        <v>305</v>
      </c>
      <c r="H14" s="47">
        <v>1678</v>
      </c>
      <c r="I14" s="47">
        <v>1</v>
      </c>
      <c r="J14" s="47">
        <v>2</v>
      </c>
      <c r="K14" s="47">
        <v>0</v>
      </c>
      <c r="L14" s="47">
        <v>52</v>
      </c>
      <c r="M14" s="47">
        <v>253</v>
      </c>
      <c r="N14" s="47">
        <v>0</v>
      </c>
      <c r="O14" s="47">
        <v>1</v>
      </c>
      <c r="P14" s="47">
        <v>1</v>
      </c>
      <c r="Q14">
        <v>2.1533829999999998</v>
      </c>
      <c r="R14">
        <v>0</v>
      </c>
    </row>
    <row r="15" spans="1:18">
      <c r="A15" s="2">
        <v>43899</v>
      </c>
      <c r="B15" s="3">
        <v>43958.377581018518</v>
      </c>
      <c r="C15" s="1" t="s">
        <v>16</v>
      </c>
      <c r="D15" s="47">
        <v>13</v>
      </c>
      <c r="E15" s="47">
        <v>73</v>
      </c>
      <c r="F15" s="47">
        <v>392</v>
      </c>
      <c r="G15" s="47">
        <v>392</v>
      </c>
      <c r="H15" s="47">
        <v>1786</v>
      </c>
      <c r="I15" s="47">
        <v>3</v>
      </c>
      <c r="J15" s="47">
        <v>2</v>
      </c>
      <c r="K15" s="47">
        <v>0</v>
      </c>
      <c r="L15" s="47">
        <v>87</v>
      </c>
      <c r="M15" s="47">
        <v>305</v>
      </c>
      <c r="N15" s="47">
        <v>0</v>
      </c>
      <c r="O15" s="47">
        <v>0</v>
      </c>
      <c r="P15" s="47">
        <v>2</v>
      </c>
      <c r="Q15">
        <v>2.2672460000000001</v>
      </c>
      <c r="R15">
        <v>0</v>
      </c>
    </row>
    <row r="16" spans="1:18">
      <c r="A16" s="2">
        <v>43900</v>
      </c>
      <c r="B16" s="3">
        <v>43958.377581018518</v>
      </c>
      <c r="C16" s="1" t="s">
        <v>16</v>
      </c>
      <c r="D16" s="47">
        <v>14</v>
      </c>
      <c r="E16" s="47">
        <v>101</v>
      </c>
      <c r="F16" s="47">
        <v>543</v>
      </c>
      <c r="G16" s="47">
        <v>543</v>
      </c>
      <c r="H16" s="47">
        <v>1992</v>
      </c>
      <c r="I16" s="47">
        <v>4</v>
      </c>
      <c r="J16" s="47">
        <v>4</v>
      </c>
      <c r="K16" s="47">
        <v>0</v>
      </c>
      <c r="L16" s="47">
        <v>151</v>
      </c>
      <c r="M16" s="47">
        <v>392</v>
      </c>
      <c r="N16" s="47">
        <v>0</v>
      </c>
      <c r="O16" s="47">
        <v>2</v>
      </c>
      <c r="P16" s="47">
        <v>2</v>
      </c>
      <c r="Q16">
        <v>2.3853550000000001</v>
      </c>
      <c r="R16">
        <v>0</v>
      </c>
    </row>
    <row r="17" spans="1:18">
      <c r="A17" s="2">
        <v>43901</v>
      </c>
      <c r="B17" s="3">
        <v>43958.377581018518</v>
      </c>
      <c r="C17" s="1" t="s">
        <v>16</v>
      </c>
      <c r="D17" s="47">
        <v>17</v>
      </c>
      <c r="E17" s="47">
        <v>122</v>
      </c>
      <c r="F17" s="47">
        <v>752</v>
      </c>
      <c r="G17" s="47">
        <v>752</v>
      </c>
      <c r="H17" s="47">
        <v>2245</v>
      </c>
      <c r="I17" s="47">
        <v>9</v>
      </c>
      <c r="J17" s="47">
        <v>5</v>
      </c>
      <c r="K17" s="47">
        <v>0</v>
      </c>
      <c r="L17" s="47">
        <v>209</v>
      </c>
      <c r="M17" s="47">
        <v>543</v>
      </c>
      <c r="N17" s="47">
        <v>0</v>
      </c>
      <c r="O17" s="47">
        <v>1</v>
      </c>
      <c r="P17" s="47">
        <v>4</v>
      </c>
      <c r="Q17">
        <v>2.5677120000000002</v>
      </c>
      <c r="R17">
        <v>2.1533829999999998</v>
      </c>
    </row>
    <row r="18" spans="1:18">
      <c r="A18" s="2">
        <v>43902</v>
      </c>
      <c r="B18" s="3">
        <v>43958.377581018518</v>
      </c>
      <c r="C18" s="1" t="s">
        <v>16</v>
      </c>
      <c r="D18" s="47">
        <v>18</v>
      </c>
      <c r="E18" s="47">
        <v>146</v>
      </c>
      <c r="F18" s="47">
        <v>1049</v>
      </c>
      <c r="G18" s="47">
        <v>1049</v>
      </c>
      <c r="H18" s="47">
        <v>2605</v>
      </c>
      <c r="I18" s="47">
        <v>10</v>
      </c>
      <c r="J18" s="47">
        <v>9</v>
      </c>
      <c r="K18" s="47">
        <v>0</v>
      </c>
      <c r="L18" s="47">
        <v>297</v>
      </c>
      <c r="M18" s="47">
        <v>752</v>
      </c>
      <c r="N18" s="47">
        <v>0</v>
      </c>
      <c r="O18" s="47">
        <v>4</v>
      </c>
      <c r="P18" s="47">
        <v>5</v>
      </c>
      <c r="Q18">
        <v>2.4368780000000001</v>
      </c>
      <c r="R18">
        <v>1.5773239999999999</v>
      </c>
    </row>
    <row r="19" spans="1:18">
      <c r="A19" s="2">
        <v>43903</v>
      </c>
      <c r="B19" s="3">
        <v>43958.377581018518</v>
      </c>
      <c r="C19" s="1" t="s">
        <v>16</v>
      </c>
      <c r="D19" s="47">
        <v>20</v>
      </c>
      <c r="E19" s="47">
        <v>173</v>
      </c>
      <c r="F19" s="47">
        <v>1377</v>
      </c>
      <c r="G19" s="47">
        <v>1377</v>
      </c>
      <c r="H19" s="47">
        <v>3055</v>
      </c>
      <c r="I19" s="47">
        <v>10</v>
      </c>
      <c r="J19" s="47">
        <v>10</v>
      </c>
      <c r="K19" s="47">
        <v>0</v>
      </c>
      <c r="L19" s="47">
        <v>328</v>
      </c>
      <c r="M19" s="47">
        <v>1049</v>
      </c>
      <c r="N19" s="47">
        <v>0</v>
      </c>
      <c r="O19" s="47">
        <v>1</v>
      </c>
      <c r="P19" s="47">
        <v>9</v>
      </c>
      <c r="Q19">
        <v>2.299223</v>
      </c>
      <c r="R19">
        <v>2.1533829999999998</v>
      </c>
    </row>
    <row r="20" spans="1:18">
      <c r="A20" s="2">
        <v>43904</v>
      </c>
      <c r="B20" s="3">
        <v>43958.377581018518</v>
      </c>
      <c r="C20" s="1" t="s">
        <v>16</v>
      </c>
      <c r="D20" s="47">
        <v>36</v>
      </c>
      <c r="E20" s="47">
        <v>275</v>
      </c>
      <c r="F20" s="47">
        <v>1772</v>
      </c>
      <c r="G20" s="47">
        <v>1772</v>
      </c>
      <c r="H20" s="47">
        <v>3689</v>
      </c>
      <c r="I20" s="47">
        <v>71</v>
      </c>
      <c r="J20" s="47">
        <v>14</v>
      </c>
      <c r="K20" s="47">
        <v>0</v>
      </c>
      <c r="L20" s="47">
        <v>395</v>
      </c>
      <c r="M20" s="47">
        <v>1377</v>
      </c>
      <c r="N20" s="47">
        <v>0</v>
      </c>
      <c r="O20" s="47">
        <v>4</v>
      </c>
      <c r="P20" s="47">
        <v>10</v>
      </c>
      <c r="Q20">
        <v>2.2973159999999999</v>
      </c>
      <c r="R20">
        <v>1.7810360000000001</v>
      </c>
    </row>
    <row r="21" spans="1:18">
      <c r="A21" s="2">
        <v>43905</v>
      </c>
      <c r="B21" s="3">
        <v>43958.377581018518</v>
      </c>
      <c r="C21" s="1" t="s">
        <v>16</v>
      </c>
      <c r="D21" s="47">
        <v>43</v>
      </c>
      <c r="E21" s="47">
        <v>314</v>
      </c>
      <c r="F21" s="47">
        <v>2060</v>
      </c>
      <c r="G21" s="47">
        <v>2060</v>
      </c>
      <c r="H21" s="47">
        <v>4092</v>
      </c>
      <c r="I21" s="47">
        <v>74</v>
      </c>
      <c r="J21" s="47">
        <v>22</v>
      </c>
      <c r="K21" s="47">
        <v>0</v>
      </c>
      <c r="L21" s="47">
        <v>288</v>
      </c>
      <c r="M21" s="47">
        <v>1772</v>
      </c>
      <c r="N21" s="47">
        <v>0</v>
      </c>
      <c r="O21" s="47">
        <v>8</v>
      </c>
      <c r="P21" s="47">
        <v>14</v>
      </c>
      <c r="Q21">
        <v>2.5992660000000001</v>
      </c>
      <c r="R21">
        <v>2.0329899999999999</v>
      </c>
    </row>
    <row r="22" spans="1:18">
      <c r="A22" s="2">
        <v>43906</v>
      </c>
      <c r="B22" s="3">
        <v>43958.377581018518</v>
      </c>
      <c r="C22" s="1" t="s">
        <v>16</v>
      </c>
      <c r="D22" s="47">
        <v>56</v>
      </c>
      <c r="E22" s="47">
        <v>407</v>
      </c>
      <c r="F22" s="47">
        <v>2825</v>
      </c>
      <c r="G22" s="47">
        <v>2825</v>
      </c>
      <c r="H22" s="47">
        <v>4790</v>
      </c>
      <c r="I22" s="47">
        <v>75</v>
      </c>
      <c r="J22" s="47">
        <v>31</v>
      </c>
      <c r="K22" s="47">
        <v>0</v>
      </c>
      <c r="L22" s="47">
        <v>765</v>
      </c>
      <c r="M22" s="47">
        <v>2060</v>
      </c>
      <c r="N22" s="47">
        <v>0</v>
      </c>
      <c r="O22" s="47">
        <v>9</v>
      </c>
      <c r="P22" s="47">
        <v>22</v>
      </c>
      <c r="Q22">
        <v>2.61856</v>
      </c>
      <c r="R22">
        <v>1.899502</v>
      </c>
    </row>
    <row r="23" spans="1:18">
      <c r="A23" s="2">
        <v>43907</v>
      </c>
      <c r="B23" s="3">
        <v>43958.377581018518</v>
      </c>
      <c r="C23" s="1" t="s">
        <v>16</v>
      </c>
      <c r="D23" s="47">
        <v>75</v>
      </c>
      <c r="E23" s="47">
        <v>499</v>
      </c>
      <c r="F23" s="47">
        <v>3671</v>
      </c>
      <c r="G23" s="47">
        <v>3671</v>
      </c>
      <c r="H23" s="47">
        <v>5429</v>
      </c>
      <c r="I23" s="47">
        <v>106</v>
      </c>
      <c r="J23" s="47">
        <v>38</v>
      </c>
      <c r="K23" s="47">
        <v>0</v>
      </c>
      <c r="L23" s="47">
        <v>846</v>
      </c>
      <c r="M23" s="47">
        <v>2825</v>
      </c>
      <c r="N23" s="47">
        <v>0</v>
      </c>
      <c r="O23" s="47">
        <v>7</v>
      </c>
      <c r="P23" s="47">
        <v>31</v>
      </c>
      <c r="Q23">
        <v>2.766775</v>
      </c>
      <c r="R23">
        <v>2.4061569999999999</v>
      </c>
    </row>
    <row r="24" spans="1:18">
      <c r="A24" s="2">
        <v>43908</v>
      </c>
      <c r="B24" s="3">
        <v>43958.377581018518</v>
      </c>
      <c r="C24" s="1" t="s">
        <v>16</v>
      </c>
      <c r="D24" s="47">
        <v>84</v>
      </c>
      <c r="E24" s="47">
        <v>588</v>
      </c>
      <c r="F24" s="47">
        <v>4796</v>
      </c>
      <c r="G24" s="47">
        <v>4796</v>
      </c>
      <c r="H24" s="47">
        <v>6289</v>
      </c>
      <c r="I24" s="47">
        <v>124</v>
      </c>
      <c r="J24" s="47">
        <v>47</v>
      </c>
      <c r="K24" s="47">
        <v>0</v>
      </c>
      <c r="L24" s="47">
        <v>1125</v>
      </c>
      <c r="M24" s="47">
        <v>3671</v>
      </c>
      <c r="N24" s="47">
        <v>0</v>
      </c>
      <c r="O24" s="47">
        <v>9</v>
      </c>
      <c r="P24" s="47">
        <v>38</v>
      </c>
      <c r="Q24">
        <v>2.7773099999999999</v>
      </c>
      <c r="R24">
        <v>2.2394799999999999</v>
      </c>
    </row>
    <row r="25" spans="1:18">
      <c r="A25" s="2">
        <v>43909</v>
      </c>
      <c r="B25" s="3">
        <v>43958.377581018518</v>
      </c>
      <c r="C25" s="1" t="s">
        <v>16</v>
      </c>
      <c r="D25" s="47">
        <v>107</v>
      </c>
      <c r="E25" s="47">
        <v>716</v>
      </c>
      <c r="F25" s="47">
        <v>5793</v>
      </c>
      <c r="G25" s="47">
        <v>5793</v>
      </c>
      <c r="H25" s="47">
        <v>6917</v>
      </c>
      <c r="I25" s="47">
        <v>135</v>
      </c>
      <c r="J25" s="47">
        <v>56</v>
      </c>
      <c r="K25" s="47">
        <v>0</v>
      </c>
      <c r="L25" s="47">
        <v>997</v>
      </c>
      <c r="M25" s="47">
        <v>4796</v>
      </c>
      <c r="N25" s="47">
        <v>0</v>
      </c>
      <c r="O25" s="47">
        <v>9</v>
      </c>
      <c r="P25" s="47">
        <v>47</v>
      </c>
      <c r="Q25">
        <v>2.9258039999999998</v>
      </c>
      <c r="R25">
        <v>2.5</v>
      </c>
    </row>
    <row r="26" spans="1:18">
      <c r="A26" s="2">
        <v>43910</v>
      </c>
      <c r="B26" s="3">
        <v>43958.377581018518</v>
      </c>
      <c r="C26" s="1" t="s">
        <v>16</v>
      </c>
      <c r="D26" s="47">
        <v>116</v>
      </c>
      <c r="E26" s="47">
        <v>819</v>
      </c>
      <c r="F26" s="47">
        <v>6961</v>
      </c>
      <c r="G26" s="47">
        <v>6961</v>
      </c>
      <c r="H26" s="47">
        <v>7348</v>
      </c>
      <c r="I26" s="47">
        <v>141</v>
      </c>
      <c r="J26" s="47">
        <v>79</v>
      </c>
      <c r="K26" s="47">
        <v>0</v>
      </c>
      <c r="L26" s="47">
        <v>1168</v>
      </c>
      <c r="M26" s="47">
        <v>5793</v>
      </c>
      <c r="N26" s="47">
        <v>0</v>
      </c>
      <c r="O26" s="47">
        <v>23</v>
      </c>
      <c r="P26" s="47">
        <v>56</v>
      </c>
      <c r="Q26">
        <v>2.8463259999999999</v>
      </c>
      <c r="R26">
        <v>2.7109830000000001</v>
      </c>
    </row>
    <row r="27" spans="1:18">
      <c r="A27" s="2">
        <v>43911</v>
      </c>
      <c r="B27" s="3">
        <v>43958.377581018518</v>
      </c>
      <c r="C27" s="1" t="s">
        <v>16</v>
      </c>
      <c r="D27" s="47">
        <v>137</v>
      </c>
      <c r="E27" s="47">
        <v>945</v>
      </c>
      <c r="F27" s="47">
        <v>7643</v>
      </c>
      <c r="G27" s="47">
        <v>7643</v>
      </c>
      <c r="H27" s="47">
        <v>7709</v>
      </c>
      <c r="I27" s="47">
        <v>156</v>
      </c>
      <c r="J27" s="47">
        <v>99</v>
      </c>
      <c r="K27" s="47">
        <v>0</v>
      </c>
      <c r="L27" s="47">
        <v>682</v>
      </c>
      <c r="M27" s="47">
        <v>6961</v>
      </c>
      <c r="N27" s="47">
        <v>0</v>
      </c>
      <c r="O27" s="47">
        <v>20</v>
      </c>
      <c r="P27" s="47">
        <v>79</v>
      </c>
      <c r="Q27">
        <v>3.4821650000000002</v>
      </c>
      <c r="R27">
        <v>2.9847890000000001</v>
      </c>
    </row>
    <row r="28" spans="1:18">
      <c r="A28" s="2">
        <v>43912</v>
      </c>
      <c r="B28" s="3">
        <v>43958.377581018518</v>
      </c>
      <c r="C28" s="1" t="s">
        <v>16</v>
      </c>
      <c r="D28" s="47">
        <v>168</v>
      </c>
      <c r="E28" s="47">
        <v>1091</v>
      </c>
      <c r="F28" s="47">
        <v>8219</v>
      </c>
      <c r="G28" s="47">
        <v>8219</v>
      </c>
      <c r="H28" s="47">
        <v>7943</v>
      </c>
      <c r="I28" s="47">
        <v>174</v>
      </c>
      <c r="J28" s="47">
        <v>114</v>
      </c>
      <c r="K28" s="47">
        <v>0</v>
      </c>
      <c r="L28" s="47">
        <v>576</v>
      </c>
      <c r="M28" s="47">
        <v>7643</v>
      </c>
      <c r="N28" s="47">
        <v>0</v>
      </c>
      <c r="O28" s="47">
        <v>15</v>
      </c>
      <c r="P28" s="47">
        <v>99</v>
      </c>
      <c r="Q28">
        <v>4.3000030000000002</v>
      </c>
      <c r="R28">
        <v>3.154649</v>
      </c>
    </row>
    <row r="29" spans="1:18">
      <c r="A29" s="2">
        <v>43913</v>
      </c>
      <c r="B29" s="3">
        <v>43958.377581018518</v>
      </c>
      <c r="C29" s="1" t="s">
        <v>16</v>
      </c>
      <c r="D29" s="47">
        <v>201</v>
      </c>
      <c r="E29" s="47">
        <v>1207</v>
      </c>
      <c r="F29" s="47">
        <v>9731</v>
      </c>
      <c r="G29" s="47">
        <v>9731</v>
      </c>
      <c r="H29" s="47">
        <v>8322</v>
      </c>
      <c r="I29" s="47">
        <v>195</v>
      </c>
      <c r="J29" s="47">
        <v>144</v>
      </c>
      <c r="K29" s="47">
        <v>0</v>
      </c>
      <c r="L29" s="47">
        <v>1512</v>
      </c>
      <c r="M29" s="47">
        <v>8219</v>
      </c>
      <c r="N29" s="47">
        <v>0</v>
      </c>
      <c r="O29" s="47">
        <v>30</v>
      </c>
      <c r="P29" s="47">
        <v>114</v>
      </c>
      <c r="Q29">
        <v>4.8983280000000002</v>
      </c>
      <c r="R29">
        <v>3.0953309999999998</v>
      </c>
    </row>
    <row r="30" spans="1:18">
      <c r="A30" s="2">
        <v>43914</v>
      </c>
      <c r="B30" s="3">
        <v>43958.377581018518</v>
      </c>
      <c r="C30" s="1" t="s">
        <v>16</v>
      </c>
      <c r="D30" s="47">
        <v>203</v>
      </c>
      <c r="E30" s="47">
        <v>1364</v>
      </c>
      <c r="F30" s="47">
        <v>10818</v>
      </c>
      <c r="G30" s="47">
        <v>10818</v>
      </c>
      <c r="H30" s="47">
        <v>8663</v>
      </c>
      <c r="I30" s="47">
        <v>356</v>
      </c>
      <c r="J30" s="47">
        <v>166</v>
      </c>
      <c r="K30" s="47">
        <v>0</v>
      </c>
      <c r="L30" s="47">
        <v>1087</v>
      </c>
      <c r="M30" s="47">
        <v>9731</v>
      </c>
      <c r="N30" s="47">
        <v>0</v>
      </c>
      <c r="O30" s="47">
        <v>22</v>
      </c>
      <c r="P30" s="47">
        <v>144</v>
      </c>
      <c r="Q30">
        <v>5.5490740000000001</v>
      </c>
      <c r="R30">
        <v>3.1894170000000002</v>
      </c>
    </row>
    <row r="31" spans="1:18">
      <c r="A31" s="2">
        <v>43915</v>
      </c>
      <c r="B31" s="3">
        <v>43958.377581018518</v>
      </c>
      <c r="C31" s="1" t="s">
        <v>16</v>
      </c>
      <c r="D31" s="47">
        <v>237</v>
      </c>
      <c r="E31" s="47">
        <v>1463</v>
      </c>
      <c r="F31" s="47">
        <v>11944</v>
      </c>
      <c r="G31" s="47">
        <v>11944</v>
      </c>
      <c r="H31" s="47">
        <v>9069</v>
      </c>
      <c r="I31" s="47">
        <v>415</v>
      </c>
      <c r="J31" s="47">
        <v>201</v>
      </c>
      <c r="K31" s="47">
        <v>0</v>
      </c>
      <c r="L31" s="47">
        <v>1126</v>
      </c>
      <c r="M31" s="47">
        <v>10818</v>
      </c>
      <c r="N31" s="47">
        <v>0</v>
      </c>
      <c r="O31" s="47">
        <v>35</v>
      </c>
      <c r="P31" s="47">
        <v>166</v>
      </c>
      <c r="Q31">
        <v>6.4191479999999999</v>
      </c>
      <c r="R31">
        <v>3.7112059999999998</v>
      </c>
    </row>
    <row r="32" spans="1:18">
      <c r="A32" s="2">
        <v>43916</v>
      </c>
      <c r="B32" s="3">
        <v>43958.377581018518</v>
      </c>
      <c r="C32" s="1" t="s">
        <v>16</v>
      </c>
      <c r="D32" s="47">
        <v>266</v>
      </c>
      <c r="E32" s="47">
        <v>1609</v>
      </c>
      <c r="F32" s="47">
        <v>13061</v>
      </c>
      <c r="G32" s="47">
        <v>13061</v>
      </c>
      <c r="H32" s="47">
        <v>10377</v>
      </c>
      <c r="I32" s="47">
        <v>500</v>
      </c>
      <c r="J32" s="47">
        <v>246</v>
      </c>
      <c r="K32" s="47">
        <v>0</v>
      </c>
      <c r="L32" s="47">
        <v>1117</v>
      </c>
      <c r="M32" s="47">
        <v>11944</v>
      </c>
      <c r="N32" s="47">
        <v>0</v>
      </c>
      <c r="O32" s="47">
        <v>45</v>
      </c>
      <c r="P32" s="47">
        <v>201</v>
      </c>
      <c r="Q32">
        <v>6.4678500000000003</v>
      </c>
      <c r="R32">
        <v>3.8076150000000002</v>
      </c>
    </row>
    <row r="33" spans="1:18">
      <c r="A33" s="2">
        <v>43917</v>
      </c>
      <c r="B33" s="3">
        <v>43958.377581018518</v>
      </c>
      <c r="C33" s="1" t="s">
        <v>16</v>
      </c>
      <c r="D33" s="47">
        <v>290</v>
      </c>
      <c r="E33" s="47">
        <v>1789</v>
      </c>
      <c r="F33" s="47">
        <v>14398</v>
      </c>
      <c r="G33" s="47">
        <v>14398</v>
      </c>
      <c r="H33" s="47">
        <v>10869</v>
      </c>
      <c r="I33" s="47">
        <v>585</v>
      </c>
      <c r="J33" s="47">
        <v>283</v>
      </c>
      <c r="K33" s="47">
        <v>0</v>
      </c>
      <c r="L33" s="47">
        <v>1337</v>
      </c>
      <c r="M33" s="47">
        <v>13061</v>
      </c>
      <c r="N33" s="47">
        <v>0</v>
      </c>
      <c r="O33" s="47">
        <v>37</v>
      </c>
      <c r="P33" s="47">
        <v>246</v>
      </c>
      <c r="Q33">
        <v>6.1817409999999997</v>
      </c>
      <c r="R33">
        <v>3.8116490000000001</v>
      </c>
    </row>
    <row r="34" spans="1:18">
      <c r="A34" s="2">
        <v>43918</v>
      </c>
      <c r="B34" s="3">
        <v>43958.377581018518</v>
      </c>
      <c r="C34" s="1" t="s">
        <v>16</v>
      </c>
      <c r="D34" s="47">
        <v>320</v>
      </c>
      <c r="E34" s="47">
        <v>1876</v>
      </c>
      <c r="F34" s="47">
        <v>15231</v>
      </c>
      <c r="G34" s="47">
        <v>15231</v>
      </c>
      <c r="H34" s="47">
        <v>11458</v>
      </c>
      <c r="I34" s="47">
        <v>684</v>
      </c>
      <c r="J34" s="47">
        <v>335</v>
      </c>
      <c r="K34" s="47">
        <v>0</v>
      </c>
      <c r="L34" s="47">
        <v>833</v>
      </c>
      <c r="M34" s="47">
        <v>14398</v>
      </c>
      <c r="N34" s="47">
        <v>0</v>
      </c>
      <c r="O34" s="47">
        <v>52</v>
      </c>
      <c r="P34" s="47">
        <v>283</v>
      </c>
      <c r="Q34">
        <v>7.7357389999999997</v>
      </c>
      <c r="R34">
        <v>4.1047789999999997</v>
      </c>
    </row>
    <row r="35" spans="1:18">
      <c r="A35" s="2">
        <v>43919</v>
      </c>
      <c r="B35" s="3">
        <v>43958.377581018518</v>
      </c>
      <c r="C35" s="1" t="s">
        <v>16</v>
      </c>
      <c r="D35" s="47">
        <v>334</v>
      </c>
      <c r="E35" s="47">
        <v>1990</v>
      </c>
      <c r="F35" s="47">
        <v>15830</v>
      </c>
      <c r="G35" s="47">
        <v>15830</v>
      </c>
      <c r="H35" s="47">
        <v>11767</v>
      </c>
      <c r="I35" s="47">
        <v>753</v>
      </c>
      <c r="J35" s="47">
        <v>380</v>
      </c>
      <c r="K35" s="47">
        <v>0</v>
      </c>
      <c r="L35" s="47">
        <v>599</v>
      </c>
      <c r="M35" s="47">
        <v>15231</v>
      </c>
      <c r="N35" s="47">
        <v>0</v>
      </c>
      <c r="O35" s="47">
        <v>45</v>
      </c>
      <c r="P35" s="47">
        <v>335</v>
      </c>
      <c r="Q35">
        <v>9.1036959999999993</v>
      </c>
      <c r="R35">
        <v>4.1847440000000002</v>
      </c>
    </row>
    <row r="36" spans="1:18">
      <c r="A36" s="2">
        <v>43920</v>
      </c>
      <c r="B36" s="3">
        <v>43958.377581018518</v>
      </c>
      <c r="C36" s="1" t="s">
        <v>16</v>
      </c>
      <c r="D36" s="47">
        <v>380</v>
      </c>
      <c r="E36" s="47">
        <v>2174</v>
      </c>
      <c r="F36" s="47">
        <v>16948</v>
      </c>
      <c r="G36" s="47">
        <v>16948</v>
      </c>
      <c r="H36" s="47">
        <v>12429</v>
      </c>
      <c r="I36" s="47">
        <v>878</v>
      </c>
      <c r="J36" s="47">
        <v>441</v>
      </c>
      <c r="K36" s="47">
        <v>0</v>
      </c>
      <c r="L36" s="47">
        <v>1118</v>
      </c>
      <c r="M36" s="47">
        <v>15830</v>
      </c>
      <c r="N36" s="47">
        <v>0</v>
      </c>
      <c r="O36" s="47">
        <v>61</v>
      </c>
      <c r="P36" s="47">
        <v>380</v>
      </c>
      <c r="Q36">
        <v>9.9043449999999993</v>
      </c>
      <c r="R36">
        <v>4.4107919999999998</v>
      </c>
    </row>
    <row r="37" spans="1:18">
      <c r="A37" s="2">
        <v>43921</v>
      </c>
      <c r="B37" s="3">
        <v>43958.377581018518</v>
      </c>
      <c r="C37" s="1" t="s">
        <v>16</v>
      </c>
      <c r="D37" s="47">
        <v>406</v>
      </c>
      <c r="E37" s="47">
        <v>2202</v>
      </c>
      <c r="F37" s="47">
        <v>17869</v>
      </c>
      <c r="G37" s="47">
        <v>17869</v>
      </c>
      <c r="H37" s="47">
        <v>13187</v>
      </c>
      <c r="I37" s="47">
        <v>1080</v>
      </c>
      <c r="J37" s="47">
        <v>506</v>
      </c>
      <c r="K37" s="47">
        <v>0</v>
      </c>
      <c r="L37" s="47">
        <v>921</v>
      </c>
      <c r="M37" s="47">
        <v>16948</v>
      </c>
      <c r="N37" s="47">
        <v>0</v>
      </c>
      <c r="O37" s="47">
        <v>65</v>
      </c>
      <c r="P37" s="47">
        <v>441</v>
      </c>
      <c r="Q37">
        <v>11.057212</v>
      </c>
      <c r="R37">
        <v>4.8054790000000001</v>
      </c>
    </row>
    <row r="38" spans="1:18">
      <c r="A38" s="2">
        <v>43922</v>
      </c>
      <c r="B38" s="3">
        <v>43958.377581018518</v>
      </c>
      <c r="C38" s="1" t="s">
        <v>16</v>
      </c>
      <c r="D38" s="47">
        <v>436</v>
      </c>
      <c r="E38" s="47">
        <v>2281</v>
      </c>
      <c r="F38" s="47">
        <v>18940</v>
      </c>
      <c r="G38" s="47">
        <v>18940</v>
      </c>
      <c r="H38" s="47">
        <v>13855</v>
      </c>
      <c r="I38" s="47">
        <v>1184</v>
      </c>
      <c r="J38" s="47">
        <v>569</v>
      </c>
      <c r="K38" s="47">
        <v>0</v>
      </c>
      <c r="L38" s="47">
        <v>1071</v>
      </c>
      <c r="M38" s="47">
        <v>17869</v>
      </c>
      <c r="N38" s="47">
        <v>0</v>
      </c>
      <c r="O38" s="47">
        <v>63</v>
      </c>
      <c r="P38" s="47">
        <v>506</v>
      </c>
      <c r="Q38">
        <v>12.640055</v>
      </c>
      <c r="R38">
        <v>4.9621560000000002</v>
      </c>
    </row>
    <row r="39" spans="1:18">
      <c r="A39" s="2">
        <v>43923</v>
      </c>
      <c r="B39" s="3">
        <v>43958.377581018518</v>
      </c>
      <c r="C39" s="1" t="s">
        <v>16</v>
      </c>
      <c r="D39" s="47">
        <v>441</v>
      </c>
      <c r="E39" s="47">
        <v>2345</v>
      </c>
      <c r="F39" s="47">
        <v>20009</v>
      </c>
      <c r="G39" s="47">
        <v>20009</v>
      </c>
      <c r="H39" s="47">
        <v>14921</v>
      </c>
      <c r="I39" s="47">
        <v>1377</v>
      </c>
      <c r="J39" s="47">
        <v>630</v>
      </c>
      <c r="K39" s="47">
        <v>0</v>
      </c>
      <c r="L39" s="47">
        <v>1069</v>
      </c>
      <c r="M39" s="47">
        <v>18940</v>
      </c>
      <c r="N39" s="47">
        <v>0</v>
      </c>
      <c r="O39" s="47">
        <v>61</v>
      </c>
      <c r="P39" s="47">
        <v>569</v>
      </c>
      <c r="Q39">
        <v>12.702013000000001</v>
      </c>
      <c r="R39">
        <v>5.4873250000000002</v>
      </c>
    </row>
    <row r="40" spans="1:18">
      <c r="A40" s="2">
        <v>43924</v>
      </c>
      <c r="B40" s="3">
        <v>43958.377581018518</v>
      </c>
      <c r="C40" s="1" t="s">
        <v>16</v>
      </c>
      <c r="D40" s="47">
        <v>451</v>
      </c>
      <c r="E40" s="47">
        <v>2327</v>
      </c>
      <c r="F40" s="47">
        <v>20976</v>
      </c>
      <c r="G40" s="47">
        <v>20976</v>
      </c>
      <c r="H40" s="47">
        <v>15762</v>
      </c>
      <c r="I40" s="47">
        <v>1480</v>
      </c>
      <c r="J40" s="47">
        <v>691</v>
      </c>
      <c r="K40" s="47">
        <v>0</v>
      </c>
      <c r="L40" s="47">
        <v>967</v>
      </c>
      <c r="M40" s="47">
        <v>20009</v>
      </c>
      <c r="N40" s="47">
        <v>0</v>
      </c>
      <c r="O40" s="47">
        <v>61</v>
      </c>
      <c r="P40" s="47">
        <v>630</v>
      </c>
      <c r="Q40">
        <v>12.312894999999999</v>
      </c>
      <c r="R40">
        <v>5.7958499999999997</v>
      </c>
    </row>
    <row r="41" spans="1:18">
      <c r="A41" s="2">
        <v>43925</v>
      </c>
      <c r="B41" s="3">
        <v>43958.377581018518</v>
      </c>
      <c r="C41" s="1" t="s">
        <v>16</v>
      </c>
      <c r="D41" s="47">
        <v>453</v>
      </c>
      <c r="E41" s="47">
        <v>2315</v>
      </c>
      <c r="F41" s="47">
        <v>21547</v>
      </c>
      <c r="G41" s="47">
        <v>21547</v>
      </c>
      <c r="H41" s="47">
        <v>16333</v>
      </c>
      <c r="I41" s="47">
        <v>1631</v>
      </c>
      <c r="J41" s="47">
        <v>758</v>
      </c>
      <c r="K41" s="47">
        <v>0</v>
      </c>
      <c r="L41" s="47">
        <v>571</v>
      </c>
      <c r="M41" s="47">
        <v>20976</v>
      </c>
      <c r="N41" s="47">
        <v>0</v>
      </c>
      <c r="O41" s="47">
        <v>67</v>
      </c>
      <c r="P41" s="47">
        <v>691</v>
      </c>
      <c r="Q41">
        <v>14.435347999999999</v>
      </c>
      <c r="R41">
        <v>6.3986140000000002</v>
      </c>
    </row>
    <row r="42" spans="1:18">
      <c r="A42" s="2">
        <v>43926</v>
      </c>
      <c r="B42" s="3">
        <v>43958.377581018518</v>
      </c>
      <c r="C42" s="1" t="s">
        <v>16</v>
      </c>
      <c r="D42" s="47">
        <v>443</v>
      </c>
      <c r="E42" s="47">
        <v>2300</v>
      </c>
      <c r="F42" s="47">
        <v>21929</v>
      </c>
      <c r="G42" s="47">
        <v>21929</v>
      </c>
      <c r="H42" s="47">
        <v>16627</v>
      </c>
      <c r="I42" s="47">
        <v>1791</v>
      </c>
      <c r="J42" s="47">
        <v>810</v>
      </c>
      <c r="K42" s="47">
        <v>0</v>
      </c>
      <c r="L42" s="47">
        <v>382</v>
      </c>
      <c r="M42" s="47">
        <v>21547</v>
      </c>
      <c r="N42" s="47">
        <v>0</v>
      </c>
      <c r="O42" s="47">
        <v>52</v>
      </c>
      <c r="P42" s="47">
        <v>758</v>
      </c>
      <c r="Q42">
        <v>16.927282999999999</v>
      </c>
      <c r="R42">
        <v>7.3661079999999997</v>
      </c>
    </row>
    <row r="43" spans="1:18">
      <c r="A43" s="2">
        <v>43927</v>
      </c>
      <c r="B43" s="3">
        <v>43958.377581018518</v>
      </c>
      <c r="C43" s="1" t="s">
        <v>16</v>
      </c>
      <c r="D43" s="47">
        <v>442</v>
      </c>
      <c r="E43" s="47">
        <v>2305</v>
      </c>
      <c r="F43" s="47">
        <v>22671</v>
      </c>
      <c r="G43" s="47">
        <v>22671</v>
      </c>
      <c r="H43" s="47">
        <v>17246</v>
      </c>
      <c r="I43" s="47">
        <v>1904</v>
      </c>
      <c r="J43" s="47">
        <v>869</v>
      </c>
      <c r="K43" s="47">
        <v>0</v>
      </c>
      <c r="L43" s="47">
        <v>742</v>
      </c>
      <c r="M43" s="47">
        <v>21929</v>
      </c>
      <c r="N43" s="47">
        <v>0</v>
      </c>
      <c r="O43" s="47">
        <v>59</v>
      </c>
      <c r="P43" s="47">
        <v>810</v>
      </c>
      <c r="Q43">
        <v>19.274381000000002</v>
      </c>
      <c r="R43">
        <v>8.1842769999999998</v>
      </c>
    </row>
    <row r="44" spans="1:18">
      <c r="A44" s="2">
        <v>43928</v>
      </c>
      <c r="B44" s="3">
        <v>43958.377581018518</v>
      </c>
      <c r="C44" s="1" t="s">
        <v>16</v>
      </c>
      <c r="D44" s="47">
        <v>436</v>
      </c>
      <c r="E44" s="47">
        <v>2223</v>
      </c>
      <c r="F44" s="47">
        <v>23323</v>
      </c>
      <c r="G44" s="47">
        <v>23323</v>
      </c>
      <c r="H44" s="47">
        <v>18087</v>
      </c>
      <c r="I44" s="47">
        <v>2247</v>
      </c>
      <c r="J44" s="47">
        <v>929</v>
      </c>
      <c r="K44" s="47">
        <v>0</v>
      </c>
      <c r="L44" s="47">
        <v>652</v>
      </c>
      <c r="M44" s="47">
        <v>22671</v>
      </c>
      <c r="N44" s="47">
        <v>0</v>
      </c>
      <c r="O44" s="47">
        <v>60</v>
      </c>
      <c r="P44" s="47">
        <v>869</v>
      </c>
      <c r="Q44">
        <v>22.613761</v>
      </c>
      <c r="R44">
        <v>8.9233650000000004</v>
      </c>
    </row>
    <row r="45" spans="1:18">
      <c r="A45" s="2">
        <v>43929</v>
      </c>
      <c r="B45" s="3">
        <v>43958.377581018518</v>
      </c>
      <c r="C45" s="1" t="s">
        <v>16</v>
      </c>
      <c r="D45" s="47">
        <v>433</v>
      </c>
      <c r="E45" s="47">
        <v>2133</v>
      </c>
      <c r="F45" s="47">
        <v>23992</v>
      </c>
      <c r="G45" s="47">
        <v>23992</v>
      </c>
      <c r="H45" s="47">
        <v>18856</v>
      </c>
      <c r="I45" s="47">
        <v>2457</v>
      </c>
      <c r="J45" s="47">
        <v>997</v>
      </c>
      <c r="K45" s="47">
        <v>0</v>
      </c>
      <c r="L45" s="47">
        <v>669</v>
      </c>
      <c r="M45" s="47">
        <v>23323</v>
      </c>
      <c r="N45" s="47">
        <v>0</v>
      </c>
      <c r="O45" s="47">
        <v>68</v>
      </c>
      <c r="P45" s="47">
        <v>929</v>
      </c>
      <c r="Q45">
        <v>25.797951999999999</v>
      </c>
      <c r="R45">
        <v>9.4534439999999993</v>
      </c>
    </row>
    <row r="46" spans="1:18">
      <c r="A46" s="2">
        <v>43930</v>
      </c>
      <c r="B46" s="3">
        <v>43958.377581018518</v>
      </c>
      <c r="C46" s="1" t="s">
        <v>16</v>
      </c>
      <c r="D46" s="47">
        <v>426</v>
      </c>
      <c r="E46" s="47">
        <v>2065</v>
      </c>
      <c r="F46" s="47">
        <v>24661</v>
      </c>
      <c r="G46" s="47">
        <v>24661</v>
      </c>
      <c r="H46" s="47">
        <v>19440</v>
      </c>
      <c r="I46" s="47">
        <v>2601</v>
      </c>
      <c r="J46" s="47">
        <v>1048</v>
      </c>
      <c r="K46" s="47">
        <v>0</v>
      </c>
      <c r="L46" s="47">
        <v>669</v>
      </c>
      <c r="M46" s="47">
        <v>23992</v>
      </c>
      <c r="N46" s="47">
        <v>0</v>
      </c>
      <c r="O46" s="47">
        <v>51</v>
      </c>
      <c r="P46" s="47">
        <v>997</v>
      </c>
      <c r="Q46">
        <v>25.674693999999999</v>
      </c>
      <c r="R46">
        <v>10.698186</v>
      </c>
    </row>
    <row r="47" spans="1:18">
      <c r="A47" s="2">
        <v>43931</v>
      </c>
      <c r="B47" s="3">
        <v>43958.377581018518</v>
      </c>
      <c r="C47" s="1" t="s">
        <v>16</v>
      </c>
      <c r="D47" s="47">
        <v>415</v>
      </c>
      <c r="E47" s="47">
        <v>2005</v>
      </c>
      <c r="F47" s="47">
        <v>25110</v>
      </c>
      <c r="G47" s="47">
        <v>25110</v>
      </c>
      <c r="H47" s="47">
        <v>19846</v>
      </c>
      <c r="I47" s="47">
        <v>2685</v>
      </c>
      <c r="J47" s="47">
        <v>1099</v>
      </c>
      <c r="K47" s="47">
        <v>0</v>
      </c>
      <c r="L47" s="47">
        <v>449</v>
      </c>
      <c r="M47" s="47">
        <v>24661</v>
      </c>
      <c r="N47" s="47">
        <v>0</v>
      </c>
      <c r="O47" s="47">
        <v>51</v>
      </c>
      <c r="P47" s="47">
        <v>1048</v>
      </c>
      <c r="Q47">
        <v>25.585654999999999</v>
      </c>
      <c r="R47">
        <v>11.358536000000001</v>
      </c>
    </row>
    <row r="48" spans="1:18">
      <c r="A48" s="2">
        <v>43932</v>
      </c>
      <c r="B48" s="3">
        <v>43958.377581018518</v>
      </c>
      <c r="C48" s="1" t="s">
        <v>16</v>
      </c>
      <c r="D48" s="47">
        <v>415</v>
      </c>
      <c r="E48" s="47">
        <v>1930</v>
      </c>
      <c r="F48" s="47">
        <v>25573</v>
      </c>
      <c r="G48" s="47">
        <v>25573</v>
      </c>
      <c r="H48" s="47">
        <v>20189</v>
      </c>
      <c r="I48" s="47">
        <v>2839</v>
      </c>
      <c r="J48" s="47">
        <v>1137</v>
      </c>
      <c r="K48" s="47">
        <v>0</v>
      </c>
      <c r="L48" s="47">
        <v>463</v>
      </c>
      <c r="M48" s="47">
        <v>25110</v>
      </c>
      <c r="N48" s="47">
        <v>0</v>
      </c>
      <c r="O48" s="47">
        <v>38</v>
      </c>
      <c r="P48" s="47">
        <v>1099</v>
      </c>
      <c r="Q48">
        <v>28.773105999999999</v>
      </c>
      <c r="R48">
        <v>12.893105</v>
      </c>
    </row>
    <row r="49" spans="1:18">
      <c r="A49" s="2">
        <v>43933</v>
      </c>
      <c r="B49" s="3">
        <v>43958.377581018518</v>
      </c>
      <c r="C49" s="1" t="s">
        <v>16</v>
      </c>
      <c r="D49" s="47">
        <v>404</v>
      </c>
      <c r="E49" s="47">
        <v>1907</v>
      </c>
      <c r="F49" s="47">
        <v>25846</v>
      </c>
      <c r="G49" s="47">
        <v>25846</v>
      </c>
      <c r="H49" s="47">
        <v>20362</v>
      </c>
      <c r="I49" s="47">
        <v>2932</v>
      </c>
      <c r="J49" s="47">
        <v>1193</v>
      </c>
      <c r="K49" s="47">
        <v>0</v>
      </c>
      <c r="L49" s="47">
        <v>273</v>
      </c>
      <c r="M49" s="47">
        <v>25573</v>
      </c>
      <c r="N49" s="47">
        <v>0</v>
      </c>
      <c r="O49" s="47">
        <v>56</v>
      </c>
      <c r="P49" s="47">
        <v>1137</v>
      </c>
      <c r="Q49">
        <v>33.741002999999999</v>
      </c>
      <c r="R49">
        <v>13.856420999999999</v>
      </c>
    </row>
    <row r="50" spans="1:18">
      <c r="A50" s="2">
        <v>43934</v>
      </c>
      <c r="B50" s="3">
        <v>43958.377581018518</v>
      </c>
      <c r="C50" s="1" t="s">
        <v>16</v>
      </c>
      <c r="D50" s="47">
        <v>400</v>
      </c>
      <c r="E50" s="47">
        <v>1890</v>
      </c>
      <c r="F50" s="47">
        <v>26096</v>
      </c>
      <c r="G50" s="47">
        <v>26096</v>
      </c>
      <c r="H50" s="47">
        <v>20656</v>
      </c>
      <c r="I50" s="47">
        <v>3012</v>
      </c>
      <c r="J50" s="47">
        <v>1223</v>
      </c>
      <c r="K50" s="47">
        <v>0</v>
      </c>
      <c r="L50" s="47">
        <v>250</v>
      </c>
      <c r="M50" s="47">
        <v>25846</v>
      </c>
      <c r="N50" s="47">
        <v>0</v>
      </c>
      <c r="O50" s="47">
        <v>30</v>
      </c>
      <c r="P50" s="47">
        <v>1193</v>
      </c>
      <c r="Q50">
        <v>41.228524</v>
      </c>
      <c r="R50">
        <v>16.963011000000002</v>
      </c>
    </row>
    <row r="51" spans="1:18">
      <c r="A51" s="2">
        <v>43935</v>
      </c>
      <c r="B51" s="3">
        <v>43958.377581018518</v>
      </c>
      <c r="C51" s="1" t="s">
        <v>16</v>
      </c>
      <c r="D51" s="47">
        <v>387</v>
      </c>
      <c r="E51" s="47">
        <v>1850</v>
      </c>
      <c r="F51" s="47">
        <v>26419</v>
      </c>
      <c r="G51" s="47">
        <v>26419</v>
      </c>
      <c r="H51" s="47">
        <v>21205</v>
      </c>
      <c r="I51" s="47">
        <v>3166</v>
      </c>
      <c r="J51" s="47">
        <v>1261</v>
      </c>
      <c r="K51" s="47">
        <v>0</v>
      </c>
      <c r="L51" s="47">
        <v>323</v>
      </c>
      <c r="M51" s="47">
        <v>26096</v>
      </c>
      <c r="N51" s="47">
        <v>0</v>
      </c>
      <c r="O51" s="47">
        <v>38</v>
      </c>
      <c r="P51" s="47">
        <v>1223</v>
      </c>
      <c r="Q51">
        <v>50.329884</v>
      </c>
      <c r="R51">
        <v>18.731534</v>
      </c>
    </row>
    <row r="52" spans="1:18">
      <c r="A52" s="2">
        <v>43936</v>
      </c>
      <c r="B52" s="3">
        <v>43958.377581018518</v>
      </c>
      <c r="C52" s="1" t="s">
        <v>16</v>
      </c>
      <c r="D52" s="47">
        <v>364</v>
      </c>
      <c r="E52" s="47">
        <v>1726</v>
      </c>
      <c r="F52" s="47">
        <v>26741</v>
      </c>
      <c r="G52" s="47">
        <v>26741</v>
      </c>
      <c r="H52" s="47">
        <v>21649</v>
      </c>
      <c r="I52" s="47">
        <v>3320</v>
      </c>
      <c r="J52" s="47">
        <v>1314</v>
      </c>
      <c r="K52" s="47">
        <v>0</v>
      </c>
      <c r="L52" s="47">
        <v>322</v>
      </c>
      <c r="M52" s="47">
        <v>26419</v>
      </c>
      <c r="N52" s="47">
        <v>0</v>
      </c>
      <c r="O52" s="47">
        <v>53</v>
      </c>
      <c r="P52" s="47">
        <v>1261</v>
      </c>
      <c r="Q52">
        <v>55.071302000000003</v>
      </c>
      <c r="R52">
        <v>19.396844000000002</v>
      </c>
    </row>
    <row r="53" spans="1:18">
      <c r="A53" s="2">
        <v>43937</v>
      </c>
      <c r="B53" s="3">
        <v>43958.377581018518</v>
      </c>
      <c r="C53" s="1" t="s">
        <v>16</v>
      </c>
      <c r="D53" s="47">
        <v>344</v>
      </c>
      <c r="E53" s="47">
        <v>1670</v>
      </c>
      <c r="F53" s="47">
        <v>27041</v>
      </c>
      <c r="G53" s="47">
        <v>27041</v>
      </c>
      <c r="H53" s="47">
        <v>22290</v>
      </c>
      <c r="I53" s="47">
        <v>3477</v>
      </c>
      <c r="J53" s="47">
        <v>1360</v>
      </c>
      <c r="K53" s="47">
        <v>0</v>
      </c>
      <c r="L53" s="47">
        <v>300</v>
      </c>
      <c r="M53" s="47">
        <v>26741</v>
      </c>
      <c r="N53" s="47">
        <v>0</v>
      </c>
      <c r="O53" s="47">
        <v>46</v>
      </c>
      <c r="P53" s="47">
        <v>1314</v>
      </c>
      <c r="Q53">
        <v>62.090905999999997</v>
      </c>
      <c r="R53">
        <v>19.351762999999998</v>
      </c>
    </row>
    <row r="54" spans="1:18">
      <c r="A54" s="2">
        <v>43938</v>
      </c>
      <c r="B54" s="3">
        <v>43958.377581018518</v>
      </c>
      <c r="C54" s="1" t="s">
        <v>16</v>
      </c>
      <c r="D54" s="47">
        <v>332</v>
      </c>
      <c r="E54" s="47">
        <v>1571</v>
      </c>
      <c r="F54" s="47">
        <v>27365</v>
      </c>
      <c r="G54" s="47">
        <v>27365</v>
      </c>
      <c r="H54" s="47">
        <v>22704</v>
      </c>
      <c r="I54" s="47">
        <v>3579</v>
      </c>
      <c r="J54" s="47">
        <v>1407</v>
      </c>
      <c r="K54" s="47">
        <v>0</v>
      </c>
      <c r="L54" s="47">
        <v>324</v>
      </c>
      <c r="M54" s="47">
        <v>27041</v>
      </c>
      <c r="N54" s="47">
        <v>0</v>
      </c>
      <c r="O54" s="47">
        <v>47</v>
      </c>
      <c r="P54" s="47">
        <v>1360</v>
      </c>
      <c r="Q54">
        <v>60.686362000000003</v>
      </c>
      <c r="R54">
        <v>21.005907000000001</v>
      </c>
    </row>
    <row r="55" spans="1:18">
      <c r="A55" s="2">
        <v>43939</v>
      </c>
      <c r="B55" s="3">
        <v>43958.377581018518</v>
      </c>
      <c r="C55" s="1" t="s">
        <v>16</v>
      </c>
      <c r="D55" s="47">
        <v>318</v>
      </c>
      <c r="E55" s="47">
        <v>1520</v>
      </c>
      <c r="F55" s="47">
        <v>27650</v>
      </c>
      <c r="G55" s="47">
        <v>27650</v>
      </c>
      <c r="H55" s="47">
        <v>23118</v>
      </c>
      <c r="I55" s="47">
        <v>3693</v>
      </c>
      <c r="J55" s="47">
        <v>1449</v>
      </c>
      <c r="K55" s="47">
        <v>0</v>
      </c>
      <c r="L55" s="47">
        <v>285</v>
      </c>
      <c r="M55" s="47">
        <v>27365</v>
      </c>
      <c r="N55" s="47">
        <v>0</v>
      </c>
      <c r="O55" s="47">
        <v>42</v>
      </c>
      <c r="P55" s="47">
        <v>1407</v>
      </c>
      <c r="Q55">
        <v>59.915548000000001</v>
      </c>
      <c r="R55">
        <v>20.438763999999999</v>
      </c>
    </row>
    <row r="56" spans="1:18">
      <c r="A56" s="2">
        <v>43940</v>
      </c>
      <c r="B56" s="3">
        <v>43958.377581018518</v>
      </c>
      <c r="C56" s="1" t="s">
        <v>16</v>
      </c>
      <c r="D56" s="47">
        <v>309</v>
      </c>
      <c r="E56" s="47">
        <v>1512</v>
      </c>
      <c r="F56" s="47">
        <v>27827</v>
      </c>
      <c r="G56" s="47">
        <v>27827</v>
      </c>
      <c r="H56" s="47">
        <v>23276</v>
      </c>
      <c r="I56" s="47">
        <v>3744</v>
      </c>
      <c r="J56" s="47">
        <v>1473</v>
      </c>
      <c r="K56" s="47">
        <v>0</v>
      </c>
      <c r="L56" s="47">
        <v>177</v>
      </c>
      <c r="M56" s="47">
        <v>27650</v>
      </c>
      <c r="N56" s="47">
        <v>0</v>
      </c>
      <c r="O56" s="47">
        <v>24</v>
      </c>
      <c r="P56" s="47">
        <v>1449</v>
      </c>
      <c r="Q56">
        <v>66.747189000000006</v>
      </c>
      <c r="R56">
        <v>22.302595</v>
      </c>
    </row>
    <row r="57" spans="1:18">
      <c r="A57" s="2">
        <v>43941</v>
      </c>
      <c r="B57" s="3">
        <v>43958.377581018518</v>
      </c>
      <c r="C57" s="1" t="s">
        <v>16</v>
      </c>
      <c r="D57" s="47">
        <v>295</v>
      </c>
      <c r="E57" s="47">
        <v>1490</v>
      </c>
      <c r="F57" s="47">
        <v>28028</v>
      </c>
      <c r="G57" s="47">
        <v>28028</v>
      </c>
      <c r="H57" s="47">
        <v>23647</v>
      </c>
      <c r="I57" s="47">
        <v>3878</v>
      </c>
      <c r="J57" s="47">
        <v>1515</v>
      </c>
      <c r="K57" s="47">
        <v>0</v>
      </c>
      <c r="L57" s="47">
        <v>201</v>
      </c>
      <c r="M57" s="47">
        <v>27827</v>
      </c>
      <c r="N57" s="47">
        <v>0</v>
      </c>
      <c r="O57" s="47">
        <v>42</v>
      </c>
      <c r="P57" s="47">
        <v>1473</v>
      </c>
      <c r="Q57">
        <v>73.729583000000005</v>
      </c>
      <c r="R57">
        <v>24.348374</v>
      </c>
    </row>
    <row r="58" spans="1:18">
      <c r="A58" s="2">
        <v>43942</v>
      </c>
      <c r="B58" s="3">
        <v>43958.377581018518</v>
      </c>
      <c r="C58" s="1" t="s">
        <v>16</v>
      </c>
      <c r="D58" s="47">
        <v>281</v>
      </c>
      <c r="E58" s="47">
        <v>1412</v>
      </c>
      <c r="F58" s="47">
        <v>28191</v>
      </c>
      <c r="G58" s="47">
        <v>28191</v>
      </c>
      <c r="H58" s="47">
        <v>24121</v>
      </c>
      <c r="I58" s="47">
        <v>3996</v>
      </c>
      <c r="J58" s="47">
        <v>1556</v>
      </c>
      <c r="K58" s="47">
        <v>0</v>
      </c>
      <c r="L58" s="47">
        <v>163</v>
      </c>
      <c r="M58" s="47">
        <v>28028</v>
      </c>
      <c r="N58" s="47">
        <v>0</v>
      </c>
      <c r="O58" s="47">
        <v>41</v>
      </c>
      <c r="P58" s="47">
        <v>1515</v>
      </c>
      <c r="Q58">
        <v>83.213852000000003</v>
      </c>
      <c r="R58">
        <v>25.741959000000001</v>
      </c>
    </row>
    <row r="59" spans="1:18">
      <c r="A59" s="2">
        <v>43943</v>
      </c>
      <c r="B59" s="3">
        <v>43958.377581018518</v>
      </c>
      <c r="C59" s="1" t="s">
        <v>16</v>
      </c>
      <c r="D59" s="47">
        <v>250</v>
      </c>
      <c r="E59" s="47">
        <v>1348</v>
      </c>
      <c r="F59" s="47">
        <v>28392</v>
      </c>
      <c r="G59" s="47">
        <v>28392</v>
      </c>
      <c r="H59" s="47">
        <v>24480</v>
      </c>
      <c r="I59" s="47">
        <v>4103</v>
      </c>
      <c r="J59" s="47">
        <v>1583</v>
      </c>
      <c r="K59" s="47">
        <v>0</v>
      </c>
      <c r="L59" s="47">
        <v>201</v>
      </c>
      <c r="M59" s="47">
        <v>28191</v>
      </c>
      <c r="N59" s="47">
        <v>0</v>
      </c>
      <c r="O59" s="47">
        <v>27</v>
      </c>
      <c r="P59" s="47">
        <v>1556</v>
      </c>
      <c r="Q59">
        <v>94.068735000000004</v>
      </c>
      <c r="R59">
        <v>29.405031000000001</v>
      </c>
    </row>
    <row r="60" spans="1:18">
      <c r="A60" s="2">
        <v>43944</v>
      </c>
      <c r="B60" s="3">
        <v>43958.377581018518</v>
      </c>
      <c r="C60" s="1" t="s">
        <v>16</v>
      </c>
      <c r="D60" s="47">
        <v>242</v>
      </c>
      <c r="E60" s="47">
        <v>1295</v>
      </c>
      <c r="F60" s="47">
        <v>28611</v>
      </c>
      <c r="G60" s="47">
        <v>28611</v>
      </c>
      <c r="H60" s="47">
        <v>24934</v>
      </c>
      <c r="I60" s="47">
        <v>4193</v>
      </c>
      <c r="J60" s="47">
        <v>1613</v>
      </c>
      <c r="K60" s="47">
        <v>0</v>
      </c>
      <c r="L60" s="47">
        <v>219</v>
      </c>
      <c r="M60" s="47">
        <v>28392</v>
      </c>
      <c r="N60" s="47">
        <v>0</v>
      </c>
      <c r="O60" s="47">
        <v>30</v>
      </c>
      <c r="P60" s="47">
        <v>1583</v>
      </c>
      <c r="Q60">
        <v>101.439544</v>
      </c>
      <c r="R60">
        <v>32.322952000000001</v>
      </c>
    </row>
    <row r="61" spans="1:18">
      <c r="A61" s="2">
        <v>43945</v>
      </c>
      <c r="B61" s="3">
        <v>43958.377581018518</v>
      </c>
      <c r="C61" s="1" t="s">
        <v>16</v>
      </c>
      <c r="D61" s="47">
        <v>238</v>
      </c>
      <c r="E61" s="47">
        <v>1252</v>
      </c>
      <c r="F61" s="47">
        <v>28800</v>
      </c>
      <c r="G61" s="47">
        <v>28800</v>
      </c>
      <c r="H61" s="47">
        <v>25299</v>
      </c>
      <c r="I61" s="47">
        <v>4264</v>
      </c>
      <c r="J61" s="47">
        <v>1642</v>
      </c>
      <c r="K61" s="47">
        <v>0</v>
      </c>
      <c r="L61" s="47">
        <v>189</v>
      </c>
      <c r="M61" s="47">
        <v>28611</v>
      </c>
      <c r="N61" s="47">
        <v>0</v>
      </c>
      <c r="O61" s="47">
        <v>29</v>
      </c>
      <c r="P61" s="47">
        <v>1613</v>
      </c>
      <c r="Q61">
        <v>100.84013899999999</v>
      </c>
      <c r="R61">
        <v>31.908777000000001</v>
      </c>
    </row>
    <row r="62" spans="1:18">
      <c r="A62" s="2">
        <v>43946</v>
      </c>
      <c r="B62" s="3">
        <v>43958.377581018518</v>
      </c>
      <c r="C62" s="1" t="s">
        <v>16</v>
      </c>
      <c r="D62" s="47">
        <v>229</v>
      </c>
      <c r="E62" s="47">
        <v>1224</v>
      </c>
      <c r="F62" s="47">
        <v>28939</v>
      </c>
      <c r="G62" s="47">
        <v>28939</v>
      </c>
      <c r="H62" s="47">
        <v>25657</v>
      </c>
      <c r="I62" s="47">
        <v>4301</v>
      </c>
      <c r="J62" s="47">
        <v>1666</v>
      </c>
      <c r="K62" s="47">
        <v>0</v>
      </c>
      <c r="L62" s="47">
        <v>139</v>
      </c>
      <c r="M62" s="47">
        <v>28800</v>
      </c>
      <c r="N62" s="47">
        <v>0</v>
      </c>
      <c r="O62" s="47">
        <v>24</v>
      </c>
      <c r="P62" s="47">
        <v>1642</v>
      </c>
      <c r="Q62">
        <v>108.351123</v>
      </c>
      <c r="R62">
        <v>36.477550999999998</v>
      </c>
    </row>
    <row r="63" spans="1:18">
      <c r="A63" s="2">
        <v>43947</v>
      </c>
      <c r="B63" s="3">
        <v>43958.377581018518</v>
      </c>
      <c r="C63" s="1" t="s">
        <v>16</v>
      </c>
      <c r="D63" s="47">
        <v>207</v>
      </c>
      <c r="E63" s="47">
        <v>1203</v>
      </c>
      <c r="F63" s="47">
        <v>29019</v>
      </c>
      <c r="G63" s="47">
        <v>29019</v>
      </c>
      <c r="H63" s="47">
        <v>25839</v>
      </c>
      <c r="I63" s="47">
        <v>4334</v>
      </c>
      <c r="J63" s="47">
        <v>1683</v>
      </c>
      <c r="K63" s="47">
        <v>0</v>
      </c>
      <c r="L63" s="47">
        <v>80</v>
      </c>
      <c r="M63" s="47">
        <v>28939</v>
      </c>
      <c r="N63" s="47">
        <v>0</v>
      </c>
      <c r="O63" s="47">
        <v>17</v>
      </c>
      <c r="P63" s="47">
        <v>1666</v>
      </c>
      <c r="Q63">
        <v>119.722769</v>
      </c>
      <c r="R63">
        <v>44.172297</v>
      </c>
    </row>
    <row r="64" spans="1:18">
      <c r="A64" s="2">
        <v>43948</v>
      </c>
      <c r="B64" s="3">
        <v>43958.377581018518</v>
      </c>
      <c r="C64" s="1" t="s">
        <v>16</v>
      </c>
      <c r="D64" s="47">
        <v>201</v>
      </c>
      <c r="E64" s="47">
        <v>1179</v>
      </c>
      <c r="F64" s="47">
        <v>29188</v>
      </c>
      <c r="G64" s="47">
        <v>29188</v>
      </c>
      <c r="H64" s="47">
        <v>26139</v>
      </c>
      <c r="I64" s="47">
        <v>4404</v>
      </c>
      <c r="J64" s="47">
        <v>1705</v>
      </c>
      <c r="K64" s="47">
        <v>0</v>
      </c>
      <c r="L64" s="47">
        <v>169</v>
      </c>
      <c r="M64" s="47">
        <v>29019</v>
      </c>
      <c r="N64" s="47">
        <v>0</v>
      </c>
      <c r="O64" s="47">
        <v>22</v>
      </c>
      <c r="P64" s="47">
        <v>1683</v>
      </c>
      <c r="Q64">
        <v>125.34193500000001</v>
      </c>
      <c r="R64">
        <v>46.680771</v>
      </c>
    </row>
    <row r="65" spans="1:18">
      <c r="A65" s="2">
        <v>43949</v>
      </c>
      <c r="B65" s="3">
        <v>43958.377581018518</v>
      </c>
      <c r="C65" s="1" t="s">
        <v>16</v>
      </c>
      <c r="D65" s="47">
        <v>182</v>
      </c>
      <c r="E65" s="47">
        <v>1150</v>
      </c>
      <c r="F65" s="47">
        <v>29309</v>
      </c>
      <c r="G65" s="47">
        <v>29309</v>
      </c>
      <c r="H65" s="47">
        <v>26513</v>
      </c>
      <c r="I65" s="47">
        <v>4443</v>
      </c>
      <c r="J65" s="47">
        <v>1730</v>
      </c>
      <c r="K65" s="47">
        <v>0</v>
      </c>
      <c r="L65" s="47">
        <v>121</v>
      </c>
      <c r="M65" s="47">
        <v>29188</v>
      </c>
      <c r="N65" s="47">
        <v>0</v>
      </c>
      <c r="O65" s="47">
        <v>25</v>
      </c>
      <c r="P65" s="47">
        <v>1705</v>
      </c>
      <c r="Q65">
        <v>143.78632200000001</v>
      </c>
      <c r="R65">
        <v>49.492406000000003</v>
      </c>
    </row>
    <row r="66" spans="1:18">
      <c r="A66" s="2">
        <v>43950</v>
      </c>
      <c r="B66" s="3">
        <v>43958.377581018518</v>
      </c>
      <c r="C66" s="1" t="s">
        <v>16</v>
      </c>
      <c r="D66" s="47">
        <v>187</v>
      </c>
      <c r="E66" s="47">
        <v>1080</v>
      </c>
      <c r="F66" s="47">
        <v>29448</v>
      </c>
      <c r="G66" s="47">
        <v>29448</v>
      </c>
      <c r="H66" s="47">
        <v>26960</v>
      </c>
      <c r="I66" s="47">
        <v>4505</v>
      </c>
      <c r="J66" s="47">
        <v>1738</v>
      </c>
      <c r="K66" s="47">
        <v>0</v>
      </c>
      <c r="L66" s="47">
        <v>139</v>
      </c>
      <c r="M66" s="47">
        <v>29309</v>
      </c>
      <c r="N66" s="47">
        <v>0</v>
      </c>
      <c r="O66" s="47">
        <v>8</v>
      </c>
      <c r="P66" s="47">
        <v>1730</v>
      </c>
      <c r="Q66">
        <v>155.75914900000001</v>
      </c>
      <c r="R66">
        <v>60.994982999999998</v>
      </c>
    </row>
    <row r="67" spans="1:18">
      <c r="A67" s="2">
        <v>43951</v>
      </c>
      <c r="B67" s="3">
        <v>43958.377581018518</v>
      </c>
      <c r="C67" s="1" t="s">
        <v>16</v>
      </c>
      <c r="D67" s="47">
        <v>168</v>
      </c>
      <c r="E67" s="47">
        <v>1001</v>
      </c>
      <c r="F67" s="47">
        <v>29587</v>
      </c>
      <c r="G67" s="47">
        <v>29587</v>
      </c>
      <c r="H67" s="47">
        <v>27173</v>
      </c>
      <c r="I67" s="47">
        <v>4587</v>
      </c>
      <c r="J67" s="47">
        <v>1756</v>
      </c>
      <c r="K67" s="47">
        <v>0</v>
      </c>
      <c r="L67" s="47">
        <v>139</v>
      </c>
      <c r="M67" s="47">
        <v>29448</v>
      </c>
      <c r="N67" s="47">
        <v>0</v>
      </c>
      <c r="O67" s="47">
        <v>18</v>
      </c>
      <c r="P67" s="47">
        <v>1738</v>
      </c>
      <c r="Q67">
        <v>156.502601</v>
      </c>
      <c r="R67">
        <v>65.872296000000006</v>
      </c>
    </row>
    <row r="68" spans="1:18">
      <c r="A68" s="2">
        <v>43952</v>
      </c>
      <c r="B68" s="3">
        <v>43958.377581018518</v>
      </c>
      <c r="C68" s="1" t="s">
        <v>16</v>
      </c>
      <c r="D68" s="47">
        <v>156</v>
      </c>
      <c r="E68" s="47">
        <v>949</v>
      </c>
      <c r="F68" s="47">
        <v>29694</v>
      </c>
      <c r="G68" s="47">
        <v>29694</v>
      </c>
      <c r="H68" s="47">
        <v>27641</v>
      </c>
      <c r="I68" s="47">
        <v>4665</v>
      </c>
      <c r="J68" s="47">
        <v>1768</v>
      </c>
      <c r="K68" s="47">
        <v>0</v>
      </c>
      <c r="L68" s="47">
        <v>107</v>
      </c>
      <c r="M68" s="47">
        <v>29587</v>
      </c>
      <c r="N68" s="47">
        <v>0</v>
      </c>
      <c r="O68" s="47">
        <v>12</v>
      </c>
      <c r="P68" s="47">
        <v>1756</v>
      </c>
      <c r="Q68">
        <v>150.72206399999999</v>
      </c>
      <c r="R68">
        <v>70.340209000000002</v>
      </c>
    </row>
    <row r="69" spans="1:18">
      <c r="A69" s="2">
        <v>43953</v>
      </c>
      <c r="B69" s="3">
        <v>43958.377581018518</v>
      </c>
      <c r="C69" s="1" t="s">
        <v>16</v>
      </c>
      <c r="D69" s="47">
        <v>149</v>
      </c>
      <c r="E69" s="47">
        <v>902</v>
      </c>
      <c r="F69" s="47">
        <v>29773</v>
      </c>
      <c r="G69" s="47">
        <v>29773</v>
      </c>
      <c r="H69" s="47">
        <v>27926</v>
      </c>
      <c r="I69" s="47">
        <v>4693</v>
      </c>
      <c r="J69" s="47">
        <v>1780</v>
      </c>
      <c r="K69" s="47">
        <v>0</v>
      </c>
      <c r="L69" s="47">
        <v>79</v>
      </c>
      <c r="M69" s="47">
        <v>29694</v>
      </c>
      <c r="N69" s="47">
        <v>0</v>
      </c>
      <c r="O69" s="47">
        <v>12</v>
      </c>
      <c r="P69" s="47">
        <v>1768</v>
      </c>
      <c r="Q69">
        <v>174.64662300000001</v>
      </c>
      <c r="R69">
        <v>80.508165000000005</v>
      </c>
    </row>
    <row r="70" spans="1:18">
      <c r="A70" s="2">
        <v>43954</v>
      </c>
      <c r="B70" s="3">
        <v>43958.377581018518</v>
      </c>
      <c r="C70" s="1" t="s">
        <v>16</v>
      </c>
      <c r="D70" s="47">
        <v>146</v>
      </c>
      <c r="E70" s="47">
        <v>899</v>
      </c>
      <c r="F70" s="47">
        <v>29830</v>
      </c>
      <c r="G70" s="47">
        <v>29830</v>
      </c>
      <c r="H70" s="47">
        <v>28093</v>
      </c>
      <c r="I70" s="47">
        <v>4711</v>
      </c>
      <c r="J70" s="47">
        <v>1786</v>
      </c>
      <c r="K70" s="47">
        <v>0</v>
      </c>
      <c r="L70" s="47">
        <v>57</v>
      </c>
      <c r="M70" s="47">
        <v>29773</v>
      </c>
      <c r="N70" s="47">
        <v>0</v>
      </c>
      <c r="O70" s="47">
        <v>6</v>
      </c>
      <c r="P70" s="47">
        <v>1780</v>
      </c>
      <c r="Q70">
        <v>196.69371699999999</v>
      </c>
      <c r="R70">
        <v>108.79015200000001</v>
      </c>
    </row>
    <row r="71" spans="1:18">
      <c r="A71" s="2">
        <v>43955</v>
      </c>
      <c r="B71" s="3">
        <v>43958.377581018518</v>
      </c>
      <c r="C71" s="1" t="s">
        <v>16</v>
      </c>
      <c r="D71" s="47">
        <v>135</v>
      </c>
      <c r="E71" s="47">
        <v>875</v>
      </c>
      <c r="F71" s="47">
        <v>29884</v>
      </c>
      <c r="G71" s="47">
        <v>29884</v>
      </c>
      <c r="H71" s="47">
        <v>28415</v>
      </c>
      <c r="I71" s="47">
        <v>4771</v>
      </c>
      <c r="J71" s="47">
        <v>1791</v>
      </c>
      <c r="K71" s="47">
        <v>0</v>
      </c>
      <c r="L71" s="47">
        <v>54</v>
      </c>
      <c r="M71" s="47">
        <v>29830</v>
      </c>
      <c r="N71" s="47">
        <v>0</v>
      </c>
      <c r="O71" s="47">
        <v>5</v>
      </c>
      <c r="P71" s="47">
        <v>1786</v>
      </c>
      <c r="Q71">
        <v>235.80887799999999</v>
      </c>
      <c r="R71">
        <v>115.374174</v>
      </c>
    </row>
    <row r="72" spans="1:18">
      <c r="A72" s="2">
        <v>43956</v>
      </c>
      <c r="B72" s="3">
        <v>43958.377581018518</v>
      </c>
      <c r="C72" s="1" t="s">
        <v>16</v>
      </c>
      <c r="D72" s="47">
        <v>127</v>
      </c>
      <c r="E72" s="47">
        <v>846</v>
      </c>
      <c r="F72" s="47">
        <v>29925</v>
      </c>
      <c r="G72" s="47">
        <v>29925</v>
      </c>
      <c r="H72" s="47">
        <v>28781</v>
      </c>
      <c r="I72" s="47">
        <v>4799</v>
      </c>
      <c r="J72" s="47">
        <v>1802</v>
      </c>
      <c r="K72" s="47">
        <v>0</v>
      </c>
      <c r="L72" s="47">
        <v>41</v>
      </c>
      <c r="M72" s="47">
        <v>29884</v>
      </c>
      <c r="N72" s="47">
        <v>0</v>
      </c>
      <c r="O72" s="47">
        <v>11</v>
      </c>
      <c r="P72" s="47">
        <v>1791</v>
      </c>
      <c r="Q72">
        <v>305.10452299999997</v>
      </c>
      <c r="R72">
        <v>134.02610100000001</v>
      </c>
    </row>
    <row r="73" spans="1:18">
      <c r="A73" s="2">
        <v>43957</v>
      </c>
      <c r="B73" s="3">
        <v>43958.377581018518</v>
      </c>
      <c r="C73" s="1" t="s">
        <v>16</v>
      </c>
      <c r="D73" s="47">
        <v>120</v>
      </c>
      <c r="E73" s="47">
        <v>823</v>
      </c>
      <c r="F73" s="47">
        <v>29976</v>
      </c>
      <c r="G73" s="47">
        <v>29976</v>
      </c>
      <c r="H73" s="47">
        <v>28781</v>
      </c>
      <c r="I73" s="47">
        <v>4892</v>
      </c>
      <c r="J73" s="47">
        <v>1806</v>
      </c>
      <c r="K73" s="47">
        <v>0</v>
      </c>
      <c r="L73" s="47">
        <v>51</v>
      </c>
      <c r="M73" s="47">
        <v>29925</v>
      </c>
      <c r="N73" s="47">
        <v>0</v>
      </c>
      <c r="O73" s="47">
        <v>4</v>
      </c>
      <c r="P73" s="47">
        <v>1802</v>
      </c>
      <c r="Q73">
        <v>366.66475500000001</v>
      </c>
      <c r="R73">
        <v>162.974649</v>
      </c>
    </row>
    <row r="74" spans="1:18">
      <c r="A74" s="2">
        <v>43958</v>
      </c>
      <c r="B74" s="3">
        <v>43958.377581018518</v>
      </c>
      <c r="C74" s="1" t="s">
        <v>16</v>
      </c>
      <c r="D74" s="47">
        <v>118</v>
      </c>
      <c r="E74" s="47">
        <v>820</v>
      </c>
      <c r="F74" s="47">
        <v>29985</v>
      </c>
      <c r="G74" s="47">
        <v>29985</v>
      </c>
      <c r="H74" s="47">
        <v>28781</v>
      </c>
      <c r="I74" s="47">
        <v>4901</v>
      </c>
      <c r="J74" s="47">
        <v>1806</v>
      </c>
      <c r="K74" s="47">
        <v>0</v>
      </c>
      <c r="L74" s="47">
        <v>9</v>
      </c>
      <c r="M74" s="47">
        <v>29976</v>
      </c>
      <c r="N74" s="47">
        <v>0</v>
      </c>
      <c r="O74" s="47">
        <v>0</v>
      </c>
      <c r="P74" s="47">
        <v>1806</v>
      </c>
      <c r="Q74">
        <v>488.45419199999998</v>
      </c>
      <c r="R74">
        <v>238.99829199999999</v>
      </c>
    </row>
  </sheetData>
  <pageMargins left="0.7" right="0.7" top="0.78740157499999996" bottom="0.78740157499999996"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7" t="s">
        <v>1</v>
      </c>
      <c r="B1" s="47" t="s">
        <v>17</v>
      </c>
      <c r="C1" s="47" t="s">
        <v>2</v>
      </c>
      <c r="D1" s="47" t="s">
        <v>18</v>
      </c>
      <c r="E1" s="47" t="s">
        <v>19</v>
      </c>
      <c r="F1" s="47" t="s">
        <v>20</v>
      </c>
      <c r="G1" s="47" t="s">
        <v>21</v>
      </c>
      <c r="H1" s="47" t="s">
        <v>22</v>
      </c>
      <c r="I1" s="47" t="s">
        <v>3</v>
      </c>
      <c r="J1" s="47" t="s">
        <v>23</v>
      </c>
      <c r="K1" s="47" t="s">
        <v>24</v>
      </c>
      <c r="L1" s="47" t="s">
        <v>260</v>
      </c>
      <c r="M1" s="47" t="s">
        <v>9</v>
      </c>
      <c r="N1" s="47" t="s">
        <v>26</v>
      </c>
      <c r="O1" s="47" t="s">
        <v>27</v>
      </c>
      <c r="P1" s="47" t="s">
        <v>12</v>
      </c>
      <c r="Q1" s="47" t="s">
        <v>28</v>
      </c>
      <c r="R1" s="47" t="s">
        <v>13</v>
      </c>
      <c r="S1" s="47" t="s">
        <v>11</v>
      </c>
      <c r="T1" s="47" t="s">
        <v>29</v>
      </c>
      <c r="U1" s="47" t="s">
        <v>30</v>
      </c>
      <c r="V1" s="47" t="s">
        <v>293</v>
      </c>
      <c r="W1" s="47" t="s">
        <v>261</v>
      </c>
      <c r="X1" s="47" t="s">
        <v>31</v>
      </c>
      <c r="Y1" s="47" t="s">
        <v>32</v>
      </c>
      <c r="Z1" s="47" t="s">
        <v>25</v>
      </c>
      <c r="AA1" s="47" t="s">
        <v>282</v>
      </c>
      <c r="AB1" s="47" t="s">
        <v>14</v>
      </c>
      <c r="AC1" s="47" t="s">
        <v>15</v>
      </c>
      <c r="AD1" s="47" t="s">
        <v>33</v>
      </c>
      <c r="AE1" s="47" t="s">
        <v>350</v>
      </c>
      <c r="AF1" s="47" t="s">
        <v>353</v>
      </c>
    </row>
    <row r="2" spans="1:32">
      <c r="A2" s="47" t="s">
        <v>726</v>
      </c>
      <c r="B2" s="47" t="s">
        <v>675</v>
      </c>
      <c r="C2" s="47" t="s">
        <v>16</v>
      </c>
      <c r="D2" s="47" t="s">
        <v>34</v>
      </c>
      <c r="E2" s="47" t="s">
        <v>35</v>
      </c>
      <c r="F2" s="47" t="s">
        <v>380</v>
      </c>
      <c r="G2" s="47" t="s">
        <v>381</v>
      </c>
      <c r="H2" s="47" t="s">
        <v>382</v>
      </c>
      <c r="I2" s="47" t="s">
        <v>36</v>
      </c>
      <c r="J2" s="47" t="s">
        <v>676</v>
      </c>
      <c r="K2" s="47" t="s">
        <v>676</v>
      </c>
      <c r="L2" s="47" t="s">
        <v>389</v>
      </c>
      <c r="M2" s="47" t="s">
        <v>412</v>
      </c>
      <c r="N2" s="47" t="s">
        <v>677</v>
      </c>
      <c r="O2" s="47" t="s">
        <v>594</v>
      </c>
      <c r="P2" s="47" t="s">
        <v>678</v>
      </c>
      <c r="Q2" s="47" t="s">
        <v>383</v>
      </c>
      <c r="R2" s="47">
        <v>36</v>
      </c>
      <c r="S2" s="47" t="s">
        <v>414</v>
      </c>
      <c r="T2" s="47" t="s">
        <v>414</v>
      </c>
      <c r="U2" s="47" t="s">
        <v>36</v>
      </c>
      <c r="V2" s="47" t="s">
        <v>36</v>
      </c>
      <c r="W2" s="47" t="s">
        <v>36</v>
      </c>
      <c r="X2" s="47" t="s">
        <v>36</v>
      </c>
      <c r="Y2" s="47" t="s">
        <v>36</v>
      </c>
      <c r="Z2" s="47" t="s">
        <v>425</v>
      </c>
      <c r="AA2" s="47" t="s">
        <v>383</v>
      </c>
      <c r="AB2" s="47" t="s">
        <v>679</v>
      </c>
      <c r="AC2" s="47" t="s">
        <v>513</v>
      </c>
      <c r="AD2" s="47" t="s">
        <v>674</v>
      </c>
      <c r="AE2" s="47" t="s">
        <v>36</v>
      </c>
      <c r="AF2" s="47" t="s">
        <v>36</v>
      </c>
    </row>
    <row r="3" spans="1:32">
      <c r="A3" s="47" t="s">
        <v>726</v>
      </c>
      <c r="B3" s="47" t="s">
        <v>656</v>
      </c>
      <c r="C3" s="47" t="s">
        <v>16</v>
      </c>
      <c r="D3" s="47" t="s">
        <v>38</v>
      </c>
      <c r="E3" s="47" t="s">
        <v>39</v>
      </c>
      <c r="F3" s="47" t="s">
        <v>385</v>
      </c>
      <c r="G3" s="47" t="s">
        <v>386</v>
      </c>
      <c r="H3" s="47" t="s">
        <v>387</v>
      </c>
      <c r="I3" s="47" t="s">
        <v>36</v>
      </c>
      <c r="J3" s="47" t="s">
        <v>388</v>
      </c>
      <c r="K3" s="47" t="s">
        <v>388</v>
      </c>
      <c r="L3" s="47" t="s">
        <v>383</v>
      </c>
      <c r="M3" s="47" t="s">
        <v>389</v>
      </c>
      <c r="N3" s="47" t="s">
        <v>390</v>
      </c>
      <c r="O3" s="47" t="s">
        <v>391</v>
      </c>
      <c r="P3" s="47" t="s">
        <v>36</v>
      </c>
      <c r="Q3" s="47" t="s">
        <v>383</v>
      </c>
      <c r="R3" s="47">
        <v>0</v>
      </c>
      <c r="S3" s="47" t="s">
        <v>36</v>
      </c>
      <c r="T3" s="47" t="s">
        <v>36</v>
      </c>
      <c r="U3" s="47" t="s">
        <v>36</v>
      </c>
      <c r="V3" s="47" t="s">
        <v>36</v>
      </c>
      <c r="W3" s="47" t="s">
        <v>36</v>
      </c>
      <c r="X3" s="47" t="s">
        <v>36</v>
      </c>
      <c r="Y3" s="47" t="s">
        <v>36</v>
      </c>
      <c r="Z3" s="47" t="s">
        <v>383</v>
      </c>
      <c r="AA3" s="47" t="s">
        <v>383</v>
      </c>
      <c r="AB3" s="47" t="s">
        <v>36</v>
      </c>
      <c r="AC3" s="47" t="s">
        <v>391</v>
      </c>
      <c r="AD3" s="47" t="s">
        <v>40</v>
      </c>
      <c r="AE3" s="47" t="s">
        <v>36</v>
      </c>
      <c r="AF3" s="47" t="s">
        <v>36</v>
      </c>
    </row>
    <row r="4" spans="1:32">
      <c r="A4" s="47" t="s">
        <v>726</v>
      </c>
      <c r="B4" s="47" t="s">
        <v>706</v>
      </c>
      <c r="C4" s="47" t="s">
        <v>16</v>
      </c>
      <c r="D4" s="47" t="s">
        <v>41</v>
      </c>
      <c r="E4" s="47" t="s">
        <v>42</v>
      </c>
      <c r="F4" s="47" t="s">
        <v>392</v>
      </c>
      <c r="G4" s="47" t="s">
        <v>393</v>
      </c>
      <c r="H4" s="47" t="s">
        <v>394</v>
      </c>
      <c r="I4" s="47" t="s">
        <v>36</v>
      </c>
      <c r="J4" s="47" t="s">
        <v>514</v>
      </c>
      <c r="K4" s="47" t="s">
        <v>514</v>
      </c>
      <c r="L4" s="47" t="s">
        <v>405</v>
      </c>
      <c r="M4" s="47" t="s">
        <v>414</v>
      </c>
      <c r="N4" s="47" t="s">
        <v>515</v>
      </c>
      <c r="O4" s="47" t="s">
        <v>396</v>
      </c>
      <c r="P4" s="47" t="s">
        <v>36</v>
      </c>
      <c r="Q4" s="47" t="s">
        <v>383</v>
      </c>
      <c r="R4" s="47">
        <v>3</v>
      </c>
      <c r="S4" s="47" t="s">
        <v>395</v>
      </c>
      <c r="T4" s="47" t="s">
        <v>36</v>
      </c>
      <c r="U4" s="47" t="s">
        <v>36</v>
      </c>
      <c r="V4" s="47" t="s">
        <v>36</v>
      </c>
      <c r="W4" s="47" t="s">
        <v>36</v>
      </c>
      <c r="X4" s="47" t="s">
        <v>36</v>
      </c>
      <c r="Y4" s="47" t="s">
        <v>36</v>
      </c>
      <c r="Z4" s="47" t="s">
        <v>383</v>
      </c>
      <c r="AA4" s="47" t="s">
        <v>383</v>
      </c>
      <c r="AB4" s="47" t="s">
        <v>606</v>
      </c>
      <c r="AC4" s="47" t="s">
        <v>36</v>
      </c>
      <c r="AD4" s="47" t="s">
        <v>43</v>
      </c>
      <c r="AE4" s="47" t="s">
        <v>36</v>
      </c>
      <c r="AF4" s="47" t="s">
        <v>36</v>
      </c>
    </row>
    <row r="5" spans="1:32">
      <c r="A5" s="47" t="s">
        <v>726</v>
      </c>
      <c r="B5" s="47" t="s">
        <v>640</v>
      </c>
      <c r="C5" s="47" t="s">
        <v>16</v>
      </c>
      <c r="D5" s="47" t="s">
        <v>44</v>
      </c>
      <c r="E5" s="47" t="s">
        <v>45</v>
      </c>
      <c r="F5" s="47" t="s">
        <v>398</v>
      </c>
      <c r="G5" s="47" t="s">
        <v>399</v>
      </c>
      <c r="H5" s="47" t="s">
        <v>400</v>
      </c>
      <c r="I5" s="47" t="s">
        <v>36</v>
      </c>
      <c r="J5" s="47" t="s">
        <v>657</v>
      </c>
      <c r="K5" s="47" t="s">
        <v>657</v>
      </c>
      <c r="L5" s="47" t="s">
        <v>611</v>
      </c>
      <c r="M5" s="47" t="s">
        <v>504</v>
      </c>
      <c r="N5" s="47" t="s">
        <v>658</v>
      </c>
      <c r="O5" s="47" t="s">
        <v>508</v>
      </c>
      <c r="P5" s="47" t="s">
        <v>36</v>
      </c>
      <c r="Q5" s="47" t="s">
        <v>383</v>
      </c>
      <c r="R5" s="47">
        <v>90</v>
      </c>
      <c r="S5" s="47" t="s">
        <v>425</v>
      </c>
      <c r="T5" s="47" t="s">
        <v>448</v>
      </c>
      <c r="U5" s="47" t="s">
        <v>36</v>
      </c>
      <c r="V5" s="47" t="s">
        <v>36</v>
      </c>
      <c r="W5" s="47" t="s">
        <v>36</v>
      </c>
      <c r="X5" s="47" t="s">
        <v>36</v>
      </c>
      <c r="Y5" s="47" t="s">
        <v>36</v>
      </c>
      <c r="Z5" s="47" t="s">
        <v>425</v>
      </c>
      <c r="AA5" s="47" t="s">
        <v>383</v>
      </c>
      <c r="AB5" s="47" t="s">
        <v>659</v>
      </c>
      <c r="AC5" s="47" t="s">
        <v>660</v>
      </c>
      <c r="AD5" s="47" t="s">
        <v>46</v>
      </c>
      <c r="AE5" s="47" t="s">
        <v>36</v>
      </c>
      <c r="AF5" s="47" t="s">
        <v>36</v>
      </c>
    </row>
    <row r="6" spans="1:32">
      <c r="A6" s="47" t="s">
        <v>726</v>
      </c>
      <c r="B6" s="47" t="s">
        <v>614</v>
      </c>
      <c r="C6" s="47" t="s">
        <v>16</v>
      </c>
      <c r="D6" s="47" t="s">
        <v>47</v>
      </c>
      <c r="E6" s="47" t="s">
        <v>48</v>
      </c>
      <c r="F6" s="47" t="s">
        <v>402</v>
      </c>
      <c r="G6" s="47" t="s">
        <v>403</v>
      </c>
      <c r="H6" s="47" t="s">
        <v>404</v>
      </c>
      <c r="I6" s="47" t="s">
        <v>36</v>
      </c>
      <c r="J6" s="47" t="s">
        <v>661</v>
      </c>
      <c r="K6" s="47" t="s">
        <v>661</v>
      </c>
      <c r="L6" s="47" t="s">
        <v>411</v>
      </c>
      <c r="M6" s="47" t="s">
        <v>425</v>
      </c>
      <c r="N6" s="47" t="s">
        <v>662</v>
      </c>
      <c r="O6" s="47" t="s">
        <v>663</v>
      </c>
      <c r="P6" s="47" t="s">
        <v>664</v>
      </c>
      <c r="Q6" s="47" t="s">
        <v>383</v>
      </c>
      <c r="R6" s="47">
        <v>33</v>
      </c>
      <c r="S6" s="47" t="s">
        <v>389</v>
      </c>
      <c r="T6" s="47" t="s">
        <v>389</v>
      </c>
      <c r="U6" s="47" t="s">
        <v>36</v>
      </c>
      <c r="V6" s="47" t="s">
        <v>36</v>
      </c>
      <c r="W6" s="47" t="s">
        <v>36</v>
      </c>
      <c r="X6" s="47" t="s">
        <v>36</v>
      </c>
      <c r="Y6" s="47" t="s">
        <v>36</v>
      </c>
      <c r="Z6" s="47" t="s">
        <v>389</v>
      </c>
      <c r="AA6" s="47" t="s">
        <v>389</v>
      </c>
      <c r="AB6" s="47" t="s">
        <v>665</v>
      </c>
      <c r="AC6" s="47" t="s">
        <v>666</v>
      </c>
      <c r="AD6" s="47" t="s">
        <v>49</v>
      </c>
      <c r="AE6" s="47" t="s">
        <v>36</v>
      </c>
      <c r="AF6" s="47" t="s">
        <v>36</v>
      </c>
    </row>
    <row r="7" spans="1:32">
      <c r="A7" s="47" t="s">
        <v>726</v>
      </c>
      <c r="B7" s="47" t="s">
        <v>722</v>
      </c>
      <c r="C7" s="47" t="s">
        <v>16</v>
      </c>
      <c r="D7" s="47" t="s">
        <v>50</v>
      </c>
      <c r="E7" s="47" t="s">
        <v>51</v>
      </c>
      <c r="F7" s="47" t="s">
        <v>407</v>
      </c>
      <c r="G7" s="47" t="s">
        <v>408</v>
      </c>
      <c r="H7" s="47" t="s">
        <v>409</v>
      </c>
      <c r="I7" s="47" t="s">
        <v>410</v>
      </c>
      <c r="J7" s="47" t="s">
        <v>727</v>
      </c>
      <c r="K7" s="47" t="s">
        <v>727</v>
      </c>
      <c r="L7" s="47" t="s">
        <v>432</v>
      </c>
      <c r="M7" s="47" t="s">
        <v>617</v>
      </c>
      <c r="N7" s="47" t="s">
        <v>728</v>
      </c>
      <c r="O7" s="47" t="s">
        <v>413</v>
      </c>
      <c r="P7" s="47" t="s">
        <v>729</v>
      </c>
      <c r="Q7" s="47" t="s">
        <v>383</v>
      </c>
      <c r="R7" s="47">
        <v>50</v>
      </c>
      <c r="S7" s="47" t="s">
        <v>448</v>
      </c>
      <c r="T7" s="47" t="s">
        <v>36</v>
      </c>
      <c r="U7" s="47" t="s">
        <v>36</v>
      </c>
      <c r="V7" s="47" t="s">
        <v>36</v>
      </c>
      <c r="W7" s="47" t="s">
        <v>36</v>
      </c>
      <c r="X7" s="47" t="s">
        <v>36</v>
      </c>
      <c r="Y7" s="47" t="s">
        <v>36</v>
      </c>
      <c r="Z7" s="47" t="s">
        <v>397</v>
      </c>
      <c r="AA7" s="47" t="s">
        <v>383</v>
      </c>
      <c r="AB7" s="47" t="s">
        <v>730</v>
      </c>
      <c r="AC7" s="47" t="s">
        <v>36</v>
      </c>
      <c r="AD7" s="47" t="s">
        <v>725</v>
      </c>
      <c r="AE7" s="47" t="s">
        <v>36</v>
      </c>
      <c r="AF7" s="47" t="s">
        <v>36</v>
      </c>
    </row>
    <row r="8" spans="1:32">
      <c r="A8" s="47" t="s">
        <v>726</v>
      </c>
      <c r="B8" s="47" t="s">
        <v>614</v>
      </c>
      <c r="C8" s="47" t="s">
        <v>16</v>
      </c>
      <c r="D8" s="47" t="s">
        <v>53</v>
      </c>
      <c r="E8" s="47" t="s">
        <v>54</v>
      </c>
      <c r="F8" s="47" t="s">
        <v>415</v>
      </c>
      <c r="G8" s="47" t="s">
        <v>416</v>
      </c>
      <c r="H8" s="47" t="s">
        <v>417</v>
      </c>
      <c r="I8" s="47" t="s">
        <v>418</v>
      </c>
      <c r="J8" s="47" t="s">
        <v>419</v>
      </c>
      <c r="K8" s="47" t="s">
        <v>419</v>
      </c>
      <c r="L8" s="47" t="s">
        <v>36</v>
      </c>
      <c r="M8" s="47" t="s">
        <v>36</v>
      </c>
      <c r="N8" s="47" t="s">
        <v>420</v>
      </c>
      <c r="O8" s="47" t="s">
        <v>421</v>
      </c>
      <c r="P8" s="47" t="s">
        <v>389</v>
      </c>
      <c r="Q8" s="47" t="s">
        <v>383</v>
      </c>
      <c r="R8" s="47">
        <v>1</v>
      </c>
      <c r="S8" s="47" t="s">
        <v>36</v>
      </c>
      <c r="T8" s="47" t="s">
        <v>36</v>
      </c>
      <c r="U8" s="47" t="s">
        <v>36</v>
      </c>
      <c r="V8" s="47" t="s">
        <v>36</v>
      </c>
      <c r="W8" s="47" t="s">
        <v>36</v>
      </c>
      <c r="X8" s="47" t="s">
        <v>36</v>
      </c>
      <c r="Y8" s="47" t="s">
        <v>36</v>
      </c>
      <c r="Z8" s="47" t="s">
        <v>383</v>
      </c>
      <c r="AA8" s="47" t="s">
        <v>383</v>
      </c>
      <c r="AB8" s="47" t="s">
        <v>36</v>
      </c>
      <c r="AC8" s="47" t="s">
        <v>36</v>
      </c>
      <c r="AD8" s="47" t="s">
        <v>692</v>
      </c>
      <c r="AE8" s="47" t="s">
        <v>36</v>
      </c>
      <c r="AF8" s="47" t="s">
        <v>36</v>
      </c>
    </row>
    <row r="9" spans="1:32">
      <c r="A9" s="47" t="s">
        <v>726</v>
      </c>
      <c r="B9" s="47" t="s">
        <v>614</v>
      </c>
      <c r="C9" s="47" t="s">
        <v>16</v>
      </c>
      <c r="D9" s="47" t="s">
        <v>56</v>
      </c>
      <c r="E9" s="47" t="s">
        <v>57</v>
      </c>
      <c r="F9" s="47" t="s">
        <v>422</v>
      </c>
      <c r="G9" s="47" t="s">
        <v>423</v>
      </c>
      <c r="H9" s="47" t="s">
        <v>424</v>
      </c>
      <c r="I9" s="47" t="s">
        <v>406</v>
      </c>
      <c r="J9" s="47" t="s">
        <v>625</v>
      </c>
      <c r="K9" s="47" t="s">
        <v>625</v>
      </c>
      <c r="L9" s="47" t="s">
        <v>432</v>
      </c>
      <c r="M9" s="47" t="s">
        <v>504</v>
      </c>
      <c r="N9" s="47" t="s">
        <v>626</v>
      </c>
      <c r="O9" s="47" t="s">
        <v>601</v>
      </c>
      <c r="P9" s="47" t="s">
        <v>602</v>
      </c>
      <c r="Q9" s="47" t="s">
        <v>383</v>
      </c>
      <c r="R9" s="47">
        <v>80</v>
      </c>
      <c r="S9" s="47" t="s">
        <v>414</v>
      </c>
      <c r="T9" s="47" t="s">
        <v>36</v>
      </c>
      <c r="U9" s="47" t="s">
        <v>36</v>
      </c>
      <c r="V9" s="47" t="s">
        <v>36</v>
      </c>
      <c r="W9" s="47" t="s">
        <v>36</v>
      </c>
      <c r="X9" s="47" t="s">
        <v>36</v>
      </c>
      <c r="Y9" s="47" t="s">
        <v>36</v>
      </c>
      <c r="Z9" s="47" t="s">
        <v>397</v>
      </c>
      <c r="AA9" s="47" t="s">
        <v>383</v>
      </c>
      <c r="AB9" s="47" t="s">
        <v>627</v>
      </c>
      <c r="AC9" s="47" t="s">
        <v>603</v>
      </c>
      <c r="AD9" s="47" t="s">
        <v>624</v>
      </c>
      <c r="AE9" s="47" t="s">
        <v>36</v>
      </c>
      <c r="AF9" s="47" t="s">
        <v>36</v>
      </c>
    </row>
    <row r="10" spans="1:32">
      <c r="A10" s="47" t="s">
        <v>726</v>
      </c>
      <c r="B10" s="47" t="s">
        <v>693</v>
      </c>
      <c r="C10" s="47" t="s">
        <v>16</v>
      </c>
      <c r="D10" s="47" t="s">
        <v>58</v>
      </c>
      <c r="E10" s="47" t="s">
        <v>59</v>
      </c>
      <c r="F10" s="47" t="s">
        <v>388</v>
      </c>
      <c r="G10" s="47" t="s">
        <v>426</v>
      </c>
      <c r="H10" s="47" t="s">
        <v>427</v>
      </c>
      <c r="I10" s="47" t="s">
        <v>694</v>
      </c>
      <c r="J10" s="47" t="s">
        <v>695</v>
      </c>
      <c r="K10" s="47" t="s">
        <v>695</v>
      </c>
      <c r="L10" s="47" t="s">
        <v>405</v>
      </c>
      <c r="M10" s="47" t="s">
        <v>696</v>
      </c>
      <c r="N10" s="47" t="s">
        <v>697</v>
      </c>
      <c r="O10" s="47" t="s">
        <v>698</v>
      </c>
      <c r="P10" s="47" t="s">
        <v>699</v>
      </c>
      <c r="Q10" s="47" t="s">
        <v>383</v>
      </c>
      <c r="R10" s="47">
        <v>254</v>
      </c>
      <c r="S10" s="47" t="s">
        <v>385</v>
      </c>
      <c r="T10" s="47" t="s">
        <v>392</v>
      </c>
      <c r="U10" s="47" t="s">
        <v>36</v>
      </c>
      <c r="V10" s="47" t="s">
        <v>36</v>
      </c>
      <c r="W10" s="47" t="s">
        <v>36</v>
      </c>
      <c r="X10" s="47" t="s">
        <v>36</v>
      </c>
      <c r="Y10" s="47" t="s">
        <v>700</v>
      </c>
      <c r="Z10" s="47" t="s">
        <v>383</v>
      </c>
      <c r="AA10" s="47" t="s">
        <v>383</v>
      </c>
      <c r="AB10" s="47" t="s">
        <v>701</v>
      </c>
      <c r="AC10" s="47" t="s">
        <v>702</v>
      </c>
      <c r="AD10" s="47" t="s">
        <v>369</v>
      </c>
      <c r="AE10" s="47" t="s">
        <v>36</v>
      </c>
      <c r="AF10" s="47" t="s">
        <v>36</v>
      </c>
    </row>
    <row r="11" spans="1:32">
      <c r="A11" s="47" t="s">
        <v>726</v>
      </c>
      <c r="B11" s="47" t="s">
        <v>634</v>
      </c>
      <c r="C11" s="47" t="s">
        <v>16</v>
      </c>
      <c r="D11" s="47" t="s">
        <v>60</v>
      </c>
      <c r="E11" s="47" t="s">
        <v>61</v>
      </c>
      <c r="F11" s="47" t="s">
        <v>429</v>
      </c>
      <c r="G11" s="47" t="s">
        <v>430</v>
      </c>
      <c r="H11" s="47" t="s">
        <v>431</v>
      </c>
      <c r="I11" s="47" t="s">
        <v>36</v>
      </c>
      <c r="J11" s="47" t="s">
        <v>635</v>
      </c>
      <c r="K11" s="47" t="s">
        <v>635</v>
      </c>
      <c r="L11" s="47" t="s">
        <v>383</v>
      </c>
      <c r="M11" s="47" t="s">
        <v>395</v>
      </c>
      <c r="N11" s="47" t="s">
        <v>636</v>
      </c>
      <c r="O11" s="47" t="s">
        <v>520</v>
      </c>
      <c r="P11" s="47" t="s">
        <v>36</v>
      </c>
      <c r="Q11" s="47" t="s">
        <v>383</v>
      </c>
      <c r="R11" s="47">
        <v>12</v>
      </c>
      <c r="S11" s="47" t="s">
        <v>36</v>
      </c>
      <c r="T11" s="47" t="s">
        <v>36</v>
      </c>
      <c r="U11" s="47" t="s">
        <v>36</v>
      </c>
      <c r="V11" s="47" t="s">
        <v>36</v>
      </c>
      <c r="W11" s="47" t="s">
        <v>36</v>
      </c>
      <c r="X11" s="47" t="s">
        <v>36</v>
      </c>
      <c r="Y11" s="47" t="s">
        <v>36</v>
      </c>
      <c r="Z11" s="47" t="s">
        <v>397</v>
      </c>
      <c r="AA11" s="47" t="s">
        <v>383</v>
      </c>
      <c r="AB11" s="47" t="s">
        <v>637</v>
      </c>
      <c r="AC11" s="47" t="s">
        <v>595</v>
      </c>
      <c r="AD11" s="47" t="s">
        <v>609</v>
      </c>
      <c r="AE11" s="47" t="s">
        <v>36</v>
      </c>
      <c r="AF11" s="47" t="s">
        <v>36</v>
      </c>
    </row>
    <row r="12" spans="1:32">
      <c r="A12" s="47" t="s">
        <v>726</v>
      </c>
      <c r="B12" s="47" t="s">
        <v>614</v>
      </c>
      <c r="C12" s="47" t="s">
        <v>16</v>
      </c>
      <c r="D12" s="47" t="s">
        <v>62</v>
      </c>
      <c r="E12" s="47" t="s">
        <v>63</v>
      </c>
      <c r="F12" s="47" t="s">
        <v>380</v>
      </c>
      <c r="G12" s="47" t="s">
        <v>433</v>
      </c>
      <c r="H12" s="47" t="s">
        <v>434</v>
      </c>
      <c r="I12" s="47" t="s">
        <v>36</v>
      </c>
      <c r="J12" s="47" t="s">
        <v>707</v>
      </c>
      <c r="K12" s="47" t="s">
        <v>707</v>
      </c>
      <c r="L12" s="47" t="s">
        <v>395</v>
      </c>
      <c r="M12" s="47" t="s">
        <v>617</v>
      </c>
      <c r="N12" s="47" t="s">
        <v>708</v>
      </c>
      <c r="O12" s="47" t="s">
        <v>436</v>
      </c>
      <c r="P12" s="47" t="s">
        <v>36</v>
      </c>
      <c r="Q12" s="47" t="s">
        <v>383</v>
      </c>
      <c r="R12" s="47">
        <v>45</v>
      </c>
      <c r="S12" s="47" t="s">
        <v>36</v>
      </c>
      <c r="T12" s="47" t="s">
        <v>36</v>
      </c>
      <c r="U12" s="47" t="s">
        <v>36</v>
      </c>
      <c r="V12" s="47" t="s">
        <v>36</v>
      </c>
      <c r="W12" s="47" t="s">
        <v>36</v>
      </c>
      <c r="X12" s="47" t="s">
        <v>36</v>
      </c>
      <c r="Y12" s="47" t="s">
        <v>36</v>
      </c>
      <c r="Z12" s="47" t="s">
        <v>395</v>
      </c>
      <c r="AA12" s="47" t="s">
        <v>383</v>
      </c>
      <c r="AB12" s="47" t="s">
        <v>709</v>
      </c>
      <c r="AC12" s="47" t="s">
        <v>36</v>
      </c>
      <c r="AD12" s="47" t="s">
        <v>511</v>
      </c>
      <c r="AE12" s="47" t="s">
        <v>36</v>
      </c>
      <c r="AF12" s="47" t="s">
        <v>36</v>
      </c>
    </row>
    <row r="13" spans="1:32">
      <c r="A13" s="47" t="s">
        <v>726</v>
      </c>
      <c r="B13" s="47" t="s">
        <v>614</v>
      </c>
      <c r="C13" s="47" t="s">
        <v>16</v>
      </c>
      <c r="D13" s="47" t="s">
        <v>64</v>
      </c>
      <c r="E13" s="47" t="s">
        <v>65</v>
      </c>
      <c r="F13" s="47" t="s">
        <v>437</v>
      </c>
      <c r="G13" s="47" t="s">
        <v>438</v>
      </c>
      <c r="H13" s="47" t="s">
        <v>439</v>
      </c>
      <c r="I13" s="47" t="s">
        <v>36</v>
      </c>
      <c r="J13" s="47" t="s">
        <v>689</v>
      </c>
      <c r="K13" s="47" t="s">
        <v>689</v>
      </c>
      <c r="L13" s="47" t="s">
        <v>383</v>
      </c>
      <c r="M13" s="47" t="s">
        <v>384</v>
      </c>
      <c r="N13" s="47" t="s">
        <v>690</v>
      </c>
      <c r="O13" s="47" t="s">
        <v>440</v>
      </c>
      <c r="P13" s="47" t="s">
        <v>36</v>
      </c>
      <c r="Q13" s="47" t="s">
        <v>383</v>
      </c>
      <c r="R13" s="47">
        <v>7</v>
      </c>
      <c r="S13" s="47" t="s">
        <v>414</v>
      </c>
      <c r="T13" s="47" t="s">
        <v>36</v>
      </c>
      <c r="U13" s="47" t="s">
        <v>36</v>
      </c>
      <c r="V13" s="47" t="s">
        <v>36</v>
      </c>
      <c r="W13" s="47" t="s">
        <v>36</v>
      </c>
      <c r="X13" s="47" t="s">
        <v>36</v>
      </c>
      <c r="Y13" s="47" t="s">
        <v>36</v>
      </c>
      <c r="Z13" s="47" t="s">
        <v>383</v>
      </c>
      <c r="AA13" s="47" t="s">
        <v>383</v>
      </c>
      <c r="AB13" s="47" t="s">
        <v>691</v>
      </c>
      <c r="AC13" s="47" t="s">
        <v>36</v>
      </c>
      <c r="AD13" s="47" t="s">
        <v>688</v>
      </c>
      <c r="AE13" s="47" t="s">
        <v>36</v>
      </c>
      <c r="AF13" s="47" t="s">
        <v>36</v>
      </c>
    </row>
    <row r="14" spans="1:32">
      <c r="A14" s="47" t="s">
        <v>726</v>
      </c>
      <c r="B14" s="47" t="s">
        <v>614</v>
      </c>
      <c r="C14" s="47" t="s">
        <v>16</v>
      </c>
      <c r="D14" s="47" t="s">
        <v>66</v>
      </c>
      <c r="E14" s="47" t="s">
        <v>67</v>
      </c>
      <c r="F14" s="47" t="s">
        <v>442</v>
      </c>
      <c r="G14" s="47" t="s">
        <v>443</v>
      </c>
      <c r="H14" s="47" t="s">
        <v>444</v>
      </c>
      <c r="I14" s="47" t="s">
        <v>36</v>
      </c>
      <c r="J14" s="47" t="s">
        <v>628</v>
      </c>
      <c r="K14" s="47" t="s">
        <v>628</v>
      </c>
      <c r="L14" s="47" t="s">
        <v>638</v>
      </c>
      <c r="M14" s="47" t="s">
        <v>639</v>
      </c>
      <c r="N14" s="47" t="s">
        <v>629</v>
      </c>
      <c r="O14" s="47" t="s">
        <v>512</v>
      </c>
      <c r="P14" s="47" t="s">
        <v>36</v>
      </c>
      <c r="Q14" s="47" t="s">
        <v>383</v>
      </c>
      <c r="R14" s="47">
        <v>18</v>
      </c>
      <c r="S14" s="47" t="s">
        <v>425</v>
      </c>
      <c r="T14" s="47" t="s">
        <v>36</v>
      </c>
      <c r="U14" s="47" t="s">
        <v>36</v>
      </c>
      <c r="V14" s="47" t="s">
        <v>36</v>
      </c>
      <c r="W14" s="47" t="s">
        <v>36</v>
      </c>
      <c r="X14" s="47" t="s">
        <v>36</v>
      </c>
      <c r="Y14" s="47" t="s">
        <v>36</v>
      </c>
      <c r="Z14" s="47" t="s">
        <v>397</v>
      </c>
      <c r="AA14" s="47" t="s">
        <v>383</v>
      </c>
      <c r="AB14" s="47" t="s">
        <v>630</v>
      </c>
      <c r="AC14" s="47" t="s">
        <v>513</v>
      </c>
      <c r="AD14" s="47" t="s">
        <v>68</v>
      </c>
      <c r="AE14" s="47" t="s">
        <v>36</v>
      </c>
      <c r="AF14" s="47" t="s">
        <v>36</v>
      </c>
    </row>
    <row r="15" spans="1:32">
      <c r="A15" s="47" t="s">
        <v>726</v>
      </c>
      <c r="B15" s="47" t="s">
        <v>614</v>
      </c>
      <c r="C15" s="47" t="s">
        <v>16</v>
      </c>
      <c r="D15" s="47" t="s">
        <v>69</v>
      </c>
      <c r="E15" s="47" t="s">
        <v>70</v>
      </c>
      <c r="F15" s="47" t="s">
        <v>412</v>
      </c>
      <c r="G15" s="47" t="s">
        <v>446</v>
      </c>
      <c r="H15" s="47" t="s">
        <v>447</v>
      </c>
      <c r="I15" s="47" t="s">
        <v>36</v>
      </c>
      <c r="J15" s="47" t="s">
        <v>610</v>
      </c>
      <c r="K15" s="47" t="s">
        <v>610</v>
      </c>
      <c r="L15" s="47" t="s">
        <v>389</v>
      </c>
      <c r="M15" s="47" t="s">
        <v>479</v>
      </c>
      <c r="N15" s="47" t="s">
        <v>612</v>
      </c>
      <c r="O15" s="47" t="s">
        <v>596</v>
      </c>
      <c r="P15" s="47" t="s">
        <v>36</v>
      </c>
      <c r="Q15" s="47" t="s">
        <v>383</v>
      </c>
      <c r="R15" s="47">
        <v>76</v>
      </c>
      <c r="S15" s="47" t="s">
        <v>397</v>
      </c>
      <c r="T15" s="47" t="s">
        <v>395</v>
      </c>
      <c r="U15" s="47" t="s">
        <v>36</v>
      </c>
      <c r="V15" s="47" t="s">
        <v>36</v>
      </c>
      <c r="W15" s="47" t="s">
        <v>36</v>
      </c>
      <c r="X15" s="47" t="s">
        <v>36</v>
      </c>
      <c r="Y15" s="47" t="s">
        <v>36</v>
      </c>
      <c r="Z15" s="47" t="s">
        <v>383</v>
      </c>
      <c r="AA15" s="47" t="s">
        <v>383</v>
      </c>
      <c r="AB15" s="47" t="s">
        <v>680</v>
      </c>
      <c r="AC15" s="47" t="s">
        <v>36</v>
      </c>
      <c r="AD15" s="47" t="s">
        <v>325</v>
      </c>
      <c r="AE15" s="47" t="s">
        <v>36</v>
      </c>
      <c r="AF15" s="47" t="s">
        <v>36</v>
      </c>
    </row>
    <row r="16" spans="1:32">
      <c r="A16" s="47" t="s">
        <v>726</v>
      </c>
      <c r="B16" s="47" t="s">
        <v>600</v>
      </c>
      <c r="C16" s="47" t="s">
        <v>16</v>
      </c>
      <c r="D16" s="47" t="s">
        <v>71</v>
      </c>
      <c r="E16" s="47" t="s">
        <v>72</v>
      </c>
      <c r="F16" s="47" t="s">
        <v>449</v>
      </c>
      <c r="G16" s="47" t="s">
        <v>450</v>
      </c>
      <c r="H16" s="47" t="s">
        <v>451</v>
      </c>
      <c r="I16" s="47" t="s">
        <v>36</v>
      </c>
      <c r="J16" s="47" t="s">
        <v>490</v>
      </c>
      <c r="K16" s="47" t="s">
        <v>490</v>
      </c>
      <c r="L16" s="47" t="s">
        <v>383</v>
      </c>
      <c r="M16" s="47" t="s">
        <v>389</v>
      </c>
      <c r="N16" s="47" t="s">
        <v>491</v>
      </c>
      <c r="O16" s="47" t="s">
        <v>452</v>
      </c>
      <c r="P16" s="47" t="s">
        <v>36</v>
      </c>
      <c r="Q16" s="47" t="s">
        <v>383</v>
      </c>
      <c r="R16" s="47">
        <v>3</v>
      </c>
      <c r="S16" s="47" t="s">
        <v>383</v>
      </c>
      <c r="T16" s="47" t="s">
        <v>36</v>
      </c>
      <c r="U16" s="47" t="s">
        <v>36</v>
      </c>
      <c r="V16" s="47" t="s">
        <v>36</v>
      </c>
      <c r="W16" s="47" t="s">
        <v>36</v>
      </c>
      <c r="X16" s="47" t="s">
        <v>36</v>
      </c>
      <c r="Y16" s="47" t="s">
        <v>36</v>
      </c>
      <c r="Z16" s="47" t="s">
        <v>383</v>
      </c>
      <c r="AA16" s="47" t="s">
        <v>383</v>
      </c>
      <c r="AB16" s="47" t="s">
        <v>36</v>
      </c>
      <c r="AC16" s="47" t="s">
        <v>36</v>
      </c>
      <c r="AD16" s="47" t="s">
        <v>310</v>
      </c>
      <c r="AE16" s="47" t="s">
        <v>36</v>
      </c>
      <c r="AF16" s="47" t="s">
        <v>36</v>
      </c>
    </row>
    <row r="17" spans="1:32">
      <c r="A17" s="47" t="s">
        <v>726</v>
      </c>
      <c r="B17" s="47" t="s">
        <v>710</v>
      </c>
      <c r="C17" s="47" t="s">
        <v>16</v>
      </c>
      <c r="D17" s="47" t="s">
        <v>73</v>
      </c>
      <c r="E17" s="47" t="s">
        <v>74</v>
      </c>
      <c r="F17" s="47" t="s">
        <v>453</v>
      </c>
      <c r="G17" s="47" t="s">
        <v>454</v>
      </c>
      <c r="H17" s="47" t="s">
        <v>455</v>
      </c>
      <c r="I17" s="47" t="s">
        <v>425</v>
      </c>
      <c r="J17" s="47" t="s">
        <v>597</v>
      </c>
      <c r="K17" s="47" t="s">
        <v>597</v>
      </c>
      <c r="L17" s="47" t="s">
        <v>383</v>
      </c>
      <c r="M17" s="47" t="s">
        <v>383</v>
      </c>
      <c r="N17" s="47" t="s">
        <v>598</v>
      </c>
      <c r="O17" s="47" t="s">
        <v>391</v>
      </c>
      <c r="P17" s="47" t="s">
        <v>389</v>
      </c>
      <c r="Q17" s="47" t="s">
        <v>383</v>
      </c>
      <c r="R17" s="47">
        <v>0</v>
      </c>
      <c r="S17" s="47" t="s">
        <v>36</v>
      </c>
      <c r="T17" s="47" t="s">
        <v>36</v>
      </c>
      <c r="U17" s="47" t="s">
        <v>36</v>
      </c>
      <c r="V17" s="47" t="s">
        <v>36</v>
      </c>
      <c r="W17" s="47" t="s">
        <v>36</v>
      </c>
      <c r="X17" s="47" t="s">
        <v>36</v>
      </c>
      <c r="Y17" s="47" t="s">
        <v>36</v>
      </c>
      <c r="Z17" s="47" t="s">
        <v>383</v>
      </c>
      <c r="AA17" s="47" t="s">
        <v>383</v>
      </c>
      <c r="AB17" s="47" t="s">
        <v>613</v>
      </c>
      <c r="AC17" s="47" t="s">
        <v>391</v>
      </c>
      <c r="AD17" s="47" t="s">
        <v>75</v>
      </c>
      <c r="AE17" s="47" t="s">
        <v>36</v>
      </c>
      <c r="AF17" s="47" t="s">
        <v>36</v>
      </c>
    </row>
    <row r="18" spans="1:32">
      <c r="A18" s="47" t="s">
        <v>726</v>
      </c>
      <c r="B18" s="47" t="s">
        <v>711</v>
      </c>
      <c r="C18" s="47" t="s">
        <v>16</v>
      </c>
      <c r="D18" s="47" t="s">
        <v>76</v>
      </c>
      <c r="E18" s="47" t="s">
        <v>77</v>
      </c>
      <c r="F18" s="47" t="s">
        <v>445</v>
      </c>
      <c r="G18" s="47" t="s">
        <v>456</v>
      </c>
      <c r="H18" s="47" t="s">
        <v>457</v>
      </c>
      <c r="I18" s="47" t="s">
        <v>36</v>
      </c>
      <c r="J18" s="47" t="s">
        <v>712</v>
      </c>
      <c r="K18" s="47" t="s">
        <v>712</v>
      </c>
      <c r="L18" s="47" t="s">
        <v>383</v>
      </c>
      <c r="M18" s="47" t="s">
        <v>388</v>
      </c>
      <c r="N18" s="47" t="s">
        <v>713</v>
      </c>
      <c r="O18" s="47" t="s">
        <v>458</v>
      </c>
      <c r="P18" s="47" t="s">
        <v>681</v>
      </c>
      <c r="Q18" s="47" t="s">
        <v>383</v>
      </c>
      <c r="R18" s="47">
        <v>33</v>
      </c>
      <c r="S18" s="47" t="s">
        <v>395</v>
      </c>
      <c r="T18" s="47" t="s">
        <v>36</v>
      </c>
      <c r="U18" s="47" t="s">
        <v>36</v>
      </c>
      <c r="V18" s="47" t="s">
        <v>36</v>
      </c>
      <c r="W18" s="47" t="s">
        <v>36</v>
      </c>
      <c r="X18" s="47" t="s">
        <v>36</v>
      </c>
      <c r="Y18" s="47" t="s">
        <v>36</v>
      </c>
      <c r="Z18" s="47" t="s">
        <v>389</v>
      </c>
      <c r="AA18" s="47" t="s">
        <v>383</v>
      </c>
      <c r="AB18" s="47" t="s">
        <v>714</v>
      </c>
      <c r="AC18" s="47" t="s">
        <v>36</v>
      </c>
      <c r="AD18" s="47" t="s">
        <v>78</v>
      </c>
      <c r="AE18" s="47" t="s">
        <v>36</v>
      </c>
      <c r="AF18" s="47" t="s">
        <v>36</v>
      </c>
    </row>
    <row r="19" spans="1:32">
      <c r="A19" s="47" t="s">
        <v>726</v>
      </c>
      <c r="B19" s="47" t="s">
        <v>715</v>
      </c>
      <c r="C19" s="47" t="s">
        <v>16</v>
      </c>
      <c r="D19" s="47" t="s">
        <v>79</v>
      </c>
      <c r="E19" s="47" t="s">
        <v>80</v>
      </c>
      <c r="F19" s="47" t="s">
        <v>459</v>
      </c>
      <c r="G19" s="47" t="s">
        <v>460</v>
      </c>
      <c r="H19" s="47" t="s">
        <v>461</v>
      </c>
      <c r="I19" s="47" t="s">
        <v>36</v>
      </c>
      <c r="J19" s="47" t="s">
        <v>716</v>
      </c>
      <c r="K19" s="47" t="s">
        <v>716</v>
      </c>
      <c r="L19" s="47" t="s">
        <v>395</v>
      </c>
      <c r="M19" s="47" t="s">
        <v>441</v>
      </c>
      <c r="N19" s="47" t="s">
        <v>717</v>
      </c>
      <c r="O19" s="47" t="s">
        <v>462</v>
      </c>
      <c r="P19" s="47" t="s">
        <v>36</v>
      </c>
      <c r="Q19" s="47" t="s">
        <v>383</v>
      </c>
      <c r="R19" s="47">
        <v>6</v>
      </c>
      <c r="S19" s="47" t="s">
        <v>448</v>
      </c>
      <c r="T19" s="47" t="s">
        <v>36</v>
      </c>
      <c r="U19" s="47" t="s">
        <v>36</v>
      </c>
      <c r="V19" s="47" t="s">
        <v>36</v>
      </c>
      <c r="W19" s="47" t="s">
        <v>36</v>
      </c>
      <c r="X19" s="47" t="s">
        <v>36</v>
      </c>
      <c r="Y19" s="47" t="s">
        <v>36</v>
      </c>
      <c r="Z19" s="47" t="s">
        <v>389</v>
      </c>
      <c r="AA19" s="47" t="s">
        <v>383</v>
      </c>
      <c r="AB19" s="47" t="s">
        <v>718</v>
      </c>
      <c r="AC19" s="47" t="s">
        <v>36</v>
      </c>
      <c r="AD19" s="47" t="s">
        <v>703</v>
      </c>
      <c r="AE19" s="47" t="s">
        <v>36</v>
      </c>
      <c r="AF19" s="47" t="s">
        <v>36</v>
      </c>
    </row>
    <row r="20" spans="1:32">
      <c r="A20" s="47" t="s">
        <v>726</v>
      </c>
      <c r="B20" s="47" t="s">
        <v>711</v>
      </c>
      <c r="C20" s="47" t="s">
        <v>16</v>
      </c>
      <c r="D20" s="47" t="s">
        <v>81</v>
      </c>
      <c r="E20" s="47" t="s">
        <v>82</v>
      </c>
      <c r="F20" s="47" t="s">
        <v>463</v>
      </c>
      <c r="G20" s="47" t="s">
        <v>464</v>
      </c>
      <c r="H20" s="47" t="s">
        <v>465</v>
      </c>
      <c r="I20" s="47" t="s">
        <v>36</v>
      </c>
      <c r="J20" s="47" t="s">
        <v>719</v>
      </c>
      <c r="K20" s="47" t="s">
        <v>719</v>
      </c>
      <c r="L20" s="47" t="s">
        <v>383</v>
      </c>
      <c r="M20" s="47" t="s">
        <v>463</v>
      </c>
      <c r="N20" s="47" t="s">
        <v>720</v>
      </c>
      <c r="O20" s="47" t="s">
        <v>466</v>
      </c>
      <c r="P20" s="47" t="s">
        <v>36</v>
      </c>
      <c r="Q20" s="47" t="s">
        <v>383</v>
      </c>
      <c r="R20" s="47">
        <v>15</v>
      </c>
      <c r="S20" s="47" t="s">
        <v>36</v>
      </c>
      <c r="T20" s="47" t="s">
        <v>36</v>
      </c>
      <c r="U20" s="47" t="s">
        <v>36</v>
      </c>
      <c r="V20" s="47" t="s">
        <v>36</v>
      </c>
      <c r="W20" s="47" t="s">
        <v>36</v>
      </c>
      <c r="X20" s="47" t="s">
        <v>36</v>
      </c>
      <c r="Y20" s="47" t="s">
        <v>36</v>
      </c>
      <c r="Z20" s="47" t="s">
        <v>397</v>
      </c>
      <c r="AA20" s="47" t="s">
        <v>383</v>
      </c>
      <c r="AB20" s="47" t="s">
        <v>721</v>
      </c>
      <c r="AC20" s="47" t="s">
        <v>36</v>
      </c>
      <c r="AD20" s="47" t="s">
        <v>333</v>
      </c>
      <c r="AE20" s="47" t="s">
        <v>36</v>
      </c>
      <c r="AF20" s="47" t="s">
        <v>36</v>
      </c>
    </row>
    <row r="21" spans="1:32">
      <c r="A21" s="47" t="s">
        <v>726</v>
      </c>
      <c r="B21" s="47" t="s">
        <v>722</v>
      </c>
      <c r="C21" s="47" t="s">
        <v>16</v>
      </c>
      <c r="D21" s="47" t="s">
        <v>84</v>
      </c>
      <c r="E21" s="47" t="s">
        <v>85</v>
      </c>
      <c r="F21" s="47" t="s">
        <v>467</v>
      </c>
      <c r="G21" s="47" t="s">
        <v>468</v>
      </c>
      <c r="H21" s="47" t="s">
        <v>469</v>
      </c>
      <c r="I21" s="47" t="s">
        <v>422</v>
      </c>
      <c r="J21" s="47" t="s">
        <v>517</v>
      </c>
      <c r="K21" s="47" t="s">
        <v>517</v>
      </c>
      <c r="L21" s="47" t="s">
        <v>383</v>
      </c>
      <c r="M21" s="47" t="s">
        <v>389</v>
      </c>
      <c r="N21" s="47" t="s">
        <v>518</v>
      </c>
      <c r="O21" s="47" t="s">
        <v>615</v>
      </c>
      <c r="P21" s="47" t="s">
        <v>723</v>
      </c>
      <c r="Q21" s="47" t="s">
        <v>383</v>
      </c>
      <c r="R21" s="47">
        <v>23</v>
      </c>
      <c r="S21" s="47" t="s">
        <v>36</v>
      </c>
      <c r="T21" s="47" t="s">
        <v>36</v>
      </c>
      <c r="U21" s="47" t="s">
        <v>36</v>
      </c>
      <c r="V21" s="47" t="s">
        <v>36</v>
      </c>
      <c r="W21" s="47" t="s">
        <v>36</v>
      </c>
      <c r="X21" s="47" t="s">
        <v>36</v>
      </c>
      <c r="Y21" s="47" t="s">
        <v>36</v>
      </c>
      <c r="Z21" s="47" t="s">
        <v>383</v>
      </c>
      <c r="AA21" s="47" t="s">
        <v>383</v>
      </c>
      <c r="AB21" s="47" t="s">
        <v>724</v>
      </c>
      <c r="AC21" s="47" t="s">
        <v>616</v>
      </c>
      <c r="AD21" s="47" t="s">
        <v>704</v>
      </c>
      <c r="AE21" s="47" t="s">
        <v>36</v>
      </c>
      <c r="AF21" s="47" t="s">
        <v>36</v>
      </c>
    </row>
    <row r="22" spans="1:32">
      <c r="A22" s="47" t="s">
        <v>726</v>
      </c>
      <c r="B22" s="47" t="s">
        <v>614</v>
      </c>
      <c r="C22" s="47" t="s">
        <v>16</v>
      </c>
      <c r="D22" s="47" t="s">
        <v>86</v>
      </c>
      <c r="E22" s="47" t="s">
        <v>87</v>
      </c>
      <c r="F22" s="47" t="s">
        <v>380</v>
      </c>
      <c r="G22" s="47" t="s">
        <v>470</v>
      </c>
      <c r="H22" s="47" t="s">
        <v>471</v>
      </c>
      <c r="I22" s="47" t="s">
        <v>472</v>
      </c>
      <c r="J22" s="47" t="s">
        <v>631</v>
      </c>
      <c r="K22" s="47" t="s">
        <v>631</v>
      </c>
      <c r="L22" s="47" t="s">
        <v>432</v>
      </c>
      <c r="M22" s="47" t="s">
        <v>392</v>
      </c>
      <c r="N22" s="47" t="s">
        <v>632</v>
      </c>
      <c r="O22" s="47" t="s">
        <v>473</v>
      </c>
      <c r="P22" s="47" t="s">
        <v>36</v>
      </c>
      <c r="Q22" s="47" t="s">
        <v>383</v>
      </c>
      <c r="R22" s="47">
        <v>17</v>
      </c>
      <c r="S22" s="47" t="s">
        <v>425</v>
      </c>
      <c r="T22" s="47" t="s">
        <v>36</v>
      </c>
      <c r="U22" s="47" t="s">
        <v>36</v>
      </c>
      <c r="V22" s="47" t="s">
        <v>36</v>
      </c>
      <c r="W22" s="47" t="s">
        <v>36</v>
      </c>
      <c r="X22" s="47" t="s">
        <v>36</v>
      </c>
      <c r="Y22" s="47" t="s">
        <v>36</v>
      </c>
      <c r="Z22" s="47" t="s">
        <v>389</v>
      </c>
      <c r="AA22" s="47" t="s">
        <v>383</v>
      </c>
      <c r="AB22" s="47" t="s">
        <v>633</v>
      </c>
      <c r="AC22" s="47" t="s">
        <v>36</v>
      </c>
      <c r="AD22" s="47" t="s">
        <v>88</v>
      </c>
      <c r="AE22" s="47" t="s">
        <v>36</v>
      </c>
      <c r="AF22" s="47" t="s">
        <v>36</v>
      </c>
    </row>
    <row r="23" spans="1:32">
      <c r="A23" s="47" t="s">
        <v>726</v>
      </c>
      <c r="B23" s="47" t="s">
        <v>640</v>
      </c>
      <c r="C23" s="47" t="s">
        <v>16</v>
      </c>
      <c r="D23" s="47" t="s">
        <v>89</v>
      </c>
      <c r="E23" s="47" t="s">
        <v>90</v>
      </c>
      <c r="F23" s="47" t="s">
        <v>428</v>
      </c>
      <c r="G23" s="47" t="s">
        <v>474</v>
      </c>
      <c r="H23" s="47" t="s">
        <v>475</v>
      </c>
      <c r="I23" s="47" t="s">
        <v>36</v>
      </c>
      <c r="J23" s="47" t="s">
        <v>641</v>
      </c>
      <c r="K23" s="47" t="s">
        <v>641</v>
      </c>
      <c r="L23" s="47" t="s">
        <v>642</v>
      </c>
      <c r="M23" s="47" t="s">
        <v>643</v>
      </c>
      <c r="N23" s="47" t="s">
        <v>644</v>
      </c>
      <c r="O23" s="47" t="s">
        <v>645</v>
      </c>
      <c r="P23" s="47" t="s">
        <v>646</v>
      </c>
      <c r="Q23" s="47" t="s">
        <v>383</v>
      </c>
      <c r="R23" s="47">
        <v>331</v>
      </c>
      <c r="S23" s="47" t="s">
        <v>392</v>
      </c>
      <c r="T23" s="47" t="s">
        <v>463</v>
      </c>
      <c r="U23" s="47" t="s">
        <v>36</v>
      </c>
      <c r="V23" s="47" t="s">
        <v>36</v>
      </c>
      <c r="W23" s="47" t="s">
        <v>36</v>
      </c>
      <c r="X23" s="47" t="s">
        <v>36</v>
      </c>
      <c r="Y23" s="47" t="s">
        <v>36</v>
      </c>
      <c r="Z23" s="47" t="s">
        <v>425</v>
      </c>
      <c r="AA23" s="47" t="s">
        <v>395</v>
      </c>
      <c r="AB23" s="47" t="s">
        <v>647</v>
      </c>
      <c r="AC23" s="47" t="s">
        <v>648</v>
      </c>
      <c r="AD23" s="47" t="s">
        <v>507</v>
      </c>
      <c r="AE23" s="47" t="s">
        <v>36</v>
      </c>
      <c r="AF23" s="47" t="s">
        <v>36</v>
      </c>
    </row>
    <row r="24" spans="1:32">
      <c r="A24" s="47" t="s">
        <v>726</v>
      </c>
      <c r="B24" s="47" t="s">
        <v>667</v>
      </c>
      <c r="C24" s="47" t="s">
        <v>16</v>
      </c>
      <c r="D24" s="47" t="s">
        <v>91</v>
      </c>
      <c r="E24" s="47" t="s">
        <v>92</v>
      </c>
      <c r="F24" s="47" t="s">
        <v>476</v>
      </c>
      <c r="G24" s="47" t="s">
        <v>477</v>
      </c>
      <c r="H24" s="47" t="s">
        <v>478</v>
      </c>
      <c r="I24" s="47" t="s">
        <v>401</v>
      </c>
      <c r="J24" s="47" t="s">
        <v>591</v>
      </c>
      <c r="K24" s="47" t="s">
        <v>591</v>
      </c>
      <c r="L24" s="47" t="s">
        <v>389</v>
      </c>
      <c r="M24" s="47" t="s">
        <v>397</v>
      </c>
      <c r="N24" s="47" t="s">
        <v>592</v>
      </c>
      <c r="O24" s="47" t="s">
        <v>618</v>
      </c>
      <c r="P24" s="47" t="s">
        <v>619</v>
      </c>
      <c r="Q24" s="47" t="s">
        <v>383</v>
      </c>
      <c r="R24" s="47">
        <v>7</v>
      </c>
      <c r="S24" s="47" t="s">
        <v>36</v>
      </c>
      <c r="T24" s="47" t="s">
        <v>36</v>
      </c>
      <c r="U24" s="47" t="s">
        <v>36</v>
      </c>
      <c r="V24" s="47" t="s">
        <v>36</v>
      </c>
      <c r="W24" s="47" t="s">
        <v>36</v>
      </c>
      <c r="X24" s="47" t="s">
        <v>36</v>
      </c>
      <c r="Y24" s="47" t="s">
        <v>36</v>
      </c>
      <c r="Z24" s="47" t="s">
        <v>383</v>
      </c>
      <c r="AA24" s="47" t="s">
        <v>383</v>
      </c>
      <c r="AB24" s="47" t="s">
        <v>668</v>
      </c>
      <c r="AC24" s="47" t="s">
        <v>669</v>
      </c>
      <c r="AD24" s="47" t="s">
        <v>93</v>
      </c>
      <c r="AE24" s="47" t="s">
        <v>36</v>
      </c>
      <c r="AF24" s="47" t="s">
        <v>36</v>
      </c>
    </row>
    <row r="25" spans="1:32">
      <c r="A25" s="47" t="s">
        <v>726</v>
      </c>
      <c r="B25" s="47" t="s">
        <v>600</v>
      </c>
      <c r="C25" s="47" t="s">
        <v>16</v>
      </c>
      <c r="D25" s="47" t="s">
        <v>94</v>
      </c>
      <c r="E25" s="47" t="s">
        <v>95</v>
      </c>
      <c r="F25" s="47" t="s">
        <v>479</v>
      </c>
      <c r="G25" s="47" t="s">
        <v>480</v>
      </c>
      <c r="H25" s="47" t="s">
        <v>481</v>
      </c>
      <c r="I25" s="47" t="s">
        <v>36</v>
      </c>
      <c r="J25" s="47" t="s">
        <v>649</v>
      </c>
      <c r="K25" s="47" t="s">
        <v>649</v>
      </c>
      <c r="L25" s="47" t="s">
        <v>650</v>
      </c>
      <c r="M25" s="47" t="s">
        <v>651</v>
      </c>
      <c r="N25" s="47" t="s">
        <v>652</v>
      </c>
      <c r="O25" s="47" t="s">
        <v>653</v>
      </c>
      <c r="P25" s="47" t="s">
        <v>36</v>
      </c>
      <c r="Q25" s="47" t="s">
        <v>383</v>
      </c>
      <c r="R25" s="47">
        <v>388</v>
      </c>
      <c r="S25" s="47" t="s">
        <v>479</v>
      </c>
      <c r="T25" s="47" t="s">
        <v>36</v>
      </c>
      <c r="U25" s="47" t="s">
        <v>36</v>
      </c>
      <c r="V25" s="47" t="s">
        <v>36</v>
      </c>
      <c r="W25" s="47" t="s">
        <v>36</v>
      </c>
      <c r="X25" s="47" t="s">
        <v>36</v>
      </c>
      <c r="Y25" s="47" t="s">
        <v>36</v>
      </c>
      <c r="Z25" s="47" t="s">
        <v>389</v>
      </c>
      <c r="AA25" s="47" t="s">
        <v>383</v>
      </c>
      <c r="AB25" s="47" t="s">
        <v>654</v>
      </c>
      <c r="AC25" s="47" t="s">
        <v>655</v>
      </c>
      <c r="AD25" s="47" t="s">
        <v>96</v>
      </c>
      <c r="AE25" s="47" t="s">
        <v>36</v>
      </c>
      <c r="AF25" s="47" t="s">
        <v>36</v>
      </c>
    </row>
    <row r="26" spans="1:32">
      <c r="A26" s="47" t="s">
        <v>726</v>
      </c>
      <c r="B26" s="47" t="s">
        <v>614</v>
      </c>
      <c r="C26" s="47" t="s">
        <v>16</v>
      </c>
      <c r="D26" s="47" t="s">
        <v>97</v>
      </c>
      <c r="E26" s="47" t="s">
        <v>98</v>
      </c>
      <c r="F26" s="47" t="s">
        <v>435</v>
      </c>
      <c r="G26" s="47" t="s">
        <v>482</v>
      </c>
      <c r="H26" s="47" t="s">
        <v>483</v>
      </c>
      <c r="I26" s="47" t="s">
        <v>36</v>
      </c>
      <c r="J26" s="47" t="s">
        <v>682</v>
      </c>
      <c r="K26" s="47" t="s">
        <v>682</v>
      </c>
      <c r="L26" s="47" t="s">
        <v>383</v>
      </c>
      <c r="M26" s="47" t="s">
        <v>683</v>
      </c>
      <c r="N26" s="47" t="s">
        <v>684</v>
      </c>
      <c r="O26" s="47" t="s">
        <v>685</v>
      </c>
      <c r="P26" s="47" t="s">
        <v>36</v>
      </c>
      <c r="Q26" s="47" t="s">
        <v>383</v>
      </c>
      <c r="R26" s="47">
        <v>146</v>
      </c>
      <c r="S26" s="47" t="s">
        <v>384</v>
      </c>
      <c r="T26" s="47" t="s">
        <v>425</v>
      </c>
      <c r="U26" s="47" t="s">
        <v>36</v>
      </c>
      <c r="V26" s="47" t="s">
        <v>36</v>
      </c>
      <c r="W26" s="47" t="s">
        <v>36</v>
      </c>
      <c r="X26" s="47" t="s">
        <v>36</v>
      </c>
      <c r="Y26" s="47" t="s">
        <v>36</v>
      </c>
      <c r="Z26" s="47" t="s">
        <v>383</v>
      </c>
      <c r="AA26" s="47" t="s">
        <v>383</v>
      </c>
      <c r="AB26" s="47" t="s">
        <v>686</v>
      </c>
      <c r="AC26" s="47" t="s">
        <v>687</v>
      </c>
      <c r="AD26" s="47" t="s">
        <v>620</v>
      </c>
      <c r="AE26" s="47" t="s">
        <v>36</v>
      </c>
      <c r="AF26" s="47" t="s">
        <v>36</v>
      </c>
    </row>
    <row r="27" spans="1:32">
      <c r="A27" s="47" t="s">
        <v>726</v>
      </c>
      <c r="B27" s="47" t="s">
        <v>731</v>
      </c>
      <c r="C27" s="47" t="s">
        <v>16</v>
      </c>
      <c r="D27" s="47" t="s">
        <v>99</v>
      </c>
      <c r="E27" s="47" t="s">
        <v>100</v>
      </c>
      <c r="F27" s="47" t="s">
        <v>484</v>
      </c>
      <c r="G27" s="47" t="s">
        <v>485</v>
      </c>
      <c r="H27" s="47" t="s">
        <v>486</v>
      </c>
      <c r="I27" s="47" t="s">
        <v>36</v>
      </c>
      <c r="J27" s="47" t="s">
        <v>732</v>
      </c>
      <c r="K27" s="47" t="s">
        <v>732</v>
      </c>
      <c r="L27" s="47" t="s">
        <v>432</v>
      </c>
      <c r="M27" s="47" t="s">
        <v>395</v>
      </c>
      <c r="N27" s="47" t="s">
        <v>733</v>
      </c>
      <c r="O27" s="47" t="s">
        <v>487</v>
      </c>
      <c r="P27" s="47" t="s">
        <v>734</v>
      </c>
      <c r="Q27" s="47" t="s">
        <v>383</v>
      </c>
      <c r="R27" s="47">
        <v>8</v>
      </c>
      <c r="S27" s="47" t="s">
        <v>389</v>
      </c>
      <c r="T27" s="47" t="s">
        <v>36</v>
      </c>
      <c r="U27" s="47" t="s">
        <v>36</v>
      </c>
      <c r="V27" s="47" t="s">
        <v>36</v>
      </c>
      <c r="W27" s="47" t="s">
        <v>36</v>
      </c>
      <c r="X27" s="47" t="s">
        <v>36</v>
      </c>
      <c r="Y27" s="47" t="s">
        <v>36</v>
      </c>
      <c r="Z27" s="47" t="s">
        <v>389</v>
      </c>
      <c r="AA27" s="47" t="s">
        <v>383</v>
      </c>
      <c r="AB27" s="47" t="s">
        <v>735</v>
      </c>
      <c r="AC27" s="47" t="s">
        <v>36</v>
      </c>
      <c r="AD27" s="47" t="s">
        <v>328</v>
      </c>
      <c r="AE27" s="47" t="s">
        <v>36</v>
      </c>
      <c r="AF27" s="47" t="s">
        <v>36</v>
      </c>
    </row>
    <row r="28" spans="1:32">
      <c r="A28" s="47" t="s">
        <v>726</v>
      </c>
      <c r="B28" s="47" t="s">
        <v>670</v>
      </c>
      <c r="C28" s="47" t="s">
        <v>16</v>
      </c>
      <c r="D28" s="47" t="s">
        <v>101</v>
      </c>
      <c r="E28" s="47" t="s">
        <v>102</v>
      </c>
      <c r="F28" s="47" t="s">
        <v>380</v>
      </c>
      <c r="G28" s="47" t="s">
        <v>488</v>
      </c>
      <c r="H28" s="47" t="s">
        <v>489</v>
      </c>
      <c r="I28" s="47" t="s">
        <v>36</v>
      </c>
      <c r="J28" s="47" t="s">
        <v>671</v>
      </c>
      <c r="K28" s="47" t="s">
        <v>671</v>
      </c>
      <c r="L28" s="47" t="s">
        <v>432</v>
      </c>
      <c r="M28" s="47" t="s">
        <v>509</v>
      </c>
      <c r="N28" s="47" t="s">
        <v>672</v>
      </c>
      <c r="O28" s="47" t="s">
        <v>621</v>
      </c>
      <c r="P28" s="47" t="s">
        <v>36</v>
      </c>
      <c r="Q28" s="47" t="s">
        <v>383</v>
      </c>
      <c r="R28" s="47">
        <v>124</v>
      </c>
      <c r="S28" s="47" t="s">
        <v>441</v>
      </c>
      <c r="T28" s="47" t="s">
        <v>441</v>
      </c>
      <c r="U28" s="47" t="s">
        <v>36</v>
      </c>
      <c r="V28" s="47" t="s">
        <v>36</v>
      </c>
      <c r="W28" s="47" t="s">
        <v>36</v>
      </c>
      <c r="X28" s="47" t="s">
        <v>36</v>
      </c>
      <c r="Y28" s="47" t="s">
        <v>36</v>
      </c>
      <c r="Z28" s="47" t="s">
        <v>392</v>
      </c>
      <c r="AA28" s="47" t="s">
        <v>383</v>
      </c>
      <c r="AB28" s="47" t="s">
        <v>673</v>
      </c>
      <c r="AC28" s="47" t="s">
        <v>622</v>
      </c>
      <c r="AD28" s="47" t="s">
        <v>103</v>
      </c>
      <c r="AE28" s="47" t="s">
        <v>36</v>
      </c>
      <c r="AF28" s="47" t="s">
        <v>36</v>
      </c>
    </row>
  </sheetData>
  <phoneticPr fontId="27"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573"/>
  <sheetViews>
    <sheetView topLeftCell="A1530" workbookViewId="0">
      <selection sqref="A1:K1558"/>
    </sheetView>
  </sheetViews>
  <sheetFormatPr baseColWidth="10" defaultRowHeight="14.5"/>
  <cols>
    <col min="1" max="1" width="9.90625" style="2" bestFit="1" customWidth="1"/>
    <col min="2" max="2" width="6.90625" style="45" bestFit="1" customWidth="1"/>
    <col min="3" max="3" width="27" style="45" bestFit="1" customWidth="1"/>
    <col min="4" max="4" width="15.6328125" style="45" bestFit="1" customWidth="1"/>
    <col min="5" max="5" width="13.90625" style="45" bestFit="1" customWidth="1"/>
    <col min="6" max="6" width="14.36328125" style="45" bestFit="1" customWidth="1"/>
    <col min="7" max="7" width="13.1796875" style="45" bestFit="1" customWidth="1"/>
    <col min="8" max="8" width="14" style="45" bestFit="1" customWidth="1"/>
    <col min="9" max="9" width="17.36328125" style="45" bestFit="1" customWidth="1"/>
    <col min="10" max="10" width="18.1796875" style="45" bestFit="1" customWidth="1"/>
    <col min="11" max="11" width="80.7265625" style="45" bestFit="1" customWidth="1"/>
    <col min="12" max="16384" width="10.90625" style="45"/>
  </cols>
  <sheetData>
    <row r="1" spans="1:11">
      <c r="A1" s="2" t="s">
        <v>0</v>
      </c>
      <c r="B1" s="45" t="s">
        <v>104</v>
      </c>
      <c r="C1" s="45" t="s">
        <v>337</v>
      </c>
      <c r="D1" s="45" t="s">
        <v>338</v>
      </c>
      <c r="E1" s="45" t="s">
        <v>339</v>
      </c>
      <c r="F1" s="45" t="s">
        <v>344</v>
      </c>
      <c r="G1" s="45" t="s">
        <v>345</v>
      </c>
      <c r="H1" s="45" t="s">
        <v>29</v>
      </c>
      <c r="I1" s="45" t="s">
        <v>340</v>
      </c>
      <c r="J1" s="45" t="s">
        <v>341</v>
      </c>
      <c r="K1" s="45" t="s">
        <v>33</v>
      </c>
    </row>
    <row r="2" spans="1:11">
      <c r="A2" s="2">
        <v>43886</v>
      </c>
      <c r="C2" s="45" t="s">
        <v>58</v>
      </c>
      <c r="D2" s="45">
        <v>72</v>
      </c>
      <c r="E2" s="45">
        <v>0</v>
      </c>
      <c r="F2" s="45">
        <v>0</v>
      </c>
      <c r="G2" s="45">
        <v>0</v>
      </c>
      <c r="H2" s="45">
        <v>0</v>
      </c>
      <c r="J2" s="45">
        <v>0</v>
      </c>
      <c r="K2" s="45" t="s">
        <v>369</v>
      </c>
    </row>
    <row r="3" spans="1:11">
      <c r="A3" s="2">
        <v>43886</v>
      </c>
      <c r="C3" s="45" t="s">
        <v>89</v>
      </c>
      <c r="E3" s="45">
        <v>0</v>
      </c>
      <c r="F3" s="45">
        <v>0</v>
      </c>
      <c r="G3" s="45">
        <v>0</v>
      </c>
      <c r="H3" s="45">
        <v>0</v>
      </c>
      <c r="I3" s="45">
        <v>0</v>
      </c>
      <c r="J3" s="45">
        <v>0</v>
      </c>
      <c r="K3" s="45" t="s">
        <v>507</v>
      </c>
    </row>
    <row r="4" spans="1:11">
      <c r="A4" s="2">
        <v>43887</v>
      </c>
      <c r="C4" s="45" t="s">
        <v>58</v>
      </c>
      <c r="D4" s="45">
        <v>177</v>
      </c>
      <c r="E4" s="45">
        <v>1</v>
      </c>
      <c r="F4" s="45">
        <v>1</v>
      </c>
      <c r="G4" s="45">
        <v>0</v>
      </c>
      <c r="H4" s="45">
        <v>0</v>
      </c>
      <c r="J4" s="45">
        <v>0</v>
      </c>
      <c r="K4" s="45" t="s">
        <v>369</v>
      </c>
    </row>
    <row r="5" spans="1:11">
      <c r="A5" s="2">
        <v>43887</v>
      </c>
      <c r="C5" s="45" t="s">
        <v>89</v>
      </c>
      <c r="E5" s="45">
        <v>1</v>
      </c>
      <c r="F5" s="45">
        <v>0</v>
      </c>
      <c r="G5" s="45">
        <v>0</v>
      </c>
      <c r="H5" s="45">
        <v>0</v>
      </c>
      <c r="I5" s="45">
        <v>0</v>
      </c>
      <c r="J5" s="45">
        <v>0</v>
      </c>
      <c r="K5" s="45" t="s">
        <v>507</v>
      </c>
    </row>
    <row r="6" spans="1:11">
      <c r="A6" s="2">
        <v>43888</v>
      </c>
      <c r="C6" s="45" t="s">
        <v>53</v>
      </c>
      <c r="D6" s="45">
        <v>3</v>
      </c>
      <c r="K6" s="45" t="s">
        <v>106</v>
      </c>
    </row>
    <row r="7" spans="1:11">
      <c r="A7" s="2">
        <v>43888</v>
      </c>
      <c r="C7" s="45" t="s">
        <v>58</v>
      </c>
      <c r="D7" s="45">
        <v>325</v>
      </c>
      <c r="E7" s="45">
        <v>1</v>
      </c>
      <c r="F7" s="45">
        <v>1</v>
      </c>
      <c r="G7" s="45">
        <v>0</v>
      </c>
      <c r="H7" s="45">
        <v>0</v>
      </c>
      <c r="J7" s="45">
        <v>0</v>
      </c>
      <c r="K7" s="45" t="s">
        <v>369</v>
      </c>
    </row>
    <row r="8" spans="1:11">
      <c r="A8" s="2">
        <v>43888</v>
      </c>
      <c r="C8" s="45" t="s">
        <v>64</v>
      </c>
      <c r="E8" s="45">
        <v>1</v>
      </c>
      <c r="F8" s="45">
        <v>1</v>
      </c>
      <c r="G8" s="45">
        <v>0</v>
      </c>
      <c r="J8" s="45">
        <v>0</v>
      </c>
      <c r="K8" s="45" t="s">
        <v>688</v>
      </c>
    </row>
    <row r="9" spans="1:11">
      <c r="A9" s="2">
        <v>43888</v>
      </c>
      <c r="C9" s="45" t="s">
        <v>89</v>
      </c>
      <c r="E9" s="45">
        <v>1</v>
      </c>
      <c r="F9" s="45">
        <v>0</v>
      </c>
      <c r="G9" s="45">
        <v>0</v>
      </c>
      <c r="H9" s="45">
        <v>0</v>
      </c>
      <c r="I9" s="45">
        <v>0</v>
      </c>
      <c r="J9" s="45">
        <v>0</v>
      </c>
      <c r="K9" s="45" t="s">
        <v>507</v>
      </c>
    </row>
    <row r="10" spans="1:11">
      <c r="A10" s="2">
        <v>43888</v>
      </c>
      <c r="B10" s="45">
        <v>0.60416666666666663</v>
      </c>
      <c r="C10" s="45" t="s">
        <v>101</v>
      </c>
      <c r="E10" s="45">
        <v>2</v>
      </c>
      <c r="K10" s="45" t="s">
        <v>103</v>
      </c>
    </row>
    <row r="11" spans="1:11">
      <c r="A11" s="2">
        <v>43888</v>
      </c>
      <c r="B11" s="45">
        <v>0.80347222222222225</v>
      </c>
      <c r="C11" s="45" t="s">
        <v>50</v>
      </c>
      <c r="E11" s="45">
        <v>1</v>
      </c>
      <c r="K11" s="45" t="s">
        <v>105</v>
      </c>
    </row>
    <row r="12" spans="1:11">
      <c r="A12" s="2">
        <v>43889</v>
      </c>
      <c r="C12" s="45" t="s">
        <v>44</v>
      </c>
      <c r="E12" s="45">
        <v>1</v>
      </c>
      <c r="K12" s="45" t="s">
        <v>108</v>
      </c>
    </row>
    <row r="13" spans="1:11">
      <c r="A13" s="2">
        <v>43889</v>
      </c>
      <c r="C13" s="45" t="s">
        <v>47</v>
      </c>
      <c r="E13" s="45">
        <v>1</v>
      </c>
      <c r="K13" s="45" t="s">
        <v>109</v>
      </c>
    </row>
    <row r="14" spans="1:11">
      <c r="A14" s="2">
        <v>43889</v>
      </c>
      <c r="C14" s="45" t="s">
        <v>58</v>
      </c>
      <c r="D14" s="45">
        <v>532</v>
      </c>
      <c r="E14" s="45">
        <v>4</v>
      </c>
      <c r="F14" s="45">
        <v>2</v>
      </c>
      <c r="G14" s="45">
        <v>0</v>
      </c>
      <c r="H14" s="45">
        <v>0</v>
      </c>
      <c r="J14" s="45">
        <v>0</v>
      </c>
      <c r="K14" s="45" t="s">
        <v>369</v>
      </c>
    </row>
    <row r="15" spans="1:11">
      <c r="A15" s="2">
        <v>43889</v>
      </c>
      <c r="C15" s="45" t="s">
        <v>64</v>
      </c>
      <c r="E15" s="45">
        <v>1</v>
      </c>
      <c r="F15" s="45">
        <v>1</v>
      </c>
      <c r="G15" s="45">
        <v>0</v>
      </c>
      <c r="J15" s="45">
        <v>0</v>
      </c>
      <c r="K15" s="45" t="s">
        <v>688</v>
      </c>
    </row>
    <row r="16" spans="1:11">
      <c r="A16" s="2">
        <v>43889</v>
      </c>
      <c r="C16" s="45" t="s">
        <v>89</v>
      </c>
      <c r="E16" s="45">
        <v>1</v>
      </c>
      <c r="F16" s="45">
        <v>0</v>
      </c>
      <c r="G16" s="45">
        <v>0</v>
      </c>
      <c r="H16" s="45">
        <v>0</v>
      </c>
      <c r="I16" s="45">
        <v>0</v>
      </c>
      <c r="J16" s="45">
        <v>0</v>
      </c>
      <c r="K16" s="45" t="s">
        <v>507</v>
      </c>
    </row>
    <row r="17" spans="1:11">
      <c r="A17" s="2">
        <v>43889</v>
      </c>
      <c r="C17" s="45" t="s">
        <v>94</v>
      </c>
      <c r="F17" s="45">
        <v>4</v>
      </c>
      <c r="K17" s="45" t="s">
        <v>111</v>
      </c>
    </row>
    <row r="18" spans="1:11">
      <c r="A18" s="2">
        <v>43889</v>
      </c>
      <c r="C18" s="45" t="s">
        <v>97</v>
      </c>
      <c r="E18" s="45">
        <v>1</v>
      </c>
      <c r="F18" s="45">
        <v>5</v>
      </c>
      <c r="G18" s="45">
        <v>0</v>
      </c>
      <c r="H18" s="45">
        <v>0</v>
      </c>
      <c r="J18" s="45">
        <v>0</v>
      </c>
      <c r="K18" s="45" t="s">
        <v>620</v>
      </c>
    </row>
    <row r="19" spans="1:11">
      <c r="A19" s="2">
        <v>43889</v>
      </c>
      <c r="B19" s="45">
        <v>0.42708333333333331</v>
      </c>
      <c r="C19" s="45" t="s">
        <v>50</v>
      </c>
      <c r="E19" s="45">
        <v>1</v>
      </c>
      <c r="K19" s="45" t="s">
        <v>110</v>
      </c>
    </row>
    <row r="20" spans="1:11">
      <c r="A20" s="2">
        <v>43889</v>
      </c>
      <c r="B20" s="45">
        <v>0.60416666666666663</v>
      </c>
      <c r="C20" s="45" t="s">
        <v>101</v>
      </c>
      <c r="E20" s="45">
        <v>2</v>
      </c>
      <c r="K20" s="45" t="s">
        <v>103</v>
      </c>
    </row>
    <row r="21" spans="1:11">
      <c r="A21" s="2">
        <v>43889</v>
      </c>
      <c r="B21" s="45">
        <v>0.625</v>
      </c>
      <c r="C21" s="45" t="s">
        <v>34</v>
      </c>
      <c r="E21" s="45">
        <v>1</v>
      </c>
      <c r="K21" s="45" t="s">
        <v>107</v>
      </c>
    </row>
    <row r="22" spans="1:11">
      <c r="A22" s="2">
        <v>43890</v>
      </c>
      <c r="C22" s="45" t="s">
        <v>47</v>
      </c>
      <c r="E22" s="45">
        <v>2</v>
      </c>
      <c r="F22" s="45">
        <v>1</v>
      </c>
      <c r="K22" s="45" t="s">
        <v>112</v>
      </c>
    </row>
    <row r="23" spans="1:11">
      <c r="A23" s="2">
        <v>43890</v>
      </c>
      <c r="C23" s="45" t="s">
        <v>58</v>
      </c>
      <c r="D23" s="45">
        <v>673</v>
      </c>
      <c r="E23" s="45">
        <v>7</v>
      </c>
      <c r="F23" s="45">
        <v>3</v>
      </c>
      <c r="G23" s="45">
        <v>0</v>
      </c>
      <c r="H23" s="45">
        <v>0</v>
      </c>
      <c r="J23" s="45">
        <v>0</v>
      </c>
      <c r="K23" s="45" t="s">
        <v>369</v>
      </c>
    </row>
    <row r="24" spans="1:11">
      <c r="A24" s="2">
        <v>43890</v>
      </c>
      <c r="C24" s="45" t="s">
        <v>64</v>
      </c>
      <c r="E24" s="45">
        <v>1</v>
      </c>
      <c r="F24" s="45">
        <v>1</v>
      </c>
      <c r="G24" s="45">
        <v>0</v>
      </c>
      <c r="J24" s="45">
        <v>0</v>
      </c>
      <c r="K24" s="45" t="s">
        <v>688</v>
      </c>
    </row>
    <row r="25" spans="1:11">
      <c r="A25" s="2">
        <v>43890</v>
      </c>
      <c r="C25" s="45" t="s">
        <v>89</v>
      </c>
      <c r="E25" s="45">
        <v>2</v>
      </c>
      <c r="F25" s="45">
        <v>0</v>
      </c>
      <c r="G25" s="45">
        <v>0</v>
      </c>
      <c r="H25" s="45">
        <v>0</v>
      </c>
      <c r="I25" s="45">
        <v>0</v>
      </c>
      <c r="J25" s="45">
        <v>0</v>
      </c>
      <c r="K25" s="45" t="s">
        <v>507</v>
      </c>
    </row>
    <row r="26" spans="1:11">
      <c r="A26" s="2">
        <v>43890</v>
      </c>
      <c r="C26" s="45" t="s">
        <v>94</v>
      </c>
      <c r="F26" s="45">
        <v>4</v>
      </c>
      <c r="K26" s="45" t="s">
        <v>111</v>
      </c>
    </row>
    <row r="27" spans="1:11">
      <c r="A27" s="2">
        <v>43890</v>
      </c>
      <c r="C27" s="45" t="s">
        <v>97</v>
      </c>
      <c r="E27" s="45">
        <v>1</v>
      </c>
      <c r="F27" s="45">
        <v>5</v>
      </c>
      <c r="G27" s="45">
        <v>0</v>
      </c>
      <c r="H27" s="45">
        <v>0</v>
      </c>
      <c r="J27" s="45">
        <v>0</v>
      </c>
      <c r="K27" s="45" t="s">
        <v>620</v>
      </c>
    </row>
    <row r="28" spans="1:11">
      <c r="A28" s="2">
        <v>43890</v>
      </c>
      <c r="B28" s="45">
        <v>0.33333333333333331</v>
      </c>
      <c r="C28" s="45" t="s">
        <v>99</v>
      </c>
      <c r="E28" s="45">
        <v>0</v>
      </c>
      <c r="F28" s="45">
        <v>0</v>
      </c>
      <c r="G28" s="45">
        <v>0</v>
      </c>
      <c r="J28" s="45">
        <v>0</v>
      </c>
      <c r="K28" s="45" t="s">
        <v>328</v>
      </c>
    </row>
    <row r="29" spans="1:11">
      <c r="A29" s="2">
        <v>43890</v>
      </c>
      <c r="B29" s="45">
        <v>0.60416666666666663</v>
      </c>
      <c r="C29" s="45" t="s">
        <v>101</v>
      </c>
      <c r="E29" s="45">
        <v>6</v>
      </c>
      <c r="K29" s="45" t="s">
        <v>103</v>
      </c>
    </row>
    <row r="30" spans="1:11">
      <c r="A30" s="2">
        <v>43890</v>
      </c>
      <c r="B30" s="45">
        <v>0.64097222222222228</v>
      </c>
      <c r="C30" s="45" t="s">
        <v>50</v>
      </c>
      <c r="E30" s="45">
        <v>1</v>
      </c>
      <c r="K30" s="45" t="s">
        <v>113</v>
      </c>
    </row>
    <row r="31" spans="1:11">
      <c r="A31" s="2">
        <v>43891</v>
      </c>
      <c r="C31" s="45" t="s">
        <v>44</v>
      </c>
      <c r="E31" s="45">
        <v>2</v>
      </c>
      <c r="K31" s="45" t="s">
        <v>114</v>
      </c>
    </row>
    <row r="32" spans="1:11">
      <c r="A32" s="2">
        <v>43891</v>
      </c>
      <c r="C32" s="45" t="s">
        <v>47</v>
      </c>
      <c r="E32" s="45">
        <v>2</v>
      </c>
      <c r="F32" s="45">
        <v>1</v>
      </c>
      <c r="K32" s="45" t="s">
        <v>36</v>
      </c>
    </row>
    <row r="33" spans="1:11">
      <c r="A33" s="2">
        <v>43891</v>
      </c>
      <c r="C33" s="45" t="s">
        <v>56</v>
      </c>
      <c r="D33" s="45">
        <v>30</v>
      </c>
      <c r="E33" s="45">
        <v>1</v>
      </c>
      <c r="K33" s="45" t="s">
        <v>116</v>
      </c>
    </row>
    <row r="34" spans="1:11">
      <c r="A34" s="2">
        <v>43891</v>
      </c>
      <c r="C34" s="45" t="s">
        <v>58</v>
      </c>
      <c r="D34" s="45">
        <v>780</v>
      </c>
      <c r="E34" s="45">
        <v>10</v>
      </c>
      <c r="F34" s="45">
        <v>3</v>
      </c>
      <c r="G34" s="45">
        <v>0</v>
      </c>
      <c r="H34" s="45">
        <v>0</v>
      </c>
      <c r="J34" s="45">
        <v>0</v>
      </c>
      <c r="K34" s="45" t="s">
        <v>369</v>
      </c>
    </row>
    <row r="35" spans="1:11">
      <c r="A35" s="2">
        <v>43891</v>
      </c>
      <c r="C35" s="45" t="s">
        <v>64</v>
      </c>
      <c r="E35" s="45">
        <v>1</v>
      </c>
      <c r="F35" s="45">
        <v>1</v>
      </c>
      <c r="G35" s="45">
        <v>0</v>
      </c>
      <c r="J35" s="45">
        <v>0</v>
      </c>
      <c r="K35" s="45" t="s">
        <v>688</v>
      </c>
    </row>
    <row r="36" spans="1:11">
      <c r="A36" s="2">
        <v>43891</v>
      </c>
      <c r="C36" s="45" t="s">
        <v>69</v>
      </c>
      <c r="E36" s="45">
        <v>1</v>
      </c>
      <c r="K36" s="45" t="s">
        <v>325</v>
      </c>
    </row>
    <row r="37" spans="1:11">
      <c r="A37" s="2">
        <v>43891</v>
      </c>
      <c r="C37" s="45" t="s">
        <v>89</v>
      </c>
      <c r="E37" s="45">
        <v>2</v>
      </c>
      <c r="F37" s="45">
        <v>0</v>
      </c>
      <c r="G37" s="45">
        <v>0</v>
      </c>
      <c r="H37" s="45">
        <v>0</v>
      </c>
      <c r="I37" s="45">
        <v>0</v>
      </c>
      <c r="J37" s="45">
        <v>0</v>
      </c>
      <c r="K37" s="45" t="s">
        <v>507</v>
      </c>
    </row>
    <row r="38" spans="1:11">
      <c r="A38" s="2">
        <v>43891</v>
      </c>
      <c r="C38" s="45" t="s">
        <v>94</v>
      </c>
      <c r="F38" s="45">
        <v>4</v>
      </c>
      <c r="K38" s="45" t="s">
        <v>111</v>
      </c>
    </row>
    <row r="39" spans="1:11">
      <c r="A39" s="2">
        <v>43891</v>
      </c>
      <c r="C39" s="45" t="s">
        <v>97</v>
      </c>
      <c r="E39" s="45">
        <v>2</v>
      </c>
      <c r="F39" s="45">
        <v>6</v>
      </c>
      <c r="G39" s="45">
        <v>0</v>
      </c>
      <c r="H39" s="45">
        <v>0</v>
      </c>
      <c r="J39" s="45">
        <v>0</v>
      </c>
      <c r="K39" s="45" t="s">
        <v>620</v>
      </c>
    </row>
    <row r="40" spans="1:11">
      <c r="A40" s="2">
        <v>43891</v>
      </c>
      <c r="B40" s="45">
        <v>0.33333333333333331</v>
      </c>
      <c r="C40" s="45" t="s">
        <v>99</v>
      </c>
      <c r="E40" s="45">
        <v>0</v>
      </c>
      <c r="F40" s="45">
        <v>0</v>
      </c>
      <c r="G40" s="45">
        <v>0</v>
      </c>
      <c r="I40" s="45">
        <v>0</v>
      </c>
      <c r="J40" s="45">
        <v>0</v>
      </c>
      <c r="K40" s="45" t="s">
        <v>328</v>
      </c>
    </row>
    <row r="41" spans="1:11">
      <c r="A41" s="2">
        <v>43891</v>
      </c>
      <c r="B41" s="45">
        <v>0.60416666666666663</v>
      </c>
      <c r="C41" s="45" t="s">
        <v>101</v>
      </c>
      <c r="E41" s="45">
        <v>7</v>
      </c>
      <c r="K41" s="45" t="s">
        <v>103</v>
      </c>
    </row>
    <row r="42" spans="1:11">
      <c r="A42" s="2">
        <v>43891</v>
      </c>
      <c r="B42" s="45">
        <v>0.72847222222222219</v>
      </c>
      <c r="C42" s="45" t="s">
        <v>50</v>
      </c>
      <c r="E42" s="45">
        <v>1</v>
      </c>
      <c r="K42" s="45" t="s">
        <v>115</v>
      </c>
    </row>
    <row r="43" spans="1:11">
      <c r="A43" s="2">
        <v>43892</v>
      </c>
      <c r="C43" s="45" t="s">
        <v>44</v>
      </c>
      <c r="E43" s="45">
        <v>4</v>
      </c>
      <c r="K43" s="45" t="s">
        <v>118</v>
      </c>
    </row>
    <row r="44" spans="1:11">
      <c r="A44" s="2">
        <v>43892</v>
      </c>
      <c r="C44" s="45" t="s">
        <v>47</v>
      </c>
      <c r="E44" s="45">
        <v>2</v>
      </c>
      <c r="F44" s="45">
        <v>1</v>
      </c>
      <c r="K44" s="45" t="s">
        <v>36</v>
      </c>
    </row>
    <row r="45" spans="1:11">
      <c r="A45" s="2">
        <v>43892</v>
      </c>
      <c r="C45" s="45" t="s">
        <v>56</v>
      </c>
      <c r="E45" s="45">
        <v>2</v>
      </c>
      <c r="K45" s="45" t="s">
        <v>120</v>
      </c>
    </row>
    <row r="46" spans="1:11">
      <c r="A46" s="2">
        <v>43892</v>
      </c>
      <c r="C46" s="45" t="s">
        <v>58</v>
      </c>
      <c r="D46" s="45">
        <v>868</v>
      </c>
      <c r="E46" s="45">
        <v>11</v>
      </c>
      <c r="F46" s="45">
        <v>3</v>
      </c>
      <c r="G46" s="45">
        <v>0</v>
      </c>
      <c r="H46" s="45">
        <v>0</v>
      </c>
      <c r="J46" s="45">
        <v>0</v>
      </c>
      <c r="K46" s="45" t="s">
        <v>369</v>
      </c>
    </row>
    <row r="47" spans="1:11">
      <c r="A47" s="2">
        <v>43892</v>
      </c>
      <c r="C47" s="45" t="s">
        <v>64</v>
      </c>
      <c r="E47" s="45">
        <v>1</v>
      </c>
      <c r="F47" s="45">
        <v>1</v>
      </c>
      <c r="G47" s="45">
        <v>0</v>
      </c>
      <c r="J47" s="45">
        <v>0</v>
      </c>
      <c r="K47" s="45" t="s">
        <v>688</v>
      </c>
    </row>
    <row r="48" spans="1:11">
      <c r="A48" s="2">
        <v>43892</v>
      </c>
      <c r="C48" s="45" t="s">
        <v>69</v>
      </c>
      <c r="E48" s="45">
        <v>1</v>
      </c>
      <c r="F48" s="45">
        <v>1</v>
      </c>
      <c r="K48" s="45" t="s">
        <v>325</v>
      </c>
    </row>
    <row r="49" spans="1:11">
      <c r="A49" s="2">
        <v>43892</v>
      </c>
      <c r="C49" s="45" t="s">
        <v>76</v>
      </c>
      <c r="E49" s="45">
        <v>0</v>
      </c>
      <c r="K49" s="45" t="s">
        <v>121</v>
      </c>
    </row>
    <row r="50" spans="1:11">
      <c r="A50" s="2">
        <v>43892</v>
      </c>
      <c r="C50" s="45" t="s">
        <v>89</v>
      </c>
      <c r="E50" s="45">
        <v>4</v>
      </c>
      <c r="F50" s="45">
        <v>0</v>
      </c>
      <c r="G50" s="45">
        <v>0</v>
      </c>
      <c r="H50" s="45">
        <v>0</v>
      </c>
      <c r="I50" s="45">
        <v>0</v>
      </c>
      <c r="J50" s="45">
        <v>0</v>
      </c>
      <c r="K50" s="45" t="s">
        <v>507</v>
      </c>
    </row>
    <row r="51" spans="1:11">
      <c r="A51" s="2">
        <v>43892</v>
      </c>
      <c r="C51" s="45" t="s">
        <v>94</v>
      </c>
      <c r="F51" s="45">
        <v>6</v>
      </c>
      <c r="K51" s="45" t="s">
        <v>111</v>
      </c>
    </row>
    <row r="52" spans="1:11">
      <c r="A52" s="2">
        <v>43892</v>
      </c>
      <c r="C52" s="45" t="s">
        <v>97</v>
      </c>
      <c r="E52" s="45">
        <v>3</v>
      </c>
      <c r="F52" s="45">
        <v>9</v>
      </c>
      <c r="G52" s="45">
        <v>0</v>
      </c>
      <c r="H52" s="45">
        <v>0</v>
      </c>
      <c r="J52" s="45">
        <v>0</v>
      </c>
      <c r="K52" s="45" t="s">
        <v>620</v>
      </c>
    </row>
    <row r="53" spans="1:11">
      <c r="A53" s="2">
        <v>43892</v>
      </c>
      <c r="B53" s="45">
        <v>0.33333333333333331</v>
      </c>
      <c r="C53" s="45" t="s">
        <v>99</v>
      </c>
      <c r="E53" s="45">
        <v>0</v>
      </c>
      <c r="F53" s="45">
        <v>0</v>
      </c>
      <c r="G53" s="45">
        <v>0</v>
      </c>
      <c r="I53" s="45">
        <v>0</v>
      </c>
      <c r="J53" s="45">
        <v>0</v>
      </c>
      <c r="K53" s="45" t="s">
        <v>328</v>
      </c>
    </row>
    <row r="54" spans="1:11">
      <c r="A54" s="2">
        <v>43892</v>
      </c>
      <c r="B54" s="45">
        <v>0.60416666666666663</v>
      </c>
      <c r="C54" s="45" t="s">
        <v>101</v>
      </c>
      <c r="E54" s="45">
        <v>11</v>
      </c>
      <c r="K54" s="45" t="s">
        <v>103</v>
      </c>
    </row>
    <row r="55" spans="1:11">
      <c r="A55" s="2">
        <v>43892</v>
      </c>
      <c r="B55" s="45">
        <v>0.71875</v>
      </c>
      <c r="C55" s="45" t="s">
        <v>50</v>
      </c>
      <c r="D55" s="45">
        <v>235</v>
      </c>
      <c r="E55" s="45">
        <v>1</v>
      </c>
      <c r="K55" s="45" t="s">
        <v>119</v>
      </c>
    </row>
    <row r="56" spans="1:11">
      <c r="A56" s="2">
        <v>43892</v>
      </c>
      <c r="B56" s="45">
        <v>0.75</v>
      </c>
      <c r="C56" s="45" t="s">
        <v>34</v>
      </c>
      <c r="E56" s="45">
        <v>2</v>
      </c>
      <c r="K56" s="45" t="s">
        <v>117</v>
      </c>
    </row>
    <row r="57" spans="1:11">
      <c r="A57" s="2">
        <v>43893</v>
      </c>
      <c r="C57" s="45" t="s">
        <v>47</v>
      </c>
      <c r="E57" s="45">
        <v>2</v>
      </c>
      <c r="F57" s="45">
        <v>1</v>
      </c>
      <c r="K57" s="45" t="s">
        <v>36</v>
      </c>
    </row>
    <row r="58" spans="1:11">
      <c r="A58" s="2">
        <v>43893</v>
      </c>
      <c r="C58" s="45" t="s">
        <v>53</v>
      </c>
      <c r="D58" s="45">
        <v>14</v>
      </c>
      <c r="K58" s="45" t="s">
        <v>124</v>
      </c>
    </row>
    <row r="59" spans="1:11">
      <c r="A59" s="2">
        <v>43893</v>
      </c>
      <c r="C59" s="45" t="s">
        <v>58</v>
      </c>
      <c r="D59" s="45">
        <v>977</v>
      </c>
      <c r="E59" s="45">
        <v>14</v>
      </c>
      <c r="F59" s="45">
        <v>4</v>
      </c>
      <c r="G59" s="45">
        <v>0</v>
      </c>
      <c r="H59" s="45">
        <v>0</v>
      </c>
      <c r="J59" s="45">
        <v>0</v>
      </c>
      <c r="K59" s="45" t="s">
        <v>369</v>
      </c>
    </row>
    <row r="60" spans="1:11">
      <c r="A60" s="2">
        <v>43893</v>
      </c>
      <c r="C60" s="45" t="s">
        <v>64</v>
      </c>
      <c r="E60" s="45">
        <v>2</v>
      </c>
      <c r="F60" s="45">
        <v>1</v>
      </c>
      <c r="G60" s="45">
        <v>0</v>
      </c>
      <c r="J60" s="45">
        <v>0</v>
      </c>
      <c r="K60" s="45" t="s">
        <v>688</v>
      </c>
    </row>
    <row r="61" spans="1:11">
      <c r="A61" s="2">
        <v>43893</v>
      </c>
      <c r="C61" s="45" t="s">
        <v>69</v>
      </c>
      <c r="E61" s="45">
        <v>1</v>
      </c>
      <c r="F61" s="45">
        <v>1</v>
      </c>
      <c r="K61" s="45" t="s">
        <v>325</v>
      </c>
    </row>
    <row r="62" spans="1:11">
      <c r="A62" s="2">
        <v>43893</v>
      </c>
      <c r="C62" s="45" t="s">
        <v>84</v>
      </c>
      <c r="D62" s="45">
        <v>1</v>
      </c>
      <c r="E62" s="45">
        <v>1</v>
      </c>
      <c r="K62" s="45" t="s">
        <v>125</v>
      </c>
    </row>
    <row r="63" spans="1:11">
      <c r="A63" s="2">
        <v>43893</v>
      </c>
      <c r="C63" s="45" t="s">
        <v>89</v>
      </c>
      <c r="E63" s="45">
        <v>8</v>
      </c>
      <c r="F63" s="45">
        <v>0</v>
      </c>
      <c r="G63" s="45">
        <v>0</v>
      </c>
      <c r="H63" s="45">
        <v>0</v>
      </c>
      <c r="I63" s="45">
        <v>0</v>
      </c>
      <c r="J63" s="45">
        <v>0</v>
      </c>
      <c r="K63" s="45" t="s">
        <v>507</v>
      </c>
    </row>
    <row r="64" spans="1:11">
      <c r="A64" s="2">
        <v>43893</v>
      </c>
      <c r="C64" s="45" t="s">
        <v>94</v>
      </c>
      <c r="F64" s="45">
        <v>8</v>
      </c>
      <c r="K64" s="45" t="s">
        <v>111</v>
      </c>
    </row>
    <row r="65" spans="1:11">
      <c r="A65" s="2">
        <v>43893</v>
      </c>
      <c r="C65" s="45" t="s">
        <v>97</v>
      </c>
      <c r="E65" s="45">
        <v>3</v>
      </c>
      <c r="F65" s="45">
        <v>11</v>
      </c>
      <c r="G65" s="45">
        <v>0</v>
      </c>
      <c r="H65" s="45">
        <v>0</v>
      </c>
      <c r="J65" s="45">
        <v>0</v>
      </c>
      <c r="K65" s="45" t="s">
        <v>620</v>
      </c>
    </row>
    <row r="66" spans="1:11">
      <c r="A66" s="2">
        <v>43893</v>
      </c>
      <c r="B66" s="45">
        <v>0.33333333333333331</v>
      </c>
      <c r="C66" s="45" t="s">
        <v>99</v>
      </c>
      <c r="E66" s="45">
        <v>1</v>
      </c>
      <c r="F66" s="45">
        <v>0</v>
      </c>
      <c r="G66" s="45">
        <v>0</v>
      </c>
      <c r="I66" s="45">
        <v>0</v>
      </c>
      <c r="J66" s="45">
        <v>0</v>
      </c>
      <c r="K66" s="45" t="s">
        <v>328</v>
      </c>
    </row>
    <row r="67" spans="1:11">
      <c r="A67" s="2">
        <v>43893</v>
      </c>
      <c r="B67" s="45">
        <v>0.60416666666666663</v>
      </c>
      <c r="C67" s="45" t="s">
        <v>101</v>
      </c>
      <c r="E67" s="45">
        <v>14</v>
      </c>
      <c r="K67" s="45" t="s">
        <v>103</v>
      </c>
    </row>
    <row r="68" spans="1:11">
      <c r="A68" s="2">
        <v>43893</v>
      </c>
      <c r="B68" s="45">
        <v>0.625</v>
      </c>
      <c r="C68" s="45" t="s">
        <v>34</v>
      </c>
      <c r="E68" s="45">
        <v>6</v>
      </c>
      <c r="K68" s="45" t="s">
        <v>122</v>
      </c>
    </row>
    <row r="69" spans="1:11">
      <c r="A69" s="2">
        <v>43893</v>
      </c>
      <c r="B69" s="45">
        <v>0.72916666666666663</v>
      </c>
      <c r="C69" s="45" t="s">
        <v>50</v>
      </c>
      <c r="E69" s="45">
        <v>3</v>
      </c>
      <c r="K69" s="45" t="s">
        <v>123</v>
      </c>
    </row>
    <row r="70" spans="1:11">
      <c r="A70" s="2">
        <v>43894</v>
      </c>
      <c r="C70" s="45" t="s">
        <v>44</v>
      </c>
      <c r="E70" s="45">
        <v>6</v>
      </c>
      <c r="K70" s="45" t="s">
        <v>127</v>
      </c>
    </row>
    <row r="71" spans="1:11">
      <c r="A71" s="2">
        <v>43894</v>
      </c>
      <c r="C71" s="45" t="s">
        <v>47</v>
      </c>
      <c r="E71" s="45">
        <v>2</v>
      </c>
      <c r="F71" s="45">
        <v>1</v>
      </c>
      <c r="K71" s="45" t="s">
        <v>36</v>
      </c>
    </row>
    <row r="72" spans="1:11">
      <c r="A72" s="2">
        <v>43894</v>
      </c>
      <c r="C72" s="45" t="s">
        <v>53</v>
      </c>
      <c r="D72" s="45">
        <v>16</v>
      </c>
      <c r="E72" s="45">
        <v>1</v>
      </c>
      <c r="K72" s="45" t="s">
        <v>129</v>
      </c>
    </row>
    <row r="73" spans="1:11">
      <c r="A73" s="2">
        <v>43894</v>
      </c>
      <c r="C73" s="45" t="s">
        <v>56</v>
      </c>
      <c r="E73" s="45">
        <v>4</v>
      </c>
      <c r="K73" s="45" t="s">
        <v>130</v>
      </c>
    </row>
    <row r="74" spans="1:11">
      <c r="A74" s="2">
        <v>43894</v>
      </c>
      <c r="C74" s="45" t="s">
        <v>58</v>
      </c>
      <c r="D74" s="45">
        <v>1084</v>
      </c>
      <c r="E74" s="45">
        <v>14</v>
      </c>
      <c r="F74" s="45">
        <v>4</v>
      </c>
      <c r="G74" s="45">
        <v>0</v>
      </c>
      <c r="H74" s="45">
        <v>0</v>
      </c>
      <c r="J74" s="45">
        <v>0</v>
      </c>
      <c r="K74" s="45" t="s">
        <v>369</v>
      </c>
    </row>
    <row r="75" spans="1:11">
      <c r="A75" s="2">
        <v>43894</v>
      </c>
      <c r="C75" s="45" t="s">
        <v>64</v>
      </c>
      <c r="E75" s="45">
        <v>2</v>
      </c>
      <c r="F75" s="45">
        <v>1</v>
      </c>
      <c r="G75" s="45">
        <v>0</v>
      </c>
      <c r="J75" s="45">
        <v>0</v>
      </c>
      <c r="K75" s="45" t="s">
        <v>688</v>
      </c>
    </row>
    <row r="76" spans="1:11">
      <c r="A76" s="2">
        <v>43894</v>
      </c>
      <c r="C76" s="45" t="s">
        <v>69</v>
      </c>
      <c r="E76" s="45">
        <v>8</v>
      </c>
      <c r="F76" s="45">
        <v>4</v>
      </c>
      <c r="K76" s="45" t="s">
        <v>325</v>
      </c>
    </row>
    <row r="77" spans="1:11">
      <c r="A77" s="2">
        <v>43894</v>
      </c>
      <c r="C77" s="45" t="s">
        <v>84</v>
      </c>
      <c r="D77" s="45">
        <v>3</v>
      </c>
      <c r="E77" s="45">
        <v>3</v>
      </c>
      <c r="F77" s="45">
        <v>1</v>
      </c>
      <c r="K77" s="45" t="s">
        <v>125</v>
      </c>
    </row>
    <row r="78" spans="1:11">
      <c r="A78" s="2">
        <v>43894</v>
      </c>
      <c r="C78" s="45" t="s">
        <v>89</v>
      </c>
      <c r="E78" s="45">
        <v>13</v>
      </c>
      <c r="F78" s="45">
        <v>0</v>
      </c>
      <c r="G78" s="45">
        <v>0</v>
      </c>
      <c r="H78" s="45">
        <v>0</v>
      </c>
      <c r="I78" s="45">
        <v>0</v>
      </c>
      <c r="J78" s="45">
        <v>0</v>
      </c>
      <c r="K78" s="45" t="s">
        <v>507</v>
      </c>
    </row>
    <row r="79" spans="1:11">
      <c r="A79" s="2">
        <v>43894</v>
      </c>
      <c r="C79" s="45" t="s">
        <v>94</v>
      </c>
      <c r="F79" s="45">
        <v>11</v>
      </c>
      <c r="G79" s="45">
        <v>1</v>
      </c>
      <c r="K79" s="45" t="s">
        <v>111</v>
      </c>
    </row>
    <row r="80" spans="1:11">
      <c r="A80" s="2">
        <v>43894</v>
      </c>
      <c r="C80" s="45" t="s">
        <v>97</v>
      </c>
      <c r="E80" s="45">
        <v>4</v>
      </c>
      <c r="F80" s="45">
        <v>12</v>
      </c>
      <c r="G80" s="45">
        <v>0</v>
      </c>
      <c r="H80" s="45">
        <v>0</v>
      </c>
      <c r="J80" s="45">
        <v>0</v>
      </c>
      <c r="K80" s="45" t="s">
        <v>620</v>
      </c>
    </row>
    <row r="81" spans="1:11">
      <c r="A81" s="2">
        <v>43894</v>
      </c>
      <c r="B81" s="45">
        <v>0.27430555555555558</v>
      </c>
      <c r="C81" s="45" t="s">
        <v>76</v>
      </c>
      <c r="E81" s="45">
        <v>1</v>
      </c>
      <c r="K81" s="45" t="s">
        <v>132</v>
      </c>
    </row>
    <row r="82" spans="1:11">
      <c r="A82" s="2">
        <v>43894</v>
      </c>
      <c r="B82" s="45">
        <v>0.33333333333333331</v>
      </c>
      <c r="C82" s="45" t="s">
        <v>99</v>
      </c>
      <c r="E82" s="45">
        <v>1</v>
      </c>
      <c r="F82" s="45">
        <v>0</v>
      </c>
      <c r="G82" s="45">
        <v>0</v>
      </c>
      <c r="I82" s="45">
        <v>0</v>
      </c>
      <c r="J82" s="45">
        <v>0</v>
      </c>
      <c r="K82" s="45" t="s">
        <v>328</v>
      </c>
    </row>
    <row r="83" spans="1:11">
      <c r="A83" s="2">
        <v>43894</v>
      </c>
      <c r="B83" s="45">
        <v>0.60416666666666663</v>
      </c>
      <c r="C83" s="45" t="s">
        <v>101</v>
      </c>
      <c r="E83" s="45">
        <v>16</v>
      </c>
      <c r="K83" s="45" t="s">
        <v>103</v>
      </c>
    </row>
    <row r="84" spans="1:11">
      <c r="A84" s="2">
        <v>43894</v>
      </c>
      <c r="B84" s="45">
        <v>0.625</v>
      </c>
      <c r="C84" s="45" t="s">
        <v>34</v>
      </c>
      <c r="E84" s="45">
        <v>7</v>
      </c>
      <c r="K84" s="45" t="s">
        <v>126</v>
      </c>
    </row>
    <row r="85" spans="1:11">
      <c r="A85" s="2">
        <v>43894</v>
      </c>
      <c r="B85" s="45">
        <v>0.72222222222222221</v>
      </c>
      <c r="C85" s="45" t="s">
        <v>50</v>
      </c>
      <c r="E85" s="45">
        <v>3</v>
      </c>
      <c r="K85" s="45" t="s">
        <v>128</v>
      </c>
    </row>
    <row r="86" spans="1:11">
      <c r="A86" s="2">
        <v>43894</v>
      </c>
      <c r="B86" s="45">
        <v>0.75</v>
      </c>
      <c r="C86" s="45" t="s">
        <v>66</v>
      </c>
      <c r="E86" s="45">
        <v>0</v>
      </c>
      <c r="K86" s="45" t="s">
        <v>131</v>
      </c>
    </row>
    <row r="87" spans="1:11">
      <c r="A87" s="2">
        <v>43895</v>
      </c>
      <c r="C87" s="45" t="s">
        <v>41</v>
      </c>
      <c r="E87" s="45">
        <v>1</v>
      </c>
      <c r="K87" s="45" t="s">
        <v>134</v>
      </c>
    </row>
    <row r="88" spans="1:11">
      <c r="A88" s="2">
        <v>43895</v>
      </c>
      <c r="C88" s="45" t="s">
        <v>47</v>
      </c>
      <c r="E88" s="45">
        <v>6</v>
      </c>
      <c r="F88" s="45">
        <v>1</v>
      </c>
      <c r="K88" s="45" t="s">
        <v>135</v>
      </c>
    </row>
    <row r="89" spans="1:11">
      <c r="A89" s="2">
        <v>43895</v>
      </c>
      <c r="C89" s="45" t="s">
        <v>53</v>
      </c>
      <c r="D89" s="45">
        <v>18</v>
      </c>
      <c r="E89" s="45">
        <v>1</v>
      </c>
      <c r="K89" s="45" t="s">
        <v>137</v>
      </c>
    </row>
    <row r="90" spans="1:11">
      <c r="A90" s="2">
        <v>43895</v>
      </c>
      <c r="C90" s="45" t="s">
        <v>56</v>
      </c>
      <c r="E90" s="45">
        <v>6</v>
      </c>
      <c r="K90" s="45" t="s">
        <v>138</v>
      </c>
    </row>
    <row r="91" spans="1:11">
      <c r="A91" s="2">
        <v>43895</v>
      </c>
      <c r="C91" s="45" t="s">
        <v>58</v>
      </c>
      <c r="D91" s="45">
        <v>1148</v>
      </c>
      <c r="E91" s="45">
        <v>17</v>
      </c>
      <c r="F91" s="45">
        <v>5</v>
      </c>
      <c r="G91" s="45">
        <v>0</v>
      </c>
      <c r="H91" s="45">
        <v>0</v>
      </c>
      <c r="J91" s="45">
        <v>0</v>
      </c>
      <c r="K91" s="45" t="s">
        <v>369</v>
      </c>
    </row>
    <row r="92" spans="1:11">
      <c r="A92" s="2">
        <v>43895</v>
      </c>
      <c r="C92" s="45" t="s">
        <v>64</v>
      </c>
      <c r="E92" s="45">
        <v>4</v>
      </c>
      <c r="F92" s="45">
        <v>2</v>
      </c>
      <c r="G92" s="45">
        <v>0</v>
      </c>
      <c r="J92" s="45">
        <v>0</v>
      </c>
      <c r="K92" s="45" t="s">
        <v>688</v>
      </c>
    </row>
    <row r="93" spans="1:11">
      <c r="A93" s="2">
        <v>43895</v>
      </c>
      <c r="C93" s="45" t="s">
        <v>69</v>
      </c>
      <c r="E93" s="45">
        <v>9</v>
      </c>
      <c r="F93" s="45">
        <v>4</v>
      </c>
      <c r="K93" s="45" t="s">
        <v>325</v>
      </c>
    </row>
    <row r="94" spans="1:11">
      <c r="A94" s="2">
        <v>43895</v>
      </c>
      <c r="C94" s="45" t="s">
        <v>89</v>
      </c>
      <c r="E94" s="45">
        <v>25</v>
      </c>
      <c r="F94" s="45">
        <v>0</v>
      </c>
      <c r="G94" s="45">
        <v>0</v>
      </c>
      <c r="H94" s="45">
        <v>0</v>
      </c>
      <c r="I94" s="45">
        <v>0</v>
      </c>
      <c r="J94" s="45">
        <v>0</v>
      </c>
      <c r="K94" s="45" t="s">
        <v>507</v>
      </c>
    </row>
    <row r="95" spans="1:11">
      <c r="A95" s="2">
        <v>43895</v>
      </c>
      <c r="C95" s="45" t="s">
        <v>94</v>
      </c>
      <c r="F95" s="45">
        <v>14</v>
      </c>
      <c r="G95" s="45">
        <v>1</v>
      </c>
      <c r="K95" s="45" t="s">
        <v>111</v>
      </c>
    </row>
    <row r="96" spans="1:11">
      <c r="A96" s="2">
        <v>43895</v>
      </c>
      <c r="C96" s="45" t="s">
        <v>97</v>
      </c>
      <c r="E96" s="45">
        <v>5</v>
      </c>
      <c r="F96" s="45">
        <v>10</v>
      </c>
      <c r="G96" s="45">
        <v>0</v>
      </c>
      <c r="H96" s="45">
        <v>0</v>
      </c>
      <c r="J96" s="45">
        <v>0</v>
      </c>
      <c r="K96" s="45" t="s">
        <v>620</v>
      </c>
    </row>
    <row r="97" spans="1:11">
      <c r="A97" s="2">
        <v>43895</v>
      </c>
      <c r="B97" s="45">
        <v>0.33333333333333331</v>
      </c>
      <c r="C97" s="45" t="s">
        <v>99</v>
      </c>
      <c r="E97" s="45">
        <v>2</v>
      </c>
      <c r="F97" s="45">
        <v>0</v>
      </c>
      <c r="G97" s="45">
        <v>0</v>
      </c>
      <c r="I97" s="45">
        <v>0</v>
      </c>
      <c r="J97" s="45">
        <v>0</v>
      </c>
      <c r="K97" s="45" t="s">
        <v>328</v>
      </c>
    </row>
    <row r="98" spans="1:11">
      <c r="A98" s="2">
        <v>43895</v>
      </c>
      <c r="B98" s="45">
        <v>0.60416666666666663</v>
      </c>
      <c r="C98" s="45" t="s">
        <v>101</v>
      </c>
      <c r="E98" s="45">
        <v>24</v>
      </c>
      <c r="K98" s="45" t="s">
        <v>103</v>
      </c>
    </row>
    <row r="99" spans="1:11">
      <c r="A99" s="2">
        <v>43895</v>
      </c>
      <c r="B99" s="45">
        <v>0.625</v>
      </c>
      <c r="C99" s="45" t="s">
        <v>34</v>
      </c>
      <c r="E99" s="45">
        <v>9</v>
      </c>
      <c r="K99" s="45" t="s">
        <v>133</v>
      </c>
    </row>
    <row r="100" spans="1:11">
      <c r="A100" s="2">
        <v>43895</v>
      </c>
      <c r="B100" s="45">
        <v>0.71875</v>
      </c>
      <c r="C100" s="45" t="s">
        <v>50</v>
      </c>
      <c r="E100" s="45">
        <v>8</v>
      </c>
      <c r="F100" s="45">
        <v>1</v>
      </c>
      <c r="K100" s="45" t="s">
        <v>136</v>
      </c>
    </row>
    <row r="101" spans="1:11">
      <c r="A101" s="2">
        <v>43896</v>
      </c>
      <c r="C101" s="45" t="s">
        <v>44</v>
      </c>
      <c r="E101" s="45">
        <v>17</v>
      </c>
      <c r="K101" s="45" t="s">
        <v>140</v>
      </c>
    </row>
    <row r="102" spans="1:11">
      <c r="A102" s="2">
        <v>43896</v>
      </c>
      <c r="C102" s="45" t="s">
        <v>47</v>
      </c>
      <c r="E102" s="45">
        <v>6</v>
      </c>
      <c r="F102" s="45">
        <v>4</v>
      </c>
      <c r="G102" s="45">
        <v>2</v>
      </c>
      <c r="K102" s="45" t="s">
        <v>36</v>
      </c>
    </row>
    <row r="103" spans="1:11">
      <c r="A103" s="2">
        <v>43896</v>
      </c>
      <c r="C103" s="45" t="s">
        <v>53</v>
      </c>
      <c r="D103" s="45">
        <v>22</v>
      </c>
      <c r="E103" s="45">
        <v>1</v>
      </c>
      <c r="K103" s="45" t="s">
        <v>142</v>
      </c>
    </row>
    <row r="104" spans="1:11">
      <c r="A104" s="2">
        <v>43896</v>
      </c>
      <c r="C104" s="45" t="s">
        <v>58</v>
      </c>
      <c r="D104" s="45">
        <v>1243</v>
      </c>
      <c r="E104" s="45">
        <v>21</v>
      </c>
      <c r="F104" s="45">
        <v>7</v>
      </c>
      <c r="G104" s="45">
        <v>0</v>
      </c>
      <c r="H104" s="45">
        <v>0</v>
      </c>
      <c r="J104" s="45">
        <v>0</v>
      </c>
      <c r="K104" s="45" t="s">
        <v>369</v>
      </c>
    </row>
    <row r="105" spans="1:11">
      <c r="A105" s="2">
        <v>43896</v>
      </c>
      <c r="C105" s="45" t="s">
        <v>64</v>
      </c>
      <c r="E105" s="45">
        <v>4</v>
      </c>
      <c r="F105" s="45">
        <v>5</v>
      </c>
      <c r="G105" s="45">
        <v>0</v>
      </c>
      <c r="J105" s="45">
        <v>0</v>
      </c>
      <c r="K105" s="45" t="s">
        <v>688</v>
      </c>
    </row>
    <row r="106" spans="1:11">
      <c r="A106" s="2">
        <v>43896</v>
      </c>
      <c r="C106" s="45" t="s">
        <v>69</v>
      </c>
      <c r="E106" s="45">
        <v>13</v>
      </c>
      <c r="F106" s="45">
        <v>2</v>
      </c>
      <c r="K106" s="45" t="s">
        <v>325</v>
      </c>
    </row>
    <row r="107" spans="1:11">
      <c r="A107" s="2">
        <v>43896</v>
      </c>
      <c r="C107" s="45" t="s">
        <v>84</v>
      </c>
      <c r="D107" s="45">
        <v>6</v>
      </c>
      <c r="E107" s="45">
        <v>6</v>
      </c>
      <c r="K107" s="45" t="s">
        <v>145</v>
      </c>
    </row>
    <row r="108" spans="1:11">
      <c r="A108" s="2">
        <v>43896</v>
      </c>
      <c r="C108" s="45" t="s">
        <v>89</v>
      </c>
      <c r="E108" s="45">
        <v>28</v>
      </c>
      <c r="F108" s="45">
        <v>0</v>
      </c>
      <c r="G108" s="45">
        <v>0</v>
      </c>
      <c r="H108" s="45">
        <v>0</v>
      </c>
      <c r="I108" s="45">
        <v>0</v>
      </c>
      <c r="J108" s="45">
        <v>0</v>
      </c>
      <c r="K108" s="45" t="s">
        <v>507</v>
      </c>
    </row>
    <row r="109" spans="1:11">
      <c r="A109" s="2">
        <v>43896</v>
      </c>
      <c r="C109" s="45" t="s">
        <v>94</v>
      </c>
      <c r="E109" s="45">
        <v>23</v>
      </c>
      <c r="F109" s="45">
        <v>15</v>
      </c>
      <c r="G109" s="45">
        <v>2</v>
      </c>
      <c r="J109" s="45">
        <v>1</v>
      </c>
      <c r="K109" s="45" t="s">
        <v>111</v>
      </c>
    </row>
    <row r="110" spans="1:11">
      <c r="A110" s="2">
        <v>43896</v>
      </c>
      <c r="C110" s="45" t="s">
        <v>97</v>
      </c>
      <c r="E110" s="45">
        <v>6</v>
      </c>
      <c r="F110" s="45">
        <v>11</v>
      </c>
      <c r="G110" s="45">
        <v>0</v>
      </c>
      <c r="H110" s="45">
        <v>0</v>
      </c>
      <c r="J110" s="45">
        <v>0</v>
      </c>
      <c r="K110" s="45" t="s">
        <v>620</v>
      </c>
    </row>
    <row r="111" spans="1:11">
      <c r="A111" s="2">
        <v>43896</v>
      </c>
      <c r="B111" s="45">
        <v>0.33333333333333331</v>
      </c>
      <c r="C111" s="45" t="s">
        <v>99</v>
      </c>
      <c r="E111" s="45">
        <v>3</v>
      </c>
      <c r="F111" s="45">
        <v>0</v>
      </c>
      <c r="G111" s="45">
        <v>0</v>
      </c>
      <c r="I111" s="45">
        <v>0</v>
      </c>
      <c r="J111" s="45">
        <v>0</v>
      </c>
      <c r="K111" s="45" t="s">
        <v>328</v>
      </c>
    </row>
    <row r="112" spans="1:11">
      <c r="A112" s="2">
        <v>43896</v>
      </c>
      <c r="B112" s="45">
        <v>0.5</v>
      </c>
      <c r="C112" s="45" t="s">
        <v>81</v>
      </c>
      <c r="E112" s="45">
        <v>1</v>
      </c>
      <c r="K112" s="45" t="s">
        <v>144</v>
      </c>
    </row>
    <row r="113" spans="1:11">
      <c r="A113" s="2">
        <v>43896</v>
      </c>
      <c r="B113" s="45">
        <v>0.58333333333333337</v>
      </c>
      <c r="C113" s="45" t="s">
        <v>50</v>
      </c>
      <c r="E113" s="45">
        <v>15</v>
      </c>
      <c r="F113" s="45">
        <v>1</v>
      </c>
      <c r="K113" s="45" t="s">
        <v>141</v>
      </c>
    </row>
    <row r="114" spans="1:11">
      <c r="A114" s="2">
        <v>43896</v>
      </c>
      <c r="B114" s="45">
        <v>0.60416666666666663</v>
      </c>
      <c r="C114" s="45" t="s">
        <v>101</v>
      </c>
      <c r="E114" s="45">
        <v>30</v>
      </c>
      <c r="K114" s="45" t="s">
        <v>103</v>
      </c>
    </row>
    <row r="115" spans="1:11">
      <c r="A115" s="2">
        <v>43896</v>
      </c>
      <c r="B115" s="45">
        <v>0.625</v>
      </c>
      <c r="C115" s="45" t="s">
        <v>34</v>
      </c>
      <c r="E115" s="45">
        <v>12</v>
      </c>
      <c r="I115" s="45">
        <v>1</v>
      </c>
      <c r="K115" s="45" t="s">
        <v>139</v>
      </c>
    </row>
    <row r="116" spans="1:11">
      <c r="A116" s="2">
        <v>43896</v>
      </c>
      <c r="B116" s="45">
        <v>0.65138888888888891</v>
      </c>
      <c r="C116" s="45" t="s">
        <v>76</v>
      </c>
      <c r="E116" s="45">
        <v>2</v>
      </c>
      <c r="K116" s="45" t="s">
        <v>143</v>
      </c>
    </row>
    <row r="117" spans="1:11">
      <c r="A117" s="2">
        <v>43897</v>
      </c>
      <c r="C117" s="45" t="s">
        <v>47</v>
      </c>
      <c r="E117" s="45">
        <v>15</v>
      </c>
      <c r="F117" s="45">
        <v>4</v>
      </c>
      <c r="G117" s="45">
        <v>2</v>
      </c>
      <c r="K117" s="45" t="s">
        <v>146</v>
      </c>
    </row>
    <row r="118" spans="1:11">
      <c r="A118" s="2">
        <v>43897</v>
      </c>
      <c r="C118" s="45" t="s">
        <v>58</v>
      </c>
      <c r="D118" s="45">
        <v>1318</v>
      </c>
      <c r="E118" s="45">
        <v>32</v>
      </c>
      <c r="F118" s="45">
        <v>7</v>
      </c>
      <c r="G118" s="45">
        <v>0</v>
      </c>
      <c r="H118" s="45">
        <v>0</v>
      </c>
      <c r="J118" s="45">
        <v>0</v>
      </c>
      <c r="K118" s="45" t="s">
        <v>369</v>
      </c>
    </row>
    <row r="119" spans="1:11">
      <c r="A119" s="2">
        <v>43897</v>
      </c>
      <c r="C119" s="45" t="s">
        <v>64</v>
      </c>
      <c r="E119" s="45">
        <v>5</v>
      </c>
      <c r="F119" s="45">
        <v>5</v>
      </c>
      <c r="G119" s="45">
        <v>0</v>
      </c>
      <c r="J119" s="45">
        <v>0</v>
      </c>
      <c r="K119" s="45" t="s">
        <v>688</v>
      </c>
    </row>
    <row r="120" spans="1:11">
      <c r="A120" s="2">
        <v>43897</v>
      </c>
      <c r="C120" s="45" t="s">
        <v>69</v>
      </c>
      <c r="E120" s="45">
        <v>18</v>
      </c>
      <c r="F120" s="45">
        <v>2</v>
      </c>
      <c r="K120" s="45" t="s">
        <v>325</v>
      </c>
    </row>
    <row r="121" spans="1:11">
      <c r="A121" s="2">
        <v>43897</v>
      </c>
      <c r="C121" s="45" t="s">
        <v>89</v>
      </c>
      <c r="E121" s="45">
        <v>41</v>
      </c>
      <c r="F121" s="45">
        <v>0</v>
      </c>
      <c r="G121" s="45">
        <v>0</v>
      </c>
      <c r="H121" s="45">
        <v>0</v>
      </c>
      <c r="I121" s="45">
        <v>0</v>
      </c>
      <c r="J121" s="45">
        <v>0</v>
      </c>
      <c r="K121" s="45" t="s">
        <v>507</v>
      </c>
    </row>
    <row r="122" spans="1:11">
      <c r="A122" s="2">
        <v>43897</v>
      </c>
      <c r="C122" s="45" t="s">
        <v>94</v>
      </c>
      <c r="E122" s="45">
        <v>30</v>
      </c>
      <c r="F122" s="45">
        <v>16</v>
      </c>
      <c r="G122" s="45">
        <v>4</v>
      </c>
      <c r="J122" s="45">
        <v>1</v>
      </c>
      <c r="K122" s="45" t="s">
        <v>111</v>
      </c>
    </row>
    <row r="123" spans="1:11">
      <c r="A123" s="2">
        <v>43897</v>
      </c>
      <c r="C123" s="45" t="s">
        <v>97</v>
      </c>
      <c r="E123" s="45">
        <v>7</v>
      </c>
      <c r="F123" s="45">
        <v>11</v>
      </c>
      <c r="G123" s="45">
        <v>0</v>
      </c>
      <c r="H123" s="45">
        <v>0</v>
      </c>
      <c r="J123" s="45">
        <v>0</v>
      </c>
      <c r="K123" s="45" t="s">
        <v>620</v>
      </c>
    </row>
    <row r="124" spans="1:11">
      <c r="A124" s="2">
        <v>43897</v>
      </c>
      <c r="B124" s="45">
        <v>0.33333333333333331</v>
      </c>
      <c r="C124" s="45" t="s">
        <v>99</v>
      </c>
      <c r="E124" s="45">
        <v>3</v>
      </c>
      <c r="F124" s="45">
        <v>0</v>
      </c>
      <c r="G124" s="45">
        <v>0</v>
      </c>
      <c r="I124" s="45">
        <v>0</v>
      </c>
      <c r="J124" s="45">
        <v>0</v>
      </c>
      <c r="K124" s="45" t="s">
        <v>328</v>
      </c>
    </row>
    <row r="125" spans="1:11">
      <c r="A125" s="2">
        <v>43897</v>
      </c>
      <c r="B125" s="45">
        <v>0.5</v>
      </c>
      <c r="C125" s="45" t="s">
        <v>50</v>
      </c>
      <c r="E125" s="45">
        <v>21</v>
      </c>
      <c r="F125" s="45">
        <v>1</v>
      </c>
      <c r="K125" s="45" t="s">
        <v>147</v>
      </c>
    </row>
    <row r="126" spans="1:11">
      <c r="A126" s="2">
        <v>43897</v>
      </c>
      <c r="B126" s="45">
        <v>0.60416666666666663</v>
      </c>
      <c r="C126" s="45" t="s">
        <v>101</v>
      </c>
      <c r="E126" s="45">
        <v>35</v>
      </c>
      <c r="K126" s="45" t="s">
        <v>103</v>
      </c>
    </row>
    <row r="127" spans="1:11">
      <c r="A127" s="2">
        <v>43898</v>
      </c>
      <c r="C127" s="45" t="s">
        <v>47</v>
      </c>
      <c r="E127" s="45">
        <v>19</v>
      </c>
      <c r="F127" s="45">
        <v>4</v>
      </c>
      <c r="G127" s="45">
        <v>2</v>
      </c>
      <c r="J127" s="45">
        <v>1</v>
      </c>
      <c r="K127" s="45" t="s">
        <v>148</v>
      </c>
    </row>
    <row r="128" spans="1:11">
      <c r="A128" s="2">
        <v>43898</v>
      </c>
      <c r="C128" s="45" t="s">
        <v>56</v>
      </c>
      <c r="E128" s="45">
        <v>8</v>
      </c>
      <c r="K128" s="45" t="s">
        <v>138</v>
      </c>
    </row>
    <row r="129" spans="1:11">
      <c r="A129" s="2">
        <v>43898</v>
      </c>
      <c r="C129" s="45" t="s">
        <v>58</v>
      </c>
      <c r="D129" s="45">
        <v>1385</v>
      </c>
      <c r="E129" s="45">
        <v>40</v>
      </c>
      <c r="F129" s="45">
        <v>9</v>
      </c>
      <c r="G129" s="45">
        <v>0</v>
      </c>
      <c r="H129" s="45">
        <v>0</v>
      </c>
      <c r="J129" s="45">
        <v>0</v>
      </c>
      <c r="K129" s="45" t="s">
        <v>369</v>
      </c>
    </row>
    <row r="130" spans="1:11">
      <c r="A130" s="2">
        <v>43898</v>
      </c>
      <c r="C130" s="45" t="s">
        <v>64</v>
      </c>
      <c r="E130" s="45">
        <v>5</v>
      </c>
      <c r="F130" s="45">
        <v>5</v>
      </c>
      <c r="G130" s="45">
        <v>0</v>
      </c>
      <c r="J130" s="45">
        <v>0</v>
      </c>
      <c r="K130" s="45" t="s">
        <v>688</v>
      </c>
    </row>
    <row r="131" spans="1:11">
      <c r="A131" s="2">
        <v>43898</v>
      </c>
      <c r="C131" s="45" t="s">
        <v>69</v>
      </c>
      <c r="E131" s="45">
        <v>24</v>
      </c>
      <c r="F131" s="45">
        <v>3</v>
      </c>
      <c r="K131" s="45" t="s">
        <v>325</v>
      </c>
    </row>
    <row r="132" spans="1:11">
      <c r="A132" s="2">
        <v>43898</v>
      </c>
      <c r="C132" s="45" t="s">
        <v>89</v>
      </c>
      <c r="E132" s="45">
        <v>49</v>
      </c>
      <c r="F132" s="45">
        <v>0</v>
      </c>
      <c r="G132" s="45">
        <v>0</v>
      </c>
      <c r="H132" s="45">
        <v>0</v>
      </c>
      <c r="I132" s="45">
        <v>0</v>
      </c>
      <c r="J132" s="45">
        <v>0</v>
      </c>
      <c r="K132" s="45" t="s">
        <v>507</v>
      </c>
    </row>
    <row r="133" spans="1:11">
      <c r="A133" s="2">
        <v>43898</v>
      </c>
      <c r="C133" s="45" t="s">
        <v>94</v>
      </c>
      <c r="E133" s="45">
        <v>40</v>
      </c>
      <c r="F133" s="45">
        <v>22</v>
      </c>
      <c r="G133" s="45">
        <v>3</v>
      </c>
      <c r="J133" s="45">
        <v>1</v>
      </c>
      <c r="K133" s="45" t="s">
        <v>111</v>
      </c>
    </row>
    <row r="134" spans="1:11">
      <c r="A134" s="2">
        <v>43898</v>
      </c>
      <c r="C134" s="45" t="s">
        <v>97</v>
      </c>
      <c r="E134" s="45">
        <v>12</v>
      </c>
      <c r="F134" s="45">
        <v>15</v>
      </c>
      <c r="G134" s="45">
        <v>1</v>
      </c>
      <c r="H134" s="45">
        <v>1</v>
      </c>
      <c r="J134" s="45">
        <v>0</v>
      </c>
      <c r="K134" s="45" t="s">
        <v>620</v>
      </c>
    </row>
    <row r="135" spans="1:11">
      <c r="A135" s="2">
        <v>43898</v>
      </c>
      <c r="B135" s="45">
        <v>0.33333333333333331</v>
      </c>
      <c r="C135" s="45" t="s">
        <v>99</v>
      </c>
      <c r="E135" s="45">
        <v>3</v>
      </c>
      <c r="F135" s="45">
        <v>0</v>
      </c>
      <c r="G135" s="45">
        <v>0</v>
      </c>
      <c r="I135" s="45">
        <v>0</v>
      </c>
      <c r="J135" s="45">
        <v>0</v>
      </c>
      <c r="K135" s="45" t="s">
        <v>328</v>
      </c>
    </row>
    <row r="136" spans="1:11">
      <c r="A136" s="2">
        <v>43898</v>
      </c>
      <c r="B136" s="45">
        <v>0.5</v>
      </c>
      <c r="C136" s="45" t="s">
        <v>50</v>
      </c>
      <c r="E136" s="45">
        <v>24</v>
      </c>
      <c r="F136" s="45">
        <v>1</v>
      </c>
      <c r="K136" s="45" t="s">
        <v>149</v>
      </c>
    </row>
    <row r="137" spans="1:11">
      <c r="A137" s="2">
        <v>43898</v>
      </c>
      <c r="B137" s="45">
        <v>0.60416666666666663</v>
      </c>
      <c r="C137" s="45" t="s">
        <v>101</v>
      </c>
      <c r="E137" s="45">
        <v>41</v>
      </c>
      <c r="K137" s="45" t="s">
        <v>103</v>
      </c>
    </row>
    <row r="138" spans="1:11">
      <c r="A138" s="2">
        <v>43899</v>
      </c>
      <c r="C138" s="45" t="s">
        <v>41</v>
      </c>
      <c r="E138" s="45">
        <v>2</v>
      </c>
      <c r="K138" s="45" t="s">
        <v>151</v>
      </c>
    </row>
    <row r="139" spans="1:11">
      <c r="A139" s="2">
        <v>43899</v>
      </c>
      <c r="C139" s="45" t="s">
        <v>44</v>
      </c>
      <c r="E139" s="45">
        <v>34</v>
      </c>
      <c r="K139" s="45" t="s">
        <v>152</v>
      </c>
    </row>
    <row r="140" spans="1:11">
      <c r="A140" s="2">
        <v>43899</v>
      </c>
      <c r="C140" s="45" t="s">
        <v>47</v>
      </c>
      <c r="E140" s="45">
        <v>20</v>
      </c>
      <c r="F140" s="45">
        <v>4</v>
      </c>
      <c r="G140" s="45">
        <v>4</v>
      </c>
      <c r="I140" s="45">
        <v>1</v>
      </c>
      <c r="J140" s="45">
        <v>1</v>
      </c>
      <c r="K140" s="45" t="s">
        <v>153</v>
      </c>
    </row>
    <row r="141" spans="1:11">
      <c r="A141" s="2">
        <v>43899</v>
      </c>
      <c r="C141" s="45" t="s">
        <v>53</v>
      </c>
      <c r="D141" s="45">
        <v>24</v>
      </c>
      <c r="E141" s="45">
        <v>1</v>
      </c>
      <c r="K141" s="45" t="s">
        <v>155</v>
      </c>
    </row>
    <row r="142" spans="1:11">
      <c r="A142" s="2">
        <v>43899</v>
      </c>
      <c r="C142" s="45" t="s">
        <v>56</v>
      </c>
      <c r="E142" s="45">
        <v>11</v>
      </c>
      <c r="K142" s="45" t="s">
        <v>138</v>
      </c>
    </row>
    <row r="143" spans="1:11">
      <c r="A143" s="2">
        <v>43899</v>
      </c>
      <c r="C143" s="45" t="s">
        <v>58</v>
      </c>
      <c r="D143" s="45">
        <v>1491</v>
      </c>
      <c r="E143" s="45">
        <v>50</v>
      </c>
      <c r="F143" s="45">
        <v>13</v>
      </c>
      <c r="G143" s="45">
        <v>3</v>
      </c>
      <c r="H143" s="45">
        <v>1</v>
      </c>
      <c r="J143" s="45">
        <v>0</v>
      </c>
      <c r="K143" s="45" t="s">
        <v>369</v>
      </c>
    </row>
    <row r="144" spans="1:11">
      <c r="A144" s="2">
        <v>43899</v>
      </c>
      <c r="C144" s="45" t="s">
        <v>64</v>
      </c>
      <c r="E144" s="45">
        <v>7</v>
      </c>
      <c r="F144" s="45">
        <v>5</v>
      </c>
      <c r="G144" s="45">
        <v>0</v>
      </c>
      <c r="J144" s="45">
        <v>0</v>
      </c>
      <c r="K144" s="45" t="s">
        <v>688</v>
      </c>
    </row>
    <row r="145" spans="1:11">
      <c r="A145" s="2">
        <v>43899</v>
      </c>
      <c r="C145" s="45" t="s">
        <v>69</v>
      </c>
      <c r="E145" s="45">
        <v>27</v>
      </c>
      <c r="F145" s="45">
        <v>4</v>
      </c>
      <c r="K145" s="45" t="s">
        <v>325</v>
      </c>
    </row>
    <row r="146" spans="1:11">
      <c r="A146" s="2">
        <v>43899</v>
      </c>
      <c r="C146" s="45" t="s">
        <v>89</v>
      </c>
      <c r="E146" s="45">
        <v>61</v>
      </c>
      <c r="F146" s="45">
        <v>0</v>
      </c>
      <c r="G146" s="45">
        <v>0</v>
      </c>
      <c r="H146" s="45">
        <v>0</v>
      </c>
      <c r="I146" s="45">
        <v>0</v>
      </c>
      <c r="J146" s="45">
        <v>0</v>
      </c>
      <c r="K146" s="45" t="s">
        <v>507</v>
      </c>
    </row>
    <row r="147" spans="1:11">
      <c r="A147" s="2">
        <v>43899</v>
      </c>
      <c r="C147" s="45" t="s">
        <v>94</v>
      </c>
      <c r="E147" s="45">
        <v>51</v>
      </c>
      <c r="F147" s="45">
        <v>29</v>
      </c>
      <c r="G147" s="45">
        <v>5</v>
      </c>
      <c r="J147" s="45">
        <v>1</v>
      </c>
      <c r="K147" s="45" t="s">
        <v>111</v>
      </c>
    </row>
    <row r="148" spans="1:11">
      <c r="A148" s="2">
        <v>43899</v>
      </c>
      <c r="C148" s="45" t="s">
        <v>97</v>
      </c>
      <c r="E148" s="45">
        <v>17</v>
      </c>
      <c r="F148" s="45">
        <v>16</v>
      </c>
      <c r="G148" s="45">
        <v>1</v>
      </c>
      <c r="H148" s="45">
        <v>1</v>
      </c>
      <c r="J148" s="45">
        <v>0</v>
      </c>
      <c r="K148" s="45" t="s">
        <v>620</v>
      </c>
    </row>
    <row r="149" spans="1:11">
      <c r="A149" s="2">
        <v>43899</v>
      </c>
      <c r="B149" s="45">
        <v>0.33333333333333331</v>
      </c>
      <c r="C149" s="45" t="s">
        <v>99</v>
      </c>
      <c r="E149" s="45">
        <v>10</v>
      </c>
      <c r="F149" s="45">
        <v>0</v>
      </c>
      <c r="G149" s="45">
        <v>0</v>
      </c>
      <c r="I149" s="45">
        <v>0</v>
      </c>
      <c r="J149" s="45">
        <v>0</v>
      </c>
      <c r="K149" s="45" t="s">
        <v>328</v>
      </c>
    </row>
    <row r="150" spans="1:11">
      <c r="A150" s="2">
        <v>43899</v>
      </c>
      <c r="B150" s="45">
        <v>0.5</v>
      </c>
      <c r="C150" s="45" t="s">
        <v>50</v>
      </c>
      <c r="E150" s="45">
        <v>28</v>
      </c>
      <c r="F150" s="45">
        <v>1</v>
      </c>
      <c r="K150" s="45" t="s">
        <v>154</v>
      </c>
    </row>
    <row r="151" spans="1:11">
      <c r="A151" s="2">
        <v>43899</v>
      </c>
      <c r="B151" s="45">
        <v>0.60416666666666663</v>
      </c>
      <c r="C151" s="45" t="s">
        <v>101</v>
      </c>
      <c r="E151" s="45">
        <v>50</v>
      </c>
      <c r="K151" s="45" t="s">
        <v>103</v>
      </c>
    </row>
    <row r="152" spans="1:11">
      <c r="A152" s="2">
        <v>43899</v>
      </c>
      <c r="B152" s="45">
        <v>0.625</v>
      </c>
      <c r="C152" s="45" t="s">
        <v>34</v>
      </c>
      <c r="E152" s="45">
        <v>14</v>
      </c>
      <c r="I152" s="45">
        <v>2</v>
      </c>
      <c r="K152" s="45" t="s">
        <v>150</v>
      </c>
    </row>
    <row r="153" spans="1:11">
      <c r="A153" s="2">
        <v>43900</v>
      </c>
      <c r="C153" s="45" t="s">
        <v>47</v>
      </c>
      <c r="E153" s="45">
        <v>22</v>
      </c>
      <c r="F153" s="45">
        <v>5</v>
      </c>
      <c r="G153" s="45">
        <v>1</v>
      </c>
      <c r="I153" s="45">
        <v>2</v>
      </c>
      <c r="J153" s="45">
        <v>1</v>
      </c>
      <c r="K153" s="45" t="s">
        <v>157</v>
      </c>
    </row>
    <row r="154" spans="1:11">
      <c r="A154" s="2">
        <v>43900</v>
      </c>
      <c r="C154" s="45" t="s">
        <v>53</v>
      </c>
      <c r="D154" s="45">
        <v>37</v>
      </c>
      <c r="E154" s="45">
        <v>1</v>
      </c>
      <c r="K154" s="45" t="s">
        <v>159</v>
      </c>
    </row>
    <row r="155" spans="1:11">
      <c r="A155" s="2">
        <v>43900</v>
      </c>
      <c r="C155" s="45" t="s">
        <v>58</v>
      </c>
      <c r="D155" s="45">
        <v>1684</v>
      </c>
      <c r="E155" s="45">
        <v>75</v>
      </c>
      <c r="F155" s="45">
        <v>18</v>
      </c>
      <c r="G155" s="45">
        <v>4</v>
      </c>
      <c r="H155" s="45">
        <v>1</v>
      </c>
      <c r="J155" s="45">
        <v>1</v>
      </c>
      <c r="K155" s="45" t="s">
        <v>369</v>
      </c>
    </row>
    <row r="156" spans="1:11">
      <c r="A156" s="2">
        <v>43900</v>
      </c>
      <c r="C156" s="45" t="s">
        <v>60</v>
      </c>
      <c r="E156" s="45">
        <v>1</v>
      </c>
      <c r="F156" s="45">
        <v>0</v>
      </c>
      <c r="J156" s="45">
        <v>0</v>
      </c>
      <c r="K156" s="45" t="s">
        <v>609</v>
      </c>
    </row>
    <row r="157" spans="1:11">
      <c r="A157" s="2">
        <v>43900</v>
      </c>
      <c r="C157" s="45" t="s">
        <v>64</v>
      </c>
      <c r="E157" s="45">
        <v>7</v>
      </c>
      <c r="F157" s="45">
        <v>5</v>
      </c>
      <c r="G157" s="45">
        <v>0</v>
      </c>
      <c r="J157" s="45">
        <v>0</v>
      </c>
      <c r="K157" s="45" t="s">
        <v>688</v>
      </c>
    </row>
    <row r="158" spans="1:11">
      <c r="A158" s="2">
        <v>43900</v>
      </c>
      <c r="C158" s="45" t="s">
        <v>69</v>
      </c>
      <c r="E158" s="45">
        <v>31</v>
      </c>
      <c r="F158" s="45">
        <v>4</v>
      </c>
      <c r="K158" s="45" t="s">
        <v>325</v>
      </c>
    </row>
    <row r="159" spans="1:11">
      <c r="A159" s="2">
        <v>43900</v>
      </c>
      <c r="C159" s="45" t="s">
        <v>89</v>
      </c>
      <c r="E159" s="45">
        <v>75</v>
      </c>
      <c r="F159" s="45">
        <v>0</v>
      </c>
      <c r="G159" s="45">
        <v>0</v>
      </c>
      <c r="H159" s="45">
        <v>0</v>
      </c>
      <c r="I159" s="45">
        <v>0</v>
      </c>
      <c r="J159" s="45">
        <v>1</v>
      </c>
      <c r="K159" s="45" t="s">
        <v>507</v>
      </c>
    </row>
    <row r="160" spans="1:11">
      <c r="A160" s="2">
        <v>43900</v>
      </c>
      <c r="C160" s="45" t="s">
        <v>94</v>
      </c>
      <c r="E160" s="45">
        <v>130</v>
      </c>
      <c r="F160" s="45">
        <v>48</v>
      </c>
      <c r="G160" s="45">
        <v>8</v>
      </c>
      <c r="J160" s="45">
        <v>1</v>
      </c>
      <c r="K160" s="45" t="s">
        <v>96</v>
      </c>
    </row>
    <row r="161" spans="1:11">
      <c r="A161" s="2">
        <v>43900</v>
      </c>
      <c r="C161" s="45" t="s">
        <v>97</v>
      </c>
      <c r="E161" s="45">
        <v>22</v>
      </c>
      <c r="F161" s="45">
        <v>19</v>
      </c>
      <c r="G161" s="45">
        <v>1</v>
      </c>
      <c r="H161" s="45">
        <v>1</v>
      </c>
      <c r="J161" s="45">
        <v>0</v>
      </c>
      <c r="K161" s="45" t="s">
        <v>620</v>
      </c>
    </row>
    <row r="162" spans="1:11">
      <c r="A162" s="2">
        <v>43900</v>
      </c>
      <c r="B162" s="45">
        <v>0.33333333333333331</v>
      </c>
      <c r="C162" s="45" t="s">
        <v>99</v>
      </c>
      <c r="E162" s="45">
        <v>10</v>
      </c>
      <c r="F162" s="45">
        <v>0</v>
      </c>
      <c r="G162" s="45">
        <v>0</v>
      </c>
      <c r="I162" s="45">
        <v>0</v>
      </c>
      <c r="J162" s="45">
        <v>0</v>
      </c>
      <c r="K162" s="45" t="s">
        <v>328</v>
      </c>
    </row>
    <row r="163" spans="1:11">
      <c r="A163" s="2">
        <v>43900</v>
      </c>
      <c r="B163" s="45">
        <v>0.5</v>
      </c>
      <c r="C163" s="45" t="s">
        <v>50</v>
      </c>
      <c r="E163" s="45">
        <v>33</v>
      </c>
      <c r="F163" s="45">
        <v>1</v>
      </c>
      <c r="K163" s="45" t="s">
        <v>158</v>
      </c>
    </row>
    <row r="164" spans="1:11">
      <c r="A164" s="2">
        <v>43900</v>
      </c>
      <c r="B164" s="45">
        <v>0.60416666666666663</v>
      </c>
      <c r="C164" s="45" t="s">
        <v>101</v>
      </c>
      <c r="E164" s="45">
        <v>63</v>
      </c>
      <c r="K164" s="45" t="s">
        <v>103</v>
      </c>
    </row>
    <row r="165" spans="1:11">
      <c r="A165" s="2">
        <v>43900</v>
      </c>
      <c r="B165" s="45">
        <v>0.625</v>
      </c>
      <c r="C165" s="45" t="s">
        <v>34</v>
      </c>
      <c r="E165" s="45">
        <v>17</v>
      </c>
      <c r="I165" s="45">
        <v>2</v>
      </c>
      <c r="K165" s="45" t="s">
        <v>156</v>
      </c>
    </row>
    <row r="166" spans="1:11">
      <c r="A166" s="2">
        <v>43901</v>
      </c>
      <c r="C166" s="45" t="s">
        <v>47</v>
      </c>
      <c r="E166" s="45">
        <v>26</v>
      </c>
      <c r="F166" s="45">
        <v>3</v>
      </c>
      <c r="G166" s="45">
        <v>1</v>
      </c>
      <c r="I166" s="45">
        <v>2</v>
      </c>
      <c r="J166" s="45">
        <v>2</v>
      </c>
      <c r="K166" s="45" t="s">
        <v>161</v>
      </c>
    </row>
    <row r="167" spans="1:11">
      <c r="A167" s="2">
        <v>43901</v>
      </c>
      <c r="C167" s="45" t="s">
        <v>53</v>
      </c>
      <c r="D167" s="45">
        <v>50</v>
      </c>
      <c r="E167" s="45">
        <v>3</v>
      </c>
      <c r="I167" s="45">
        <v>1</v>
      </c>
      <c r="K167" s="45" t="s">
        <v>163</v>
      </c>
    </row>
    <row r="168" spans="1:11">
      <c r="A168" s="2">
        <v>43901</v>
      </c>
      <c r="C168" s="45" t="s">
        <v>56</v>
      </c>
      <c r="E168" s="45">
        <v>16</v>
      </c>
      <c r="J168" s="45">
        <v>0</v>
      </c>
      <c r="K168" s="45" t="s">
        <v>736</v>
      </c>
    </row>
    <row r="169" spans="1:11">
      <c r="A169" s="2">
        <v>43901</v>
      </c>
      <c r="C169" s="45" t="s">
        <v>58</v>
      </c>
      <c r="D169" s="45">
        <v>1924</v>
      </c>
      <c r="E169" s="45">
        <v>91</v>
      </c>
      <c r="F169" s="45">
        <v>20</v>
      </c>
      <c r="G169" s="45">
        <v>6</v>
      </c>
      <c r="H169" s="45">
        <v>4</v>
      </c>
      <c r="J169" s="45">
        <v>1</v>
      </c>
      <c r="K169" s="45" t="s">
        <v>369</v>
      </c>
    </row>
    <row r="170" spans="1:11">
      <c r="A170" s="2">
        <v>43901</v>
      </c>
      <c r="C170" s="45" t="s">
        <v>60</v>
      </c>
      <c r="E170" s="45">
        <v>1</v>
      </c>
      <c r="F170" s="45">
        <v>0</v>
      </c>
      <c r="J170" s="45">
        <v>0</v>
      </c>
      <c r="K170" s="45" t="s">
        <v>609</v>
      </c>
    </row>
    <row r="171" spans="1:11">
      <c r="A171" s="2">
        <v>43901</v>
      </c>
      <c r="C171" s="45" t="s">
        <v>64</v>
      </c>
      <c r="E171" s="45">
        <v>7</v>
      </c>
      <c r="F171" s="45">
        <v>6</v>
      </c>
      <c r="G171" s="45">
        <v>0</v>
      </c>
      <c r="J171" s="45">
        <v>0</v>
      </c>
      <c r="K171" s="45" t="s">
        <v>688</v>
      </c>
    </row>
    <row r="172" spans="1:11">
      <c r="A172" s="2">
        <v>43901</v>
      </c>
      <c r="C172" s="45" t="s">
        <v>69</v>
      </c>
      <c r="E172" s="45">
        <v>37</v>
      </c>
      <c r="F172" s="45">
        <v>6</v>
      </c>
      <c r="K172" s="45" t="s">
        <v>325</v>
      </c>
    </row>
    <row r="173" spans="1:11">
      <c r="A173" s="2">
        <v>43901</v>
      </c>
      <c r="C173" s="45" t="s">
        <v>71</v>
      </c>
      <c r="E173" s="45">
        <v>4</v>
      </c>
      <c r="F173" s="45">
        <v>2</v>
      </c>
      <c r="K173" s="45" t="s">
        <v>310</v>
      </c>
    </row>
    <row r="174" spans="1:11">
      <c r="A174" s="2">
        <v>43901</v>
      </c>
      <c r="C174" s="45" t="s">
        <v>79</v>
      </c>
      <c r="E174" s="45">
        <v>1</v>
      </c>
      <c r="J174" s="45">
        <v>0</v>
      </c>
      <c r="K174" s="45" t="s">
        <v>703</v>
      </c>
    </row>
    <row r="175" spans="1:11">
      <c r="A175" s="2">
        <v>43901</v>
      </c>
      <c r="C175" s="45" t="s">
        <v>89</v>
      </c>
      <c r="E175" s="45">
        <v>108</v>
      </c>
      <c r="F175" s="45">
        <v>0</v>
      </c>
      <c r="G175" s="45">
        <v>0</v>
      </c>
      <c r="H175" s="45">
        <v>0</v>
      </c>
      <c r="I175" s="45">
        <v>0</v>
      </c>
      <c r="J175" s="45">
        <v>1</v>
      </c>
      <c r="K175" s="45" t="s">
        <v>507</v>
      </c>
    </row>
    <row r="176" spans="1:11">
      <c r="A176" s="2">
        <v>43901</v>
      </c>
      <c r="C176" s="45" t="s">
        <v>94</v>
      </c>
      <c r="E176" s="45">
        <v>203</v>
      </c>
      <c r="F176" s="45">
        <v>51</v>
      </c>
      <c r="G176" s="45">
        <v>7</v>
      </c>
      <c r="J176" s="45">
        <v>1</v>
      </c>
      <c r="K176" s="45" t="s">
        <v>96</v>
      </c>
    </row>
    <row r="177" spans="1:11">
      <c r="A177" s="2">
        <v>43901</v>
      </c>
      <c r="C177" s="45" t="s">
        <v>97</v>
      </c>
      <c r="E177" s="45">
        <v>30</v>
      </c>
      <c r="F177" s="45">
        <v>20</v>
      </c>
      <c r="G177" s="45">
        <v>1</v>
      </c>
      <c r="H177" s="45">
        <v>1</v>
      </c>
      <c r="J177" s="45">
        <v>0</v>
      </c>
      <c r="K177" s="45" t="s">
        <v>620</v>
      </c>
    </row>
    <row r="178" spans="1:11">
      <c r="A178" s="2">
        <v>43901</v>
      </c>
      <c r="B178" s="45">
        <v>0.33333333333333331</v>
      </c>
      <c r="C178" s="45" t="s">
        <v>99</v>
      </c>
      <c r="E178" s="45">
        <v>11</v>
      </c>
      <c r="F178" s="45">
        <v>0</v>
      </c>
      <c r="G178" s="45">
        <v>0</v>
      </c>
      <c r="I178" s="45">
        <v>0</v>
      </c>
      <c r="J178" s="45">
        <v>0</v>
      </c>
      <c r="K178" s="45" t="s">
        <v>328</v>
      </c>
    </row>
    <row r="179" spans="1:11">
      <c r="A179" s="2">
        <v>43901</v>
      </c>
      <c r="B179" s="45">
        <v>0.5</v>
      </c>
      <c r="C179" s="45" t="s">
        <v>50</v>
      </c>
      <c r="E179" s="45">
        <v>49</v>
      </c>
      <c r="F179" s="45">
        <v>13</v>
      </c>
      <c r="G179" s="45">
        <v>2</v>
      </c>
      <c r="I179" s="45">
        <v>4</v>
      </c>
      <c r="K179" s="45" t="s">
        <v>162</v>
      </c>
    </row>
    <row r="180" spans="1:11">
      <c r="A180" s="2">
        <v>43901</v>
      </c>
      <c r="B180" s="45">
        <v>0.60416666666666663</v>
      </c>
      <c r="C180" s="45" t="s">
        <v>101</v>
      </c>
      <c r="E180" s="45">
        <v>102</v>
      </c>
      <c r="K180" s="45" t="s">
        <v>103</v>
      </c>
    </row>
    <row r="181" spans="1:11">
      <c r="A181" s="2">
        <v>43901</v>
      </c>
      <c r="B181" s="45">
        <v>0.625</v>
      </c>
      <c r="C181" s="45" t="s">
        <v>34</v>
      </c>
      <c r="E181" s="45">
        <v>18</v>
      </c>
      <c r="I181" s="45">
        <v>2</v>
      </c>
      <c r="K181" s="45" t="s">
        <v>160</v>
      </c>
    </row>
    <row r="182" spans="1:11">
      <c r="A182" s="2">
        <v>43902</v>
      </c>
      <c r="C182" s="45" t="s">
        <v>41</v>
      </c>
      <c r="E182" s="45">
        <v>5</v>
      </c>
      <c r="K182" s="45" t="s">
        <v>165</v>
      </c>
    </row>
    <row r="183" spans="1:11">
      <c r="A183" s="2">
        <v>43902</v>
      </c>
      <c r="C183" s="45" t="s">
        <v>47</v>
      </c>
      <c r="E183" s="45">
        <v>26</v>
      </c>
      <c r="F183" s="45">
        <v>9</v>
      </c>
      <c r="G183" s="45">
        <v>3</v>
      </c>
      <c r="I183" s="45">
        <v>2</v>
      </c>
      <c r="J183" s="45">
        <v>2</v>
      </c>
      <c r="K183" s="45" t="s">
        <v>36</v>
      </c>
    </row>
    <row r="184" spans="1:11">
      <c r="A184" s="2">
        <v>43902</v>
      </c>
      <c r="C184" s="45" t="s">
        <v>53</v>
      </c>
      <c r="D184" s="45">
        <v>57</v>
      </c>
      <c r="E184" s="45">
        <v>3</v>
      </c>
      <c r="I184" s="45">
        <v>1</v>
      </c>
      <c r="K184" s="45" t="s">
        <v>167</v>
      </c>
    </row>
    <row r="185" spans="1:11">
      <c r="A185" s="2">
        <v>43902</v>
      </c>
      <c r="C185" s="45" t="s">
        <v>56</v>
      </c>
      <c r="E185" s="45">
        <v>22</v>
      </c>
      <c r="J185" s="45">
        <v>0</v>
      </c>
      <c r="K185" s="45" t="s">
        <v>736</v>
      </c>
    </row>
    <row r="186" spans="1:11">
      <c r="A186" s="2">
        <v>43902</v>
      </c>
      <c r="C186" s="45" t="s">
        <v>58</v>
      </c>
      <c r="D186" s="45">
        <v>2277</v>
      </c>
      <c r="E186" s="45">
        <v>123</v>
      </c>
      <c r="F186" s="45">
        <v>23</v>
      </c>
      <c r="G186" s="45">
        <v>6</v>
      </c>
      <c r="H186" s="45">
        <v>4</v>
      </c>
      <c r="J186" s="45">
        <v>2</v>
      </c>
      <c r="K186" s="45" t="s">
        <v>369</v>
      </c>
    </row>
    <row r="187" spans="1:11">
      <c r="A187" s="2">
        <v>43902</v>
      </c>
      <c r="C187" s="45" t="s">
        <v>60</v>
      </c>
      <c r="E187" s="45">
        <v>3</v>
      </c>
      <c r="F187" s="45">
        <v>0</v>
      </c>
      <c r="J187" s="45">
        <v>0</v>
      </c>
      <c r="K187" s="45" t="s">
        <v>609</v>
      </c>
    </row>
    <row r="188" spans="1:11">
      <c r="A188" s="2">
        <v>43902</v>
      </c>
      <c r="C188" s="45" t="s">
        <v>64</v>
      </c>
      <c r="E188" s="45">
        <v>12</v>
      </c>
      <c r="F188" s="45">
        <v>6</v>
      </c>
      <c r="G188" s="45">
        <v>0</v>
      </c>
      <c r="J188" s="45">
        <v>0</v>
      </c>
      <c r="K188" s="45" t="s">
        <v>688</v>
      </c>
    </row>
    <row r="189" spans="1:11">
      <c r="A189" s="2">
        <v>43902</v>
      </c>
      <c r="C189" s="45" t="s">
        <v>69</v>
      </c>
      <c r="E189" s="45">
        <v>46</v>
      </c>
      <c r="F189" s="45">
        <v>6</v>
      </c>
      <c r="K189" s="45" t="s">
        <v>325</v>
      </c>
    </row>
    <row r="190" spans="1:11">
      <c r="A190" s="2">
        <v>43902</v>
      </c>
      <c r="C190" s="45" t="s">
        <v>71</v>
      </c>
      <c r="E190" s="45">
        <v>5</v>
      </c>
      <c r="F190" s="45">
        <v>5</v>
      </c>
      <c r="K190" s="45" t="s">
        <v>310</v>
      </c>
    </row>
    <row r="191" spans="1:11">
      <c r="A191" s="2">
        <v>43902</v>
      </c>
      <c r="C191" s="45" t="s">
        <v>76</v>
      </c>
      <c r="E191" s="45">
        <v>15</v>
      </c>
      <c r="K191" s="45" t="s">
        <v>78</v>
      </c>
    </row>
    <row r="192" spans="1:11">
      <c r="A192" s="2">
        <v>43902</v>
      </c>
      <c r="C192" s="45" t="s">
        <v>79</v>
      </c>
      <c r="E192" s="45">
        <v>1</v>
      </c>
      <c r="J192" s="45">
        <v>0</v>
      </c>
      <c r="K192" s="45" t="s">
        <v>703</v>
      </c>
    </row>
    <row r="193" spans="1:11">
      <c r="A193" s="2">
        <v>43902</v>
      </c>
      <c r="C193" s="45" t="s">
        <v>89</v>
      </c>
      <c r="E193" s="45">
        <v>163</v>
      </c>
      <c r="F193" s="45">
        <v>0</v>
      </c>
      <c r="G193" s="45">
        <v>0</v>
      </c>
      <c r="H193" s="45">
        <v>0</v>
      </c>
      <c r="I193" s="45">
        <v>0</v>
      </c>
      <c r="J193" s="45">
        <v>1</v>
      </c>
      <c r="K193" s="45" t="s">
        <v>507</v>
      </c>
    </row>
    <row r="194" spans="1:11">
      <c r="A194" s="2">
        <v>43902</v>
      </c>
      <c r="C194" s="45" t="s">
        <v>91</v>
      </c>
      <c r="E194" s="45">
        <v>2</v>
      </c>
      <c r="K194" s="45" t="s">
        <v>36</v>
      </c>
    </row>
    <row r="195" spans="1:11">
      <c r="A195" s="2">
        <v>43902</v>
      </c>
      <c r="C195" s="45" t="s">
        <v>94</v>
      </c>
      <c r="E195" s="45">
        <v>277</v>
      </c>
      <c r="F195" s="45">
        <v>55</v>
      </c>
      <c r="G195" s="45">
        <v>6</v>
      </c>
      <c r="J195" s="45">
        <v>3</v>
      </c>
      <c r="K195" s="45" t="s">
        <v>96</v>
      </c>
    </row>
    <row r="196" spans="1:11">
      <c r="A196" s="2">
        <v>43902</v>
      </c>
      <c r="C196" s="45" t="s">
        <v>97</v>
      </c>
      <c r="E196" s="45">
        <v>53</v>
      </c>
      <c r="F196" s="45">
        <v>27</v>
      </c>
      <c r="G196" s="45">
        <v>1</v>
      </c>
      <c r="H196" s="45">
        <v>1</v>
      </c>
      <c r="J196" s="45">
        <v>0</v>
      </c>
      <c r="K196" s="45" t="s">
        <v>620</v>
      </c>
    </row>
    <row r="197" spans="1:11">
      <c r="A197" s="2">
        <v>43902</v>
      </c>
      <c r="B197" s="45">
        <v>0.33333333333333331</v>
      </c>
      <c r="C197" s="45" t="s">
        <v>99</v>
      </c>
      <c r="E197" s="45">
        <v>11</v>
      </c>
      <c r="F197" s="45">
        <v>0</v>
      </c>
      <c r="G197" s="45">
        <v>0</v>
      </c>
      <c r="I197" s="45">
        <v>0</v>
      </c>
      <c r="J197" s="45">
        <v>0</v>
      </c>
      <c r="K197" s="45" t="s">
        <v>328</v>
      </c>
    </row>
    <row r="198" spans="1:11">
      <c r="A198" s="2">
        <v>43902</v>
      </c>
      <c r="B198" s="45">
        <v>0.5</v>
      </c>
      <c r="C198" s="45" t="s">
        <v>50</v>
      </c>
      <c r="E198" s="45">
        <v>73</v>
      </c>
      <c r="F198" s="45">
        <v>13</v>
      </c>
      <c r="I198" s="45">
        <v>4</v>
      </c>
      <c r="J198" s="45">
        <v>1</v>
      </c>
      <c r="K198" s="45" t="s">
        <v>166</v>
      </c>
    </row>
    <row r="199" spans="1:11">
      <c r="A199" s="2">
        <v>43902</v>
      </c>
      <c r="B199" s="45">
        <v>0.60416666666666663</v>
      </c>
      <c r="C199" s="45" t="s">
        <v>101</v>
      </c>
      <c r="E199" s="45">
        <v>141</v>
      </c>
      <c r="K199" s="45" t="s">
        <v>103</v>
      </c>
    </row>
    <row r="200" spans="1:11">
      <c r="A200" s="2">
        <v>43902</v>
      </c>
      <c r="B200" s="45">
        <v>0.625</v>
      </c>
      <c r="C200" s="45" t="s">
        <v>34</v>
      </c>
      <c r="E200" s="45">
        <v>27</v>
      </c>
      <c r="F200" s="45">
        <v>1</v>
      </c>
      <c r="I200" s="45">
        <v>3</v>
      </c>
      <c r="K200" s="45" t="s">
        <v>164</v>
      </c>
    </row>
    <row r="201" spans="1:11">
      <c r="A201" s="2">
        <v>43903</v>
      </c>
      <c r="C201" s="45" t="s">
        <v>47</v>
      </c>
      <c r="E201" s="45">
        <v>42</v>
      </c>
      <c r="F201" s="45">
        <v>12</v>
      </c>
      <c r="G201" s="45">
        <v>3</v>
      </c>
      <c r="I201" s="45">
        <v>2</v>
      </c>
      <c r="J201" s="45">
        <v>2</v>
      </c>
      <c r="K201" s="45" t="s">
        <v>169</v>
      </c>
    </row>
    <row r="202" spans="1:11">
      <c r="A202" s="2">
        <v>43903</v>
      </c>
      <c r="C202" s="45" t="s">
        <v>56</v>
      </c>
      <c r="E202" s="45">
        <v>29</v>
      </c>
      <c r="J202" s="45">
        <v>0</v>
      </c>
      <c r="K202" s="45" t="s">
        <v>736</v>
      </c>
    </row>
    <row r="203" spans="1:11">
      <c r="A203" s="2">
        <v>43903</v>
      </c>
      <c r="C203" s="45" t="s">
        <v>58</v>
      </c>
      <c r="D203" s="45">
        <v>2717</v>
      </c>
      <c r="E203" s="45">
        <v>197</v>
      </c>
      <c r="F203" s="45">
        <v>33</v>
      </c>
      <c r="G203" s="45">
        <v>7</v>
      </c>
      <c r="H203" s="45">
        <v>5</v>
      </c>
      <c r="J203" s="45">
        <v>2</v>
      </c>
      <c r="K203" s="45" t="s">
        <v>369</v>
      </c>
    </row>
    <row r="204" spans="1:11">
      <c r="A204" s="2">
        <v>43903</v>
      </c>
      <c r="C204" s="45" t="s">
        <v>60</v>
      </c>
      <c r="E204" s="45">
        <v>6</v>
      </c>
      <c r="F204" s="45">
        <v>0</v>
      </c>
      <c r="J204" s="45">
        <v>0</v>
      </c>
      <c r="K204" s="45" t="s">
        <v>609</v>
      </c>
    </row>
    <row r="205" spans="1:11">
      <c r="A205" s="2">
        <v>43903</v>
      </c>
      <c r="C205" s="45" t="s">
        <v>64</v>
      </c>
      <c r="E205" s="45">
        <v>17</v>
      </c>
      <c r="F205" s="45">
        <v>8</v>
      </c>
      <c r="G205" s="45">
        <v>0</v>
      </c>
      <c r="J205" s="45">
        <v>0</v>
      </c>
      <c r="K205" s="45" t="s">
        <v>688</v>
      </c>
    </row>
    <row r="206" spans="1:11">
      <c r="A206" s="2">
        <v>43903</v>
      </c>
      <c r="C206" s="45" t="s">
        <v>69</v>
      </c>
      <c r="E206" s="45">
        <v>59</v>
      </c>
      <c r="F206" s="45">
        <v>9</v>
      </c>
      <c r="K206" s="45" t="s">
        <v>325</v>
      </c>
    </row>
    <row r="207" spans="1:11">
      <c r="A207" s="2">
        <v>43903</v>
      </c>
      <c r="C207" s="45" t="s">
        <v>71</v>
      </c>
      <c r="E207" s="45">
        <v>5</v>
      </c>
      <c r="F207" s="45">
        <v>6</v>
      </c>
      <c r="K207" s="45" t="s">
        <v>310</v>
      </c>
    </row>
    <row r="208" spans="1:11">
      <c r="A208" s="2">
        <v>43903</v>
      </c>
      <c r="C208" s="45" t="s">
        <v>79</v>
      </c>
      <c r="E208" s="45">
        <v>1</v>
      </c>
      <c r="J208" s="45">
        <v>0</v>
      </c>
      <c r="K208" s="45" t="s">
        <v>703</v>
      </c>
    </row>
    <row r="209" spans="1:11">
      <c r="A209" s="2">
        <v>43903</v>
      </c>
      <c r="C209" s="45" t="s">
        <v>89</v>
      </c>
      <c r="E209" s="45">
        <v>206</v>
      </c>
      <c r="F209" s="45">
        <v>0</v>
      </c>
      <c r="G209" s="45">
        <v>0</v>
      </c>
      <c r="H209" s="45">
        <v>0</v>
      </c>
      <c r="I209" s="45">
        <v>0</v>
      </c>
      <c r="J209" s="45">
        <v>1</v>
      </c>
      <c r="K209" s="45" t="s">
        <v>507</v>
      </c>
    </row>
    <row r="210" spans="1:11">
      <c r="A210" s="2">
        <v>43903</v>
      </c>
      <c r="C210" s="45" t="s">
        <v>94</v>
      </c>
      <c r="E210" s="45">
        <v>370</v>
      </c>
      <c r="F210" s="45">
        <v>61</v>
      </c>
      <c r="G210" s="45">
        <v>7</v>
      </c>
      <c r="J210" s="45">
        <v>3</v>
      </c>
      <c r="K210" s="45" t="s">
        <v>96</v>
      </c>
    </row>
    <row r="211" spans="1:11">
      <c r="A211" s="2">
        <v>43903</v>
      </c>
      <c r="C211" s="45" t="s">
        <v>97</v>
      </c>
      <c r="E211" s="45">
        <v>76</v>
      </c>
      <c r="F211" s="45">
        <v>29</v>
      </c>
      <c r="G211" s="45">
        <v>1</v>
      </c>
      <c r="H211" s="45">
        <v>1</v>
      </c>
      <c r="J211" s="45">
        <v>1</v>
      </c>
      <c r="K211" s="45" t="s">
        <v>620</v>
      </c>
    </row>
    <row r="212" spans="1:11">
      <c r="A212" s="2">
        <v>43903</v>
      </c>
      <c r="B212" s="45">
        <v>0.33333333333333331</v>
      </c>
      <c r="C212" s="45" t="s">
        <v>99</v>
      </c>
      <c r="E212" s="45">
        <v>11</v>
      </c>
      <c r="F212" s="45">
        <v>0</v>
      </c>
      <c r="G212" s="45">
        <v>0</v>
      </c>
      <c r="I212" s="45">
        <v>0</v>
      </c>
      <c r="J212" s="45">
        <v>0</v>
      </c>
      <c r="K212" s="45" t="s">
        <v>328</v>
      </c>
    </row>
    <row r="213" spans="1:11">
      <c r="A213" s="2">
        <v>43903</v>
      </c>
      <c r="B213" s="45">
        <v>0.5</v>
      </c>
      <c r="C213" s="45" t="s">
        <v>73</v>
      </c>
      <c r="D213" s="45">
        <v>6</v>
      </c>
      <c r="E213" s="45">
        <v>1</v>
      </c>
      <c r="K213" s="45" t="s">
        <v>171</v>
      </c>
    </row>
    <row r="214" spans="1:11">
      <c r="A214" s="2">
        <v>43903</v>
      </c>
      <c r="B214" s="45">
        <v>0.5</v>
      </c>
      <c r="C214" s="45" t="s">
        <v>84</v>
      </c>
      <c r="D214" s="45">
        <v>10</v>
      </c>
      <c r="E214" s="45">
        <v>9</v>
      </c>
      <c r="K214" s="45" t="s">
        <v>172</v>
      </c>
    </row>
    <row r="215" spans="1:11">
      <c r="A215" s="2">
        <v>43903</v>
      </c>
      <c r="B215" s="45">
        <v>0.52083333333333337</v>
      </c>
      <c r="C215" s="45" t="s">
        <v>50</v>
      </c>
      <c r="E215" s="45">
        <v>92</v>
      </c>
      <c r="F215" s="45">
        <v>13</v>
      </c>
      <c r="I215" s="45">
        <v>4</v>
      </c>
      <c r="J215" s="45">
        <v>1</v>
      </c>
      <c r="K215" s="45" t="s">
        <v>170</v>
      </c>
    </row>
    <row r="216" spans="1:11">
      <c r="A216" s="2">
        <v>43903</v>
      </c>
      <c r="B216" s="45">
        <v>0.54166666666666663</v>
      </c>
      <c r="C216" s="45" t="s">
        <v>34</v>
      </c>
      <c r="E216" s="45">
        <v>32</v>
      </c>
      <c r="I216" s="45">
        <v>3</v>
      </c>
      <c r="K216" s="45" t="s">
        <v>168</v>
      </c>
    </row>
    <row r="217" spans="1:11">
      <c r="A217" s="2">
        <v>43903</v>
      </c>
      <c r="B217" s="45">
        <v>0.60416666666666663</v>
      </c>
      <c r="C217" s="45" t="s">
        <v>101</v>
      </c>
      <c r="E217" s="45">
        <v>164</v>
      </c>
      <c r="K217" s="45" t="s">
        <v>103</v>
      </c>
    </row>
    <row r="218" spans="1:11">
      <c r="A218" s="2">
        <v>43904</v>
      </c>
      <c r="C218" s="45" t="s">
        <v>38</v>
      </c>
      <c r="E218" s="45">
        <v>2</v>
      </c>
      <c r="J218" s="45">
        <v>0</v>
      </c>
      <c r="K218" s="45" t="s">
        <v>173</v>
      </c>
    </row>
    <row r="219" spans="1:11">
      <c r="A219" s="2">
        <v>43904</v>
      </c>
      <c r="C219" s="45" t="s">
        <v>47</v>
      </c>
      <c r="E219" s="45">
        <v>47</v>
      </c>
      <c r="F219" s="45">
        <v>8</v>
      </c>
      <c r="G219" s="45">
        <v>2</v>
      </c>
      <c r="I219" s="45">
        <v>2</v>
      </c>
      <c r="J219" s="45">
        <v>2</v>
      </c>
      <c r="K219" s="45" t="s">
        <v>174</v>
      </c>
    </row>
    <row r="220" spans="1:11">
      <c r="A220" s="2">
        <v>43904</v>
      </c>
      <c r="C220" s="45" t="s">
        <v>53</v>
      </c>
      <c r="D220" s="45">
        <v>99</v>
      </c>
      <c r="E220" s="45">
        <v>3</v>
      </c>
      <c r="I220" s="45">
        <v>1</v>
      </c>
      <c r="K220" s="45" t="s">
        <v>176</v>
      </c>
    </row>
    <row r="221" spans="1:11">
      <c r="A221" s="2">
        <v>43904</v>
      </c>
      <c r="C221" s="45" t="s">
        <v>56</v>
      </c>
      <c r="E221" s="45">
        <v>36</v>
      </c>
      <c r="J221" s="45">
        <v>0</v>
      </c>
      <c r="K221" s="45" t="s">
        <v>736</v>
      </c>
    </row>
    <row r="222" spans="1:11">
      <c r="A222" s="2">
        <v>43904</v>
      </c>
      <c r="C222" s="45" t="s">
        <v>58</v>
      </c>
      <c r="D222" s="45">
        <v>3309</v>
      </c>
      <c r="E222" s="45">
        <v>310</v>
      </c>
      <c r="F222" s="45">
        <v>43</v>
      </c>
      <c r="G222" s="45">
        <v>8</v>
      </c>
      <c r="H222" s="45">
        <v>5</v>
      </c>
      <c r="J222" s="45">
        <v>2</v>
      </c>
      <c r="K222" s="45" t="s">
        <v>369</v>
      </c>
    </row>
    <row r="223" spans="1:11">
      <c r="A223" s="2">
        <v>43904</v>
      </c>
      <c r="C223" s="45" t="s">
        <v>60</v>
      </c>
      <c r="E223" s="45">
        <v>8</v>
      </c>
      <c r="F223" s="45">
        <v>0</v>
      </c>
      <c r="J223" s="45">
        <v>0</v>
      </c>
      <c r="K223" s="45" t="s">
        <v>609</v>
      </c>
    </row>
    <row r="224" spans="1:11">
      <c r="A224" s="2">
        <v>43904</v>
      </c>
      <c r="C224" s="45" t="s">
        <v>64</v>
      </c>
      <c r="E224" s="45">
        <v>18</v>
      </c>
      <c r="F224" s="45">
        <v>8</v>
      </c>
      <c r="G224" s="45">
        <v>0</v>
      </c>
      <c r="J224" s="45">
        <v>0</v>
      </c>
      <c r="K224" s="45" t="s">
        <v>688</v>
      </c>
    </row>
    <row r="225" spans="1:11">
      <c r="A225" s="2">
        <v>43904</v>
      </c>
      <c r="C225" s="45" t="s">
        <v>69</v>
      </c>
      <c r="E225" s="45">
        <v>68</v>
      </c>
      <c r="F225" s="45">
        <v>10</v>
      </c>
      <c r="K225" s="45" t="s">
        <v>325</v>
      </c>
    </row>
    <row r="226" spans="1:11">
      <c r="A226" s="2">
        <v>43904</v>
      </c>
      <c r="C226" s="45" t="s">
        <v>71</v>
      </c>
      <c r="E226" s="45">
        <v>5</v>
      </c>
      <c r="F226" s="45">
        <v>6</v>
      </c>
      <c r="K226" s="45" t="s">
        <v>310</v>
      </c>
    </row>
    <row r="227" spans="1:11">
      <c r="A227" s="2">
        <v>43904</v>
      </c>
      <c r="C227" s="45" t="s">
        <v>79</v>
      </c>
      <c r="E227" s="45">
        <v>1</v>
      </c>
      <c r="J227" s="45">
        <v>0</v>
      </c>
      <c r="K227" s="45" t="s">
        <v>703</v>
      </c>
    </row>
    <row r="228" spans="1:11">
      <c r="A228" s="2">
        <v>43904</v>
      </c>
      <c r="C228" s="45" t="s">
        <v>89</v>
      </c>
      <c r="E228" s="45">
        <v>265</v>
      </c>
      <c r="F228" s="45">
        <v>77</v>
      </c>
      <c r="G228" s="45">
        <v>13</v>
      </c>
      <c r="H228" s="45">
        <v>0</v>
      </c>
      <c r="I228" s="45">
        <v>61</v>
      </c>
      <c r="J228" s="45">
        <v>3</v>
      </c>
      <c r="K228" s="45" t="s">
        <v>507</v>
      </c>
    </row>
    <row r="229" spans="1:11">
      <c r="A229" s="2">
        <v>43904</v>
      </c>
      <c r="C229" s="45" t="s">
        <v>94</v>
      </c>
      <c r="E229" s="45">
        <v>477</v>
      </c>
      <c r="F229" s="45">
        <v>75</v>
      </c>
      <c r="G229" s="45">
        <v>10</v>
      </c>
      <c r="J229" s="45">
        <v>5</v>
      </c>
      <c r="K229" s="45" t="s">
        <v>96</v>
      </c>
    </row>
    <row r="230" spans="1:11">
      <c r="A230" s="2">
        <v>43904</v>
      </c>
      <c r="C230" s="45" t="s">
        <v>97</v>
      </c>
      <c r="E230" s="45">
        <v>98</v>
      </c>
      <c r="F230" s="45">
        <v>33</v>
      </c>
      <c r="G230" s="45">
        <v>1</v>
      </c>
      <c r="H230" s="45">
        <v>1</v>
      </c>
      <c r="J230" s="45">
        <v>1</v>
      </c>
      <c r="K230" s="45" t="s">
        <v>620</v>
      </c>
    </row>
    <row r="231" spans="1:11">
      <c r="A231" s="2">
        <v>43904</v>
      </c>
      <c r="B231" s="45">
        <v>0.12708333333333333</v>
      </c>
      <c r="C231" s="45" t="s">
        <v>84</v>
      </c>
      <c r="D231" s="45">
        <v>10</v>
      </c>
      <c r="E231" s="45">
        <v>12</v>
      </c>
      <c r="K231" s="45" t="s">
        <v>334</v>
      </c>
    </row>
    <row r="232" spans="1:11">
      <c r="A232" s="2">
        <v>43904</v>
      </c>
      <c r="B232" s="45">
        <v>0.33333333333333331</v>
      </c>
      <c r="C232" s="45" t="s">
        <v>99</v>
      </c>
      <c r="E232" s="45">
        <v>13</v>
      </c>
      <c r="F232" s="45">
        <v>0</v>
      </c>
      <c r="G232" s="45">
        <v>0</v>
      </c>
      <c r="I232" s="45">
        <v>0</v>
      </c>
      <c r="J232" s="45">
        <v>0</v>
      </c>
      <c r="K232" s="45" t="s">
        <v>328</v>
      </c>
    </row>
    <row r="233" spans="1:11">
      <c r="A233" s="2">
        <v>43904</v>
      </c>
      <c r="B233" s="45">
        <v>0.47708333333333336</v>
      </c>
      <c r="C233" s="45" t="s">
        <v>50</v>
      </c>
      <c r="E233" s="45">
        <v>100</v>
      </c>
      <c r="F233" s="45">
        <v>13</v>
      </c>
      <c r="I233" s="45">
        <v>4</v>
      </c>
      <c r="J233" s="45">
        <v>1</v>
      </c>
      <c r="K233" s="45" t="s">
        <v>175</v>
      </c>
    </row>
    <row r="234" spans="1:11">
      <c r="A234" s="2">
        <v>43904</v>
      </c>
      <c r="B234" s="45">
        <v>0.60416666666666663</v>
      </c>
      <c r="C234" s="45" t="s">
        <v>101</v>
      </c>
      <c r="E234" s="45">
        <v>219</v>
      </c>
      <c r="K234" s="45" t="s">
        <v>103</v>
      </c>
    </row>
    <row r="235" spans="1:11">
      <c r="A235" s="2">
        <v>43905</v>
      </c>
      <c r="C235" s="45" t="s">
        <v>47</v>
      </c>
      <c r="E235" s="45">
        <v>54</v>
      </c>
      <c r="F235" s="45">
        <v>12</v>
      </c>
      <c r="G235" s="45">
        <v>2</v>
      </c>
      <c r="I235" s="45">
        <v>5</v>
      </c>
      <c r="J235" s="45">
        <v>2</v>
      </c>
      <c r="K235" s="45" t="s">
        <v>177</v>
      </c>
    </row>
    <row r="236" spans="1:11">
      <c r="A236" s="2">
        <v>43905</v>
      </c>
      <c r="C236" s="45" t="s">
        <v>53</v>
      </c>
      <c r="E236" s="45">
        <v>7</v>
      </c>
      <c r="I236" s="45">
        <v>1</v>
      </c>
      <c r="K236" s="45" t="s">
        <v>178</v>
      </c>
    </row>
    <row r="237" spans="1:11">
      <c r="A237" s="2">
        <v>43905</v>
      </c>
      <c r="C237" s="45" t="s">
        <v>56</v>
      </c>
      <c r="E237" s="45">
        <v>40</v>
      </c>
      <c r="J237" s="45">
        <v>0</v>
      </c>
      <c r="K237" s="45" t="s">
        <v>736</v>
      </c>
    </row>
    <row r="238" spans="1:11">
      <c r="A238" s="2">
        <v>43905</v>
      </c>
      <c r="C238" s="45" t="s">
        <v>58</v>
      </c>
      <c r="D238" s="45">
        <v>3712</v>
      </c>
      <c r="E238" s="45">
        <v>403</v>
      </c>
      <c r="F238" s="45">
        <v>46</v>
      </c>
      <c r="G238" s="45">
        <v>12</v>
      </c>
      <c r="H238" s="45">
        <v>8</v>
      </c>
      <c r="J238" s="45">
        <v>4</v>
      </c>
      <c r="K238" s="45" t="s">
        <v>369</v>
      </c>
    </row>
    <row r="239" spans="1:11">
      <c r="A239" s="2">
        <v>43905</v>
      </c>
      <c r="C239" s="45" t="s">
        <v>60</v>
      </c>
      <c r="E239" s="45">
        <v>10</v>
      </c>
      <c r="F239" s="45">
        <v>0</v>
      </c>
      <c r="J239" s="45">
        <v>0</v>
      </c>
      <c r="K239" s="45" t="s">
        <v>609</v>
      </c>
    </row>
    <row r="240" spans="1:11">
      <c r="A240" s="2">
        <v>43905</v>
      </c>
      <c r="C240" s="45" t="s">
        <v>64</v>
      </c>
      <c r="E240" s="45">
        <v>19</v>
      </c>
      <c r="F240" s="45">
        <v>9</v>
      </c>
      <c r="G240" s="45">
        <v>0</v>
      </c>
      <c r="J240" s="45">
        <v>0</v>
      </c>
      <c r="K240" s="45" t="s">
        <v>688</v>
      </c>
    </row>
    <row r="241" spans="1:11">
      <c r="A241" s="2">
        <v>43905</v>
      </c>
      <c r="C241" s="45" t="s">
        <v>69</v>
      </c>
      <c r="E241" s="45">
        <v>74</v>
      </c>
      <c r="F241" s="45">
        <v>9</v>
      </c>
      <c r="K241" s="45" t="s">
        <v>325</v>
      </c>
    </row>
    <row r="242" spans="1:11">
      <c r="A242" s="2">
        <v>43905</v>
      </c>
      <c r="C242" s="45" t="s">
        <v>71</v>
      </c>
      <c r="E242" s="45">
        <v>8</v>
      </c>
      <c r="F242" s="45">
        <v>6</v>
      </c>
      <c r="K242" s="45" t="s">
        <v>310</v>
      </c>
    </row>
    <row r="243" spans="1:11">
      <c r="A243" s="2">
        <v>43905</v>
      </c>
      <c r="C243" s="45" t="s">
        <v>79</v>
      </c>
      <c r="E243" s="45">
        <v>1</v>
      </c>
      <c r="J243" s="45">
        <v>0</v>
      </c>
      <c r="K243" s="45" t="s">
        <v>703</v>
      </c>
    </row>
    <row r="244" spans="1:11">
      <c r="A244" s="2">
        <v>43905</v>
      </c>
      <c r="C244" s="45" t="s">
        <v>84</v>
      </c>
      <c r="E244" s="45">
        <v>13</v>
      </c>
      <c r="K244" s="45" t="s">
        <v>179</v>
      </c>
    </row>
    <row r="245" spans="1:11">
      <c r="A245" s="2">
        <v>43905</v>
      </c>
      <c r="C245" s="45" t="s">
        <v>89</v>
      </c>
      <c r="E245" s="45">
        <v>293</v>
      </c>
      <c r="F245" s="45">
        <v>92</v>
      </c>
      <c r="G245" s="45">
        <v>16</v>
      </c>
      <c r="H245" s="45">
        <v>0</v>
      </c>
      <c r="I245" s="45">
        <v>61</v>
      </c>
      <c r="J245" s="45">
        <v>6</v>
      </c>
      <c r="K245" s="45" t="s">
        <v>507</v>
      </c>
    </row>
    <row r="246" spans="1:11">
      <c r="A246" s="2">
        <v>43905</v>
      </c>
      <c r="C246" s="45" t="s">
        <v>94</v>
      </c>
      <c r="E246" s="45">
        <v>567</v>
      </c>
      <c r="F246" s="45">
        <v>90</v>
      </c>
      <c r="G246" s="45">
        <v>10</v>
      </c>
      <c r="J246" s="45">
        <v>6</v>
      </c>
      <c r="K246" s="45" t="s">
        <v>96</v>
      </c>
    </row>
    <row r="247" spans="1:11">
      <c r="A247" s="2">
        <v>43905</v>
      </c>
      <c r="C247" s="45" t="s">
        <v>97</v>
      </c>
      <c r="E247" s="45">
        <v>115</v>
      </c>
      <c r="F247" s="45">
        <v>35</v>
      </c>
      <c r="G247" s="45">
        <v>1</v>
      </c>
      <c r="H247" s="45">
        <v>1</v>
      </c>
      <c r="J247" s="45">
        <v>2</v>
      </c>
      <c r="K247" s="45" t="s">
        <v>620</v>
      </c>
    </row>
    <row r="248" spans="1:11">
      <c r="A248" s="2">
        <v>43905</v>
      </c>
      <c r="B248" s="45">
        <v>0.33333333333333331</v>
      </c>
      <c r="C248" s="45" t="s">
        <v>99</v>
      </c>
      <c r="E248" s="45">
        <v>13</v>
      </c>
      <c r="F248" s="45">
        <v>0</v>
      </c>
      <c r="G248" s="45">
        <v>0</v>
      </c>
      <c r="I248" s="45">
        <v>0</v>
      </c>
      <c r="J248" s="45">
        <v>0</v>
      </c>
      <c r="K248" s="45" t="s">
        <v>328</v>
      </c>
    </row>
    <row r="249" spans="1:11">
      <c r="A249" s="2">
        <v>43905</v>
      </c>
      <c r="B249" s="45">
        <v>0.60416666666666663</v>
      </c>
      <c r="C249" s="45" t="s">
        <v>101</v>
      </c>
      <c r="E249" s="45">
        <v>251</v>
      </c>
      <c r="J249" s="45">
        <v>1</v>
      </c>
      <c r="K249" s="45" t="s">
        <v>103</v>
      </c>
    </row>
    <row r="250" spans="1:11">
      <c r="A250" s="2">
        <v>43906</v>
      </c>
      <c r="C250" s="45" t="s">
        <v>38</v>
      </c>
      <c r="E250" s="45">
        <v>4</v>
      </c>
      <c r="J250" s="45">
        <v>0</v>
      </c>
      <c r="K250" s="45" t="s">
        <v>181</v>
      </c>
    </row>
    <row r="251" spans="1:11">
      <c r="A251" s="2">
        <v>43906</v>
      </c>
      <c r="C251" s="45" t="s">
        <v>44</v>
      </c>
      <c r="E251" s="45">
        <v>123</v>
      </c>
      <c r="J251" s="45">
        <v>1</v>
      </c>
      <c r="K251" s="45" t="s">
        <v>46</v>
      </c>
    </row>
    <row r="252" spans="1:11">
      <c r="A252" s="2">
        <v>43906</v>
      </c>
      <c r="C252" s="45" t="s">
        <v>47</v>
      </c>
      <c r="E252" s="45">
        <v>76</v>
      </c>
      <c r="F252" s="45">
        <v>17</v>
      </c>
      <c r="G252" s="45">
        <v>4</v>
      </c>
      <c r="I252" s="45">
        <v>5</v>
      </c>
      <c r="J252" s="45">
        <v>2</v>
      </c>
      <c r="K252" s="45" t="s">
        <v>182</v>
      </c>
    </row>
    <row r="253" spans="1:11">
      <c r="A253" s="2">
        <v>43906</v>
      </c>
      <c r="C253" s="45" t="s">
        <v>56</v>
      </c>
      <c r="E253" s="45">
        <v>45</v>
      </c>
      <c r="J253" s="45">
        <v>0</v>
      </c>
      <c r="K253" s="45" t="s">
        <v>736</v>
      </c>
    </row>
    <row r="254" spans="1:11">
      <c r="A254" s="2">
        <v>43906</v>
      </c>
      <c r="C254" s="45" t="s">
        <v>58</v>
      </c>
      <c r="D254" s="45">
        <v>4164</v>
      </c>
      <c r="E254" s="45">
        <v>497</v>
      </c>
      <c r="F254" s="45">
        <v>66</v>
      </c>
      <c r="G254" s="45">
        <v>10</v>
      </c>
      <c r="H254" s="45">
        <v>9</v>
      </c>
      <c r="J254" s="45">
        <v>4</v>
      </c>
      <c r="K254" s="45" t="s">
        <v>369</v>
      </c>
    </row>
    <row r="255" spans="1:11">
      <c r="A255" s="2">
        <v>43906</v>
      </c>
      <c r="C255" s="45" t="s">
        <v>60</v>
      </c>
      <c r="E255" s="45">
        <v>10</v>
      </c>
      <c r="F255" s="45">
        <v>0</v>
      </c>
      <c r="J255" s="45">
        <v>0</v>
      </c>
      <c r="K255" s="45" t="s">
        <v>609</v>
      </c>
    </row>
    <row r="256" spans="1:11">
      <c r="A256" s="2">
        <v>43906</v>
      </c>
      <c r="C256" s="45" t="s">
        <v>64</v>
      </c>
      <c r="E256" s="45">
        <v>25</v>
      </c>
      <c r="F256" s="45">
        <v>9</v>
      </c>
      <c r="G256" s="45">
        <v>0</v>
      </c>
      <c r="J256" s="45">
        <v>0</v>
      </c>
      <c r="K256" s="45" t="s">
        <v>688</v>
      </c>
    </row>
    <row r="257" spans="1:11">
      <c r="A257" s="2">
        <v>43906</v>
      </c>
      <c r="C257" s="45" t="s">
        <v>69</v>
      </c>
      <c r="E257" s="45">
        <v>93</v>
      </c>
      <c r="F257" s="45">
        <v>13</v>
      </c>
      <c r="K257" s="45" t="s">
        <v>325</v>
      </c>
    </row>
    <row r="258" spans="1:11">
      <c r="A258" s="2">
        <v>43906</v>
      </c>
      <c r="C258" s="45" t="s">
        <v>71</v>
      </c>
      <c r="E258" s="45">
        <v>10</v>
      </c>
      <c r="F258" s="45">
        <v>7</v>
      </c>
      <c r="K258" s="45" t="s">
        <v>310</v>
      </c>
    </row>
    <row r="259" spans="1:11">
      <c r="A259" s="2">
        <v>43906</v>
      </c>
      <c r="C259" s="45" t="s">
        <v>79</v>
      </c>
      <c r="E259" s="45">
        <v>2</v>
      </c>
      <c r="J259" s="45">
        <v>0</v>
      </c>
      <c r="K259" s="45" t="s">
        <v>703</v>
      </c>
    </row>
    <row r="260" spans="1:11">
      <c r="A260" s="2">
        <v>43906</v>
      </c>
      <c r="C260" s="45" t="s">
        <v>86</v>
      </c>
      <c r="D260" s="45">
        <v>246</v>
      </c>
      <c r="E260" s="45">
        <v>17</v>
      </c>
      <c r="K260" s="45" t="s">
        <v>36</v>
      </c>
    </row>
    <row r="261" spans="1:11">
      <c r="A261" s="2">
        <v>43906</v>
      </c>
      <c r="C261" s="45" t="s">
        <v>89</v>
      </c>
      <c r="E261" s="45">
        <v>368</v>
      </c>
      <c r="F261" s="45">
        <v>112</v>
      </c>
      <c r="G261" s="45">
        <v>18</v>
      </c>
      <c r="H261" s="45">
        <v>0</v>
      </c>
      <c r="I261" s="45">
        <v>61</v>
      </c>
      <c r="J261" s="45">
        <v>8</v>
      </c>
      <c r="K261" s="45" t="s">
        <v>507</v>
      </c>
    </row>
    <row r="262" spans="1:11">
      <c r="A262" s="2">
        <v>43906</v>
      </c>
      <c r="C262" s="45" t="s">
        <v>94</v>
      </c>
      <c r="E262" s="45">
        <v>797</v>
      </c>
      <c r="F262" s="45">
        <v>126</v>
      </c>
      <c r="G262" s="45">
        <v>20</v>
      </c>
      <c r="J262" s="45">
        <v>8</v>
      </c>
      <c r="K262" s="45" t="s">
        <v>96</v>
      </c>
    </row>
    <row r="263" spans="1:11">
      <c r="A263" s="2">
        <v>43906</v>
      </c>
      <c r="C263" s="45" t="s">
        <v>97</v>
      </c>
      <c r="E263" s="45">
        <v>172</v>
      </c>
      <c r="F263" s="45">
        <v>41</v>
      </c>
      <c r="G263" s="45">
        <v>2</v>
      </c>
      <c r="H263" s="45">
        <v>1</v>
      </c>
      <c r="J263" s="45">
        <v>3</v>
      </c>
      <c r="K263" s="45" t="s">
        <v>620</v>
      </c>
    </row>
    <row r="264" spans="1:11">
      <c r="A264" s="2">
        <v>43906</v>
      </c>
      <c r="B264" s="45">
        <v>0.33333333333333331</v>
      </c>
      <c r="C264" s="45" t="s">
        <v>99</v>
      </c>
      <c r="E264" s="45">
        <v>20</v>
      </c>
      <c r="F264" s="45">
        <v>0</v>
      </c>
      <c r="G264" s="45">
        <v>0</v>
      </c>
      <c r="I264" s="45">
        <v>0</v>
      </c>
      <c r="J264" s="45">
        <v>0</v>
      </c>
      <c r="K264" s="45" t="s">
        <v>328</v>
      </c>
    </row>
    <row r="265" spans="1:11">
      <c r="A265" s="2">
        <v>43906</v>
      </c>
      <c r="B265" s="45">
        <v>0.5</v>
      </c>
      <c r="C265" s="45" t="s">
        <v>50</v>
      </c>
      <c r="E265" s="45">
        <v>143</v>
      </c>
      <c r="F265" s="45">
        <v>13</v>
      </c>
      <c r="I265" s="45">
        <v>4</v>
      </c>
      <c r="J265" s="45">
        <v>4</v>
      </c>
      <c r="K265" s="45" t="s">
        <v>183</v>
      </c>
    </row>
    <row r="266" spans="1:11">
      <c r="A266" s="2">
        <v>43906</v>
      </c>
      <c r="B266" s="45">
        <v>0.60416666666666663</v>
      </c>
      <c r="C266" s="45" t="s">
        <v>101</v>
      </c>
      <c r="E266" s="45">
        <v>327</v>
      </c>
      <c r="J266" s="45">
        <v>1</v>
      </c>
      <c r="K266" s="45" t="s">
        <v>103</v>
      </c>
    </row>
    <row r="267" spans="1:11">
      <c r="A267" s="2">
        <v>43906</v>
      </c>
      <c r="B267" s="45">
        <v>0.625</v>
      </c>
      <c r="C267" s="45" t="s">
        <v>34</v>
      </c>
      <c r="E267" s="45">
        <v>52</v>
      </c>
      <c r="F267" s="45">
        <v>2</v>
      </c>
      <c r="I267" s="45">
        <v>4</v>
      </c>
      <c r="K267" s="45" t="s">
        <v>180</v>
      </c>
    </row>
    <row r="268" spans="1:11">
      <c r="A268" s="2">
        <v>43907</v>
      </c>
      <c r="C268" s="45" t="s">
        <v>38</v>
      </c>
      <c r="E268" s="45">
        <v>5</v>
      </c>
      <c r="J268" s="45">
        <v>0</v>
      </c>
      <c r="K268" s="45" t="s">
        <v>181</v>
      </c>
    </row>
    <row r="269" spans="1:11">
      <c r="A269" s="2">
        <v>43907</v>
      </c>
      <c r="C269" s="45" t="s">
        <v>47</v>
      </c>
      <c r="E269" s="45">
        <v>89</v>
      </c>
      <c r="F269" s="45">
        <v>26</v>
      </c>
      <c r="G269" s="45">
        <v>5</v>
      </c>
      <c r="I269" s="45">
        <v>13</v>
      </c>
      <c r="J269" s="45">
        <v>2</v>
      </c>
      <c r="K269" s="45" t="s">
        <v>185</v>
      </c>
    </row>
    <row r="270" spans="1:11">
      <c r="A270" s="2">
        <v>43907</v>
      </c>
      <c r="C270" s="45" t="s">
        <v>53</v>
      </c>
      <c r="E270" s="45">
        <v>19</v>
      </c>
      <c r="I270" s="45">
        <v>1</v>
      </c>
      <c r="K270" s="45" t="s">
        <v>187</v>
      </c>
    </row>
    <row r="271" spans="1:11">
      <c r="A271" s="2">
        <v>43907</v>
      </c>
      <c r="C271" s="45" t="s">
        <v>56</v>
      </c>
      <c r="E271" s="45">
        <v>59</v>
      </c>
      <c r="J271" s="45">
        <v>0</v>
      </c>
      <c r="K271" s="45" t="s">
        <v>736</v>
      </c>
    </row>
    <row r="272" spans="1:11">
      <c r="A272" s="2">
        <v>43907</v>
      </c>
      <c r="C272" s="45" t="s">
        <v>58</v>
      </c>
      <c r="D272" s="45">
        <v>4773</v>
      </c>
      <c r="E272" s="45">
        <v>633</v>
      </c>
      <c r="F272" s="45">
        <v>75</v>
      </c>
      <c r="G272" s="45">
        <v>19</v>
      </c>
      <c r="H272" s="45">
        <v>17</v>
      </c>
      <c r="J272" s="45">
        <v>5</v>
      </c>
      <c r="K272" s="45" t="s">
        <v>369</v>
      </c>
    </row>
    <row r="273" spans="1:11">
      <c r="A273" s="2">
        <v>43907</v>
      </c>
      <c r="C273" s="45" t="s">
        <v>60</v>
      </c>
      <c r="E273" s="45">
        <v>12</v>
      </c>
      <c r="F273" s="45">
        <v>0</v>
      </c>
      <c r="J273" s="45">
        <v>0</v>
      </c>
      <c r="K273" s="45" t="s">
        <v>609</v>
      </c>
    </row>
    <row r="274" spans="1:11">
      <c r="A274" s="2">
        <v>43907</v>
      </c>
      <c r="C274" s="45" t="s">
        <v>62</v>
      </c>
      <c r="E274" s="45">
        <v>101</v>
      </c>
      <c r="F274" s="45">
        <v>9</v>
      </c>
      <c r="J274" s="45">
        <v>1</v>
      </c>
      <c r="K274" s="45" t="s">
        <v>511</v>
      </c>
    </row>
    <row r="275" spans="1:11">
      <c r="A275" s="2">
        <v>43907</v>
      </c>
      <c r="C275" s="45" t="s">
        <v>64</v>
      </c>
      <c r="E275" s="45">
        <v>29</v>
      </c>
      <c r="F275" s="45">
        <v>11</v>
      </c>
      <c r="G275" s="45">
        <v>0</v>
      </c>
      <c r="J275" s="45">
        <v>0</v>
      </c>
      <c r="K275" s="45" t="s">
        <v>688</v>
      </c>
    </row>
    <row r="276" spans="1:11">
      <c r="A276" s="2">
        <v>43907</v>
      </c>
      <c r="C276" s="45" t="s">
        <v>69</v>
      </c>
      <c r="E276" s="45">
        <v>114</v>
      </c>
      <c r="F276" s="45">
        <v>16</v>
      </c>
      <c r="J276" s="45">
        <v>1</v>
      </c>
      <c r="K276" s="45" t="s">
        <v>325</v>
      </c>
    </row>
    <row r="277" spans="1:11">
      <c r="A277" s="2">
        <v>43907</v>
      </c>
      <c r="C277" s="45" t="s">
        <v>71</v>
      </c>
      <c r="E277" s="45">
        <v>12</v>
      </c>
      <c r="F277" s="45">
        <v>6</v>
      </c>
      <c r="K277" s="45" t="s">
        <v>310</v>
      </c>
    </row>
    <row r="278" spans="1:11">
      <c r="A278" s="2">
        <v>43907</v>
      </c>
      <c r="C278" s="45" t="s">
        <v>76</v>
      </c>
      <c r="E278" s="45">
        <v>47</v>
      </c>
      <c r="K278" s="45" t="s">
        <v>78</v>
      </c>
    </row>
    <row r="279" spans="1:11">
      <c r="A279" s="2">
        <v>43907</v>
      </c>
      <c r="C279" s="45" t="s">
        <v>79</v>
      </c>
      <c r="E279" s="45">
        <v>2</v>
      </c>
      <c r="J279" s="45">
        <v>0</v>
      </c>
      <c r="K279" s="45" t="s">
        <v>703</v>
      </c>
    </row>
    <row r="280" spans="1:11">
      <c r="A280" s="2">
        <v>43907</v>
      </c>
      <c r="C280" s="45" t="s">
        <v>86</v>
      </c>
      <c r="D280" s="45">
        <v>276</v>
      </c>
      <c r="E280" s="45">
        <v>23</v>
      </c>
      <c r="K280" s="45" t="s">
        <v>36</v>
      </c>
    </row>
    <row r="281" spans="1:11">
      <c r="A281" s="2">
        <v>43907</v>
      </c>
      <c r="C281" s="45" t="s">
        <v>89</v>
      </c>
      <c r="E281" s="45">
        <v>426</v>
      </c>
      <c r="F281" s="45">
        <v>137</v>
      </c>
      <c r="G281" s="45">
        <v>23</v>
      </c>
      <c r="H281" s="45">
        <v>0</v>
      </c>
      <c r="I281" s="45">
        <v>62</v>
      </c>
      <c r="J281" s="45">
        <v>10</v>
      </c>
      <c r="K281" s="45" t="s">
        <v>507</v>
      </c>
    </row>
    <row r="282" spans="1:11">
      <c r="A282" s="2">
        <v>43907</v>
      </c>
      <c r="C282" s="45" t="s">
        <v>94</v>
      </c>
      <c r="E282" s="45">
        <v>1040</v>
      </c>
      <c r="F282" s="45">
        <v>140</v>
      </c>
      <c r="G282" s="45">
        <v>24</v>
      </c>
      <c r="J282" s="45">
        <v>10</v>
      </c>
      <c r="K282" s="45" t="s">
        <v>96</v>
      </c>
    </row>
    <row r="283" spans="1:11">
      <c r="A283" s="2">
        <v>43907</v>
      </c>
      <c r="C283" s="45" t="s">
        <v>97</v>
      </c>
      <c r="E283" s="45">
        <v>225</v>
      </c>
      <c r="F283" s="45">
        <v>46</v>
      </c>
      <c r="G283" s="45">
        <v>2</v>
      </c>
      <c r="H283" s="45">
        <v>2</v>
      </c>
      <c r="J283" s="45">
        <v>3</v>
      </c>
      <c r="K283" s="45" t="s">
        <v>620</v>
      </c>
    </row>
    <row r="284" spans="1:11">
      <c r="A284" s="2">
        <v>43907</v>
      </c>
      <c r="B284" s="45">
        <v>0.33333333333333331</v>
      </c>
      <c r="C284" s="45" t="s">
        <v>99</v>
      </c>
      <c r="E284" s="45">
        <v>29</v>
      </c>
      <c r="F284" s="45">
        <v>0</v>
      </c>
      <c r="G284" s="45">
        <v>0</v>
      </c>
      <c r="I284" s="45">
        <v>1</v>
      </c>
      <c r="J284" s="45">
        <v>0</v>
      </c>
      <c r="K284" s="45" t="s">
        <v>328</v>
      </c>
    </row>
    <row r="285" spans="1:11">
      <c r="A285" s="2">
        <v>43907</v>
      </c>
      <c r="B285" s="45">
        <v>0.5</v>
      </c>
      <c r="C285" s="45" t="s">
        <v>50</v>
      </c>
      <c r="E285" s="45">
        <v>164</v>
      </c>
      <c r="F285" s="45">
        <v>30</v>
      </c>
      <c r="I285" s="45">
        <v>25</v>
      </c>
      <c r="J285" s="45">
        <v>4</v>
      </c>
      <c r="K285" s="45" t="s">
        <v>186</v>
      </c>
    </row>
    <row r="286" spans="1:11">
      <c r="A286" s="2">
        <v>43907</v>
      </c>
      <c r="B286" s="45">
        <v>0.60416666666666663</v>
      </c>
      <c r="C286" s="45" t="s">
        <v>101</v>
      </c>
      <c r="E286" s="45">
        <v>430</v>
      </c>
      <c r="J286" s="45">
        <v>1</v>
      </c>
      <c r="K286" s="45" t="s">
        <v>103</v>
      </c>
    </row>
    <row r="287" spans="1:11">
      <c r="A287" s="2">
        <v>43907</v>
      </c>
      <c r="B287" s="45">
        <v>0.66666666666666663</v>
      </c>
      <c r="C287" s="45" t="s">
        <v>34</v>
      </c>
      <c r="E287" s="45">
        <v>67</v>
      </c>
      <c r="F287" s="45">
        <v>2</v>
      </c>
      <c r="I287" s="45">
        <v>4</v>
      </c>
      <c r="K287" s="45" t="s">
        <v>184</v>
      </c>
    </row>
    <row r="288" spans="1:11">
      <c r="A288" s="2">
        <v>43908</v>
      </c>
      <c r="C288" s="45" t="s">
        <v>41</v>
      </c>
      <c r="E288" s="45">
        <v>11</v>
      </c>
      <c r="F288" s="45">
        <v>3</v>
      </c>
      <c r="K288" s="45" t="s">
        <v>189</v>
      </c>
    </row>
    <row r="289" spans="1:11">
      <c r="A289" s="2">
        <v>43908</v>
      </c>
      <c r="C289" s="45" t="s">
        <v>44</v>
      </c>
      <c r="E289" s="45">
        <v>193</v>
      </c>
      <c r="J289" s="45">
        <v>1</v>
      </c>
      <c r="K289" s="45" t="s">
        <v>46</v>
      </c>
    </row>
    <row r="290" spans="1:11">
      <c r="A290" s="2">
        <v>43908</v>
      </c>
      <c r="C290" s="45" t="s">
        <v>47</v>
      </c>
      <c r="E290" s="45">
        <v>116</v>
      </c>
      <c r="F290" s="45">
        <v>27</v>
      </c>
      <c r="G290" s="45">
        <v>2</v>
      </c>
      <c r="I290" s="45">
        <v>16</v>
      </c>
      <c r="J290" s="45">
        <v>2</v>
      </c>
      <c r="K290" s="45" t="s">
        <v>190</v>
      </c>
    </row>
    <row r="291" spans="1:11">
      <c r="A291" s="2">
        <v>43908</v>
      </c>
      <c r="C291" s="45" t="s">
        <v>53</v>
      </c>
      <c r="E291" s="45">
        <v>28</v>
      </c>
      <c r="I291" s="45">
        <v>1</v>
      </c>
      <c r="K291" s="45" t="s">
        <v>192</v>
      </c>
    </row>
    <row r="292" spans="1:11">
      <c r="A292" s="2">
        <v>43908</v>
      </c>
      <c r="C292" s="45" t="s">
        <v>56</v>
      </c>
      <c r="E292" s="45">
        <v>86</v>
      </c>
      <c r="F292" s="45">
        <v>11</v>
      </c>
      <c r="G292" s="45">
        <v>5</v>
      </c>
      <c r="J292" s="45">
        <v>0</v>
      </c>
      <c r="K292" s="45" t="s">
        <v>736</v>
      </c>
    </row>
    <row r="293" spans="1:11">
      <c r="A293" s="2">
        <v>43908</v>
      </c>
      <c r="C293" s="45" t="s">
        <v>58</v>
      </c>
      <c r="D293" s="45">
        <v>5548</v>
      </c>
      <c r="E293" s="45">
        <v>778</v>
      </c>
      <c r="F293" s="45">
        <v>78</v>
      </c>
      <c r="G293" s="45">
        <v>20</v>
      </c>
      <c r="H293" s="45">
        <v>17</v>
      </c>
      <c r="J293" s="45">
        <v>6</v>
      </c>
      <c r="K293" s="45" t="s">
        <v>369</v>
      </c>
    </row>
    <row r="294" spans="1:11">
      <c r="A294" s="2">
        <v>43908</v>
      </c>
      <c r="C294" s="45" t="s">
        <v>60</v>
      </c>
      <c r="E294" s="45">
        <v>14</v>
      </c>
      <c r="F294" s="45">
        <v>0</v>
      </c>
      <c r="J294" s="45">
        <v>0</v>
      </c>
      <c r="K294" s="45" t="s">
        <v>609</v>
      </c>
    </row>
    <row r="295" spans="1:11">
      <c r="A295" s="2">
        <v>43908</v>
      </c>
      <c r="C295" s="45" t="s">
        <v>62</v>
      </c>
      <c r="E295" s="45">
        <v>128</v>
      </c>
      <c r="F295" s="45">
        <v>13</v>
      </c>
      <c r="J295" s="45">
        <v>1</v>
      </c>
      <c r="K295" s="45" t="s">
        <v>511</v>
      </c>
    </row>
    <row r="296" spans="1:11">
      <c r="A296" s="2">
        <v>43908</v>
      </c>
      <c r="C296" s="45" t="s">
        <v>64</v>
      </c>
      <c r="E296" s="45">
        <v>32</v>
      </c>
      <c r="F296" s="45">
        <v>11</v>
      </c>
      <c r="G296" s="45">
        <v>0</v>
      </c>
      <c r="J296" s="45">
        <v>0</v>
      </c>
      <c r="K296" s="45" t="s">
        <v>688</v>
      </c>
    </row>
    <row r="297" spans="1:11">
      <c r="A297" s="2">
        <v>43908</v>
      </c>
      <c r="C297" s="45" t="s">
        <v>69</v>
      </c>
      <c r="E297" s="45">
        <v>146</v>
      </c>
      <c r="F297" s="45">
        <v>18</v>
      </c>
      <c r="J297" s="45">
        <v>2</v>
      </c>
      <c r="K297" s="45" t="s">
        <v>325</v>
      </c>
    </row>
    <row r="298" spans="1:11">
      <c r="A298" s="2">
        <v>43908</v>
      </c>
      <c r="C298" s="45" t="s">
        <v>71</v>
      </c>
      <c r="E298" s="45">
        <v>18</v>
      </c>
      <c r="F298" s="45">
        <v>6</v>
      </c>
      <c r="K298" s="45" t="s">
        <v>310</v>
      </c>
    </row>
    <row r="299" spans="1:11">
      <c r="A299" s="2">
        <v>43908</v>
      </c>
      <c r="C299" s="45" t="s">
        <v>76</v>
      </c>
      <c r="E299" s="45">
        <v>61</v>
      </c>
      <c r="K299" s="45" t="s">
        <v>78</v>
      </c>
    </row>
    <row r="300" spans="1:11">
      <c r="A300" s="2">
        <v>43908</v>
      </c>
      <c r="C300" s="45" t="s">
        <v>79</v>
      </c>
      <c r="E300" s="45">
        <v>8</v>
      </c>
      <c r="J300" s="45">
        <v>0</v>
      </c>
      <c r="K300" s="45" t="s">
        <v>703</v>
      </c>
    </row>
    <row r="301" spans="1:11">
      <c r="A301" s="2">
        <v>43908</v>
      </c>
      <c r="C301" s="45" t="s">
        <v>81</v>
      </c>
      <c r="E301" s="45">
        <v>43</v>
      </c>
      <c r="K301" s="45" t="s">
        <v>194</v>
      </c>
    </row>
    <row r="302" spans="1:11">
      <c r="A302" s="2">
        <v>43908</v>
      </c>
      <c r="C302" s="45" t="s">
        <v>86</v>
      </c>
      <c r="E302" s="45">
        <v>32</v>
      </c>
      <c r="K302" s="45" t="s">
        <v>88</v>
      </c>
    </row>
    <row r="303" spans="1:11">
      <c r="A303" s="2">
        <v>43908</v>
      </c>
      <c r="C303" s="45" t="s">
        <v>89</v>
      </c>
      <c r="E303" s="45">
        <v>511</v>
      </c>
      <c r="F303" s="45">
        <v>163</v>
      </c>
      <c r="G303" s="45">
        <v>29</v>
      </c>
      <c r="H303" s="45">
        <v>28</v>
      </c>
      <c r="I303" s="45">
        <v>62</v>
      </c>
      <c r="J303" s="45">
        <v>12</v>
      </c>
      <c r="K303" s="45" t="s">
        <v>507</v>
      </c>
    </row>
    <row r="304" spans="1:11">
      <c r="A304" s="2">
        <v>43908</v>
      </c>
      <c r="C304" s="45" t="s">
        <v>91</v>
      </c>
      <c r="D304" s="45">
        <v>85</v>
      </c>
      <c r="E304" s="45">
        <v>5</v>
      </c>
      <c r="K304" s="45" t="s">
        <v>195</v>
      </c>
    </row>
    <row r="305" spans="1:11">
      <c r="A305" s="2">
        <v>43908</v>
      </c>
      <c r="C305" s="45" t="s">
        <v>94</v>
      </c>
      <c r="E305" s="45">
        <v>1306</v>
      </c>
      <c r="F305" s="45">
        <v>153</v>
      </c>
      <c r="G305" s="45">
        <v>24</v>
      </c>
      <c r="J305" s="45">
        <v>13</v>
      </c>
      <c r="K305" s="45" t="s">
        <v>96</v>
      </c>
    </row>
    <row r="306" spans="1:11">
      <c r="A306" s="2">
        <v>43908</v>
      </c>
      <c r="C306" s="45" t="s">
        <v>97</v>
      </c>
      <c r="E306" s="45">
        <v>312</v>
      </c>
      <c r="F306" s="45">
        <v>58</v>
      </c>
      <c r="G306" s="45">
        <v>2</v>
      </c>
      <c r="H306" s="45">
        <v>2</v>
      </c>
      <c r="J306" s="45">
        <v>4</v>
      </c>
      <c r="K306" s="45" t="s">
        <v>620</v>
      </c>
    </row>
    <row r="307" spans="1:11">
      <c r="A307" s="2">
        <v>43908</v>
      </c>
      <c r="B307" s="45">
        <v>0.33333333333333331</v>
      </c>
      <c r="C307" s="45" t="s">
        <v>99</v>
      </c>
      <c r="E307" s="45">
        <v>33</v>
      </c>
      <c r="F307" s="45">
        <v>0</v>
      </c>
      <c r="G307" s="45">
        <v>0</v>
      </c>
      <c r="I307" s="45">
        <v>5</v>
      </c>
      <c r="J307" s="45">
        <v>0</v>
      </c>
      <c r="K307" s="45" t="s">
        <v>328</v>
      </c>
    </row>
    <row r="308" spans="1:11">
      <c r="A308" s="2">
        <v>43908</v>
      </c>
      <c r="B308" s="45">
        <v>0.46875</v>
      </c>
      <c r="C308" s="45" t="s">
        <v>50</v>
      </c>
      <c r="E308" s="45">
        <v>181</v>
      </c>
      <c r="F308" s="45">
        <v>40</v>
      </c>
      <c r="I308" s="45">
        <v>36</v>
      </c>
      <c r="J308" s="45">
        <v>4</v>
      </c>
      <c r="K308" s="45" t="s">
        <v>191</v>
      </c>
    </row>
    <row r="309" spans="1:11">
      <c r="A309" s="2">
        <v>43908</v>
      </c>
      <c r="B309" s="45">
        <v>0.60416666666666663</v>
      </c>
      <c r="C309" s="45" t="s">
        <v>101</v>
      </c>
      <c r="E309" s="45">
        <v>569</v>
      </c>
      <c r="J309" s="45">
        <v>2</v>
      </c>
      <c r="K309" s="45" t="s">
        <v>103</v>
      </c>
    </row>
    <row r="310" spans="1:11">
      <c r="A310" s="2">
        <v>43908</v>
      </c>
      <c r="B310" s="45">
        <v>0.66666666666666663</v>
      </c>
      <c r="C310" s="45" t="s">
        <v>34</v>
      </c>
      <c r="E310" s="45">
        <v>101</v>
      </c>
      <c r="F310" s="45">
        <v>6</v>
      </c>
      <c r="I310" s="45">
        <v>4</v>
      </c>
      <c r="K310" s="45" t="s">
        <v>188</v>
      </c>
    </row>
    <row r="311" spans="1:11">
      <c r="A311" s="2">
        <v>43908</v>
      </c>
      <c r="B311" s="45">
        <v>0.66666666666666663</v>
      </c>
      <c r="C311" s="45" t="s">
        <v>66</v>
      </c>
      <c r="E311" s="45">
        <v>65</v>
      </c>
      <c r="K311" s="45" t="s">
        <v>193</v>
      </c>
    </row>
    <row r="312" spans="1:11">
      <c r="A312" s="2">
        <v>43909</v>
      </c>
      <c r="C312" s="45" t="s">
        <v>38</v>
      </c>
      <c r="E312" s="45">
        <v>6</v>
      </c>
      <c r="F312" s="45">
        <v>1</v>
      </c>
      <c r="J312" s="45">
        <v>0</v>
      </c>
      <c r="K312" s="45" t="s">
        <v>181</v>
      </c>
    </row>
    <row r="313" spans="1:11">
      <c r="A313" s="2">
        <v>43909</v>
      </c>
      <c r="C313" s="45" t="s">
        <v>44</v>
      </c>
      <c r="E313" s="45">
        <v>282</v>
      </c>
      <c r="J313" s="45">
        <v>1</v>
      </c>
      <c r="K313" s="45" t="s">
        <v>46</v>
      </c>
    </row>
    <row r="314" spans="1:11">
      <c r="A314" s="2">
        <v>43909</v>
      </c>
      <c r="C314" s="45" t="s">
        <v>47</v>
      </c>
      <c r="E314" s="45">
        <v>134</v>
      </c>
      <c r="F314" s="45">
        <v>19</v>
      </c>
      <c r="G314" s="45">
        <v>2</v>
      </c>
      <c r="I314" s="45">
        <v>16</v>
      </c>
      <c r="J314" s="45">
        <v>2</v>
      </c>
      <c r="K314" s="45" t="s">
        <v>197</v>
      </c>
    </row>
    <row r="315" spans="1:11">
      <c r="A315" s="2">
        <v>43909</v>
      </c>
      <c r="C315" s="45" t="s">
        <v>56</v>
      </c>
      <c r="E315" s="45">
        <v>111</v>
      </c>
      <c r="F315" s="45">
        <v>12</v>
      </c>
      <c r="G315" s="45">
        <v>5</v>
      </c>
      <c r="J315" s="45">
        <v>1</v>
      </c>
      <c r="K315" s="45" t="s">
        <v>736</v>
      </c>
    </row>
    <row r="316" spans="1:11">
      <c r="A316" s="2">
        <v>43909</v>
      </c>
      <c r="C316" s="45" t="s">
        <v>58</v>
      </c>
      <c r="D316" s="45">
        <v>6176</v>
      </c>
      <c r="E316" s="45">
        <v>967</v>
      </c>
      <c r="F316" s="45">
        <v>92</v>
      </c>
      <c r="G316" s="45">
        <v>19</v>
      </c>
      <c r="H316" s="45">
        <v>18</v>
      </c>
      <c r="J316" s="45">
        <v>7</v>
      </c>
      <c r="K316" s="45" t="s">
        <v>369</v>
      </c>
    </row>
    <row r="317" spans="1:11">
      <c r="A317" s="2">
        <v>43909</v>
      </c>
      <c r="C317" s="45" t="s">
        <v>60</v>
      </c>
      <c r="E317" s="45">
        <v>16</v>
      </c>
      <c r="F317" s="45">
        <v>0</v>
      </c>
      <c r="J317" s="45">
        <v>0</v>
      </c>
      <c r="K317" s="45" t="s">
        <v>609</v>
      </c>
    </row>
    <row r="318" spans="1:11">
      <c r="A318" s="2">
        <v>43909</v>
      </c>
      <c r="C318" s="45" t="s">
        <v>62</v>
      </c>
      <c r="E318" s="45">
        <v>182</v>
      </c>
      <c r="F318" s="45">
        <v>18</v>
      </c>
      <c r="J318" s="45">
        <v>2</v>
      </c>
      <c r="K318" s="45" t="s">
        <v>511</v>
      </c>
    </row>
    <row r="319" spans="1:11">
      <c r="A319" s="2">
        <v>43909</v>
      </c>
      <c r="C319" s="45" t="s">
        <v>64</v>
      </c>
      <c r="E319" s="45">
        <v>36</v>
      </c>
      <c r="F319" s="45">
        <v>12</v>
      </c>
      <c r="G319" s="45">
        <v>0</v>
      </c>
      <c r="J319" s="45">
        <v>0</v>
      </c>
      <c r="K319" s="45" t="s">
        <v>688</v>
      </c>
    </row>
    <row r="320" spans="1:11">
      <c r="A320" s="2">
        <v>43909</v>
      </c>
      <c r="C320" s="45" t="s">
        <v>69</v>
      </c>
      <c r="E320" s="45">
        <v>175</v>
      </c>
      <c r="F320" s="45">
        <v>19</v>
      </c>
      <c r="J320" s="45">
        <v>3</v>
      </c>
      <c r="K320" s="45" t="s">
        <v>325</v>
      </c>
    </row>
    <row r="321" spans="1:11">
      <c r="A321" s="2">
        <v>43909</v>
      </c>
      <c r="C321" s="45" t="s">
        <v>71</v>
      </c>
      <c r="E321" s="45">
        <v>25</v>
      </c>
      <c r="F321" s="45">
        <v>5</v>
      </c>
      <c r="K321" s="45" t="s">
        <v>310</v>
      </c>
    </row>
    <row r="322" spans="1:11">
      <c r="A322" s="2">
        <v>43909</v>
      </c>
      <c r="C322" s="45" t="s">
        <v>76</v>
      </c>
      <c r="E322" s="45">
        <v>85</v>
      </c>
      <c r="K322" s="45" t="s">
        <v>78</v>
      </c>
    </row>
    <row r="323" spans="1:11">
      <c r="A323" s="2">
        <v>43909</v>
      </c>
      <c r="C323" s="45" t="s">
        <v>79</v>
      </c>
      <c r="E323" s="45">
        <v>12</v>
      </c>
      <c r="J323" s="45">
        <v>0</v>
      </c>
      <c r="K323" s="45" t="s">
        <v>703</v>
      </c>
    </row>
    <row r="324" spans="1:11">
      <c r="A324" s="2">
        <v>43909</v>
      </c>
      <c r="C324" s="45" t="s">
        <v>86</v>
      </c>
      <c r="E324" s="45">
        <v>37</v>
      </c>
      <c r="K324" s="45" t="s">
        <v>88</v>
      </c>
    </row>
    <row r="325" spans="1:11">
      <c r="A325" s="2">
        <v>43909</v>
      </c>
      <c r="C325" s="45" t="s">
        <v>89</v>
      </c>
      <c r="E325" s="45">
        <v>638</v>
      </c>
      <c r="F325" s="45">
        <v>182</v>
      </c>
      <c r="G325" s="45">
        <v>33</v>
      </c>
      <c r="H325" s="45">
        <v>32</v>
      </c>
      <c r="I325" s="45">
        <v>65</v>
      </c>
      <c r="J325" s="45">
        <v>13</v>
      </c>
      <c r="K325" s="45" t="s">
        <v>507</v>
      </c>
    </row>
    <row r="326" spans="1:11">
      <c r="A326" s="2">
        <v>43909</v>
      </c>
      <c r="C326" s="45" t="s">
        <v>91</v>
      </c>
      <c r="E326" s="45">
        <v>7</v>
      </c>
      <c r="K326" s="45" t="s">
        <v>199</v>
      </c>
    </row>
    <row r="327" spans="1:11">
      <c r="A327" s="2">
        <v>43909</v>
      </c>
      <c r="C327" s="45" t="s">
        <v>94</v>
      </c>
      <c r="E327" s="45">
        <v>1515</v>
      </c>
      <c r="F327" s="45">
        <v>170</v>
      </c>
      <c r="G327" s="45">
        <v>23</v>
      </c>
      <c r="J327" s="45">
        <v>14</v>
      </c>
      <c r="K327" s="45" t="s">
        <v>96</v>
      </c>
    </row>
    <row r="328" spans="1:11">
      <c r="A328" s="2">
        <v>43909</v>
      </c>
      <c r="C328" s="45" t="s">
        <v>97</v>
      </c>
      <c r="E328" s="45">
        <v>349</v>
      </c>
      <c r="F328" s="45">
        <v>64</v>
      </c>
      <c r="G328" s="45">
        <v>5</v>
      </c>
      <c r="H328" s="45">
        <v>5</v>
      </c>
      <c r="J328" s="45">
        <v>6</v>
      </c>
      <c r="K328" s="45" t="s">
        <v>620</v>
      </c>
    </row>
    <row r="329" spans="1:11">
      <c r="A329" s="2">
        <v>43909</v>
      </c>
      <c r="B329" s="45">
        <v>0.33333333333333331</v>
      </c>
      <c r="C329" s="45" t="s">
        <v>99</v>
      </c>
      <c r="E329" s="45">
        <v>37</v>
      </c>
      <c r="F329" s="45">
        <v>1</v>
      </c>
      <c r="G329" s="45">
        <v>0</v>
      </c>
      <c r="I329" s="45">
        <v>5</v>
      </c>
      <c r="J329" s="45">
        <v>0</v>
      </c>
      <c r="K329" s="45" t="s">
        <v>328</v>
      </c>
    </row>
    <row r="330" spans="1:11">
      <c r="A330" s="2">
        <v>43909</v>
      </c>
      <c r="B330" s="45">
        <v>0.45833333333333331</v>
      </c>
      <c r="C330" s="45" t="s">
        <v>50</v>
      </c>
      <c r="E330" s="45">
        <v>220</v>
      </c>
      <c r="F330" s="45">
        <v>40</v>
      </c>
      <c r="I330" s="45">
        <v>44</v>
      </c>
      <c r="J330" s="45">
        <v>4</v>
      </c>
      <c r="K330" s="45" t="s">
        <v>198</v>
      </c>
    </row>
    <row r="331" spans="1:11">
      <c r="A331" s="2">
        <v>43909</v>
      </c>
      <c r="B331" s="45">
        <v>0.60416666666666663</v>
      </c>
      <c r="C331" s="45" t="s">
        <v>101</v>
      </c>
      <c r="E331" s="45">
        <v>680</v>
      </c>
      <c r="F331" s="45">
        <v>60</v>
      </c>
      <c r="H331" s="45">
        <v>12</v>
      </c>
      <c r="J331" s="45">
        <v>3</v>
      </c>
      <c r="K331" s="45" t="s">
        <v>103</v>
      </c>
    </row>
    <row r="332" spans="1:11">
      <c r="A332" s="2">
        <v>43909</v>
      </c>
      <c r="B332" s="45">
        <v>0.625</v>
      </c>
      <c r="C332" s="45" t="s">
        <v>34</v>
      </c>
      <c r="E332" s="45">
        <v>118</v>
      </c>
      <c r="F332" s="45">
        <v>17</v>
      </c>
      <c r="G332" s="45">
        <v>6</v>
      </c>
      <c r="H332" s="45">
        <v>3</v>
      </c>
      <c r="K332" s="45" t="s">
        <v>196</v>
      </c>
    </row>
    <row r="333" spans="1:11">
      <c r="A333" s="2">
        <v>43910</v>
      </c>
      <c r="C333" s="45" t="s">
        <v>44</v>
      </c>
      <c r="E333" s="45">
        <v>377</v>
      </c>
      <c r="J333" s="45">
        <v>2</v>
      </c>
      <c r="K333" s="45" t="s">
        <v>46</v>
      </c>
    </row>
    <row r="334" spans="1:11">
      <c r="A334" s="2">
        <v>43910</v>
      </c>
      <c r="C334" s="45" t="s">
        <v>47</v>
      </c>
      <c r="E334" s="45">
        <v>184</v>
      </c>
      <c r="F334" s="45">
        <v>27</v>
      </c>
      <c r="G334" s="45">
        <v>2</v>
      </c>
      <c r="I334" s="45">
        <v>18</v>
      </c>
      <c r="J334" s="45">
        <v>3</v>
      </c>
      <c r="K334" s="45" t="s">
        <v>201</v>
      </c>
    </row>
    <row r="335" spans="1:11">
      <c r="A335" s="2">
        <v>43910</v>
      </c>
      <c r="C335" s="45" t="s">
        <v>53</v>
      </c>
      <c r="E335" s="45">
        <v>37</v>
      </c>
      <c r="I335" s="45">
        <v>1</v>
      </c>
      <c r="K335" s="45" t="s">
        <v>203</v>
      </c>
    </row>
    <row r="336" spans="1:11">
      <c r="A336" s="2">
        <v>43910</v>
      </c>
      <c r="C336" s="45" t="s">
        <v>56</v>
      </c>
      <c r="E336" s="45">
        <v>145</v>
      </c>
      <c r="F336" s="45">
        <v>20</v>
      </c>
      <c r="G336" s="45">
        <v>6</v>
      </c>
      <c r="J336" s="45">
        <v>1</v>
      </c>
      <c r="K336" s="45" t="s">
        <v>736</v>
      </c>
    </row>
    <row r="337" spans="1:11">
      <c r="A337" s="2">
        <v>43910</v>
      </c>
      <c r="C337" s="45" t="s">
        <v>58</v>
      </c>
      <c r="D337" s="45">
        <v>6607</v>
      </c>
      <c r="E337" s="45">
        <v>1110</v>
      </c>
      <c r="F337" s="45">
        <v>109</v>
      </c>
      <c r="G337" s="45">
        <v>22</v>
      </c>
      <c r="H337" s="45">
        <v>21</v>
      </c>
      <c r="J337" s="45">
        <v>9</v>
      </c>
      <c r="K337" s="45" t="s">
        <v>369</v>
      </c>
    </row>
    <row r="338" spans="1:11">
      <c r="A338" s="2">
        <v>43910</v>
      </c>
      <c r="C338" s="45" t="s">
        <v>60</v>
      </c>
      <c r="E338" s="45">
        <v>20</v>
      </c>
      <c r="F338" s="45">
        <v>0</v>
      </c>
      <c r="J338" s="45">
        <v>0</v>
      </c>
      <c r="K338" s="45" t="s">
        <v>609</v>
      </c>
    </row>
    <row r="339" spans="1:11">
      <c r="A339" s="2">
        <v>43910</v>
      </c>
      <c r="C339" s="45" t="s">
        <v>62</v>
      </c>
      <c r="E339" s="45">
        <v>226</v>
      </c>
      <c r="F339" s="45">
        <v>24</v>
      </c>
      <c r="J339" s="45">
        <v>3</v>
      </c>
      <c r="K339" s="45" t="s">
        <v>511</v>
      </c>
    </row>
    <row r="340" spans="1:11">
      <c r="A340" s="2">
        <v>43910</v>
      </c>
      <c r="C340" s="45" t="s">
        <v>64</v>
      </c>
      <c r="E340" s="45">
        <v>44</v>
      </c>
      <c r="F340" s="45">
        <v>14</v>
      </c>
      <c r="G340" s="45">
        <v>1</v>
      </c>
      <c r="J340" s="45">
        <v>0</v>
      </c>
      <c r="K340" s="45" t="s">
        <v>688</v>
      </c>
    </row>
    <row r="341" spans="1:11">
      <c r="A341" s="2">
        <v>43910</v>
      </c>
      <c r="C341" s="45" t="s">
        <v>69</v>
      </c>
      <c r="E341" s="45">
        <v>189</v>
      </c>
      <c r="F341" s="45">
        <v>21</v>
      </c>
      <c r="J341" s="45">
        <v>3</v>
      </c>
      <c r="K341" s="45" t="s">
        <v>325</v>
      </c>
    </row>
    <row r="342" spans="1:11">
      <c r="A342" s="2">
        <v>43910</v>
      </c>
      <c r="C342" s="45" t="s">
        <v>71</v>
      </c>
      <c r="E342" s="45">
        <v>28</v>
      </c>
      <c r="F342" s="45">
        <v>5</v>
      </c>
      <c r="K342" s="45" t="s">
        <v>310</v>
      </c>
    </row>
    <row r="343" spans="1:11">
      <c r="A343" s="2">
        <v>43910</v>
      </c>
      <c r="C343" s="45" t="s">
        <v>76</v>
      </c>
      <c r="E343" s="45">
        <v>98</v>
      </c>
      <c r="K343" s="45" t="s">
        <v>78</v>
      </c>
    </row>
    <row r="344" spans="1:11">
      <c r="A344" s="2">
        <v>43910</v>
      </c>
      <c r="C344" s="45" t="s">
        <v>79</v>
      </c>
      <c r="E344" s="45">
        <v>17</v>
      </c>
      <c r="J344" s="45">
        <v>0</v>
      </c>
      <c r="K344" s="45" t="s">
        <v>703</v>
      </c>
    </row>
    <row r="345" spans="1:11">
      <c r="A345" s="2">
        <v>43910</v>
      </c>
      <c r="C345" s="45" t="s">
        <v>86</v>
      </c>
      <c r="E345" s="45">
        <v>50</v>
      </c>
      <c r="K345" s="45" t="s">
        <v>88</v>
      </c>
    </row>
    <row r="346" spans="1:11">
      <c r="A346" s="2">
        <v>43910</v>
      </c>
      <c r="C346" s="45" t="s">
        <v>94</v>
      </c>
      <c r="E346" s="45">
        <v>1757</v>
      </c>
      <c r="F346" s="45">
        <v>182</v>
      </c>
      <c r="G346" s="45">
        <v>23</v>
      </c>
      <c r="J346" s="45">
        <v>20</v>
      </c>
      <c r="K346" s="45" t="s">
        <v>96</v>
      </c>
    </row>
    <row r="347" spans="1:11">
      <c r="A347" s="2">
        <v>43910</v>
      </c>
      <c r="C347" s="45" t="s">
        <v>97</v>
      </c>
      <c r="E347" s="45">
        <v>436</v>
      </c>
      <c r="F347" s="45">
        <v>73</v>
      </c>
      <c r="G347" s="45">
        <v>6</v>
      </c>
      <c r="H347" s="45">
        <v>5</v>
      </c>
      <c r="J347" s="45">
        <v>7</v>
      </c>
      <c r="K347" s="45" t="s">
        <v>620</v>
      </c>
    </row>
    <row r="348" spans="1:11">
      <c r="A348" s="2">
        <v>43910</v>
      </c>
      <c r="B348" s="45">
        <v>0.33333333333333331</v>
      </c>
      <c r="C348" s="45" t="s">
        <v>89</v>
      </c>
      <c r="E348" s="45">
        <v>849</v>
      </c>
      <c r="F348" s="45">
        <v>190</v>
      </c>
      <c r="G348" s="45">
        <v>35</v>
      </c>
      <c r="H348" s="45">
        <v>34</v>
      </c>
      <c r="I348" s="45">
        <v>67</v>
      </c>
      <c r="J348" s="45">
        <v>22</v>
      </c>
      <c r="K348" s="45" t="s">
        <v>507</v>
      </c>
    </row>
    <row r="349" spans="1:11">
      <c r="A349" s="2">
        <v>43910</v>
      </c>
      <c r="B349" s="45">
        <v>0.33333333333333331</v>
      </c>
      <c r="C349" s="45" t="s">
        <v>99</v>
      </c>
      <c r="E349" s="45">
        <v>48</v>
      </c>
      <c r="F349" s="45">
        <v>1</v>
      </c>
      <c r="G349" s="45">
        <v>0</v>
      </c>
      <c r="I349" s="45">
        <v>5</v>
      </c>
      <c r="J349" s="45">
        <v>0</v>
      </c>
      <c r="K349" s="45" t="s">
        <v>328</v>
      </c>
    </row>
    <row r="350" spans="1:11">
      <c r="A350" s="2">
        <v>43910</v>
      </c>
      <c r="B350" s="45">
        <v>0.40277777777777779</v>
      </c>
      <c r="C350" s="45" t="s">
        <v>66</v>
      </c>
      <c r="E350" s="45">
        <v>92</v>
      </c>
      <c r="K350" s="45" t="s">
        <v>68</v>
      </c>
    </row>
    <row r="351" spans="1:11">
      <c r="A351" s="2">
        <v>43910</v>
      </c>
      <c r="B351" s="45">
        <v>0.41666666666666669</v>
      </c>
      <c r="C351" s="45" t="s">
        <v>50</v>
      </c>
      <c r="E351" s="45">
        <v>270</v>
      </c>
      <c r="F351" s="45">
        <v>45</v>
      </c>
      <c r="I351" s="45">
        <v>46</v>
      </c>
      <c r="J351" s="45">
        <v>4</v>
      </c>
      <c r="K351" s="45" t="s">
        <v>202</v>
      </c>
    </row>
    <row r="352" spans="1:11">
      <c r="A352" s="2">
        <v>43910</v>
      </c>
      <c r="B352" s="45">
        <v>0.5</v>
      </c>
      <c r="C352" s="45" t="s">
        <v>91</v>
      </c>
      <c r="E352" s="45">
        <v>7</v>
      </c>
      <c r="K352" s="45" t="s">
        <v>205</v>
      </c>
    </row>
    <row r="353" spans="1:11">
      <c r="A353" s="2">
        <v>43910</v>
      </c>
      <c r="B353" s="45">
        <v>0.60416666666666663</v>
      </c>
      <c r="C353" s="45" t="s">
        <v>101</v>
      </c>
      <c r="E353" s="45">
        <v>712</v>
      </c>
      <c r="F353" s="45">
        <v>78</v>
      </c>
      <c r="H353" s="45">
        <v>15</v>
      </c>
      <c r="J353" s="45">
        <v>4</v>
      </c>
      <c r="K353" s="45" t="s">
        <v>103</v>
      </c>
    </row>
    <row r="354" spans="1:11">
      <c r="A354" s="2">
        <v>43910</v>
      </c>
      <c r="B354" s="45">
        <v>0.625</v>
      </c>
      <c r="C354" s="45" t="s">
        <v>34</v>
      </c>
      <c r="E354" s="45">
        <v>168</v>
      </c>
      <c r="F354" s="45">
        <v>25</v>
      </c>
      <c r="G354" s="45">
        <v>4</v>
      </c>
      <c r="H354" s="45">
        <v>2</v>
      </c>
      <c r="J354" s="45">
        <v>1</v>
      </c>
      <c r="K354" s="45" t="s">
        <v>200</v>
      </c>
    </row>
    <row r="355" spans="1:11">
      <c r="A355" s="2">
        <v>43910</v>
      </c>
      <c r="B355" s="45">
        <v>0.73402777777777772</v>
      </c>
      <c r="C355" s="45" t="s">
        <v>81</v>
      </c>
      <c r="E355" s="45">
        <v>66</v>
      </c>
      <c r="K355" s="45" t="s">
        <v>204</v>
      </c>
    </row>
    <row r="356" spans="1:11">
      <c r="A356" s="2">
        <v>43911</v>
      </c>
      <c r="C356" s="45" t="s">
        <v>41</v>
      </c>
      <c r="J356" s="45">
        <v>1</v>
      </c>
      <c r="K356" s="45" t="s">
        <v>206</v>
      </c>
    </row>
    <row r="357" spans="1:11">
      <c r="A357" s="2">
        <v>43911</v>
      </c>
      <c r="C357" s="45" t="s">
        <v>44</v>
      </c>
      <c r="E357" s="45">
        <v>418</v>
      </c>
      <c r="J357" s="45">
        <v>3</v>
      </c>
      <c r="K357" s="45" t="s">
        <v>46</v>
      </c>
    </row>
    <row r="358" spans="1:11">
      <c r="A358" s="2">
        <v>43911</v>
      </c>
      <c r="C358" s="45" t="s">
        <v>47</v>
      </c>
      <c r="E358" s="45">
        <v>282</v>
      </c>
      <c r="F358" s="45">
        <v>30</v>
      </c>
      <c r="G358" s="45">
        <v>4</v>
      </c>
      <c r="I358" s="45">
        <v>21</v>
      </c>
      <c r="J358" s="45">
        <v>3</v>
      </c>
      <c r="K358" s="45" t="s">
        <v>207</v>
      </c>
    </row>
    <row r="359" spans="1:11">
      <c r="A359" s="2">
        <v>43911</v>
      </c>
      <c r="C359" s="45" t="s">
        <v>53</v>
      </c>
      <c r="E359" s="45">
        <v>44</v>
      </c>
      <c r="K359" s="45" t="s">
        <v>209</v>
      </c>
    </row>
    <row r="360" spans="1:11">
      <c r="A360" s="2">
        <v>43911</v>
      </c>
      <c r="C360" s="45" t="s">
        <v>56</v>
      </c>
      <c r="E360" s="45">
        <v>167</v>
      </c>
      <c r="F360" s="45">
        <v>28</v>
      </c>
      <c r="G360" s="45">
        <v>6</v>
      </c>
      <c r="J360" s="45">
        <v>2</v>
      </c>
      <c r="K360" s="45" t="s">
        <v>736</v>
      </c>
    </row>
    <row r="361" spans="1:11">
      <c r="A361" s="2">
        <v>43911</v>
      </c>
      <c r="C361" s="45" t="s">
        <v>58</v>
      </c>
      <c r="D361" s="45">
        <v>6968</v>
      </c>
      <c r="E361" s="45">
        <v>1241</v>
      </c>
      <c r="F361" s="45">
        <v>145</v>
      </c>
      <c r="G361" s="45">
        <v>25</v>
      </c>
      <c r="H361" s="45">
        <v>24</v>
      </c>
      <c r="J361" s="45">
        <v>9</v>
      </c>
      <c r="K361" s="45" t="s">
        <v>369</v>
      </c>
    </row>
    <row r="362" spans="1:11">
      <c r="A362" s="2">
        <v>43911</v>
      </c>
      <c r="C362" s="45" t="s">
        <v>60</v>
      </c>
      <c r="E362" s="45">
        <v>25</v>
      </c>
      <c r="F362" s="45">
        <v>0</v>
      </c>
      <c r="J362" s="45">
        <v>0</v>
      </c>
      <c r="K362" s="45" t="s">
        <v>609</v>
      </c>
    </row>
    <row r="363" spans="1:11">
      <c r="A363" s="2">
        <v>43911</v>
      </c>
      <c r="C363" s="45" t="s">
        <v>62</v>
      </c>
      <c r="E363" s="45">
        <v>258</v>
      </c>
      <c r="F363" s="45">
        <v>24</v>
      </c>
      <c r="J363" s="45">
        <v>4</v>
      </c>
      <c r="K363" s="45" t="s">
        <v>511</v>
      </c>
    </row>
    <row r="364" spans="1:11">
      <c r="A364" s="2">
        <v>43911</v>
      </c>
      <c r="C364" s="45" t="s">
        <v>64</v>
      </c>
      <c r="E364" s="45">
        <v>54</v>
      </c>
      <c r="F364" s="45">
        <v>13</v>
      </c>
      <c r="G364" s="45">
        <v>1</v>
      </c>
      <c r="J364" s="45">
        <v>0</v>
      </c>
      <c r="K364" s="45" t="s">
        <v>688</v>
      </c>
    </row>
    <row r="365" spans="1:11">
      <c r="A365" s="2">
        <v>43911</v>
      </c>
      <c r="C365" s="45" t="s">
        <v>69</v>
      </c>
      <c r="E365" s="45">
        <v>200</v>
      </c>
      <c r="F365" s="45">
        <v>20</v>
      </c>
      <c r="J365" s="45">
        <v>4</v>
      </c>
      <c r="K365" s="45" t="s">
        <v>325</v>
      </c>
    </row>
    <row r="366" spans="1:11">
      <c r="A366" s="2">
        <v>43911</v>
      </c>
      <c r="C366" s="45" t="s">
        <v>71</v>
      </c>
      <c r="E366" s="45">
        <v>33</v>
      </c>
      <c r="F366" s="45">
        <v>5</v>
      </c>
      <c r="K366" s="45" t="s">
        <v>310</v>
      </c>
    </row>
    <row r="367" spans="1:11">
      <c r="A367" s="2">
        <v>43911</v>
      </c>
      <c r="C367" s="45" t="s">
        <v>79</v>
      </c>
      <c r="E367" s="45">
        <v>28</v>
      </c>
      <c r="J367" s="45">
        <v>0</v>
      </c>
      <c r="K367" s="45" t="s">
        <v>703</v>
      </c>
    </row>
    <row r="368" spans="1:11">
      <c r="A368" s="2">
        <v>43911</v>
      </c>
      <c r="C368" s="45" t="s">
        <v>86</v>
      </c>
      <c r="E368" s="45">
        <v>57</v>
      </c>
      <c r="K368" s="45" t="s">
        <v>88</v>
      </c>
    </row>
    <row r="369" spans="1:11">
      <c r="A369" s="2">
        <v>43911</v>
      </c>
      <c r="C369" s="45" t="s">
        <v>94</v>
      </c>
      <c r="E369" s="45">
        <v>1876</v>
      </c>
      <c r="F369" s="45">
        <v>211</v>
      </c>
      <c r="G369" s="45">
        <v>24</v>
      </c>
      <c r="J369" s="45">
        <v>23</v>
      </c>
      <c r="K369" s="45" t="s">
        <v>96</v>
      </c>
    </row>
    <row r="370" spans="1:11">
      <c r="A370" s="2">
        <v>43911</v>
      </c>
      <c r="C370" s="45" t="s">
        <v>97</v>
      </c>
      <c r="E370" s="45">
        <v>498</v>
      </c>
      <c r="F370" s="45">
        <v>83</v>
      </c>
      <c r="G370" s="45">
        <v>8</v>
      </c>
      <c r="H370" s="45">
        <v>6</v>
      </c>
      <c r="J370" s="45">
        <v>10</v>
      </c>
      <c r="K370" s="45" t="s">
        <v>620</v>
      </c>
    </row>
    <row r="371" spans="1:11">
      <c r="A371" s="2">
        <v>43911</v>
      </c>
      <c r="B371" s="45">
        <v>0.33333333333333331</v>
      </c>
      <c r="C371" s="45" t="s">
        <v>89</v>
      </c>
      <c r="E371" s="45">
        <v>916</v>
      </c>
      <c r="F371" s="45">
        <v>224</v>
      </c>
      <c r="G371" s="45">
        <v>40</v>
      </c>
      <c r="H371" s="45">
        <v>37</v>
      </c>
      <c r="I371" s="45">
        <v>68</v>
      </c>
      <c r="J371" s="45">
        <v>28</v>
      </c>
      <c r="K371" s="45" t="s">
        <v>507</v>
      </c>
    </row>
    <row r="372" spans="1:11">
      <c r="A372" s="2">
        <v>43911</v>
      </c>
      <c r="B372" s="45">
        <v>0.33333333333333331</v>
      </c>
      <c r="C372" s="45" t="s">
        <v>91</v>
      </c>
      <c r="E372" s="45">
        <v>12</v>
      </c>
      <c r="K372" s="45" t="s">
        <v>205</v>
      </c>
    </row>
    <row r="373" spans="1:11">
      <c r="A373" s="2">
        <v>43911</v>
      </c>
      <c r="B373" s="45">
        <v>0.33333333333333331</v>
      </c>
      <c r="C373" s="45" t="s">
        <v>99</v>
      </c>
      <c r="E373" s="45">
        <v>53</v>
      </c>
      <c r="F373" s="45">
        <v>3</v>
      </c>
      <c r="G373" s="45">
        <v>0</v>
      </c>
      <c r="I373" s="45">
        <v>5</v>
      </c>
      <c r="J373" s="45">
        <v>0</v>
      </c>
      <c r="K373" s="45" t="s">
        <v>328</v>
      </c>
    </row>
    <row r="374" spans="1:11">
      <c r="A374" s="2">
        <v>43911</v>
      </c>
      <c r="B374" s="45">
        <v>0.41666666666666669</v>
      </c>
      <c r="C374" s="45" t="s">
        <v>50</v>
      </c>
      <c r="E374" s="45">
        <v>297</v>
      </c>
      <c r="F374" s="45">
        <v>46</v>
      </c>
      <c r="I374" s="45">
        <v>57</v>
      </c>
      <c r="J374" s="45">
        <v>5</v>
      </c>
      <c r="K374" s="45" t="s">
        <v>208</v>
      </c>
    </row>
    <row r="375" spans="1:11">
      <c r="A375" s="2">
        <v>43911</v>
      </c>
      <c r="B375" s="45">
        <v>0.45833333333333331</v>
      </c>
      <c r="C375" s="45" t="s">
        <v>66</v>
      </c>
      <c r="E375" s="45">
        <v>109</v>
      </c>
      <c r="J375" s="45">
        <v>1</v>
      </c>
      <c r="K375" s="45" t="s">
        <v>210</v>
      </c>
    </row>
    <row r="376" spans="1:11">
      <c r="A376" s="2">
        <v>43911</v>
      </c>
      <c r="B376" s="45">
        <v>0.60416666666666663</v>
      </c>
      <c r="C376" s="45" t="s">
        <v>101</v>
      </c>
      <c r="E376" s="45">
        <v>712</v>
      </c>
      <c r="F376" s="45">
        <v>83</v>
      </c>
      <c r="H376" s="45">
        <v>23</v>
      </c>
      <c r="J376" s="45">
        <v>5</v>
      </c>
      <c r="K376" s="45" t="s">
        <v>103</v>
      </c>
    </row>
    <row r="377" spans="1:11">
      <c r="A377" s="2">
        <v>43912</v>
      </c>
      <c r="C377" s="45" t="s">
        <v>47</v>
      </c>
      <c r="E377" s="45">
        <v>289</v>
      </c>
      <c r="F377" s="45">
        <v>40</v>
      </c>
      <c r="G377" s="45">
        <v>7</v>
      </c>
      <c r="I377" s="45">
        <v>21</v>
      </c>
      <c r="J377" s="45">
        <v>3</v>
      </c>
      <c r="K377" s="45" t="s">
        <v>212</v>
      </c>
    </row>
    <row r="378" spans="1:11">
      <c r="A378" s="2">
        <v>43912</v>
      </c>
      <c r="C378" s="45" t="s">
        <v>53</v>
      </c>
      <c r="E378" s="45">
        <v>46</v>
      </c>
      <c r="K378" s="45" t="s">
        <v>214</v>
      </c>
    </row>
    <row r="379" spans="1:11">
      <c r="A379" s="2">
        <v>43912</v>
      </c>
      <c r="C379" s="45" t="s">
        <v>56</v>
      </c>
      <c r="E379" s="45">
        <v>202</v>
      </c>
      <c r="F379" s="45">
        <v>32</v>
      </c>
      <c r="G379" s="45">
        <v>8</v>
      </c>
      <c r="J379" s="45">
        <v>3</v>
      </c>
      <c r="K379" s="45" t="s">
        <v>736</v>
      </c>
    </row>
    <row r="380" spans="1:11">
      <c r="A380" s="2">
        <v>43912</v>
      </c>
      <c r="C380" s="45" t="s">
        <v>58</v>
      </c>
      <c r="D380" s="45">
        <v>7202</v>
      </c>
      <c r="E380" s="45">
        <v>1383</v>
      </c>
      <c r="F380" s="45">
        <v>179</v>
      </c>
      <c r="G380" s="45">
        <v>36</v>
      </c>
      <c r="H380" s="45">
        <v>36</v>
      </c>
      <c r="J380" s="45">
        <v>10</v>
      </c>
      <c r="K380" s="45" t="s">
        <v>369</v>
      </c>
    </row>
    <row r="381" spans="1:11">
      <c r="A381" s="2">
        <v>43912</v>
      </c>
      <c r="C381" s="45" t="s">
        <v>60</v>
      </c>
      <c r="E381" s="45">
        <v>29</v>
      </c>
      <c r="F381" s="45">
        <v>0</v>
      </c>
      <c r="J381" s="45">
        <v>0</v>
      </c>
      <c r="K381" s="45" t="s">
        <v>609</v>
      </c>
    </row>
    <row r="382" spans="1:11">
      <c r="A382" s="2">
        <v>43912</v>
      </c>
      <c r="C382" s="45" t="s">
        <v>62</v>
      </c>
      <c r="E382" s="45">
        <v>284</v>
      </c>
      <c r="F382" s="45">
        <v>27</v>
      </c>
      <c r="J382" s="45">
        <v>4</v>
      </c>
      <c r="K382" s="45" t="s">
        <v>511</v>
      </c>
    </row>
    <row r="383" spans="1:11">
      <c r="A383" s="2">
        <v>43912</v>
      </c>
      <c r="C383" s="45" t="s">
        <v>64</v>
      </c>
      <c r="E383" s="45">
        <v>61</v>
      </c>
      <c r="F383" s="45">
        <v>18</v>
      </c>
      <c r="G383" s="45">
        <v>2</v>
      </c>
      <c r="J383" s="45">
        <v>0</v>
      </c>
      <c r="K383" s="45" t="s">
        <v>688</v>
      </c>
    </row>
    <row r="384" spans="1:11">
      <c r="A384" s="2">
        <v>43912</v>
      </c>
      <c r="C384" s="45" t="s">
        <v>69</v>
      </c>
      <c r="E384" s="45">
        <v>216</v>
      </c>
      <c r="F384" s="45">
        <v>28</v>
      </c>
      <c r="J384" s="45">
        <v>4</v>
      </c>
      <c r="K384" s="45" t="s">
        <v>325</v>
      </c>
    </row>
    <row r="385" spans="1:11">
      <c r="A385" s="2">
        <v>43912</v>
      </c>
      <c r="C385" s="45" t="s">
        <v>71</v>
      </c>
      <c r="E385" s="45">
        <v>36</v>
      </c>
      <c r="F385" s="45">
        <v>5</v>
      </c>
      <c r="K385" s="45" t="s">
        <v>310</v>
      </c>
    </row>
    <row r="386" spans="1:11">
      <c r="A386" s="2">
        <v>43912</v>
      </c>
      <c r="C386" s="45" t="s">
        <v>79</v>
      </c>
      <c r="E386" s="45">
        <v>30</v>
      </c>
      <c r="J386" s="45">
        <v>0</v>
      </c>
      <c r="K386" s="45" t="s">
        <v>703</v>
      </c>
    </row>
    <row r="387" spans="1:11">
      <c r="A387" s="2">
        <v>43912</v>
      </c>
      <c r="C387" s="45" t="s">
        <v>86</v>
      </c>
      <c r="E387" s="45">
        <v>76</v>
      </c>
      <c r="K387" s="45" t="s">
        <v>88</v>
      </c>
    </row>
    <row r="388" spans="1:11">
      <c r="A388" s="2">
        <v>43912</v>
      </c>
      <c r="C388" s="45" t="s">
        <v>94</v>
      </c>
      <c r="E388" s="45">
        <v>1978</v>
      </c>
      <c r="F388" s="45">
        <v>231</v>
      </c>
      <c r="G388" s="45">
        <v>30</v>
      </c>
      <c r="J388" s="45">
        <v>25</v>
      </c>
      <c r="K388" s="45" t="s">
        <v>96</v>
      </c>
    </row>
    <row r="389" spans="1:11">
      <c r="A389" s="2">
        <v>43912</v>
      </c>
      <c r="C389" s="45" t="s">
        <v>97</v>
      </c>
      <c r="E389" s="45">
        <v>535</v>
      </c>
      <c r="F389" s="45">
        <v>92</v>
      </c>
      <c r="G389" s="45">
        <v>11</v>
      </c>
      <c r="H389" s="45">
        <v>7</v>
      </c>
      <c r="J389" s="45">
        <v>11</v>
      </c>
      <c r="K389" s="45" t="s">
        <v>620</v>
      </c>
    </row>
    <row r="390" spans="1:11">
      <c r="A390" s="2">
        <v>43912</v>
      </c>
      <c r="B390" s="45">
        <v>0.33333333333333331</v>
      </c>
      <c r="C390" s="45" t="s">
        <v>89</v>
      </c>
      <c r="E390" s="45">
        <v>945</v>
      </c>
      <c r="F390" s="45">
        <v>246</v>
      </c>
      <c r="G390" s="45">
        <v>46</v>
      </c>
      <c r="H390" s="45">
        <v>43</v>
      </c>
      <c r="I390" s="45">
        <v>70</v>
      </c>
      <c r="J390" s="45">
        <v>37</v>
      </c>
      <c r="K390" s="45" t="s">
        <v>507</v>
      </c>
    </row>
    <row r="391" spans="1:11">
      <c r="A391" s="2">
        <v>43912</v>
      </c>
      <c r="B391" s="45">
        <v>0.33333333333333331</v>
      </c>
      <c r="C391" s="45" t="s">
        <v>99</v>
      </c>
      <c r="E391" s="45">
        <v>53</v>
      </c>
      <c r="F391" s="45">
        <v>3</v>
      </c>
      <c r="G391" s="45">
        <v>0</v>
      </c>
      <c r="I391" s="45">
        <v>5</v>
      </c>
      <c r="J391" s="45">
        <v>0</v>
      </c>
      <c r="K391" s="45" t="s">
        <v>328</v>
      </c>
    </row>
    <row r="392" spans="1:11">
      <c r="A392" s="2">
        <v>43912</v>
      </c>
      <c r="B392" s="45">
        <v>0.4375</v>
      </c>
      <c r="C392" s="45" t="s">
        <v>50</v>
      </c>
      <c r="E392" s="45">
        <v>356</v>
      </c>
      <c r="F392" s="45">
        <v>50</v>
      </c>
      <c r="I392" s="45">
        <v>73</v>
      </c>
      <c r="J392" s="45">
        <v>5</v>
      </c>
      <c r="K392" s="45" t="s">
        <v>213</v>
      </c>
    </row>
    <row r="393" spans="1:11">
      <c r="A393" s="2">
        <v>43912</v>
      </c>
      <c r="B393" s="45">
        <v>0.45833333333333331</v>
      </c>
      <c r="C393" s="45" t="s">
        <v>66</v>
      </c>
      <c r="E393" s="45">
        <v>131</v>
      </c>
      <c r="J393" s="45">
        <v>1</v>
      </c>
      <c r="K393" s="45" t="s">
        <v>68</v>
      </c>
    </row>
    <row r="394" spans="1:11">
      <c r="A394" s="2">
        <v>43912</v>
      </c>
      <c r="B394" s="45">
        <v>0.5</v>
      </c>
      <c r="C394" s="45" t="s">
        <v>34</v>
      </c>
      <c r="E394" s="45">
        <v>232</v>
      </c>
      <c r="J394" s="45">
        <v>1</v>
      </c>
      <c r="K394" s="45" t="s">
        <v>211</v>
      </c>
    </row>
    <row r="395" spans="1:11">
      <c r="A395" s="2">
        <v>43912</v>
      </c>
      <c r="B395" s="45">
        <v>0.60416666666666663</v>
      </c>
      <c r="C395" s="45" t="s">
        <v>101</v>
      </c>
      <c r="E395" s="45">
        <v>712</v>
      </c>
      <c r="F395" s="45">
        <v>110</v>
      </c>
      <c r="H395" s="45">
        <v>22</v>
      </c>
      <c r="J395" s="45">
        <v>6</v>
      </c>
      <c r="K395" s="45" t="s">
        <v>103</v>
      </c>
    </row>
    <row r="396" spans="1:11">
      <c r="A396" s="2">
        <v>43913</v>
      </c>
      <c r="C396" s="45" t="s">
        <v>44</v>
      </c>
      <c r="E396" s="45">
        <v>470</v>
      </c>
      <c r="J396" s="45">
        <v>5</v>
      </c>
      <c r="K396" s="45" t="s">
        <v>46</v>
      </c>
    </row>
    <row r="397" spans="1:11">
      <c r="A397" s="2">
        <v>43913</v>
      </c>
      <c r="C397" s="45" t="s">
        <v>47</v>
      </c>
      <c r="E397" s="45">
        <v>302</v>
      </c>
      <c r="F397" s="45">
        <v>51</v>
      </c>
      <c r="G397" s="45">
        <v>10</v>
      </c>
      <c r="I397" s="45">
        <v>35</v>
      </c>
      <c r="J397" s="45">
        <v>3</v>
      </c>
      <c r="K397" s="45" t="s">
        <v>216</v>
      </c>
    </row>
    <row r="398" spans="1:11">
      <c r="A398" s="2">
        <v>43913</v>
      </c>
      <c r="C398" s="45" t="s">
        <v>56</v>
      </c>
      <c r="E398" s="45">
        <v>226</v>
      </c>
      <c r="F398" s="45">
        <v>35</v>
      </c>
      <c r="G398" s="45">
        <v>7</v>
      </c>
      <c r="J398" s="45">
        <v>4</v>
      </c>
      <c r="K398" s="45" t="s">
        <v>736</v>
      </c>
    </row>
    <row r="399" spans="1:11">
      <c r="A399" s="2">
        <v>43913</v>
      </c>
      <c r="C399" s="45" t="s">
        <v>58</v>
      </c>
      <c r="D399" s="45">
        <v>7581</v>
      </c>
      <c r="E399" s="45">
        <v>1532</v>
      </c>
      <c r="F399" s="45">
        <v>214</v>
      </c>
      <c r="G399" s="45">
        <v>43</v>
      </c>
      <c r="H399" s="45">
        <v>41</v>
      </c>
      <c r="J399" s="45">
        <v>16</v>
      </c>
      <c r="K399" s="45" t="s">
        <v>369</v>
      </c>
    </row>
    <row r="400" spans="1:11">
      <c r="A400" s="2">
        <v>43913</v>
      </c>
      <c r="C400" s="45" t="s">
        <v>60</v>
      </c>
      <c r="E400" s="45">
        <v>31</v>
      </c>
      <c r="F400" s="45">
        <v>3</v>
      </c>
      <c r="J400" s="45">
        <v>0</v>
      </c>
      <c r="K400" s="45" t="s">
        <v>609</v>
      </c>
    </row>
    <row r="401" spans="1:11">
      <c r="A401" s="2">
        <v>43913</v>
      </c>
      <c r="C401" s="45" t="s">
        <v>62</v>
      </c>
      <c r="E401" s="45">
        <v>300</v>
      </c>
      <c r="F401" s="45">
        <v>29</v>
      </c>
      <c r="J401" s="45">
        <v>5</v>
      </c>
      <c r="K401" s="45" t="s">
        <v>511</v>
      </c>
    </row>
    <row r="402" spans="1:11">
      <c r="A402" s="2">
        <v>43913</v>
      </c>
      <c r="C402" s="45" t="s">
        <v>64</v>
      </c>
      <c r="E402" s="45">
        <v>69</v>
      </c>
      <c r="F402" s="45">
        <v>18</v>
      </c>
      <c r="G402" s="45">
        <v>3</v>
      </c>
      <c r="J402" s="45">
        <v>0</v>
      </c>
      <c r="K402" s="45" t="s">
        <v>688</v>
      </c>
    </row>
    <row r="403" spans="1:11">
      <c r="A403" s="2">
        <v>43913</v>
      </c>
      <c r="C403" s="45" t="s">
        <v>69</v>
      </c>
      <c r="E403" s="45">
        <v>247</v>
      </c>
      <c r="F403" s="45">
        <v>33</v>
      </c>
      <c r="G403" s="45">
        <v>11</v>
      </c>
      <c r="H403" s="45">
        <v>6</v>
      </c>
      <c r="J403" s="45">
        <v>5</v>
      </c>
      <c r="K403" s="45" t="s">
        <v>325</v>
      </c>
    </row>
    <row r="404" spans="1:11">
      <c r="A404" s="2">
        <v>43913</v>
      </c>
      <c r="C404" s="45" t="s">
        <v>71</v>
      </c>
      <c r="E404" s="45">
        <v>39</v>
      </c>
      <c r="F404" s="45">
        <v>5</v>
      </c>
      <c r="K404" s="45" t="s">
        <v>310</v>
      </c>
    </row>
    <row r="405" spans="1:11">
      <c r="A405" s="2">
        <v>43913</v>
      </c>
      <c r="C405" s="45" t="s">
        <v>73</v>
      </c>
      <c r="E405" s="45">
        <v>25</v>
      </c>
      <c r="K405" s="45" t="s">
        <v>75</v>
      </c>
    </row>
    <row r="406" spans="1:11">
      <c r="A406" s="2">
        <v>43913</v>
      </c>
      <c r="C406" s="45" t="s">
        <v>76</v>
      </c>
      <c r="E406" s="45">
        <v>185</v>
      </c>
      <c r="J406" s="45">
        <v>1</v>
      </c>
      <c r="K406" s="45" t="s">
        <v>78</v>
      </c>
    </row>
    <row r="407" spans="1:11">
      <c r="A407" s="2">
        <v>43913</v>
      </c>
      <c r="C407" s="45" t="s">
        <v>79</v>
      </c>
      <c r="E407" s="45">
        <v>32</v>
      </c>
      <c r="J407" s="45">
        <v>0</v>
      </c>
      <c r="K407" s="45" t="s">
        <v>703</v>
      </c>
    </row>
    <row r="408" spans="1:11">
      <c r="A408" s="2">
        <v>43913</v>
      </c>
      <c r="C408" s="45" t="s">
        <v>86</v>
      </c>
      <c r="E408" s="45">
        <v>82</v>
      </c>
      <c r="K408" s="45" t="s">
        <v>88</v>
      </c>
    </row>
    <row r="409" spans="1:11">
      <c r="A409" s="2">
        <v>43913</v>
      </c>
      <c r="C409" s="45" t="s">
        <v>91</v>
      </c>
      <c r="E409" s="45">
        <v>22</v>
      </c>
      <c r="F409" s="45">
        <v>1</v>
      </c>
      <c r="I409" s="45">
        <v>1</v>
      </c>
      <c r="K409" s="45" t="s">
        <v>205</v>
      </c>
    </row>
    <row r="410" spans="1:11">
      <c r="A410" s="2">
        <v>43913</v>
      </c>
      <c r="C410" s="45" t="s">
        <v>94</v>
      </c>
      <c r="E410" s="45">
        <v>2284</v>
      </c>
      <c r="F410" s="45">
        <v>248</v>
      </c>
      <c r="G410" s="45">
        <v>38</v>
      </c>
      <c r="J410" s="45">
        <v>29</v>
      </c>
      <c r="K410" s="45" t="s">
        <v>96</v>
      </c>
    </row>
    <row r="411" spans="1:11">
      <c r="A411" s="2">
        <v>43913</v>
      </c>
      <c r="C411" s="45" t="s">
        <v>97</v>
      </c>
      <c r="E411" s="45">
        <v>628</v>
      </c>
      <c r="F411" s="45">
        <v>104</v>
      </c>
      <c r="G411" s="45">
        <v>12</v>
      </c>
      <c r="H411" s="45">
        <v>9</v>
      </c>
      <c r="J411" s="45">
        <v>13</v>
      </c>
      <c r="K411" s="45" t="s">
        <v>620</v>
      </c>
    </row>
    <row r="412" spans="1:11">
      <c r="A412" s="2">
        <v>43913</v>
      </c>
      <c r="B412" s="45">
        <v>0.33333333333333331</v>
      </c>
      <c r="C412" s="45" t="s">
        <v>89</v>
      </c>
      <c r="E412" s="45">
        <v>1162</v>
      </c>
      <c r="F412" s="45">
        <v>261</v>
      </c>
      <c r="G412" s="45">
        <v>45</v>
      </c>
      <c r="H412" s="45">
        <v>43</v>
      </c>
      <c r="I412" s="45">
        <v>71</v>
      </c>
      <c r="J412" s="45">
        <v>48</v>
      </c>
      <c r="K412" s="45" t="s">
        <v>507</v>
      </c>
    </row>
    <row r="413" spans="1:11">
      <c r="A413" s="2">
        <v>43913</v>
      </c>
      <c r="B413" s="45">
        <v>0.33333333333333331</v>
      </c>
      <c r="C413" s="45" t="s">
        <v>99</v>
      </c>
      <c r="E413" s="45">
        <v>53</v>
      </c>
      <c r="F413" s="45">
        <v>3</v>
      </c>
      <c r="G413" s="45">
        <v>0</v>
      </c>
      <c r="I413" s="45">
        <v>5</v>
      </c>
      <c r="J413" s="45">
        <v>0</v>
      </c>
      <c r="K413" s="45" t="s">
        <v>328</v>
      </c>
    </row>
    <row r="414" spans="1:11">
      <c r="A414" s="2">
        <v>43913</v>
      </c>
      <c r="B414" s="45">
        <v>0.41666666666666669</v>
      </c>
      <c r="C414" s="45" t="s">
        <v>41</v>
      </c>
      <c r="E414" s="45">
        <v>30</v>
      </c>
      <c r="F414" s="45">
        <v>7</v>
      </c>
      <c r="J414" s="45">
        <v>1</v>
      </c>
      <c r="K414" s="45" t="s">
        <v>43</v>
      </c>
    </row>
    <row r="415" spans="1:11">
      <c r="A415" s="2">
        <v>43913</v>
      </c>
      <c r="B415" s="45">
        <v>0.41666666666666669</v>
      </c>
      <c r="C415" s="45" t="s">
        <v>50</v>
      </c>
      <c r="E415" s="45">
        <v>374</v>
      </c>
      <c r="F415" s="45">
        <v>56</v>
      </c>
      <c r="I415" s="45">
        <v>78</v>
      </c>
      <c r="J415" s="45">
        <v>5</v>
      </c>
      <c r="K415" s="45" t="s">
        <v>217</v>
      </c>
    </row>
    <row r="416" spans="1:11">
      <c r="A416" s="2">
        <v>43913</v>
      </c>
      <c r="B416" s="45">
        <v>0.45833333333333331</v>
      </c>
      <c r="C416" s="45" t="s">
        <v>66</v>
      </c>
      <c r="E416" s="45">
        <v>156</v>
      </c>
      <c r="J416" s="45">
        <v>1</v>
      </c>
      <c r="K416" s="45" t="s">
        <v>68</v>
      </c>
    </row>
    <row r="417" spans="1:11">
      <c r="A417" s="2">
        <v>43913</v>
      </c>
      <c r="B417" s="45">
        <v>0.5</v>
      </c>
      <c r="C417" s="45" t="s">
        <v>81</v>
      </c>
      <c r="E417" s="45">
        <v>95</v>
      </c>
      <c r="J417" s="45">
        <v>1</v>
      </c>
      <c r="K417" s="45" t="s">
        <v>83</v>
      </c>
    </row>
    <row r="418" spans="1:11">
      <c r="A418" s="2">
        <v>43913</v>
      </c>
      <c r="B418" s="45">
        <v>0.60416666666666663</v>
      </c>
      <c r="C418" s="45" t="s">
        <v>101</v>
      </c>
      <c r="E418" s="45">
        <v>1076</v>
      </c>
      <c r="F418" s="45">
        <v>127</v>
      </c>
      <c r="H418" s="45">
        <v>27</v>
      </c>
      <c r="J418" s="45">
        <v>6</v>
      </c>
      <c r="K418" s="45" t="s">
        <v>103</v>
      </c>
    </row>
    <row r="419" spans="1:11">
      <c r="A419" s="2">
        <v>43913</v>
      </c>
      <c r="B419" s="45">
        <v>0.625</v>
      </c>
      <c r="C419" s="45" t="s">
        <v>34</v>
      </c>
      <c r="E419" s="45">
        <v>241</v>
      </c>
      <c r="F419" s="45">
        <v>10</v>
      </c>
      <c r="G419" s="45">
        <v>3</v>
      </c>
      <c r="H419" s="45">
        <v>2</v>
      </c>
      <c r="J419" s="45">
        <v>1</v>
      </c>
      <c r="K419" s="45" t="s">
        <v>215</v>
      </c>
    </row>
    <row r="420" spans="1:11">
      <c r="A420" s="2">
        <v>43913</v>
      </c>
      <c r="B420" s="45">
        <v>0.75</v>
      </c>
      <c r="C420" s="45" t="s">
        <v>53</v>
      </c>
      <c r="E420" s="45">
        <v>51</v>
      </c>
      <c r="K420" s="45" t="s">
        <v>218</v>
      </c>
    </row>
    <row r="421" spans="1:11">
      <c r="A421" s="2">
        <v>43914</v>
      </c>
      <c r="C421" s="45" t="s">
        <v>44</v>
      </c>
      <c r="E421" s="45">
        <v>532</v>
      </c>
      <c r="J421" s="45">
        <v>6</v>
      </c>
      <c r="K421" s="45" t="s">
        <v>46</v>
      </c>
    </row>
    <row r="422" spans="1:11">
      <c r="A422" s="2">
        <v>43914</v>
      </c>
      <c r="C422" s="45" t="s">
        <v>47</v>
      </c>
      <c r="E422" s="45">
        <v>306</v>
      </c>
      <c r="F422" s="45">
        <v>66</v>
      </c>
      <c r="G422" s="45">
        <v>11</v>
      </c>
      <c r="I422" s="45">
        <v>40</v>
      </c>
      <c r="J422" s="45">
        <v>4</v>
      </c>
      <c r="K422" s="45" t="s">
        <v>49</v>
      </c>
    </row>
    <row r="423" spans="1:11">
      <c r="A423" s="2">
        <v>43914</v>
      </c>
      <c r="C423" s="45" t="s">
        <v>53</v>
      </c>
      <c r="E423" s="45">
        <v>51</v>
      </c>
      <c r="K423" s="45" t="s">
        <v>221</v>
      </c>
    </row>
    <row r="424" spans="1:11">
      <c r="A424" s="2">
        <v>43914</v>
      </c>
      <c r="C424" s="45" t="s">
        <v>56</v>
      </c>
      <c r="E424" s="45">
        <v>255</v>
      </c>
      <c r="F424" s="45">
        <v>35</v>
      </c>
      <c r="G424" s="45">
        <v>7</v>
      </c>
      <c r="J424" s="45">
        <v>5</v>
      </c>
      <c r="K424" s="45" t="s">
        <v>736</v>
      </c>
    </row>
    <row r="425" spans="1:11">
      <c r="A425" s="2">
        <v>43914</v>
      </c>
      <c r="C425" s="45" t="s">
        <v>58</v>
      </c>
      <c r="D425" s="45">
        <v>7922</v>
      </c>
      <c r="E425" s="45">
        <v>1632</v>
      </c>
      <c r="F425" s="45">
        <v>238</v>
      </c>
      <c r="G425" s="45">
        <v>41</v>
      </c>
      <c r="H425" s="45">
        <v>41</v>
      </c>
      <c r="I425" s="45">
        <v>103</v>
      </c>
      <c r="J425" s="45">
        <v>17</v>
      </c>
      <c r="K425" s="45" t="s">
        <v>369</v>
      </c>
    </row>
    <row r="426" spans="1:11">
      <c r="A426" s="2">
        <v>43914</v>
      </c>
      <c r="C426" s="45" t="s">
        <v>60</v>
      </c>
      <c r="E426" s="45">
        <v>33</v>
      </c>
      <c r="F426" s="45">
        <v>3</v>
      </c>
      <c r="J426" s="45">
        <v>0</v>
      </c>
      <c r="K426" s="45" t="s">
        <v>609</v>
      </c>
    </row>
    <row r="427" spans="1:11">
      <c r="A427" s="2">
        <v>43914</v>
      </c>
      <c r="C427" s="45" t="s">
        <v>62</v>
      </c>
      <c r="E427" s="45">
        <v>343</v>
      </c>
      <c r="F427" s="45">
        <v>43</v>
      </c>
      <c r="J427" s="45">
        <v>6</v>
      </c>
      <c r="K427" s="45" t="s">
        <v>511</v>
      </c>
    </row>
    <row r="428" spans="1:11">
      <c r="A428" s="2">
        <v>43914</v>
      </c>
      <c r="C428" s="45" t="s">
        <v>64</v>
      </c>
      <c r="E428" s="45">
        <v>82</v>
      </c>
      <c r="F428" s="45">
        <v>22</v>
      </c>
      <c r="G428" s="45">
        <v>4</v>
      </c>
      <c r="J428" s="45">
        <v>0</v>
      </c>
      <c r="K428" s="45" t="s">
        <v>688</v>
      </c>
    </row>
    <row r="429" spans="1:11">
      <c r="A429" s="2">
        <v>43914</v>
      </c>
      <c r="C429" s="45" t="s">
        <v>69</v>
      </c>
      <c r="E429" s="45">
        <v>265</v>
      </c>
      <c r="F429" s="45">
        <v>32</v>
      </c>
      <c r="G429" s="45">
        <v>8</v>
      </c>
      <c r="H429" s="45">
        <v>6</v>
      </c>
      <c r="J429" s="45">
        <v>6</v>
      </c>
      <c r="K429" s="45" t="s">
        <v>325</v>
      </c>
    </row>
    <row r="430" spans="1:11">
      <c r="A430" s="2">
        <v>43914</v>
      </c>
      <c r="C430" s="45" t="s">
        <v>71</v>
      </c>
      <c r="E430" s="45">
        <v>42</v>
      </c>
      <c r="F430" s="45">
        <v>4</v>
      </c>
      <c r="K430" s="45" t="s">
        <v>310</v>
      </c>
    </row>
    <row r="431" spans="1:11">
      <c r="A431" s="2">
        <v>43914</v>
      </c>
      <c r="C431" s="45" t="s">
        <v>73</v>
      </c>
      <c r="E431" s="45">
        <v>25</v>
      </c>
      <c r="K431" s="45" t="s">
        <v>75</v>
      </c>
    </row>
    <row r="432" spans="1:11">
      <c r="A432" s="2">
        <v>43914</v>
      </c>
      <c r="C432" s="45" t="s">
        <v>76</v>
      </c>
      <c r="E432" s="45">
        <v>200</v>
      </c>
      <c r="J432" s="45">
        <v>1</v>
      </c>
      <c r="K432" s="45" t="s">
        <v>78</v>
      </c>
    </row>
    <row r="433" spans="1:11">
      <c r="A433" s="2">
        <v>43914</v>
      </c>
      <c r="C433" s="45" t="s">
        <v>79</v>
      </c>
      <c r="E433" s="45">
        <v>34</v>
      </c>
      <c r="J433" s="45">
        <v>0</v>
      </c>
      <c r="K433" s="45" t="s">
        <v>703</v>
      </c>
    </row>
    <row r="434" spans="1:11">
      <c r="A434" s="2">
        <v>43914</v>
      </c>
      <c r="C434" s="45" t="s">
        <v>84</v>
      </c>
      <c r="E434" s="45">
        <v>97</v>
      </c>
      <c r="I434" s="45">
        <v>10</v>
      </c>
      <c r="J434" s="45">
        <v>0</v>
      </c>
      <c r="K434" s="45" t="s">
        <v>704</v>
      </c>
    </row>
    <row r="435" spans="1:11">
      <c r="A435" s="2">
        <v>43914</v>
      </c>
      <c r="C435" s="45" t="s">
        <v>86</v>
      </c>
      <c r="E435" s="45">
        <v>88</v>
      </c>
      <c r="J435" s="45">
        <v>1</v>
      </c>
      <c r="K435" s="45" t="s">
        <v>222</v>
      </c>
    </row>
    <row r="436" spans="1:11">
      <c r="A436" s="2">
        <v>43914</v>
      </c>
      <c r="C436" s="45" t="s">
        <v>94</v>
      </c>
      <c r="E436" s="45">
        <v>2549</v>
      </c>
      <c r="F436" s="45">
        <v>284</v>
      </c>
      <c r="G436" s="45">
        <v>39</v>
      </c>
      <c r="J436" s="45">
        <v>33</v>
      </c>
      <c r="K436" s="45" t="s">
        <v>96</v>
      </c>
    </row>
    <row r="437" spans="1:11">
      <c r="A437" s="2">
        <v>43914</v>
      </c>
      <c r="C437" s="45" t="s">
        <v>97</v>
      </c>
      <c r="E437" s="45">
        <v>728</v>
      </c>
      <c r="F437" s="45">
        <v>117</v>
      </c>
      <c r="G437" s="45">
        <v>13</v>
      </c>
      <c r="H437" s="45">
        <v>12</v>
      </c>
      <c r="J437" s="45">
        <v>14</v>
      </c>
      <c r="K437" s="45" t="s">
        <v>620</v>
      </c>
    </row>
    <row r="438" spans="1:11">
      <c r="A438" s="2">
        <v>43914</v>
      </c>
      <c r="B438" s="45">
        <v>0</v>
      </c>
      <c r="C438" s="45" t="s">
        <v>81</v>
      </c>
      <c r="E438" s="45">
        <v>104</v>
      </c>
      <c r="J438" s="45">
        <v>1</v>
      </c>
      <c r="K438" s="45" t="s">
        <v>83</v>
      </c>
    </row>
    <row r="439" spans="1:11">
      <c r="A439" s="2">
        <v>43914</v>
      </c>
      <c r="B439" s="45">
        <v>0.33333333333333331</v>
      </c>
      <c r="C439" s="45" t="s">
        <v>89</v>
      </c>
      <c r="E439" s="45">
        <v>1209</v>
      </c>
      <c r="F439" s="45">
        <v>285</v>
      </c>
      <c r="G439" s="45">
        <v>50</v>
      </c>
      <c r="H439" s="45">
        <v>48</v>
      </c>
      <c r="I439" s="45">
        <v>80</v>
      </c>
      <c r="J439" s="45">
        <v>53</v>
      </c>
      <c r="K439" s="45" t="s">
        <v>507</v>
      </c>
    </row>
    <row r="440" spans="1:11">
      <c r="A440" s="2">
        <v>43914</v>
      </c>
      <c r="B440" s="45">
        <v>0.33333333333333331</v>
      </c>
      <c r="C440" s="45" t="s">
        <v>99</v>
      </c>
      <c r="E440" s="45">
        <v>72</v>
      </c>
      <c r="F440" s="45">
        <v>6</v>
      </c>
      <c r="G440" s="45">
        <v>0</v>
      </c>
      <c r="I440" s="45">
        <v>12</v>
      </c>
      <c r="J440" s="45">
        <v>0</v>
      </c>
      <c r="K440" s="45" t="s">
        <v>328</v>
      </c>
    </row>
    <row r="441" spans="1:11">
      <c r="A441" s="2">
        <v>43914</v>
      </c>
      <c r="B441" s="45">
        <v>0.375</v>
      </c>
      <c r="C441" s="45" t="s">
        <v>50</v>
      </c>
      <c r="E441" s="45">
        <v>410</v>
      </c>
      <c r="F441" s="45">
        <v>58</v>
      </c>
      <c r="I441" s="45">
        <v>105</v>
      </c>
      <c r="J441" s="45">
        <v>5</v>
      </c>
      <c r="K441" s="45" t="s">
        <v>220</v>
      </c>
    </row>
    <row r="442" spans="1:11">
      <c r="A442" s="2">
        <v>43914</v>
      </c>
      <c r="B442" s="45">
        <v>0.41666666666666669</v>
      </c>
      <c r="C442" s="45" t="s">
        <v>41</v>
      </c>
      <c r="E442" s="45">
        <v>33</v>
      </c>
      <c r="F442" s="45">
        <v>6</v>
      </c>
      <c r="J442" s="45">
        <v>2</v>
      </c>
      <c r="K442" s="45" t="s">
        <v>43</v>
      </c>
    </row>
    <row r="443" spans="1:11">
      <c r="A443" s="2">
        <v>43914</v>
      </c>
      <c r="B443" s="45">
        <v>0.45833333333333331</v>
      </c>
      <c r="C443" s="45" t="s">
        <v>66</v>
      </c>
      <c r="E443" s="45">
        <v>205</v>
      </c>
      <c r="J443" s="45">
        <v>2</v>
      </c>
      <c r="K443" s="45" t="s">
        <v>68</v>
      </c>
    </row>
    <row r="444" spans="1:11">
      <c r="A444" s="2">
        <v>43914</v>
      </c>
      <c r="B444" s="45">
        <v>0.5</v>
      </c>
      <c r="C444" s="45" t="s">
        <v>91</v>
      </c>
      <c r="E444" s="45">
        <v>25</v>
      </c>
      <c r="F444" s="45">
        <v>1</v>
      </c>
      <c r="I444" s="45">
        <v>1</v>
      </c>
      <c r="K444" s="45" t="s">
        <v>205</v>
      </c>
    </row>
    <row r="445" spans="1:11">
      <c r="A445" s="2">
        <v>43914</v>
      </c>
      <c r="B445" s="45">
        <v>0.60416666666666663</v>
      </c>
      <c r="C445" s="45" t="s">
        <v>101</v>
      </c>
      <c r="E445" s="45">
        <v>1224</v>
      </c>
      <c r="F445" s="45">
        <v>138</v>
      </c>
      <c r="H445" s="45">
        <v>26</v>
      </c>
      <c r="J445" s="45">
        <v>8</v>
      </c>
      <c r="K445" s="45" t="s">
        <v>103</v>
      </c>
    </row>
    <row r="446" spans="1:11">
      <c r="A446" s="2">
        <v>43914</v>
      </c>
      <c r="B446" s="45">
        <v>0.625</v>
      </c>
      <c r="C446" s="45" t="s">
        <v>34</v>
      </c>
      <c r="E446" s="45">
        <v>266</v>
      </c>
      <c r="F446" s="45">
        <v>24</v>
      </c>
      <c r="G446" s="45">
        <v>2</v>
      </c>
      <c r="H446" s="45">
        <v>2</v>
      </c>
      <c r="J446" s="45">
        <v>2</v>
      </c>
      <c r="K446" s="45" t="s">
        <v>219</v>
      </c>
    </row>
    <row r="447" spans="1:11">
      <c r="A447" s="2">
        <v>43914</v>
      </c>
      <c r="B447" s="45">
        <v>0.70833333333333337</v>
      </c>
      <c r="C447" s="45" t="s">
        <v>38</v>
      </c>
      <c r="E447" s="45">
        <v>8</v>
      </c>
      <c r="J447" s="45">
        <v>0</v>
      </c>
      <c r="K447" s="45" t="s">
        <v>40</v>
      </c>
    </row>
    <row r="448" spans="1:11">
      <c r="A448" s="2">
        <v>43915</v>
      </c>
      <c r="C448" s="45" t="s">
        <v>44</v>
      </c>
      <c r="E448" s="45">
        <v>624</v>
      </c>
      <c r="J448" s="45">
        <v>6</v>
      </c>
      <c r="K448" s="45" t="s">
        <v>46</v>
      </c>
    </row>
    <row r="449" spans="1:11">
      <c r="A449" s="2">
        <v>43915</v>
      </c>
      <c r="C449" s="45" t="s">
        <v>47</v>
      </c>
      <c r="E449" s="45">
        <v>341</v>
      </c>
      <c r="F449" s="45">
        <v>68</v>
      </c>
      <c r="G449" s="45">
        <v>8</v>
      </c>
      <c r="I449" s="45">
        <v>46</v>
      </c>
      <c r="J449" s="45">
        <v>5</v>
      </c>
      <c r="K449" s="45" t="s">
        <v>49</v>
      </c>
    </row>
    <row r="450" spans="1:11">
      <c r="A450" s="2">
        <v>43915</v>
      </c>
      <c r="C450" s="45" t="s">
        <v>53</v>
      </c>
      <c r="E450" s="45">
        <v>53</v>
      </c>
      <c r="K450" s="45" t="s">
        <v>225</v>
      </c>
    </row>
    <row r="451" spans="1:11">
      <c r="A451" s="2">
        <v>43915</v>
      </c>
      <c r="C451" s="45" t="s">
        <v>56</v>
      </c>
      <c r="E451" s="45">
        <v>293</v>
      </c>
      <c r="F451" s="45">
        <v>39</v>
      </c>
      <c r="G451" s="45">
        <v>7</v>
      </c>
      <c r="J451" s="45">
        <v>6</v>
      </c>
      <c r="K451" s="45" t="s">
        <v>736</v>
      </c>
    </row>
    <row r="452" spans="1:11">
      <c r="A452" s="2">
        <v>43915</v>
      </c>
      <c r="C452" s="45" t="s">
        <v>58</v>
      </c>
      <c r="D452" s="45">
        <v>8328</v>
      </c>
      <c r="E452" s="45">
        <v>1755</v>
      </c>
      <c r="F452" s="45">
        <v>258</v>
      </c>
      <c r="G452" s="45">
        <v>50</v>
      </c>
      <c r="H452" s="45">
        <v>48</v>
      </c>
      <c r="I452" s="45">
        <v>122</v>
      </c>
      <c r="J452" s="45">
        <v>24</v>
      </c>
      <c r="K452" s="45" t="s">
        <v>369</v>
      </c>
    </row>
    <row r="453" spans="1:11">
      <c r="A453" s="2">
        <v>43915</v>
      </c>
      <c r="C453" s="45" t="s">
        <v>60</v>
      </c>
      <c r="E453" s="45">
        <v>40</v>
      </c>
      <c r="F453" s="45">
        <v>2</v>
      </c>
      <c r="J453" s="45">
        <v>0</v>
      </c>
      <c r="K453" s="45" t="s">
        <v>609</v>
      </c>
    </row>
    <row r="454" spans="1:11">
      <c r="A454" s="2">
        <v>43915</v>
      </c>
      <c r="C454" s="45" t="s">
        <v>62</v>
      </c>
      <c r="E454" s="45">
        <v>393</v>
      </c>
      <c r="F454" s="45">
        <v>45</v>
      </c>
      <c r="J454" s="45">
        <v>8</v>
      </c>
      <c r="K454" s="45" t="s">
        <v>511</v>
      </c>
    </row>
    <row r="455" spans="1:11">
      <c r="A455" s="2">
        <v>43915</v>
      </c>
      <c r="C455" s="45" t="s">
        <v>64</v>
      </c>
      <c r="E455" s="45">
        <v>92</v>
      </c>
      <c r="F455" s="45">
        <v>23</v>
      </c>
      <c r="G455" s="45">
        <v>4</v>
      </c>
      <c r="J455" s="45">
        <v>0</v>
      </c>
      <c r="K455" s="45" t="s">
        <v>688</v>
      </c>
    </row>
    <row r="456" spans="1:11">
      <c r="A456" s="2">
        <v>43915</v>
      </c>
      <c r="C456" s="45" t="s">
        <v>69</v>
      </c>
      <c r="E456" s="45">
        <v>280</v>
      </c>
      <c r="F456" s="45">
        <v>41</v>
      </c>
      <c r="G456" s="45">
        <v>10</v>
      </c>
      <c r="H456" s="45">
        <v>7</v>
      </c>
      <c r="J456" s="45">
        <v>9</v>
      </c>
      <c r="K456" s="45" t="s">
        <v>325</v>
      </c>
    </row>
    <row r="457" spans="1:11">
      <c r="A457" s="2">
        <v>43915</v>
      </c>
      <c r="C457" s="45" t="s">
        <v>71</v>
      </c>
      <c r="E457" s="45">
        <v>44</v>
      </c>
      <c r="F457" s="45">
        <v>3</v>
      </c>
      <c r="K457" s="45" t="s">
        <v>310</v>
      </c>
    </row>
    <row r="458" spans="1:11">
      <c r="A458" s="2">
        <v>43915</v>
      </c>
      <c r="C458" s="45" t="s">
        <v>73</v>
      </c>
      <c r="E458" s="45">
        <v>27</v>
      </c>
      <c r="K458" s="45" t="s">
        <v>75</v>
      </c>
    </row>
    <row r="459" spans="1:11">
      <c r="A459" s="2">
        <v>43915</v>
      </c>
      <c r="C459" s="45" t="s">
        <v>76</v>
      </c>
      <c r="E459" s="45">
        <v>228</v>
      </c>
      <c r="J459" s="45">
        <v>1</v>
      </c>
      <c r="K459" s="45" t="s">
        <v>78</v>
      </c>
    </row>
    <row r="460" spans="1:11">
      <c r="A460" s="2">
        <v>43915</v>
      </c>
      <c r="C460" s="45" t="s">
        <v>79</v>
      </c>
      <c r="E460" s="45">
        <v>35</v>
      </c>
      <c r="F460" s="45">
        <v>10</v>
      </c>
      <c r="G460" s="45">
        <v>1</v>
      </c>
      <c r="J460" s="45">
        <v>0</v>
      </c>
      <c r="K460" s="45" t="s">
        <v>703</v>
      </c>
    </row>
    <row r="461" spans="1:11">
      <c r="A461" s="2">
        <v>43915</v>
      </c>
      <c r="C461" s="45" t="s">
        <v>84</v>
      </c>
      <c r="I461" s="45">
        <v>10</v>
      </c>
      <c r="J461" s="45">
        <v>0</v>
      </c>
      <c r="K461" s="45" t="s">
        <v>704</v>
      </c>
    </row>
    <row r="462" spans="1:11">
      <c r="A462" s="2">
        <v>43915</v>
      </c>
      <c r="C462" s="45" t="s">
        <v>86</v>
      </c>
      <c r="E462" s="45">
        <v>97</v>
      </c>
      <c r="J462" s="45">
        <v>1</v>
      </c>
      <c r="K462" s="45" t="s">
        <v>88</v>
      </c>
    </row>
    <row r="463" spans="1:11">
      <c r="A463" s="2">
        <v>43915</v>
      </c>
      <c r="C463" s="45" t="s">
        <v>94</v>
      </c>
      <c r="E463" s="45">
        <v>2741</v>
      </c>
      <c r="F463" s="45">
        <v>312</v>
      </c>
      <c r="G463" s="45">
        <v>49</v>
      </c>
      <c r="J463" s="45">
        <v>41</v>
      </c>
      <c r="K463" s="45" t="s">
        <v>96</v>
      </c>
    </row>
    <row r="464" spans="1:11">
      <c r="A464" s="2">
        <v>43915</v>
      </c>
      <c r="C464" s="45" t="s">
        <v>97</v>
      </c>
      <c r="E464" s="45">
        <v>793</v>
      </c>
      <c r="F464" s="45">
        <v>118</v>
      </c>
      <c r="G464" s="45">
        <v>15</v>
      </c>
      <c r="H464" s="45">
        <v>14</v>
      </c>
      <c r="J464" s="45">
        <v>15</v>
      </c>
      <c r="K464" s="45" t="s">
        <v>620</v>
      </c>
    </row>
    <row r="465" spans="1:11">
      <c r="A465" s="2">
        <v>43915</v>
      </c>
      <c r="B465" s="45">
        <v>0</v>
      </c>
      <c r="C465" s="45" t="s">
        <v>81</v>
      </c>
      <c r="E465" s="45">
        <v>129</v>
      </c>
      <c r="J465" s="45">
        <v>1</v>
      </c>
      <c r="K465" s="45" t="s">
        <v>83</v>
      </c>
    </row>
    <row r="466" spans="1:11">
      <c r="A466" s="2">
        <v>43915</v>
      </c>
      <c r="B466" s="45">
        <v>0.33333333333333331</v>
      </c>
      <c r="C466" s="45" t="s">
        <v>41</v>
      </c>
      <c r="E466" s="45">
        <v>34</v>
      </c>
      <c r="J466" s="45">
        <v>2</v>
      </c>
      <c r="K466" s="45" t="s">
        <v>43</v>
      </c>
    </row>
    <row r="467" spans="1:11">
      <c r="A467" s="2">
        <v>43915</v>
      </c>
      <c r="B467" s="45">
        <v>0.33333333333333331</v>
      </c>
      <c r="C467" s="45" t="s">
        <v>89</v>
      </c>
      <c r="E467" s="45">
        <v>1354</v>
      </c>
      <c r="F467" s="45">
        <v>306</v>
      </c>
      <c r="G467" s="45">
        <v>57</v>
      </c>
      <c r="H467" s="45">
        <v>55</v>
      </c>
      <c r="I467" s="45">
        <v>85</v>
      </c>
      <c r="J467" s="45">
        <v>60</v>
      </c>
      <c r="K467" s="45" t="s">
        <v>507</v>
      </c>
    </row>
    <row r="468" spans="1:11">
      <c r="A468" s="2">
        <v>43915</v>
      </c>
      <c r="B468" s="45">
        <v>0.33333333333333331</v>
      </c>
      <c r="C468" s="45" t="s">
        <v>99</v>
      </c>
      <c r="E468" s="45">
        <v>80</v>
      </c>
      <c r="F468" s="45">
        <v>9</v>
      </c>
      <c r="G468" s="45">
        <v>1</v>
      </c>
      <c r="I468" s="45">
        <v>18</v>
      </c>
      <c r="J468" s="45">
        <v>0</v>
      </c>
      <c r="K468" s="45" t="s">
        <v>328</v>
      </c>
    </row>
    <row r="469" spans="1:11">
      <c r="A469" s="2">
        <v>43915</v>
      </c>
      <c r="B469" s="45">
        <v>0.41666666666666669</v>
      </c>
      <c r="C469" s="45" t="s">
        <v>50</v>
      </c>
      <c r="E469" s="45">
        <v>462</v>
      </c>
      <c r="F469" s="45">
        <v>58</v>
      </c>
      <c r="I469" s="45">
        <v>128</v>
      </c>
      <c r="J469" s="45">
        <v>8</v>
      </c>
      <c r="K469" s="45" t="s">
        <v>224</v>
      </c>
    </row>
    <row r="470" spans="1:11">
      <c r="A470" s="2">
        <v>43915</v>
      </c>
      <c r="B470" s="45">
        <v>0.45833333333333331</v>
      </c>
      <c r="C470" s="45" t="s">
        <v>66</v>
      </c>
      <c r="E470" s="45">
        <v>228</v>
      </c>
      <c r="J470" s="45">
        <v>2</v>
      </c>
      <c r="K470" s="45" t="s">
        <v>68</v>
      </c>
    </row>
    <row r="471" spans="1:11">
      <c r="A471" s="2">
        <v>43915</v>
      </c>
      <c r="B471" s="45">
        <v>0.60416666666666663</v>
      </c>
      <c r="C471" s="45" t="s">
        <v>101</v>
      </c>
      <c r="E471" s="45">
        <v>1371</v>
      </c>
      <c r="F471" s="45">
        <v>146</v>
      </c>
      <c r="H471" s="45">
        <v>28</v>
      </c>
      <c r="J471" s="45">
        <v>10</v>
      </c>
      <c r="K471" s="45" t="s">
        <v>103</v>
      </c>
    </row>
    <row r="472" spans="1:11">
      <c r="A472" s="2">
        <v>43915</v>
      </c>
      <c r="B472" s="45">
        <v>0.625</v>
      </c>
      <c r="C472" s="45" t="s">
        <v>34</v>
      </c>
      <c r="E472" s="45">
        <v>319</v>
      </c>
      <c r="F472" s="45">
        <v>16</v>
      </c>
      <c r="G472" s="45">
        <v>5</v>
      </c>
      <c r="H472" s="45">
        <v>5</v>
      </c>
      <c r="J472" s="45">
        <v>2</v>
      </c>
      <c r="K472" s="45" t="s">
        <v>223</v>
      </c>
    </row>
    <row r="473" spans="1:11">
      <c r="A473" s="2">
        <v>43915</v>
      </c>
      <c r="B473" s="45">
        <v>0.70833333333333337</v>
      </c>
      <c r="C473" s="45" t="s">
        <v>38</v>
      </c>
      <c r="E473" s="45">
        <v>9</v>
      </c>
      <c r="J473" s="45">
        <v>0</v>
      </c>
      <c r="K473" s="45" t="s">
        <v>40</v>
      </c>
    </row>
    <row r="474" spans="1:11">
      <c r="A474" s="2">
        <v>43916</v>
      </c>
      <c r="C474" s="45" t="s">
        <v>44</v>
      </c>
      <c r="E474" s="45">
        <v>660</v>
      </c>
      <c r="J474" s="45">
        <v>7</v>
      </c>
      <c r="K474" s="45" t="s">
        <v>46</v>
      </c>
    </row>
    <row r="475" spans="1:11">
      <c r="A475" s="2">
        <v>43916</v>
      </c>
      <c r="C475" s="45" t="s">
        <v>47</v>
      </c>
      <c r="E475" s="45">
        <v>422</v>
      </c>
      <c r="F475" s="45">
        <v>68</v>
      </c>
      <c r="G475" s="45">
        <v>9</v>
      </c>
      <c r="I475" s="45">
        <v>65</v>
      </c>
      <c r="J475" s="45">
        <v>5</v>
      </c>
      <c r="K475" s="45" t="s">
        <v>49</v>
      </c>
    </row>
    <row r="476" spans="1:11">
      <c r="A476" s="2">
        <v>43916</v>
      </c>
      <c r="C476" s="45" t="s">
        <v>53</v>
      </c>
      <c r="D476" s="45">
        <v>900</v>
      </c>
      <c r="E476" s="45">
        <v>56</v>
      </c>
      <c r="K476" s="45" t="s">
        <v>228</v>
      </c>
    </row>
    <row r="477" spans="1:11">
      <c r="A477" s="2">
        <v>43916</v>
      </c>
      <c r="C477" s="45" t="s">
        <v>56</v>
      </c>
      <c r="E477" s="45">
        <v>309</v>
      </c>
      <c r="F477" s="45">
        <v>44</v>
      </c>
      <c r="G477" s="45">
        <v>5</v>
      </c>
      <c r="J477" s="45">
        <v>11</v>
      </c>
      <c r="K477" s="45" t="s">
        <v>736</v>
      </c>
    </row>
    <row r="478" spans="1:11">
      <c r="A478" s="2">
        <v>43916</v>
      </c>
      <c r="C478" s="45" t="s">
        <v>58</v>
      </c>
      <c r="D478" s="45">
        <v>8835</v>
      </c>
      <c r="E478" s="45">
        <v>1981</v>
      </c>
      <c r="F478" s="45">
        <v>272</v>
      </c>
      <c r="G478" s="45">
        <v>52</v>
      </c>
      <c r="H478" s="45">
        <v>48</v>
      </c>
      <c r="I478" s="45">
        <v>144</v>
      </c>
      <c r="J478" s="45">
        <v>26</v>
      </c>
      <c r="K478" s="45" t="s">
        <v>369</v>
      </c>
    </row>
    <row r="479" spans="1:11">
      <c r="A479" s="2">
        <v>43916</v>
      </c>
      <c r="C479" s="45" t="s">
        <v>60</v>
      </c>
      <c r="E479" s="45">
        <v>43</v>
      </c>
      <c r="F479" s="45">
        <v>2</v>
      </c>
      <c r="J479" s="45">
        <v>0</v>
      </c>
      <c r="K479" s="45" t="s">
        <v>609</v>
      </c>
    </row>
    <row r="480" spans="1:11">
      <c r="A480" s="2">
        <v>43916</v>
      </c>
      <c r="C480" s="45" t="s">
        <v>62</v>
      </c>
      <c r="E480" s="45">
        <v>433</v>
      </c>
      <c r="F480" s="45">
        <v>52</v>
      </c>
      <c r="J480" s="45">
        <v>8</v>
      </c>
      <c r="K480" s="45" t="s">
        <v>511</v>
      </c>
    </row>
    <row r="481" spans="1:11">
      <c r="A481" s="2">
        <v>43916</v>
      </c>
      <c r="C481" s="45" t="s">
        <v>64</v>
      </c>
      <c r="E481" s="45">
        <v>100</v>
      </c>
      <c r="F481" s="45">
        <v>22</v>
      </c>
      <c r="G481" s="45">
        <v>4</v>
      </c>
      <c r="J481" s="45">
        <v>0</v>
      </c>
      <c r="K481" s="45" t="s">
        <v>688</v>
      </c>
    </row>
    <row r="482" spans="1:11">
      <c r="A482" s="2">
        <v>43916</v>
      </c>
      <c r="C482" s="45" t="s">
        <v>69</v>
      </c>
      <c r="E482" s="45">
        <v>299</v>
      </c>
      <c r="F482" s="45">
        <v>42</v>
      </c>
      <c r="G482" s="45">
        <v>9</v>
      </c>
      <c r="H482" s="45">
        <v>7</v>
      </c>
      <c r="J482" s="45">
        <v>12</v>
      </c>
      <c r="K482" s="45" t="s">
        <v>325</v>
      </c>
    </row>
    <row r="483" spans="1:11">
      <c r="A483" s="2">
        <v>43916</v>
      </c>
      <c r="C483" s="45" t="s">
        <v>71</v>
      </c>
      <c r="E483" s="45">
        <v>48</v>
      </c>
      <c r="F483" s="45">
        <v>2</v>
      </c>
      <c r="K483" s="45" t="s">
        <v>310</v>
      </c>
    </row>
    <row r="484" spans="1:11">
      <c r="A484" s="2">
        <v>43916</v>
      </c>
      <c r="C484" s="45" t="s">
        <v>73</v>
      </c>
      <c r="E484" s="45">
        <v>30</v>
      </c>
      <c r="K484" s="45" t="s">
        <v>75</v>
      </c>
    </row>
    <row r="485" spans="1:11">
      <c r="A485" s="2">
        <v>43916</v>
      </c>
      <c r="C485" s="45" t="s">
        <v>76</v>
      </c>
      <c r="E485" s="45">
        <v>280</v>
      </c>
      <c r="J485" s="45">
        <v>1</v>
      </c>
      <c r="K485" s="45" t="s">
        <v>78</v>
      </c>
    </row>
    <row r="486" spans="1:11">
      <c r="A486" s="2">
        <v>43916</v>
      </c>
      <c r="C486" s="45" t="s">
        <v>79</v>
      </c>
      <c r="E486" s="45">
        <v>36</v>
      </c>
      <c r="F486" s="45">
        <v>6</v>
      </c>
      <c r="G486" s="45">
        <v>1</v>
      </c>
      <c r="J486" s="45">
        <v>0</v>
      </c>
      <c r="K486" s="45" t="s">
        <v>703</v>
      </c>
    </row>
    <row r="487" spans="1:11">
      <c r="A487" s="2">
        <v>43916</v>
      </c>
      <c r="C487" s="45" t="s">
        <v>84</v>
      </c>
      <c r="E487" s="45">
        <v>107</v>
      </c>
      <c r="I487" s="45">
        <v>20</v>
      </c>
      <c r="J487" s="45">
        <v>0</v>
      </c>
      <c r="K487" s="45" t="s">
        <v>704</v>
      </c>
    </row>
    <row r="488" spans="1:11">
      <c r="A488" s="2">
        <v>43916</v>
      </c>
      <c r="C488" s="45" t="s">
        <v>86</v>
      </c>
      <c r="E488" s="45">
        <v>111</v>
      </c>
      <c r="J488" s="45">
        <v>1</v>
      </c>
      <c r="K488" s="45" t="s">
        <v>88</v>
      </c>
    </row>
    <row r="489" spans="1:11">
      <c r="A489" s="2">
        <v>43916</v>
      </c>
      <c r="C489" s="45" t="s">
        <v>91</v>
      </c>
      <c r="E489" s="45">
        <v>38</v>
      </c>
      <c r="F489" s="45">
        <v>4</v>
      </c>
      <c r="I489" s="45">
        <v>2</v>
      </c>
      <c r="K489" s="45" t="s">
        <v>205</v>
      </c>
    </row>
    <row r="490" spans="1:11">
      <c r="A490" s="2">
        <v>43916</v>
      </c>
      <c r="C490" s="45" t="s">
        <v>94</v>
      </c>
      <c r="E490" s="45">
        <v>2946</v>
      </c>
      <c r="F490" s="45">
        <v>323</v>
      </c>
      <c r="G490" s="45">
        <v>53</v>
      </c>
      <c r="J490" s="45">
        <v>58</v>
      </c>
      <c r="K490" s="45" t="s">
        <v>96</v>
      </c>
    </row>
    <row r="491" spans="1:11">
      <c r="A491" s="2">
        <v>43916</v>
      </c>
      <c r="C491" s="45" t="s">
        <v>97</v>
      </c>
      <c r="E491" s="45">
        <v>874</v>
      </c>
      <c r="F491" s="45">
        <v>128</v>
      </c>
      <c r="G491" s="45">
        <v>19</v>
      </c>
      <c r="H491" s="45">
        <v>17</v>
      </c>
      <c r="J491" s="45">
        <v>17</v>
      </c>
      <c r="K491" s="45" t="s">
        <v>620</v>
      </c>
    </row>
    <row r="492" spans="1:11">
      <c r="A492" s="2">
        <v>43916</v>
      </c>
      <c r="B492" s="45">
        <v>0</v>
      </c>
      <c r="C492" s="45" t="s">
        <v>81</v>
      </c>
      <c r="E492" s="45">
        <v>141</v>
      </c>
      <c r="J492" s="45">
        <v>1</v>
      </c>
      <c r="K492" s="45" t="s">
        <v>83</v>
      </c>
    </row>
    <row r="493" spans="1:11">
      <c r="A493" s="2">
        <v>43916</v>
      </c>
      <c r="B493" s="45">
        <v>0.33333333333333331</v>
      </c>
      <c r="C493" s="45" t="s">
        <v>89</v>
      </c>
      <c r="E493" s="45">
        <v>1401</v>
      </c>
      <c r="F493" s="45">
        <v>358</v>
      </c>
      <c r="G493" s="45">
        <v>60</v>
      </c>
      <c r="H493" s="45">
        <v>56</v>
      </c>
      <c r="I493" s="45">
        <v>91</v>
      </c>
      <c r="J493" s="45">
        <v>67</v>
      </c>
      <c r="K493" s="45" t="s">
        <v>507</v>
      </c>
    </row>
    <row r="494" spans="1:11">
      <c r="A494" s="2">
        <v>43916</v>
      </c>
      <c r="B494" s="45">
        <v>0.33333333333333331</v>
      </c>
      <c r="C494" s="45" t="s">
        <v>99</v>
      </c>
      <c r="E494" s="45">
        <v>87</v>
      </c>
      <c r="F494" s="45">
        <v>10</v>
      </c>
      <c r="G494" s="45">
        <v>1</v>
      </c>
      <c r="I494" s="45">
        <v>18</v>
      </c>
      <c r="J494" s="45">
        <v>0</v>
      </c>
      <c r="K494" s="45" t="s">
        <v>328</v>
      </c>
    </row>
    <row r="495" spans="1:11">
      <c r="A495" s="2">
        <v>43916</v>
      </c>
      <c r="B495" s="45">
        <v>0.4375</v>
      </c>
      <c r="C495" s="45" t="s">
        <v>50</v>
      </c>
      <c r="E495" s="45">
        <v>501</v>
      </c>
      <c r="F495" s="45">
        <v>74</v>
      </c>
      <c r="G495" s="45">
        <v>8</v>
      </c>
      <c r="I495" s="45">
        <v>155</v>
      </c>
      <c r="J495" s="45">
        <v>12</v>
      </c>
      <c r="K495" s="45" t="s">
        <v>227</v>
      </c>
    </row>
    <row r="496" spans="1:11">
      <c r="A496" s="2">
        <v>43916</v>
      </c>
      <c r="B496" s="45">
        <v>0.45833333333333331</v>
      </c>
      <c r="C496" s="45" t="s">
        <v>66</v>
      </c>
      <c r="E496" s="45">
        <v>253</v>
      </c>
      <c r="J496" s="45">
        <v>3</v>
      </c>
      <c r="K496" s="45" t="s">
        <v>68</v>
      </c>
    </row>
    <row r="497" spans="1:11">
      <c r="A497" s="2">
        <v>43916</v>
      </c>
      <c r="B497" s="45">
        <v>0.60416666666666663</v>
      </c>
      <c r="C497" s="45" t="s">
        <v>101</v>
      </c>
      <c r="E497" s="45">
        <v>1503</v>
      </c>
      <c r="F497" s="45">
        <v>156</v>
      </c>
      <c r="H497" s="45">
        <v>35</v>
      </c>
      <c r="J497" s="45">
        <v>13</v>
      </c>
      <c r="K497" s="45" t="s">
        <v>103</v>
      </c>
    </row>
    <row r="498" spans="1:11">
      <c r="A498" s="2">
        <v>43916</v>
      </c>
      <c r="B498" s="45">
        <v>0.625</v>
      </c>
      <c r="C498" s="45" t="s">
        <v>34</v>
      </c>
      <c r="E498" s="45">
        <v>349</v>
      </c>
      <c r="F498" s="45">
        <v>38</v>
      </c>
      <c r="G498" s="45">
        <v>10</v>
      </c>
      <c r="H498" s="45">
        <v>9</v>
      </c>
      <c r="J498" s="45">
        <v>2</v>
      </c>
      <c r="K498" s="45" t="s">
        <v>226</v>
      </c>
    </row>
    <row r="499" spans="1:11">
      <c r="A499" s="2">
        <v>43916</v>
      </c>
      <c r="B499" s="45">
        <v>0.66666666666666663</v>
      </c>
      <c r="C499" s="45" t="s">
        <v>41</v>
      </c>
      <c r="E499" s="45">
        <v>42</v>
      </c>
      <c r="J499" s="45">
        <v>2</v>
      </c>
      <c r="K499" s="45" t="s">
        <v>43</v>
      </c>
    </row>
    <row r="500" spans="1:11">
      <c r="A500" s="2">
        <v>43916</v>
      </c>
      <c r="B500" s="45">
        <v>0.75</v>
      </c>
      <c r="C500" s="45" t="s">
        <v>38</v>
      </c>
      <c r="E500" s="45">
        <v>11</v>
      </c>
      <c r="J500" s="45">
        <v>0</v>
      </c>
      <c r="K500" s="45" t="s">
        <v>40</v>
      </c>
    </row>
    <row r="501" spans="1:11">
      <c r="A501" s="2">
        <v>43917</v>
      </c>
      <c r="C501" s="45" t="s">
        <v>44</v>
      </c>
      <c r="E501" s="45">
        <v>718</v>
      </c>
      <c r="J501" s="45">
        <v>8</v>
      </c>
      <c r="K501" s="45" t="s">
        <v>46</v>
      </c>
    </row>
    <row r="502" spans="1:11">
      <c r="A502" s="2">
        <v>43917</v>
      </c>
      <c r="C502" s="45" t="s">
        <v>47</v>
      </c>
      <c r="E502" s="45">
        <v>466</v>
      </c>
      <c r="F502" s="45">
        <v>79</v>
      </c>
      <c r="G502" s="45">
        <v>11</v>
      </c>
      <c r="I502" s="45">
        <v>76</v>
      </c>
      <c r="J502" s="45">
        <v>5</v>
      </c>
      <c r="K502" s="45" t="s">
        <v>49</v>
      </c>
    </row>
    <row r="503" spans="1:11">
      <c r="A503" s="2">
        <v>43917</v>
      </c>
      <c r="C503" s="45" t="s">
        <v>53</v>
      </c>
      <c r="E503" s="45">
        <v>60</v>
      </c>
      <c r="K503" s="45" t="s">
        <v>231</v>
      </c>
    </row>
    <row r="504" spans="1:11">
      <c r="A504" s="2">
        <v>43917</v>
      </c>
      <c r="C504" s="45" t="s">
        <v>56</v>
      </c>
      <c r="E504" s="45">
        <v>369</v>
      </c>
      <c r="F504" s="45">
        <v>50</v>
      </c>
      <c r="G504" s="45">
        <v>8</v>
      </c>
      <c r="J504" s="45">
        <v>14</v>
      </c>
      <c r="K504" s="45" t="s">
        <v>736</v>
      </c>
    </row>
    <row r="505" spans="1:11">
      <c r="A505" s="2">
        <v>43917</v>
      </c>
      <c r="C505" s="45" t="s">
        <v>58</v>
      </c>
      <c r="D505" s="45">
        <v>9327</v>
      </c>
      <c r="E505" s="45">
        <v>2169</v>
      </c>
      <c r="F505" s="45">
        <v>313</v>
      </c>
      <c r="G505" s="45">
        <v>54</v>
      </c>
      <c r="H505" s="45">
        <v>54</v>
      </c>
      <c r="I505" s="45">
        <v>153</v>
      </c>
      <c r="J505" s="45">
        <v>33</v>
      </c>
      <c r="K505" s="45" t="s">
        <v>369</v>
      </c>
    </row>
    <row r="506" spans="1:11">
      <c r="A506" s="2">
        <v>43917</v>
      </c>
      <c r="C506" s="45" t="s">
        <v>60</v>
      </c>
      <c r="E506" s="45">
        <v>47</v>
      </c>
      <c r="F506" s="45">
        <v>3</v>
      </c>
      <c r="J506" s="45">
        <v>0</v>
      </c>
      <c r="K506" s="45" t="s">
        <v>609</v>
      </c>
    </row>
    <row r="507" spans="1:11">
      <c r="A507" s="2">
        <v>43917</v>
      </c>
      <c r="C507" s="45" t="s">
        <v>62</v>
      </c>
      <c r="E507" s="45">
        <v>474</v>
      </c>
      <c r="F507" s="45">
        <v>58</v>
      </c>
      <c r="J507" s="45">
        <v>9</v>
      </c>
      <c r="K507" s="45" t="s">
        <v>511</v>
      </c>
    </row>
    <row r="508" spans="1:11">
      <c r="A508" s="2">
        <v>43917</v>
      </c>
      <c r="C508" s="45" t="s">
        <v>64</v>
      </c>
      <c r="E508" s="45">
        <v>114</v>
      </c>
      <c r="F508" s="45">
        <v>25</v>
      </c>
      <c r="G508" s="45">
        <v>6</v>
      </c>
      <c r="J508" s="45">
        <v>0</v>
      </c>
      <c r="K508" s="45" t="s">
        <v>688</v>
      </c>
    </row>
    <row r="509" spans="1:11">
      <c r="A509" s="2">
        <v>43917</v>
      </c>
      <c r="C509" s="45" t="s">
        <v>69</v>
      </c>
      <c r="E509" s="45">
        <v>316</v>
      </c>
      <c r="F509" s="45">
        <v>45</v>
      </c>
      <c r="G509" s="45">
        <v>9</v>
      </c>
      <c r="H509" s="45">
        <v>7</v>
      </c>
      <c r="J509" s="45">
        <v>13</v>
      </c>
      <c r="K509" s="45" t="s">
        <v>325</v>
      </c>
    </row>
    <row r="510" spans="1:11">
      <c r="A510" s="2">
        <v>43917</v>
      </c>
      <c r="C510" s="45" t="s">
        <v>71</v>
      </c>
      <c r="E510" s="45">
        <v>54</v>
      </c>
      <c r="F510" s="45">
        <v>3</v>
      </c>
      <c r="K510" s="45" t="s">
        <v>310</v>
      </c>
    </row>
    <row r="511" spans="1:11">
      <c r="A511" s="2">
        <v>43917</v>
      </c>
      <c r="C511" s="45" t="s">
        <v>73</v>
      </c>
      <c r="E511" s="45">
        <v>37</v>
      </c>
      <c r="K511" s="45" t="s">
        <v>75</v>
      </c>
    </row>
    <row r="512" spans="1:11">
      <c r="A512" s="2">
        <v>43917</v>
      </c>
      <c r="C512" s="45" t="s">
        <v>76</v>
      </c>
      <c r="E512" s="45">
        <v>306</v>
      </c>
      <c r="J512" s="45">
        <v>2</v>
      </c>
      <c r="K512" s="45" t="s">
        <v>78</v>
      </c>
    </row>
    <row r="513" spans="1:11">
      <c r="A513" s="2">
        <v>43917</v>
      </c>
      <c r="C513" s="45" t="s">
        <v>79</v>
      </c>
      <c r="E513" s="45">
        <v>37</v>
      </c>
      <c r="F513" s="45">
        <v>10</v>
      </c>
      <c r="G513" s="45">
        <v>1</v>
      </c>
      <c r="J513" s="45">
        <v>0</v>
      </c>
      <c r="K513" s="45" t="s">
        <v>703</v>
      </c>
    </row>
    <row r="514" spans="1:11">
      <c r="A514" s="2">
        <v>43917</v>
      </c>
      <c r="C514" s="45" t="s">
        <v>84</v>
      </c>
      <c r="E514" s="45">
        <v>119</v>
      </c>
      <c r="I514" s="45">
        <v>32</v>
      </c>
      <c r="J514" s="45">
        <v>1</v>
      </c>
      <c r="K514" s="45" t="s">
        <v>704</v>
      </c>
    </row>
    <row r="515" spans="1:11">
      <c r="A515" s="2">
        <v>43917</v>
      </c>
      <c r="C515" s="45" t="s">
        <v>86</v>
      </c>
      <c r="E515" s="45">
        <v>118</v>
      </c>
      <c r="J515" s="45">
        <v>2</v>
      </c>
      <c r="K515" s="45" t="s">
        <v>232</v>
      </c>
    </row>
    <row r="516" spans="1:11">
      <c r="A516" s="2">
        <v>43917</v>
      </c>
      <c r="C516" s="45" t="s">
        <v>91</v>
      </c>
      <c r="E516" s="45">
        <v>40</v>
      </c>
      <c r="F516" s="45">
        <v>7</v>
      </c>
      <c r="I516" s="45">
        <v>3</v>
      </c>
      <c r="K516" s="45" t="s">
        <v>205</v>
      </c>
    </row>
    <row r="517" spans="1:11">
      <c r="A517" s="2">
        <v>43917</v>
      </c>
      <c r="C517" s="45" t="s">
        <v>94</v>
      </c>
      <c r="E517" s="45">
        <v>3180</v>
      </c>
      <c r="F517" s="45">
        <v>356</v>
      </c>
      <c r="G517" s="45">
        <v>57</v>
      </c>
      <c r="J517" s="45">
        <v>62</v>
      </c>
      <c r="K517" s="45" t="s">
        <v>96</v>
      </c>
    </row>
    <row r="518" spans="1:11">
      <c r="A518" s="2">
        <v>43917</v>
      </c>
      <c r="C518" s="45" t="s">
        <v>97</v>
      </c>
      <c r="E518" s="45">
        <v>968</v>
      </c>
      <c r="F518" s="45">
        <v>137</v>
      </c>
      <c r="G518" s="45">
        <v>20</v>
      </c>
      <c r="H518" s="45">
        <v>16</v>
      </c>
      <c r="J518" s="45">
        <v>21</v>
      </c>
      <c r="K518" s="45" t="s">
        <v>620</v>
      </c>
    </row>
    <row r="519" spans="1:11">
      <c r="A519" s="2">
        <v>43917</v>
      </c>
      <c r="B519" s="45">
        <v>0</v>
      </c>
      <c r="C519" s="45" t="s">
        <v>81</v>
      </c>
      <c r="E519" s="45">
        <v>157</v>
      </c>
      <c r="J519" s="45">
        <v>1</v>
      </c>
      <c r="K519" s="45" t="s">
        <v>83</v>
      </c>
    </row>
    <row r="520" spans="1:11">
      <c r="A520" s="2">
        <v>43917</v>
      </c>
      <c r="B520" s="45">
        <v>0.33333333333333331</v>
      </c>
      <c r="C520" s="45" t="s">
        <v>89</v>
      </c>
      <c r="E520" s="45">
        <v>1688</v>
      </c>
      <c r="F520" s="45">
        <v>386</v>
      </c>
      <c r="G520" s="45">
        <v>61</v>
      </c>
      <c r="H520" s="45">
        <v>51</v>
      </c>
      <c r="I520" s="45">
        <v>107</v>
      </c>
      <c r="J520" s="45">
        <v>76</v>
      </c>
      <c r="K520" s="45" t="s">
        <v>507</v>
      </c>
    </row>
    <row r="521" spans="1:11">
      <c r="A521" s="2">
        <v>43917</v>
      </c>
      <c r="B521" s="45">
        <v>0.33333333333333331</v>
      </c>
      <c r="C521" s="45" t="s">
        <v>99</v>
      </c>
      <c r="E521" s="45">
        <v>94</v>
      </c>
      <c r="F521" s="45">
        <v>12</v>
      </c>
      <c r="G521" s="45">
        <v>5</v>
      </c>
      <c r="I521" s="45">
        <v>18</v>
      </c>
      <c r="J521" s="45">
        <v>0</v>
      </c>
      <c r="K521" s="45" t="s">
        <v>328</v>
      </c>
    </row>
    <row r="522" spans="1:11">
      <c r="A522" s="2">
        <v>43917</v>
      </c>
      <c r="B522" s="45">
        <v>0.41666666666666669</v>
      </c>
      <c r="C522" s="45" t="s">
        <v>50</v>
      </c>
      <c r="E522" s="45">
        <v>530</v>
      </c>
      <c r="F522" s="45">
        <v>76</v>
      </c>
      <c r="G522" s="45">
        <v>8</v>
      </c>
      <c r="I522" s="45">
        <v>191</v>
      </c>
      <c r="J522" s="45">
        <v>13</v>
      </c>
      <c r="K522" s="45" t="s">
        <v>230</v>
      </c>
    </row>
    <row r="523" spans="1:11">
      <c r="A523" s="2">
        <v>43917</v>
      </c>
      <c r="B523" s="45">
        <v>0.45833333333333331</v>
      </c>
      <c r="C523" s="45" t="s">
        <v>66</v>
      </c>
      <c r="E523" s="45">
        <v>287</v>
      </c>
      <c r="J523" s="45">
        <v>3</v>
      </c>
      <c r="K523" s="45" t="s">
        <v>68</v>
      </c>
    </row>
    <row r="524" spans="1:11">
      <c r="A524" s="2">
        <v>43917</v>
      </c>
      <c r="B524" s="45">
        <v>0.54166666666666663</v>
      </c>
      <c r="C524" s="45" t="s">
        <v>41</v>
      </c>
      <c r="E524" s="45">
        <v>44</v>
      </c>
      <c r="J524" s="45">
        <v>2</v>
      </c>
      <c r="K524" s="45" t="s">
        <v>43</v>
      </c>
    </row>
    <row r="525" spans="1:11">
      <c r="A525" s="2">
        <v>43917</v>
      </c>
      <c r="B525" s="45">
        <v>0.60416666666666663</v>
      </c>
      <c r="C525" s="45" t="s">
        <v>101</v>
      </c>
      <c r="E525" s="45">
        <v>1630</v>
      </c>
      <c r="F525" s="45">
        <v>171</v>
      </c>
      <c r="H525" s="45">
        <v>38</v>
      </c>
      <c r="J525" s="45">
        <v>15</v>
      </c>
      <c r="K525" s="45" t="s">
        <v>103</v>
      </c>
    </row>
    <row r="526" spans="1:11">
      <c r="A526" s="2">
        <v>43917</v>
      </c>
      <c r="B526" s="45">
        <v>0.625</v>
      </c>
      <c r="C526" s="45" t="s">
        <v>34</v>
      </c>
      <c r="E526" s="45">
        <v>364</v>
      </c>
      <c r="F526" s="45">
        <v>50</v>
      </c>
      <c r="G526" s="45">
        <v>12</v>
      </c>
      <c r="H526" s="45">
        <v>10</v>
      </c>
      <c r="J526" s="45">
        <v>3</v>
      </c>
      <c r="K526" s="45" t="s">
        <v>229</v>
      </c>
    </row>
    <row r="527" spans="1:11">
      <c r="A527" s="2">
        <v>43917</v>
      </c>
      <c r="B527" s="45">
        <v>0.75</v>
      </c>
      <c r="C527" s="45" t="s">
        <v>38</v>
      </c>
      <c r="E527" s="45">
        <v>12</v>
      </c>
      <c r="J527" s="45">
        <v>0</v>
      </c>
      <c r="K527" s="45" t="s">
        <v>40</v>
      </c>
    </row>
    <row r="528" spans="1:11">
      <c r="A528" s="2">
        <v>43918</v>
      </c>
      <c r="C528" s="45" t="s">
        <v>44</v>
      </c>
      <c r="E528" s="45">
        <v>767</v>
      </c>
      <c r="J528" s="45">
        <v>9</v>
      </c>
      <c r="K528" s="45" t="s">
        <v>46</v>
      </c>
    </row>
    <row r="529" spans="1:11">
      <c r="A529" s="2">
        <v>43918</v>
      </c>
      <c r="C529" s="45" t="s">
        <v>47</v>
      </c>
      <c r="E529" s="45">
        <v>502</v>
      </c>
      <c r="F529" s="45">
        <v>75</v>
      </c>
      <c r="G529" s="45">
        <v>14</v>
      </c>
      <c r="H529" s="45">
        <v>13</v>
      </c>
      <c r="I529" s="45">
        <v>100</v>
      </c>
      <c r="J529" s="45">
        <v>6</v>
      </c>
      <c r="K529" s="45" t="s">
        <v>49</v>
      </c>
    </row>
    <row r="530" spans="1:11">
      <c r="A530" s="2">
        <v>43918</v>
      </c>
      <c r="C530" s="45" t="s">
        <v>53</v>
      </c>
      <c r="E530" s="45">
        <v>61</v>
      </c>
      <c r="K530" s="45" t="s">
        <v>234</v>
      </c>
    </row>
    <row r="531" spans="1:11">
      <c r="A531" s="2">
        <v>43918</v>
      </c>
      <c r="C531" s="45" t="s">
        <v>56</v>
      </c>
      <c r="E531" s="45">
        <v>421</v>
      </c>
      <c r="F531" s="45">
        <v>67</v>
      </c>
      <c r="G531" s="45">
        <v>12</v>
      </c>
      <c r="J531" s="45">
        <v>15</v>
      </c>
      <c r="K531" s="45" t="s">
        <v>736</v>
      </c>
    </row>
    <row r="532" spans="1:11">
      <c r="A532" s="2">
        <v>43918</v>
      </c>
      <c r="C532" s="45" t="s">
        <v>58</v>
      </c>
      <c r="D532" s="45">
        <v>9916</v>
      </c>
      <c r="E532" s="45">
        <v>2365</v>
      </c>
      <c r="F532" s="45">
        <v>339</v>
      </c>
      <c r="G532" s="45">
        <v>59</v>
      </c>
      <c r="H532" s="45">
        <v>54</v>
      </c>
      <c r="I532" s="45">
        <v>175</v>
      </c>
      <c r="J532" s="45">
        <v>41</v>
      </c>
      <c r="K532" s="45" t="s">
        <v>369</v>
      </c>
    </row>
    <row r="533" spans="1:11">
      <c r="A533" s="2">
        <v>43918</v>
      </c>
      <c r="C533" s="45" t="s">
        <v>60</v>
      </c>
      <c r="E533" s="45">
        <v>47</v>
      </c>
      <c r="F533" s="45">
        <v>3</v>
      </c>
      <c r="J533" s="45">
        <v>1</v>
      </c>
      <c r="K533" s="45" t="s">
        <v>609</v>
      </c>
    </row>
    <row r="534" spans="1:11">
      <c r="A534" s="2">
        <v>43918</v>
      </c>
      <c r="C534" s="45" t="s">
        <v>62</v>
      </c>
      <c r="E534" s="45">
        <v>495</v>
      </c>
      <c r="F534" s="45">
        <v>63</v>
      </c>
      <c r="J534" s="45">
        <v>12</v>
      </c>
      <c r="K534" s="45" t="s">
        <v>511</v>
      </c>
    </row>
    <row r="535" spans="1:11">
      <c r="A535" s="2">
        <v>43918</v>
      </c>
      <c r="C535" s="45" t="s">
        <v>64</v>
      </c>
      <c r="E535" s="45">
        <v>119</v>
      </c>
      <c r="F535" s="45">
        <v>27</v>
      </c>
      <c r="G535" s="45">
        <v>5</v>
      </c>
      <c r="J535" s="45">
        <v>0</v>
      </c>
      <c r="K535" s="45" t="s">
        <v>688</v>
      </c>
    </row>
    <row r="536" spans="1:11">
      <c r="A536" s="2">
        <v>43918</v>
      </c>
      <c r="C536" s="45" t="s">
        <v>69</v>
      </c>
      <c r="E536" s="45">
        <v>337</v>
      </c>
      <c r="F536" s="45">
        <v>50</v>
      </c>
      <c r="G536" s="45">
        <v>11</v>
      </c>
      <c r="H536" s="45">
        <v>8</v>
      </c>
      <c r="J536" s="45">
        <v>15</v>
      </c>
      <c r="K536" s="45" t="s">
        <v>325</v>
      </c>
    </row>
    <row r="537" spans="1:11">
      <c r="A537" s="2">
        <v>43918</v>
      </c>
      <c r="C537" s="45" t="s">
        <v>71</v>
      </c>
      <c r="E537" s="45">
        <v>55</v>
      </c>
      <c r="F537" s="45">
        <v>4</v>
      </c>
      <c r="K537" s="45" t="s">
        <v>310</v>
      </c>
    </row>
    <row r="538" spans="1:11">
      <c r="A538" s="2">
        <v>43918</v>
      </c>
      <c r="C538" s="45" t="s">
        <v>76</v>
      </c>
      <c r="E538" s="45">
        <v>339</v>
      </c>
      <c r="J538" s="45">
        <v>5</v>
      </c>
      <c r="K538" s="45" t="s">
        <v>78</v>
      </c>
    </row>
    <row r="539" spans="1:11">
      <c r="A539" s="2">
        <v>43918</v>
      </c>
      <c r="C539" s="45" t="s">
        <v>79</v>
      </c>
      <c r="E539" s="45">
        <v>40</v>
      </c>
      <c r="F539" s="45">
        <v>14</v>
      </c>
      <c r="G539" s="45">
        <v>1</v>
      </c>
      <c r="J539" s="45">
        <v>0</v>
      </c>
      <c r="K539" s="45" t="s">
        <v>703</v>
      </c>
    </row>
    <row r="540" spans="1:11">
      <c r="A540" s="2">
        <v>43918</v>
      </c>
      <c r="C540" s="45" t="s">
        <v>84</v>
      </c>
      <c r="E540" s="45">
        <v>122</v>
      </c>
      <c r="I540" s="45">
        <v>33</v>
      </c>
      <c r="J540" s="45">
        <v>1</v>
      </c>
      <c r="K540" s="45" t="s">
        <v>704</v>
      </c>
    </row>
    <row r="541" spans="1:11">
      <c r="A541" s="2">
        <v>43918</v>
      </c>
      <c r="C541" s="45" t="s">
        <v>86</v>
      </c>
      <c r="E541" s="45">
        <v>135</v>
      </c>
      <c r="J541" s="45">
        <v>2</v>
      </c>
      <c r="K541" s="45" t="s">
        <v>88</v>
      </c>
    </row>
    <row r="542" spans="1:11">
      <c r="A542" s="2">
        <v>43918</v>
      </c>
      <c r="C542" s="45" t="s">
        <v>91</v>
      </c>
      <c r="E542" s="45">
        <v>48</v>
      </c>
      <c r="F542" s="45">
        <v>7</v>
      </c>
      <c r="I542" s="45">
        <v>3</v>
      </c>
      <c r="K542" s="45" t="s">
        <v>205</v>
      </c>
    </row>
    <row r="543" spans="1:11">
      <c r="A543" s="2">
        <v>43918</v>
      </c>
      <c r="C543" s="45" t="s">
        <v>94</v>
      </c>
      <c r="E543" s="45">
        <v>3311</v>
      </c>
      <c r="F543" s="45">
        <v>364</v>
      </c>
      <c r="G543" s="45">
        <v>58</v>
      </c>
      <c r="J543" s="45">
        <v>73</v>
      </c>
      <c r="K543" s="45" t="s">
        <v>96</v>
      </c>
    </row>
    <row r="544" spans="1:11">
      <c r="A544" s="2">
        <v>43918</v>
      </c>
      <c r="C544" s="45" t="s">
        <v>97</v>
      </c>
      <c r="E544" s="45">
        <v>1017</v>
      </c>
      <c r="F544" s="45">
        <v>142</v>
      </c>
      <c r="G544" s="45">
        <v>21</v>
      </c>
      <c r="H544" s="45">
        <v>19</v>
      </c>
      <c r="J544" s="45">
        <v>25</v>
      </c>
      <c r="K544" s="45" t="s">
        <v>620</v>
      </c>
    </row>
    <row r="545" spans="1:11">
      <c r="A545" s="2">
        <v>43918</v>
      </c>
      <c r="B545" s="45">
        <v>0</v>
      </c>
      <c r="C545" s="45" t="s">
        <v>81</v>
      </c>
      <c r="E545" s="45">
        <v>173</v>
      </c>
      <c r="J545" s="45">
        <v>1</v>
      </c>
      <c r="K545" s="45" t="s">
        <v>83</v>
      </c>
    </row>
    <row r="546" spans="1:11">
      <c r="A546" s="2">
        <v>43918</v>
      </c>
      <c r="B546" s="45">
        <v>0.33333333333333331</v>
      </c>
      <c r="C546" s="45" t="s">
        <v>41</v>
      </c>
      <c r="E546" s="45">
        <v>45</v>
      </c>
      <c r="J546" s="45">
        <v>2</v>
      </c>
      <c r="K546" s="45" t="s">
        <v>43</v>
      </c>
    </row>
    <row r="547" spans="1:11">
      <c r="A547" s="2">
        <v>43918</v>
      </c>
      <c r="B547" s="45">
        <v>0.33333333333333331</v>
      </c>
      <c r="C547" s="45" t="s">
        <v>89</v>
      </c>
      <c r="E547" s="45">
        <v>1727</v>
      </c>
      <c r="F547" s="45">
        <v>385</v>
      </c>
      <c r="G547" s="45">
        <v>69</v>
      </c>
      <c r="H547" s="45">
        <v>60</v>
      </c>
      <c r="I547" s="45">
        <v>136</v>
      </c>
      <c r="J547" s="45">
        <v>87</v>
      </c>
      <c r="K547" s="45" t="s">
        <v>507</v>
      </c>
    </row>
    <row r="548" spans="1:11">
      <c r="A548" s="2">
        <v>43918</v>
      </c>
      <c r="B548" s="45">
        <v>0.33333333333333331</v>
      </c>
      <c r="C548" s="45" t="s">
        <v>99</v>
      </c>
      <c r="E548" s="45">
        <v>101</v>
      </c>
      <c r="F548" s="45">
        <v>12</v>
      </c>
      <c r="G548" s="45">
        <v>5</v>
      </c>
      <c r="I548" s="45">
        <v>21</v>
      </c>
      <c r="J548" s="45">
        <v>1</v>
      </c>
      <c r="K548" s="45" t="s">
        <v>328</v>
      </c>
    </row>
    <row r="549" spans="1:11">
      <c r="A549" s="2">
        <v>43918</v>
      </c>
      <c r="B549" s="45">
        <v>0.41666666666666669</v>
      </c>
      <c r="C549" s="45" t="s">
        <v>50</v>
      </c>
      <c r="E549" s="45">
        <v>569</v>
      </c>
      <c r="F549" s="45">
        <v>79</v>
      </c>
      <c r="G549" s="45">
        <v>11</v>
      </c>
      <c r="I549" s="45">
        <v>211</v>
      </c>
      <c r="J549" s="45">
        <v>13</v>
      </c>
      <c r="K549" s="45" t="s">
        <v>233</v>
      </c>
    </row>
    <row r="550" spans="1:11">
      <c r="A550" s="2">
        <v>43918</v>
      </c>
      <c r="B550" s="45">
        <v>0.45833333333333331</v>
      </c>
      <c r="C550" s="45" t="s">
        <v>66</v>
      </c>
      <c r="E550" s="45">
        <v>317</v>
      </c>
      <c r="J550" s="45">
        <v>4</v>
      </c>
      <c r="K550" s="45" t="s">
        <v>68</v>
      </c>
    </row>
    <row r="551" spans="1:11">
      <c r="A551" s="2">
        <v>43918</v>
      </c>
      <c r="B551" s="45">
        <v>0.60416666666666663</v>
      </c>
      <c r="C551" s="45" t="s">
        <v>101</v>
      </c>
      <c r="E551" s="45">
        <v>1704</v>
      </c>
      <c r="F551" s="45">
        <v>187</v>
      </c>
      <c r="H551" s="45">
        <v>42</v>
      </c>
      <c r="J551" s="45">
        <v>19</v>
      </c>
      <c r="K551" s="45" t="s">
        <v>103</v>
      </c>
    </row>
    <row r="552" spans="1:11">
      <c r="A552" s="2">
        <v>43918</v>
      </c>
      <c r="B552" s="45">
        <v>0.75</v>
      </c>
      <c r="C552" s="45" t="s">
        <v>38</v>
      </c>
      <c r="E552" s="45">
        <v>13</v>
      </c>
      <c r="J552" s="45">
        <v>0</v>
      </c>
      <c r="K552" s="45" t="s">
        <v>40</v>
      </c>
    </row>
    <row r="553" spans="1:11">
      <c r="A553" s="2">
        <v>43919</v>
      </c>
      <c r="C553" s="45" t="s">
        <v>44</v>
      </c>
      <c r="E553" s="45">
        <v>798</v>
      </c>
      <c r="J553" s="45">
        <v>10</v>
      </c>
      <c r="K553" s="45" t="s">
        <v>46</v>
      </c>
    </row>
    <row r="554" spans="1:11">
      <c r="A554" s="2">
        <v>43919</v>
      </c>
      <c r="C554" s="45" t="s">
        <v>47</v>
      </c>
      <c r="E554" s="45">
        <v>511</v>
      </c>
      <c r="F554" s="45">
        <v>99</v>
      </c>
      <c r="G554" s="45">
        <v>15</v>
      </c>
      <c r="H554" s="45">
        <v>14</v>
      </c>
      <c r="I554" s="45">
        <v>115</v>
      </c>
      <c r="J554" s="45">
        <v>6</v>
      </c>
      <c r="K554" s="45" t="s">
        <v>49</v>
      </c>
    </row>
    <row r="555" spans="1:11">
      <c r="A555" s="2">
        <v>43919</v>
      </c>
      <c r="C555" s="45" t="s">
        <v>53</v>
      </c>
      <c r="E555" s="45">
        <v>62</v>
      </c>
      <c r="K555" s="45" t="s">
        <v>236</v>
      </c>
    </row>
    <row r="556" spans="1:11">
      <c r="A556" s="2">
        <v>43919</v>
      </c>
      <c r="C556" s="45" t="s">
        <v>56</v>
      </c>
      <c r="E556" s="45">
        <v>442</v>
      </c>
      <c r="F556" s="45">
        <v>76</v>
      </c>
      <c r="G556" s="45">
        <v>13</v>
      </c>
      <c r="J556" s="45">
        <v>15</v>
      </c>
      <c r="K556" s="45" t="s">
        <v>736</v>
      </c>
    </row>
    <row r="557" spans="1:11">
      <c r="A557" s="2">
        <v>43919</v>
      </c>
      <c r="C557" s="45" t="s">
        <v>58</v>
      </c>
      <c r="D557" s="45">
        <v>10225</v>
      </c>
      <c r="E557" s="45">
        <v>2472</v>
      </c>
      <c r="F557" s="45">
        <v>365</v>
      </c>
      <c r="G557" s="45">
        <v>59</v>
      </c>
      <c r="H557" s="45">
        <v>55</v>
      </c>
      <c r="I557" s="45">
        <v>193</v>
      </c>
      <c r="J557" s="45">
        <v>49</v>
      </c>
      <c r="K557" s="45" t="s">
        <v>369</v>
      </c>
    </row>
    <row r="558" spans="1:11">
      <c r="A558" s="2">
        <v>43919</v>
      </c>
      <c r="C558" s="45" t="s">
        <v>60</v>
      </c>
      <c r="E558" s="45">
        <v>50</v>
      </c>
      <c r="F558" s="45">
        <v>2</v>
      </c>
      <c r="J558" s="45">
        <v>1</v>
      </c>
      <c r="K558" s="45" t="s">
        <v>609</v>
      </c>
    </row>
    <row r="559" spans="1:11">
      <c r="A559" s="2">
        <v>43919</v>
      </c>
      <c r="C559" s="45" t="s">
        <v>62</v>
      </c>
      <c r="E559" s="45">
        <v>519</v>
      </c>
      <c r="F559" s="45">
        <v>63</v>
      </c>
      <c r="J559" s="45">
        <v>15</v>
      </c>
      <c r="K559" s="45" t="s">
        <v>511</v>
      </c>
    </row>
    <row r="560" spans="1:11">
      <c r="A560" s="2">
        <v>43919</v>
      </c>
      <c r="C560" s="45" t="s">
        <v>64</v>
      </c>
      <c r="E560" s="45">
        <v>127</v>
      </c>
      <c r="F560" s="45">
        <v>28</v>
      </c>
      <c r="G560" s="45">
        <v>5</v>
      </c>
      <c r="J560" s="45">
        <v>0</v>
      </c>
      <c r="K560" s="45" t="s">
        <v>688</v>
      </c>
    </row>
    <row r="561" spans="1:11">
      <c r="A561" s="2">
        <v>43919</v>
      </c>
      <c r="C561" s="45" t="s">
        <v>69</v>
      </c>
      <c r="E561" s="45">
        <v>346</v>
      </c>
      <c r="F561" s="45">
        <v>60</v>
      </c>
      <c r="G561" s="45">
        <v>16</v>
      </c>
      <c r="H561" s="45">
        <v>6</v>
      </c>
      <c r="J561" s="45">
        <v>18</v>
      </c>
      <c r="K561" s="45" t="s">
        <v>325</v>
      </c>
    </row>
    <row r="562" spans="1:11">
      <c r="A562" s="2">
        <v>43919</v>
      </c>
      <c r="C562" s="45" t="s">
        <v>71</v>
      </c>
      <c r="E562" s="45">
        <v>59</v>
      </c>
      <c r="F562" s="45">
        <v>4</v>
      </c>
      <c r="K562" s="45" t="s">
        <v>310</v>
      </c>
    </row>
    <row r="563" spans="1:11">
      <c r="A563" s="2">
        <v>43919</v>
      </c>
      <c r="C563" s="45" t="s">
        <v>76</v>
      </c>
      <c r="E563" s="45">
        <v>365</v>
      </c>
      <c r="J563" s="45">
        <v>5</v>
      </c>
      <c r="K563" s="45" t="s">
        <v>78</v>
      </c>
    </row>
    <row r="564" spans="1:11">
      <c r="A564" s="2">
        <v>43919</v>
      </c>
      <c r="C564" s="45" t="s">
        <v>79</v>
      </c>
      <c r="E564" s="45">
        <v>41</v>
      </c>
      <c r="F564" s="45">
        <v>15</v>
      </c>
      <c r="G564" s="45">
        <v>1</v>
      </c>
      <c r="J564" s="45">
        <v>0</v>
      </c>
      <c r="K564" s="45" t="s">
        <v>703</v>
      </c>
    </row>
    <row r="565" spans="1:11">
      <c r="A565" s="2">
        <v>43919</v>
      </c>
      <c r="C565" s="45" t="s">
        <v>84</v>
      </c>
      <c r="E565" s="45">
        <v>128</v>
      </c>
      <c r="I565" s="45">
        <v>33</v>
      </c>
      <c r="J565" s="45">
        <v>2</v>
      </c>
      <c r="K565" s="45" t="s">
        <v>704</v>
      </c>
    </row>
    <row r="566" spans="1:11">
      <c r="A566" s="2">
        <v>43919</v>
      </c>
      <c r="C566" s="45" t="s">
        <v>86</v>
      </c>
      <c r="E566" s="45">
        <v>139</v>
      </c>
      <c r="J566" s="45">
        <v>2</v>
      </c>
      <c r="K566" s="45" t="s">
        <v>88</v>
      </c>
    </row>
    <row r="567" spans="1:11">
      <c r="A567" s="2">
        <v>43919</v>
      </c>
      <c r="C567" s="45" t="s">
        <v>91</v>
      </c>
      <c r="E567" s="45">
        <v>50</v>
      </c>
      <c r="F567" s="45">
        <v>7</v>
      </c>
      <c r="I567" s="45">
        <v>3</v>
      </c>
      <c r="K567" s="45" t="s">
        <v>205</v>
      </c>
    </row>
    <row r="568" spans="1:11">
      <c r="A568" s="2">
        <v>43919</v>
      </c>
      <c r="C568" s="45" t="s">
        <v>94</v>
      </c>
      <c r="E568" s="45">
        <v>3396</v>
      </c>
      <c r="F568" s="45">
        <v>366</v>
      </c>
      <c r="G568" s="45">
        <v>59</v>
      </c>
      <c r="J568" s="45">
        <v>83</v>
      </c>
      <c r="K568" s="45" t="s">
        <v>96</v>
      </c>
    </row>
    <row r="569" spans="1:11">
      <c r="A569" s="2">
        <v>43919</v>
      </c>
      <c r="C569" s="45" t="s">
        <v>97</v>
      </c>
      <c r="E569" s="45">
        <v>1055</v>
      </c>
      <c r="F569" s="45">
        <v>152</v>
      </c>
      <c r="G569" s="45">
        <v>22</v>
      </c>
      <c r="H569" s="45">
        <v>21</v>
      </c>
      <c r="J569" s="45">
        <v>31</v>
      </c>
      <c r="K569" s="45" t="s">
        <v>620</v>
      </c>
    </row>
    <row r="570" spans="1:11">
      <c r="A570" s="2">
        <v>43919</v>
      </c>
      <c r="B570" s="45">
        <v>0</v>
      </c>
      <c r="C570" s="45" t="s">
        <v>81</v>
      </c>
      <c r="E570" s="45">
        <v>190</v>
      </c>
      <c r="J570" s="45">
        <v>2</v>
      </c>
      <c r="K570" s="45" t="s">
        <v>83</v>
      </c>
    </row>
    <row r="571" spans="1:11">
      <c r="A571" s="2">
        <v>43919</v>
      </c>
      <c r="B571" s="45">
        <v>0.33333333333333331</v>
      </c>
      <c r="C571" s="45" t="s">
        <v>41</v>
      </c>
      <c r="E571" s="45">
        <v>48</v>
      </c>
      <c r="J571" s="45">
        <v>2</v>
      </c>
      <c r="K571" s="45" t="s">
        <v>43</v>
      </c>
    </row>
    <row r="572" spans="1:11">
      <c r="A572" s="2">
        <v>43919</v>
      </c>
      <c r="B572" s="45">
        <v>0.33333333333333331</v>
      </c>
      <c r="C572" s="45" t="s">
        <v>89</v>
      </c>
      <c r="E572" s="45">
        <v>1837</v>
      </c>
      <c r="F572" s="45">
        <v>402</v>
      </c>
      <c r="G572" s="45">
        <v>69</v>
      </c>
      <c r="H572" s="45">
        <v>59</v>
      </c>
      <c r="I572" s="45">
        <v>155</v>
      </c>
      <c r="J572" s="45">
        <v>93</v>
      </c>
      <c r="K572" s="45" t="s">
        <v>507</v>
      </c>
    </row>
    <row r="573" spans="1:11">
      <c r="A573" s="2">
        <v>43919</v>
      </c>
      <c r="B573" s="45">
        <v>0.33333333333333331</v>
      </c>
      <c r="C573" s="45" t="s">
        <v>99</v>
      </c>
      <c r="E573" s="45">
        <v>101</v>
      </c>
      <c r="F573" s="45">
        <v>12</v>
      </c>
      <c r="G573" s="45">
        <v>5</v>
      </c>
      <c r="I573" s="45">
        <v>21</v>
      </c>
      <c r="J573" s="45">
        <v>1</v>
      </c>
      <c r="K573" s="45" t="s">
        <v>328</v>
      </c>
    </row>
    <row r="574" spans="1:11">
      <c r="A574" s="2">
        <v>43919</v>
      </c>
      <c r="B574" s="45">
        <v>0.41666666666666669</v>
      </c>
      <c r="C574" s="45" t="s">
        <v>50</v>
      </c>
      <c r="E574" s="45">
        <v>605</v>
      </c>
      <c r="F574" s="45">
        <v>87</v>
      </c>
      <c r="G574" s="45">
        <v>12</v>
      </c>
      <c r="I574" s="45">
        <v>228</v>
      </c>
      <c r="J574" s="45">
        <v>15</v>
      </c>
      <c r="K574" s="45" t="s">
        <v>235</v>
      </c>
    </row>
    <row r="575" spans="1:11">
      <c r="A575" s="2">
        <v>43919</v>
      </c>
      <c r="B575" s="45">
        <v>0.45833333333333331</v>
      </c>
      <c r="C575" s="45" t="s">
        <v>66</v>
      </c>
      <c r="E575" s="45">
        <v>339</v>
      </c>
      <c r="J575" s="45">
        <v>5</v>
      </c>
      <c r="K575" s="45" t="s">
        <v>68</v>
      </c>
    </row>
    <row r="576" spans="1:11">
      <c r="A576" s="2">
        <v>43919</v>
      </c>
      <c r="B576" s="45">
        <v>0.60416666666666663</v>
      </c>
      <c r="C576" s="45" t="s">
        <v>101</v>
      </c>
      <c r="E576" s="45">
        <v>1736</v>
      </c>
      <c r="F576" s="45">
        <v>194</v>
      </c>
      <c r="H576" s="45">
        <v>46</v>
      </c>
      <c r="J576" s="45">
        <v>22</v>
      </c>
      <c r="K576" s="45" t="s">
        <v>103</v>
      </c>
    </row>
    <row r="577" spans="1:11">
      <c r="A577" s="2">
        <v>43920</v>
      </c>
      <c r="C577" s="45" t="s">
        <v>47</v>
      </c>
      <c r="E577" s="45">
        <v>539</v>
      </c>
      <c r="F577" s="45">
        <v>86</v>
      </c>
      <c r="G577" s="45">
        <v>17</v>
      </c>
      <c r="H577" s="45">
        <v>16</v>
      </c>
      <c r="I577" s="45">
        <v>158</v>
      </c>
      <c r="J577" s="45">
        <v>7</v>
      </c>
      <c r="K577" s="45" t="s">
        <v>49</v>
      </c>
    </row>
    <row r="578" spans="1:11">
      <c r="A578" s="2">
        <v>43920</v>
      </c>
      <c r="C578" s="45" t="s">
        <v>53</v>
      </c>
      <c r="E578" s="45">
        <v>64</v>
      </c>
      <c r="K578" s="45" t="s">
        <v>239</v>
      </c>
    </row>
    <row r="579" spans="1:11">
      <c r="A579" s="2">
        <v>43920</v>
      </c>
      <c r="C579" s="45" t="s">
        <v>56</v>
      </c>
      <c r="E579" s="45">
        <v>477</v>
      </c>
      <c r="F579" s="45">
        <v>77</v>
      </c>
      <c r="G579" s="45">
        <v>16</v>
      </c>
      <c r="J579" s="45">
        <v>17</v>
      </c>
      <c r="K579" s="45" t="s">
        <v>736</v>
      </c>
    </row>
    <row r="580" spans="1:11">
      <c r="A580" s="2">
        <v>43920</v>
      </c>
      <c r="C580" s="45" t="s">
        <v>58</v>
      </c>
      <c r="D580" s="45">
        <v>10887</v>
      </c>
      <c r="E580" s="45">
        <v>2682</v>
      </c>
      <c r="F580" s="45">
        <v>382</v>
      </c>
      <c r="G580" s="45">
        <v>57</v>
      </c>
      <c r="H580" s="45">
        <v>54</v>
      </c>
      <c r="I580" s="45">
        <v>216</v>
      </c>
      <c r="J580" s="45">
        <v>59</v>
      </c>
      <c r="K580" s="45" t="s">
        <v>369</v>
      </c>
    </row>
    <row r="581" spans="1:11">
      <c r="A581" s="2">
        <v>43920</v>
      </c>
      <c r="C581" s="45" t="s">
        <v>60</v>
      </c>
      <c r="E581" s="45">
        <v>51</v>
      </c>
      <c r="F581" s="45">
        <v>3</v>
      </c>
      <c r="J581" s="45">
        <v>2</v>
      </c>
      <c r="K581" s="45" t="s">
        <v>609</v>
      </c>
    </row>
    <row r="582" spans="1:11">
      <c r="A582" s="2">
        <v>43920</v>
      </c>
      <c r="C582" s="45" t="s">
        <v>62</v>
      </c>
      <c r="E582" s="45">
        <v>535</v>
      </c>
      <c r="F582" s="45">
        <v>58</v>
      </c>
      <c r="J582" s="45">
        <v>19</v>
      </c>
      <c r="K582" s="45" t="s">
        <v>511</v>
      </c>
    </row>
    <row r="583" spans="1:11">
      <c r="A583" s="2">
        <v>43920</v>
      </c>
      <c r="C583" s="45" t="s">
        <v>64</v>
      </c>
      <c r="E583" s="45">
        <v>128</v>
      </c>
      <c r="F583" s="45">
        <v>28</v>
      </c>
      <c r="G583" s="45">
        <v>5</v>
      </c>
      <c r="J583" s="45">
        <v>0</v>
      </c>
      <c r="K583" s="45" t="s">
        <v>688</v>
      </c>
    </row>
    <row r="584" spans="1:11">
      <c r="A584" s="2">
        <v>43920</v>
      </c>
      <c r="C584" s="45" t="s">
        <v>69</v>
      </c>
      <c r="E584" s="45">
        <v>378</v>
      </c>
      <c r="F584" s="45">
        <v>57</v>
      </c>
      <c r="G584" s="45">
        <v>12</v>
      </c>
      <c r="H584" s="45">
        <v>6</v>
      </c>
      <c r="J584" s="45">
        <v>20</v>
      </c>
      <c r="K584" s="45" t="s">
        <v>325</v>
      </c>
    </row>
    <row r="585" spans="1:11">
      <c r="A585" s="2">
        <v>43920</v>
      </c>
      <c r="C585" s="45" t="s">
        <v>71</v>
      </c>
      <c r="E585" s="45">
        <v>63</v>
      </c>
      <c r="F585" s="45">
        <v>8</v>
      </c>
      <c r="K585" s="45" t="s">
        <v>310</v>
      </c>
    </row>
    <row r="586" spans="1:11">
      <c r="A586" s="2">
        <v>43920</v>
      </c>
      <c r="C586" s="45" t="s">
        <v>73</v>
      </c>
      <c r="E586" s="45">
        <v>46</v>
      </c>
      <c r="K586" s="45" t="s">
        <v>75</v>
      </c>
    </row>
    <row r="587" spans="1:11">
      <c r="A587" s="2">
        <v>43920</v>
      </c>
      <c r="C587" s="45" t="s">
        <v>76</v>
      </c>
      <c r="E587" s="45">
        <v>389</v>
      </c>
      <c r="J587" s="45">
        <v>7</v>
      </c>
      <c r="K587" s="45" t="s">
        <v>78</v>
      </c>
    </row>
    <row r="588" spans="1:11">
      <c r="A588" s="2">
        <v>43920</v>
      </c>
      <c r="C588" s="45" t="s">
        <v>79</v>
      </c>
      <c r="E588" s="45">
        <v>42</v>
      </c>
      <c r="F588" s="45">
        <v>19</v>
      </c>
      <c r="G588" s="45">
        <v>3</v>
      </c>
      <c r="J588" s="45">
        <v>0</v>
      </c>
      <c r="K588" s="45" t="s">
        <v>703</v>
      </c>
    </row>
    <row r="589" spans="1:11">
      <c r="A589" s="2">
        <v>43920</v>
      </c>
      <c r="C589" s="45" t="s">
        <v>84</v>
      </c>
      <c r="E589" s="45">
        <v>135</v>
      </c>
      <c r="I589" s="45">
        <v>33</v>
      </c>
      <c r="J589" s="45">
        <v>2</v>
      </c>
      <c r="K589" s="45" t="s">
        <v>704</v>
      </c>
    </row>
    <row r="590" spans="1:11">
      <c r="A590" s="2">
        <v>43920</v>
      </c>
      <c r="C590" s="45" t="s">
        <v>86</v>
      </c>
      <c r="E590" s="45">
        <v>149</v>
      </c>
      <c r="J590" s="45">
        <v>2</v>
      </c>
      <c r="K590" s="45" t="s">
        <v>88</v>
      </c>
    </row>
    <row r="591" spans="1:11">
      <c r="A591" s="2">
        <v>43920</v>
      </c>
      <c r="C591" s="45" t="s">
        <v>91</v>
      </c>
      <c r="E591" s="45">
        <v>53</v>
      </c>
      <c r="F591" s="45">
        <v>7</v>
      </c>
      <c r="I591" s="45">
        <v>9</v>
      </c>
      <c r="K591" s="45" t="s">
        <v>205</v>
      </c>
    </row>
    <row r="592" spans="1:11">
      <c r="A592" s="2">
        <v>43920</v>
      </c>
      <c r="C592" s="45" t="s">
        <v>94</v>
      </c>
      <c r="E592" s="45">
        <v>3608</v>
      </c>
      <c r="F592" s="45">
        <v>368</v>
      </c>
      <c r="G592" s="45">
        <v>61</v>
      </c>
      <c r="J592" s="45">
        <v>95</v>
      </c>
      <c r="K592" s="45" t="s">
        <v>96</v>
      </c>
    </row>
    <row r="593" spans="1:11">
      <c r="A593" s="2">
        <v>43920</v>
      </c>
      <c r="C593" s="45" t="s">
        <v>97</v>
      </c>
      <c r="E593" s="45">
        <v>1144</v>
      </c>
      <c r="F593" s="45">
        <v>152</v>
      </c>
      <c r="G593" s="45">
        <v>25</v>
      </c>
      <c r="H593" s="45">
        <v>23</v>
      </c>
      <c r="J593" s="45">
        <v>35</v>
      </c>
      <c r="K593" s="45" t="s">
        <v>620</v>
      </c>
    </row>
    <row r="594" spans="1:11">
      <c r="A594" s="2">
        <v>43920</v>
      </c>
      <c r="B594" s="45">
        <v>0.29166666666666669</v>
      </c>
      <c r="C594" s="45" t="s">
        <v>44</v>
      </c>
      <c r="E594" s="45">
        <v>826</v>
      </c>
      <c r="F594" s="45">
        <v>112</v>
      </c>
      <c r="G594" s="45">
        <v>21</v>
      </c>
      <c r="H594" s="45">
        <v>17</v>
      </c>
      <c r="J594" s="45">
        <v>13</v>
      </c>
      <c r="K594" s="45" t="s">
        <v>46</v>
      </c>
    </row>
    <row r="595" spans="1:11">
      <c r="A595" s="2">
        <v>43920</v>
      </c>
      <c r="B595" s="45">
        <v>0.33333333333333331</v>
      </c>
      <c r="C595" s="45" t="s">
        <v>89</v>
      </c>
      <c r="E595" s="45">
        <v>1962</v>
      </c>
      <c r="F595" s="45">
        <v>415</v>
      </c>
      <c r="G595" s="45">
        <v>75</v>
      </c>
      <c r="H595" s="45">
        <v>61</v>
      </c>
      <c r="I595" s="45">
        <v>165</v>
      </c>
      <c r="J595" s="45">
        <v>105</v>
      </c>
      <c r="K595" s="45" t="s">
        <v>507</v>
      </c>
    </row>
    <row r="596" spans="1:11">
      <c r="A596" s="2">
        <v>43920</v>
      </c>
      <c r="B596" s="45">
        <v>0.33333333333333331</v>
      </c>
      <c r="C596" s="45" t="s">
        <v>99</v>
      </c>
      <c r="E596" s="45">
        <v>112</v>
      </c>
      <c r="F596" s="45">
        <v>13</v>
      </c>
      <c r="G596" s="45">
        <v>5</v>
      </c>
      <c r="I596" s="45">
        <v>29</v>
      </c>
      <c r="J596" s="45">
        <v>1</v>
      </c>
      <c r="K596" s="45" t="s">
        <v>328</v>
      </c>
    </row>
    <row r="597" spans="1:11">
      <c r="A597" s="2">
        <v>43920</v>
      </c>
      <c r="B597" s="45">
        <v>0.41666666666666669</v>
      </c>
      <c r="C597" s="45" t="s">
        <v>50</v>
      </c>
      <c r="E597" s="45">
        <v>617</v>
      </c>
      <c r="F597" s="45">
        <v>90</v>
      </c>
      <c r="G597" s="45">
        <v>12</v>
      </c>
      <c r="I597" s="45">
        <v>263</v>
      </c>
      <c r="J597" s="45">
        <v>15</v>
      </c>
      <c r="K597" s="45" t="s">
        <v>238</v>
      </c>
    </row>
    <row r="598" spans="1:11">
      <c r="A598" s="2">
        <v>43920</v>
      </c>
      <c r="B598" s="45">
        <v>0.45833333333333331</v>
      </c>
      <c r="C598" s="45" t="s">
        <v>66</v>
      </c>
      <c r="E598" s="45">
        <v>351</v>
      </c>
      <c r="J598" s="45">
        <v>6</v>
      </c>
      <c r="K598" s="45" t="s">
        <v>68</v>
      </c>
    </row>
    <row r="599" spans="1:11">
      <c r="A599" s="2">
        <v>43920</v>
      </c>
      <c r="B599" s="45">
        <v>0.5</v>
      </c>
      <c r="C599" s="45" t="s">
        <v>38</v>
      </c>
      <c r="E599" s="45">
        <v>14</v>
      </c>
      <c r="J599" s="45">
        <v>0</v>
      </c>
      <c r="K599" s="45" t="s">
        <v>40</v>
      </c>
    </row>
    <row r="600" spans="1:11">
      <c r="A600" s="2">
        <v>43920</v>
      </c>
      <c r="B600" s="45">
        <v>0.60416666666666663</v>
      </c>
      <c r="C600" s="45" t="s">
        <v>101</v>
      </c>
      <c r="E600" s="45">
        <v>1862</v>
      </c>
      <c r="F600" s="45">
        <v>197</v>
      </c>
      <c r="H600" s="45">
        <v>46</v>
      </c>
      <c r="J600" s="45">
        <v>24</v>
      </c>
      <c r="K600" s="45" t="s">
        <v>103</v>
      </c>
    </row>
    <row r="601" spans="1:11">
      <c r="A601" s="2">
        <v>43920</v>
      </c>
      <c r="B601" s="45">
        <v>0.625</v>
      </c>
      <c r="C601" s="45" t="s">
        <v>34</v>
      </c>
      <c r="E601" s="45">
        <v>481</v>
      </c>
      <c r="F601" s="45">
        <v>94</v>
      </c>
      <c r="G601" s="45">
        <v>25</v>
      </c>
      <c r="H601" s="45">
        <v>23</v>
      </c>
      <c r="J601" s="45">
        <v>8</v>
      </c>
      <c r="K601" s="45" t="s">
        <v>237</v>
      </c>
    </row>
    <row r="602" spans="1:11">
      <c r="A602" s="2">
        <v>43920</v>
      </c>
      <c r="B602" s="45">
        <v>0.75</v>
      </c>
      <c r="C602" s="45" t="s">
        <v>41</v>
      </c>
      <c r="E602" s="45">
        <v>50</v>
      </c>
      <c r="J602" s="45">
        <v>2</v>
      </c>
      <c r="K602" s="45" t="s">
        <v>43</v>
      </c>
    </row>
    <row r="603" spans="1:11">
      <c r="A603" s="2">
        <v>43921</v>
      </c>
      <c r="C603" s="45" t="s">
        <v>47</v>
      </c>
      <c r="E603" s="45">
        <v>561</v>
      </c>
      <c r="F603" s="45">
        <v>88</v>
      </c>
      <c r="G603" s="45">
        <v>18</v>
      </c>
      <c r="H603" s="45">
        <v>16</v>
      </c>
      <c r="I603" s="45">
        <v>242</v>
      </c>
      <c r="J603" s="45">
        <v>10</v>
      </c>
      <c r="K603" s="45" t="s">
        <v>49</v>
      </c>
    </row>
    <row r="604" spans="1:11">
      <c r="A604" s="2">
        <v>43921</v>
      </c>
      <c r="C604" s="45" t="s">
        <v>53</v>
      </c>
      <c r="E604" s="45">
        <v>68</v>
      </c>
      <c r="K604" s="45" t="s">
        <v>242</v>
      </c>
    </row>
    <row r="605" spans="1:11">
      <c r="A605" s="2">
        <v>43921</v>
      </c>
      <c r="C605" s="45" t="s">
        <v>56</v>
      </c>
      <c r="E605" s="45">
        <v>491</v>
      </c>
      <c r="F605" s="45">
        <v>77</v>
      </c>
      <c r="G605" s="45">
        <v>20</v>
      </c>
      <c r="J605" s="45">
        <v>20</v>
      </c>
      <c r="K605" s="45" t="s">
        <v>736</v>
      </c>
    </row>
    <row r="606" spans="1:11">
      <c r="A606" s="2">
        <v>43921</v>
      </c>
      <c r="C606" s="45" t="s">
        <v>58</v>
      </c>
      <c r="D606" s="45">
        <v>11645</v>
      </c>
      <c r="E606" s="45">
        <v>2914</v>
      </c>
      <c r="F606" s="45">
        <v>405</v>
      </c>
      <c r="G606" s="45">
        <v>64</v>
      </c>
      <c r="H606" s="45">
        <v>49</v>
      </c>
      <c r="I606" s="45">
        <v>241</v>
      </c>
      <c r="J606" s="45">
        <v>68</v>
      </c>
      <c r="K606" s="45" t="s">
        <v>369</v>
      </c>
    </row>
    <row r="607" spans="1:11">
      <c r="A607" s="2">
        <v>43921</v>
      </c>
      <c r="C607" s="45" t="s">
        <v>60</v>
      </c>
      <c r="E607" s="45">
        <v>53</v>
      </c>
      <c r="F607" s="45">
        <v>5</v>
      </c>
      <c r="J607" s="45">
        <v>2</v>
      </c>
      <c r="K607" s="45" t="s">
        <v>609</v>
      </c>
    </row>
    <row r="608" spans="1:11">
      <c r="A608" s="2">
        <v>43921</v>
      </c>
      <c r="C608" s="45" t="s">
        <v>62</v>
      </c>
      <c r="E608" s="45">
        <v>547</v>
      </c>
      <c r="F608" s="45">
        <v>58</v>
      </c>
      <c r="J608" s="45">
        <v>23</v>
      </c>
      <c r="K608" s="45" t="s">
        <v>511</v>
      </c>
    </row>
    <row r="609" spans="1:11">
      <c r="A609" s="2">
        <v>43921</v>
      </c>
      <c r="C609" s="45" t="s">
        <v>64</v>
      </c>
      <c r="E609" s="45">
        <v>140</v>
      </c>
      <c r="F609" s="45">
        <v>29</v>
      </c>
      <c r="G609" s="45">
        <v>5</v>
      </c>
      <c r="J609" s="45">
        <v>0</v>
      </c>
      <c r="K609" s="45" t="s">
        <v>688</v>
      </c>
    </row>
    <row r="610" spans="1:11">
      <c r="A610" s="2">
        <v>43921</v>
      </c>
      <c r="C610" s="45" t="s">
        <v>69</v>
      </c>
      <c r="E610" s="45">
        <v>402</v>
      </c>
      <c r="F610" s="45">
        <v>59</v>
      </c>
      <c r="G610" s="45">
        <v>14</v>
      </c>
      <c r="H610" s="45">
        <v>8</v>
      </c>
      <c r="J610" s="45">
        <v>22</v>
      </c>
      <c r="K610" s="45" t="s">
        <v>325</v>
      </c>
    </row>
    <row r="611" spans="1:11">
      <c r="A611" s="2">
        <v>43921</v>
      </c>
      <c r="C611" s="45" t="s">
        <v>71</v>
      </c>
      <c r="E611" s="45">
        <v>70</v>
      </c>
      <c r="F611" s="45">
        <v>7</v>
      </c>
      <c r="G611" s="45">
        <v>1</v>
      </c>
      <c r="K611" s="45" t="s">
        <v>310</v>
      </c>
    </row>
    <row r="612" spans="1:11">
      <c r="A612" s="2">
        <v>43921</v>
      </c>
      <c r="C612" s="45" t="s">
        <v>73</v>
      </c>
      <c r="E612" s="45">
        <v>46</v>
      </c>
      <c r="K612" s="45" t="s">
        <v>75</v>
      </c>
    </row>
    <row r="613" spans="1:11">
      <c r="A613" s="2">
        <v>43921</v>
      </c>
      <c r="C613" s="45" t="s">
        <v>76</v>
      </c>
      <c r="E613" s="45">
        <v>394</v>
      </c>
      <c r="J613" s="45">
        <v>7</v>
      </c>
      <c r="K613" s="45" t="s">
        <v>78</v>
      </c>
    </row>
    <row r="614" spans="1:11">
      <c r="A614" s="2">
        <v>43921</v>
      </c>
      <c r="C614" s="45" t="s">
        <v>79</v>
      </c>
      <c r="E614" s="45">
        <v>44</v>
      </c>
      <c r="F614" s="45">
        <v>18</v>
      </c>
      <c r="G614" s="45">
        <v>3</v>
      </c>
      <c r="J614" s="45">
        <v>1</v>
      </c>
      <c r="K614" s="45" t="s">
        <v>703</v>
      </c>
    </row>
    <row r="615" spans="1:11">
      <c r="A615" s="2">
        <v>43921</v>
      </c>
      <c r="C615" s="45" t="s">
        <v>84</v>
      </c>
      <c r="E615" s="45">
        <v>140</v>
      </c>
      <c r="I615" s="45">
        <v>48</v>
      </c>
      <c r="J615" s="45">
        <v>4</v>
      </c>
      <c r="K615" s="45" t="s">
        <v>704</v>
      </c>
    </row>
    <row r="616" spans="1:11">
      <c r="A616" s="2">
        <v>43921</v>
      </c>
      <c r="C616" s="45" t="s">
        <v>86</v>
      </c>
      <c r="E616" s="45">
        <v>155</v>
      </c>
      <c r="J616" s="45">
        <v>3</v>
      </c>
      <c r="K616" s="45" t="s">
        <v>88</v>
      </c>
    </row>
    <row r="617" spans="1:11">
      <c r="A617" s="2">
        <v>43921</v>
      </c>
      <c r="C617" s="45" t="s">
        <v>91</v>
      </c>
      <c r="E617" s="45">
        <v>57</v>
      </c>
      <c r="F617" s="45">
        <v>9</v>
      </c>
      <c r="I617" s="45">
        <v>11</v>
      </c>
      <c r="K617" s="45" t="s">
        <v>205</v>
      </c>
    </row>
    <row r="618" spans="1:11">
      <c r="A618" s="2">
        <v>43921</v>
      </c>
      <c r="C618" s="45" t="s">
        <v>94</v>
      </c>
      <c r="E618" s="45">
        <v>3767</v>
      </c>
      <c r="F618" s="45">
        <v>376</v>
      </c>
      <c r="G618" s="45">
        <v>64</v>
      </c>
      <c r="J618" s="45">
        <v>107</v>
      </c>
      <c r="K618" s="45" t="s">
        <v>96</v>
      </c>
    </row>
    <row r="619" spans="1:11">
      <c r="A619" s="2">
        <v>43921</v>
      </c>
      <c r="C619" s="45" t="s">
        <v>97</v>
      </c>
      <c r="E619" s="45">
        <v>1211</v>
      </c>
      <c r="F619" s="45">
        <v>151</v>
      </c>
      <c r="G619" s="45">
        <v>24</v>
      </c>
      <c r="H619" s="45">
        <v>23</v>
      </c>
      <c r="J619" s="45">
        <v>37</v>
      </c>
      <c r="K619" s="45" t="s">
        <v>620</v>
      </c>
    </row>
    <row r="620" spans="1:11">
      <c r="A620" s="2">
        <v>43921</v>
      </c>
      <c r="B620" s="45">
        <v>0</v>
      </c>
      <c r="C620" s="45" t="s">
        <v>81</v>
      </c>
      <c r="E620" s="45">
        <v>196</v>
      </c>
      <c r="J620" s="45">
        <v>2</v>
      </c>
      <c r="K620" s="45" t="s">
        <v>333</v>
      </c>
    </row>
    <row r="621" spans="1:11">
      <c r="A621" s="2">
        <v>43921</v>
      </c>
      <c r="B621" s="45">
        <v>0.33333333333333331</v>
      </c>
      <c r="C621" s="45" t="s">
        <v>44</v>
      </c>
      <c r="E621" s="45">
        <v>856</v>
      </c>
      <c r="F621" s="45">
        <v>111</v>
      </c>
      <c r="G621" s="45">
        <v>23</v>
      </c>
      <c r="H621" s="45">
        <v>18</v>
      </c>
      <c r="J621" s="45">
        <v>16</v>
      </c>
      <c r="K621" s="45" t="s">
        <v>46</v>
      </c>
    </row>
    <row r="622" spans="1:11">
      <c r="A622" s="2">
        <v>43921</v>
      </c>
      <c r="B622" s="45">
        <v>0.33333333333333331</v>
      </c>
      <c r="C622" s="45" t="s">
        <v>89</v>
      </c>
      <c r="E622" s="45">
        <v>2091</v>
      </c>
      <c r="F622" s="45">
        <v>401</v>
      </c>
      <c r="G622" s="45">
        <v>74</v>
      </c>
      <c r="H622" s="45">
        <v>67</v>
      </c>
      <c r="I622" s="45">
        <v>202</v>
      </c>
      <c r="J622" s="45">
        <v>120</v>
      </c>
      <c r="K622" s="45" t="s">
        <v>507</v>
      </c>
    </row>
    <row r="623" spans="1:11">
      <c r="A623" s="2">
        <v>43921</v>
      </c>
      <c r="B623" s="45">
        <v>0.33333333333333331</v>
      </c>
      <c r="C623" s="45" t="s">
        <v>99</v>
      </c>
      <c r="E623" s="45">
        <v>114</v>
      </c>
      <c r="F623" s="45">
        <v>14</v>
      </c>
      <c r="G623" s="45">
        <v>6</v>
      </c>
      <c r="I623" s="45">
        <v>39</v>
      </c>
      <c r="J623" s="45">
        <v>1</v>
      </c>
      <c r="K623" s="45" t="s">
        <v>328</v>
      </c>
    </row>
    <row r="624" spans="1:11">
      <c r="A624" s="2">
        <v>43921</v>
      </c>
      <c r="B624" s="45">
        <v>0.41666666666666669</v>
      </c>
      <c r="C624" s="45" t="s">
        <v>50</v>
      </c>
      <c r="E624" s="45">
        <v>653</v>
      </c>
      <c r="F624" s="45">
        <v>105</v>
      </c>
      <c r="G624" s="45">
        <v>15</v>
      </c>
      <c r="I624" s="45">
        <v>292</v>
      </c>
      <c r="J624" s="45">
        <v>16</v>
      </c>
      <c r="K624" s="45" t="s">
        <v>241</v>
      </c>
    </row>
    <row r="625" spans="1:11">
      <c r="A625" s="2">
        <v>43921</v>
      </c>
      <c r="B625" s="45">
        <v>0.45833333333333331</v>
      </c>
      <c r="C625" s="45" t="s">
        <v>66</v>
      </c>
      <c r="E625" s="45">
        <v>375</v>
      </c>
      <c r="J625" s="45">
        <v>7</v>
      </c>
      <c r="K625" s="45" t="s">
        <v>68</v>
      </c>
    </row>
    <row r="626" spans="1:11">
      <c r="A626" s="2">
        <v>43921</v>
      </c>
      <c r="B626" s="45">
        <v>0.5</v>
      </c>
      <c r="C626" s="45" t="s">
        <v>38</v>
      </c>
      <c r="E626" s="45">
        <v>14</v>
      </c>
      <c r="J626" s="45">
        <v>0</v>
      </c>
      <c r="K626" s="45" t="s">
        <v>40</v>
      </c>
    </row>
    <row r="627" spans="1:11">
      <c r="A627" s="2">
        <v>43921</v>
      </c>
      <c r="B627" s="45">
        <v>0.60416666666666663</v>
      </c>
      <c r="C627" s="45" t="s">
        <v>101</v>
      </c>
      <c r="E627" s="45">
        <v>1953</v>
      </c>
      <c r="F627" s="45">
        <v>196</v>
      </c>
      <c r="H627" s="45">
        <v>50</v>
      </c>
      <c r="J627" s="45">
        <v>27</v>
      </c>
      <c r="K627" s="45" t="s">
        <v>103</v>
      </c>
    </row>
    <row r="628" spans="1:11">
      <c r="A628" s="2">
        <v>43921</v>
      </c>
      <c r="B628" s="45">
        <v>0.625</v>
      </c>
      <c r="C628" s="45" t="s">
        <v>34</v>
      </c>
      <c r="E628" s="45">
        <v>499</v>
      </c>
      <c r="F628" s="45">
        <v>85</v>
      </c>
      <c r="G628" s="45">
        <v>25</v>
      </c>
      <c r="H628" s="45">
        <v>25</v>
      </c>
      <c r="J628" s="45">
        <v>11</v>
      </c>
      <c r="K628" s="45" t="s">
        <v>240</v>
      </c>
    </row>
    <row r="629" spans="1:11">
      <c r="A629" s="2">
        <v>43921</v>
      </c>
      <c r="B629" s="45">
        <v>0.66666666666666663</v>
      </c>
      <c r="C629" s="45" t="s">
        <v>41</v>
      </c>
      <c r="E629" s="45">
        <v>58</v>
      </c>
      <c r="J629" s="45">
        <v>2</v>
      </c>
      <c r="K629" s="45" t="s">
        <v>43</v>
      </c>
    </row>
    <row r="630" spans="1:11">
      <c r="A630" s="2">
        <v>43922</v>
      </c>
      <c r="C630" s="45" t="s">
        <v>47</v>
      </c>
      <c r="E630" s="45">
        <v>588</v>
      </c>
      <c r="F630" s="45">
        <v>86</v>
      </c>
      <c r="G630" s="45">
        <v>17</v>
      </c>
      <c r="H630" s="45">
        <v>17</v>
      </c>
      <c r="I630" s="45">
        <v>249</v>
      </c>
      <c r="J630" s="45">
        <v>11</v>
      </c>
      <c r="K630" s="45" t="s">
        <v>49</v>
      </c>
    </row>
    <row r="631" spans="1:11">
      <c r="A631" s="2">
        <v>43922</v>
      </c>
      <c r="C631" s="45" t="s">
        <v>53</v>
      </c>
      <c r="E631" s="45">
        <v>72</v>
      </c>
      <c r="K631" s="45" t="s">
        <v>245</v>
      </c>
    </row>
    <row r="632" spans="1:11">
      <c r="A632" s="2">
        <v>43922</v>
      </c>
      <c r="C632" s="45" t="s">
        <v>56</v>
      </c>
      <c r="E632" s="45">
        <v>525</v>
      </c>
      <c r="F632" s="45">
        <v>81</v>
      </c>
      <c r="G632" s="45">
        <v>23</v>
      </c>
      <c r="J632" s="45">
        <v>23</v>
      </c>
      <c r="K632" s="45" t="s">
        <v>736</v>
      </c>
    </row>
    <row r="633" spans="1:11">
      <c r="A633" s="2">
        <v>43922</v>
      </c>
      <c r="C633" s="45" t="s">
        <v>58</v>
      </c>
      <c r="D633" s="45">
        <v>12313</v>
      </c>
      <c r="E633" s="45">
        <v>3094</v>
      </c>
      <c r="F633" s="45">
        <v>406</v>
      </c>
      <c r="G633" s="45">
        <v>64</v>
      </c>
      <c r="H633" s="45">
        <v>58</v>
      </c>
      <c r="I633" s="45">
        <v>260</v>
      </c>
      <c r="J633" s="45">
        <v>77</v>
      </c>
      <c r="K633" s="45" t="s">
        <v>369</v>
      </c>
    </row>
    <row r="634" spans="1:11">
      <c r="A634" s="2">
        <v>43922</v>
      </c>
      <c r="C634" s="45" t="s">
        <v>60</v>
      </c>
      <c r="E634" s="45">
        <v>56</v>
      </c>
      <c r="F634" s="45">
        <v>5</v>
      </c>
      <c r="J634" s="45">
        <v>2</v>
      </c>
      <c r="K634" s="45" t="s">
        <v>609</v>
      </c>
    </row>
    <row r="635" spans="1:11">
      <c r="A635" s="2">
        <v>43922</v>
      </c>
      <c r="C635" s="45" t="s">
        <v>62</v>
      </c>
      <c r="E635" s="45">
        <v>592</v>
      </c>
      <c r="F635" s="45">
        <v>59</v>
      </c>
      <c r="J635" s="45">
        <v>26</v>
      </c>
      <c r="K635" s="45" t="s">
        <v>511</v>
      </c>
    </row>
    <row r="636" spans="1:11">
      <c r="A636" s="2">
        <v>43922</v>
      </c>
      <c r="C636" s="45" t="s">
        <v>64</v>
      </c>
      <c r="E636" s="45">
        <v>145</v>
      </c>
      <c r="F636" s="45">
        <v>29</v>
      </c>
      <c r="G636" s="45">
        <v>5</v>
      </c>
      <c r="J636" s="45">
        <v>0</v>
      </c>
      <c r="K636" s="45" t="s">
        <v>688</v>
      </c>
    </row>
    <row r="637" spans="1:11">
      <c r="A637" s="2">
        <v>43922</v>
      </c>
      <c r="C637" s="45" t="s">
        <v>69</v>
      </c>
      <c r="E637" s="45">
        <v>420</v>
      </c>
      <c r="F637" s="45">
        <v>66</v>
      </c>
      <c r="G637" s="45">
        <v>14</v>
      </c>
      <c r="H637" s="45">
        <v>8</v>
      </c>
      <c r="J637" s="45">
        <v>24</v>
      </c>
      <c r="K637" s="45" t="s">
        <v>325</v>
      </c>
    </row>
    <row r="638" spans="1:11">
      <c r="A638" s="2">
        <v>43922</v>
      </c>
      <c r="C638" s="45" t="s">
        <v>71</v>
      </c>
      <c r="E638" s="45">
        <v>70</v>
      </c>
      <c r="F638" s="45">
        <v>9</v>
      </c>
      <c r="G638" s="45">
        <v>2</v>
      </c>
      <c r="K638" s="45" t="s">
        <v>310</v>
      </c>
    </row>
    <row r="639" spans="1:11">
      <c r="A639" s="2">
        <v>43922</v>
      </c>
      <c r="C639" s="45" t="s">
        <v>73</v>
      </c>
      <c r="E639" s="45">
        <v>48</v>
      </c>
      <c r="K639" s="45" t="s">
        <v>75</v>
      </c>
    </row>
    <row r="640" spans="1:11">
      <c r="A640" s="2">
        <v>43922</v>
      </c>
      <c r="C640" s="45" t="s">
        <v>76</v>
      </c>
      <c r="E640" s="45">
        <v>414</v>
      </c>
      <c r="J640" s="45">
        <v>7</v>
      </c>
      <c r="K640" s="45" t="s">
        <v>78</v>
      </c>
    </row>
    <row r="641" spans="1:11">
      <c r="A641" s="2">
        <v>43922</v>
      </c>
      <c r="C641" s="45" t="s">
        <v>79</v>
      </c>
      <c r="E641" s="45">
        <v>44</v>
      </c>
      <c r="F641" s="45">
        <v>10</v>
      </c>
      <c r="G641" s="45">
        <v>3</v>
      </c>
      <c r="J641" s="45">
        <v>1</v>
      </c>
      <c r="K641" s="45" t="s">
        <v>703</v>
      </c>
    </row>
    <row r="642" spans="1:11">
      <c r="A642" s="2">
        <v>43922</v>
      </c>
      <c r="C642" s="45" t="s">
        <v>84</v>
      </c>
      <c r="E642" s="45">
        <v>146</v>
      </c>
      <c r="I642" s="45">
        <v>65</v>
      </c>
      <c r="J642" s="45">
        <v>4</v>
      </c>
      <c r="K642" s="45" t="s">
        <v>704</v>
      </c>
    </row>
    <row r="643" spans="1:11">
      <c r="A643" s="2">
        <v>43922</v>
      </c>
      <c r="C643" s="45" t="s">
        <v>86</v>
      </c>
      <c r="E643" s="45">
        <v>167</v>
      </c>
      <c r="J643" s="45">
        <v>4</v>
      </c>
      <c r="K643" s="45" t="s">
        <v>88</v>
      </c>
    </row>
    <row r="644" spans="1:11">
      <c r="A644" s="2">
        <v>43922</v>
      </c>
      <c r="C644" s="45" t="s">
        <v>91</v>
      </c>
      <c r="E644" s="45">
        <v>59</v>
      </c>
      <c r="F644" s="45">
        <v>10</v>
      </c>
      <c r="I644" s="45">
        <v>13</v>
      </c>
      <c r="J644" s="45">
        <v>1</v>
      </c>
      <c r="K644" s="45" t="s">
        <v>205</v>
      </c>
    </row>
    <row r="645" spans="1:11">
      <c r="A645" s="2">
        <v>43922</v>
      </c>
      <c r="C645" s="45" t="s">
        <v>94</v>
      </c>
      <c r="E645" s="45">
        <v>3919</v>
      </c>
      <c r="F645" s="45">
        <v>381</v>
      </c>
      <c r="G645" s="45">
        <v>66</v>
      </c>
      <c r="J645" s="45">
        <v>118</v>
      </c>
      <c r="K645" s="45" t="s">
        <v>96</v>
      </c>
    </row>
    <row r="646" spans="1:11">
      <c r="A646" s="2">
        <v>43922</v>
      </c>
      <c r="C646" s="45" t="s">
        <v>97</v>
      </c>
      <c r="E646" s="45">
        <v>1282</v>
      </c>
      <c r="F646" s="45">
        <v>145</v>
      </c>
      <c r="G646" s="45">
        <v>26</v>
      </c>
      <c r="H646" s="45">
        <v>25</v>
      </c>
      <c r="J646" s="45">
        <v>40</v>
      </c>
      <c r="K646" s="45" t="s">
        <v>620</v>
      </c>
    </row>
    <row r="647" spans="1:11">
      <c r="A647" s="2">
        <v>43922</v>
      </c>
      <c r="B647" s="45">
        <v>0</v>
      </c>
      <c r="C647" s="45" t="s">
        <v>81</v>
      </c>
      <c r="E647" s="45">
        <v>216</v>
      </c>
      <c r="J647" s="45">
        <v>3</v>
      </c>
      <c r="K647" s="45" t="s">
        <v>333</v>
      </c>
    </row>
    <row r="648" spans="1:11">
      <c r="A648" s="2">
        <v>43922</v>
      </c>
      <c r="B648" s="45">
        <v>0.33333333333333331</v>
      </c>
      <c r="C648" s="45" t="s">
        <v>44</v>
      </c>
      <c r="E648" s="45">
        <v>909</v>
      </c>
      <c r="F648" s="45">
        <v>115</v>
      </c>
      <c r="G648" s="45">
        <v>26</v>
      </c>
      <c r="H648" s="45">
        <v>21</v>
      </c>
      <c r="J648" s="45">
        <v>20</v>
      </c>
      <c r="K648" s="45" t="s">
        <v>46</v>
      </c>
    </row>
    <row r="649" spans="1:11">
      <c r="A649" s="2">
        <v>43922</v>
      </c>
      <c r="B649" s="45">
        <v>0.33333333333333331</v>
      </c>
      <c r="C649" s="45" t="s">
        <v>89</v>
      </c>
      <c r="E649" s="45">
        <v>2195</v>
      </c>
      <c r="F649" s="45">
        <v>396</v>
      </c>
      <c r="G649" s="45">
        <v>76</v>
      </c>
      <c r="H649" s="45">
        <v>72</v>
      </c>
      <c r="I649" s="45">
        <v>229</v>
      </c>
      <c r="J649" s="45">
        <v>132</v>
      </c>
      <c r="K649" s="45" t="s">
        <v>507</v>
      </c>
    </row>
    <row r="650" spans="1:11">
      <c r="A650" s="2">
        <v>43922</v>
      </c>
      <c r="B650" s="45">
        <v>0.33333333333333331</v>
      </c>
      <c r="C650" s="45" t="s">
        <v>99</v>
      </c>
      <c r="E650" s="45">
        <v>125</v>
      </c>
      <c r="F650" s="45">
        <v>13</v>
      </c>
      <c r="G650" s="45">
        <v>5</v>
      </c>
      <c r="I650" s="45">
        <v>40</v>
      </c>
      <c r="J650" s="45">
        <v>1</v>
      </c>
      <c r="K650" s="45" t="s">
        <v>328</v>
      </c>
    </row>
    <row r="651" spans="1:11">
      <c r="A651" s="2">
        <v>43922</v>
      </c>
      <c r="B651" s="45">
        <v>0.41666666666666669</v>
      </c>
      <c r="C651" s="45" t="s">
        <v>50</v>
      </c>
      <c r="E651" s="45">
        <v>687</v>
      </c>
      <c r="F651" s="45">
        <v>108</v>
      </c>
      <c r="G651" s="45">
        <v>16</v>
      </c>
      <c r="I651" s="45">
        <v>323</v>
      </c>
      <c r="J651" s="45">
        <v>18</v>
      </c>
      <c r="K651" s="45" t="s">
        <v>244</v>
      </c>
    </row>
    <row r="652" spans="1:11">
      <c r="A652" s="2">
        <v>43922</v>
      </c>
      <c r="B652" s="45">
        <v>0.45833333333333331</v>
      </c>
      <c r="C652" s="45" t="s">
        <v>66</v>
      </c>
      <c r="E652" s="45">
        <v>401</v>
      </c>
      <c r="F652" s="45">
        <v>57</v>
      </c>
      <c r="G652" s="45">
        <v>12</v>
      </c>
      <c r="J652" s="45">
        <v>7</v>
      </c>
      <c r="K652" s="45" t="s">
        <v>68</v>
      </c>
    </row>
    <row r="653" spans="1:11">
      <c r="A653" s="2">
        <v>43922</v>
      </c>
      <c r="B653" s="45">
        <v>0.60416666666666663</v>
      </c>
      <c r="C653" s="45" t="s">
        <v>101</v>
      </c>
      <c r="E653" s="45">
        <v>2142</v>
      </c>
      <c r="F653" s="45">
        <v>203</v>
      </c>
      <c r="H653" s="45">
        <v>54</v>
      </c>
      <c r="J653" s="45">
        <v>36</v>
      </c>
      <c r="K653" s="45" t="s">
        <v>103</v>
      </c>
    </row>
    <row r="654" spans="1:11">
      <c r="A654" s="2">
        <v>43922</v>
      </c>
      <c r="B654" s="45">
        <v>0.625</v>
      </c>
      <c r="C654" s="45" t="s">
        <v>34</v>
      </c>
      <c r="E654" s="45">
        <v>549</v>
      </c>
      <c r="F654" s="45">
        <v>94</v>
      </c>
      <c r="G654" s="45">
        <v>27</v>
      </c>
      <c r="H654" s="45">
        <v>27</v>
      </c>
      <c r="J654" s="45">
        <v>11</v>
      </c>
      <c r="K654" s="45" t="s">
        <v>243</v>
      </c>
    </row>
    <row r="655" spans="1:11">
      <c r="A655" s="2">
        <v>43922</v>
      </c>
      <c r="B655" s="45">
        <v>0.70833333333333337</v>
      </c>
      <c r="C655" s="45" t="s">
        <v>41</v>
      </c>
      <c r="E655" s="45">
        <v>61</v>
      </c>
      <c r="J655" s="45">
        <v>3</v>
      </c>
      <c r="K655" s="45" t="s">
        <v>43</v>
      </c>
    </row>
    <row r="656" spans="1:11">
      <c r="A656" s="2">
        <v>43923</v>
      </c>
      <c r="C656" s="45" t="s">
        <v>47</v>
      </c>
      <c r="E656" s="45">
        <v>610</v>
      </c>
      <c r="F656" s="45">
        <v>81</v>
      </c>
      <c r="G656" s="45">
        <v>18</v>
      </c>
      <c r="H656" s="45">
        <v>18</v>
      </c>
      <c r="I656" s="45">
        <v>262</v>
      </c>
      <c r="J656" s="45">
        <v>12</v>
      </c>
      <c r="K656" s="45" t="s">
        <v>49</v>
      </c>
    </row>
    <row r="657" spans="1:11">
      <c r="A657" s="2">
        <v>43923</v>
      </c>
      <c r="C657" s="45" t="s">
        <v>53</v>
      </c>
      <c r="E657" s="45">
        <v>75</v>
      </c>
      <c r="K657" s="45" t="s">
        <v>248</v>
      </c>
    </row>
    <row r="658" spans="1:11">
      <c r="A658" s="2">
        <v>43923</v>
      </c>
      <c r="C658" s="45" t="s">
        <v>56</v>
      </c>
      <c r="E658" s="45">
        <v>550</v>
      </c>
      <c r="F658" s="45">
        <v>80</v>
      </c>
      <c r="G658" s="45">
        <v>23</v>
      </c>
      <c r="I658" s="45">
        <v>46</v>
      </c>
      <c r="J658" s="45">
        <v>26</v>
      </c>
      <c r="K658" s="45" t="s">
        <v>736</v>
      </c>
    </row>
    <row r="659" spans="1:11">
      <c r="A659" s="2">
        <v>43923</v>
      </c>
      <c r="C659" s="45" t="s">
        <v>58</v>
      </c>
      <c r="D659" s="45">
        <v>13379</v>
      </c>
      <c r="E659" s="45">
        <v>3354</v>
      </c>
      <c r="F659" s="45">
        <v>424</v>
      </c>
      <c r="G659" s="45">
        <v>62</v>
      </c>
      <c r="H659" s="45">
        <v>54</v>
      </c>
      <c r="I659" s="45">
        <v>283</v>
      </c>
      <c r="J659" s="45">
        <v>85</v>
      </c>
      <c r="K659" s="45" t="s">
        <v>369</v>
      </c>
    </row>
    <row r="660" spans="1:11">
      <c r="A660" s="2">
        <v>43923</v>
      </c>
      <c r="C660" s="45" t="s">
        <v>60</v>
      </c>
      <c r="E660" s="45">
        <v>58</v>
      </c>
      <c r="F660" s="45">
        <v>5</v>
      </c>
      <c r="J660" s="45">
        <v>2</v>
      </c>
      <c r="K660" s="45" t="s">
        <v>609</v>
      </c>
    </row>
    <row r="661" spans="1:11">
      <c r="A661" s="2">
        <v>43923</v>
      </c>
      <c r="C661" s="45" t="s">
        <v>62</v>
      </c>
      <c r="E661" s="45">
        <v>622</v>
      </c>
      <c r="F661" s="45">
        <v>60</v>
      </c>
      <c r="J661" s="45">
        <v>28</v>
      </c>
      <c r="K661" s="45" t="s">
        <v>511</v>
      </c>
    </row>
    <row r="662" spans="1:11">
      <c r="A662" s="2">
        <v>43923</v>
      </c>
      <c r="C662" s="45" t="s">
        <v>64</v>
      </c>
      <c r="E662" s="45">
        <v>149</v>
      </c>
      <c r="F662" s="45">
        <v>29</v>
      </c>
      <c r="G662" s="45">
        <v>3</v>
      </c>
      <c r="J662" s="45">
        <v>0</v>
      </c>
      <c r="K662" s="45" t="s">
        <v>688</v>
      </c>
    </row>
    <row r="663" spans="1:11">
      <c r="A663" s="2">
        <v>43923</v>
      </c>
      <c r="C663" s="45" t="s">
        <v>69</v>
      </c>
      <c r="E663" s="45">
        <v>430</v>
      </c>
      <c r="F663" s="45">
        <v>61</v>
      </c>
      <c r="G663" s="45">
        <v>12</v>
      </c>
      <c r="H663" s="45">
        <v>10</v>
      </c>
      <c r="J663" s="45">
        <v>27</v>
      </c>
      <c r="K663" s="45" t="s">
        <v>325</v>
      </c>
    </row>
    <row r="664" spans="1:11">
      <c r="A664" s="2">
        <v>43923</v>
      </c>
      <c r="C664" s="45" t="s">
        <v>71</v>
      </c>
      <c r="E664" s="45">
        <v>76</v>
      </c>
      <c r="F664" s="45">
        <v>9</v>
      </c>
      <c r="G664" s="45">
        <v>2</v>
      </c>
      <c r="K664" s="45" t="s">
        <v>310</v>
      </c>
    </row>
    <row r="665" spans="1:11">
      <c r="A665" s="2">
        <v>43923</v>
      </c>
      <c r="C665" s="45" t="s">
        <v>73</v>
      </c>
      <c r="E665" s="45">
        <v>51</v>
      </c>
      <c r="K665" s="45" t="s">
        <v>75</v>
      </c>
    </row>
    <row r="666" spans="1:11">
      <c r="A666" s="2">
        <v>43923</v>
      </c>
      <c r="C666" s="45" t="s">
        <v>76</v>
      </c>
      <c r="E666" s="45">
        <v>455</v>
      </c>
      <c r="F666" s="45">
        <v>64</v>
      </c>
      <c r="G666" s="45">
        <v>11</v>
      </c>
      <c r="I666" s="45">
        <v>49</v>
      </c>
      <c r="J666" s="45">
        <v>8</v>
      </c>
      <c r="K666" s="45" t="s">
        <v>78</v>
      </c>
    </row>
    <row r="667" spans="1:11">
      <c r="A667" s="2">
        <v>43923</v>
      </c>
      <c r="C667" s="45" t="s">
        <v>79</v>
      </c>
      <c r="E667" s="45">
        <v>47</v>
      </c>
      <c r="F667" s="45">
        <v>18</v>
      </c>
      <c r="G667" s="45">
        <v>3</v>
      </c>
      <c r="J667" s="45">
        <v>1</v>
      </c>
      <c r="K667" s="45" t="s">
        <v>703</v>
      </c>
    </row>
    <row r="668" spans="1:11">
      <c r="A668" s="2">
        <v>43923</v>
      </c>
      <c r="C668" s="45" t="s">
        <v>84</v>
      </c>
      <c r="E668" s="45">
        <v>155</v>
      </c>
      <c r="I668" s="45">
        <v>65</v>
      </c>
      <c r="J668" s="45">
        <v>4</v>
      </c>
      <c r="K668" s="45" t="s">
        <v>704</v>
      </c>
    </row>
    <row r="669" spans="1:11">
      <c r="A669" s="2">
        <v>43923</v>
      </c>
      <c r="C669" s="45" t="s">
        <v>86</v>
      </c>
      <c r="E669" s="45">
        <v>180</v>
      </c>
      <c r="J669" s="45">
        <v>4</v>
      </c>
      <c r="K669" s="45" t="s">
        <v>88</v>
      </c>
    </row>
    <row r="670" spans="1:11">
      <c r="A670" s="2">
        <v>43923</v>
      </c>
      <c r="C670" s="45" t="s">
        <v>94</v>
      </c>
      <c r="E670" s="45">
        <v>4053</v>
      </c>
      <c r="F670" s="45">
        <v>372</v>
      </c>
      <c r="G670" s="45">
        <v>67</v>
      </c>
      <c r="J670" s="45">
        <v>137</v>
      </c>
      <c r="K670" s="45" t="s">
        <v>96</v>
      </c>
    </row>
    <row r="671" spans="1:11">
      <c r="A671" s="2">
        <v>43923</v>
      </c>
      <c r="C671" s="45" t="s">
        <v>97</v>
      </c>
      <c r="E671" s="45">
        <v>1334</v>
      </c>
      <c r="F671" s="45">
        <v>145</v>
      </c>
      <c r="G671" s="45">
        <v>28</v>
      </c>
      <c r="H671" s="45">
        <v>24</v>
      </c>
      <c r="J671" s="45">
        <v>47</v>
      </c>
      <c r="K671" s="45" t="s">
        <v>620</v>
      </c>
    </row>
    <row r="672" spans="1:11">
      <c r="A672" s="2">
        <v>43923</v>
      </c>
      <c r="B672" s="45">
        <v>0</v>
      </c>
      <c r="C672" s="45" t="s">
        <v>81</v>
      </c>
      <c r="E672" s="45">
        <v>227</v>
      </c>
      <c r="F672" s="45">
        <v>14</v>
      </c>
      <c r="J672" s="45">
        <v>3</v>
      </c>
      <c r="K672" s="45" t="s">
        <v>333</v>
      </c>
    </row>
    <row r="673" spans="1:11">
      <c r="A673" s="2">
        <v>43923</v>
      </c>
      <c r="B673" s="45">
        <v>0.33333333333333331</v>
      </c>
      <c r="C673" s="45" t="s">
        <v>44</v>
      </c>
      <c r="E673" s="45">
        <v>1003</v>
      </c>
      <c r="F673" s="45">
        <v>104</v>
      </c>
      <c r="G673" s="45">
        <v>24</v>
      </c>
      <c r="H673" s="45">
        <v>20</v>
      </c>
      <c r="J673" s="45">
        <v>23</v>
      </c>
      <c r="K673" s="45" t="s">
        <v>46</v>
      </c>
    </row>
    <row r="674" spans="1:11">
      <c r="A674" s="2">
        <v>43923</v>
      </c>
      <c r="B674" s="45">
        <v>0.33333333333333331</v>
      </c>
      <c r="C674" s="45" t="s">
        <v>89</v>
      </c>
      <c r="E674" s="45">
        <v>2271</v>
      </c>
      <c r="F674" s="45">
        <v>374</v>
      </c>
      <c r="G674" s="45">
        <v>75</v>
      </c>
      <c r="H674" s="45">
        <v>73</v>
      </c>
      <c r="I674" s="45">
        <v>263</v>
      </c>
      <c r="J674" s="45">
        <v>141</v>
      </c>
      <c r="K674" s="45" t="s">
        <v>507</v>
      </c>
    </row>
    <row r="675" spans="1:11">
      <c r="A675" s="2">
        <v>43923</v>
      </c>
      <c r="B675" s="45">
        <v>0.33333333333333331</v>
      </c>
      <c r="C675" s="45" t="s">
        <v>99</v>
      </c>
      <c r="E675" s="45">
        <v>131</v>
      </c>
      <c r="F675" s="45">
        <v>14</v>
      </c>
      <c r="G675" s="45">
        <v>5</v>
      </c>
      <c r="I675" s="45">
        <v>41</v>
      </c>
      <c r="J675" s="45">
        <v>1</v>
      </c>
      <c r="K675" s="45" t="s">
        <v>328</v>
      </c>
    </row>
    <row r="676" spans="1:11">
      <c r="A676" s="2">
        <v>43923</v>
      </c>
      <c r="B676" s="45">
        <v>0.41666666666666669</v>
      </c>
      <c r="C676" s="45" t="s">
        <v>50</v>
      </c>
      <c r="E676" s="45">
        <v>714</v>
      </c>
      <c r="F676" s="45">
        <v>119</v>
      </c>
      <c r="G676" s="45">
        <v>17</v>
      </c>
      <c r="I676" s="45">
        <v>350</v>
      </c>
      <c r="J676" s="45">
        <v>19</v>
      </c>
      <c r="K676" s="45" t="s">
        <v>247</v>
      </c>
    </row>
    <row r="677" spans="1:11">
      <c r="A677" s="2">
        <v>43923</v>
      </c>
      <c r="B677" s="45">
        <v>0.45833333333333331</v>
      </c>
      <c r="C677" s="45" t="s">
        <v>66</v>
      </c>
      <c r="E677" s="45">
        <v>422</v>
      </c>
      <c r="F677" s="45">
        <v>66</v>
      </c>
      <c r="G677" s="45">
        <v>11</v>
      </c>
      <c r="J677" s="45">
        <v>7</v>
      </c>
      <c r="K677" s="45" t="s">
        <v>68</v>
      </c>
    </row>
    <row r="678" spans="1:11">
      <c r="A678" s="2">
        <v>43923</v>
      </c>
      <c r="B678" s="45">
        <v>0.5</v>
      </c>
      <c r="C678" s="45" t="s">
        <v>41</v>
      </c>
      <c r="E678" s="45">
        <v>64</v>
      </c>
      <c r="J678" s="45">
        <v>3</v>
      </c>
      <c r="K678" s="45" t="s">
        <v>43</v>
      </c>
    </row>
    <row r="679" spans="1:11">
      <c r="A679" s="2">
        <v>43923</v>
      </c>
      <c r="B679" s="45">
        <v>0.58333333333333337</v>
      </c>
      <c r="C679" s="45" t="s">
        <v>91</v>
      </c>
      <c r="E679" s="45">
        <v>60</v>
      </c>
      <c r="F679" s="45">
        <v>4</v>
      </c>
      <c r="I679" s="45">
        <v>13</v>
      </c>
      <c r="J679" s="45">
        <v>1</v>
      </c>
      <c r="K679" s="45" t="s">
        <v>205</v>
      </c>
    </row>
    <row r="680" spans="1:11">
      <c r="A680" s="2">
        <v>43923</v>
      </c>
      <c r="B680" s="45">
        <v>0.60416666666666663</v>
      </c>
      <c r="C680" s="45" t="s">
        <v>101</v>
      </c>
      <c r="E680" s="45">
        <v>2306</v>
      </c>
      <c r="F680" s="45">
        <v>200</v>
      </c>
      <c r="H680" s="45">
        <v>53</v>
      </c>
      <c r="J680" s="45">
        <v>39</v>
      </c>
      <c r="K680" s="45" t="s">
        <v>103</v>
      </c>
    </row>
    <row r="681" spans="1:11">
      <c r="A681" s="2">
        <v>43923</v>
      </c>
      <c r="B681" s="45">
        <v>0.625</v>
      </c>
      <c r="C681" s="45" t="s">
        <v>34</v>
      </c>
      <c r="E681" s="45">
        <v>592</v>
      </c>
      <c r="F681" s="45">
        <v>94</v>
      </c>
      <c r="G681" s="45">
        <v>27</v>
      </c>
      <c r="H681" s="45">
        <v>27</v>
      </c>
      <c r="J681" s="45">
        <v>12</v>
      </c>
      <c r="K681" s="45" t="s">
        <v>246</v>
      </c>
    </row>
    <row r="682" spans="1:11">
      <c r="A682" s="2">
        <v>43923</v>
      </c>
      <c r="B682" s="45">
        <v>0.70833333333333337</v>
      </c>
      <c r="C682" s="45" t="s">
        <v>38</v>
      </c>
      <c r="E682" s="45">
        <v>20</v>
      </c>
      <c r="J682" s="45">
        <v>0</v>
      </c>
      <c r="K682" s="45" t="s">
        <v>40</v>
      </c>
    </row>
    <row r="683" spans="1:11">
      <c r="A683" s="2">
        <v>43924</v>
      </c>
      <c r="C683" s="45" t="s">
        <v>47</v>
      </c>
      <c r="E683" s="45">
        <v>625</v>
      </c>
      <c r="F683" s="45">
        <v>82</v>
      </c>
      <c r="G683" s="45">
        <v>18</v>
      </c>
      <c r="H683" s="45">
        <v>18</v>
      </c>
      <c r="I683" s="45">
        <v>266</v>
      </c>
      <c r="J683" s="45">
        <v>14</v>
      </c>
      <c r="K683" s="45" t="s">
        <v>49</v>
      </c>
    </row>
    <row r="684" spans="1:11">
      <c r="A684" s="2">
        <v>43924</v>
      </c>
      <c r="C684" s="45" t="s">
        <v>53</v>
      </c>
      <c r="E684" s="45">
        <v>76</v>
      </c>
      <c r="K684" s="45" t="s">
        <v>248</v>
      </c>
    </row>
    <row r="685" spans="1:11">
      <c r="A685" s="2">
        <v>43924</v>
      </c>
      <c r="C685" s="45" t="s">
        <v>56</v>
      </c>
      <c r="E685" s="45">
        <v>588</v>
      </c>
      <c r="F685" s="45">
        <v>77</v>
      </c>
      <c r="G685" s="45">
        <v>21</v>
      </c>
      <c r="I685" s="45">
        <v>46</v>
      </c>
      <c r="J685" s="45">
        <v>31</v>
      </c>
      <c r="K685" s="45" t="s">
        <v>736</v>
      </c>
    </row>
    <row r="686" spans="1:11">
      <c r="A686" s="2">
        <v>43924</v>
      </c>
      <c r="C686" s="45" t="s">
        <v>58</v>
      </c>
      <c r="D686" s="45">
        <v>14220</v>
      </c>
      <c r="E686" s="45">
        <v>3553</v>
      </c>
      <c r="F686" s="45">
        <v>424</v>
      </c>
      <c r="G686" s="45">
        <v>65</v>
      </c>
      <c r="H686" s="45">
        <v>58</v>
      </c>
      <c r="I686" s="45">
        <v>284</v>
      </c>
      <c r="J686" s="45">
        <v>92</v>
      </c>
      <c r="K686" s="45" t="s">
        <v>369</v>
      </c>
    </row>
    <row r="687" spans="1:11">
      <c r="A687" s="2">
        <v>43924</v>
      </c>
      <c r="C687" s="45" t="s">
        <v>60</v>
      </c>
      <c r="E687" s="45">
        <v>59</v>
      </c>
      <c r="F687" s="45">
        <v>5</v>
      </c>
      <c r="J687" s="45">
        <v>2</v>
      </c>
      <c r="K687" s="45" t="s">
        <v>609</v>
      </c>
    </row>
    <row r="688" spans="1:11">
      <c r="A688" s="2">
        <v>43924</v>
      </c>
      <c r="C688" s="45" t="s">
        <v>62</v>
      </c>
      <c r="E688" s="45">
        <v>649</v>
      </c>
      <c r="F688" s="45">
        <v>51</v>
      </c>
      <c r="J688" s="45">
        <v>30</v>
      </c>
      <c r="K688" s="45" t="s">
        <v>511</v>
      </c>
    </row>
    <row r="689" spans="1:11">
      <c r="A689" s="2">
        <v>43924</v>
      </c>
      <c r="C689" s="45" t="s">
        <v>64</v>
      </c>
      <c r="E689" s="45">
        <v>149</v>
      </c>
      <c r="F689" s="45">
        <v>28</v>
      </c>
      <c r="G689" s="45">
        <v>3</v>
      </c>
      <c r="J689" s="45">
        <v>0</v>
      </c>
      <c r="K689" s="45" t="s">
        <v>688</v>
      </c>
    </row>
    <row r="690" spans="1:11">
      <c r="A690" s="2">
        <v>43924</v>
      </c>
      <c r="C690" s="45" t="s">
        <v>69</v>
      </c>
      <c r="E690" s="45">
        <v>444</v>
      </c>
      <c r="F690" s="45">
        <v>61</v>
      </c>
      <c r="G690" s="45">
        <v>11</v>
      </c>
      <c r="H690" s="45">
        <v>9</v>
      </c>
      <c r="J690" s="45">
        <v>28</v>
      </c>
      <c r="K690" s="45" t="s">
        <v>325</v>
      </c>
    </row>
    <row r="691" spans="1:11">
      <c r="A691" s="2">
        <v>43924</v>
      </c>
      <c r="C691" s="45" t="s">
        <v>71</v>
      </c>
      <c r="E691" s="45">
        <v>79</v>
      </c>
      <c r="F691" s="45">
        <v>10</v>
      </c>
      <c r="G691" s="45">
        <v>2</v>
      </c>
      <c r="K691" s="45" t="s">
        <v>310</v>
      </c>
    </row>
    <row r="692" spans="1:11">
      <c r="A692" s="2">
        <v>43924</v>
      </c>
      <c r="C692" s="45" t="s">
        <v>73</v>
      </c>
      <c r="E692" s="45">
        <v>56</v>
      </c>
      <c r="K692" s="45" t="s">
        <v>75</v>
      </c>
    </row>
    <row r="693" spans="1:11">
      <c r="A693" s="2">
        <v>43924</v>
      </c>
      <c r="C693" s="45" t="s">
        <v>76</v>
      </c>
      <c r="E693" s="45">
        <v>480</v>
      </c>
      <c r="F693" s="45">
        <v>75</v>
      </c>
      <c r="G693" s="45">
        <v>12</v>
      </c>
      <c r="I693" s="45">
        <v>50</v>
      </c>
      <c r="J693" s="45">
        <v>8</v>
      </c>
      <c r="K693" s="45" t="s">
        <v>78</v>
      </c>
    </row>
    <row r="694" spans="1:11">
      <c r="A694" s="2">
        <v>43924</v>
      </c>
      <c r="C694" s="45" t="s">
        <v>79</v>
      </c>
      <c r="E694" s="45">
        <v>47</v>
      </c>
      <c r="F694" s="45">
        <v>9</v>
      </c>
      <c r="G694" s="45">
        <v>3</v>
      </c>
      <c r="J694" s="45">
        <v>1</v>
      </c>
      <c r="K694" s="45" t="s">
        <v>703</v>
      </c>
    </row>
    <row r="695" spans="1:11">
      <c r="A695" s="2">
        <v>43924</v>
      </c>
      <c r="C695" s="45" t="s">
        <v>84</v>
      </c>
      <c r="E695" s="45">
        <v>165</v>
      </c>
      <c r="I695" s="45">
        <v>75</v>
      </c>
      <c r="J695" s="45">
        <v>4</v>
      </c>
      <c r="K695" s="45" t="s">
        <v>704</v>
      </c>
    </row>
    <row r="696" spans="1:11">
      <c r="A696" s="2">
        <v>43924</v>
      </c>
      <c r="C696" s="45" t="s">
        <v>86</v>
      </c>
      <c r="E696" s="45">
        <v>199</v>
      </c>
      <c r="J696" s="45">
        <v>5</v>
      </c>
      <c r="K696" s="45" t="s">
        <v>88</v>
      </c>
    </row>
    <row r="697" spans="1:11">
      <c r="A697" s="2">
        <v>43924</v>
      </c>
      <c r="C697" s="45" t="s">
        <v>94</v>
      </c>
      <c r="E697" s="45">
        <v>4189</v>
      </c>
      <c r="F697" s="45">
        <v>364</v>
      </c>
      <c r="G697" s="45">
        <v>65</v>
      </c>
      <c r="J697" s="45">
        <v>155</v>
      </c>
      <c r="K697" s="45" t="s">
        <v>96</v>
      </c>
    </row>
    <row r="698" spans="1:11">
      <c r="A698" s="2">
        <v>43924</v>
      </c>
      <c r="C698" s="45" t="s">
        <v>97</v>
      </c>
      <c r="E698" s="45">
        <v>1383</v>
      </c>
      <c r="F698" s="45">
        <v>145</v>
      </c>
      <c r="G698" s="45">
        <v>26</v>
      </c>
      <c r="H698" s="45">
        <v>23</v>
      </c>
      <c r="J698" s="45">
        <v>51</v>
      </c>
      <c r="K698" s="45" t="s">
        <v>620</v>
      </c>
    </row>
    <row r="699" spans="1:11">
      <c r="A699" s="2">
        <v>43924</v>
      </c>
      <c r="B699" s="45">
        <v>0</v>
      </c>
      <c r="C699" s="45" t="s">
        <v>81</v>
      </c>
      <c r="E699" s="45">
        <v>237</v>
      </c>
      <c r="F699" s="45">
        <v>17</v>
      </c>
      <c r="J699" s="45">
        <v>3</v>
      </c>
      <c r="K699" s="45" t="s">
        <v>333</v>
      </c>
    </row>
    <row r="700" spans="1:11">
      <c r="A700" s="2">
        <v>43924</v>
      </c>
      <c r="B700" s="45">
        <v>0.33333333333333331</v>
      </c>
      <c r="C700" s="45" t="s">
        <v>41</v>
      </c>
      <c r="E700" s="45">
        <v>65</v>
      </c>
      <c r="J700" s="45">
        <v>3</v>
      </c>
      <c r="K700" s="45" t="s">
        <v>43</v>
      </c>
    </row>
    <row r="701" spans="1:11">
      <c r="A701" s="2">
        <v>43924</v>
      </c>
      <c r="B701" s="45">
        <v>0.33333333333333331</v>
      </c>
      <c r="C701" s="45" t="s">
        <v>44</v>
      </c>
      <c r="E701" s="45">
        <v>1073</v>
      </c>
      <c r="F701" s="45">
        <v>109</v>
      </c>
      <c r="G701" s="45">
        <v>30</v>
      </c>
      <c r="H701" s="45">
        <v>26</v>
      </c>
      <c r="J701" s="45">
        <v>26</v>
      </c>
      <c r="K701" s="45" t="s">
        <v>46</v>
      </c>
    </row>
    <row r="702" spans="1:11">
      <c r="A702" s="2">
        <v>43924</v>
      </c>
      <c r="B702" s="45">
        <v>0.33333333333333331</v>
      </c>
      <c r="C702" s="45" t="s">
        <v>89</v>
      </c>
      <c r="E702" s="45">
        <v>2377</v>
      </c>
      <c r="F702" s="45">
        <v>370</v>
      </c>
      <c r="G702" s="45">
        <v>75</v>
      </c>
      <c r="H702" s="45">
        <v>67</v>
      </c>
      <c r="I702" s="45">
        <v>287</v>
      </c>
      <c r="J702" s="45">
        <v>155</v>
      </c>
      <c r="K702" s="45" t="s">
        <v>507</v>
      </c>
    </row>
    <row r="703" spans="1:11">
      <c r="A703" s="2">
        <v>43924</v>
      </c>
      <c r="B703" s="45">
        <v>0.33333333333333331</v>
      </c>
      <c r="C703" s="45" t="s">
        <v>99</v>
      </c>
      <c r="E703" s="45">
        <v>138</v>
      </c>
      <c r="F703" s="45">
        <v>15</v>
      </c>
      <c r="G703" s="45">
        <v>7</v>
      </c>
      <c r="I703" s="45">
        <v>44</v>
      </c>
      <c r="J703" s="45">
        <v>1</v>
      </c>
      <c r="K703" s="45" t="s">
        <v>328</v>
      </c>
    </row>
    <row r="704" spans="1:11">
      <c r="A704" s="2">
        <v>43924</v>
      </c>
      <c r="B704" s="45">
        <v>0.35416666666666669</v>
      </c>
      <c r="C704" s="45" t="s">
        <v>50</v>
      </c>
      <c r="E704" s="45">
        <v>754</v>
      </c>
      <c r="F704" s="45">
        <v>115</v>
      </c>
      <c r="G704" s="45">
        <v>17</v>
      </c>
      <c r="I704" s="45">
        <v>397</v>
      </c>
      <c r="J704" s="45">
        <v>21</v>
      </c>
      <c r="K704" s="45" t="s">
        <v>250</v>
      </c>
    </row>
    <row r="705" spans="1:11">
      <c r="A705" s="2">
        <v>43924</v>
      </c>
      <c r="B705" s="45">
        <v>0.45833333333333331</v>
      </c>
      <c r="C705" s="45" t="s">
        <v>38</v>
      </c>
      <c r="E705" s="45">
        <v>20</v>
      </c>
      <c r="J705" s="45">
        <v>0</v>
      </c>
      <c r="K705" s="45" t="s">
        <v>40</v>
      </c>
    </row>
    <row r="706" spans="1:11">
      <c r="A706" s="2">
        <v>43924</v>
      </c>
      <c r="B706" s="45">
        <v>0.45833333333333331</v>
      </c>
      <c r="C706" s="45" t="s">
        <v>66</v>
      </c>
      <c r="E706" s="45">
        <v>449</v>
      </c>
      <c r="F706" s="45">
        <v>49</v>
      </c>
      <c r="G706" s="45">
        <v>12</v>
      </c>
      <c r="J706" s="45">
        <v>7</v>
      </c>
      <c r="K706" s="45" t="s">
        <v>68</v>
      </c>
    </row>
    <row r="707" spans="1:11">
      <c r="A707" s="2">
        <v>43924</v>
      </c>
      <c r="B707" s="45">
        <v>0.58333333333333337</v>
      </c>
      <c r="C707" s="45" t="s">
        <v>91</v>
      </c>
      <c r="E707" s="45">
        <v>62</v>
      </c>
      <c r="F707" s="45">
        <v>6</v>
      </c>
      <c r="I707" s="45">
        <v>26</v>
      </c>
      <c r="J707" s="45">
        <v>1</v>
      </c>
      <c r="K707" s="45" t="s">
        <v>205</v>
      </c>
    </row>
    <row r="708" spans="1:11">
      <c r="A708" s="2">
        <v>43924</v>
      </c>
      <c r="B708" s="45">
        <v>0.60416666666666663</v>
      </c>
      <c r="C708" s="45" t="s">
        <v>101</v>
      </c>
      <c r="E708" s="45">
        <v>2434</v>
      </c>
      <c r="F708" s="45">
        <v>207</v>
      </c>
      <c r="H708" s="45">
        <v>57</v>
      </c>
      <c r="J708" s="45">
        <v>41</v>
      </c>
      <c r="K708" s="45" t="s">
        <v>103</v>
      </c>
    </row>
    <row r="709" spans="1:11">
      <c r="A709" s="2">
        <v>43924</v>
      </c>
      <c r="B709" s="45">
        <v>0.625</v>
      </c>
      <c r="C709" s="45" t="s">
        <v>34</v>
      </c>
      <c r="E709" s="45">
        <v>626</v>
      </c>
      <c r="F709" s="45">
        <v>100</v>
      </c>
      <c r="G709" s="45">
        <v>27</v>
      </c>
      <c r="H709" s="45">
        <v>26</v>
      </c>
      <c r="J709" s="45">
        <v>12</v>
      </c>
      <c r="K709" s="45" t="s">
        <v>249</v>
      </c>
    </row>
    <row r="710" spans="1:11">
      <c r="A710" s="2">
        <v>43925</v>
      </c>
      <c r="C710" s="45" t="s">
        <v>47</v>
      </c>
      <c r="E710" s="45">
        <v>656</v>
      </c>
      <c r="F710" s="45">
        <v>73</v>
      </c>
      <c r="G710" s="45">
        <v>19</v>
      </c>
      <c r="H710" s="45">
        <v>17</v>
      </c>
      <c r="I710" s="45">
        <v>298</v>
      </c>
      <c r="J710" s="45">
        <v>19</v>
      </c>
      <c r="K710" s="45" t="s">
        <v>49</v>
      </c>
    </row>
    <row r="711" spans="1:11">
      <c r="A711" s="2">
        <v>43925</v>
      </c>
      <c r="C711" s="45" t="s">
        <v>53</v>
      </c>
      <c r="E711" s="45">
        <v>77</v>
      </c>
      <c r="J711" s="45">
        <v>1</v>
      </c>
      <c r="K711" s="45" t="s">
        <v>252</v>
      </c>
    </row>
    <row r="712" spans="1:11">
      <c r="A712" s="2">
        <v>43925</v>
      </c>
      <c r="C712" s="45" t="s">
        <v>56</v>
      </c>
      <c r="E712" s="45">
        <v>638</v>
      </c>
      <c r="F712" s="45">
        <v>89</v>
      </c>
      <c r="G712" s="45">
        <v>21</v>
      </c>
      <c r="I712" s="45">
        <v>49</v>
      </c>
      <c r="J712" s="45">
        <v>37</v>
      </c>
      <c r="K712" s="45" t="s">
        <v>736</v>
      </c>
    </row>
    <row r="713" spans="1:11">
      <c r="A713" s="2">
        <v>43925</v>
      </c>
      <c r="C713" s="45" t="s">
        <v>58</v>
      </c>
      <c r="D713" s="45">
        <v>14791</v>
      </c>
      <c r="E713" s="45">
        <v>3685</v>
      </c>
      <c r="F713" s="45">
        <v>421</v>
      </c>
      <c r="G713" s="45">
        <v>61</v>
      </c>
      <c r="H713" s="45">
        <v>51</v>
      </c>
      <c r="I713" s="45">
        <v>305</v>
      </c>
      <c r="J713" s="45">
        <v>106</v>
      </c>
      <c r="K713" s="45" t="s">
        <v>369</v>
      </c>
    </row>
    <row r="714" spans="1:11">
      <c r="A714" s="2">
        <v>43925</v>
      </c>
      <c r="C714" s="45" t="s">
        <v>60</v>
      </c>
      <c r="E714" s="45">
        <v>61</v>
      </c>
      <c r="F714" s="45">
        <v>5</v>
      </c>
      <c r="J714" s="45">
        <v>2</v>
      </c>
      <c r="K714" s="45" t="s">
        <v>609</v>
      </c>
    </row>
    <row r="715" spans="1:11">
      <c r="A715" s="2">
        <v>43925</v>
      </c>
      <c r="C715" s="45" t="s">
        <v>62</v>
      </c>
      <c r="E715" s="45">
        <v>657</v>
      </c>
      <c r="F715" s="45">
        <v>52</v>
      </c>
      <c r="J715" s="45">
        <v>30</v>
      </c>
      <c r="K715" s="45" t="s">
        <v>511</v>
      </c>
    </row>
    <row r="716" spans="1:11">
      <c r="A716" s="2">
        <v>43925</v>
      </c>
      <c r="C716" s="45" t="s">
        <v>64</v>
      </c>
      <c r="E716" s="45">
        <v>154</v>
      </c>
      <c r="F716" s="45">
        <v>27</v>
      </c>
      <c r="G716" s="45">
        <v>3</v>
      </c>
      <c r="J716" s="45">
        <v>0</v>
      </c>
      <c r="K716" s="45" t="s">
        <v>688</v>
      </c>
    </row>
    <row r="717" spans="1:11">
      <c r="A717" s="2">
        <v>43925</v>
      </c>
      <c r="C717" s="45" t="s">
        <v>69</v>
      </c>
      <c r="E717" s="45">
        <v>452</v>
      </c>
      <c r="F717" s="45">
        <v>59</v>
      </c>
      <c r="G717" s="45">
        <v>10</v>
      </c>
      <c r="H717" s="45">
        <v>9</v>
      </c>
      <c r="J717" s="45">
        <v>30</v>
      </c>
      <c r="K717" s="45" t="s">
        <v>325</v>
      </c>
    </row>
    <row r="718" spans="1:11">
      <c r="A718" s="2">
        <v>43925</v>
      </c>
      <c r="C718" s="45" t="s">
        <v>71</v>
      </c>
      <c r="E718" s="45">
        <v>80</v>
      </c>
      <c r="F718" s="45">
        <v>10</v>
      </c>
      <c r="G718" s="45">
        <v>2</v>
      </c>
      <c r="K718" s="45" t="s">
        <v>310</v>
      </c>
    </row>
    <row r="719" spans="1:11">
      <c r="A719" s="2">
        <v>43925</v>
      </c>
      <c r="C719" s="45" t="s">
        <v>76</v>
      </c>
      <c r="E719" s="45">
        <v>504</v>
      </c>
      <c r="F719" s="45">
        <v>79</v>
      </c>
      <c r="G719" s="45">
        <v>13</v>
      </c>
      <c r="I719" s="45">
        <v>62</v>
      </c>
      <c r="J719" s="45">
        <v>9</v>
      </c>
      <c r="K719" s="45" t="s">
        <v>78</v>
      </c>
    </row>
    <row r="720" spans="1:11">
      <c r="A720" s="2">
        <v>43925</v>
      </c>
      <c r="C720" s="45" t="s">
        <v>79</v>
      </c>
      <c r="E720" s="45">
        <v>47</v>
      </c>
      <c r="F720" s="45">
        <v>12</v>
      </c>
      <c r="G720" s="45">
        <v>3</v>
      </c>
      <c r="J720" s="45">
        <v>1</v>
      </c>
      <c r="K720" s="45" t="s">
        <v>703</v>
      </c>
    </row>
    <row r="721" spans="1:11">
      <c r="A721" s="2">
        <v>43925</v>
      </c>
      <c r="C721" s="45" t="s">
        <v>84</v>
      </c>
      <c r="E721" s="45">
        <v>168</v>
      </c>
      <c r="I721" s="45">
        <v>92</v>
      </c>
      <c r="J721" s="45">
        <v>5</v>
      </c>
      <c r="K721" s="45" t="s">
        <v>704</v>
      </c>
    </row>
    <row r="722" spans="1:11">
      <c r="A722" s="2">
        <v>43925</v>
      </c>
      <c r="C722" s="45" t="s">
        <v>86</v>
      </c>
      <c r="E722" s="45">
        <v>209</v>
      </c>
      <c r="J722" s="45">
        <v>5</v>
      </c>
      <c r="K722" s="45" t="s">
        <v>88</v>
      </c>
    </row>
    <row r="723" spans="1:11">
      <c r="A723" s="2">
        <v>43925</v>
      </c>
      <c r="C723" s="45" t="s">
        <v>94</v>
      </c>
      <c r="E723" s="45">
        <v>4261</v>
      </c>
      <c r="F723" s="45">
        <v>364</v>
      </c>
      <c r="G723" s="45">
        <v>65</v>
      </c>
      <c r="J723" s="45">
        <v>166</v>
      </c>
      <c r="K723" s="45" t="s">
        <v>96</v>
      </c>
    </row>
    <row r="724" spans="1:11">
      <c r="A724" s="2">
        <v>43925</v>
      </c>
      <c r="C724" s="45" t="s">
        <v>97</v>
      </c>
      <c r="E724" s="45">
        <v>1416</v>
      </c>
      <c r="F724" s="45">
        <v>148</v>
      </c>
      <c r="G724" s="45">
        <v>28</v>
      </c>
      <c r="H724" s="45">
        <v>23</v>
      </c>
      <c r="J724" s="45">
        <v>53</v>
      </c>
      <c r="K724" s="45" t="s">
        <v>620</v>
      </c>
    </row>
    <row r="725" spans="1:11">
      <c r="A725" s="2">
        <v>43925</v>
      </c>
      <c r="B725" s="45">
        <v>0</v>
      </c>
      <c r="C725" s="45" t="s">
        <v>81</v>
      </c>
      <c r="E725" s="45">
        <v>250</v>
      </c>
      <c r="J725" s="45">
        <v>3</v>
      </c>
      <c r="K725" s="45" t="s">
        <v>333</v>
      </c>
    </row>
    <row r="726" spans="1:11">
      <c r="A726" s="2">
        <v>43925</v>
      </c>
      <c r="B726" s="45">
        <v>0.33333333333333331</v>
      </c>
      <c r="C726" s="45" t="s">
        <v>44</v>
      </c>
      <c r="E726" s="45">
        <v>1106</v>
      </c>
      <c r="F726" s="45">
        <v>113</v>
      </c>
      <c r="G726" s="45">
        <v>35</v>
      </c>
      <c r="H726" s="45">
        <v>28</v>
      </c>
      <c r="J726" s="45">
        <v>28</v>
      </c>
      <c r="K726" s="45" t="s">
        <v>46</v>
      </c>
    </row>
    <row r="727" spans="1:11">
      <c r="A727" s="2">
        <v>43925</v>
      </c>
      <c r="B727" s="45">
        <v>0.33333333333333331</v>
      </c>
      <c r="C727" s="45" t="s">
        <v>89</v>
      </c>
      <c r="E727" s="45">
        <v>2442</v>
      </c>
      <c r="F727" s="45">
        <v>363</v>
      </c>
      <c r="G727" s="45">
        <v>72</v>
      </c>
      <c r="H727" s="45">
        <v>67</v>
      </c>
      <c r="I727" s="45">
        <v>314</v>
      </c>
      <c r="J727" s="45">
        <v>165</v>
      </c>
      <c r="K727" s="45" t="s">
        <v>507</v>
      </c>
    </row>
    <row r="728" spans="1:11">
      <c r="A728" s="2">
        <v>43925</v>
      </c>
      <c r="B728" s="45">
        <v>0.33333333333333331</v>
      </c>
      <c r="C728" s="45" t="s">
        <v>99</v>
      </c>
      <c r="E728" s="45">
        <v>146</v>
      </c>
      <c r="F728" s="45">
        <v>14</v>
      </c>
      <c r="G728" s="45">
        <v>7</v>
      </c>
      <c r="I728" s="45">
        <v>46</v>
      </c>
      <c r="J728" s="45">
        <v>2</v>
      </c>
      <c r="K728" s="45" t="s">
        <v>328</v>
      </c>
    </row>
    <row r="729" spans="1:11">
      <c r="A729" s="2">
        <v>43925</v>
      </c>
      <c r="B729" s="45">
        <v>0.42708333333333331</v>
      </c>
      <c r="C729" s="45" t="s">
        <v>50</v>
      </c>
      <c r="E729" s="45">
        <v>767</v>
      </c>
      <c r="F729" s="45">
        <v>112</v>
      </c>
      <c r="G729" s="45">
        <v>16</v>
      </c>
      <c r="I729" s="45">
        <v>434</v>
      </c>
      <c r="J729" s="45">
        <v>24</v>
      </c>
      <c r="K729" s="45" t="s">
        <v>251</v>
      </c>
    </row>
    <row r="730" spans="1:11">
      <c r="A730" s="2">
        <v>43925</v>
      </c>
      <c r="B730" s="45">
        <v>0.45833333333333331</v>
      </c>
      <c r="C730" s="45" t="s">
        <v>38</v>
      </c>
      <c r="E730" s="45">
        <v>21</v>
      </c>
      <c r="J730" s="45">
        <v>0</v>
      </c>
      <c r="K730" s="45" t="s">
        <v>40</v>
      </c>
    </row>
    <row r="731" spans="1:11">
      <c r="A731" s="2">
        <v>43925</v>
      </c>
      <c r="B731" s="45">
        <v>0.45833333333333331</v>
      </c>
      <c r="C731" s="45" t="s">
        <v>66</v>
      </c>
      <c r="E731" s="45">
        <v>469</v>
      </c>
      <c r="F731" s="45">
        <v>49</v>
      </c>
      <c r="G731" s="45">
        <v>12</v>
      </c>
      <c r="J731" s="45">
        <v>7</v>
      </c>
      <c r="K731" s="45" t="s">
        <v>68</v>
      </c>
    </row>
    <row r="732" spans="1:11">
      <c r="A732" s="2">
        <v>43925</v>
      </c>
      <c r="B732" s="45">
        <v>0.54166666666666663</v>
      </c>
      <c r="C732" s="45" t="s">
        <v>41</v>
      </c>
      <c r="E732" s="45">
        <v>66</v>
      </c>
      <c r="J732" s="45">
        <v>3</v>
      </c>
      <c r="K732" s="45" t="s">
        <v>43</v>
      </c>
    </row>
    <row r="733" spans="1:11">
      <c r="A733" s="2">
        <v>43925</v>
      </c>
      <c r="B733" s="45">
        <v>0.60416666666666663</v>
      </c>
      <c r="C733" s="45" t="s">
        <v>101</v>
      </c>
      <c r="E733" s="45">
        <v>2467</v>
      </c>
      <c r="F733" s="45">
        <v>194</v>
      </c>
      <c r="H733" s="45">
        <v>59</v>
      </c>
      <c r="J733" s="45">
        <v>49</v>
      </c>
      <c r="K733" s="45" t="s">
        <v>103</v>
      </c>
    </row>
    <row r="734" spans="1:11">
      <c r="A734" s="2">
        <v>43925</v>
      </c>
      <c r="B734" s="45">
        <v>0.70833333333333337</v>
      </c>
      <c r="C734" s="45" t="s">
        <v>91</v>
      </c>
      <c r="E734" s="45">
        <v>66</v>
      </c>
      <c r="F734" s="45">
        <v>6</v>
      </c>
      <c r="I734" s="45">
        <v>26</v>
      </c>
      <c r="J734" s="45">
        <v>1</v>
      </c>
      <c r="K734" s="45" t="s">
        <v>205</v>
      </c>
    </row>
    <row r="735" spans="1:11">
      <c r="A735" s="2">
        <v>43926</v>
      </c>
      <c r="C735" s="45" t="s">
        <v>47</v>
      </c>
      <c r="E735" s="45">
        <v>670</v>
      </c>
      <c r="F735" s="45">
        <v>73</v>
      </c>
      <c r="G735" s="45">
        <v>19</v>
      </c>
      <c r="H735" s="45">
        <v>17</v>
      </c>
      <c r="I735" s="45">
        <v>369</v>
      </c>
      <c r="J735" s="45">
        <v>19</v>
      </c>
      <c r="K735" s="45" t="s">
        <v>49</v>
      </c>
    </row>
    <row r="736" spans="1:11">
      <c r="A736" s="2">
        <v>43926</v>
      </c>
      <c r="C736" s="45" t="s">
        <v>53</v>
      </c>
      <c r="E736" s="45">
        <v>77</v>
      </c>
      <c r="J736" s="45">
        <v>1</v>
      </c>
      <c r="K736" s="45" t="s">
        <v>55</v>
      </c>
    </row>
    <row r="737" spans="1:11">
      <c r="A737" s="2">
        <v>43926</v>
      </c>
      <c r="C737" s="45" t="s">
        <v>56</v>
      </c>
      <c r="E737" s="45">
        <v>669</v>
      </c>
      <c r="F737" s="45">
        <v>87</v>
      </c>
      <c r="G737" s="45">
        <v>20</v>
      </c>
      <c r="I737" s="45">
        <v>55</v>
      </c>
      <c r="J737" s="45">
        <v>40</v>
      </c>
      <c r="K737" s="45" t="s">
        <v>736</v>
      </c>
    </row>
    <row r="738" spans="1:11">
      <c r="A738" s="2">
        <v>43926</v>
      </c>
      <c r="C738" s="45" t="s">
        <v>58</v>
      </c>
      <c r="D738" s="45">
        <v>15085</v>
      </c>
      <c r="E738" s="45">
        <v>3750</v>
      </c>
      <c r="F738" s="45">
        <v>424</v>
      </c>
      <c r="G738" s="45">
        <v>56</v>
      </c>
      <c r="H738" s="45">
        <v>50</v>
      </c>
      <c r="I738" s="45">
        <v>327</v>
      </c>
      <c r="J738" s="45">
        <v>113</v>
      </c>
      <c r="K738" s="45" t="s">
        <v>369</v>
      </c>
    </row>
    <row r="739" spans="1:11">
      <c r="A739" s="2">
        <v>43926</v>
      </c>
      <c r="C739" s="45" t="s">
        <v>60</v>
      </c>
      <c r="E739" s="45">
        <v>63</v>
      </c>
      <c r="F739" s="45">
        <v>5</v>
      </c>
      <c r="J739" s="45">
        <v>2</v>
      </c>
      <c r="K739" s="45" t="s">
        <v>609</v>
      </c>
    </row>
    <row r="740" spans="1:11">
      <c r="A740" s="2">
        <v>43926</v>
      </c>
      <c r="C740" s="45" t="s">
        <v>62</v>
      </c>
      <c r="E740" s="45">
        <v>668</v>
      </c>
      <c r="F740" s="45">
        <v>49</v>
      </c>
      <c r="J740" s="45">
        <v>33</v>
      </c>
      <c r="K740" s="45" t="s">
        <v>511</v>
      </c>
    </row>
    <row r="741" spans="1:11">
      <c r="A741" s="2">
        <v>43926</v>
      </c>
      <c r="C741" s="45" t="s">
        <v>64</v>
      </c>
      <c r="E741" s="45">
        <v>160</v>
      </c>
      <c r="F741" s="45">
        <v>29</v>
      </c>
      <c r="G741" s="45">
        <v>4</v>
      </c>
      <c r="J741" s="45">
        <v>0</v>
      </c>
      <c r="K741" s="45" t="s">
        <v>688</v>
      </c>
    </row>
    <row r="742" spans="1:11">
      <c r="A742" s="2">
        <v>43926</v>
      </c>
      <c r="C742" s="45" t="s">
        <v>69</v>
      </c>
      <c r="E742" s="45">
        <v>463</v>
      </c>
      <c r="F742" s="45">
        <v>58</v>
      </c>
      <c r="G742" s="45">
        <v>12</v>
      </c>
      <c r="H742" s="45">
        <v>8</v>
      </c>
      <c r="J742" s="45">
        <v>30</v>
      </c>
      <c r="K742" s="45" t="s">
        <v>325</v>
      </c>
    </row>
    <row r="743" spans="1:11">
      <c r="A743" s="2">
        <v>43926</v>
      </c>
      <c r="C743" s="45" t="s">
        <v>71</v>
      </c>
      <c r="E743" s="45">
        <v>80</v>
      </c>
      <c r="F743" s="45">
        <v>9</v>
      </c>
      <c r="G743" s="45">
        <v>2</v>
      </c>
      <c r="K743" s="45" t="s">
        <v>310</v>
      </c>
    </row>
    <row r="744" spans="1:11">
      <c r="A744" s="2">
        <v>43926</v>
      </c>
      <c r="C744" s="45" t="s">
        <v>76</v>
      </c>
      <c r="E744" s="45">
        <v>515</v>
      </c>
      <c r="F744" s="45">
        <v>70</v>
      </c>
      <c r="G744" s="45">
        <v>13</v>
      </c>
      <c r="I744" s="45">
        <v>70</v>
      </c>
      <c r="J744" s="45">
        <v>9</v>
      </c>
      <c r="K744" s="45" t="s">
        <v>78</v>
      </c>
    </row>
    <row r="745" spans="1:11">
      <c r="A745" s="2">
        <v>43926</v>
      </c>
      <c r="C745" s="45" t="s">
        <v>79</v>
      </c>
      <c r="E745" s="45">
        <v>49</v>
      </c>
      <c r="F745" s="45">
        <v>12</v>
      </c>
      <c r="G745" s="45">
        <v>3</v>
      </c>
      <c r="J745" s="45">
        <v>1</v>
      </c>
      <c r="K745" s="45" t="s">
        <v>703</v>
      </c>
    </row>
    <row r="746" spans="1:11">
      <c r="A746" s="2">
        <v>43926</v>
      </c>
      <c r="C746" s="45" t="s">
        <v>84</v>
      </c>
      <c r="E746" s="45">
        <v>170</v>
      </c>
      <c r="I746" s="45">
        <v>93</v>
      </c>
      <c r="J746" s="45">
        <v>5</v>
      </c>
      <c r="K746" s="45" t="s">
        <v>704</v>
      </c>
    </row>
    <row r="747" spans="1:11">
      <c r="A747" s="2">
        <v>43926</v>
      </c>
      <c r="C747" s="45" t="s">
        <v>86</v>
      </c>
      <c r="E747" s="45">
        <v>214</v>
      </c>
      <c r="J747" s="45">
        <v>7</v>
      </c>
      <c r="K747" s="45" t="s">
        <v>88</v>
      </c>
    </row>
    <row r="748" spans="1:11">
      <c r="A748" s="2">
        <v>43926</v>
      </c>
      <c r="C748" s="45" t="s">
        <v>94</v>
      </c>
      <c r="E748" s="45">
        <v>4300</v>
      </c>
      <c r="F748" s="45">
        <v>375</v>
      </c>
      <c r="G748" s="45">
        <v>64</v>
      </c>
      <c r="J748" s="45">
        <v>178</v>
      </c>
      <c r="K748" s="45" t="s">
        <v>96</v>
      </c>
    </row>
    <row r="749" spans="1:11">
      <c r="A749" s="2">
        <v>43926</v>
      </c>
      <c r="C749" s="45" t="s">
        <v>97</v>
      </c>
      <c r="E749" s="45">
        <v>1431</v>
      </c>
      <c r="F749" s="45">
        <v>145</v>
      </c>
      <c r="G749" s="45">
        <v>26</v>
      </c>
      <c r="H749" s="45">
        <v>23</v>
      </c>
      <c r="J749" s="45">
        <v>57</v>
      </c>
      <c r="K749" s="45" t="s">
        <v>620</v>
      </c>
    </row>
    <row r="750" spans="1:11">
      <c r="A750" s="2">
        <v>43926</v>
      </c>
      <c r="B750" s="45">
        <v>0</v>
      </c>
      <c r="C750" s="45" t="s">
        <v>81</v>
      </c>
      <c r="E750" s="45">
        <v>258</v>
      </c>
      <c r="F750" s="45">
        <v>16</v>
      </c>
      <c r="J750" s="45">
        <v>3</v>
      </c>
      <c r="K750" s="45" t="s">
        <v>333</v>
      </c>
    </row>
    <row r="751" spans="1:11">
      <c r="A751" s="2">
        <v>43926</v>
      </c>
      <c r="B751" s="45">
        <v>0.33333333333333331</v>
      </c>
      <c r="C751" s="45" t="s">
        <v>44</v>
      </c>
      <c r="E751" s="45">
        <v>1137</v>
      </c>
      <c r="F751" s="45">
        <v>110</v>
      </c>
      <c r="G751" s="45">
        <v>30</v>
      </c>
      <c r="H751" s="45">
        <v>25</v>
      </c>
      <c r="J751" s="45">
        <v>28</v>
      </c>
      <c r="K751" s="45" t="s">
        <v>46</v>
      </c>
    </row>
    <row r="752" spans="1:11">
      <c r="A752" s="2">
        <v>43926</v>
      </c>
      <c r="B752" s="45">
        <v>0.33333333333333331</v>
      </c>
      <c r="C752" s="45" t="s">
        <v>89</v>
      </c>
      <c r="E752" s="45">
        <v>2508</v>
      </c>
      <c r="F752" s="45">
        <v>362</v>
      </c>
      <c r="G752" s="45">
        <v>74</v>
      </c>
      <c r="H752" s="45">
        <v>61</v>
      </c>
      <c r="I752" s="45">
        <v>340</v>
      </c>
      <c r="J752" s="45">
        <v>177</v>
      </c>
      <c r="K752" s="45" t="s">
        <v>507</v>
      </c>
    </row>
    <row r="753" spans="1:11">
      <c r="A753" s="2">
        <v>43926</v>
      </c>
      <c r="B753" s="45">
        <v>0.33333333333333331</v>
      </c>
      <c r="C753" s="45" t="s">
        <v>99</v>
      </c>
      <c r="E753" s="45">
        <v>146</v>
      </c>
      <c r="F753" s="45">
        <v>14</v>
      </c>
      <c r="G753" s="45">
        <v>7</v>
      </c>
      <c r="I753" s="45">
        <v>46</v>
      </c>
      <c r="J753" s="45">
        <v>2</v>
      </c>
      <c r="K753" s="45" t="s">
        <v>328</v>
      </c>
    </row>
    <row r="754" spans="1:11">
      <c r="A754" s="2">
        <v>43926</v>
      </c>
      <c r="B754" s="45">
        <v>0.42708333333333331</v>
      </c>
      <c r="C754" s="45" t="s">
        <v>50</v>
      </c>
      <c r="E754" s="45">
        <v>789</v>
      </c>
      <c r="F754" s="45">
        <v>106</v>
      </c>
      <c r="G754" s="45">
        <v>15</v>
      </c>
      <c r="I754" s="45">
        <v>460</v>
      </c>
      <c r="J754" s="45">
        <v>26</v>
      </c>
      <c r="K754" s="45" t="s">
        <v>253</v>
      </c>
    </row>
    <row r="755" spans="1:11">
      <c r="A755" s="2">
        <v>43926</v>
      </c>
      <c r="B755" s="45">
        <v>0.45833333333333331</v>
      </c>
      <c r="C755" s="45" t="s">
        <v>66</v>
      </c>
      <c r="E755" s="45">
        <v>478</v>
      </c>
      <c r="F755" s="45">
        <v>49</v>
      </c>
      <c r="G755" s="45">
        <v>12</v>
      </c>
      <c r="J755" s="45">
        <v>9</v>
      </c>
      <c r="K755" s="45" t="s">
        <v>68</v>
      </c>
    </row>
    <row r="756" spans="1:11">
      <c r="A756" s="2">
        <v>43926</v>
      </c>
      <c r="B756" s="45">
        <v>0.54166666666666663</v>
      </c>
      <c r="C756" s="45" t="s">
        <v>41</v>
      </c>
      <c r="E756" s="45">
        <v>67</v>
      </c>
      <c r="J756" s="45">
        <v>3</v>
      </c>
      <c r="K756" s="45" t="s">
        <v>43</v>
      </c>
    </row>
    <row r="757" spans="1:11">
      <c r="A757" s="2">
        <v>43926</v>
      </c>
      <c r="B757" s="45">
        <v>0.60416666666666663</v>
      </c>
      <c r="C757" s="45" t="s">
        <v>101</v>
      </c>
      <c r="E757" s="45">
        <v>2497</v>
      </c>
      <c r="F757" s="45">
        <v>194</v>
      </c>
      <c r="H757" s="45">
        <v>59</v>
      </c>
      <c r="J757" s="45">
        <v>53</v>
      </c>
      <c r="K757" s="45" t="s">
        <v>103</v>
      </c>
    </row>
    <row r="758" spans="1:11">
      <c r="A758" s="2">
        <v>43926</v>
      </c>
      <c r="B758" s="45">
        <v>0.70833333333333337</v>
      </c>
      <c r="C758" s="45" t="s">
        <v>91</v>
      </c>
      <c r="E758" s="45">
        <v>67</v>
      </c>
      <c r="F758" s="45">
        <v>5</v>
      </c>
      <c r="I758" s="45">
        <v>26</v>
      </c>
      <c r="J758" s="45">
        <v>2</v>
      </c>
      <c r="K758" s="45" t="s">
        <v>205</v>
      </c>
    </row>
    <row r="759" spans="1:11">
      <c r="A759" s="2">
        <v>43927</v>
      </c>
      <c r="C759" s="45" t="s">
        <v>47</v>
      </c>
      <c r="E759" s="45">
        <v>682</v>
      </c>
      <c r="F759" s="45">
        <v>67</v>
      </c>
      <c r="G759" s="45">
        <v>17</v>
      </c>
      <c r="H759" s="45">
        <v>17</v>
      </c>
      <c r="I759" s="45">
        <v>412</v>
      </c>
      <c r="J759" s="45">
        <v>19</v>
      </c>
      <c r="K759" s="45" t="s">
        <v>49</v>
      </c>
    </row>
    <row r="760" spans="1:11">
      <c r="A760" s="2">
        <v>43927</v>
      </c>
      <c r="C760" s="45" t="s">
        <v>56</v>
      </c>
      <c r="E760" s="45">
        <v>689</v>
      </c>
      <c r="F760" s="45">
        <v>87</v>
      </c>
      <c r="G760" s="45">
        <v>19</v>
      </c>
      <c r="I760" s="45">
        <v>56</v>
      </c>
      <c r="J760" s="45">
        <v>41</v>
      </c>
      <c r="K760" s="45" t="s">
        <v>736</v>
      </c>
    </row>
    <row r="761" spans="1:11">
      <c r="A761" s="2">
        <v>43927</v>
      </c>
      <c r="C761" s="45" t="s">
        <v>58</v>
      </c>
      <c r="D761" s="45">
        <v>15704</v>
      </c>
      <c r="E761" s="45">
        <v>3869</v>
      </c>
      <c r="F761" s="45">
        <v>418</v>
      </c>
      <c r="G761" s="45">
        <v>56</v>
      </c>
      <c r="H761" s="45">
        <v>50</v>
      </c>
      <c r="I761" s="45">
        <v>345</v>
      </c>
      <c r="J761" s="45">
        <v>125</v>
      </c>
      <c r="K761" s="45" t="s">
        <v>369</v>
      </c>
    </row>
    <row r="762" spans="1:11">
      <c r="A762" s="2">
        <v>43927</v>
      </c>
      <c r="C762" s="45" t="s">
        <v>60</v>
      </c>
      <c r="E762" s="45">
        <v>63</v>
      </c>
      <c r="F762" s="45">
        <v>2</v>
      </c>
      <c r="J762" s="45">
        <v>2</v>
      </c>
      <c r="K762" s="45" t="s">
        <v>609</v>
      </c>
    </row>
    <row r="763" spans="1:11">
      <c r="A763" s="2">
        <v>43927</v>
      </c>
      <c r="C763" s="45" t="s">
        <v>62</v>
      </c>
      <c r="E763" s="45">
        <v>679</v>
      </c>
      <c r="F763" s="45">
        <v>52</v>
      </c>
      <c r="J763" s="45">
        <v>34</v>
      </c>
      <c r="K763" s="45" t="s">
        <v>511</v>
      </c>
    </row>
    <row r="764" spans="1:11">
      <c r="A764" s="2">
        <v>43927</v>
      </c>
      <c r="C764" s="45" t="s">
        <v>64</v>
      </c>
      <c r="E764" s="45">
        <v>164</v>
      </c>
      <c r="F764" s="45">
        <v>27</v>
      </c>
      <c r="G764" s="45">
        <v>4</v>
      </c>
      <c r="J764" s="45">
        <v>0</v>
      </c>
      <c r="K764" s="45" t="s">
        <v>688</v>
      </c>
    </row>
    <row r="765" spans="1:11">
      <c r="A765" s="2">
        <v>43927</v>
      </c>
      <c r="C765" s="45" t="s">
        <v>69</v>
      </c>
      <c r="E765" s="45">
        <v>485</v>
      </c>
      <c r="F765" s="45">
        <v>59</v>
      </c>
      <c r="G765" s="45">
        <v>10</v>
      </c>
      <c r="H765" s="45">
        <v>8</v>
      </c>
      <c r="J765" s="45">
        <v>34</v>
      </c>
      <c r="K765" s="45" t="s">
        <v>325</v>
      </c>
    </row>
    <row r="766" spans="1:11">
      <c r="A766" s="2">
        <v>43927</v>
      </c>
      <c r="C766" s="45" t="s">
        <v>71</v>
      </c>
      <c r="E766" s="45">
        <v>86</v>
      </c>
      <c r="F766" s="45">
        <v>11</v>
      </c>
      <c r="G766" s="45">
        <v>2</v>
      </c>
      <c r="K766" s="45" t="s">
        <v>310</v>
      </c>
    </row>
    <row r="767" spans="1:11">
      <c r="A767" s="2">
        <v>43927</v>
      </c>
      <c r="C767" s="45" t="s">
        <v>76</v>
      </c>
      <c r="E767" s="45">
        <v>532</v>
      </c>
      <c r="F767" s="45">
        <v>70</v>
      </c>
      <c r="G767" s="45">
        <v>12</v>
      </c>
      <c r="I767" s="45">
        <v>75</v>
      </c>
      <c r="J767" s="45">
        <v>11</v>
      </c>
      <c r="K767" s="45" t="s">
        <v>78</v>
      </c>
    </row>
    <row r="768" spans="1:11">
      <c r="A768" s="2">
        <v>43927</v>
      </c>
      <c r="C768" s="45" t="s">
        <v>79</v>
      </c>
      <c r="E768" s="45">
        <v>50</v>
      </c>
      <c r="F768" s="45">
        <v>15</v>
      </c>
      <c r="G768" s="45">
        <v>3</v>
      </c>
      <c r="J768" s="45">
        <v>1</v>
      </c>
      <c r="K768" s="45" t="s">
        <v>703</v>
      </c>
    </row>
    <row r="769" spans="1:11">
      <c r="A769" s="2">
        <v>43927</v>
      </c>
      <c r="C769" s="45" t="s">
        <v>84</v>
      </c>
      <c r="E769" s="45">
        <v>178</v>
      </c>
      <c r="I769" s="45">
        <v>93</v>
      </c>
      <c r="J769" s="45">
        <v>6</v>
      </c>
      <c r="K769" s="45" t="s">
        <v>704</v>
      </c>
    </row>
    <row r="770" spans="1:11">
      <c r="A770" s="2">
        <v>43927</v>
      </c>
      <c r="C770" s="45" t="s">
        <v>86</v>
      </c>
      <c r="E770" s="45">
        <v>220</v>
      </c>
      <c r="F770" s="45">
        <v>34</v>
      </c>
      <c r="G770" s="45">
        <v>14</v>
      </c>
      <c r="J770" s="45">
        <v>7</v>
      </c>
      <c r="K770" s="45" t="s">
        <v>88</v>
      </c>
    </row>
    <row r="771" spans="1:11">
      <c r="A771" s="2">
        <v>43927</v>
      </c>
      <c r="C771" s="45" t="s">
        <v>94</v>
      </c>
      <c r="E771" s="45">
        <v>4418</v>
      </c>
      <c r="F771" s="45">
        <v>360</v>
      </c>
      <c r="G771" s="45">
        <v>62</v>
      </c>
      <c r="J771" s="45">
        <v>194</v>
      </c>
      <c r="K771" s="45" t="s">
        <v>96</v>
      </c>
    </row>
    <row r="772" spans="1:11">
      <c r="A772" s="2">
        <v>43927</v>
      </c>
      <c r="C772" s="45" t="s">
        <v>97</v>
      </c>
      <c r="E772" s="45">
        <v>1497</v>
      </c>
      <c r="F772" s="45">
        <v>132</v>
      </c>
      <c r="G772" s="45">
        <v>26</v>
      </c>
      <c r="H772" s="45">
        <v>22</v>
      </c>
      <c r="J772" s="45">
        <v>60</v>
      </c>
      <c r="K772" s="45" t="s">
        <v>620</v>
      </c>
    </row>
    <row r="773" spans="1:11">
      <c r="A773" s="2">
        <v>43927</v>
      </c>
      <c r="B773" s="45">
        <v>0</v>
      </c>
      <c r="C773" s="45" t="s">
        <v>81</v>
      </c>
      <c r="E773" s="45">
        <v>261</v>
      </c>
      <c r="F773" s="45">
        <v>26</v>
      </c>
      <c r="J773" s="45">
        <v>3</v>
      </c>
      <c r="K773" s="45" t="s">
        <v>333</v>
      </c>
    </row>
    <row r="774" spans="1:11">
      <c r="A774" s="2">
        <v>43927</v>
      </c>
      <c r="B774" s="45">
        <v>0.33333333333333331</v>
      </c>
      <c r="C774" s="45" t="s">
        <v>41</v>
      </c>
      <c r="E774" s="45">
        <v>69</v>
      </c>
      <c r="J774" s="45">
        <v>3</v>
      </c>
      <c r="K774" s="45" t="s">
        <v>43</v>
      </c>
    </row>
    <row r="775" spans="1:11">
      <c r="A775" s="2">
        <v>43927</v>
      </c>
      <c r="B775" s="45">
        <v>0.33333333333333331</v>
      </c>
      <c r="C775" s="45" t="s">
        <v>44</v>
      </c>
      <c r="E775" s="45">
        <v>1173</v>
      </c>
      <c r="F775" s="45">
        <v>117</v>
      </c>
      <c r="G775" s="45">
        <v>35</v>
      </c>
      <c r="H775" s="45">
        <v>30</v>
      </c>
      <c r="J775" s="45">
        <v>31</v>
      </c>
      <c r="K775" s="45" t="s">
        <v>46</v>
      </c>
    </row>
    <row r="776" spans="1:11">
      <c r="A776" s="2">
        <v>43927</v>
      </c>
      <c r="B776" s="45">
        <v>0.33333333333333331</v>
      </c>
      <c r="C776" s="45" t="s">
        <v>89</v>
      </c>
      <c r="E776" s="45">
        <v>2546</v>
      </c>
      <c r="F776" s="45">
        <v>357</v>
      </c>
      <c r="G776" s="45">
        <v>72</v>
      </c>
      <c r="H776" s="45">
        <v>62</v>
      </c>
      <c r="I776" s="45">
        <v>350</v>
      </c>
      <c r="J776" s="45">
        <v>189</v>
      </c>
      <c r="K776" s="45" t="s">
        <v>507</v>
      </c>
    </row>
    <row r="777" spans="1:11">
      <c r="A777" s="2">
        <v>43927</v>
      </c>
      <c r="B777" s="45">
        <v>0.33333333333333331</v>
      </c>
      <c r="C777" s="45" t="s">
        <v>99</v>
      </c>
      <c r="E777" s="45">
        <v>152</v>
      </c>
      <c r="F777" s="45">
        <v>14</v>
      </c>
      <c r="G777" s="45">
        <v>8</v>
      </c>
      <c r="I777" s="45">
        <v>52</v>
      </c>
      <c r="J777" s="45">
        <v>3</v>
      </c>
      <c r="K777" s="45" t="s">
        <v>328</v>
      </c>
    </row>
    <row r="778" spans="1:11">
      <c r="A778" s="2">
        <v>43927</v>
      </c>
      <c r="B778" s="45">
        <v>0.40625</v>
      </c>
      <c r="C778" s="45" t="s">
        <v>50</v>
      </c>
      <c r="E778" s="45">
        <v>798</v>
      </c>
      <c r="F778" s="45">
        <v>99</v>
      </c>
      <c r="G778" s="45">
        <v>13</v>
      </c>
      <c r="I778" s="45">
        <v>481</v>
      </c>
      <c r="J778" s="45">
        <v>26</v>
      </c>
      <c r="K778" s="45" t="s">
        <v>255</v>
      </c>
    </row>
    <row r="779" spans="1:11">
      <c r="A779" s="2">
        <v>43927</v>
      </c>
      <c r="B779" s="45">
        <v>0.45833333333333331</v>
      </c>
      <c r="C779" s="45" t="s">
        <v>38</v>
      </c>
      <c r="E779" s="45">
        <v>21</v>
      </c>
      <c r="J779" s="45">
        <v>0</v>
      </c>
      <c r="K779" s="45" t="s">
        <v>40</v>
      </c>
    </row>
    <row r="780" spans="1:11">
      <c r="A780" s="2">
        <v>43927</v>
      </c>
      <c r="B780" s="45">
        <v>0.45833333333333331</v>
      </c>
      <c r="C780" s="45" t="s">
        <v>66</v>
      </c>
      <c r="E780" s="45">
        <v>497</v>
      </c>
      <c r="F780" s="45">
        <v>61</v>
      </c>
      <c r="G780" s="45">
        <v>6</v>
      </c>
      <c r="J780" s="45">
        <v>9</v>
      </c>
      <c r="K780" s="45" t="s">
        <v>68</v>
      </c>
    </row>
    <row r="781" spans="1:11">
      <c r="A781" s="2">
        <v>43927</v>
      </c>
      <c r="B781" s="45">
        <v>0.58333333333333337</v>
      </c>
      <c r="C781" s="45" t="s">
        <v>91</v>
      </c>
      <c r="E781" s="45">
        <v>67</v>
      </c>
      <c r="F781" s="45">
        <v>9</v>
      </c>
      <c r="I781" s="45">
        <v>34</v>
      </c>
      <c r="J781" s="45">
        <v>2</v>
      </c>
      <c r="K781" s="45" t="s">
        <v>205</v>
      </c>
    </row>
    <row r="782" spans="1:11">
      <c r="A782" s="2">
        <v>43927</v>
      </c>
      <c r="B782" s="45">
        <v>0.60416666666666663</v>
      </c>
      <c r="C782" s="45" t="s">
        <v>101</v>
      </c>
      <c r="E782" s="45">
        <v>2611</v>
      </c>
      <c r="F782" s="45">
        <v>198</v>
      </c>
      <c r="H782" s="45">
        <v>58</v>
      </c>
      <c r="J782" s="45">
        <v>55</v>
      </c>
      <c r="K782" s="45" t="s">
        <v>103</v>
      </c>
    </row>
    <row r="783" spans="1:11">
      <c r="A783" s="2">
        <v>43927</v>
      </c>
      <c r="B783" s="45">
        <v>0.625</v>
      </c>
      <c r="C783" s="45" t="s">
        <v>34</v>
      </c>
      <c r="E783" s="45">
        <v>727</v>
      </c>
      <c r="F783" s="45">
        <v>82</v>
      </c>
      <c r="G783" s="45">
        <v>25</v>
      </c>
      <c r="H783" s="45">
        <v>24</v>
      </c>
      <c r="J783" s="45">
        <v>13</v>
      </c>
      <c r="K783" s="45" t="s">
        <v>254</v>
      </c>
    </row>
    <row r="784" spans="1:11">
      <c r="A784" s="2">
        <v>43927</v>
      </c>
      <c r="B784" s="45">
        <v>0.625</v>
      </c>
      <c r="C784" s="45" t="s">
        <v>73</v>
      </c>
      <c r="E784" s="45">
        <v>60</v>
      </c>
      <c r="I784" s="45">
        <v>1</v>
      </c>
      <c r="J784" s="45">
        <v>0</v>
      </c>
      <c r="K784" s="45" t="s">
        <v>75</v>
      </c>
    </row>
    <row r="785" spans="1:11">
      <c r="A785" s="2">
        <v>43928</v>
      </c>
      <c r="C785" s="45" t="s">
        <v>47</v>
      </c>
      <c r="E785" s="45">
        <v>690</v>
      </c>
      <c r="F785" s="45">
        <v>66</v>
      </c>
      <c r="G785" s="45">
        <v>18</v>
      </c>
      <c r="H785" s="45">
        <v>17</v>
      </c>
      <c r="I785" s="45">
        <v>452</v>
      </c>
      <c r="J785" s="45">
        <v>19</v>
      </c>
      <c r="K785" s="45" t="s">
        <v>49</v>
      </c>
    </row>
    <row r="786" spans="1:11">
      <c r="A786" s="2">
        <v>43928</v>
      </c>
      <c r="C786" s="45" t="s">
        <v>53</v>
      </c>
      <c r="E786" s="45">
        <v>78</v>
      </c>
      <c r="J786" s="45">
        <v>1</v>
      </c>
      <c r="K786" s="45" t="s">
        <v>295</v>
      </c>
    </row>
    <row r="787" spans="1:11">
      <c r="A787" s="2">
        <v>43928</v>
      </c>
      <c r="C787" s="45" t="s">
        <v>56</v>
      </c>
      <c r="E787" s="45">
        <v>729</v>
      </c>
      <c r="F787" s="45">
        <v>78</v>
      </c>
      <c r="G787" s="45">
        <v>22</v>
      </c>
      <c r="I787" s="45">
        <v>73</v>
      </c>
      <c r="J787" s="45">
        <v>44</v>
      </c>
      <c r="K787" s="45" t="s">
        <v>736</v>
      </c>
    </row>
    <row r="788" spans="1:11">
      <c r="A788" s="2">
        <v>43928</v>
      </c>
      <c r="C788" s="45" t="s">
        <v>58</v>
      </c>
      <c r="D788" s="45">
        <v>16545</v>
      </c>
      <c r="E788" s="45">
        <v>4029</v>
      </c>
      <c r="F788" s="45">
        <v>412</v>
      </c>
      <c r="G788" s="45">
        <v>51</v>
      </c>
      <c r="H788" s="45">
        <v>48</v>
      </c>
      <c r="I788" s="45">
        <v>374</v>
      </c>
      <c r="J788" s="45">
        <v>136</v>
      </c>
      <c r="K788" s="45" t="s">
        <v>369</v>
      </c>
    </row>
    <row r="789" spans="1:11">
      <c r="A789" s="2">
        <v>43928</v>
      </c>
      <c r="C789" s="45" t="s">
        <v>60</v>
      </c>
      <c r="E789" s="45">
        <v>63</v>
      </c>
      <c r="F789" s="45">
        <v>2</v>
      </c>
      <c r="J789" s="45">
        <v>2</v>
      </c>
      <c r="K789" s="45" t="s">
        <v>609</v>
      </c>
    </row>
    <row r="790" spans="1:11">
      <c r="A790" s="2">
        <v>43928</v>
      </c>
      <c r="C790" s="45" t="s">
        <v>62</v>
      </c>
      <c r="E790" s="45">
        <v>684</v>
      </c>
      <c r="F790" s="45">
        <v>49</v>
      </c>
      <c r="J790" s="45">
        <v>35</v>
      </c>
      <c r="K790" s="45" t="s">
        <v>511</v>
      </c>
    </row>
    <row r="791" spans="1:11">
      <c r="A791" s="2">
        <v>43928</v>
      </c>
      <c r="C791" s="45" t="s">
        <v>64</v>
      </c>
      <c r="E791" s="45">
        <v>171</v>
      </c>
      <c r="F791" s="45">
        <v>28</v>
      </c>
      <c r="G791" s="45">
        <v>4</v>
      </c>
      <c r="J791" s="45">
        <v>0</v>
      </c>
      <c r="K791" s="45" t="s">
        <v>688</v>
      </c>
    </row>
    <row r="792" spans="1:11">
      <c r="A792" s="2">
        <v>43928</v>
      </c>
      <c r="C792" s="45" t="s">
        <v>69</v>
      </c>
      <c r="E792" s="45">
        <v>509</v>
      </c>
      <c r="F792" s="45">
        <v>64</v>
      </c>
      <c r="G792" s="45">
        <v>10</v>
      </c>
      <c r="H792" s="45">
        <v>5</v>
      </c>
      <c r="J792" s="45">
        <v>37</v>
      </c>
      <c r="K792" s="45" t="s">
        <v>325</v>
      </c>
    </row>
    <row r="793" spans="1:11">
      <c r="A793" s="2">
        <v>43928</v>
      </c>
      <c r="C793" s="45" t="s">
        <v>71</v>
      </c>
      <c r="E793" s="45">
        <v>87</v>
      </c>
      <c r="F793" s="45">
        <v>9</v>
      </c>
      <c r="G793" s="45">
        <v>2</v>
      </c>
      <c r="K793" s="45" t="s">
        <v>310</v>
      </c>
    </row>
    <row r="794" spans="1:11">
      <c r="A794" s="2">
        <v>43928</v>
      </c>
      <c r="C794" s="45" t="s">
        <v>76</v>
      </c>
      <c r="E794" s="45">
        <v>557</v>
      </c>
      <c r="F794" s="45">
        <v>65</v>
      </c>
      <c r="G794" s="45">
        <v>9</v>
      </c>
      <c r="I794" s="45">
        <v>79</v>
      </c>
      <c r="J794" s="45">
        <v>13</v>
      </c>
      <c r="K794" s="45" t="s">
        <v>78</v>
      </c>
    </row>
    <row r="795" spans="1:11">
      <c r="A795" s="2">
        <v>43928</v>
      </c>
      <c r="C795" s="45" t="s">
        <v>84</v>
      </c>
      <c r="E795" s="45">
        <v>185</v>
      </c>
      <c r="I795" s="45">
        <v>105</v>
      </c>
      <c r="J795" s="45">
        <v>7</v>
      </c>
      <c r="K795" s="45" t="s">
        <v>704</v>
      </c>
    </row>
    <row r="796" spans="1:11">
      <c r="A796" s="2">
        <v>43928</v>
      </c>
      <c r="C796" s="45" t="s">
        <v>86</v>
      </c>
      <c r="E796" s="45">
        <v>222</v>
      </c>
      <c r="F796" s="45">
        <v>33</v>
      </c>
      <c r="G796" s="45">
        <v>13</v>
      </c>
      <c r="J796" s="45">
        <v>8</v>
      </c>
      <c r="K796" s="45" t="s">
        <v>88</v>
      </c>
    </row>
    <row r="797" spans="1:11">
      <c r="A797" s="2">
        <v>43928</v>
      </c>
      <c r="C797" s="45" t="s">
        <v>94</v>
      </c>
      <c r="E797" s="45">
        <v>4495</v>
      </c>
      <c r="F797" s="45">
        <v>333</v>
      </c>
      <c r="G797" s="45">
        <v>61</v>
      </c>
      <c r="J797" s="45">
        <v>206</v>
      </c>
      <c r="K797" s="45" t="s">
        <v>96</v>
      </c>
    </row>
    <row r="798" spans="1:11">
      <c r="A798" s="2">
        <v>43928</v>
      </c>
      <c r="C798" s="45" t="s">
        <v>97</v>
      </c>
      <c r="E798" s="45">
        <v>1536</v>
      </c>
      <c r="F798" s="45">
        <v>129</v>
      </c>
      <c r="G798" s="45">
        <v>25</v>
      </c>
      <c r="H798" s="45">
        <v>20</v>
      </c>
      <c r="J798" s="45">
        <v>68</v>
      </c>
      <c r="K798" s="45" t="s">
        <v>620</v>
      </c>
    </row>
    <row r="799" spans="1:11">
      <c r="A799" s="2">
        <v>43928</v>
      </c>
      <c r="B799" s="45">
        <v>0</v>
      </c>
      <c r="C799" s="45" t="s">
        <v>81</v>
      </c>
      <c r="E799" s="45">
        <v>264</v>
      </c>
      <c r="F799" s="45">
        <v>29</v>
      </c>
      <c r="J799" s="45">
        <v>3</v>
      </c>
      <c r="K799" s="45" t="s">
        <v>333</v>
      </c>
    </row>
    <row r="800" spans="1:11">
      <c r="A800" s="2">
        <v>43928</v>
      </c>
      <c r="B800" s="45">
        <v>0.33333333333333331</v>
      </c>
      <c r="C800" s="45" t="s">
        <v>41</v>
      </c>
      <c r="E800" s="45">
        <v>69</v>
      </c>
      <c r="J800" s="45">
        <v>3</v>
      </c>
      <c r="K800" s="45" t="s">
        <v>43</v>
      </c>
    </row>
    <row r="801" spans="1:11">
      <c r="A801" s="2">
        <v>43928</v>
      </c>
      <c r="B801" s="45">
        <v>0.33333333333333331</v>
      </c>
      <c r="C801" s="45" t="s">
        <v>44</v>
      </c>
      <c r="E801" s="45">
        <v>1228</v>
      </c>
      <c r="F801" s="45">
        <v>122</v>
      </c>
      <c r="G801" s="45">
        <v>34</v>
      </c>
      <c r="H801" s="45">
        <v>26</v>
      </c>
      <c r="J801" s="45">
        <v>33</v>
      </c>
      <c r="K801" s="45" t="s">
        <v>46</v>
      </c>
    </row>
    <row r="802" spans="1:11">
      <c r="A802" s="2">
        <v>43928</v>
      </c>
      <c r="B802" s="45">
        <v>0.33333333333333331</v>
      </c>
      <c r="C802" s="45" t="s">
        <v>89</v>
      </c>
      <c r="E802" s="45">
        <v>2599</v>
      </c>
      <c r="F802" s="45">
        <v>335</v>
      </c>
      <c r="G802" s="45">
        <v>72</v>
      </c>
      <c r="H802" s="45">
        <v>65</v>
      </c>
      <c r="I802" s="45">
        <v>388</v>
      </c>
      <c r="J802" s="45">
        <v>198</v>
      </c>
      <c r="K802" s="45" t="s">
        <v>507</v>
      </c>
    </row>
    <row r="803" spans="1:11">
      <c r="A803" s="2">
        <v>43928</v>
      </c>
      <c r="B803" s="45">
        <v>0.33333333333333331</v>
      </c>
      <c r="C803" s="45" t="s">
        <v>99</v>
      </c>
      <c r="E803" s="45">
        <v>157</v>
      </c>
      <c r="F803" s="45">
        <v>15</v>
      </c>
      <c r="G803" s="45">
        <v>8</v>
      </c>
      <c r="I803" s="45">
        <v>54</v>
      </c>
      <c r="J803" s="45">
        <v>3</v>
      </c>
      <c r="K803" s="45" t="s">
        <v>328</v>
      </c>
    </row>
    <row r="804" spans="1:11">
      <c r="A804" s="2">
        <v>43928</v>
      </c>
      <c r="B804" s="45">
        <v>0.39583333333333331</v>
      </c>
      <c r="C804" s="45" t="s">
        <v>50</v>
      </c>
      <c r="E804" s="45">
        <v>808</v>
      </c>
      <c r="F804" s="45">
        <v>101</v>
      </c>
      <c r="G804" s="45">
        <v>13</v>
      </c>
      <c r="I804" s="45">
        <v>508</v>
      </c>
      <c r="J804" s="45">
        <v>28</v>
      </c>
      <c r="K804" s="45" t="s">
        <v>257</v>
      </c>
    </row>
    <row r="805" spans="1:11">
      <c r="A805" s="2">
        <v>43928</v>
      </c>
      <c r="B805" s="45">
        <v>0.39583333333333331</v>
      </c>
      <c r="C805" s="45" t="s">
        <v>79</v>
      </c>
      <c r="E805" s="45">
        <v>50</v>
      </c>
      <c r="F805" s="45">
        <v>14</v>
      </c>
      <c r="G805" s="45">
        <v>3</v>
      </c>
      <c r="J805" s="45">
        <v>1</v>
      </c>
      <c r="K805" s="45" t="s">
        <v>703</v>
      </c>
    </row>
    <row r="806" spans="1:11">
      <c r="A806" s="2">
        <v>43928</v>
      </c>
      <c r="B806" s="45">
        <v>0.45833333333333331</v>
      </c>
      <c r="C806" s="45" t="s">
        <v>38</v>
      </c>
      <c r="E806" s="45">
        <v>21</v>
      </c>
      <c r="J806" s="45">
        <v>0</v>
      </c>
      <c r="K806" s="45" t="s">
        <v>40</v>
      </c>
    </row>
    <row r="807" spans="1:11">
      <c r="A807" s="2">
        <v>43928</v>
      </c>
      <c r="B807" s="45">
        <v>0.45833333333333331</v>
      </c>
      <c r="C807" s="45" t="s">
        <v>66</v>
      </c>
      <c r="E807" s="45">
        <v>509</v>
      </c>
      <c r="F807" s="45">
        <v>57</v>
      </c>
      <c r="G807" s="45">
        <v>6</v>
      </c>
      <c r="J807" s="45">
        <v>9</v>
      </c>
      <c r="K807" s="45" t="s">
        <v>68</v>
      </c>
    </row>
    <row r="808" spans="1:11">
      <c r="A808" s="2">
        <v>43928</v>
      </c>
      <c r="B808" s="45">
        <v>0.58333333333333337</v>
      </c>
      <c r="C808" s="45" t="s">
        <v>91</v>
      </c>
      <c r="E808" s="45">
        <v>68</v>
      </c>
      <c r="F808" s="45">
        <v>7</v>
      </c>
      <c r="I808" s="45">
        <v>42</v>
      </c>
      <c r="J808" s="45">
        <v>2</v>
      </c>
      <c r="K808" s="45" t="s">
        <v>205</v>
      </c>
    </row>
    <row r="809" spans="1:11">
      <c r="A809" s="2">
        <v>43928</v>
      </c>
      <c r="B809" s="45">
        <v>0.60416666666666663</v>
      </c>
      <c r="C809" s="45" t="s">
        <v>73</v>
      </c>
      <c r="E809" s="45">
        <v>60</v>
      </c>
      <c r="F809" s="45">
        <v>2</v>
      </c>
      <c r="J809" s="45">
        <v>0</v>
      </c>
      <c r="K809" s="45" t="s">
        <v>75</v>
      </c>
    </row>
    <row r="810" spans="1:11">
      <c r="A810" s="2">
        <v>43928</v>
      </c>
      <c r="B810" s="45">
        <v>0.60416666666666663</v>
      </c>
      <c r="C810" s="45" t="s">
        <v>101</v>
      </c>
      <c r="E810" s="45">
        <v>2695</v>
      </c>
      <c r="F810" s="45">
        <v>181</v>
      </c>
      <c r="H810" s="45">
        <v>60</v>
      </c>
      <c r="J810" s="45">
        <v>57</v>
      </c>
      <c r="K810" s="45" t="s">
        <v>103</v>
      </c>
    </row>
    <row r="811" spans="1:11">
      <c r="A811" s="2">
        <v>43928</v>
      </c>
      <c r="B811" s="45">
        <v>0.61458333333333337</v>
      </c>
      <c r="C811" s="45" t="s">
        <v>34</v>
      </c>
      <c r="E811" s="45">
        <v>760</v>
      </c>
      <c r="F811" s="45">
        <v>84</v>
      </c>
      <c r="G811" s="45">
        <v>25</v>
      </c>
      <c r="H811" s="45">
        <v>25</v>
      </c>
      <c r="I811" s="45">
        <v>170</v>
      </c>
      <c r="J811" s="45">
        <v>16</v>
      </c>
      <c r="K811" s="45" t="s">
        <v>256</v>
      </c>
    </row>
    <row r="812" spans="1:11">
      <c r="A812" s="2">
        <v>43929</v>
      </c>
      <c r="C812" s="45" t="s">
        <v>47</v>
      </c>
      <c r="E812" s="45">
        <v>694</v>
      </c>
      <c r="F812" s="45">
        <v>65</v>
      </c>
      <c r="G812" s="45">
        <v>18</v>
      </c>
      <c r="H812" s="45">
        <v>17</v>
      </c>
      <c r="I812" s="45">
        <v>461</v>
      </c>
      <c r="J812" s="45">
        <v>21</v>
      </c>
      <c r="K812" s="45" t="s">
        <v>49</v>
      </c>
    </row>
    <row r="813" spans="1:11">
      <c r="A813" s="2">
        <v>43929</v>
      </c>
      <c r="C813" s="45" t="s">
        <v>56</v>
      </c>
      <c r="E813" s="45">
        <v>756</v>
      </c>
      <c r="F813" s="45">
        <v>80</v>
      </c>
      <c r="G813" s="45">
        <v>22</v>
      </c>
      <c r="I813" s="45">
        <v>78</v>
      </c>
      <c r="J813" s="45">
        <v>45</v>
      </c>
      <c r="K813" s="45" t="s">
        <v>736</v>
      </c>
    </row>
    <row r="814" spans="1:11">
      <c r="A814" s="2">
        <v>43929</v>
      </c>
      <c r="C814" s="45" t="s">
        <v>58</v>
      </c>
      <c r="D814" s="45">
        <v>17314</v>
      </c>
      <c r="E814" s="45">
        <v>4160</v>
      </c>
      <c r="F814" s="45">
        <v>402</v>
      </c>
      <c r="G814" s="45">
        <v>49</v>
      </c>
      <c r="H814" s="45">
        <v>47</v>
      </c>
      <c r="I814" s="45">
        <v>442</v>
      </c>
      <c r="J814" s="45">
        <v>150</v>
      </c>
      <c r="K814" s="45" t="s">
        <v>369</v>
      </c>
    </row>
    <row r="815" spans="1:11">
      <c r="A815" s="2">
        <v>43929</v>
      </c>
      <c r="C815" s="45" t="s">
        <v>60</v>
      </c>
      <c r="E815" s="45">
        <v>64</v>
      </c>
      <c r="F815" s="45">
        <v>2</v>
      </c>
      <c r="J815" s="45">
        <v>2</v>
      </c>
      <c r="K815" s="45" t="s">
        <v>609</v>
      </c>
    </row>
    <row r="816" spans="1:11">
      <c r="A816" s="2">
        <v>43929</v>
      </c>
      <c r="C816" s="45" t="s">
        <v>62</v>
      </c>
      <c r="E816" s="45">
        <v>698</v>
      </c>
      <c r="F816" s="45">
        <v>38</v>
      </c>
      <c r="J816" s="45">
        <v>35</v>
      </c>
      <c r="K816" s="45" t="s">
        <v>511</v>
      </c>
    </row>
    <row r="817" spans="1:11">
      <c r="A817" s="2">
        <v>43929</v>
      </c>
      <c r="C817" s="45" t="s">
        <v>64</v>
      </c>
      <c r="E817" s="45">
        <v>174</v>
      </c>
      <c r="F817" s="45">
        <v>31</v>
      </c>
      <c r="G817" s="45">
        <v>4</v>
      </c>
      <c r="J817" s="45">
        <v>1</v>
      </c>
      <c r="K817" s="45" t="s">
        <v>688</v>
      </c>
    </row>
    <row r="818" spans="1:11">
      <c r="A818" s="2">
        <v>43929</v>
      </c>
      <c r="C818" s="45" t="s">
        <v>69</v>
      </c>
      <c r="E818" s="45">
        <v>513</v>
      </c>
      <c r="F818" s="45">
        <v>63</v>
      </c>
      <c r="G818" s="45">
        <v>10</v>
      </c>
      <c r="H818" s="45">
        <v>7</v>
      </c>
      <c r="J818" s="45">
        <v>40</v>
      </c>
      <c r="K818" s="45" t="s">
        <v>325</v>
      </c>
    </row>
    <row r="819" spans="1:11">
      <c r="A819" s="2">
        <v>43929</v>
      </c>
      <c r="C819" s="45" t="s">
        <v>71</v>
      </c>
      <c r="E819" s="45">
        <v>93</v>
      </c>
      <c r="F819" s="45">
        <v>9</v>
      </c>
      <c r="G819" s="45">
        <v>1</v>
      </c>
      <c r="K819" s="45" t="s">
        <v>310</v>
      </c>
    </row>
    <row r="820" spans="1:11">
      <c r="A820" s="2">
        <v>43929</v>
      </c>
      <c r="C820" s="45" t="s">
        <v>76</v>
      </c>
      <c r="E820" s="45">
        <v>578</v>
      </c>
      <c r="F820" s="45">
        <v>52</v>
      </c>
      <c r="G820" s="45">
        <v>12</v>
      </c>
      <c r="I820" s="45">
        <v>89</v>
      </c>
      <c r="J820" s="45">
        <v>15</v>
      </c>
      <c r="K820" s="45" t="s">
        <v>78</v>
      </c>
    </row>
    <row r="821" spans="1:11">
      <c r="A821" s="2">
        <v>43929</v>
      </c>
      <c r="C821" s="45" t="s">
        <v>84</v>
      </c>
      <c r="E821" s="45">
        <v>196</v>
      </c>
      <c r="I821" s="45">
        <v>107</v>
      </c>
      <c r="J821" s="45">
        <v>7</v>
      </c>
      <c r="K821" s="45" t="s">
        <v>704</v>
      </c>
    </row>
    <row r="822" spans="1:11">
      <c r="A822" s="2">
        <v>43929</v>
      </c>
      <c r="C822" s="45" t="s">
        <v>86</v>
      </c>
      <c r="E822" s="45">
        <v>237</v>
      </c>
      <c r="F822" s="45">
        <v>30</v>
      </c>
      <c r="G822" s="45">
        <v>15</v>
      </c>
      <c r="J822" s="45">
        <v>8</v>
      </c>
      <c r="K822" s="45" t="s">
        <v>88</v>
      </c>
    </row>
    <row r="823" spans="1:11">
      <c r="A823" s="2">
        <v>43929</v>
      </c>
      <c r="C823" s="45" t="s">
        <v>94</v>
      </c>
      <c r="E823" s="45">
        <v>4586</v>
      </c>
      <c r="F823" s="45">
        <v>324</v>
      </c>
      <c r="G823" s="45">
        <v>60</v>
      </c>
      <c r="J823" s="45">
        <v>218</v>
      </c>
      <c r="K823" s="45" t="s">
        <v>96</v>
      </c>
    </row>
    <row r="824" spans="1:11">
      <c r="A824" s="2">
        <v>43929</v>
      </c>
      <c r="C824" s="45" t="s">
        <v>97</v>
      </c>
      <c r="E824" s="45">
        <v>1570</v>
      </c>
      <c r="F824" s="45">
        <v>122</v>
      </c>
      <c r="G824" s="45">
        <v>26</v>
      </c>
      <c r="H824" s="45">
        <v>20</v>
      </c>
      <c r="J824" s="45">
        <v>71</v>
      </c>
      <c r="K824" s="45" t="s">
        <v>620</v>
      </c>
    </row>
    <row r="825" spans="1:11">
      <c r="A825" s="2">
        <v>43929</v>
      </c>
      <c r="B825" s="45">
        <v>0</v>
      </c>
      <c r="C825" s="45" t="s">
        <v>81</v>
      </c>
      <c r="E825" s="45">
        <v>276</v>
      </c>
      <c r="F825" s="45">
        <v>22</v>
      </c>
      <c r="J825" s="45">
        <v>3</v>
      </c>
      <c r="K825" s="45" t="s">
        <v>333</v>
      </c>
    </row>
    <row r="826" spans="1:11">
      <c r="A826" s="2">
        <v>43929</v>
      </c>
      <c r="B826" s="45">
        <v>0.33333333333333331</v>
      </c>
      <c r="C826" s="45" t="s">
        <v>41</v>
      </c>
      <c r="E826" s="45">
        <v>72</v>
      </c>
      <c r="J826" s="45">
        <v>3</v>
      </c>
      <c r="K826" s="45" t="s">
        <v>43</v>
      </c>
    </row>
    <row r="827" spans="1:11">
      <c r="A827" s="2">
        <v>43929</v>
      </c>
      <c r="B827" s="45">
        <v>0.33333333333333331</v>
      </c>
      <c r="C827" s="45" t="s">
        <v>44</v>
      </c>
      <c r="E827" s="45">
        <v>1286</v>
      </c>
      <c r="F827" s="45">
        <v>127</v>
      </c>
      <c r="G827" s="45">
        <v>35</v>
      </c>
      <c r="H827" s="45">
        <v>27</v>
      </c>
      <c r="J827" s="45">
        <v>37</v>
      </c>
      <c r="K827" s="45" t="s">
        <v>46</v>
      </c>
    </row>
    <row r="828" spans="1:11">
      <c r="A828" s="2">
        <v>43929</v>
      </c>
      <c r="B828" s="45">
        <v>0.33333333333333331</v>
      </c>
      <c r="C828" s="45" t="s">
        <v>89</v>
      </c>
      <c r="E828" s="45">
        <v>2659</v>
      </c>
      <c r="F828" s="45">
        <v>319</v>
      </c>
      <c r="G828" s="45">
        <v>71</v>
      </c>
      <c r="H828" s="45">
        <v>64</v>
      </c>
      <c r="I828" s="45">
        <v>420</v>
      </c>
      <c r="J828" s="45">
        <v>211</v>
      </c>
      <c r="K828" s="45" t="s">
        <v>507</v>
      </c>
    </row>
    <row r="829" spans="1:11">
      <c r="A829" s="2">
        <v>43929</v>
      </c>
      <c r="B829" s="45">
        <v>0.33333333333333331</v>
      </c>
      <c r="C829" s="45" t="s">
        <v>99</v>
      </c>
      <c r="E829" s="45">
        <v>162</v>
      </c>
      <c r="F829" s="45">
        <v>12</v>
      </c>
      <c r="G829" s="45">
        <v>9</v>
      </c>
      <c r="I829" s="45">
        <v>61</v>
      </c>
      <c r="J829" s="45">
        <v>3</v>
      </c>
      <c r="K829" s="45" t="s">
        <v>328</v>
      </c>
    </row>
    <row r="830" spans="1:11">
      <c r="A830" s="2">
        <v>43929</v>
      </c>
      <c r="B830" s="45">
        <v>0.39583333333333331</v>
      </c>
      <c r="C830" s="45" t="s">
        <v>79</v>
      </c>
      <c r="E830" s="45">
        <v>50</v>
      </c>
      <c r="F830" s="45">
        <v>15</v>
      </c>
      <c r="G830" s="45">
        <v>2</v>
      </c>
      <c r="J830" s="45">
        <v>1</v>
      </c>
      <c r="K830" s="45" t="s">
        <v>703</v>
      </c>
    </row>
    <row r="831" spans="1:11">
      <c r="A831" s="2">
        <v>43929</v>
      </c>
      <c r="B831" s="45">
        <v>0.41666666666666669</v>
      </c>
      <c r="C831" s="45" t="s">
        <v>50</v>
      </c>
      <c r="E831" s="45">
        <v>829</v>
      </c>
      <c r="F831" s="45">
        <v>99</v>
      </c>
      <c r="G831" s="45">
        <v>14</v>
      </c>
      <c r="I831" s="45">
        <v>535</v>
      </c>
      <c r="J831" s="45">
        <v>31</v>
      </c>
      <c r="K831" s="45" t="s">
        <v>259</v>
      </c>
    </row>
    <row r="832" spans="1:11">
      <c r="A832" s="2">
        <v>43929</v>
      </c>
      <c r="B832" s="45">
        <v>0.45833333333333331</v>
      </c>
      <c r="C832" s="45" t="s">
        <v>38</v>
      </c>
      <c r="E832" s="45">
        <v>23</v>
      </c>
      <c r="J832" s="45">
        <v>0</v>
      </c>
      <c r="K832" s="45" t="s">
        <v>40</v>
      </c>
    </row>
    <row r="833" spans="1:11">
      <c r="A833" s="2">
        <v>43929</v>
      </c>
      <c r="B833" s="45">
        <v>0.45833333333333331</v>
      </c>
      <c r="C833" s="45" t="s">
        <v>66</v>
      </c>
      <c r="E833" s="45">
        <v>527</v>
      </c>
      <c r="J833" s="45">
        <v>9</v>
      </c>
      <c r="K833" s="45" t="s">
        <v>68</v>
      </c>
    </row>
    <row r="834" spans="1:11">
      <c r="A834" s="2">
        <v>43929</v>
      </c>
      <c r="B834" s="45">
        <v>0.58333333333333337</v>
      </c>
      <c r="C834" s="45" t="s">
        <v>91</v>
      </c>
      <c r="E834" s="45">
        <v>72</v>
      </c>
      <c r="F834" s="45">
        <v>5</v>
      </c>
      <c r="I834" s="45">
        <v>42</v>
      </c>
      <c r="J834" s="45">
        <v>4</v>
      </c>
      <c r="K834" s="45" t="s">
        <v>93</v>
      </c>
    </row>
    <row r="835" spans="1:11">
      <c r="A835" s="2">
        <v>43929</v>
      </c>
      <c r="B835" s="45">
        <v>0.60416666666666663</v>
      </c>
      <c r="C835" s="45" t="s">
        <v>101</v>
      </c>
      <c r="E835" s="45">
        <v>2790</v>
      </c>
      <c r="F835" s="45">
        <v>170</v>
      </c>
      <c r="H835" s="45">
        <v>56</v>
      </c>
      <c r="J835" s="45">
        <v>65</v>
      </c>
      <c r="K835" s="45" t="s">
        <v>103</v>
      </c>
    </row>
    <row r="836" spans="1:11">
      <c r="A836" s="2">
        <v>43929</v>
      </c>
      <c r="B836" s="45">
        <v>0.61458333333333337</v>
      </c>
      <c r="C836" s="45" t="s">
        <v>34</v>
      </c>
      <c r="E836" s="45">
        <v>788</v>
      </c>
      <c r="F836" s="45">
        <v>79</v>
      </c>
      <c r="G836" s="45">
        <v>23</v>
      </c>
      <c r="H836" s="45">
        <v>23</v>
      </c>
      <c r="I836" s="45">
        <v>220</v>
      </c>
      <c r="J836" s="45">
        <v>16</v>
      </c>
      <c r="K836" s="45" t="s">
        <v>258</v>
      </c>
    </row>
    <row r="837" spans="1:11">
      <c r="A837" s="2">
        <v>43929</v>
      </c>
      <c r="B837" s="45">
        <v>0.625</v>
      </c>
      <c r="C837" s="45" t="s">
        <v>73</v>
      </c>
      <c r="E837" s="45">
        <v>61</v>
      </c>
      <c r="F837" s="45">
        <v>2</v>
      </c>
      <c r="J837" s="45">
        <v>0</v>
      </c>
      <c r="K837" s="45" t="s">
        <v>75</v>
      </c>
    </row>
    <row r="838" spans="1:11">
      <c r="A838" s="2">
        <v>43930</v>
      </c>
      <c r="C838" s="45" t="s">
        <v>47</v>
      </c>
      <c r="E838" s="45">
        <v>711</v>
      </c>
      <c r="F838" s="45">
        <v>62</v>
      </c>
      <c r="G838" s="45">
        <v>18</v>
      </c>
      <c r="H838" s="45">
        <v>16</v>
      </c>
      <c r="I838" s="45">
        <v>485</v>
      </c>
      <c r="J838" s="45">
        <v>21</v>
      </c>
      <c r="K838" s="45" t="s">
        <v>49</v>
      </c>
    </row>
    <row r="839" spans="1:11">
      <c r="A839" s="2">
        <v>43930</v>
      </c>
      <c r="C839" s="45" t="s">
        <v>56</v>
      </c>
      <c r="E839" s="45">
        <v>786</v>
      </c>
      <c r="F839" s="45">
        <v>80</v>
      </c>
      <c r="G839" s="45">
        <v>20</v>
      </c>
      <c r="I839" s="45">
        <v>84</v>
      </c>
      <c r="J839" s="45">
        <v>46</v>
      </c>
      <c r="K839" s="45" t="s">
        <v>736</v>
      </c>
    </row>
    <row r="840" spans="1:11">
      <c r="A840" s="2">
        <v>43930</v>
      </c>
      <c r="C840" s="45" t="s">
        <v>58</v>
      </c>
      <c r="D840" s="45">
        <v>17898</v>
      </c>
      <c r="E840" s="45">
        <v>4254</v>
      </c>
      <c r="F840" s="45">
        <v>393</v>
      </c>
      <c r="G840" s="45">
        <v>47</v>
      </c>
      <c r="H840" s="45">
        <v>45</v>
      </c>
      <c r="J840" s="45">
        <v>159</v>
      </c>
      <c r="K840" s="45" t="s">
        <v>369</v>
      </c>
    </row>
    <row r="841" spans="1:11">
      <c r="A841" s="2">
        <v>43930</v>
      </c>
      <c r="C841" s="45" t="s">
        <v>60</v>
      </c>
      <c r="E841" s="45">
        <v>67</v>
      </c>
      <c r="F841" s="45">
        <v>2</v>
      </c>
      <c r="J841" s="45">
        <v>2</v>
      </c>
      <c r="K841" s="45" t="s">
        <v>609</v>
      </c>
    </row>
    <row r="842" spans="1:11">
      <c r="A842" s="2">
        <v>43930</v>
      </c>
      <c r="C842" s="45" t="s">
        <v>62</v>
      </c>
      <c r="E842" s="45">
        <v>719</v>
      </c>
      <c r="F842" s="45">
        <v>39</v>
      </c>
      <c r="J842" s="45">
        <v>36</v>
      </c>
      <c r="K842" s="45" t="s">
        <v>511</v>
      </c>
    </row>
    <row r="843" spans="1:11">
      <c r="A843" s="2">
        <v>43930</v>
      </c>
      <c r="C843" s="45" t="s">
        <v>64</v>
      </c>
      <c r="E843" s="45">
        <v>179</v>
      </c>
      <c r="F843" s="45">
        <v>28</v>
      </c>
      <c r="G843" s="45">
        <v>5</v>
      </c>
      <c r="J843" s="45">
        <v>1</v>
      </c>
      <c r="K843" s="45" t="s">
        <v>688</v>
      </c>
    </row>
    <row r="844" spans="1:11">
      <c r="A844" s="2">
        <v>43930</v>
      </c>
      <c r="C844" s="45" t="s">
        <v>69</v>
      </c>
      <c r="E844" s="45">
        <v>545</v>
      </c>
      <c r="F844" s="45">
        <v>58</v>
      </c>
      <c r="G844" s="45">
        <v>10</v>
      </c>
      <c r="H844" s="45">
        <v>7</v>
      </c>
      <c r="J844" s="45">
        <v>42</v>
      </c>
      <c r="K844" s="45" t="s">
        <v>325</v>
      </c>
    </row>
    <row r="845" spans="1:11">
      <c r="A845" s="2">
        <v>43930</v>
      </c>
      <c r="C845" s="45" t="s">
        <v>71</v>
      </c>
      <c r="E845" s="45">
        <v>96</v>
      </c>
      <c r="F845" s="45">
        <v>9</v>
      </c>
      <c r="G845" s="45">
        <v>1</v>
      </c>
      <c r="K845" s="45" t="s">
        <v>310</v>
      </c>
    </row>
    <row r="846" spans="1:11">
      <c r="A846" s="2">
        <v>43930</v>
      </c>
      <c r="C846" s="45" t="s">
        <v>76</v>
      </c>
      <c r="E846" s="45">
        <v>604</v>
      </c>
      <c r="F846" s="45">
        <v>52</v>
      </c>
      <c r="G846" s="45">
        <v>13</v>
      </c>
      <c r="I846" s="45">
        <v>92</v>
      </c>
      <c r="J846" s="45">
        <v>16</v>
      </c>
      <c r="K846" s="45" t="s">
        <v>78</v>
      </c>
    </row>
    <row r="847" spans="1:11">
      <c r="A847" s="2">
        <v>43930</v>
      </c>
      <c r="C847" s="45" t="s">
        <v>84</v>
      </c>
      <c r="E847" s="45">
        <v>213</v>
      </c>
      <c r="I847" s="45">
        <v>113</v>
      </c>
      <c r="J847" s="45">
        <v>9</v>
      </c>
      <c r="K847" s="45" t="s">
        <v>704</v>
      </c>
    </row>
    <row r="848" spans="1:11">
      <c r="A848" s="2">
        <v>43930</v>
      </c>
      <c r="C848" s="45" t="s">
        <v>86</v>
      </c>
      <c r="E848" s="45">
        <v>256</v>
      </c>
      <c r="F848" s="45">
        <v>27</v>
      </c>
      <c r="G848" s="45">
        <v>12</v>
      </c>
      <c r="J848" s="45">
        <v>8</v>
      </c>
      <c r="K848" s="45" t="s">
        <v>88</v>
      </c>
    </row>
    <row r="849" spans="1:11">
      <c r="A849" s="2">
        <v>43930</v>
      </c>
      <c r="C849" s="45" t="s">
        <v>94</v>
      </c>
      <c r="E849" s="45">
        <v>4683</v>
      </c>
      <c r="F849" s="45">
        <v>307</v>
      </c>
      <c r="G849" s="45">
        <v>61</v>
      </c>
      <c r="J849" s="45">
        <v>232</v>
      </c>
      <c r="K849" s="45" t="s">
        <v>96</v>
      </c>
    </row>
    <row r="850" spans="1:11">
      <c r="A850" s="2">
        <v>43930</v>
      </c>
      <c r="C850" s="45" t="s">
        <v>97</v>
      </c>
      <c r="E850" s="45">
        <v>1598</v>
      </c>
      <c r="F850" s="45">
        <v>117</v>
      </c>
      <c r="G850" s="45">
        <v>24</v>
      </c>
      <c r="H850" s="45">
        <v>19</v>
      </c>
      <c r="J850" s="45">
        <v>77</v>
      </c>
      <c r="K850" s="45" t="s">
        <v>620</v>
      </c>
    </row>
    <row r="851" spans="1:11">
      <c r="A851" s="2">
        <v>43930</v>
      </c>
      <c r="B851" s="45">
        <v>0</v>
      </c>
      <c r="C851" s="45" t="s">
        <v>81</v>
      </c>
      <c r="E851" s="45">
        <v>282</v>
      </c>
      <c r="F851" s="45">
        <v>23</v>
      </c>
      <c r="J851" s="45">
        <v>5</v>
      </c>
      <c r="K851" s="45" t="s">
        <v>333</v>
      </c>
    </row>
    <row r="852" spans="1:11">
      <c r="A852" s="2">
        <v>43930</v>
      </c>
      <c r="B852" s="45">
        <v>0.33333333333333331</v>
      </c>
      <c r="C852" s="45" t="s">
        <v>41</v>
      </c>
      <c r="E852" s="45">
        <v>74</v>
      </c>
      <c r="J852" s="45">
        <v>3</v>
      </c>
      <c r="K852" s="45" t="s">
        <v>43</v>
      </c>
    </row>
    <row r="853" spans="1:11">
      <c r="A853" s="2">
        <v>43930</v>
      </c>
      <c r="B853" s="45">
        <v>0.33333333333333331</v>
      </c>
      <c r="C853" s="45" t="s">
        <v>44</v>
      </c>
      <c r="E853" s="45">
        <v>1335</v>
      </c>
      <c r="F853" s="45">
        <v>117</v>
      </c>
      <c r="G853" s="45">
        <v>36</v>
      </c>
      <c r="H853" s="45">
        <v>27</v>
      </c>
      <c r="J853" s="45">
        <v>38</v>
      </c>
      <c r="K853" s="45" t="s">
        <v>46</v>
      </c>
    </row>
    <row r="854" spans="1:11">
      <c r="A854" s="2">
        <v>43930</v>
      </c>
      <c r="B854" s="45">
        <v>0.33333333333333331</v>
      </c>
      <c r="C854" s="45" t="s">
        <v>89</v>
      </c>
      <c r="E854" s="45">
        <v>2714</v>
      </c>
      <c r="F854" s="45">
        <v>301</v>
      </c>
      <c r="G854" s="45">
        <v>72</v>
      </c>
      <c r="H854" s="45">
        <v>68</v>
      </c>
      <c r="I854" s="45">
        <v>447</v>
      </c>
      <c r="J854" s="45">
        <v>219</v>
      </c>
      <c r="K854" s="45" t="s">
        <v>507</v>
      </c>
    </row>
    <row r="855" spans="1:11">
      <c r="A855" s="2">
        <v>43930</v>
      </c>
      <c r="B855" s="45">
        <v>0.33333333333333331</v>
      </c>
      <c r="C855" s="45" t="s">
        <v>99</v>
      </c>
      <c r="E855" s="45">
        <v>165</v>
      </c>
      <c r="F855" s="45">
        <v>13</v>
      </c>
      <c r="G855" s="45">
        <v>9</v>
      </c>
      <c r="I855" s="45">
        <v>69</v>
      </c>
      <c r="J855" s="45">
        <v>3</v>
      </c>
      <c r="K855" s="45" t="s">
        <v>328</v>
      </c>
    </row>
    <row r="856" spans="1:11">
      <c r="A856" s="2">
        <v>43930</v>
      </c>
      <c r="B856" s="45">
        <v>0.39583333333333331</v>
      </c>
      <c r="C856" s="45" t="s">
        <v>79</v>
      </c>
      <c r="E856" s="45">
        <v>52</v>
      </c>
      <c r="F856" s="45">
        <v>17</v>
      </c>
      <c r="G856" s="45">
        <v>2</v>
      </c>
      <c r="J856" s="45">
        <v>1</v>
      </c>
      <c r="K856" s="45" t="s">
        <v>703</v>
      </c>
    </row>
    <row r="857" spans="1:11">
      <c r="A857" s="2">
        <v>43930</v>
      </c>
      <c r="B857" s="45">
        <v>0.41666666666666669</v>
      </c>
      <c r="C857" s="45" t="s">
        <v>50</v>
      </c>
      <c r="E857" s="45">
        <v>841</v>
      </c>
      <c r="F857" s="45">
        <v>93</v>
      </c>
      <c r="G857" s="45">
        <v>13</v>
      </c>
      <c r="I857" s="45">
        <v>572</v>
      </c>
      <c r="J857" s="45">
        <v>33</v>
      </c>
      <c r="K857" s="45" t="s">
        <v>52</v>
      </c>
    </row>
    <row r="858" spans="1:11">
      <c r="A858" s="2">
        <v>43930</v>
      </c>
      <c r="B858" s="45">
        <v>0.45833333333333331</v>
      </c>
      <c r="C858" s="45" t="s">
        <v>38</v>
      </c>
      <c r="E858" s="45">
        <v>24</v>
      </c>
      <c r="J858" s="45">
        <v>0</v>
      </c>
      <c r="K858" s="45" t="s">
        <v>40</v>
      </c>
    </row>
    <row r="859" spans="1:11">
      <c r="A859" s="2">
        <v>43930</v>
      </c>
      <c r="B859" s="45">
        <v>0.54166666666666663</v>
      </c>
      <c r="C859" s="45" t="s">
        <v>66</v>
      </c>
      <c r="E859" s="45">
        <v>542</v>
      </c>
      <c r="F859" s="45">
        <v>62</v>
      </c>
      <c r="G859" s="45">
        <v>6</v>
      </c>
      <c r="J859" s="45">
        <v>9</v>
      </c>
      <c r="K859" s="45" t="s">
        <v>68</v>
      </c>
    </row>
    <row r="860" spans="1:11">
      <c r="A860" s="2">
        <v>43930</v>
      </c>
      <c r="B860" s="45">
        <v>0.58333333333333337</v>
      </c>
      <c r="C860" s="45" t="s">
        <v>91</v>
      </c>
      <c r="E860" s="45">
        <v>72</v>
      </c>
      <c r="F860" s="45">
        <v>4</v>
      </c>
      <c r="I860" s="45">
        <v>45</v>
      </c>
      <c r="J860" s="45">
        <v>4</v>
      </c>
      <c r="K860" s="45" t="s">
        <v>93</v>
      </c>
    </row>
    <row r="861" spans="1:11">
      <c r="A861" s="2">
        <v>43930</v>
      </c>
      <c r="B861" s="45">
        <v>0.60416666666666663</v>
      </c>
      <c r="C861" s="45" t="s">
        <v>101</v>
      </c>
      <c r="E861" s="45">
        <v>2887</v>
      </c>
      <c r="F861" s="45">
        <v>165</v>
      </c>
      <c r="H861" s="45">
        <v>55</v>
      </c>
      <c r="J861" s="45">
        <v>66</v>
      </c>
      <c r="K861" s="45" t="s">
        <v>103</v>
      </c>
    </row>
    <row r="862" spans="1:11">
      <c r="A862" s="2">
        <v>43930</v>
      </c>
      <c r="B862" s="45">
        <v>0.61458333333333337</v>
      </c>
      <c r="C862" s="45" t="s">
        <v>34</v>
      </c>
      <c r="E862" s="45">
        <v>822</v>
      </c>
      <c r="F862" s="45">
        <v>87</v>
      </c>
      <c r="G862" s="45">
        <v>22</v>
      </c>
      <c r="H862" s="45">
        <v>21</v>
      </c>
      <c r="I862" s="45">
        <v>250</v>
      </c>
      <c r="J862" s="45">
        <v>17</v>
      </c>
      <c r="K862" s="45" t="s">
        <v>37</v>
      </c>
    </row>
    <row r="863" spans="1:11">
      <c r="A863" s="2">
        <v>43930</v>
      </c>
      <c r="B863" s="45">
        <v>0.625</v>
      </c>
      <c r="C863" s="45" t="s">
        <v>73</v>
      </c>
      <c r="E863" s="45">
        <v>62</v>
      </c>
      <c r="F863" s="45">
        <v>1</v>
      </c>
      <c r="J863" s="45">
        <v>0</v>
      </c>
      <c r="K863" s="45" t="s">
        <v>75</v>
      </c>
    </row>
    <row r="864" spans="1:11">
      <c r="A864" s="2">
        <v>43931</v>
      </c>
      <c r="C864" s="45" t="s">
        <v>47</v>
      </c>
      <c r="E864" s="45">
        <v>722</v>
      </c>
      <c r="F864" s="45">
        <v>54</v>
      </c>
      <c r="G864" s="45">
        <v>17</v>
      </c>
      <c r="H864" s="45">
        <v>15</v>
      </c>
      <c r="I864" s="45">
        <v>502</v>
      </c>
      <c r="J864" s="45">
        <v>22</v>
      </c>
      <c r="K864" s="45" t="s">
        <v>49</v>
      </c>
    </row>
    <row r="865" spans="1:11">
      <c r="A865" s="2">
        <v>43931</v>
      </c>
      <c r="C865" s="45" t="s">
        <v>53</v>
      </c>
      <c r="E865" s="45">
        <v>79</v>
      </c>
      <c r="J865" s="45">
        <v>1</v>
      </c>
      <c r="K865" s="45" t="s">
        <v>270</v>
      </c>
    </row>
    <row r="866" spans="1:11">
      <c r="A866" s="2">
        <v>43931</v>
      </c>
      <c r="C866" s="45" t="s">
        <v>56</v>
      </c>
      <c r="E866" s="45">
        <v>796</v>
      </c>
      <c r="F866" s="45">
        <v>73</v>
      </c>
      <c r="G866" s="45">
        <v>19</v>
      </c>
      <c r="I866" s="45">
        <v>88</v>
      </c>
      <c r="J866" s="45">
        <v>49</v>
      </c>
      <c r="K866" s="45" t="s">
        <v>736</v>
      </c>
    </row>
    <row r="867" spans="1:11">
      <c r="A867" s="2">
        <v>43931</v>
      </c>
      <c r="C867" s="45" t="s">
        <v>58</v>
      </c>
      <c r="D867" s="45">
        <v>18304</v>
      </c>
      <c r="E867" s="45">
        <v>4296</v>
      </c>
      <c r="F867" s="45">
        <v>379</v>
      </c>
      <c r="G867" s="45">
        <v>47</v>
      </c>
      <c r="H867" s="45">
        <v>47</v>
      </c>
      <c r="I867" s="45">
        <v>448</v>
      </c>
      <c r="J867" s="45">
        <v>170</v>
      </c>
      <c r="K867" s="45" t="s">
        <v>369</v>
      </c>
    </row>
    <row r="868" spans="1:11">
      <c r="A868" s="2">
        <v>43931</v>
      </c>
      <c r="C868" s="45" t="s">
        <v>60</v>
      </c>
      <c r="E868" s="45">
        <v>76</v>
      </c>
      <c r="F868" s="45">
        <v>2</v>
      </c>
      <c r="J868" s="45">
        <v>2</v>
      </c>
      <c r="K868" s="45" t="s">
        <v>609</v>
      </c>
    </row>
    <row r="869" spans="1:11">
      <c r="A869" s="2">
        <v>43931</v>
      </c>
      <c r="C869" s="45" t="s">
        <v>62</v>
      </c>
      <c r="E869" s="45">
        <v>730</v>
      </c>
      <c r="F869" s="45">
        <v>35</v>
      </c>
      <c r="J869" s="45">
        <v>36</v>
      </c>
      <c r="K869" s="45" t="s">
        <v>511</v>
      </c>
    </row>
    <row r="870" spans="1:11">
      <c r="A870" s="2">
        <v>43931</v>
      </c>
      <c r="C870" s="45" t="s">
        <v>64</v>
      </c>
      <c r="E870" s="45">
        <v>182</v>
      </c>
      <c r="F870" s="45">
        <v>25</v>
      </c>
      <c r="G870" s="45">
        <v>5</v>
      </c>
      <c r="J870" s="45">
        <v>3</v>
      </c>
      <c r="K870" s="45" t="s">
        <v>688</v>
      </c>
    </row>
    <row r="871" spans="1:11">
      <c r="A871" s="2">
        <v>43931</v>
      </c>
      <c r="C871" s="45" t="s">
        <v>69</v>
      </c>
      <c r="E871" s="45">
        <v>564</v>
      </c>
      <c r="F871" s="45">
        <v>63</v>
      </c>
      <c r="G871" s="45">
        <v>11</v>
      </c>
      <c r="H871" s="45">
        <v>8</v>
      </c>
      <c r="J871" s="45">
        <v>42</v>
      </c>
      <c r="K871" s="45" t="s">
        <v>325</v>
      </c>
    </row>
    <row r="872" spans="1:11">
      <c r="A872" s="2">
        <v>43931</v>
      </c>
      <c r="C872" s="45" t="s">
        <v>71</v>
      </c>
      <c r="E872" s="45">
        <v>100</v>
      </c>
      <c r="F872" s="45">
        <v>7</v>
      </c>
      <c r="G872" s="45">
        <v>1</v>
      </c>
      <c r="K872" s="45" t="s">
        <v>310</v>
      </c>
    </row>
    <row r="873" spans="1:11">
      <c r="A873" s="2">
        <v>43931</v>
      </c>
      <c r="C873" s="45" t="s">
        <v>76</v>
      </c>
      <c r="E873" s="45">
        <v>632</v>
      </c>
      <c r="F873" s="45">
        <v>60</v>
      </c>
      <c r="G873" s="45">
        <v>11</v>
      </c>
      <c r="I873" s="45">
        <v>93</v>
      </c>
      <c r="J873" s="45">
        <v>17</v>
      </c>
      <c r="K873" s="45" t="s">
        <v>78</v>
      </c>
    </row>
    <row r="874" spans="1:11">
      <c r="A874" s="2">
        <v>43931</v>
      </c>
      <c r="C874" s="45" t="s">
        <v>84</v>
      </c>
      <c r="E874" s="45">
        <v>215</v>
      </c>
      <c r="I874" s="45">
        <v>118</v>
      </c>
      <c r="J874" s="45">
        <v>10</v>
      </c>
      <c r="K874" s="45" t="s">
        <v>704</v>
      </c>
    </row>
    <row r="875" spans="1:11">
      <c r="A875" s="2">
        <v>43931</v>
      </c>
      <c r="C875" s="45" t="s">
        <v>86</v>
      </c>
      <c r="E875" s="45">
        <v>265</v>
      </c>
      <c r="F875" s="45">
        <v>32</v>
      </c>
      <c r="G875" s="45">
        <v>13</v>
      </c>
      <c r="J875" s="45">
        <v>8</v>
      </c>
      <c r="K875" s="45" t="s">
        <v>88</v>
      </c>
    </row>
    <row r="876" spans="1:11">
      <c r="A876" s="2">
        <v>43931</v>
      </c>
      <c r="C876" s="45" t="s">
        <v>94</v>
      </c>
      <c r="E876" s="45">
        <v>4732</v>
      </c>
      <c r="F876" s="45">
        <v>298</v>
      </c>
      <c r="G876" s="45">
        <v>64</v>
      </c>
      <c r="J876" s="45">
        <v>240</v>
      </c>
      <c r="K876" s="45" t="s">
        <v>96</v>
      </c>
    </row>
    <row r="877" spans="1:11">
      <c r="A877" s="2">
        <v>43931</v>
      </c>
      <c r="C877" s="45" t="s">
        <v>97</v>
      </c>
      <c r="E877" s="45">
        <v>1627</v>
      </c>
      <c r="F877" s="45">
        <v>115</v>
      </c>
      <c r="G877" s="45">
        <v>24</v>
      </c>
      <c r="H877" s="45">
        <v>18</v>
      </c>
      <c r="J877" s="45">
        <v>83</v>
      </c>
      <c r="K877" s="45" t="s">
        <v>620</v>
      </c>
    </row>
    <row r="878" spans="1:11">
      <c r="A878" s="2">
        <v>43931</v>
      </c>
      <c r="B878" s="45">
        <v>0</v>
      </c>
      <c r="C878" s="45" t="s">
        <v>81</v>
      </c>
      <c r="E878" s="45">
        <v>294</v>
      </c>
      <c r="F878" s="45">
        <v>22</v>
      </c>
      <c r="J878" s="45">
        <v>5</v>
      </c>
      <c r="K878" s="45" t="s">
        <v>333</v>
      </c>
    </row>
    <row r="879" spans="1:11">
      <c r="A879" s="2">
        <v>43931</v>
      </c>
      <c r="B879" s="45">
        <v>0.33333333333333331</v>
      </c>
      <c r="C879" s="45" t="s">
        <v>41</v>
      </c>
      <c r="E879" s="45">
        <v>77</v>
      </c>
      <c r="J879" s="45">
        <v>3</v>
      </c>
      <c r="K879" s="45" t="s">
        <v>43</v>
      </c>
    </row>
    <row r="880" spans="1:11">
      <c r="A880" s="2">
        <v>43931</v>
      </c>
      <c r="B880" s="45">
        <v>0.33333333333333331</v>
      </c>
      <c r="C880" s="45" t="s">
        <v>44</v>
      </c>
      <c r="E880" s="45">
        <v>1375</v>
      </c>
      <c r="F880" s="45">
        <v>107</v>
      </c>
      <c r="G880" s="45">
        <v>33</v>
      </c>
      <c r="H880" s="45">
        <v>25</v>
      </c>
      <c r="J880" s="45">
        <v>42</v>
      </c>
      <c r="K880" s="45" t="s">
        <v>46</v>
      </c>
    </row>
    <row r="881" spans="1:11">
      <c r="A881" s="2">
        <v>43931</v>
      </c>
      <c r="B881" s="45">
        <v>0.33333333333333331</v>
      </c>
      <c r="C881" s="45" t="s">
        <v>89</v>
      </c>
      <c r="E881" s="45">
        <v>2776</v>
      </c>
      <c r="F881" s="45">
        <v>297</v>
      </c>
      <c r="G881" s="45">
        <v>68</v>
      </c>
      <c r="H881" s="45">
        <v>62</v>
      </c>
      <c r="I881" s="45">
        <v>466</v>
      </c>
      <c r="J881" s="45">
        <v>227</v>
      </c>
      <c r="K881" s="45" t="s">
        <v>507</v>
      </c>
    </row>
    <row r="882" spans="1:11">
      <c r="A882" s="2">
        <v>43931</v>
      </c>
      <c r="B882" s="45">
        <v>0.33333333333333331</v>
      </c>
      <c r="C882" s="45" t="s">
        <v>99</v>
      </c>
      <c r="E882" s="45">
        <v>168</v>
      </c>
      <c r="F882" s="45">
        <v>15</v>
      </c>
      <c r="G882" s="45">
        <v>9</v>
      </c>
      <c r="I882" s="45">
        <v>76</v>
      </c>
      <c r="J882" s="45">
        <v>3</v>
      </c>
      <c r="K882" s="45" t="s">
        <v>328</v>
      </c>
    </row>
    <row r="883" spans="1:11">
      <c r="A883" s="2">
        <v>43931</v>
      </c>
      <c r="B883" s="45">
        <v>0.39583333333333331</v>
      </c>
      <c r="C883" s="45" t="s">
        <v>79</v>
      </c>
      <c r="E883" s="45">
        <v>53</v>
      </c>
      <c r="F883" s="45">
        <v>13</v>
      </c>
      <c r="G883" s="45">
        <v>2</v>
      </c>
      <c r="J883" s="45">
        <v>1</v>
      </c>
      <c r="K883" s="45" t="s">
        <v>703</v>
      </c>
    </row>
    <row r="884" spans="1:11">
      <c r="A884" s="2">
        <v>43931</v>
      </c>
      <c r="B884" s="45">
        <v>0.41666666666666669</v>
      </c>
      <c r="C884" s="45" t="s">
        <v>50</v>
      </c>
      <c r="E884" s="45">
        <v>854</v>
      </c>
      <c r="F884" s="45">
        <v>87</v>
      </c>
      <c r="G884" s="45">
        <v>13</v>
      </c>
      <c r="I884" s="45">
        <v>593</v>
      </c>
      <c r="J884" s="45">
        <v>33</v>
      </c>
      <c r="K884" s="45" t="s">
        <v>263</v>
      </c>
    </row>
    <row r="885" spans="1:11">
      <c r="A885" s="2">
        <v>43931</v>
      </c>
      <c r="B885" s="45">
        <v>0.54166666666666663</v>
      </c>
      <c r="C885" s="45" t="s">
        <v>66</v>
      </c>
      <c r="E885" s="45">
        <v>560</v>
      </c>
      <c r="F885" s="45">
        <v>69</v>
      </c>
      <c r="G885" s="45">
        <v>6</v>
      </c>
      <c r="J885" s="45">
        <v>9</v>
      </c>
      <c r="K885" s="45" t="s">
        <v>68</v>
      </c>
    </row>
    <row r="886" spans="1:11">
      <c r="A886" s="2">
        <v>43931</v>
      </c>
      <c r="B886" s="45">
        <v>0.60416666666666663</v>
      </c>
      <c r="C886" s="45" t="s">
        <v>101</v>
      </c>
      <c r="E886" s="45">
        <v>2927</v>
      </c>
      <c r="F886" s="45">
        <v>152</v>
      </c>
      <c r="H886" s="45">
        <v>50</v>
      </c>
      <c r="J886" s="45">
        <v>71</v>
      </c>
      <c r="K886" s="45" t="s">
        <v>103</v>
      </c>
    </row>
    <row r="887" spans="1:11">
      <c r="A887" s="2">
        <v>43931</v>
      </c>
      <c r="B887" s="45">
        <v>0.61458333333333337</v>
      </c>
      <c r="C887" s="45" t="s">
        <v>34</v>
      </c>
      <c r="E887" s="45">
        <v>850</v>
      </c>
      <c r="J887" s="45">
        <v>18</v>
      </c>
      <c r="K887" s="45" t="s">
        <v>269</v>
      </c>
    </row>
    <row r="888" spans="1:11">
      <c r="A888" s="2">
        <v>43931</v>
      </c>
      <c r="B888" s="45">
        <v>0.66666666666666663</v>
      </c>
      <c r="C888" s="45" t="s">
        <v>91</v>
      </c>
      <c r="E888" s="45">
        <v>74</v>
      </c>
      <c r="F888" s="45">
        <v>4</v>
      </c>
      <c r="I888" s="45">
        <v>49</v>
      </c>
      <c r="J888" s="45">
        <v>4</v>
      </c>
      <c r="K888" s="45" t="s">
        <v>93</v>
      </c>
    </row>
    <row r="889" spans="1:11">
      <c r="A889" s="2">
        <v>43932</v>
      </c>
      <c r="C889" s="45" t="s">
        <v>47</v>
      </c>
      <c r="E889" s="45">
        <v>736</v>
      </c>
      <c r="F889" s="45">
        <v>50</v>
      </c>
      <c r="G889" s="45">
        <v>16</v>
      </c>
      <c r="H889" s="45">
        <v>15</v>
      </c>
      <c r="I889" s="45">
        <v>527</v>
      </c>
      <c r="J889" s="45">
        <v>22</v>
      </c>
      <c r="K889" s="45" t="s">
        <v>49</v>
      </c>
    </row>
    <row r="890" spans="1:11">
      <c r="A890" s="2">
        <v>43932</v>
      </c>
      <c r="C890" s="45" t="s">
        <v>53</v>
      </c>
      <c r="E890" s="45">
        <v>79</v>
      </c>
      <c r="J890" s="45">
        <v>1</v>
      </c>
      <c r="K890" s="45" t="s">
        <v>271</v>
      </c>
    </row>
    <row r="891" spans="1:11">
      <c r="A891" s="2">
        <v>43932</v>
      </c>
      <c r="C891" s="45" t="s">
        <v>56</v>
      </c>
      <c r="E891" s="45">
        <v>834</v>
      </c>
      <c r="F891" s="45">
        <v>68</v>
      </c>
      <c r="G891" s="45">
        <v>20</v>
      </c>
      <c r="I891" s="45">
        <v>93</v>
      </c>
      <c r="J891" s="45">
        <v>53</v>
      </c>
      <c r="K891" s="45" t="s">
        <v>736</v>
      </c>
    </row>
    <row r="892" spans="1:11">
      <c r="A892" s="2">
        <v>43932</v>
      </c>
      <c r="C892" s="45" t="s">
        <v>58</v>
      </c>
      <c r="D892" s="45">
        <v>18647</v>
      </c>
      <c r="E892" s="45">
        <v>4345</v>
      </c>
      <c r="F892" s="45">
        <v>364</v>
      </c>
      <c r="G892" s="45">
        <v>48</v>
      </c>
      <c r="H892" s="45">
        <v>44</v>
      </c>
      <c r="I892" s="45">
        <v>463</v>
      </c>
      <c r="J892" s="45">
        <v>178</v>
      </c>
      <c r="K892" s="45" t="s">
        <v>369</v>
      </c>
    </row>
    <row r="893" spans="1:11">
      <c r="A893" s="2">
        <v>43932</v>
      </c>
      <c r="C893" s="45" t="s">
        <v>60</v>
      </c>
      <c r="E893" s="45">
        <v>91</v>
      </c>
      <c r="F893" s="45">
        <v>2</v>
      </c>
      <c r="J893" s="45">
        <v>2</v>
      </c>
      <c r="K893" s="45" t="s">
        <v>609</v>
      </c>
    </row>
    <row r="894" spans="1:11">
      <c r="A894" s="2">
        <v>43932</v>
      </c>
      <c r="C894" s="45" t="s">
        <v>62</v>
      </c>
      <c r="E894" s="45">
        <v>743</v>
      </c>
      <c r="F894" s="45">
        <v>35</v>
      </c>
      <c r="J894" s="45">
        <v>36</v>
      </c>
      <c r="K894" s="45" t="s">
        <v>511</v>
      </c>
    </row>
    <row r="895" spans="1:11">
      <c r="A895" s="2">
        <v>43932</v>
      </c>
      <c r="C895" s="45" t="s">
        <v>64</v>
      </c>
      <c r="E895" s="45">
        <v>183</v>
      </c>
      <c r="F895" s="45">
        <v>23</v>
      </c>
      <c r="G895" s="45">
        <v>5</v>
      </c>
      <c r="J895" s="45">
        <v>3</v>
      </c>
      <c r="K895" s="45" t="s">
        <v>688</v>
      </c>
    </row>
    <row r="896" spans="1:11">
      <c r="A896" s="2">
        <v>43932</v>
      </c>
      <c r="C896" s="45" t="s">
        <v>69</v>
      </c>
      <c r="E896" s="45">
        <v>573</v>
      </c>
      <c r="F896" s="45">
        <v>64</v>
      </c>
      <c r="G896" s="45">
        <v>11</v>
      </c>
      <c r="H896" s="45">
        <v>9</v>
      </c>
      <c r="J896" s="45">
        <v>45</v>
      </c>
      <c r="K896" s="45" t="s">
        <v>325</v>
      </c>
    </row>
    <row r="897" spans="1:11">
      <c r="A897" s="2">
        <v>43932</v>
      </c>
      <c r="C897" s="45" t="s">
        <v>71</v>
      </c>
      <c r="E897" s="45">
        <v>103</v>
      </c>
      <c r="F897" s="45">
        <v>8</v>
      </c>
      <c r="G897" s="45">
        <v>2</v>
      </c>
      <c r="J897" s="45">
        <v>1</v>
      </c>
      <c r="K897" s="45" t="s">
        <v>310</v>
      </c>
    </row>
    <row r="898" spans="1:11">
      <c r="A898" s="2">
        <v>43932</v>
      </c>
      <c r="C898" s="45" t="s">
        <v>76</v>
      </c>
      <c r="E898" s="45">
        <v>641</v>
      </c>
      <c r="F898" s="45">
        <v>60</v>
      </c>
      <c r="G898" s="45">
        <v>11</v>
      </c>
      <c r="I898" s="45">
        <v>102</v>
      </c>
      <c r="J898" s="45">
        <v>18</v>
      </c>
      <c r="K898" s="45" t="s">
        <v>78</v>
      </c>
    </row>
    <row r="899" spans="1:11">
      <c r="A899" s="2">
        <v>43932</v>
      </c>
      <c r="C899" s="45" t="s">
        <v>84</v>
      </c>
      <c r="E899" s="45">
        <v>249</v>
      </c>
      <c r="I899" s="45">
        <v>118</v>
      </c>
      <c r="J899" s="45">
        <v>10</v>
      </c>
      <c r="K899" s="45" t="s">
        <v>704</v>
      </c>
    </row>
    <row r="900" spans="1:11">
      <c r="A900" s="2">
        <v>43932</v>
      </c>
      <c r="C900" s="45" t="s">
        <v>86</v>
      </c>
      <c r="E900" s="45">
        <v>275</v>
      </c>
      <c r="F900" s="45">
        <v>32</v>
      </c>
      <c r="G900" s="45">
        <v>14</v>
      </c>
      <c r="J900" s="45">
        <v>8</v>
      </c>
      <c r="K900" s="45" t="s">
        <v>88</v>
      </c>
    </row>
    <row r="901" spans="1:11">
      <c r="A901" s="2">
        <v>43932</v>
      </c>
      <c r="C901" s="45" t="s">
        <v>94</v>
      </c>
      <c r="E901" s="45">
        <v>4772</v>
      </c>
      <c r="F901" s="45">
        <v>284</v>
      </c>
      <c r="G901" s="45">
        <v>64</v>
      </c>
      <c r="J901" s="45">
        <v>246</v>
      </c>
      <c r="K901" s="45" t="s">
        <v>96</v>
      </c>
    </row>
    <row r="902" spans="1:11">
      <c r="A902" s="2">
        <v>43932</v>
      </c>
      <c r="C902" s="45" t="s">
        <v>97</v>
      </c>
      <c r="E902" s="45">
        <v>1653</v>
      </c>
      <c r="F902" s="45">
        <v>112</v>
      </c>
      <c r="G902" s="45">
        <v>20</v>
      </c>
      <c r="H902" s="45">
        <v>15</v>
      </c>
      <c r="J902" s="45">
        <v>85</v>
      </c>
      <c r="K902" s="45" t="s">
        <v>620</v>
      </c>
    </row>
    <row r="903" spans="1:11">
      <c r="A903" s="2">
        <v>43932</v>
      </c>
      <c r="B903" s="45">
        <v>0</v>
      </c>
      <c r="C903" s="45" t="s">
        <v>81</v>
      </c>
      <c r="E903" s="45">
        <v>306</v>
      </c>
      <c r="J903" s="45">
        <v>6</v>
      </c>
      <c r="K903" s="45" t="s">
        <v>333</v>
      </c>
    </row>
    <row r="904" spans="1:11">
      <c r="A904" s="2">
        <v>43932</v>
      </c>
      <c r="B904" s="45">
        <v>0.33333333333333331</v>
      </c>
      <c r="C904" s="45" t="s">
        <v>44</v>
      </c>
      <c r="E904" s="45">
        <v>1419</v>
      </c>
      <c r="F904" s="45">
        <v>99</v>
      </c>
      <c r="G904" s="45">
        <v>33</v>
      </c>
      <c r="H904" s="45">
        <v>24</v>
      </c>
      <c r="J904" s="45">
        <v>44</v>
      </c>
      <c r="K904" s="45" t="s">
        <v>46</v>
      </c>
    </row>
    <row r="905" spans="1:11">
      <c r="A905" s="2">
        <v>43932</v>
      </c>
      <c r="B905" s="45">
        <v>0.33333333333333331</v>
      </c>
      <c r="C905" s="45" t="s">
        <v>89</v>
      </c>
      <c r="E905" s="45">
        <v>2818</v>
      </c>
      <c r="F905" s="45">
        <v>282</v>
      </c>
      <c r="G905" s="45">
        <v>68</v>
      </c>
      <c r="H905" s="45">
        <v>59</v>
      </c>
      <c r="I905" s="45">
        <v>493</v>
      </c>
      <c r="J905" s="45">
        <v>229</v>
      </c>
      <c r="K905" s="45" t="s">
        <v>507</v>
      </c>
    </row>
    <row r="906" spans="1:11">
      <c r="A906" s="2">
        <v>43932</v>
      </c>
      <c r="B906" s="45">
        <v>0.33333333333333331</v>
      </c>
      <c r="C906" s="45" t="s">
        <v>99</v>
      </c>
      <c r="E906" s="45">
        <v>168</v>
      </c>
      <c r="F906" s="45">
        <v>14</v>
      </c>
      <c r="G906" s="45">
        <v>9</v>
      </c>
      <c r="I906" s="45">
        <v>79</v>
      </c>
      <c r="J906" s="45">
        <v>4</v>
      </c>
      <c r="K906" s="45" t="s">
        <v>328</v>
      </c>
    </row>
    <row r="907" spans="1:11">
      <c r="A907" s="2">
        <v>43932</v>
      </c>
      <c r="B907" s="45">
        <v>0.39583333333333331</v>
      </c>
      <c r="C907" s="45" t="s">
        <v>50</v>
      </c>
      <c r="E907" s="45">
        <v>861</v>
      </c>
      <c r="I907" s="45">
        <v>612</v>
      </c>
      <c r="J907" s="45">
        <v>33</v>
      </c>
      <c r="K907" s="45" t="s">
        <v>262</v>
      </c>
    </row>
    <row r="908" spans="1:11">
      <c r="A908" s="2">
        <v>43932</v>
      </c>
      <c r="B908" s="45">
        <v>0.39583333333333331</v>
      </c>
      <c r="C908" s="45" t="s">
        <v>79</v>
      </c>
      <c r="E908" s="45">
        <v>55</v>
      </c>
      <c r="F908" s="45">
        <v>13</v>
      </c>
      <c r="G908" s="45">
        <v>2</v>
      </c>
      <c r="J908" s="45">
        <v>1</v>
      </c>
      <c r="K908" s="45" t="s">
        <v>703</v>
      </c>
    </row>
    <row r="909" spans="1:11">
      <c r="A909" s="2">
        <v>43932</v>
      </c>
      <c r="B909" s="45">
        <v>0.41666666666666669</v>
      </c>
      <c r="C909" s="45" t="s">
        <v>41</v>
      </c>
      <c r="E909" s="45">
        <v>77</v>
      </c>
      <c r="J909" s="45">
        <v>3</v>
      </c>
      <c r="K909" s="45" t="s">
        <v>43</v>
      </c>
    </row>
    <row r="910" spans="1:11">
      <c r="A910" s="2">
        <v>43932</v>
      </c>
      <c r="B910" s="45">
        <v>0.45833333333333331</v>
      </c>
      <c r="C910" s="45" t="s">
        <v>38</v>
      </c>
      <c r="E910" s="45">
        <v>24</v>
      </c>
      <c r="J910" s="45">
        <v>0</v>
      </c>
      <c r="K910" s="45" t="s">
        <v>40</v>
      </c>
    </row>
    <row r="911" spans="1:11">
      <c r="A911" s="2">
        <v>43932</v>
      </c>
      <c r="B911" s="45">
        <v>0.45833333333333331</v>
      </c>
      <c r="C911" s="45" t="s">
        <v>66</v>
      </c>
      <c r="E911" s="45">
        <v>568</v>
      </c>
      <c r="J911" s="45">
        <v>10</v>
      </c>
      <c r="K911" s="45" t="s">
        <v>68</v>
      </c>
    </row>
    <row r="912" spans="1:11">
      <c r="A912" s="2">
        <v>43932</v>
      </c>
      <c r="B912" s="45">
        <v>0.60416666666666663</v>
      </c>
      <c r="C912" s="45" t="s">
        <v>101</v>
      </c>
      <c r="E912" s="45">
        <v>2985</v>
      </c>
      <c r="F912" s="45">
        <v>149</v>
      </c>
      <c r="H912" s="45">
        <v>50</v>
      </c>
      <c r="J912" s="45">
        <v>77</v>
      </c>
      <c r="K912" s="45" t="s">
        <v>103</v>
      </c>
    </row>
    <row r="913" spans="1:11">
      <c r="A913" s="2">
        <v>43932</v>
      </c>
      <c r="B913" s="45">
        <v>0.66666666666666663</v>
      </c>
      <c r="C913" s="45" t="s">
        <v>91</v>
      </c>
      <c r="E913" s="45">
        <v>75</v>
      </c>
      <c r="F913" s="45">
        <v>8</v>
      </c>
      <c r="I913" s="45">
        <v>50</v>
      </c>
      <c r="J913" s="45">
        <v>4</v>
      </c>
      <c r="K913" s="45" t="s">
        <v>93</v>
      </c>
    </row>
    <row r="914" spans="1:11">
      <c r="A914" s="2">
        <v>43932</v>
      </c>
      <c r="B914" s="45">
        <v>0.70833333333333337</v>
      </c>
      <c r="C914" s="45" t="s">
        <v>34</v>
      </c>
      <c r="E914" s="45">
        <v>878</v>
      </c>
      <c r="F914" s="45">
        <v>76</v>
      </c>
      <c r="G914" s="45">
        <v>23</v>
      </c>
      <c r="H914" s="45">
        <v>21</v>
      </c>
      <c r="I914" s="45">
        <v>300</v>
      </c>
      <c r="J914" s="45">
        <v>18</v>
      </c>
      <c r="K914" s="45" t="s">
        <v>269</v>
      </c>
    </row>
    <row r="915" spans="1:11">
      <c r="A915" s="2">
        <v>43933</v>
      </c>
      <c r="C915" s="45" t="s">
        <v>47</v>
      </c>
      <c r="E915" s="45">
        <v>740</v>
      </c>
      <c r="F915" s="45">
        <v>48</v>
      </c>
      <c r="G915" s="45">
        <v>17</v>
      </c>
      <c r="H915" s="45">
        <v>14</v>
      </c>
      <c r="I915" s="45">
        <v>554</v>
      </c>
      <c r="J915" s="45">
        <v>23</v>
      </c>
      <c r="K915" s="45" t="s">
        <v>49</v>
      </c>
    </row>
    <row r="916" spans="1:11">
      <c r="A916" s="2">
        <v>43933</v>
      </c>
      <c r="C916" s="45" t="s">
        <v>53</v>
      </c>
      <c r="E916" s="45">
        <v>80</v>
      </c>
      <c r="J916" s="45">
        <v>1</v>
      </c>
      <c r="K916" s="45" t="s">
        <v>280</v>
      </c>
    </row>
    <row r="917" spans="1:11">
      <c r="A917" s="2">
        <v>43933</v>
      </c>
      <c r="C917" s="45" t="s">
        <v>56</v>
      </c>
      <c r="E917" s="45">
        <v>846</v>
      </c>
      <c r="F917" s="45">
        <v>65</v>
      </c>
      <c r="G917" s="45">
        <v>19</v>
      </c>
      <c r="I917" s="45">
        <v>97</v>
      </c>
      <c r="J917" s="45">
        <v>54</v>
      </c>
      <c r="K917" s="45" t="s">
        <v>736</v>
      </c>
    </row>
    <row r="918" spans="1:11">
      <c r="A918" s="2">
        <v>43933</v>
      </c>
      <c r="C918" s="45" t="s">
        <v>58</v>
      </c>
      <c r="D918" s="45">
        <v>18820</v>
      </c>
      <c r="E918" s="45">
        <v>4367</v>
      </c>
      <c r="F918" s="45">
        <v>363</v>
      </c>
      <c r="G918" s="45">
        <v>47</v>
      </c>
      <c r="H918" s="45">
        <v>43</v>
      </c>
      <c r="I918" s="45">
        <v>479</v>
      </c>
      <c r="J918" s="45">
        <v>185</v>
      </c>
      <c r="K918" s="45" t="s">
        <v>369</v>
      </c>
    </row>
    <row r="919" spans="1:11">
      <c r="A919" s="2">
        <v>43933</v>
      </c>
      <c r="C919" s="45" t="s">
        <v>60</v>
      </c>
      <c r="E919" s="45">
        <v>91</v>
      </c>
      <c r="F919" s="45">
        <v>2</v>
      </c>
      <c r="J919" s="45">
        <v>2</v>
      </c>
      <c r="K919" s="45" t="s">
        <v>609</v>
      </c>
    </row>
    <row r="920" spans="1:11">
      <c r="A920" s="2">
        <v>43933</v>
      </c>
      <c r="C920" s="45" t="s">
        <v>62</v>
      </c>
      <c r="E920" s="45">
        <v>747</v>
      </c>
      <c r="F920" s="45">
        <v>35</v>
      </c>
      <c r="J920" s="45">
        <v>36</v>
      </c>
      <c r="K920" s="45" t="s">
        <v>511</v>
      </c>
    </row>
    <row r="921" spans="1:11">
      <c r="A921" s="2">
        <v>43933</v>
      </c>
      <c r="C921" s="45" t="s">
        <v>64</v>
      </c>
      <c r="E921" s="45">
        <v>183</v>
      </c>
      <c r="F921" s="45">
        <v>22</v>
      </c>
      <c r="G921" s="45">
        <v>5</v>
      </c>
      <c r="J921" s="45">
        <v>3</v>
      </c>
      <c r="K921" s="45" t="s">
        <v>688</v>
      </c>
    </row>
    <row r="922" spans="1:11">
      <c r="A922" s="2">
        <v>43933</v>
      </c>
      <c r="C922" s="45" t="s">
        <v>69</v>
      </c>
      <c r="E922" s="45">
        <v>583</v>
      </c>
      <c r="F922" s="45">
        <v>67</v>
      </c>
      <c r="G922" s="45">
        <v>10</v>
      </c>
      <c r="H922" s="45">
        <v>10</v>
      </c>
      <c r="J922" s="45">
        <v>50</v>
      </c>
      <c r="K922" s="45" t="s">
        <v>325</v>
      </c>
    </row>
    <row r="923" spans="1:11">
      <c r="A923" s="2">
        <v>43933</v>
      </c>
      <c r="C923" s="45" t="s">
        <v>71</v>
      </c>
      <c r="E923" s="45">
        <v>104</v>
      </c>
      <c r="F923" s="45">
        <v>7</v>
      </c>
      <c r="G923" s="45">
        <v>2</v>
      </c>
      <c r="J923" s="45">
        <v>1</v>
      </c>
      <c r="K923" s="45" t="s">
        <v>310</v>
      </c>
    </row>
    <row r="924" spans="1:11">
      <c r="A924" s="2">
        <v>43933</v>
      </c>
      <c r="C924" s="45" t="s">
        <v>76</v>
      </c>
      <c r="E924" s="45">
        <v>649</v>
      </c>
      <c r="F924" s="45">
        <v>58</v>
      </c>
      <c r="G924" s="45">
        <v>9</v>
      </c>
      <c r="I924" s="45">
        <v>109</v>
      </c>
      <c r="J924" s="45">
        <v>21</v>
      </c>
      <c r="K924" s="45" t="s">
        <v>78</v>
      </c>
    </row>
    <row r="925" spans="1:11">
      <c r="A925" s="2">
        <v>43933</v>
      </c>
      <c r="C925" s="45" t="s">
        <v>84</v>
      </c>
      <c r="E925" s="45">
        <v>251</v>
      </c>
      <c r="I925" s="45">
        <v>119</v>
      </c>
      <c r="J925" s="45">
        <v>11</v>
      </c>
      <c r="K925" s="45" t="s">
        <v>704</v>
      </c>
    </row>
    <row r="926" spans="1:11">
      <c r="A926" s="2">
        <v>43933</v>
      </c>
      <c r="C926" s="45" t="s">
        <v>86</v>
      </c>
      <c r="E926" s="45">
        <v>286</v>
      </c>
      <c r="F926" s="45">
        <v>32</v>
      </c>
      <c r="G926" s="45">
        <v>14</v>
      </c>
      <c r="J926" s="45">
        <v>8</v>
      </c>
      <c r="K926" s="45" t="s">
        <v>88</v>
      </c>
    </row>
    <row r="927" spans="1:11">
      <c r="A927" s="2">
        <v>43933</v>
      </c>
      <c r="C927" s="45" t="s">
        <v>94</v>
      </c>
      <c r="E927" s="45">
        <v>4809</v>
      </c>
      <c r="F927" s="45">
        <v>293</v>
      </c>
      <c r="G927" s="45">
        <v>63</v>
      </c>
      <c r="J927" s="45">
        <v>254</v>
      </c>
      <c r="K927" s="45" t="s">
        <v>96</v>
      </c>
    </row>
    <row r="928" spans="1:11">
      <c r="A928" s="2">
        <v>43933</v>
      </c>
      <c r="C928" s="45" t="s">
        <v>97</v>
      </c>
      <c r="E928" s="45">
        <v>1666</v>
      </c>
      <c r="F928" s="45">
        <v>110</v>
      </c>
      <c r="G928" s="45">
        <v>22</v>
      </c>
      <c r="H928" s="45">
        <v>14</v>
      </c>
      <c r="J928" s="45">
        <v>91</v>
      </c>
      <c r="K928" s="45" t="s">
        <v>620</v>
      </c>
    </row>
    <row r="929" spans="1:11">
      <c r="A929" s="2">
        <v>43933</v>
      </c>
      <c r="B929" s="45">
        <v>0</v>
      </c>
      <c r="C929" s="45" t="s">
        <v>81</v>
      </c>
      <c r="E929" s="45">
        <v>315</v>
      </c>
      <c r="F929" s="45">
        <v>23</v>
      </c>
      <c r="J929" s="45">
        <v>7</v>
      </c>
      <c r="K929" s="45" t="s">
        <v>333</v>
      </c>
    </row>
    <row r="930" spans="1:11">
      <c r="A930" s="2">
        <v>43933</v>
      </c>
      <c r="B930" s="45">
        <v>0.33333333333333331</v>
      </c>
      <c r="C930" s="45" t="s">
        <v>44</v>
      </c>
      <c r="E930" s="45">
        <v>1441</v>
      </c>
      <c r="F930" s="45">
        <v>95</v>
      </c>
      <c r="G930" s="45">
        <v>33</v>
      </c>
      <c r="H930" s="45">
        <v>22</v>
      </c>
      <c r="J930" s="45">
        <v>49</v>
      </c>
      <c r="K930" s="45" t="s">
        <v>46</v>
      </c>
    </row>
    <row r="931" spans="1:11">
      <c r="A931" s="2">
        <v>43933</v>
      </c>
      <c r="B931" s="45">
        <v>0.33333333333333331</v>
      </c>
      <c r="C931" s="45" t="s">
        <v>89</v>
      </c>
      <c r="E931" s="45">
        <v>2869</v>
      </c>
      <c r="F931" s="45">
        <v>269</v>
      </c>
      <c r="G931" s="45">
        <v>63</v>
      </c>
      <c r="H931" s="45">
        <v>56</v>
      </c>
      <c r="I931" s="45">
        <v>511</v>
      </c>
      <c r="J931" s="45">
        <v>244</v>
      </c>
      <c r="K931" s="45" t="s">
        <v>507</v>
      </c>
    </row>
    <row r="932" spans="1:11">
      <c r="A932" s="2">
        <v>43933</v>
      </c>
      <c r="B932" s="45">
        <v>0.33333333333333331</v>
      </c>
      <c r="C932" s="45" t="s">
        <v>99</v>
      </c>
      <c r="E932" s="45">
        <v>168</v>
      </c>
      <c r="F932" s="45">
        <v>13</v>
      </c>
      <c r="G932" s="45">
        <v>9</v>
      </c>
      <c r="I932" s="45">
        <v>80</v>
      </c>
      <c r="J932" s="45">
        <v>5</v>
      </c>
      <c r="K932" s="45" t="s">
        <v>328</v>
      </c>
    </row>
    <row r="933" spans="1:11">
      <c r="A933" s="2">
        <v>43933</v>
      </c>
      <c r="B933" s="45">
        <v>0.39583333333333331</v>
      </c>
      <c r="C933" s="45" t="s">
        <v>79</v>
      </c>
      <c r="E933" s="45">
        <v>57</v>
      </c>
      <c r="F933" s="45">
        <v>16</v>
      </c>
      <c r="G933" s="45">
        <v>2</v>
      </c>
      <c r="J933" s="45">
        <v>1</v>
      </c>
      <c r="K933" s="45" t="s">
        <v>703</v>
      </c>
    </row>
    <row r="934" spans="1:11">
      <c r="A934" s="2">
        <v>43933</v>
      </c>
      <c r="B934" s="45">
        <v>0.41666666666666669</v>
      </c>
      <c r="C934" s="45" t="s">
        <v>50</v>
      </c>
      <c r="E934" s="45">
        <v>877</v>
      </c>
      <c r="F934" s="45">
        <v>86</v>
      </c>
      <c r="G934" s="45">
        <v>12</v>
      </c>
      <c r="I934" s="45">
        <v>629</v>
      </c>
      <c r="J934" s="45">
        <v>33</v>
      </c>
      <c r="K934" s="45" t="s">
        <v>272</v>
      </c>
    </row>
    <row r="935" spans="1:11">
      <c r="A935" s="2">
        <v>43933</v>
      </c>
      <c r="B935" s="45">
        <v>0.45833333333333331</v>
      </c>
      <c r="C935" s="45" t="s">
        <v>66</v>
      </c>
      <c r="E935" s="45">
        <v>576</v>
      </c>
      <c r="F935" s="45">
        <v>60</v>
      </c>
      <c r="G935" s="45">
        <v>5</v>
      </c>
      <c r="J935" s="45">
        <v>10</v>
      </c>
      <c r="K935" s="45" t="s">
        <v>68</v>
      </c>
    </row>
    <row r="936" spans="1:11">
      <c r="A936" s="2">
        <v>43933</v>
      </c>
      <c r="B936" s="45">
        <v>0.60416666666666663</v>
      </c>
      <c r="C936" s="45" t="s">
        <v>101</v>
      </c>
      <c r="E936" s="45">
        <v>3002</v>
      </c>
      <c r="F936" s="45">
        <v>153</v>
      </c>
      <c r="H936" s="45">
        <v>49</v>
      </c>
      <c r="J936" s="45">
        <v>79</v>
      </c>
      <c r="K936" s="45" t="s">
        <v>103</v>
      </c>
    </row>
    <row r="937" spans="1:11">
      <c r="A937" s="2">
        <v>43933</v>
      </c>
      <c r="B937" s="45">
        <v>0.61458333333333337</v>
      </c>
      <c r="C937" s="45" t="s">
        <v>34</v>
      </c>
      <c r="E937" s="45">
        <v>899</v>
      </c>
      <c r="J937" s="45">
        <v>18</v>
      </c>
      <c r="K937" s="45" t="s">
        <v>296</v>
      </c>
    </row>
    <row r="938" spans="1:11">
      <c r="A938" s="2">
        <v>43933</v>
      </c>
      <c r="B938" s="45">
        <v>0.625</v>
      </c>
      <c r="C938" s="45" t="s">
        <v>91</v>
      </c>
      <c r="E938" s="45">
        <v>77</v>
      </c>
      <c r="F938" s="45">
        <v>5</v>
      </c>
      <c r="I938" s="45">
        <v>52</v>
      </c>
      <c r="J938" s="45">
        <v>4</v>
      </c>
      <c r="K938" s="45" t="s">
        <v>93</v>
      </c>
    </row>
    <row r="939" spans="1:11">
      <c r="A939" s="2">
        <v>43934</v>
      </c>
      <c r="C939" s="45" t="s">
        <v>47</v>
      </c>
      <c r="E939" s="45">
        <v>749</v>
      </c>
      <c r="F939" s="45">
        <v>48</v>
      </c>
      <c r="G939" s="45">
        <v>16</v>
      </c>
      <c r="H939" s="45">
        <v>12</v>
      </c>
      <c r="I939" s="45">
        <v>570</v>
      </c>
      <c r="J939" s="45">
        <v>24</v>
      </c>
      <c r="K939" s="45" t="s">
        <v>49</v>
      </c>
    </row>
    <row r="940" spans="1:11">
      <c r="A940" s="2">
        <v>43934</v>
      </c>
      <c r="C940" s="45" t="s">
        <v>53</v>
      </c>
      <c r="E940" s="45">
        <v>80</v>
      </c>
      <c r="J940" s="45">
        <v>1</v>
      </c>
      <c r="K940" s="45" t="s">
        <v>287</v>
      </c>
    </row>
    <row r="941" spans="1:11">
      <c r="A941" s="2">
        <v>43934</v>
      </c>
      <c r="C941" s="45" t="s">
        <v>56</v>
      </c>
      <c r="E941" s="45">
        <v>859</v>
      </c>
      <c r="F941" s="45">
        <v>68</v>
      </c>
      <c r="G941" s="45">
        <v>17</v>
      </c>
      <c r="I941" s="45">
        <v>97</v>
      </c>
      <c r="J941" s="45">
        <v>55</v>
      </c>
      <c r="K941" s="45" t="s">
        <v>736</v>
      </c>
    </row>
    <row r="942" spans="1:11">
      <c r="A942" s="2">
        <v>43934</v>
      </c>
      <c r="C942" s="45" t="s">
        <v>58</v>
      </c>
      <c r="D942" s="45">
        <v>19114</v>
      </c>
      <c r="E942" s="45">
        <v>4417</v>
      </c>
      <c r="F942" s="45">
        <v>364</v>
      </c>
      <c r="G942" s="45">
        <v>47</v>
      </c>
      <c r="H942" s="45">
        <v>42</v>
      </c>
      <c r="I942" s="45">
        <v>490</v>
      </c>
      <c r="J942" s="45">
        <v>188</v>
      </c>
      <c r="K942" s="45" t="s">
        <v>369</v>
      </c>
    </row>
    <row r="943" spans="1:11">
      <c r="A943" s="2">
        <v>43934</v>
      </c>
      <c r="C943" s="45" t="s">
        <v>60</v>
      </c>
      <c r="E943" s="45">
        <v>92</v>
      </c>
      <c r="F943" s="45">
        <v>2</v>
      </c>
      <c r="J943" s="45">
        <v>2</v>
      </c>
      <c r="K943" s="45" t="s">
        <v>609</v>
      </c>
    </row>
    <row r="944" spans="1:11">
      <c r="A944" s="2">
        <v>43934</v>
      </c>
      <c r="C944" s="45" t="s">
        <v>62</v>
      </c>
      <c r="E944" s="45">
        <v>750</v>
      </c>
      <c r="F944" s="45">
        <v>34</v>
      </c>
      <c r="J944" s="45">
        <v>37</v>
      </c>
      <c r="K944" s="45" t="s">
        <v>511</v>
      </c>
    </row>
    <row r="945" spans="1:11">
      <c r="A945" s="2">
        <v>43934</v>
      </c>
      <c r="C945" s="45" t="s">
        <v>64</v>
      </c>
      <c r="E945" s="45">
        <v>184</v>
      </c>
      <c r="F945" s="45">
        <v>24</v>
      </c>
      <c r="G945" s="45">
        <v>5</v>
      </c>
      <c r="J945" s="45">
        <v>3</v>
      </c>
      <c r="K945" s="45" t="s">
        <v>688</v>
      </c>
    </row>
    <row r="946" spans="1:11">
      <c r="A946" s="2">
        <v>43934</v>
      </c>
      <c r="C946" s="45" t="s">
        <v>69</v>
      </c>
      <c r="E946" s="45">
        <v>588</v>
      </c>
      <c r="F946" s="45">
        <v>67</v>
      </c>
      <c r="G946" s="45">
        <v>10</v>
      </c>
      <c r="H946" s="45">
        <v>10</v>
      </c>
      <c r="J946" s="45">
        <v>52</v>
      </c>
      <c r="K946" s="45" t="s">
        <v>325</v>
      </c>
    </row>
    <row r="947" spans="1:11">
      <c r="A947" s="2">
        <v>43934</v>
      </c>
      <c r="C947" s="45" t="s">
        <v>71</v>
      </c>
      <c r="E947" s="45">
        <v>104</v>
      </c>
      <c r="F947" s="45">
        <v>7</v>
      </c>
      <c r="G947" s="45">
        <v>2</v>
      </c>
      <c r="J947" s="45">
        <v>1</v>
      </c>
      <c r="K947" s="45" t="s">
        <v>310</v>
      </c>
    </row>
    <row r="948" spans="1:11">
      <c r="A948" s="2">
        <v>43934</v>
      </c>
      <c r="C948" s="45" t="s">
        <v>76</v>
      </c>
      <c r="E948" s="45">
        <v>657</v>
      </c>
      <c r="F948" s="45">
        <v>58</v>
      </c>
      <c r="G948" s="45">
        <v>10</v>
      </c>
      <c r="I948" s="45">
        <v>119</v>
      </c>
      <c r="J948" s="45">
        <v>21</v>
      </c>
      <c r="K948" s="45" t="s">
        <v>78</v>
      </c>
    </row>
    <row r="949" spans="1:11">
      <c r="A949" s="2">
        <v>43934</v>
      </c>
      <c r="C949" s="45" t="s">
        <v>84</v>
      </c>
      <c r="E949" s="45">
        <v>251</v>
      </c>
      <c r="I949" s="45">
        <v>128</v>
      </c>
      <c r="J949" s="45">
        <v>12</v>
      </c>
      <c r="K949" s="45" t="s">
        <v>704</v>
      </c>
    </row>
    <row r="950" spans="1:11">
      <c r="A950" s="2">
        <v>43934</v>
      </c>
      <c r="C950" s="45" t="s">
        <v>86</v>
      </c>
      <c r="E950" s="45">
        <v>293</v>
      </c>
      <c r="F950" s="45">
        <v>32</v>
      </c>
      <c r="G950" s="45">
        <v>17</v>
      </c>
      <c r="J950" s="45">
        <v>8</v>
      </c>
      <c r="K950" s="45" t="s">
        <v>88</v>
      </c>
    </row>
    <row r="951" spans="1:11">
      <c r="A951" s="2">
        <v>43934</v>
      </c>
      <c r="C951" s="45" t="s">
        <v>94</v>
      </c>
      <c r="E951" s="45">
        <v>4853</v>
      </c>
      <c r="F951" s="45">
        <v>293</v>
      </c>
      <c r="G951" s="45">
        <v>59</v>
      </c>
      <c r="J951" s="45">
        <v>260</v>
      </c>
      <c r="K951" s="45" t="s">
        <v>96</v>
      </c>
    </row>
    <row r="952" spans="1:11">
      <c r="A952" s="2">
        <v>43934</v>
      </c>
      <c r="C952" s="45" t="s">
        <v>97</v>
      </c>
      <c r="E952" s="45">
        <v>1680</v>
      </c>
      <c r="F952" s="45">
        <v>106</v>
      </c>
      <c r="G952" s="45">
        <v>21</v>
      </c>
      <c r="H952" s="45">
        <v>12</v>
      </c>
      <c r="J952" s="45">
        <v>93</v>
      </c>
      <c r="K952" s="45" t="s">
        <v>620</v>
      </c>
    </row>
    <row r="953" spans="1:11">
      <c r="A953" s="2">
        <v>43934</v>
      </c>
      <c r="B953" s="45">
        <v>0</v>
      </c>
      <c r="C953" s="45" t="s">
        <v>81</v>
      </c>
      <c r="E953" s="45">
        <v>321</v>
      </c>
      <c r="F953" s="45">
        <v>23</v>
      </c>
      <c r="J953" s="45">
        <v>7</v>
      </c>
      <c r="K953" s="45" t="s">
        <v>333</v>
      </c>
    </row>
    <row r="954" spans="1:11">
      <c r="A954" s="2">
        <v>43934</v>
      </c>
      <c r="B954" s="45">
        <v>0.33333333333333331</v>
      </c>
      <c r="C954" s="45" t="s">
        <v>41</v>
      </c>
      <c r="E954" s="45">
        <v>78</v>
      </c>
      <c r="J954" s="45">
        <v>3</v>
      </c>
      <c r="K954" s="45" t="s">
        <v>43</v>
      </c>
    </row>
    <row r="955" spans="1:11">
      <c r="A955" s="2">
        <v>43934</v>
      </c>
      <c r="B955" s="45">
        <v>0.33333333333333331</v>
      </c>
      <c r="C955" s="45" t="s">
        <v>44</v>
      </c>
      <c r="E955" s="45">
        <v>1456</v>
      </c>
      <c r="F955" s="45">
        <v>92</v>
      </c>
      <c r="G955" s="45">
        <v>32</v>
      </c>
      <c r="H955" s="45">
        <v>21</v>
      </c>
      <c r="J955" s="45">
        <v>49</v>
      </c>
      <c r="K955" s="45" t="s">
        <v>46</v>
      </c>
    </row>
    <row r="956" spans="1:11">
      <c r="A956" s="2">
        <v>43934</v>
      </c>
      <c r="B956" s="45">
        <v>0.33333333333333331</v>
      </c>
      <c r="C956" s="45" t="s">
        <v>89</v>
      </c>
      <c r="E956" s="45">
        <v>2900</v>
      </c>
      <c r="F956" s="45">
        <v>274</v>
      </c>
      <c r="G956" s="45">
        <v>63</v>
      </c>
      <c r="H956" s="45">
        <v>55</v>
      </c>
      <c r="I956" s="45">
        <v>517</v>
      </c>
      <c r="J956" s="45">
        <v>251</v>
      </c>
      <c r="K956" s="45" t="s">
        <v>507</v>
      </c>
    </row>
    <row r="957" spans="1:11">
      <c r="A957" s="2">
        <v>43934</v>
      </c>
      <c r="B957" s="45">
        <v>0.33333333333333331</v>
      </c>
      <c r="C957" s="45" t="s">
        <v>99</v>
      </c>
      <c r="E957" s="45">
        <v>170</v>
      </c>
      <c r="F957" s="45">
        <v>13</v>
      </c>
      <c r="G957" s="45">
        <v>9</v>
      </c>
      <c r="I957" s="45">
        <v>84</v>
      </c>
      <c r="J957" s="45">
        <v>5</v>
      </c>
      <c r="K957" s="45" t="s">
        <v>328</v>
      </c>
    </row>
    <row r="958" spans="1:11">
      <c r="A958" s="2">
        <v>43934</v>
      </c>
      <c r="B958" s="45">
        <v>0.39583333333333331</v>
      </c>
      <c r="C958" s="45" t="s">
        <v>79</v>
      </c>
      <c r="E958" s="45">
        <v>57</v>
      </c>
      <c r="F958" s="45">
        <v>16</v>
      </c>
      <c r="G958" s="45">
        <v>2</v>
      </c>
      <c r="J958" s="45">
        <v>1</v>
      </c>
      <c r="K958" s="45" t="s">
        <v>703</v>
      </c>
    </row>
    <row r="959" spans="1:11">
      <c r="A959" s="2">
        <v>43934</v>
      </c>
      <c r="B959" s="45">
        <v>0.41666666666666669</v>
      </c>
      <c r="C959" s="45" t="s">
        <v>50</v>
      </c>
      <c r="E959" s="45">
        <v>888</v>
      </c>
      <c r="I959" s="45">
        <v>653</v>
      </c>
      <c r="J959" s="45">
        <v>34</v>
      </c>
      <c r="K959" s="45" t="s">
        <v>281</v>
      </c>
    </row>
    <row r="960" spans="1:11">
      <c r="A960" s="2">
        <v>43934</v>
      </c>
      <c r="B960" s="45">
        <v>0.45833333333333331</v>
      </c>
      <c r="C960" s="45" t="s">
        <v>38</v>
      </c>
      <c r="E960" s="45">
        <v>24</v>
      </c>
      <c r="J960" s="45">
        <v>0</v>
      </c>
      <c r="K960" s="45" t="s">
        <v>40</v>
      </c>
    </row>
    <row r="961" spans="1:11">
      <c r="A961" s="2">
        <v>43934</v>
      </c>
      <c r="B961" s="45">
        <v>0.45833333333333331</v>
      </c>
      <c r="C961" s="45" t="s">
        <v>66</v>
      </c>
      <c r="E961" s="45">
        <v>580</v>
      </c>
      <c r="F961" s="45">
        <v>40</v>
      </c>
      <c r="G961" s="45">
        <v>5</v>
      </c>
      <c r="J961" s="45">
        <v>10</v>
      </c>
      <c r="K961" s="45" t="s">
        <v>68</v>
      </c>
    </row>
    <row r="962" spans="1:11">
      <c r="A962" s="2">
        <v>43934</v>
      </c>
      <c r="B962" s="45">
        <v>0.58333333333333337</v>
      </c>
      <c r="C962" s="45" t="s">
        <v>91</v>
      </c>
      <c r="E962" s="45">
        <v>78</v>
      </c>
      <c r="F962" s="45">
        <v>4</v>
      </c>
      <c r="I962" s="45">
        <v>52</v>
      </c>
      <c r="J962" s="45">
        <v>4</v>
      </c>
      <c r="K962" s="45" t="s">
        <v>93</v>
      </c>
    </row>
    <row r="963" spans="1:11">
      <c r="A963" s="2">
        <v>43934</v>
      </c>
      <c r="B963" s="45">
        <v>0.60416666666666663</v>
      </c>
      <c r="C963" s="45" t="s">
        <v>101</v>
      </c>
      <c r="E963" s="45">
        <v>3019</v>
      </c>
      <c r="F963" s="45">
        <v>154</v>
      </c>
      <c r="H963" s="45">
        <v>50</v>
      </c>
      <c r="J963" s="45">
        <v>83</v>
      </c>
      <c r="K963" s="45" t="s">
        <v>103</v>
      </c>
    </row>
    <row r="964" spans="1:11">
      <c r="A964" s="2">
        <v>43934</v>
      </c>
      <c r="B964" s="45">
        <v>0.61458333333333337</v>
      </c>
      <c r="C964" s="45" t="s">
        <v>34</v>
      </c>
      <c r="E964" s="45">
        <v>906</v>
      </c>
      <c r="J964" s="45">
        <v>19</v>
      </c>
      <c r="K964" s="45" t="s">
        <v>296</v>
      </c>
    </row>
    <row r="965" spans="1:11">
      <c r="A965" s="2">
        <v>43935</v>
      </c>
      <c r="C965" s="45" t="s">
        <v>47</v>
      </c>
      <c r="E965" s="45">
        <v>755</v>
      </c>
      <c r="F965" s="45">
        <v>48</v>
      </c>
      <c r="G965" s="45">
        <v>14</v>
      </c>
      <c r="H965" s="45">
        <v>8</v>
      </c>
      <c r="I965" s="45">
        <v>597</v>
      </c>
      <c r="J965" s="45">
        <v>25</v>
      </c>
      <c r="K965" s="45" t="s">
        <v>49</v>
      </c>
    </row>
    <row r="966" spans="1:11">
      <c r="A966" s="2">
        <v>43935</v>
      </c>
      <c r="C966" s="45" t="s">
        <v>56</v>
      </c>
      <c r="E966" s="45">
        <v>879</v>
      </c>
      <c r="F966" s="45">
        <v>68</v>
      </c>
      <c r="G966" s="45">
        <v>14</v>
      </c>
      <c r="I966" s="45">
        <v>98</v>
      </c>
      <c r="J966" s="45">
        <v>57</v>
      </c>
      <c r="K966" s="45" t="s">
        <v>736</v>
      </c>
    </row>
    <row r="967" spans="1:11">
      <c r="A967" s="2">
        <v>43935</v>
      </c>
      <c r="C967" s="45" t="s">
        <v>58</v>
      </c>
      <c r="D967" s="45">
        <v>19663</v>
      </c>
      <c r="E967" s="45">
        <v>4471</v>
      </c>
      <c r="F967" s="45">
        <v>365</v>
      </c>
      <c r="G967" s="45">
        <v>46</v>
      </c>
      <c r="H967" s="45">
        <v>41</v>
      </c>
      <c r="I967" s="45">
        <v>490</v>
      </c>
      <c r="J967" s="45">
        <v>193</v>
      </c>
      <c r="K967" s="45" t="s">
        <v>369</v>
      </c>
    </row>
    <row r="968" spans="1:11">
      <c r="A968" s="2">
        <v>43935</v>
      </c>
      <c r="C968" s="45" t="s">
        <v>60</v>
      </c>
      <c r="E968" s="45">
        <v>105</v>
      </c>
      <c r="F968" s="45">
        <v>2</v>
      </c>
      <c r="J968" s="45">
        <v>2</v>
      </c>
      <c r="K968" s="45" t="s">
        <v>609</v>
      </c>
    </row>
    <row r="969" spans="1:11">
      <c r="A969" s="2">
        <v>43935</v>
      </c>
      <c r="C969" s="45" t="s">
        <v>62</v>
      </c>
      <c r="E969" s="45">
        <v>753</v>
      </c>
      <c r="F969" s="45">
        <v>34</v>
      </c>
      <c r="J969" s="45">
        <v>37</v>
      </c>
      <c r="K969" s="45" t="s">
        <v>511</v>
      </c>
    </row>
    <row r="970" spans="1:11">
      <c r="A970" s="2">
        <v>43935</v>
      </c>
      <c r="C970" s="45" t="s">
        <v>64</v>
      </c>
      <c r="E970" s="45">
        <v>185</v>
      </c>
      <c r="F970" s="45">
        <v>21</v>
      </c>
      <c r="G970" s="45">
        <v>5</v>
      </c>
      <c r="J970" s="45">
        <v>3</v>
      </c>
      <c r="K970" s="45" t="s">
        <v>688</v>
      </c>
    </row>
    <row r="971" spans="1:11">
      <c r="A971" s="2">
        <v>43935</v>
      </c>
      <c r="C971" s="45" t="s">
        <v>69</v>
      </c>
      <c r="E971" s="45">
        <v>599</v>
      </c>
      <c r="F971" s="45">
        <v>60</v>
      </c>
      <c r="G971" s="45">
        <v>11</v>
      </c>
      <c r="H971" s="45">
        <v>10</v>
      </c>
      <c r="J971" s="45">
        <v>55</v>
      </c>
      <c r="K971" s="45" t="s">
        <v>325</v>
      </c>
    </row>
    <row r="972" spans="1:11">
      <c r="A972" s="2">
        <v>43935</v>
      </c>
      <c r="C972" s="45" t="s">
        <v>71</v>
      </c>
      <c r="E972" s="45">
        <v>105</v>
      </c>
      <c r="F972" s="45">
        <v>7</v>
      </c>
      <c r="G972" s="45">
        <v>2</v>
      </c>
      <c r="J972" s="45">
        <v>1</v>
      </c>
      <c r="K972" s="45" t="s">
        <v>310</v>
      </c>
    </row>
    <row r="973" spans="1:11">
      <c r="A973" s="2">
        <v>43935</v>
      </c>
      <c r="C973" s="45" t="s">
        <v>76</v>
      </c>
      <c r="E973" s="45">
        <v>664</v>
      </c>
      <c r="F973" s="45">
        <v>59</v>
      </c>
      <c r="G973" s="45">
        <v>9</v>
      </c>
      <c r="I973" s="45">
        <v>120</v>
      </c>
      <c r="J973" s="45">
        <v>21</v>
      </c>
      <c r="K973" s="45" t="s">
        <v>78</v>
      </c>
    </row>
    <row r="974" spans="1:11">
      <c r="A974" s="2">
        <v>43935</v>
      </c>
      <c r="C974" s="45" t="s">
        <v>84</v>
      </c>
      <c r="E974" s="45">
        <v>258</v>
      </c>
      <c r="I974" s="45">
        <v>128</v>
      </c>
      <c r="J974" s="45">
        <v>13</v>
      </c>
      <c r="K974" s="45" t="s">
        <v>704</v>
      </c>
    </row>
    <row r="975" spans="1:11">
      <c r="A975" s="2">
        <v>43935</v>
      </c>
      <c r="C975" s="45" t="s">
        <v>86</v>
      </c>
      <c r="E975" s="45">
        <v>297</v>
      </c>
      <c r="F975" s="45">
        <v>35</v>
      </c>
      <c r="G975" s="45">
        <v>16</v>
      </c>
      <c r="J975" s="45">
        <v>10</v>
      </c>
      <c r="K975" s="45" t="s">
        <v>88</v>
      </c>
    </row>
    <row r="976" spans="1:11">
      <c r="A976" s="2">
        <v>43935</v>
      </c>
      <c r="C976" s="45" t="s">
        <v>94</v>
      </c>
      <c r="E976" s="45">
        <v>4920</v>
      </c>
      <c r="F976" s="45">
        <v>276</v>
      </c>
      <c r="G976" s="45">
        <v>58</v>
      </c>
      <c r="J976" s="45">
        <v>270</v>
      </c>
      <c r="K976" s="45" t="s">
        <v>96</v>
      </c>
    </row>
    <row r="977" spans="1:11">
      <c r="A977" s="2">
        <v>43935</v>
      </c>
      <c r="C977" s="45" t="s">
        <v>97</v>
      </c>
      <c r="E977" s="45">
        <v>1707</v>
      </c>
      <c r="F977" s="45">
        <v>100</v>
      </c>
      <c r="G977" s="45">
        <v>20</v>
      </c>
      <c r="H977" s="45">
        <v>11</v>
      </c>
      <c r="J977" s="45">
        <v>94</v>
      </c>
      <c r="K977" s="45" t="s">
        <v>620</v>
      </c>
    </row>
    <row r="978" spans="1:11">
      <c r="A978" s="2">
        <v>43935</v>
      </c>
      <c r="B978" s="45">
        <v>0</v>
      </c>
      <c r="C978" s="45" t="s">
        <v>81</v>
      </c>
      <c r="E978" s="45">
        <v>325</v>
      </c>
      <c r="F978" s="45">
        <v>22</v>
      </c>
      <c r="J978" s="45">
        <v>8</v>
      </c>
      <c r="K978" s="45" t="s">
        <v>333</v>
      </c>
    </row>
    <row r="979" spans="1:11">
      <c r="A979" s="2">
        <v>43935</v>
      </c>
      <c r="B979" s="45">
        <v>0.33333333333333331</v>
      </c>
      <c r="C979" s="45" t="s">
        <v>41</v>
      </c>
      <c r="E979" s="45">
        <v>79</v>
      </c>
      <c r="J979" s="45">
        <v>3</v>
      </c>
      <c r="K979" s="45" t="s">
        <v>43</v>
      </c>
    </row>
    <row r="980" spans="1:11">
      <c r="A980" s="2">
        <v>43935</v>
      </c>
      <c r="B980" s="45">
        <v>0.33333333333333331</v>
      </c>
      <c r="C980" s="45" t="s">
        <v>44</v>
      </c>
      <c r="E980" s="45">
        <v>1470</v>
      </c>
      <c r="F980" s="45">
        <v>85</v>
      </c>
      <c r="G980" s="45">
        <v>31</v>
      </c>
      <c r="H980" s="45">
        <v>21</v>
      </c>
      <c r="J980" s="45">
        <v>49</v>
      </c>
      <c r="K980" s="45" t="s">
        <v>46</v>
      </c>
    </row>
    <row r="981" spans="1:11">
      <c r="A981" s="2">
        <v>43935</v>
      </c>
      <c r="B981" s="45">
        <v>0.33333333333333331</v>
      </c>
      <c r="C981" s="45" t="s">
        <v>89</v>
      </c>
      <c r="E981" s="45">
        <v>2912</v>
      </c>
      <c r="F981" s="45">
        <v>274</v>
      </c>
      <c r="G981" s="45">
        <v>63</v>
      </c>
      <c r="H981" s="45">
        <v>54</v>
      </c>
      <c r="I981" s="45">
        <v>524</v>
      </c>
      <c r="J981" s="45">
        <v>258</v>
      </c>
      <c r="K981" s="45" t="s">
        <v>507</v>
      </c>
    </row>
    <row r="982" spans="1:11">
      <c r="A982" s="2">
        <v>43935</v>
      </c>
      <c r="B982" s="45">
        <v>0.33333333333333331</v>
      </c>
      <c r="C982" s="45" t="s">
        <v>99</v>
      </c>
      <c r="E982" s="45">
        <v>171</v>
      </c>
      <c r="F982" s="45">
        <v>13</v>
      </c>
      <c r="G982" s="45">
        <v>9</v>
      </c>
      <c r="I982" s="45">
        <v>88</v>
      </c>
      <c r="J982" s="45">
        <v>5</v>
      </c>
      <c r="K982" s="45" t="s">
        <v>328</v>
      </c>
    </row>
    <row r="983" spans="1:11">
      <c r="A983" s="2">
        <v>43935</v>
      </c>
      <c r="B983" s="45">
        <v>0.39583333333333331</v>
      </c>
      <c r="C983" s="45" t="s">
        <v>79</v>
      </c>
      <c r="E983" s="45">
        <v>57</v>
      </c>
      <c r="F983" s="45">
        <v>10</v>
      </c>
      <c r="G983" s="45">
        <v>2</v>
      </c>
      <c r="J983" s="45">
        <v>1</v>
      </c>
      <c r="K983" s="45" t="s">
        <v>703</v>
      </c>
    </row>
    <row r="984" spans="1:11">
      <c r="A984" s="2">
        <v>43935</v>
      </c>
      <c r="B984" s="45">
        <v>0.41666666666666669</v>
      </c>
      <c r="C984" s="45" t="s">
        <v>50</v>
      </c>
      <c r="E984" s="45">
        <v>894</v>
      </c>
      <c r="F984" s="45">
        <v>86</v>
      </c>
      <c r="G984" s="45">
        <v>9</v>
      </c>
      <c r="I984" s="45">
        <v>663</v>
      </c>
      <c r="J984" s="45">
        <v>34</v>
      </c>
      <c r="K984" s="45" t="s">
        <v>294</v>
      </c>
    </row>
    <row r="985" spans="1:11">
      <c r="A985" s="2">
        <v>43935</v>
      </c>
      <c r="B985" s="45">
        <v>0.45833333333333331</v>
      </c>
      <c r="C985" s="45" t="s">
        <v>38</v>
      </c>
      <c r="E985" s="45">
        <v>24</v>
      </c>
      <c r="J985" s="45">
        <v>0</v>
      </c>
      <c r="K985" s="45" t="s">
        <v>40</v>
      </c>
    </row>
    <row r="986" spans="1:11">
      <c r="A986" s="2">
        <v>43935</v>
      </c>
      <c r="B986" s="45">
        <v>0.45833333333333331</v>
      </c>
      <c r="C986" s="45" t="s">
        <v>66</v>
      </c>
      <c r="E986" s="45">
        <v>589</v>
      </c>
      <c r="F986" s="45">
        <v>47</v>
      </c>
      <c r="G986" s="45">
        <v>4</v>
      </c>
      <c r="J986" s="45">
        <v>11</v>
      </c>
      <c r="K986" s="45" t="s">
        <v>68</v>
      </c>
    </row>
    <row r="987" spans="1:11">
      <c r="A987" s="2">
        <v>43935</v>
      </c>
      <c r="B987" s="45">
        <v>0.58333333333333337</v>
      </c>
      <c r="C987" s="45" t="s">
        <v>91</v>
      </c>
      <c r="E987" s="45">
        <v>78</v>
      </c>
      <c r="F987" s="45">
        <v>3</v>
      </c>
      <c r="I987" s="45">
        <v>56</v>
      </c>
      <c r="J987" s="45">
        <v>4</v>
      </c>
      <c r="K987" s="45" t="s">
        <v>93</v>
      </c>
    </row>
    <row r="988" spans="1:11">
      <c r="A988" s="2">
        <v>43935</v>
      </c>
      <c r="B988" s="45">
        <v>0.60416666666666663</v>
      </c>
      <c r="C988" s="45" t="s">
        <v>101</v>
      </c>
      <c r="E988" s="45">
        <v>3066</v>
      </c>
      <c r="F988" s="45">
        <v>149</v>
      </c>
      <c r="H988" s="45">
        <v>52</v>
      </c>
      <c r="J988" s="45">
        <v>87</v>
      </c>
      <c r="K988" s="45" t="s">
        <v>103</v>
      </c>
    </row>
    <row r="989" spans="1:11">
      <c r="A989" s="2">
        <v>43935</v>
      </c>
      <c r="B989" s="45">
        <v>0.61458333333333337</v>
      </c>
      <c r="C989" s="45" t="s">
        <v>34</v>
      </c>
      <c r="E989" s="45">
        <v>912</v>
      </c>
      <c r="F989" s="45">
        <v>78</v>
      </c>
      <c r="G989" s="45">
        <v>22</v>
      </c>
      <c r="H989" s="45">
        <v>22</v>
      </c>
      <c r="I989" s="45">
        <v>400</v>
      </c>
      <c r="J989" s="45">
        <v>19</v>
      </c>
      <c r="K989" s="45" t="s">
        <v>296</v>
      </c>
    </row>
    <row r="990" spans="1:11">
      <c r="A990" s="2">
        <v>43935</v>
      </c>
      <c r="B990" s="45">
        <v>0.65625</v>
      </c>
      <c r="C990" s="45" t="s">
        <v>73</v>
      </c>
      <c r="E990" s="45">
        <v>64</v>
      </c>
      <c r="F990" s="45">
        <v>0</v>
      </c>
      <c r="J990" s="45">
        <v>0</v>
      </c>
      <c r="K990" s="45" t="s">
        <v>75</v>
      </c>
    </row>
    <row r="991" spans="1:11">
      <c r="A991" s="2">
        <v>43936</v>
      </c>
      <c r="C991" s="45" t="s">
        <v>47</v>
      </c>
      <c r="E991" s="45">
        <v>768</v>
      </c>
      <c r="F991" s="45">
        <v>45</v>
      </c>
      <c r="G991" s="45">
        <v>9</v>
      </c>
      <c r="H991" s="45">
        <v>7</v>
      </c>
      <c r="I991" s="45">
        <v>610</v>
      </c>
      <c r="J991" s="45">
        <v>25</v>
      </c>
      <c r="K991" s="45" t="s">
        <v>49</v>
      </c>
    </row>
    <row r="992" spans="1:11">
      <c r="A992" s="2">
        <v>43936</v>
      </c>
      <c r="C992" s="45" t="s">
        <v>53</v>
      </c>
      <c r="E992" s="45">
        <v>80</v>
      </c>
      <c r="J992" s="45">
        <v>1</v>
      </c>
      <c r="K992" s="45" t="s">
        <v>299</v>
      </c>
    </row>
    <row r="993" spans="1:11">
      <c r="A993" s="2">
        <v>43936</v>
      </c>
      <c r="C993" s="45" t="s">
        <v>56</v>
      </c>
      <c r="E993" s="45">
        <v>890</v>
      </c>
      <c r="F993" s="45">
        <v>61</v>
      </c>
      <c r="G993" s="45">
        <v>16</v>
      </c>
      <c r="I993" s="45">
        <v>105</v>
      </c>
      <c r="J993" s="45">
        <v>63</v>
      </c>
      <c r="K993" s="45" t="s">
        <v>736</v>
      </c>
    </row>
    <row r="994" spans="1:11">
      <c r="A994" s="2">
        <v>43936</v>
      </c>
      <c r="C994" s="45" t="s">
        <v>58</v>
      </c>
      <c r="D994" s="45">
        <v>20107</v>
      </c>
      <c r="E994" s="45">
        <v>4539</v>
      </c>
      <c r="F994" s="45">
        <v>352</v>
      </c>
      <c r="G994" s="45">
        <v>41</v>
      </c>
      <c r="H994" s="45">
        <v>37</v>
      </c>
      <c r="I994" s="45">
        <v>502</v>
      </c>
      <c r="J994" s="45">
        <v>198</v>
      </c>
      <c r="K994" s="45" t="s">
        <v>369</v>
      </c>
    </row>
    <row r="995" spans="1:11">
      <c r="A995" s="2">
        <v>43936</v>
      </c>
      <c r="C995" s="45" t="s">
        <v>60</v>
      </c>
      <c r="E995" s="45">
        <v>105</v>
      </c>
      <c r="F995" s="45">
        <v>2</v>
      </c>
      <c r="J995" s="45">
        <v>2</v>
      </c>
      <c r="K995" s="45" t="s">
        <v>609</v>
      </c>
    </row>
    <row r="996" spans="1:11">
      <c r="A996" s="2">
        <v>43936</v>
      </c>
      <c r="C996" s="45" t="s">
        <v>62</v>
      </c>
      <c r="E996" s="45">
        <v>759</v>
      </c>
      <c r="F996" s="45">
        <v>36</v>
      </c>
      <c r="J996" s="45">
        <v>38</v>
      </c>
      <c r="K996" s="45" t="s">
        <v>511</v>
      </c>
    </row>
    <row r="997" spans="1:11">
      <c r="A997" s="2">
        <v>43936</v>
      </c>
      <c r="C997" s="45" t="s">
        <v>64</v>
      </c>
      <c r="E997" s="45">
        <v>188</v>
      </c>
      <c r="F997" s="45">
        <v>17</v>
      </c>
      <c r="G997" s="45">
        <v>5</v>
      </c>
      <c r="J997" s="45">
        <v>3</v>
      </c>
      <c r="K997" s="45" t="s">
        <v>688</v>
      </c>
    </row>
    <row r="998" spans="1:11">
      <c r="A998" s="2">
        <v>43936</v>
      </c>
      <c r="C998" s="45" t="s">
        <v>69</v>
      </c>
      <c r="E998" s="45">
        <v>612</v>
      </c>
      <c r="F998" s="45">
        <v>54</v>
      </c>
      <c r="G998" s="45">
        <v>12</v>
      </c>
      <c r="H998" s="45">
        <v>10</v>
      </c>
      <c r="J998" s="45">
        <v>56</v>
      </c>
      <c r="K998" s="45" t="s">
        <v>325</v>
      </c>
    </row>
    <row r="999" spans="1:11">
      <c r="A999" s="2">
        <v>43936</v>
      </c>
      <c r="C999" s="45" t="s">
        <v>71</v>
      </c>
      <c r="E999" s="45">
        <v>106</v>
      </c>
      <c r="F999" s="45">
        <v>7</v>
      </c>
      <c r="G999" s="45">
        <v>2</v>
      </c>
      <c r="J999" s="45">
        <v>2</v>
      </c>
      <c r="K999" s="45" t="s">
        <v>310</v>
      </c>
    </row>
    <row r="1000" spans="1:11">
      <c r="A1000" s="2">
        <v>43936</v>
      </c>
      <c r="C1000" s="45" t="s">
        <v>76</v>
      </c>
      <c r="E1000" s="45">
        <v>676</v>
      </c>
      <c r="F1000" s="45">
        <v>47</v>
      </c>
      <c r="G1000" s="45">
        <v>9</v>
      </c>
      <c r="I1000" s="45">
        <v>123</v>
      </c>
      <c r="J1000" s="45">
        <v>23</v>
      </c>
      <c r="K1000" s="45" t="s">
        <v>78</v>
      </c>
    </row>
    <row r="1001" spans="1:11">
      <c r="A1001" s="2">
        <v>43936</v>
      </c>
      <c r="C1001" s="45" t="s">
        <v>84</v>
      </c>
      <c r="E1001" s="45">
        <v>261</v>
      </c>
      <c r="I1001" s="45">
        <v>144</v>
      </c>
      <c r="J1001" s="45">
        <v>13</v>
      </c>
      <c r="K1001" s="45" t="s">
        <v>704</v>
      </c>
    </row>
    <row r="1002" spans="1:11">
      <c r="A1002" s="2">
        <v>43936</v>
      </c>
      <c r="C1002" s="45" t="s">
        <v>86</v>
      </c>
      <c r="E1002" s="45">
        <v>303</v>
      </c>
      <c r="F1002" s="45">
        <v>28</v>
      </c>
      <c r="G1002" s="45">
        <v>14</v>
      </c>
      <c r="J1002" s="45">
        <v>11</v>
      </c>
      <c r="K1002" s="45" t="s">
        <v>88</v>
      </c>
    </row>
    <row r="1003" spans="1:11">
      <c r="A1003" s="2">
        <v>43936</v>
      </c>
      <c r="C1003" s="45" t="s">
        <v>94</v>
      </c>
      <c r="E1003" s="45">
        <v>4969</v>
      </c>
      <c r="F1003" s="45">
        <v>248</v>
      </c>
      <c r="G1003" s="45">
        <v>54</v>
      </c>
      <c r="J1003" s="45">
        <v>287</v>
      </c>
      <c r="K1003" s="45" t="s">
        <v>96</v>
      </c>
    </row>
    <row r="1004" spans="1:11">
      <c r="A1004" s="2">
        <v>43936</v>
      </c>
      <c r="C1004" s="45" t="s">
        <v>97</v>
      </c>
      <c r="E1004" s="45">
        <v>1723</v>
      </c>
      <c r="F1004" s="45">
        <v>94</v>
      </c>
      <c r="G1004" s="45">
        <v>20</v>
      </c>
      <c r="H1004" s="45">
        <v>12</v>
      </c>
      <c r="J1004" s="45">
        <v>94</v>
      </c>
      <c r="K1004" s="45" t="s">
        <v>620</v>
      </c>
    </row>
    <row r="1005" spans="1:11">
      <c r="A1005" s="2">
        <v>43936</v>
      </c>
      <c r="B1005" s="45">
        <v>0</v>
      </c>
      <c r="C1005" s="45" t="s">
        <v>81</v>
      </c>
      <c r="E1005" s="45">
        <v>329</v>
      </c>
      <c r="F1005" s="45">
        <v>22</v>
      </c>
      <c r="J1005" s="45">
        <v>8</v>
      </c>
      <c r="K1005" s="45" t="s">
        <v>333</v>
      </c>
    </row>
    <row r="1006" spans="1:11">
      <c r="A1006" s="2">
        <v>43936</v>
      </c>
      <c r="B1006" s="45">
        <v>0.33333333333333331</v>
      </c>
      <c r="C1006" s="45" t="s">
        <v>41</v>
      </c>
      <c r="E1006" s="45">
        <v>79</v>
      </c>
      <c r="J1006" s="45">
        <v>3</v>
      </c>
      <c r="K1006" s="45" t="s">
        <v>43</v>
      </c>
    </row>
    <row r="1007" spans="1:11">
      <c r="A1007" s="2">
        <v>43936</v>
      </c>
      <c r="B1007" s="45">
        <v>0.33333333333333331</v>
      </c>
      <c r="C1007" s="45" t="s">
        <v>44</v>
      </c>
      <c r="E1007" s="45">
        <v>1489</v>
      </c>
      <c r="F1007" s="45">
        <v>82</v>
      </c>
      <c r="G1007" s="45">
        <v>30</v>
      </c>
      <c r="H1007" s="45">
        <v>18</v>
      </c>
      <c r="J1007" s="45">
        <v>53</v>
      </c>
      <c r="K1007" s="45" t="s">
        <v>46</v>
      </c>
    </row>
    <row r="1008" spans="1:11">
      <c r="A1008" s="2">
        <v>43936</v>
      </c>
      <c r="B1008" s="45">
        <v>0.33333333333333331</v>
      </c>
      <c r="C1008" s="45" t="s">
        <v>89</v>
      </c>
      <c r="E1008" s="45">
        <v>2927</v>
      </c>
      <c r="F1008" s="45">
        <v>265</v>
      </c>
      <c r="G1008" s="45">
        <v>60</v>
      </c>
      <c r="H1008" s="45">
        <v>50</v>
      </c>
      <c r="I1008" s="45">
        <v>548</v>
      </c>
      <c r="J1008" s="45">
        <v>263</v>
      </c>
      <c r="K1008" s="45" t="s">
        <v>507</v>
      </c>
    </row>
    <row r="1009" spans="1:11">
      <c r="A1009" s="2">
        <v>43936</v>
      </c>
      <c r="B1009" s="45">
        <v>0.33333333333333331</v>
      </c>
      <c r="C1009" s="45" t="s">
        <v>99</v>
      </c>
      <c r="E1009" s="45">
        <v>171</v>
      </c>
      <c r="F1009" s="45">
        <v>13</v>
      </c>
      <c r="G1009" s="45">
        <v>9</v>
      </c>
      <c r="I1009" s="45">
        <v>92</v>
      </c>
      <c r="J1009" s="45">
        <v>5</v>
      </c>
      <c r="K1009" s="45" t="s">
        <v>328</v>
      </c>
    </row>
    <row r="1010" spans="1:11">
      <c r="A1010" s="2">
        <v>43936</v>
      </c>
      <c r="B1010" s="45">
        <v>0.39583333333333331</v>
      </c>
      <c r="C1010" s="45" t="s">
        <v>79</v>
      </c>
      <c r="E1010" s="45">
        <v>59</v>
      </c>
      <c r="F1010" s="45">
        <v>11</v>
      </c>
      <c r="G1010" s="45">
        <v>2</v>
      </c>
      <c r="J1010" s="45">
        <v>1</v>
      </c>
      <c r="K1010" s="45" t="s">
        <v>703</v>
      </c>
    </row>
    <row r="1011" spans="1:11">
      <c r="A1011" s="2">
        <v>43936</v>
      </c>
      <c r="B1011" s="45">
        <v>0.41666666666666669</v>
      </c>
      <c r="C1011" s="45" t="s">
        <v>50</v>
      </c>
      <c r="E1011" s="45">
        <v>904</v>
      </c>
      <c r="F1011" s="45">
        <v>80</v>
      </c>
      <c r="G1011" s="45">
        <v>7</v>
      </c>
      <c r="I1011" s="45">
        <v>682</v>
      </c>
      <c r="J1011" s="45">
        <v>36</v>
      </c>
      <c r="K1011" s="45" t="s">
        <v>297</v>
      </c>
    </row>
    <row r="1012" spans="1:11">
      <c r="A1012" s="2">
        <v>43936</v>
      </c>
      <c r="B1012" s="45">
        <v>0.45833333333333331</v>
      </c>
      <c r="C1012" s="45" t="s">
        <v>38</v>
      </c>
      <c r="E1012" s="45">
        <v>24</v>
      </c>
      <c r="J1012" s="45">
        <v>0</v>
      </c>
      <c r="K1012" s="45" t="s">
        <v>40</v>
      </c>
    </row>
    <row r="1013" spans="1:11">
      <c r="A1013" s="2">
        <v>43936</v>
      </c>
      <c r="B1013" s="45">
        <v>0.45833333333333331</v>
      </c>
      <c r="C1013" s="45" t="s">
        <v>66</v>
      </c>
      <c r="E1013" s="45">
        <v>596</v>
      </c>
      <c r="F1013" s="45">
        <v>46</v>
      </c>
      <c r="G1013" s="45">
        <v>4</v>
      </c>
      <c r="J1013" s="45">
        <v>12</v>
      </c>
      <c r="K1013" s="45" t="s">
        <v>68</v>
      </c>
    </row>
    <row r="1014" spans="1:11">
      <c r="A1014" s="2">
        <v>43936</v>
      </c>
      <c r="B1014" s="45">
        <v>0.60416666666666663</v>
      </c>
      <c r="C1014" s="45" t="s">
        <v>101</v>
      </c>
      <c r="E1014" s="45">
        <v>3113</v>
      </c>
      <c r="F1014" s="45">
        <v>136</v>
      </c>
      <c r="H1014" s="45">
        <v>50</v>
      </c>
      <c r="J1014" s="45">
        <v>91</v>
      </c>
      <c r="K1014" s="45" t="s">
        <v>103</v>
      </c>
    </row>
    <row r="1015" spans="1:11">
      <c r="A1015" s="2">
        <v>43936</v>
      </c>
      <c r="B1015" s="45">
        <v>0.61458333333333337</v>
      </c>
      <c r="C1015" s="45" t="s">
        <v>34</v>
      </c>
      <c r="E1015" s="45">
        <v>929</v>
      </c>
      <c r="F1015" s="45">
        <v>69</v>
      </c>
      <c r="G1015" s="45">
        <v>20</v>
      </c>
      <c r="H1015" s="45">
        <v>20</v>
      </c>
      <c r="I1015" s="45">
        <v>450</v>
      </c>
      <c r="J1015" s="45">
        <v>22</v>
      </c>
      <c r="K1015" s="45" t="s">
        <v>300</v>
      </c>
    </row>
    <row r="1016" spans="1:11">
      <c r="A1016" s="2">
        <v>43936</v>
      </c>
      <c r="B1016" s="45">
        <v>0.64236111111111116</v>
      </c>
      <c r="C1016" s="45" t="s">
        <v>73</v>
      </c>
      <c r="E1016" s="45">
        <v>64</v>
      </c>
      <c r="F1016" s="45">
        <v>0</v>
      </c>
      <c r="J1016" s="45">
        <v>0</v>
      </c>
      <c r="K1016" s="45" t="s">
        <v>75</v>
      </c>
    </row>
    <row r="1017" spans="1:11">
      <c r="A1017" s="2">
        <v>43936</v>
      </c>
      <c r="B1017" s="45">
        <v>0.66666666666666663</v>
      </c>
      <c r="C1017" s="45" t="s">
        <v>91</v>
      </c>
      <c r="E1017" s="45">
        <v>78</v>
      </c>
      <c r="F1017" s="45">
        <v>3</v>
      </c>
      <c r="I1017" s="45">
        <v>62</v>
      </c>
      <c r="J1017" s="45">
        <v>4</v>
      </c>
      <c r="K1017" s="45" t="s">
        <v>93</v>
      </c>
    </row>
    <row r="1018" spans="1:11">
      <c r="A1018" s="2">
        <v>43937</v>
      </c>
      <c r="C1018" s="45" t="s">
        <v>47</v>
      </c>
      <c r="E1018" s="45">
        <v>781</v>
      </c>
      <c r="F1018" s="45">
        <v>46</v>
      </c>
      <c r="G1018" s="45">
        <v>8</v>
      </c>
      <c r="H1018" s="45">
        <v>6</v>
      </c>
      <c r="I1018" s="45">
        <v>623</v>
      </c>
      <c r="J1018" s="45">
        <v>25</v>
      </c>
      <c r="K1018" s="45" t="s">
        <v>49</v>
      </c>
    </row>
    <row r="1019" spans="1:11">
      <c r="A1019" s="2">
        <v>43937</v>
      </c>
      <c r="C1019" s="45" t="s">
        <v>53</v>
      </c>
      <c r="E1019" s="45">
        <v>80</v>
      </c>
      <c r="J1019" s="45">
        <v>1</v>
      </c>
      <c r="K1019" s="45" t="s">
        <v>312</v>
      </c>
    </row>
    <row r="1020" spans="1:11">
      <c r="A1020" s="2">
        <v>43937</v>
      </c>
      <c r="C1020" s="45" t="s">
        <v>56</v>
      </c>
      <c r="E1020" s="45">
        <v>907</v>
      </c>
      <c r="F1020" s="45">
        <v>60</v>
      </c>
      <c r="G1020" s="45">
        <v>15</v>
      </c>
      <c r="I1020" s="45">
        <v>105</v>
      </c>
      <c r="J1020" s="45">
        <v>65</v>
      </c>
      <c r="K1020" s="45" t="s">
        <v>736</v>
      </c>
    </row>
    <row r="1021" spans="1:11">
      <c r="A1021" s="2">
        <v>43937</v>
      </c>
      <c r="C1021" s="45" t="s">
        <v>58</v>
      </c>
      <c r="D1021" s="45">
        <v>20748</v>
      </c>
      <c r="E1021" s="45">
        <v>4605</v>
      </c>
      <c r="F1021" s="45">
        <v>350</v>
      </c>
      <c r="G1021" s="45">
        <v>38</v>
      </c>
      <c r="H1021" s="45">
        <v>33</v>
      </c>
      <c r="I1021" s="45">
        <v>520</v>
      </c>
      <c r="J1021" s="45">
        <v>205</v>
      </c>
      <c r="K1021" s="45" t="s">
        <v>369</v>
      </c>
    </row>
    <row r="1022" spans="1:11">
      <c r="A1022" s="2">
        <v>43937</v>
      </c>
      <c r="C1022" s="45" t="s">
        <v>60</v>
      </c>
      <c r="E1022" s="45">
        <v>106</v>
      </c>
      <c r="F1022" s="45">
        <v>4</v>
      </c>
      <c r="J1022" s="45">
        <v>3</v>
      </c>
      <c r="K1022" s="45" t="s">
        <v>609</v>
      </c>
    </row>
    <row r="1023" spans="1:11">
      <c r="A1023" s="2">
        <v>43937</v>
      </c>
      <c r="C1023" s="45" t="s">
        <v>62</v>
      </c>
      <c r="E1023" s="45">
        <v>764</v>
      </c>
      <c r="F1023" s="45">
        <v>37</v>
      </c>
      <c r="J1023" s="45">
        <v>39</v>
      </c>
      <c r="K1023" s="45" t="s">
        <v>511</v>
      </c>
    </row>
    <row r="1024" spans="1:11">
      <c r="A1024" s="2">
        <v>43937</v>
      </c>
      <c r="C1024" s="45" t="s">
        <v>64</v>
      </c>
      <c r="E1024" s="45">
        <v>189</v>
      </c>
      <c r="F1024" s="45">
        <v>18</v>
      </c>
      <c r="G1024" s="45">
        <v>5</v>
      </c>
      <c r="J1024" s="45">
        <v>3</v>
      </c>
      <c r="K1024" s="45" t="s">
        <v>688</v>
      </c>
    </row>
    <row r="1025" spans="1:11">
      <c r="A1025" s="2">
        <v>43937</v>
      </c>
      <c r="C1025" s="45" t="s">
        <v>69</v>
      </c>
      <c r="E1025" s="45">
        <v>621</v>
      </c>
      <c r="F1025" s="45">
        <v>52</v>
      </c>
      <c r="G1025" s="45">
        <v>11</v>
      </c>
      <c r="H1025" s="45">
        <v>9</v>
      </c>
      <c r="J1025" s="45">
        <v>57</v>
      </c>
      <c r="K1025" s="45" t="s">
        <v>325</v>
      </c>
    </row>
    <row r="1026" spans="1:11">
      <c r="A1026" s="2">
        <v>43937</v>
      </c>
      <c r="C1026" s="45" t="s">
        <v>71</v>
      </c>
      <c r="E1026" s="45">
        <v>106</v>
      </c>
      <c r="F1026" s="45">
        <v>5</v>
      </c>
      <c r="G1026" s="45">
        <v>2</v>
      </c>
      <c r="J1026" s="45">
        <v>2</v>
      </c>
      <c r="K1026" s="45" t="s">
        <v>310</v>
      </c>
    </row>
    <row r="1027" spans="1:11">
      <c r="A1027" s="2">
        <v>43937</v>
      </c>
      <c r="C1027" s="45" t="s">
        <v>76</v>
      </c>
      <c r="E1027" s="45">
        <v>680</v>
      </c>
      <c r="F1027" s="45">
        <v>56</v>
      </c>
      <c r="G1027" s="45">
        <v>7</v>
      </c>
      <c r="I1027" s="45">
        <v>138</v>
      </c>
      <c r="J1027" s="45">
        <v>25</v>
      </c>
      <c r="K1027" s="45" t="s">
        <v>78</v>
      </c>
    </row>
    <row r="1028" spans="1:11">
      <c r="A1028" s="2">
        <v>43937</v>
      </c>
      <c r="C1028" s="45" t="s">
        <v>84</v>
      </c>
      <c r="E1028" s="45">
        <v>265</v>
      </c>
      <c r="I1028" s="45">
        <v>154</v>
      </c>
      <c r="J1028" s="45">
        <v>14</v>
      </c>
      <c r="K1028" s="45" t="s">
        <v>704</v>
      </c>
    </row>
    <row r="1029" spans="1:11">
      <c r="A1029" s="2">
        <v>43937</v>
      </c>
      <c r="C1029" s="45" t="s">
        <v>86</v>
      </c>
      <c r="E1029" s="45">
        <v>309</v>
      </c>
      <c r="F1029" s="45">
        <v>28</v>
      </c>
      <c r="G1029" s="45">
        <v>14</v>
      </c>
      <c r="J1029" s="45">
        <v>11</v>
      </c>
      <c r="K1029" s="45" t="s">
        <v>88</v>
      </c>
    </row>
    <row r="1030" spans="1:11">
      <c r="A1030" s="2">
        <v>43937</v>
      </c>
      <c r="C1030" s="45" t="s">
        <v>94</v>
      </c>
      <c r="E1030" s="45">
        <v>4998</v>
      </c>
      <c r="F1030" s="45">
        <v>240</v>
      </c>
      <c r="G1030" s="45">
        <v>53</v>
      </c>
      <c r="J1030" s="45">
        <v>300</v>
      </c>
      <c r="K1030" s="45" t="s">
        <v>96</v>
      </c>
    </row>
    <row r="1031" spans="1:11">
      <c r="A1031" s="2">
        <v>43937</v>
      </c>
      <c r="C1031" s="45" t="s">
        <v>97</v>
      </c>
      <c r="E1031" s="45">
        <v>1740</v>
      </c>
      <c r="F1031" s="45">
        <v>92</v>
      </c>
      <c r="G1031" s="45">
        <v>17</v>
      </c>
      <c r="H1031" s="45">
        <v>12</v>
      </c>
      <c r="J1031" s="45">
        <v>95</v>
      </c>
      <c r="K1031" s="45" t="s">
        <v>620</v>
      </c>
    </row>
    <row r="1032" spans="1:11">
      <c r="A1032" s="2">
        <v>43937</v>
      </c>
      <c r="B1032" s="45">
        <v>0</v>
      </c>
      <c r="C1032" s="45" t="s">
        <v>81</v>
      </c>
      <c r="E1032" s="45">
        <v>343</v>
      </c>
      <c r="F1032" s="45">
        <v>22</v>
      </c>
      <c r="J1032" s="45">
        <v>8</v>
      </c>
      <c r="K1032" s="45" t="s">
        <v>333</v>
      </c>
    </row>
    <row r="1033" spans="1:11">
      <c r="A1033" s="2">
        <v>43937</v>
      </c>
      <c r="B1033" s="45">
        <v>0.33333333333333331</v>
      </c>
      <c r="C1033" s="45" t="s">
        <v>41</v>
      </c>
      <c r="E1033" s="45">
        <v>79</v>
      </c>
      <c r="J1033" s="45">
        <v>3</v>
      </c>
      <c r="K1033" s="45" t="s">
        <v>43</v>
      </c>
    </row>
    <row r="1034" spans="1:11">
      <c r="A1034" s="2">
        <v>43937</v>
      </c>
      <c r="B1034" s="45">
        <v>0.33333333333333331</v>
      </c>
      <c r="C1034" s="45" t="s">
        <v>44</v>
      </c>
      <c r="E1034" s="45">
        <v>1515</v>
      </c>
      <c r="F1034" s="45">
        <v>70</v>
      </c>
      <c r="G1034" s="45">
        <v>26</v>
      </c>
      <c r="H1034" s="45">
        <v>12</v>
      </c>
      <c r="J1034" s="45">
        <v>55</v>
      </c>
      <c r="K1034" s="45" t="s">
        <v>46</v>
      </c>
    </row>
    <row r="1035" spans="1:11">
      <c r="A1035" s="2">
        <v>43937</v>
      </c>
      <c r="B1035" s="45">
        <v>0.33333333333333331</v>
      </c>
      <c r="C1035" s="45" t="s">
        <v>89</v>
      </c>
      <c r="E1035" s="45">
        <v>2953</v>
      </c>
      <c r="F1035" s="45">
        <v>249</v>
      </c>
      <c r="G1035" s="45">
        <v>59</v>
      </c>
      <c r="H1035" s="45">
        <v>49</v>
      </c>
      <c r="I1035" s="45">
        <v>568</v>
      </c>
      <c r="J1035" s="45">
        <v>269</v>
      </c>
      <c r="K1035" s="45" t="s">
        <v>507</v>
      </c>
    </row>
    <row r="1036" spans="1:11">
      <c r="A1036" s="2">
        <v>43937</v>
      </c>
      <c r="B1036" s="45">
        <v>0.33333333333333331</v>
      </c>
      <c r="C1036" s="45" t="s">
        <v>99</v>
      </c>
      <c r="E1036" s="45">
        <v>171</v>
      </c>
      <c r="F1036" s="45">
        <v>9</v>
      </c>
      <c r="G1036" s="45">
        <v>7</v>
      </c>
      <c r="I1036" s="45">
        <v>94</v>
      </c>
      <c r="J1036" s="45">
        <v>6</v>
      </c>
      <c r="K1036" s="45" t="s">
        <v>328</v>
      </c>
    </row>
    <row r="1037" spans="1:11">
      <c r="A1037" s="2">
        <v>43937</v>
      </c>
      <c r="B1037" s="45">
        <v>0.375</v>
      </c>
      <c r="C1037" s="45" t="s">
        <v>50</v>
      </c>
      <c r="E1037" s="45">
        <v>912</v>
      </c>
      <c r="F1037" s="45">
        <v>76</v>
      </c>
      <c r="G1037" s="45">
        <v>6</v>
      </c>
      <c r="I1037" s="45">
        <v>711</v>
      </c>
      <c r="J1037" s="45">
        <v>37</v>
      </c>
      <c r="K1037" s="45" t="s">
        <v>298</v>
      </c>
    </row>
    <row r="1038" spans="1:11">
      <c r="A1038" s="2">
        <v>43937</v>
      </c>
      <c r="B1038" s="45">
        <v>0.39583333333333331</v>
      </c>
      <c r="C1038" s="45" t="s">
        <v>79</v>
      </c>
      <c r="E1038" s="45">
        <v>60</v>
      </c>
      <c r="F1038" s="45">
        <v>10</v>
      </c>
      <c r="G1038" s="45">
        <v>2</v>
      </c>
      <c r="J1038" s="45">
        <v>1</v>
      </c>
      <c r="K1038" s="45" t="s">
        <v>703</v>
      </c>
    </row>
    <row r="1039" spans="1:11">
      <c r="A1039" s="2">
        <v>43937</v>
      </c>
      <c r="B1039" s="45">
        <v>0.45833333333333331</v>
      </c>
      <c r="C1039" s="45" t="s">
        <v>38</v>
      </c>
      <c r="E1039" s="45">
        <v>24</v>
      </c>
      <c r="J1039" s="45">
        <v>0</v>
      </c>
      <c r="K1039" s="45" t="s">
        <v>40</v>
      </c>
    </row>
    <row r="1040" spans="1:11">
      <c r="A1040" s="2">
        <v>43937</v>
      </c>
      <c r="B1040" s="45">
        <v>0.52083333333333337</v>
      </c>
      <c r="C1040" s="45" t="s">
        <v>66</v>
      </c>
      <c r="E1040" s="45">
        <v>599</v>
      </c>
      <c r="F1040" s="45">
        <v>40</v>
      </c>
      <c r="G1040" s="45">
        <v>3</v>
      </c>
      <c r="J1040" s="45">
        <v>13</v>
      </c>
      <c r="K1040" s="45" t="s">
        <v>68</v>
      </c>
    </row>
    <row r="1041" spans="1:11">
      <c r="A1041" s="2">
        <v>43937</v>
      </c>
      <c r="B1041" s="45">
        <v>0.60416666666666663</v>
      </c>
      <c r="C1041" s="45" t="s">
        <v>101</v>
      </c>
      <c r="E1041" s="45">
        <v>3148</v>
      </c>
      <c r="F1041" s="45">
        <v>135</v>
      </c>
      <c r="H1041" s="45">
        <v>51</v>
      </c>
      <c r="J1041" s="45">
        <v>95</v>
      </c>
      <c r="K1041" s="45" t="s">
        <v>103</v>
      </c>
    </row>
    <row r="1042" spans="1:11">
      <c r="A1042" s="2">
        <v>43937</v>
      </c>
      <c r="B1042" s="45">
        <v>0.61458333333333337</v>
      </c>
      <c r="C1042" s="45" t="s">
        <v>34</v>
      </c>
      <c r="E1042" s="45">
        <v>943</v>
      </c>
      <c r="F1042" s="45">
        <v>61</v>
      </c>
      <c r="G1042" s="45">
        <v>20</v>
      </c>
      <c r="H1042" s="45">
        <v>20</v>
      </c>
      <c r="I1042" s="45">
        <v>500</v>
      </c>
      <c r="J1042" s="45">
        <v>23</v>
      </c>
      <c r="K1042" s="45" t="s">
        <v>311</v>
      </c>
    </row>
    <row r="1043" spans="1:11">
      <c r="A1043" s="2">
        <v>43937</v>
      </c>
      <c r="B1043" s="45">
        <v>0.625</v>
      </c>
      <c r="C1043" s="45" t="s">
        <v>91</v>
      </c>
      <c r="E1043" s="45">
        <v>78</v>
      </c>
      <c r="F1043" s="45">
        <v>2</v>
      </c>
      <c r="I1043" s="45">
        <v>62</v>
      </c>
      <c r="J1043" s="45">
        <v>5</v>
      </c>
      <c r="K1043" s="45" t="s">
        <v>93</v>
      </c>
    </row>
    <row r="1044" spans="1:11">
      <c r="A1044" s="2">
        <v>43937</v>
      </c>
      <c r="B1044" s="45">
        <v>0.64583333333333337</v>
      </c>
      <c r="C1044" s="45" t="s">
        <v>73</v>
      </c>
      <c r="E1044" s="45">
        <v>65</v>
      </c>
      <c r="F1044" s="45">
        <v>0</v>
      </c>
      <c r="J1044" s="45">
        <v>0</v>
      </c>
      <c r="K1044" s="45" t="s">
        <v>75</v>
      </c>
    </row>
    <row r="1045" spans="1:11">
      <c r="A1045" s="2">
        <v>43938</v>
      </c>
      <c r="C1045" s="45" t="s">
        <v>47</v>
      </c>
      <c r="E1045" s="45">
        <v>794</v>
      </c>
      <c r="F1045" s="45">
        <v>40</v>
      </c>
      <c r="G1045" s="45">
        <v>8</v>
      </c>
      <c r="H1045" s="45">
        <v>5</v>
      </c>
      <c r="I1045" s="45">
        <v>632</v>
      </c>
      <c r="J1045" s="45">
        <v>25</v>
      </c>
      <c r="K1045" s="45" t="s">
        <v>49</v>
      </c>
    </row>
    <row r="1046" spans="1:11">
      <c r="A1046" s="2">
        <v>43938</v>
      </c>
      <c r="C1046" s="45" t="s">
        <v>53</v>
      </c>
      <c r="E1046" s="45">
        <v>81</v>
      </c>
      <c r="J1046" s="45">
        <v>1</v>
      </c>
      <c r="K1046" s="45" t="s">
        <v>315</v>
      </c>
    </row>
    <row r="1047" spans="1:11">
      <c r="A1047" s="2">
        <v>43938</v>
      </c>
      <c r="C1047" s="45" t="s">
        <v>56</v>
      </c>
      <c r="E1047" s="45">
        <v>930</v>
      </c>
      <c r="F1047" s="45">
        <v>66</v>
      </c>
      <c r="G1047" s="45">
        <v>13</v>
      </c>
      <c r="I1047" s="45">
        <v>106</v>
      </c>
      <c r="J1047" s="45">
        <v>67</v>
      </c>
      <c r="K1047" s="45" t="s">
        <v>736</v>
      </c>
    </row>
    <row r="1048" spans="1:11">
      <c r="A1048" s="2">
        <v>43938</v>
      </c>
      <c r="C1048" s="45" t="s">
        <v>58</v>
      </c>
      <c r="D1048" s="45">
        <v>21162</v>
      </c>
      <c r="E1048" s="45">
        <v>4665</v>
      </c>
      <c r="F1048" s="45">
        <v>329</v>
      </c>
      <c r="G1048" s="45">
        <v>39</v>
      </c>
      <c r="H1048" s="45">
        <v>33</v>
      </c>
      <c r="I1048" s="45">
        <v>532</v>
      </c>
      <c r="J1048" s="45">
        <v>211</v>
      </c>
      <c r="K1048" s="45" t="s">
        <v>369</v>
      </c>
    </row>
    <row r="1049" spans="1:11">
      <c r="A1049" s="2">
        <v>43938</v>
      </c>
      <c r="C1049" s="45" t="s">
        <v>62</v>
      </c>
      <c r="E1049" s="45">
        <v>770</v>
      </c>
      <c r="F1049" s="45">
        <v>33</v>
      </c>
      <c r="J1049" s="45">
        <v>40</v>
      </c>
      <c r="K1049" s="45" t="s">
        <v>511</v>
      </c>
    </row>
    <row r="1050" spans="1:11">
      <c r="A1050" s="2">
        <v>43938</v>
      </c>
      <c r="C1050" s="45" t="s">
        <v>64</v>
      </c>
      <c r="E1050" s="45">
        <v>191</v>
      </c>
      <c r="F1050" s="45">
        <v>18</v>
      </c>
      <c r="G1050" s="45">
        <v>5</v>
      </c>
      <c r="J1050" s="45">
        <v>3</v>
      </c>
      <c r="K1050" s="45" t="s">
        <v>688</v>
      </c>
    </row>
    <row r="1051" spans="1:11">
      <c r="A1051" s="2">
        <v>43938</v>
      </c>
      <c r="C1051" s="45" t="s">
        <v>69</v>
      </c>
      <c r="E1051" s="45">
        <v>630</v>
      </c>
      <c r="F1051" s="45">
        <v>44</v>
      </c>
      <c r="G1051" s="45">
        <v>10</v>
      </c>
      <c r="H1051" s="45">
        <v>8</v>
      </c>
      <c r="J1051" s="45">
        <v>60</v>
      </c>
      <c r="K1051" s="45" t="s">
        <v>325</v>
      </c>
    </row>
    <row r="1052" spans="1:11">
      <c r="A1052" s="2">
        <v>43938</v>
      </c>
      <c r="C1052" s="45" t="s">
        <v>71</v>
      </c>
      <c r="E1052" s="45">
        <v>107</v>
      </c>
      <c r="F1052" s="45">
        <v>4</v>
      </c>
      <c r="G1052" s="45">
        <v>2</v>
      </c>
      <c r="J1052" s="45">
        <v>3</v>
      </c>
      <c r="K1052" s="45" t="s">
        <v>310</v>
      </c>
    </row>
    <row r="1053" spans="1:11">
      <c r="A1053" s="2">
        <v>43938</v>
      </c>
      <c r="C1053" s="45" t="s">
        <v>76</v>
      </c>
      <c r="E1053" s="45">
        <v>693</v>
      </c>
      <c r="F1053" s="45">
        <v>41</v>
      </c>
      <c r="G1053" s="45">
        <v>9</v>
      </c>
      <c r="I1053" s="45">
        <v>144</v>
      </c>
      <c r="J1053" s="45">
        <v>27</v>
      </c>
      <c r="K1053" s="45" t="s">
        <v>78</v>
      </c>
    </row>
    <row r="1054" spans="1:11">
      <c r="A1054" s="2">
        <v>43938</v>
      </c>
      <c r="C1054" s="45" t="s">
        <v>84</v>
      </c>
      <c r="E1054" s="45">
        <v>266</v>
      </c>
      <c r="I1054" s="45">
        <v>161</v>
      </c>
      <c r="J1054" s="45">
        <v>14</v>
      </c>
      <c r="K1054" s="45" t="s">
        <v>704</v>
      </c>
    </row>
    <row r="1055" spans="1:11">
      <c r="A1055" s="2">
        <v>43938</v>
      </c>
      <c r="C1055" s="45" t="s">
        <v>86</v>
      </c>
      <c r="E1055" s="45">
        <v>322</v>
      </c>
      <c r="F1055" s="45">
        <v>25</v>
      </c>
      <c r="G1055" s="45">
        <v>13</v>
      </c>
      <c r="J1055" s="45">
        <v>12</v>
      </c>
      <c r="K1055" s="45" t="s">
        <v>88</v>
      </c>
    </row>
    <row r="1056" spans="1:11">
      <c r="A1056" s="2">
        <v>43938</v>
      </c>
      <c r="C1056" s="45" t="s">
        <v>94</v>
      </c>
      <c r="E1056" s="45">
        <v>5030</v>
      </c>
      <c r="F1056" s="45">
        <v>224</v>
      </c>
      <c r="G1056" s="45">
        <v>52</v>
      </c>
      <c r="J1056" s="45">
        <v>307</v>
      </c>
      <c r="K1056" s="45" t="s">
        <v>96</v>
      </c>
    </row>
    <row r="1057" spans="1:11">
      <c r="A1057" s="2">
        <v>43938</v>
      </c>
      <c r="C1057" s="45" t="s">
        <v>97</v>
      </c>
      <c r="E1057" s="45">
        <v>1760</v>
      </c>
      <c r="F1057" s="45">
        <v>85</v>
      </c>
      <c r="G1057" s="45">
        <v>16</v>
      </c>
      <c r="H1057" s="45">
        <v>10</v>
      </c>
      <c r="J1057" s="45">
        <v>99</v>
      </c>
      <c r="K1057" s="45" t="s">
        <v>620</v>
      </c>
    </row>
    <row r="1058" spans="1:11">
      <c r="A1058" s="2">
        <v>43938</v>
      </c>
      <c r="B1058" s="45">
        <v>0</v>
      </c>
      <c r="C1058" s="45" t="s">
        <v>81</v>
      </c>
      <c r="E1058" s="45">
        <v>350</v>
      </c>
      <c r="F1058" s="45">
        <v>20</v>
      </c>
      <c r="J1058" s="45">
        <v>9</v>
      </c>
      <c r="K1058" s="45" t="s">
        <v>333</v>
      </c>
    </row>
    <row r="1059" spans="1:11">
      <c r="A1059" s="2">
        <v>43938</v>
      </c>
      <c r="B1059" s="45">
        <v>0.33333333333333331</v>
      </c>
      <c r="C1059" s="45" t="s">
        <v>44</v>
      </c>
      <c r="E1059" s="45">
        <v>1553</v>
      </c>
      <c r="F1059" s="45">
        <v>69</v>
      </c>
      <c r="G1059" s="45">
        <v>25</v>
      </c>
      <c r="H1059" s="45">
        <v>13</v>
      </c>
      <c r="J1059" s="45">
        <v>67</v>
      </c>
      <c r="K1059" s="45" t="s">
        <v>46</v>
      </c>
    </row>
    <row r="1060" spans="1:11">
      <c r="A1060" s="2">
        <v>43938</v>
      </c>
      <c r="B1060" s="45">
        <v>0.33333333333333331</v>
      </c>
      <c r="C1060" s="45" t="s">
        <v>89</v>
      </c>
      <c r="E1060" s="45">
        <v>2977</v>
      </c>
      <c r="F1060" s="45">
        <v>254</v>
      </c>
      <c r="G1060" s="45">
        <v>57</v>
      </c>
      <c r="H1060" s="45">
        <v>44</v>
      </c>
      <c r="I1060" s="45">
        <v>580</v>
      </c>
      <c r="J1060" s="45">
        <v>270</v>
      </c>
      <c r="K1060" s="45" t="s">
        <v>507</v>
      </c>
    </row>
    <row r="1061" spans="1:11">
      <c r="A1061" s="2">
        <v>43938</v>
      </c>
      <c r="B1061" s="45">
        <v>0.33333333333333331</v>
      </c>
      <c r="C1061" s="45" t="s">
        <v>99</v>
      </c>
      <c r="E1061" s="45">
        <v>172</v>
      </c>
      <c r="F1061" s="45">
        <v>8</v>
      </c>
      <c r="G1061" s="45">
        <v>6</v>
      </c>
      <c r="I1061" s="45">
        <v>96</v>
      </c>
      <c r="J1061" s="45">
        <v>6</v>
      </c>
      <c r="K1061" s="45" t="s">
        <v>328</v>
      </c>
    </row>
    <row r="1062" spans="1:11">
      <c r="A1062" s="2">
        <v>43938</v>
      </c>
      <c r="B1062" s="45">
        <v>0.375</v>
      </c>
      <c r="C1062" s="45" t="s">
        <v>50</v>
      </c>
      <c r="E1062" s="45">
        <v>918</v>
      </c>
      <c r="F1062" s="45">
        <v>68</v>
      </c>
      <c r="G1062" s="45">
        <v>7</v>
      </c>
      <c r="I1062" s="45">
        <v>720</v>
      </c>
      <c r="J1062" s="45">
        <v>37</v>
      </c>
      <c r="K1062" s="45" t="s">
        <v>314</v>
      </c>
    </row>
    <row r="1063" spans="1:11">
      <c r="A1063" s="2">
        <v>43938</v>
      </c>
      <c r="B1063" s="45">
        <v>0.39583333333333331</v>
      </c>
      <c r="C1063" s="45" t="s">
        <v>79</v>
      </c>
      <c r="E1063" s="45">
        <v>60</v>
      </c>
      <c r="F1063" s="45">
        <v>8</v>
      </c>
      <c r="G1063" s="45">
        <v>2</v>
      </c>
      <c r="J1063" s="45">
        <v>1</v>
      </c>
      <c r="K1063" s="45" t="s">
        <v>703</v>
      </c>
    </row>
    <row r="1064" spans="1:11">
      <c r="A1064" s="2">
        <v>43938</v>
      </c>
      <c r="B1064" s="45">
        <v>0.45833333333333331</v>
      </c>
      <c r="C1064" s="45" t="s">
        <v>38</v>
      </c>
      <c r="E1064" s="45">
        <v>24</v>
      </c>
      <c r="J1064" s="45">
        <v>0</v>
      </c>
      <c r="K1064" s="45" t="s">
        <v>40</v>
      </c>
    </row>
    <row r="1065" spans="1:11">
      <c r="A1065" s="2">
        <v>43938</v>
      </c>
      <c r="B1065" s="45">
        <v>0.45833333333333331</v>
      </c>
      <c r="C1065" s="45" t="s">
        <v>66</v>
      </c>
      <c r="E1065" s="45">
        <v>607</v>
      </c>
      <c r="F1065" s="45">
        <v>40</v>
      </c>
      <c r="G1065" s="45">
        <v>3</v>
      </c>
      <c r="J1065" s="45">
        <v>14</v>
      </c>
      <c r="K1065" s="45" t="s">
        <v>68</v>
      </c>
    </row>
    <row r="1066" spans="1:11">
      <c r="A1066" s="2">
        <v>43938</v>
      </c>
      <c r="B1066" s="45">
        <v>0.5</v>
      </c>
      <c r="C1066" s="45" t="s">
        <v>41</v>
      </c>
      <c r="E1066" s="45">
        <v>82</v>
      </c>
      <c r="J1066" s="45">
        <v>3</v>
      </c>
      <c r="K1066" s="45" t="s">
        <v>43</v>
      </c>
    </row>
    <row r="1067" spans="1:11">
      <c r="A1067" s="2">
        <v>43938</v>
      </c>
      <c r="B1067" s="45">
        <v>0.54166666666666663</v>
      </c>
      <c r="C1067" s="45" t="s">
        <v>60</v>
      </c>
      <c r="E1067" s="45">
        <v>108</v>
      </c>
      <c r="F1067" s="45">
        <v>4</v>
      </c>
      <c r="J1067" s="45">
        <v>3</v>
      </c>
      <c r="K1067" s="45" t="s">
        <v>609</v>
      </c>
    </row>
    <row r="1068" spans="1:11">
      <c r="A1068" s="2">
        <v>43938</v>
      </c>
      <c r="B1068" s="45">
        <v>0.58333333333333337</v>
      </c>
      <c r="C1068" s="45" t="s">
        <v>91</v>
      </c>
      <c r="E1068" s="45">
        <v>78</v>
      </c>
      <c r="F1068" s="45">
        <v>2</v>
      </c>
      <c r="I1068" s="45">
        <v>66</v>
      </c>
      <c r="J1068" s="45">
        <v>5</v>
      </c>
      <c r="K1068" s="45" t="s">
        <v>93</v>
      </c>
    </row>
    <row r="1069" spans="1:11">
      <c r="A1069" s="2">
        <v>43938</v>
      </c>
      <c r="B1069" s="45">
        <v>0.60416666666666663</v>
      </c>
      <c r="C1069" s="45" t="s">
        <v>101</v>
      </c>
      <c r="E1069" s="45">
        <v>3171</v>
      </c>
      <c r="F1069" s="45">
        <v>123</v>
      </c>
      <c r="H1069" s="45">
        <v>45</v>
      </c>
      <c r="J1069" s="45">
        <v>99</v>
      </c>
      <c r="K1069" s="45" t="s">
        <v>103</v>
      </c>
    </row>
    <row r="1070" spans="1:11">
      <c r="A1070" s="2">
        <v>43938</v>
      </c>
      <c r="B1070" s="45">
        <v>0.61458333333333337</v>
      </c>
      <c r="C1070" s="45" t="s">
        <v>34</v>
      </c>
      <c r="E1070" s="45">
        <v>960</v>
      </c>
      <c r="F1070" s="45">
        <v>58</v>
      </c>
      <c r="G1070" s="45">
        <v>20</v>
      </c>
      <c r="H1070" s="45">
        <v>20</v>
      </c>
      <c r="I1070" s="45">
        <v>540</v>
      </c>
      <c r="J1070" s="45">
        <v>24</v>
      </c>
      <c r="K1070" s="45" t="s">
        <v>313</v>
      </c>
    </row>
    <row r="1071" spans="1:11">
      <c r="A1071" s="2">
        <v>43938</v>
      </c>
      <c r="B1071" s="45">
        <v>0.66666666666666663</v>
      </c>
      <c r="C1071" s="45" t="s">
        <v>73</v>
      </c>
      <c r="E1071" s="45">
        <v>66</v>
      </c>
      <c r="F1071" s="45">
        <v>0</v>
      </c>
      <c r="J1071" s="45">
        <v>0</v>
      </c>
      <c r="K1071" s="45" t="s">
        <v>75</v>
      </c>
    </row>
    <row r="1072" spans="1:11">
      <c r="A1072" s="2">
        <v>43939</v>
      </c>
      <c r="C1072" s="45" t="s">
        <v>47</v>
      </c>
      <c r="E1072" s="45">
        <v>798</v>
      </c>
      <c r="F1072" s="45">
        <v>44</v>
      </c>
      <c r="G1072" s="45">
        <v>7</v>
      </c>
      <c r="H1072" s="45">
        <v>5</v>
      </c>
      <c r="I1072" s="45">
        <v>636</v>
      </c>
      <c r="J1072" s="45">
        <v>25</v>
      </c>
      <c r="K1072" s="45" t="s">
        <v>49</v>
      </c>
    </row>
    <row r="1073" spans="1:11">
      <c r="A1073" s="2">
        <v>43939</v>
      </c>
      <c r="C1073" s="45" t="s">
        <v>53</v>
      </c>
      <c r="E1073" s="45">
        <v>81</v>
      </c>
      <c r="J1073" s="45">
        <v>1</v>
      </c>
      <c r="K1073" s="45" t="s">
        <v>317</v>
      </c>
    </row>
    <row r="1074" spans="1:11">
      <c r="A1074" s="2">
        <v>43939</v>
      </c>
      <c r="C1074" s="45" t="s">
        <v>56</v>
      </c>
      <c r="E1074" s="45">
        <v>956</v>
      </c>
      <c r="F1074" s="45">
        <v>64</v>
      </c>
      <c r="G1074" s="45">
        <v>11</v>
      </c>
      <c r="I1074" s="45">
        <v>109</v>
      </c>
      <c r="J1074" s="45">
        <v>69</v>
      </c>
      <c r="K1074" s="45" t="s">
        <v>736</v>
      </c>
    </row>
    <row r="1075" spans="1:11">
      <c r="A1075" s="2">
        <v>43939</v>
      </c>
      <c r="C1075" s="45" t="s">
        <v>58</v>
      </c>
      <c r="D1075" s="45">
        <v>21576</v>
      </c>
      <c r="E1075" s="45">
        <v>4716</v>
      </c>
      <c r="F1075" s="45">
        <v>315</v>
      </c>
      <c r="G1075" s="45">
        <v>34</v>
      </c>
      <c r="H1075" s="45">
        <v>33</v>
      </c>
      <c r="I1075" s="45">
        <v>553</v>
      </c>
      <c r="J1075" s="45">
        <v>215</v>
      </c>
      <c r="K1075" s="45" t="s">
        <v>369</v>
      </c>
    </row>
    <row r="1076" spans="1:11">
      <c r="A1076" s="2">
        <v>43939</v>
      </c>
      <c r="C1076" s="45" t="s">
        <v>62</v>
      </c>
      <c r="E1076" s="45">
        <v>773</v>
      </c>
      <c r="F1076" s="45">
        <v>29</v>
      </c>
      <c r="J1076" s="45">
        <v>40</v>
      </c>
      <c r="K1076" s="45" t="s">
        <v>511</v>
      </c>
    </row>
    <row r="1077" spans="1:11">
      <c r="A1077" s="2">
        <v>43939</v>
      </c>
      <c r="C1077" s="45" t="s">
        <v>64</v>
      </c>
      <c r="E1077" s="45">
        <v>192</v>
      </c>
      <c r="F1077" s="45">
        <v>17</v>
      </c>
      <c r="G1077" s="45">
        <v>5</v>
      </c>
      <c r="J1077" s="45">
        <v>3</v>
      </c>
      <c r="K1077" s="45" t="s">
        <v>688</v>
      </c>
    </row>
    <row r="1078" spans="1:11">
      <c r="A1078" s="2">
        <v>43939</v>
      </c>
      <c r="C1078" s="45" t="s">
        <v>69</v>
      </c>
      <c r="E1078" s="45">
        <v>633</v>
      </c>
      <c r="F1078" s="45">
        <v>44</v>
      </c>
      <c r="G1078" s="45">
        <v>10</v>
      </c>
      <c r="H1078" s="45">
        <v>8</v>
      </c>
      <c r="J1078" s="45">
        <v>60</v>
      </c>
      <c r="K1078" s="45" t="s">
        <v>325</v>
      </c>
    </row>
    <row r="1079" spans="1:11">
      <c r="A1079" s="2">
        <v>43939</v>
      </c>
      <c r="C1079" s="45" t="s">
        <v>71</v>
      </c>
      <c r="E1079" s="45">
        <v>108</v>
      </c>
      <c r="F1079" s="45">
        <v>4</v>
      </c>
      <c r="G1079" s="45">
        <v>2</v>
      </c>
      <c r="J1079" s="45">
        <v>3</v>
      </c>
      <c r="K1079" s="45" t="s">
        <v>310</v>
      </c>
    </row>
    <row r="1080" spans="1:11">
      <c r="A1080" s="2">
        <v>43939</v>
      </c>
      <c r="C1080" s="45" t="s">
        <v>76</v>
      </c>
      <c r="E1080" s="45">
        <v>699</v>
      </c>
      <c r="F1080" s="45">
        <v>44</v>
      </c>
      <c r="G1080" s="45">
        <v>7</v>
      </c>
      <c r="I1080" s="45">
        <v>150</v>
      </c>
      <c r="J1080" s="45">
        <v>27</v>
      </c>
      <c r="K1080" s="45" t="s">
        <v>78</v>
      </c>
    </row>
    <row r="1081" spans="1:11">
      <c r="A1081" s="2">
        <v>43939</v>
      </c>
      <c r="C1081" s="45" t="s">
        <v>84</v>
      </c>
      <c r="E1081" s="45">
        <v>266</v>
      </c>
      <c r="I1081" s="45">
        <v>176</v>
      </c>
      <c r="J1081" s="45">
        <v>14</v>
      </c>
      <c r="K1081" s="45" t="s">
        <v>704</v>
      </c>
    </row>
    <row r="1082" spans="1:11">
      <c r="A1082" s="2">
        <v>43939</v>
      </c>
      <c r="C1082" s="45" t="s">
        <v>86</v>
      </c>
      <c r="E1082" s="45">
        <v>333</v>
      </c>
      <c r="F1082" s="45">
        <v>23</v>
      </c>
      <c r="G1082" s="45">
        <v>12</v>
      </c>
      <c r="J1082" s="45">
        <v>13</v>
      </c>
      <c r="K1082" s="45" t="s">
        <v>88</v>
      </c>
    </row>
    <row r="1083" spans="1:11">
      <c r="A1083" s="2">
        <v>43939</v>
      </c>
      <c r="C1083" s="45" t="s">
        <v>94</v>
      </c>
      <c r="E1083" s="45">
        <v>5052</v>
      </c>
      <c r="F1083" s="45">
        <v>221</v>
      </c>
      <c r="G1083" s="45">
        <v>49</v>
      </c>
      <c r="J1083" s="45">
        <v>315</v>
      </c>
      <c r="K1083" s="45" t="s">
        <v>96</v>
      </c>
    </row>
    <row r="1084" spans="1:11">
      <c r="A1084" s="2">
        <v>43939</v>
      </c>
      <c r="C1084" s="45" t="s">
        <v>97</v>
      </c>
      <c r="E1084" s="45">
        <v>1769</v>
      </c>
      <c r="F1084" s="45">
        <v>84</v>
      </c>
      <c r="G1084" s="45">
        <v>18</v>
      </c>
      <c r="H1084" s="45">
        <v>10</v>
      </c>
      <c r="J1084" s="45">
        <v>104</v>
      </c>
      <c r="K1084" s="45" t="s">
        <v>620</v>
      </c>
    </row>
    <row r="1085" spans="1:11">
      <c r="A1085" s="2">
        <v>43939</v>
      </c>
      <c r="B1085" s="45">
        <v>0</v>
      </c>
      <c r="C1085" s="45" t="s">
        <v>81</v>
      </c>
      <c r="E1085" s="45">
        <v>353</v>
      </c>
      <c r="F1085" s="45">
        <v>19</v>
      </c>
      <c r="J1085" s="45">
        <v>10</v>
      </c>
      <c r="K1085" s="45" t="s">
        <v>333</v>
      </c>
    </row>
    <row r="1086" spans="1:11">
      <c r="A1086" s="2">
        <v>43939</v>
      </c>
      <c r="B1086" s="45">
        <v>0.33333333333333331</v>
      </c>
      <c r="C1086" s="45" t="s">
        <v>44</v>
      </c>
      <c r="E1086" s="45">
        <v>1586</v>
      </c>
      <c r="F1086" s="45">
        <v>71</v>
      </c>
      <c r="G1086" s="45">
        <v>22</v>
      </c>
      <c r="H1086" s="45">
        <v>12</v>
      </c>
      <c r="J1086" s="45">
        <v>69</v>
      </c>
      <c r="K1086" s="45" t="s">
        <v>46</v>
      </c>
    </row>
    <row r="1087" spans="1:11">
      <c r="A1087" s="2">
        <v>43939</v>
      </c>
      <c r="B1087" s="45">
        <v>0.33333333333333331</v>
      </c>
      <c r="C1087" s="45" t="s">
        <v>89</v>
      </c>
      <c r="E1087" s="45">
        <v>2994</v>
      </c>
      <c r="F1087" s="45">
        <v>244</v>
      </c>
      <c r="G1087" s="45">
        <v>56</v>
      </c>
      <c r="H1087" s="45">
        <v>42</v>
      </c>
      <c r="I1087" s="45">
        <v>606</v>
      </c>
      <c r="J1087" s="45">
        <v>277</v>
      </c>
      <c r="K1087" s="45" t="s">
        <v>507</v>
      </c>
    </row>
    <row r="1088" spans="1:11">
      <c r="A1088" s="2">
        <v>43939</v>
      </c>
      <c r="B1088" s="45">
        <v>0.33333333333333331</v>
      </c>
      <c r="C1088" s="45" t="s">
        <v>99</v>
      </c>
      <c r="E1088" s="45">
        <v>174</v>
      </c>
      <c r="F1088" s="45">
        <v>6</v>
      </c>
      <c r="G1088" s="45">
        <v>6</v>
      </c>
      <c r="I1088" s="45">
        <v>99</v>
      </c>
      <c r="J1088" s="45">
        <v>7</v>
      </c>
      <c r="K1088" s="45" t="s">
        <v>328</v>
      </c>
    </row>
    <row r="1089" spans="1:11">
      <c r="A1089" s="2">
        <v>43939</v>
      </c>
      <c r="B1089" s="45">
        <v>0.39583333333333331</v>
      </c>
      <c r="C1089" s="45" t="s">
        <v>79</v>
      </c>
      <c r="E1089" s="45">
        <v>61</v>
      </c>
      <c r="F1089" s="45">
        <v>11</v>
      </c>
      <c r="G1089" s="45">
        <v>4</v>
      </c>
      <c r="J1089" s="45">
        <v>1</v>
      </c>
      <c r="K1089" s="45" t="s">
        <v>703</v>
      </c>
    </row>
    <row r="1090" spans="1:11">
      <c r="A1090" s="2">
        <v>43939</v>
      </c>
      <c r="B1090" s="45">
        <v>0.40625</v>
      </c>
      <c r="C1090" s="45" t="s">
        <v>50</v>
      </c>
      <c r="E1090" s="45">
        <v>924</v>
      </c>
      <c r="I1090" s="45">
        <v>753</v>
      </c>
      <c r="J1090" s="45">
        <v>40</v>
      </c>
      <c r="K1090" s="45" t="s">
        <v>316</v>
      </c>
    </row>
    <row r="1091" spans="1:11">
      <c r="A1091" s="2">
        <v>43939</v>
      </c>
      <c r="B1091" s="45">
        <v>0.52083333333333337</v>
      </c>
      <c r="C1091" s="45" t="s">
        <v>66</v>
      </c>
      <c r="E1091" s="45">
        <v>623</v>
      </c>
      <c r="F1091" s="45">
        <v>26</v>
      </c>
      <c r="G1091" s="45">
        <v>4</v>
      </c>
      <c r="J1091" s="45">
        <v>15</v>
      </c>
      <c r="K1091" s="45" t="s">
        <v>68</v>
      </c>
    </row>
    <row r="1092" spans="1:11">
      <c r="A1092" s="2">
        <v>43939</v>
      </c>
      <c r="B1092" s="45">
        <v>0.54166666666666663</v>
      </c>
      <c r="C1092" s="45" t="s">
        <v>60</v>
      </c>
      <c r="E1092" s="45">
        <v>111</v>
      </c>
      <c r="F1092" s="45">
        <v>4</v>
      </c>
      <c r="J1092" s="45">
        <v>3</v>
      </c>
      <c r="K1092" s="45" t="s">
        <v>609</v>
      </c>
    </row>
    <row r="1093" spans="1:11">
      <c r="A1093" s="2">
        <v>43939</v>
      </c>
      <c r="B1093" s="45">
        <v>0.60416666666666663</v>
      </c>
      <c r="C1093" s="45" t="s">
        <v>101</v>
      </c>
      <c r="E1093" s="45">
        <v>3211</v>
      </c>
      <c r="F1093" s="45">
        <v>114</v>
      </c>
      <c r="H1093" s="45">
        <v>44</v>
      </c>
      <c r="J1093" s="45">
        <v>105</v>
      </c>
      <c r="K1093" s="45" t="s">
        <v>103</v>
      </c>
    </row>
    <row r="1094" spans="1:11">
      <c r="A1094" s="2">
        <v>43939</v>
      </c>
      <c r="B1094" s="45">
        <v>0.61458333333333337</v>
      </c>
      <c r="C1094" s="45" t="s">
        <v>34</v>
      </c>
      <c r="E1094" s="45">
        <v>987</v>
      </c>
      <c r="J1094" s="45">
        <v>25</v>
      </c>
      <c r="K1094" s="45" t="s">
        <v>306</v>
      </c>
    </row>
    <row r="1095" spans="1:11">
      <c r="A1095" s="2">
        <v>43939</v>
      </c>
      <c r="B1095" s="45">
        <v>0.625</v>
      </c>
      <c r="C1095" s="45" t="s">
        <v>91</v>
      </c>
      <c r="E1095" s="45">
        <v>78</v>
      </c>
      <c r="F1095" s="45">
        <v>2</v>
      </c>
      <c r="I1095" s="45">
        <v>69</v>
      </c>
      <c r="J1095" s="45">
        <v>5</v>
      </c>
      <c r="K1095" s="45" t="s">
        <v>93</v>
      </c>
    </row>
    <row r="1096" spans="1:11">
      <c r="A1096" s="2">
        <v>43940</v>
      </c>
      <c r="C1096" s="45" t="s">
        <v>47</v>
      </c>
      <c r="E1096" s="45">
        <v>803</v>
      </c>
      <c r="F1096" s="45">
        <v>40</v>
      </c>
      <c r="G1096" s="45">
        <v>7</v>
      </c>
      <c r="H1096" s="45">
        <v>5</v>
      </c>
      <c r="I1096" s="45">
        <v>653</v>
      </c>
      <c r="J1096" s="45">
        <v>25</v>
      </c>
      <c r="K1096" s="45" t="s">
        <v>49</v>
      </c>
    </row>
    <row r="1097" spans="1:11">
      <c r="A1097" s="2">
        <v>43940</v>
      </c>
      <c r="C1097" s="45" t="s">
        <v>53</v>
      </c>
      <c r="E1097" s="45">
        <v>81</v>
      </c>
      <c r="J1097" s="45">
        <v>1</v>
      </c>
      <c r="K1097" s="45" t="s">
        <v>319</v>
      </c>
    </row>
    <row r="1098" spans="1:11">
      <c r="A1098" s="2">
        <v>43940</v>
      </c>
      <c r="C1098" s="45" t="s">
        <v>56</v>
      </c>
      <c r="E1098" s="45">
        <v>980</v>
      </c>
      <c r="F1098" s="45">
        <v>61</v>
      </c>
      <c r="G1098" s="45">
        <v>12</v>
      </c>
      <c r="I1098" s="45">
        <v>113</v>
      </c>
      <c r="J1098" s="45">
        <v>71</v>
      </c>
      <c r="K1098" s="45" t="s">
        <v>736</v>
      </c>
    </row>
    <row r="1099" spans="1:11">
      <c r="A1099" s="2">
        <v>43940</v>
      </c>
      <c r="C1099" s="45" t="s">
        <v>58</v>
      </c>
      <c r="D1099" s="45">
        <v>21734</v>
      </c>
      <c r="E1099" s="45">
        <v>4727</v>
      </c>
      <c r="F1099" s="45">
        <v>315</v>
      </c>
      <c r="G1099" s="45">
        <v>35</v>
      </c>
      <c r="H1099" s="45">
        <v>33</v>
      </c>
      <c r="I1099" s="45">
        <v>558</v>
      </c>
      <c r="J1099" s="45">
        <v>218</v>
      </c>
      <c r="K1099" s="45" t="s">
        <v>369</v>
      </c>
    </row>
    <row r="1100" spans="1:11">
      <c r="A1100" s="2">
        <v>43940</v>
      </c>
      <c r="C1100" s="45" t="s">
        <v>62</v>
      </c>
      <c r="E1100" s="45">
        <v>778</v>
      </c>
      <c r="F1100" s="45">
        <v>28</v>
      </c>
      <c r="J1100" s="45">
        <v>41</v>
      </c>
      <c r="K1100" s="45" t="s">
        <v>511</v>
      </c>
    </row>
    <row r="1101" spans="1:11">
      <c r="A1101" s="2">
        <v>43940</v>
      </c>
      <c r="C1101" s="45" t="s">
        <v>64</v>
      </c>
      <c r="E1101" s="45">
        <v>192</v>
      </c>
      <c r="F1101" s="45">
        <v>16</v>
      </c>
      <c r="G1101" s="45">
        <v>5</v>
      </c>
      <c r="J1101" s="45">
        <v>5</v>
      </c>
      <c r="K1101" s="45" t="s">
        <v>688</v>
      </c>
    </row>
    <row r="1102" spans="1:11">
      <c r="A1102" s="2">
        <v>43940</v>
      </c>
      <c r="C1102" s="45" t="s">
        <v>69</v>
      </c>
      <c r="E1102" s="45">
        <v>634</v>
      </c>
      <c r="F1102" s="45">
        <v>43</v>
      </c>
      <c r="G1102" s="45">
        <v>9</v>
      </c>
      <c r="H1102" s="45">
        <v>4</v>
      </c>
      <c r="J1102" s="45">
        <v>62</v>
      </c>
      <c r="K1102" s="45" t="s">
        <v>325</v>
      </c>
    </row>
    <row r="1103" spans="1:11">
      <c r="A1103" s="2">
        <v>43940</v>
      </c>
      <c r="C1103" s="45" t="s">
        <v>71</v>
      </c>
      <c r="E1103" s="45">
        <v>108</v>
      </c>
      <c r="F1103" s="45">
        <v>4</v>
      </c>
      <c r="G1103" s="45">
        <v>2</v>
      </c>
      <c r="J1103" s="45">
        <v>3</v>
      </c>
      <c r="K1103" s="45" t="s">
        <v>310</v>
      </c>
    </row>
    <row r="1104" spans="1:11">
      <c r="A1104" s="2">
        <v>43940</v>
      </c>
      <c r="C1104" s="45" t="s">
        <v>76</v>
      </c>
      <c r="E1104" s="45">
        <v>705</v>
      </c>
      <c r="F1104" s="45">
        <v>45</v>
      </c>
      <c r="G1104" s="45">
        <v>7</v>
      </c>
      <c r="I1104" s="45">
        <v>150</v>
      </c>
      <c r="J1104" s="45">
        <v>27</v>
      </c>
      <c r="K1104" s="45" t="s">
        <v>78</v>
      </c>
    </row>
    <row r="1105" spans="1:11">
      <c r="A1105" s="2">
        <v>43940</v>
      </c>
      <c r="C1105" s="45" t="s">
        <v>84</v>
      </c>
      <c r="E1105" s="45">
        <v>268</v>
      </c>
      <c r="I1105" s="45">
        <v>180</v>
      </c>
      <c r="J1105" s="45">
        <v>15</v>
      </c>
      <c r="K1105" s="45" t="s">
        <v>704</v>
      </c>
    </row>
    <row r="1106" spans="1:11">
      <c r="A1106" s="2">
        <v>43940</v>
      </c>
      <c r="C1106" s="45" t="s">
        <v>86</v>
      </c>
      <c r="E1106" s="45">
        <v>334</v>
      </c>
      <c r="F1106" s="45">
        <v>23</v>
      </c>
      <c r="G1106" s="45">
        <v>12</v>
      </c>
      <c r="J1106" s="45">
        <v>13</v>
      </c>
      <c r="K1106" s="45" t="s">
        <v>88</v>
      </c>
    </row>
    <row r="1107" spans="1:11">
      <c r="A1107" s="2">
        <v>43940</v>
      </c>
      <c r="C1107" s="45" t="s">
        <v>94</v>
      </c>
      <c r="E1107" s="45">
        <v>5063</v>
      </c>
      <c r="F1107" s="45">
        <v>222</v>
      </c>
      <c r="G1107" s="45">
        <v>48</v>
      </c>
      <c r="J1107" s="45">
        <v>320</v>
      </c>
      <c r="K1107" s="45" t="s">
        <v>96</v>
      </c>
    </row>
    <row r="1108" spans="1:11">
      <c r="A1108" s="2">
        <v>43940</v>
      </c>
      <c r="C1108" s="45" t="s">
        <v>97</v>
      </c>
      <c r="E1108" s="45">
        <v>1776</v>
      </c>
      <c r="F1108" s="45">
        <v>82</v>
      </c>
      <c r="G1108" s="45">
        <v>16</v>
      </c>
      <c r="H1108" s="45">
        <v>9</v>
      </c>
      <c r="J1108" s="45">
        <v>107</v>
      </c>
      <c r="K1108" s="45" t="s">
        <v>620</v>
      </c>
    </row>
    <row r="1109" spans="1:11">
      <c r="A1109" s="2">
        <v>43940</v>
      </c>
      <c r="B1109" s="45">
        <v>0</v>
      </c>
      <c r="C1109" s="45" t="s">
        <v>81</v>
      </c>
      <c r="E1109" s="45">
        <v>355</v>
      </c>
      <c r="F1109" s="45">
        <v>19</v>
      </c>
      <c r="J1109" s="45">
        <v>11</v>
      </c>
      <c r="K1109" s="45" t="s">
        <v>333</v>
      </c>
    </row>
    <row r="1110" spans="1:11">
      <c r="A1110" s="2">
        <v>43940</v>
      </c>
      <c r="B1110" s="45">
        <v>0.33333333333333331</v>
      </c>
      <c r="C1110" s="45" t="s">
        <v>44</v>
      </c>
      <c r="E1110" s="45">
        <v>1599</v>
      </c>
      <c r="F1110" s="45">
        <v>78</v>
      </c>
      <c r="G1110" s="45">
        <v>20</v>
      </c>
      <c r="H1110" s="45">
        <v>13</v>
      </c>
      <c r="J1110" s="45">
        <v>69</v>
      </c>
      <c r="K1110" s="45" t="s">
        <v>46</v>
      </c>
    </row>
    <row r="1111" spans="1:11">
      <c r="A1111" s="2">
        <v>43940</v>
      </c>
      <c r="B1111" s="45">
        <v>0.33333333333333331</v>
      </c>
      <c r="C1111" s="45" t="s">
        <v>89</v>
      </c>
      <c r="E1111" s="45">
        <v>3032</v>
      </c>
      <c r="F1111" s="45">
        <v>237</v>
      </c>
      <c r="G1111" s="45">
        <v>54</v>
      </c>
      <c r="H1111" s="45">
        <v>42</v>
      </c>
      <c r="I1111" s="45">
        <v>616</v>
      </c>
      <c r="J1111" s="45">
        <v>281</v>
      </c>
      <c r="K1111" s="45" t="s">
        <v>507</v>
      </c>
    </row>
    <row r="1112" spans="1:11">
      <c r="A1112" s="2">
        <v>43940</v>
      </c>
      <c r="B1112" s="45">
        <v>0.33333333333333331</v>
      </c>
      <c r="C1112" s="45" t="s">
        <v>99</v>
      </c>
      <c r="E1112" s="45">
        <v>175</v>
      </c>
      <c r="F1112" s="45">
        <v>11</v>
      </c>
      <c r="G1112" s="45">
        <v>6</v>
      </c>
      <c r="I1112" s="45">
        <v>99</v>
      </c>
      <c r="J1112" s="45">
        <v>7</v>
      </c>
      <c r="K1112" s="45" t="s">
        <v>328</v>
      </c>
    </row>
    <row r="1113" spans="1:11">
      <c r="A1113" s="2">
        <v>43940</v>
      </c>
      <c r="B1113" s="45">
        <v>0.39583333333333331</v>
      </c>
      <c r="C1113" s="45" t="s">
        <v>79</v>
      </c>
      <c r="E1113" s="45">
        <v>62</v>
      </c>
      <c r="F1113" s="45">
        <v>6</v>
      </c>
      <c r="G1113" s="45">
        <v>2</v>
      </c>
      <c r="J1113" s="45">
        <v>1</v>
      </c>
      <c r="K1113" s="45" t="s">
        <v>703</v>
      </c>
    </row>
    <row r="1114" spans="1:11">
      <c r="A1114" s="2">
        <v>43940</v>
      </c>
      <c r="B1114" s="45">
        <v>0.41666666666666669</v>
      </c>
      <c r="C1114" s="45" t="s">
        <v>50</v>
      </c>
      <c r="E1114" s="45">
        <v>927</v>
      </c>
      <c r="I1114" s="45">
        <v>764</v>
      </c>
      <c r="J1114" s="45">
        <v>40</v>
      </c>
      <c r="K1114" s="45" t="s">
        <v>318</v>
      </c>
    </row>
    <row r="1115" spans="1:11">
      <c r="A1115" s="2">
        <v>43940</v>
      </c>
      <c r="B1115" s="45">
        <v>0.45833333333333331</v>
      </c>
      <c r="C1115" s="45" t="s">
        <v>38</v>
      </c>
      <c r="E1115" s="45">
        <v>24</v>
      </c>
      <c r="J1115" s="45">
        <v>0</v>
      </c>
      <c r="K1115" s="45" t="s">
        <v>40</v>
      </c>
    </row>
    <row r="1116" spans="1:11">
      <c r="A1116" s="2">
        <v>43940</v>
      </c>
      <c r="B1116" s="45">
        <v>0.45833333333333331</v>
      </c>
      <c r="C1116" s="45" t="s">
        <v>66</v>
      </c>
      <c r="E1116" s="45">
        <v>626</v>
      </c>
      <c r="F1116" s="45">
        <v>26</v>
      </c>
      <c r="G1116" s="45">
        <v>4</v>
      </c>
      <c r="J1116" s="45">
        <v>15</v>
      </c>
      <c r="K1116" s="45" t="s">
        <v>68</v>
      </c>
    </row>
    <row r="1117" spans="1:11">
      <c r="A1117" s="2">
        <v>43940</v>
      </c>
      <c r="B1117" s="45">
        <v>0.54166666666666663</v>
      </c>
      <c r="C1117" s="45" t="s">
        <v>60</v>
      </c>
      <c r="E1117" s="45">
        <v>111</v>
      </c>
      <c r="F1117" s="45">
        <v>4</v>
      </c>
      <c r="J1117" s="45">
        <v>3</v>
      </c>
      <c r="K1117" s="45" t="s">
        <v>609</v>
      </c>
    </row>
    <row r="1118" spans="1:11">
      <c r="A1118" s="2">
        <v>43940</v>
      </c>
      <c r="B1118" s="45">
        <v>0.54166666666666663</v>
      </c>
      <c r="C1118" s="45" t="s">
        <v>91</v>
      </c>
      <c r="E1118" s="45">
        <v>78</v>
      </c>
      <c r="F1118" s="45">
        <v>2</v>
      </c>
      <c r="I1118" s="45">
        <v>69</v>
      </c>
      <c r="J1118" s="45">
        <v>5</v>
      </c>
      <c r="K1118" s="45" t="s">
        <v>93</v>
      </c>
    </row>
    <row r="1119" spans="1:11">
      <c r="A1119" s="2">
        <v>43940</v>
      </c>
      <c r="B1119" s="45">
        <v>0.60416666666666663</v>
      </c>
      <c r="C1119" s="45" t="s">
        <v>101</v>
      </c>
      <c r="E1119" s="45">
        <v>3238</v>
      </c>
      <c r="F1119" s="45">
        <v>116</v>
      </c>
      <c r="H1119" s="45">
        <v>43</v>
      </c>
      <c r="J1119" s="45">
        <v>105</v>
      </c>
      <c r="K1119" s="45" t="s">
        <v>103</v>
      </c>
    </row>
    <row r="1120" spans="1:11">
      <c r="A1120" s="2">
        <v>43940</v>
      </c>
      <c r="B1120" s="45">
        <v>0.61458333333333337</v>
      </c>
      <c r="C1120" s="45" t="s">
        <v>34</v>
      </c>
      <c r="E1120" s="45">
        <v>1003</v>
      </c>
      <c r="J1120" s="45">
        <v>25</v>
      </c>
      <c r="K1120" s="45" t="s">
        <v>306</v>
      </c>
    </row>
    <row r="1121" spans="1:11">
      <c r="A1121" s="2">
        <v>43941</v>
      </c>
      <c r="C1121" s="45" t="s">
        <v>47</v>
      </c>
      <c r="E1121" s="45">
        <v>806</v>
      </c>
      <c r="F1121" s="45">
        <v>40</v>
      </c>
      <c r="G1121" s="45">
        <v>6</v>
      </c>
      <c r="H1121" s="45">
        <v>3</v>
      </c>
      <c r="I1121" s="45">
        <v>664</v>
      </c>
      <c r="J1121" s="45">
        <v>25</v>
      </c>
      <c r="K1121" s="45" t="s">
        <v>49</v>
      </c>
    </row>
    <row r="1122" spans="1:11">
      <c r="A1122" s="2">
        <v>43941</v>
      </c>
      <c r="C1122" s="45" t="s">
        <v>53</v>
      </c>
      <c r="E1122" s="45">
        <v>81</v>
      </c>
      <c r="J1122" s="45">
        <v>1</v>
      </c>
      <c r="K1122" s="45" t="s">
        <v>308</v>
      </c>
    </row>
    <row r="1123" spans="1:11">
      <c r="A1123" s="2">
        <v>43941</v>
      </c>
      <c r="C1123" s="45" t="s">
        <v>56</v>
      </c>
      <c r="E1123" s="45">
        <v>989</v>
      </c>
      <c r="F1123" s="45">
        <v>62</v>
      </c>
      <c r="G1123" s="45">
        <v>11</v>
      </c>
      <c r="I1123" s="45">
        <v>113</v>
      </c>
      <c r="J1123" s="45">
        <v>72</v>
      </c>
      <c r="K1123" s="45" t="s">
        <v>736</v>
      </c>
    </row>
    <row r="1124" spans="1:11">
      <c r="A1124" s="2">
        <v>43941</v>
      </c>
      <c r="C1124" s="45" t="s">
        <v>58</v>
      </c>
      <c r="D1124" s="45">
        <v>22105</v>
      </c>
      <c r="E1124" s="45">
        <v>4754</v>
      </c>
      <c r="F1124" s="45">
        <v>321</v>
      </c>
      <c r="G1124" s="45">
        <v>34</v>
      </c>
      <c r="H1124" s="45">
        <v>29</v>
      </c>
      <c r="I1124" s="45">
        <v>561</v>
      </c>
      <c r="J1124" s="45">
        <v>220</v>
      </c>
      <c r="K1124" s="45" t="s">
        <v>369</v>
      </c>
    </row>
    <row r="1125" spans="1:11">
      <c r="A1125" s="2">
        <v>43941</v>
      </c>
      <c r="C1125" s="45" t="s">
        <v>62</v>
      </c>
      <c r="E1125" s="45">
        <v>785</v>
      </c>
      <c r="F1125" s="45">
        <v>29</v>
      </c>
      <c r="J1125" s="45">
        <v>42</v>
      </c>
      <c r="K1125" s="45" t="s">
        <v>511</v>
      </c>
    </row>
    <row r="1126" spans="1:11">
      <c r="A1126" s="2">
        <v>43941</v>
      </c>
      <c r="C1126" s="45" t="s">
        <v>64</v>
      </c>
      <c r="E1126" s="45">
        <v>195</v>
      </c>
      <c r="F1126" s="45">
        <v>14</v>
      </c>
      <c r="G1126" s="45">
        <v>4</v>
      </c>
      <c r="J1126" s="45">
        <v>6</v>
      </c>
      <c r="K1126" s="45" t="s">
        <v>688</v>
      </c>
    </row>
    <row r="1127" spans="1:11">
      <c r="A1127" s="2">
        <v>43941</v>
      </c>
      <c r="C1127" s="45" t="s">
        <v>69</v>
      </c>
      <c r="E1127" s="45">
        <v>643</v>
      </c>
      <c r="F1127" s="45">
        <v>44</v>
      </c>
      <c r="G1127" s="45">
        <v>10</v>
      </c>
      <c r="H1127" s="45">
        <v>5</v>
      </c>
      <c r="J1127" s="45">
        <v>65</v>
      </c>
      <c r="K1127" s="45" t="s">
        <v>325</v>
      </c>
    </row>
    <row r="1128" spans="1:11">
      <c r="A1128" s="2">
        <v>43941</v>
      </c>
      <c r="C1128" s="45" t="s">
        <v>71</v>
      </c>
      <c r="E1128" s="45">
        <v>108</v>
      </c>
      <c r="F1128" s="45">
        <v>4</v>
      </c>
      <c r="G1128" s="45">
        <v>2</v>
      </c>
      <c r="J1128" s="45">
        <v>3</v>
      </c>
      <c r="K1128" s="45" t="s">
        <v>310</v>
      </c>
    </row>
    <row r="1129" spans="1:11">
      <c r="A1129" s="2">
        <v>43941</v>
      </c>
      <c r="C1129" s="45" t="s">
        <v>76</v>
      </c>
      <c r="E1129" s="45">
        <v>711</v>
      </c>
      <c r="F1129" s="45">
        <v>42</v>
      </c>
      <c r="G1129" s="45">
        <v>7</v>
      </c>
      <c r="I1129" s="45">
        <v>159</v>
      </c>
      <c r="J1129" s="45">
        <v>27</v>
      </c>
      <c r="K1129" s="45" t="s">
        <v>78</v>
      </c>
    </row>
    <row r="1130" spans="1:11">
      <c r="A1130" s="2">
        <v>43941</v>
      </c>
      <c r="C1130" s="45" t="s">
        <v>84</v>
      </c>
      <c r="E1130" s="45">
        <v>272</v>
      </c>
      <c r="I1130" s="45">
        <v>180</v>
      </c>
      <c r="J1130" s="45">
        <v>15</v>
      </c>
      <c r="K1130" s="45" t="s">
        <v>704</v>
      </c>
    </row>
    <row r="1131" spans="1:11">
      <c r="A1131" s="2">
        <v>43941</v>
      </c>
      <c r="C1131" s="45" t="s">
        <v>86</v>
      </c>
      <c r="E1131" s="45">
        <v>336</v>
      </c>
      <c r="F1131" s="45">
        <v>24</v>
      </c>
      <c r="G1131" s="45">
        <v>12</v>
      </c>
      <c r="J1131" s="45">
        <v>13</v>
      </c>
      <c r="K1131" s="45" t="s">
        <v>88</v>
      </c>
    </row>
    <row r="1132" spans="1:11">
      <c r="A1132" s="2">
        <v>43941</v>
      </c>
      <c r="C1132" s="45" t="s">
        <v>94</v>
      </c>
      <c r="E1132" s="45">
        <v>5095</v>
      </c>
      <c r="F1132" s="45">
        <v>205</v>
      </c>
      <c r="G1132" s="45">
        <v>42</v>
      </c>
      <c r="J1132" s="45">
        <v>331</v>
      </c>
      <c r="K1132" s="45" t="s">
        <v>96</v>
      </c>
    </row>
    <row r="1133" spans="1:11">
      <c r="A1133" s="2">
        <v>43941</v>
      </c>
      <c r="C1133" s="45" t="s">
        <v>97</v>
      </c>
      <c r="E1133" s="45">
        <v>1793</v>
      </c>
      <c r="F1133" s="45">
        <v>79</v>
      </c>
      <c r="G1133" s="45">
        <v>15</v>
      </c>
      <c r="H1133" s="45">
        <v>9</v>
      </c>
      <c r="J1133" s="45">
        <v>110</v>
      </c>
      <c r="K1133" s="45" t="s">
        <v>620</v>
      </c>
    </row>
    <row r="1134" spans="1:11">
      <c r="A1134" s="2">
        <v>43941</v>
      </c>
      <c r="B1134" s="45">
        <v>0</v>
      </c>
      <c r="C1134" s="45" t="s">
        <v>81</v>
      </c>
      <c r="E1134" s="45">
        <v>355</v>
      </c>
      <c r="F1134" s="45">
        <v>19</v>
      </c>
      <c r="J1134" s="45">
        <v>11</v>
      </c>
      <c r="K1134" s="45" t="s">
        <v>333</v>
      </c>
    </row>
    <row r="1135" spans="1:11">
      <c r="A1135" s="2">
        <v>43941</v>
      </c>
      <c r="B1135" s="45">
        <v>0.33333333333333331</v>
      </c>
      <c r="C1135" s="45" t="s">
        <v>44</v>
      </c>
      <c r="E1135" s="45">
        <v>1613</v>
      </c>
      <c r="F1135" s="45">
        <v>71</v>
      </c>
      <c r="G1135" s="45">
        <v>19</v>
      </c>
      <c r="H1135" s="45">
        <v>11</v>
      </c>
      <c r="J1135" s="45">
        <v>73</v>
      </c>
      <c r="K1135" s="45" t="s">
        <v>46</v>
      </c>
    </row>
    <row r="1136" spans="1:11">
      <c r="A1136" s="2">
        <v>43941</v>
      </c>
      <c r="B1136" s="45">
        <v>0.33333333333333331</v>
      </c>
      <c r="C1136" s="45" t="s">
        <v>89</v>
      </c>
      <c r="E1136" s="45">
        <v>3058</v>
      </c>
      <c r="F1136" s="45">
        <v>237</v>
      </c>
      <c r="G1136" s="45">
        <v>55</v>
      </c>
      <c r="H1136" s="45">
        <v>42</v>
      </c>
      <c r="I1136" s="45">
        <v>621</v>
      </c>
      <c r="J1136" s="45">
        <v>288</v>
      </c>
      <c r="K1136" s="45" t="s">
        <v>507</v>
      </c>
    </row>
    <row r="1137" spans="1:11">
      <c r="A1137" s="2">
        <v>43941</v>
      </c>
      <c r="B1137" s="45">
        <v>0.33333333333333331</v>
      </c>
      <c r="C1137" s="45" t="s">
        <v>99</v>
      </c>
      <c r="E1137" s="45">
        <v>175</v>
      </c>
      <c r="F1137" s="45">
        <v>11</v>
      </c>
      <c r="G1137" s="45">
        <v>5</v>
      </c>
      <c r="I1137" s="45">
        <v>99</v>
      </c>
      <c r="J1137" s="45">
        <v>7</v>
      </c>
      <c r="K1137" s="45" t="s">
        <v>328</v>
      </c>
    </row>
    <row r="1138" spans="1:11">
      <c r="A1138" s="2">
        <v>43941</v>
      </c>
      <c r="B1138" s="45">
        <v>0.39583333333333331</v>
      </c>
      <c r="C1138" s="45" t="s">
        <v>50</v>
      </c>
      <c r="E1138" s="45">
        <v>928</v>
      </c>
      <c r="I1138" s="45">
        <v>770</v>
      </c>
      <c r="J1138" s="45">
        <v>42</v>
      </c>
      <c r="K1138" s="45" t="s">
        <v>307</v>
      </c>
    </row>
    <row r="1139" spans="1:11">
      <c r="A1139" s="2">
        <v>43941</v>
      </c>
      <c r="B1139" s="45">
        <v>0.39583333333333331</v>
      </c>
      <c r="C1139" s="45" t="s">
        <v>79</v>
      </c>
      <c r="E1139" s="45">
        <v>63</v>
      </c>
      <c r="F1139" s="45">
        <v>6</v>
      </c>
      <c r="G1139" s="45">
        <v>2</v>
      </c>
      <c r="J1139" s="45">
        <v>1</v>
      </c>
      <c r="K1139" s="45" t="s">
        <v>703</v>
      </c>
    </row>
    <row r="1140" spans="1:11">
      <c r="A1140" s="2">
        <v>43941</v>
      </c>
      <c r="B1140" s="45">
        <v>0.45833333333333331</v>
      </c>
      <c r="C1140" s="45" t="s">
        <v>38</v>
      </c>
      <c r="E1140" s="45">
        <v>24</v>
      </c>
      <c r="J1140" s="45">
        <v>0</v>
      </c>
      <c r="K1140" s="45" t="s">
        <v>40</v>
      </c>
    </row>
    <row r="1141" spans="1:11">
      <c r="A1141" s="2">
        <v>43941</v>
      </c>
      <c r="B1141" s="45">
        <v>0.45833333333333331</v>
      </c>
      <c r="C1141" s="45" t="s">
        <v>66</v>
      </c>
      <c r="E1141" s="45">
        <v>633</v>
      </c>
      <c r="F1141" s="45">
        <v>33</v>
      </c>
      <c r="G1141" s="45">
        <v>5</v>
      </c>
      <c r="J1141" s="45">
        <v>15</v>
      </c>
      <c r="K1141" s="45" t="s">
        <v>68</v>
      </c>
    </row>
    <row r="1142" spans="1:11">
      <c r="A1142" s="2">
        <v>43941</v>
      </c>
      <c r="B1142" s="45">
        <v>0.54166666666666663</v>
      </c>
      <c r="C1142" s="45" t="s">
        <v>41</v>
      </c>
      <c r="E1142" s="45">
        <v>86</v>
      </c>
      <c r="J1142" s="45">
        <v>3</v>
      </c>
      <c r="K1142" s="45" t="s">
        <v>43</v>
      </c>
    </row>
    <row r="1143" spans="1:11">
      <c r="A1143" s="2">
        <v>43941</v>
      </c>
      <c r="B1143" s="45">
        <v>0.54166666666666663</v>
      </c>
      <c r="C1143" s="45" t="s">
        <v>60</v>
      </c>
      <c r="E1143" s="45">
        <v>114</v>
      </c>
      <c r="F1143" s="45">
        <v>5</v>
      </c>
      <c r="J1143" s="45">
        <v>5</v>
      </c>
      <c r="K1143" s="45" t="s">
        <v>609</v>
      </c>
    </row>
    <row r="1144" spans="1:11">
      <c r="A1144" s="2">
        <v>43941</v>
      </c>
      <c r="B1144" s="45">
        <v>0.58333333333333337</v>
      </c>
      <c r="C1144" s="45" t="s">
        <v>91</v>
      </c>
      <c r="E1144" s="45">
        <v>78</v>
      </c>
      <c r="F1144" s="45">
        <v>2</v>
      </c>
      <c r="I1144" s="45">
        <v>69</v>
      </c>
      <c r="J1144" s="45">
        <v>5</v>
      </c>
      <c r="K1144" s="45" t="s">
        <v>93</v>
      </c>
    </row>
    <row r="1145" spans="1:11">
      <c r="A1145" s="2">
        <v>43941</v>
      </c>
      <c r="B1145" s="45">
        <v>0.60416666666666663</v>
      </c>
      <c r="C1145" s="45" t="s">
        <v>101</v>
      </c>
      <c r="E1145" s="45">
        <v>3254</v>
      </c>
      <c r="F1145" s="45">
        <v>121</v>
      </c>
      <c r="H1145" s="45">
        <v>43</v>
      </c>
      <c r="J1145" s="45">
        <v>107</v>
      </c>
      <c r="K1145" s="45" t="s">
        <v>103</v>
      </c>
    </row>
    <row r="1146" spans="1:11">
      <c r="A1146" s="2">
        <v>43941</v>
      </c>
      <c r="B1146" s="45">
        <v>0.61458333333333337</v>
      </c>
      <c r="C1146" s="45" t="s">
        <v>34</v>
      </c>
      <c r="E1146" s="45">
        <v>1012</v>
      </c>
      <c r="F1146" s="45">
        <v>45</v>
      </c>
      <c r="G1146" s="45">
        <v>16</v>
      </c>
      <c r="H1146" s="45">
        <v>16</v>
      </c>
      <c r="I1146" s="45">
        <v>640</v>
      </c>
      <c r="J1146" s="45">
        <v>28</v>
      </c>
      <c r="K1146" s="45" t="s">
        <v>306</v>
      </c>
    </row>
    <row r="1147" spans="1:11">
      <c r="A1147" s="2">
        <v>43941</v>
      </c>
      <c r="B1147" s="45">
        <v>0.625</v>
      </c>
      <c r="C1147" s="45" t="s">
        <v>73</v>
      </c>
      <c r="E1147" s="45">
        <v>67</v>
      </c>
      <c r="F1147" s="45">
        <v>0</v>
      </c>
      <c r="J1147" s="45">
        <v>0</v>
      </c>
      <c r="K1147" s="45" t="s">
        <v>75</v>
      </c>
    </row>
    <row r="1148" spans="1:11">
      <c r="A1148" s="2">
        <v>43942</v>
      </c>
      <c r="C1148" s="45" t="s">
        <v>47</v>
      </c>
      <c r="E1148" s="45">
        <v>809</v>
      </c>
      <c r="F1148" s="45">
        <v>33</v>
      </c>
      <c r="G1148" s="45">
        <v>3</v>
      </c>
      <c r="H1148" s="45">
        <v>3</v>
      </c>
      <c r="I1148" s="45">
        <v>679</v>
      </c>
      <c r="J1148" s="45">
        <v>26</v>
      </c>
      <c r="K1148" s="45" t="s">
        <v>49</v>
      </c>
    </row>
    <row r="1149" spans="1:11">
      <c r="A1149" s="2">
        <v>43942</v>
      </c>
      <c r="C1149" s="45" t="s">
        <v>53</v>
      </c>
      <c r="E1149" s="45">
        <v>81</v>
      </c>
      <c r="J1149" s="45">
        <v>1</v>
      </c>
      <c r="K1149" s="45" t="s">
        <v>321</v>
      </c>
    </row>
    <row r="1150" spans="1:11">
      <c r="A1150" s="2">
        <v>43942</v>
      </c>
      <c r="C1150" s="45" t="s">
        <v>56</v>
      </c>
      <c r="E1150" s="45">
        <v>995</v>
      </c>
      <c r="F1150" s="45">
        <v>60</v>
      </c>
      <c r="G1150" s="45">
        <v>8</v>
      </c>
      <c r="I1150" s="45">
        <v>115</v>
      </c>
      <c r="J1150" s="45">
        <v>74</v>
      </c>
      <c r="K1150" s="45" t="s">
        <v>736</v>
      </c>
    </row>
    <row r="1151" spans="1:11">
      <c r="A1151" s="2">
        <v>43942</v>
      </c>
      <c r="C1151" s="45" t="s">
        <v>58</v>
      </c>
      <c r="D1151" s="45">
        <v>22579</v>
      </c>
      <c r="E1151" s="45">
        <v>4784</v>
      </c>
      <c r="F1151" s="45">
        <v>304</v>
      </c>
      <c r="G1151" s="45">
        <v>32</v>
      </c>
      <c r="H1151" s="45">
        <v>29</v>
      </c>
      <c r="I1151" s="45">
        <v>581</v>
      </c>
      <c r="J1151" s="45">
        <v>225</v>
      </c>
      <c r="K1151" s="45" t="s">
        <v>369</v>
      </c>
    </row>
    <row r="1152" spans="1:11">
      <c r="A1152" s="2">
        <v>43942</v>
      </c>
      <c r="C1152" s="45" t="s">
        <v>62</v>
      </c>
      <c r="E1152" s="45">
        <v>787</v>
      </c>
      <c r="F1152" s="45">
        <v>27</v>
      </c>
      <c r="J1152" s="45">
        <v>43</v>
      </c>
      <c r="K1152" s="45" t="s">
        <v>511</v>
      </c>
    </row>
    <row r="1153" spans="1:11">
      <c r="A1153" s="2">
        <v>43942</v>
      </c>
      <c r="C1153" s="45" t="s">
        <v>64</v>
      </c>
      <c r="E1153" s="45">
        <v>195</v>
      </c>
      <c r="F1153" s="45">
        <v>12</v>
      </c>
      <c r="G1153" s="45">
        <v>4</v>
      </c>
      <c r="J1153" s="45">
        <v>6</v>
      </c>
      <c r="K1153" s="45" t="s">
        <v>688</v>
      </c>
    </row>
    <row r="1154" spans="1:11">
      <c r="A1154" s="2">
        <v>43942</v>
      </c>
      <c r="C1154" s="45" t="s">
        <v>69</v>
      </c>
      <c r="E1154" s="45">
        <v>648</v>
      </c>
      <c r="F1154" s="45">
        <v>37</v>
      </c>
      <c r="G1154" s="45">
        <v>7</v>
      </c>
      <c r="H1154" s="45">
        <v>4</v>
      </c>
      <c r="J1154" s="45">
        <v>66</v>
      </c>
      <c r="K1154" s="45" t="s">
        <v>325</v>
      </c>
    </row>
    <row r="1155" spans="1:11">
      <c r="A1155" s="2">
        <v>43942</v>
      </c>
      <c r="C1155" s="45" t="s">
        <v>71</v>
      </c>
      <c r="E1155" s="45">
        <v>108</v>
      </c>
      <c r="F1155" s="45">
        <v>4</v>
      </c>
      <c r="G1155" s="45">
        <v>1</v>
      </c>
      <c r="J1155" s="45">
        <v>3</v>
      </c>
      <c r="K1155" s="45" t="s">
        <v>310</v>
      </c>
    </row>
    <row r="1156" spans="1:11">
      <c r="A1156" s="2">
        <v>43942</v>
      </c>
      <c r="C1156" s="45" t="s">
        <v>76</v>
      </c>
      <c r="E1156" s="45">
        <v>718</v>
      </c>
      <c r="F1156" s="45">
        <v>48</v>
      </c>
      <c r="G1156" s="45">
        <v>8</v>
      </c>
      <c r="I1156" s="45">
        <v>159</v>
      </c>
      <c r="J1156" s="45">
        <v>29</v>
      </c>
      <c r="K1156" s="45" t="s">
        <v>78</v>
      </c>
    </row>
    <row r="1157" spans="1:11">
      <c r="A1157" s="2">
        <v>43942</v>
      </c>
      <c r="C1157" s="45" t="s">
        <v>86</v>
      </c>
      <c r="E1157" s="45">
        <v>340</v>
      </c>
      <c r="F1157" s="45">
        <v>24</v>
      </c>
      <c r="G1157" s="45">
        <v>12</v>
      </c>
      <c r="J1157" s="45">
        <v>13</v>
      </c>
      <c r="K1157" s="45" t="s">
        <v>88</v>
      </c>
    </row>
    <row r="1158" spans="1:11">
      <c r="A1158" s="2">
        <v>43942</v>
      </c>
      <c r="C1158" s="45" t="s">
        <v>94</v>
      </c>
      <c r="E1158" s="45">
        <v>5127</v>
      </c>
      <c r="F1158" s="45">
        <v>192</v>
      </c>
      <c r="G1158" s="45">
        <v>42</v>
      </c>
      <c r="J1158" s="45">
        <v>339</v>
      </c>
      <c r="K1158" s="45" t="s">
        <v>96</v>
      </c>
    </row>
    <row r="1159" spans="1:11">
      <c r="A1159" s="2">
        <v>43942</v>
      </c>
      <c r="C1159" s="45" t="s">
        <v>97</v>
      </c>
      <c r="E1159" s="45">
        <v>1800</v>
      </c>
      <c r="F1159" s="45">
        <v>76</v>
      </c>
      <c r="G1159" s="45">
        <v>14</v>
      </c>
      <c r="H1159" s="45">
        <v>10</v>
      </c>
      <c r="J1159" s="45">
        <v>115</v>
      </c>
      <c r="K1159" s="45" t="s">
        <v>620</v>
      </c>
    </row>
    <row r="1160" spans="1:11">
      <c r="A1160" s="2">
        <v>43942</v>
      </c>
      <c r="B1160" s="45">
        <v>0</v>
      </c>
      <c r="C1160" s="45" t="s">
        <v>81</v>
      </c>
      <c r="E1160" s="45">
        <v>359</v>
      </c>
      <c r="F1160" s="45">
        <v>19</v>
      </c>
      <c r="J1160" s="45">
        <v>11</v>
      </c>
      <c r="K1160" s="45" t="s">
        <v>333</v>
      </c>
    </row>
    <row r="1161" spans="1:11">
      <c r="A1161" s="2">
        <v>43942</v>
      </c>
      <c r="B1161" s="45">
        <v>0.33333333333333331</v>
      </c>
      <c r="C1161" s="45" t="s">
        <v>44</v>
      </c>
      <c r="E1161" s="45">
        <v>1622</v>
      </c>
      <c r="F1161" s="45">
        <v>66</v>
      </c>
      <c r="G1161" s="45">
        <v>17</v>
      </c>
      <c r="H1161" s="45">
        <v>11</v>
      </c>
      <c r="J1161" s="45">
        <v>77</v>
      </c>
      <c r="K1161" s="45" t="s">
        <v>46</v>
      </c>
    </row>
    <row r="1162" spans="1:11">
      <c r="A1162" s="2">
        <v>43942</v>
      </c>
      <c r="B1162" s="45">
        <v>0.33333333333333331</v>
      </c>
      <c r="C1162" s="45" t="s">
        <v>89</v>
      </c>
      <c r="E1162" s="45">
        <v>3065</v>
      </c>
      <c r="F1162" s="45">
        <v>236</v>
      </c>
      <c r="G1162" s="45">
        <v>54</v>
      </c>
      <c r="H1162" s="45">
        <v>36</v>
      </c>
      <c r="I1162" s="45">
        <v>639</v>
      </c>
      <c r="J1162" s="45">
        <v>291</v>
      </c>
      <c r="K1162" s="45" t="s">
        <v>507</v>
      </c>
    </row>
    <row r="1163" spans="1:11">
      <c r="A1163" s="2">
        <v>43942</v>
      </c>
      <c r="B1163" s="45">
        <v>0.33333333333333331</v>
      </c>
      <c r="C1163" s="45" t="s">
        <v>99</v>
      </c>
      <c r="E1163" s="45">
        <v>176</v>
      </c>
      <c r="F1163" s="45">
        <v>9</v>
      </c>
      <c r="G1163" s="45">
        <v>4</v>
      </c>
      <c r="I1163" s="45">
        <v>99</v>
      </c>
      <c r="J1163" s="45">
        <v>8</v>
      </c>
      <c r="K1163" s="45" t="s">
        <v>328</v>
      </c>
    </row>
    <row r="1164" spans="1:11">
      <c r="A1164" s="2">
        <v>43942</v>
      </c>
      <c r="B1164" s="45">
        <v>0.38541666666666669</v>
      </c>
      <c r="C1164" s="45" t="s">
        <v>50</v>
      </c>
      <c r="E1164" s="45">
        <v>928</v>
      </c>
      <c r="F1164" s="45">
        <v>54</v>
      </c>
      <c r="G1164" s="45">
        <v>9</v>
      </c>
      <c r="I1164" s="45">
        <v>781</v>
      </c>
      <c r="J1164" s="45">
        <v>44</v>
      </c>
      <c r="K1164" s="45" t="s">
        <v>309</v>
      </c>
    </row>
    <row r="1165" spans="1:11">
      <c r="A1165" s="2">
        <v>43942</v>
      </c>
      <c r="B1165" s="45">
        <v>0.39583333333333331</v>
      </c>
      <c r="C1165" s="45" t="s">
        <v>79</v>
      </c>
      <c r="E1165" s="45">
        <v>63</v>
      </c>
      <c r="F1165" s="45">
        <v>10</v>
      </c>
      <c r="G1165" s="45">
        <v>2</v>
      </c>
      <c r="J1165" s="45">
        <v>2</v>
      </c>
      <c r="K1165" s="45" t="s">
        <v>703</v>
      </c>
    </row>
    <row r="1166" spans="1:11">
      <c r="A1166" s="2">
        <v>43942</v>
      </c>
      <c r="B1166" s="45">
        <v>0.41666666666666669</v>
      </c>
      <c r="C1166" s="45" t="s">
        <v>84</v>
      </c>
      <c r="E1166" s="45">
        <v>276</v>
      </c>
      <c r="I1166" s="45">
        <v>192</v>
      </c>
      <c r="J1166" s="45">
        <v>16</v>
      </c>
      <c r="K1166" s="45" t="s">
        <v>704</v>
      </c>
    </row>
    <row r="1167" spans="1:11">
      <c r="A1167" s="2">
        <v>43942</v>
      </c>
      <c r="B1167" s="45">
        <v>0.45833333333333331</v>
      </c>
      <c r="C1167" s="45" t="s">
        <v>38</v>
      </c>
      <c r="E1167" s="45">
        <v>24</v>
      </c>
      <c r="J1167" s="45">
        <v>0</v>
      </c>
      <c r="K1167" s="45" t="s">
        <v>40</v>
      </c>
    </row>
    <row r="1168" spans="1:11">
      <c r="A1168" s="2">
        <v>43942</v>
      </c>
      <c r="B1168" s="45">
        <v>0.47916666666666669</v>
      </c>
      <c r="C1168" s="45" t="s">
        <v>73</v>
      </c>
      <c r="E1168" s="45">
        <v>67</v>
      </c>
      <c r="F1168" s="45">
        <v>0</v>
      </c>
      <c r="J1168" s="45">
        <v>0</v>
      </c>
      <c r="K1168" s="45" t="s">
        <v>75</v>
      </c>
    </row>
    <row r="1169" spans="1:11">
      <c r="A1169" s="2">
        <v>43942</v>
      </c>
      <c r="B1169" s="45">
        <v>0.5</v>
      </c>
      <c r="C1169" s="45" t="s">
        <v>66</v>
      </c>
      <c r="E1169" s="45">
        <v>643</v>
      </c>
      <c r="F1169" s="45">
        <v>35</v>
      </c>
      <c r="G1169" s="45">
        <v>5</v>
      </c>
      <c r="J1169" s="45">
        <v>15</v>
      </c>
      <c r="K1169" s="45" t="s">
        <v>68</v>
      </c>
    </row>
    <row r="1170" spans="1:11">
      <c r="A1170" s="2">
        <v>43942</v>
      </c>
      <c r="B1170" s="45">
        <v>0.54166666666666663</v>
      </c>
      <c r="C1170" s="45" t="s">
        <v>41</v>
      </c>
      <c r="E1170" s="45">
        <v>86</v>
      </c>
      <c r="J1170" s="45">
        <v>3</v>
      </c>
      <c r="K1170" s="45" t="s">
        <v>43</v>
      </c>
    </row>
    <row r="1171" spans="1:11">
      <c r="A1171" s="2">
        <v>43942</v>
      </c>
      <c r="B1171" s="45">
        <v>0.5625</v>
      </c>
      <c r="C1171" s="45" t="s">
        <v>60</v>
      </c>
      <c r="E1171" s="45">
        <v>115</v>
      </c>
      <c r="F1171" s="45">
        <v>3</v>
      </c>
      <c r="J1171" s="45">
        <v>6</v>
      </c>
      <c r="K1171" s="45" t="s">
        <v>609</v>
      </c>
    </row>
    <row r="1172" spans="1:11">
      <c r="A1172" s="2">
        <v>43942</v>
      </c>
      <c r="B1172" s="45">
        <v>0.60416666666666663</v>
      </c>
      <c r="C1172" s="45" t="s">
        <v>101</v>
      </c>
      <c r="E1172" s="45">
        <v>3280</v>
      </c>
      <c r="F1172" s="45">
        <v>110</v>
      </c>
      <c r="H1172" s="45">
        <v>41</v>
      </c>
      <c r="J1172" s="45">
        <v>109</v>
      </c>
      <c r="K1172" s="45" t="s">
        <v>103</v>
      </c>
    </row>
    <row r="1173" spans="1:11">
      <c r="A1173" s="2">
        <v>43942</v>
      </c>
      <c r="B1173" s="45">
        <v>0.61458333333333337</v>
      </c>
      <c r="C1173" s="45" t="s">
        <v>34</v>
      </c>
      <c r="E1173" s="45">
        <v>1017</v>
      </c>
      <c r="F1173" s="45">
        <v>43</v>
      </c>
      <c r="G1173" s="45">
        <v>18</v>
      </c>
      <c r="H1173" s="45">
        <v>18</v>
      </c>
      <c r="I1173" s="45">
        <v>680</v>
      </c>
      <c r="J1173" s="45">
        <v>29</v>
      </c>
      <c r="K1173" s="45" t="s">
        <v>320</v>
      </c>
    </row>
    <row r="1174" spans="1:11">
      <c r="A1174" s="2">
        <v>43942</v>
      </c>
      <c r="B1174" s="45">
        <v>0.70833333333333337</v>
      </c>
      <c r="C1174" s="45" t="s">
        <v>91</v>
      </c>
      <c r="E1174" s="45">
        <v>78</v>
      </c>
      <c r="F1174" s="45">
        <v>2</v>
      </c>
      <c r="I1174" s="45">
        <v>69</v>
      </c>
      <c r="J1174" s="45">
        <v>5</v>
      </c>
      <c r="K1174" s="45" t="s">
        <v>93</v>
      </c>
    </row>
    <row r="1175" spans="1:11">
      <c r="A1175" s="2">
        <v>43943</v>
      </c>
      <c r="C1175" s="45" t="s">
        <v>47</v>
      </c>
      <c r="E1175" s="45">
        <v>811</v>
      </c>
      <c r="F1175" s="45">
        <v>33</v>
      </c>
      <c r="G1175" s="45">
        <v>3</v>
      </c>
      <c r="H1175" s="45">
        <v>3</v>
      </c>
      <c r="I1175" s="45">
        <v>683</v>
      </c>
      <c r="J1175" s="45">
        <v>26</v>
      </c>
      <c r="K1175" s="45" t="s">
        <v>49</v>
      </c>
    </row>
    <row r="1176" spans="1:11">
      <c r="A1176" s="2">
        <v>43943</v>
      </c>
      <c r="C1176" s="45" t="s">
        <v>53</v>
      </c>
      <c r="E1176" s="45">
        <v>81</v>
      </c>
      <c r="J1176" s="45">
        <v>1</v>
      </c>
      <c r="K1176" s="45" t="s">
        <v>324</v>
      </c>
    </row>
    <row r="1177" spans="1:11">
      <c r="A1177" s="2">
        <v>43943</v>
      </c>
      <c r="C1177" s="45" t="s">
        <v>56</v>
      </c>
      <c r="E1177" s="45">
        <v>1006</v>
      </c>
      <c r="F1177" s="45">
        <v>57</v>
      </c>
      <c r="G1177" s="45">
        <v>5</v>
      </c>
      <c r="I1177" s="45">
        <v>116</v>
      </c>
      <c r="J1177" s="45">
        <v>76</v>
      </c>
      <c r="K1177" s="45" t="s">
        <v>736</v>
      </c>
    </row>
    <row r="1178" spans="1:11">
      <c r="A1178" s="2">
        <v>43943</v>
      </c>
      <c r="C1178" s="45" t="s">
        <v>58</v>
      </c>
      <c r="D1178" s="45">
        <v>22938</v>
      </c>
      <c r="E1178" s="45">
        <v>4809</v>
      </c>
      <c r="F1178" s="45">
        <v>288</v>
      </c>
      <c r="G1178" s="45">
        <v>30</v>
      </c>
      <c r="H1178" s="45">
        <v>27</v>
      </c>
      <c r="I1178" s="45">
        <v>589</v>
      </c>
      <c r="J1178" s="45">
        <v>230</v>
      </c>
      <c r="K1178" s="45" t="s">
        <v>369</v>
      </c>
    </row>
    <row r="1179" spans="1:11">
      <c r="A1179" s="2">
        <v>43943</v>
      </c>
      <c r="C1179" s="45" t="s">
        <v>62</v>
      </c>
      <c r="E1179" s="45">
        <v>791</v>
      </c>
      <c r="F1179" s="45">
        <v>26</v>
      </c>
      <c r="J1179" s="45">
        <v>43</v>
      </c>
      <c r="K1179" s="45" t="s">
        <v>511</v>
      </c>
    </row>
    <row r="1180" spans="1:11">
      <c r="A1180" s="2">
        <v>43943</v>
      </c>
      <c r="C1180" s="45" t="s">
        <v>64</v>
      </c>
      <c r="E1180" s="45">
        <v>196</v>
      </c>
      <c r="F1180" s="45">
        <v>12</v>
      </c>
      <c r="G1180" s="45">
        <v>4</v>
      </c>
      <c r="J1180" s="45">
        <v>6</v>
      </c>
      <c r="K1180" s="45" t="s">
        <v>688</v>
      </c>
    </row>
    <row r="1181" spans="1:11">
      <c r="A1181" s="2">
        <v>43943</v>
      </c>
      <c r="C1181" s="45" t="s">
        <v>69</v>
      </c>
      <c r="E1181" s="45">
        <v>655</v>
      </c>
      <c r="F1181" s="45">
        <v>37</v>
      </c>
      <c r="G1181" s="45">
        <v>6</v>
      </c>
      <c r="H1181" s="45">
        <v>4</v>
      </c>
      <c r="J1181" s="45">
        <v>68</v>
      </c>
      <c r="K1181" s="45" t="s">
        <v>325</v>
      </c>
    </row>
    <row r="1182" spans="1:11">
      <c r="A1182" s="2">
        <v>43943</v>
      </c>
      <c r="C1182" s="45" t="s">
        <v>71</v>
      </c>
      <c r="E1182" s="45">
        <v>108</v>
      </c>
      <c r="F1182" s="45">
        <v>4</v>
      </c>
      <c r="G1182" s="45">
        <v>1</v>
      </c>
      <c r="J1182" s="45">
        <v>3</v>
      </c>
      <c r="K1182" s="45" t="s">
        <v>310</v>
      </c>
    </row>
    <row r="1183" spans="1:11">
      <c r="A1183" s="2">
        <v>43943</v>
      </c>
      <c r="C1183" s="45" t="s">
        <v>76</v>
      </c>
      <c r="E1183" s="45">
        <v>724</v>
      </c>
      <c r="F1183" s="45">
        <v>52</v>
      </c>
      <c r="G1183" s="45">
        <v>6</v>
      </c>
      <c r="I1183" s="45">
        <v>162</v>
      </c>
      <c r="J1183" s="45">
        <v>29</v>
      </c>
      <c r="K1183" s="45" t="s">
        <v>78</v>
      </c>
    </row>
    <row r="1184" spans="1:11">
      <c r="A1184" s="2">
        <v>43943</v>
      </c>
      <c r="C1184" s="45" t="s">
        <v>86</v>
      </c>
      <c r="E1184" s="45">
        <v>341</v>
      </c>
      <c r="F1184" s="45">
        <v>23</v>
      </c>
      <c r="G1184" s="45">
        <v>9</v>
      </c>
      <c r="J1184" s="45">
        <v>14</v>
      </c>
      <c r="K1184" s="45" t="s">
        <v>88</v>
      </c>
    </row>
    <row r="1185" spans="1:11">
      <c r="A1185" s="2">
        <v>43943</v>
      </c>
      <c r="C1185" s="45" t="s">
        <v>94</v>
      </c>
      <c r="E1185" s="45">
        <v>5148</v>
      </c>
      <c r="F1185" s="45">
        <v>180</v>
      </c>
      <c r="G1185" s="45">
        <v>41</v>
      </c>
      <c r="J1185" s="45">
        <v>344</v>
      </c>
      <c r="K1185" s="45" t="s">
        <v>96</v>
      </c>
    </row>
    <row r="1186" spans="1:11">
      <c r="A1186" s="2">
        <v>43943</v>
      </c>
      <c r="C1186" s="45" t="s">
        <v>97</v>
      </c>
      <c r="E1186" s="45">
        <v>1806</v>
      </c>
      <c r="F1186" s="45">
        <v>77</v>
      </c>
      <c r="G1186" s="45">
        <v>13</v>
      </c>
      <c r="H1186" s="45">
        <v>10</v>
      </c>
      <c r="J1186" s="45">
        <v>118</v>
      </c>
      <c r="K1186" s="45" t="s">
        <v>620</v>
      </c>
    </row>
    <row r="1187" spans="1:11">
      <c r="A1187" s="2">
        <v>43943</v>
      </c>
      <c r="B1187" s="45">
        <v>0</v>
      </c>
      <c r="C1187" s="45" t="s">
        <v>81</v>
      </c>
      <c r="E1187" s="45">
        <v>368</v>
      </c>
      <c r="F1187" s="45">
        <v>18</v>
      </c>
      <c r="J1187" s="45">
        <v>11</v>
      </c>
      <c r="K1187" s="45" t="s">
        <v>333</v>
      </c>
    </row>
    <row r="1188" spans="1:11">
      <c r="A1188" s="2">
        <v>43943</v>
      </c>
      <c r="B1188" s="45">
        <v>0.33333333333333331</v>
      </c>
      <c r="C1188" s="45" t="s">
        <v>44</v>
      </c>
      <c r="E1188" s="45">
        <v>1643</v>
      </c>
      <c r="F1188" s="45">
        <v>67</v>
      </c>
      <c r="G1188" s="45">
        <v>14</v>
      </c>
      <c r="H1188" s="45">
        <v>10</v>
      </c>
      <c r="J1188" s="45">
        <v>77</v>
      </c>
      <c r="K1188" s="45" t="s">
        <v>46</v>
      </c>
    </row>
    <row r="1189" spans="1:11">
      <c r="A1189" s="2">
        <v>43943</v>
      </c>
      <c r="B1189" s="45">
        <v>0.33333333333333331</v>
      </c>
      <c r="C1189" s="45" t="s">
        <v>89</v>
      </c>
      <c r="E1189" s="45">
        <v>3089</v>
      </c>
      <c r="F1189" s="45">
        <v>213</v>
      </c>
      <c r="G1189" s="45">
        <v>42</v>
      </c>
      <c r="H1189" s="45">
        <v>32</v>
      </c>
      <c r="I1189" s="45">
        <v>661</v>
      </c>
      <c r="J1189" s="45">
        <v>295</v>
      </c>
      <c r="K1189" s="45" t="s">
        <v>507</v>
      </c>
    </row>
    <row r="1190" spans="1:11">
      <c r="A1190" s="2">
        <v>43943</v>
      </c>
      <c r="B1190" s="45">
        <v>0.33333333333333331</v>
      </c>
      <c r="C1190" s="45" t="s">
        <v>99</v>
      </c>
      <c r="E1190" s="45">
        <v>176</v>
      </c>
      <c r="F1190" s="45">
        <v>6</v>
      </c>
      <c r="G1190" s="45">
        <v>3</v>
      </c>
      <c r="I1190" s="45">
        <v>131</v>
      </c>
      <c r="J1190" s="45">
        <v>8</v>
      </c>
      <c r="K1190" s="45" t="s">
        <v>328</v>
      </c>
    </row>
    <row r="1191" spans="1:11">
      <c r="A1191" s="2">
        <v>43943</v>
      </c>
      <c r="B1191" s="45">
        <v>0.39583333333333331</v>
      </c>
      <c r="C1191" s="45" t="s">
        <v>79</v>
      </c>
      <c r="E1191" s="45">
        <v>63</v>
      </c>
      <c r="F1191" s="45">
        <v>10</v>
      </c>
      <c r="G1191" s="45">
        <v>2</v>
      </c>
      <c r="J1191" s="45">
        <v>3</v>
      </c>
      <c r="K1191" s="45" t="s">
        <v>703</v>
      </c>
    </row>
    <row r="1192" spans="1:11">
      <c r="A1192" s="2">
        <v>43943</v>
      </c>
      <c r="B1192" s="45">
        <v>0.40625</v>
      </c>
      <c r="C1192" s="45" t="s">
        <v>50</v>
      </c>
      <c r="E1192" s="45">
        <v>928</v>
      </c>
      <c r="F1192" s="45">
        <v>49</v>
      </c>
      <c r="G1192" s="45">
        <v>7</v>
      </c>
      <c r="I1192" s="45">
        <v>786</v>
      </c>
      <c r="J1192" s="45">
        <v>45</v>
      </c>
      <c r="K1192" s="45" t="s">
        <v>322</v>
      </c>
    </row>
    <row r="1193" spans="1:11">
      <c r="A1193" s="2">
        <v>43943</v>
      </c>
      <c r="B1193" s="45">
        <v>0.41666666666666669</v>
      </c>
      <c r="C1193" s="45" t="s">
        <v>84</v>
      </c>
      <c r="E1193" s="45">
        <v>282</v>
      </c>
      <c r="I1193" s="45">
        <v>194</v>
      </c>
      <c r="J1193" s="45">
        <v>16</v>
      </c>
      <c r="K1193" s="45" t="s">
        <v>704</v>
      </c>
    </row>
    <row r="1194" spans="1:11">
      <c r="A1194" s="2">
        <v>43943</v>
      </c>
      <c r="B1194" s="45">
        <v>0.45833333333333331</v>
      </c>
      <c r="C1194" s="45" t="s">
        <v>38</v>
      </c>
      <c r="E1194" s="45">
        <v>24</v>
      </c>
      <c r="J1194" s="45">
        <v>0</v>
      </c>
      <c r="K1194" s="45" t="s">
        <v>40</v>
      </c>
    </row>
    <row r="1195" spans="1:11">
      <c r="A1195" s="2">
        <v>43943</v>
      </c>
      <c r="B1195" s="45">
        <v>0.45833333333333331</v>
      </c>
      <c r="C1195" s="45" t="s">
        <v>66</v>
      </c>
      <c r="E1195" s="45">
        <v>648</v>
      </c>
      <c r="J1195" s="45">
        <v>15</v>
      </c>
      <c r="K1195" s="45" t="s">
        <v>68</v>
      </c>
    </row>
    <row r="1196" spans="1:11">
      <c r="A1196" s="2">
        <v>43943</v>
      </c>
      <c r="B1196" s="45">
        <v>0.5625</v>
      </c>
      <c r="C1196" s="45" t="s">
        <v>60</v>
      </c>
      <c r="E1196" s="45">
        <v>117</v>
      </c>
      <c r="F1196" s="45">
        <v>3</v>
      </c>
      <c r="J1196" s="45">
        <v>6</v>
      </c>
      <c r="K1196" s="45" t="s">
        <v>609</v>
      </c>
    </row>
    <row r="1197" spans="1:11">
      <c r="A1197" s="2">
        <v>43943</v>
      </c>
      <c r="B1197" s="45">
        <v>0.60416666666666663</v>
      </c>
      <c r="C1197" s="45" t="s">
        <v>101</v>
      </c>
      <c r="E1197" s="45">
        <v>3320</v>
      </c>
      <c r="F1197" s="45">
        <v>110</v>
      </c>
      <c r="H1197" s="45">
        <v>44</v>
      </c>
      <c r="J1197" s="45">
        <v>110</v>
      </c>
      <c r="K1197" s="45" t="s">
        <v>103</v>
      </c>
    </row>
    <row r="1198" spans="1:11">
      <c r="A1198" s="2">
        <v>43943</v>
      </c>
      <c r="B1198" s="45">
        <v>0.61458333333333337</v>
      </c>
      <c r="C1198" s="45" t="s">
        <v>34</v>
      </c>
      <c r="E1198" s="45">
        <v>1026</v>
      </c>
      <c r="F1198" s="45">
        <v>37</v>
      </c>
      <c r="G1198" s="45">
        <v>15</v>
      </c>
      <c r="H1198" s="45">
        <v>15</v>
      </c>
      <c r="I1198" s="45">
        <v>710</v>
      </c>
      <c r="J1198" s="45">
        <v>31</v>
      </c>
      <c r="K1198" s="45" t="s">
        <v>323</v>
      </c>
    </row>
    <row r="1199" spans="1:11">
      <c r="A1199" s="2">
        <v>43943</v>
      </c>
      <c r="B1199" s="45">
        <v>0.625</v>
      </c>
      <c r="C1199" s="45" t="s">
        <v>91</v>
      </c>
      <c r="E1199" s="45">
        <v>78</v>
      </c>
      <c r="F1199" s="45">
        <v>3</v>
      </c>
      <c r="I1199" s="45">
        <v>69</v>
      </c>
      <c r="J1199" s="45">
        <v>5</v>
      </c>
      <c r="K1199" s="45" t="s">
        <v>93</v>
      </c>
    </row>
    <row r="1200" spans="1:11">
      <c r="A1200" s="2">
        <v>43943</v>
      </c>
      <c r="B1200" s="45">
        <v>0.66666666666666663</v>
      </c>
      <c r="C1200" s="45" t="s">
        <v>73</v>
      </c>
      <c r="E1200" s="45">
        <v>67</v>
      </c>
      <c r="F1200" s="45">
        <v>0</v>
      </c>
      <c r="J1200" s="45">
        <v>0</v>
      </c>
      <c r="K1200" s="45" t="s">
        <v>75</v>
      </c>
    </row>
    <row r="1201" spans="1:11">
      <c r="A1201" s="2">
        <v>43943</v>
      </c>
      <c r="B1201" s="45">
        <v>0.75</v>
      </c>
      <c r="C1201" s="45" t="s">
        <v>41</v>
      </c>
      <c r="E1201" s="45">
        <v>87</v>
      </c>
      <c r="J1201" s="45">
        <v>3</v>
      </c>
      <c r="K1201" s="45" t="s">
        <v>43</v>
      </c>
    </row>
    <row r="1202" spans="1:11">
      <c r="A1202" s="2">
        <v>43944</v>
      </c>
      <c r="C1202" s="45" t="s">
        <v>47</v>
      </c>
      <c r="E1202" s="45">
        <v>811</v>
      </c>
      <c r="F1202" s="45">
        <v>32</v>
      </c>
      <c r="G1202" s="45">
        <v>3</v>
      </c>
      <c r="H1202" s="45">
        <v>2</v>
      </c>
      <c r="I1202" s="45">
        <v>692</v>
      </c>
      <c r="J1202" s="45">
        <v>26</v>
      </c>
      <c r="K1202" s="45" t="s">
        <v>49</v>
      </c>
    </row>
    <row r="1203" spans="1:11">
      <c r="A1203" s="2">
        <v>43944</v>
      </c>
      <c r="C1203" s="45" t="s">
        <v>53</v>
      </c>
      <c r="E1203" s="45">
        <v>81</v>
      </c>
      <c r="J1203" s="45">
        <v>1</v>
      </c>
      <c r="K1203" s="45" t="s">
        <v>330</v>
      </c>
    </row>
    <row r="1204" spans="1:11">
      <c r="A1204" s="2">
        <v>43944</v>
      </c>
      <c r="C1204" s="45" t="s">
        <v>56</v>
      </c>
      <c r="E1204" s="45">
        <v>1014</v>
      </c>
      <c r="F1204" s="45">
        <v>57</v>
      </c>
      <c r="G1204" s="45">
        <v>5</v>
      </c>
      <c r="I1204" s="45">
        <v>118</v>
      </c>
      <c r="J1204" s="45">
        <v>76</v>
      </c>
      <c r="K1204" s="45" t="s">
        <v>736</v>
      </c>
    </row>
    <row r="1205" spans="1:11">
      <c r="A1205" s="2">
        <v>43944</v>
      </c>
      <c r="C1205" s="45" t="s">
        <v>58</v>
      </c>
      <c r="D1205" s="45">
        <v>23392</v>
      </c>
      <c r="E1205" s="45">
        <v>4841</v>
      </c>
      <c r="F1205" s="45">
        <v>284</v>
      </c>
      <c r="G1205" s="45">
        <v>29</v>
      </c>
      <c r="H1205" s="45">
        <v>27</v>
      </c>
      <c r="I1205" s="45">
        <v>592</v>
      </c>
      <c r="J1205" s="45">
        <v>234</v>
      </c>
      <c r="K1205" s="45" t="s">
        <v>369</v>
      </c>
    </row>
    <row r="1206" spans="1:11">
      <c r="A1206" s="2">
        <v>43944</v>
      </c>
      <c r="C1206" s="45" t="s">
        <v>62</v>
      </c>
      <c r="E1206" s="45">
        <v>794</v>
      </c>
      <c r="F1206" s="45">
        <v>26</v>
      </c>
      <c r="J1206" s="45">
        <v>43</v>
      </c>
      <c r="K1206" s="45" t="s">
        <v>511</v>
      </c>
    </row>
    <row r="1207" spans="1:11">
      <c r="A1207" s="2">
        <v>43944</v>
      </c>
      <c r="C1207" s="45" t="s">
        <v>64</v>
      </c>
      <c r="E1207" s="45">
        <v>196</v>
      </c>
      <c r="F1207" s="45">
        <v>11</v>
      </c>
      <c r="G1207" s="45">
        <v>4</v>
      </c>
      <c r="J1207" s="45">
        <v>6</v>
      </c>
      <c r="K1207" s="45" t="s">
        <v>688</v>
      </c>
    </row>
    <row r="1208" spans="1:11">
      <c r="A1208" s="2">
        <v>43944</v>
      </c>
      <c r="C1208" s="45" t="s">
        <v>69</v>
      </c>
      <c r="E1208" s="45">
        <v>662</v>
      </c>
      <c r="F1208" s="45">
        <v>35</v>
      </c>
      <c r="G1208" s="45">
        <v>6</v>
      </c>
      <c r="H1208" s="45">
        <v>4</v>
      </c>
      <c r="J1208" s="45">
        <v>68</v>
      </c>
      <c r="K1208" s="45" t="s">
        <v>325</v>
      </c>
    </row>
    <row r="1209" spans="1:11">
      <c r="A1209" s="2">
        <v>43944</v>
      </c>
      <c r="C1209" s="45" t="s">
        <v>71</v>
      </c>
      <c r="E1209" s="45">
        <v>108</v>
      </c>
      <c r="F1209" s="45">
        <v>4</v>
      </c>
      <c r="G1209" s="45">
        <v>1</v>
      </c>
      <c r="J1209" s="45">
        <v>3</v>
      </c>
      <c r="K1209" s="45" t="s">
        <v>310</v>
      </c>
    </row>
    <row r="1210" spans="1:11">
      <c r="A1210" s="2">
        <v>43944</v>
      </c>
      <c r="C1210" s="45" t="s">
        <v>76</v>
      </c>
      <c r="E1210" s="45">
        <v>736</v>
      </c>
      <c r="F1210" s="45">
        <v>37</v>
      </c>
      <c r="G1210" s="45">
        <v>2</v>
      </c>
      <c r="I1210" s="45">
        <v>170</v>
      </c>
      <c r="J1210" s="45">
        <v>31</v>
      </c>
      <c r="K1210" s="45" t="s">
        <v>78</v>
      </c>
    </row>
    <row r="1211" spans="1:11">
      <c r="A1211" s="2">
        <v>43944</v>
      </c>
      <c r="C1211" s="45" t="s">
        <v>86</v>
      </c>
      <c r="E1211" s="45">
        <v>354</v>
      </c>
      <c r="F1211" s="45">
        <v>21</v>
      </c>
      <c r="G1211" s="45">
        <v>9</v>
      </c>
      <c r="J1211" s="45">
        <v>14</v>
      </c>
      <c r="K1211" s="45" t="s">
        <v>88</v>
      </c>
    </row>
    <row r="1212" spans="1:11">
      <c r="A1212" s="2">
        <v>43944</v>
      </c>
      <c r="C1212" s="45" t="s">
        <v>94</v>
      </c>
      <c r="E1212" s="45">
        <v>5181</v>
      </c>
      <c r="F1212" s="45">
        <v>180</v>
      </c>
      <c r="G1212" s="45">
        <v>39</v>
      </c>
      <c r="J1212" s="45">
        <v>354</v>
      </c>
      <c r="K1212" s="45" t="s">
        <v>96</v>
      </c>
    </row>
    <row r="1213" spans="1:11">
      <c r="A1213" s="2">
        <v>43944</v>
      </c>
      <c r="C1213" s="45" t="s">
        <v>97</v>
      </c>
      <c r="E1213" s="45">
        <v>1822</v>
      </c>
      <c r="F1213" s="45">
        <v>73</v>
      </c>
      <c r="G1213" s="45">
        <v>13</v>
      </c>
      <c r="H1213" s="45">
        <v>9</v>
      </c>
      <c r="J1213" s="45">
        <v>123</v>
      </c>
      <c r="K1213" s="45" t="s">
        <v>620</v>
      </c>
    </row>
    <row r="1214" spans="1:11">
      <c r="A1214" s="2">
        <v>43944</v>
      </c>
      <c r="B1214" s="45">
        <v>0</v>
      </c>
      <c r="C1214" s="45" t="s">
        <v>81</v>
      </c>
      <c r="E1214" s="45">
        <v>375</v>
      </c>
      <c r="F1214" s="45">
        <v>15</v>
      </c>
      <c r="J1214" s="45">
        <v>12</v>
      </c>
      <c r="K1214" s="45" t="s">
        <v>333</v>
      </c>
    </row>
    <row r="1215" spans="1:11">
      <c r="A1215" s="2">
        <v>43944</v>
      </c>
      <c r="B1215" s="45">
        <v>0.33333333333333331</v>
      </c>
      <c r="C1215" s="45" t="s">
        <v>44</v>
      </c>
      <c r="E1215" s="45">
        <v>1670</v>
      </c>
      <c r="F1215" s="45">
        <v>66</v>
      </c>
      <c r="G1215" s="45">
        <v>11</v>
      </c>
      <c r="H1215" s="45">
        <v>7</v>
      </c>
      <c r="J1215" s="45">
        <v>79</v>
      </c>
      <c r="K1215" s="45" t="s">
        <v>46</v>
      </c>
    </row>
    <row r="1216" spans="1:11">
      <c r="A1216" s="2">
        <v>43944</v>
      </c>
      <c r="B1216" s="45">
        <v>0.33333333333333331</v>
      </c>
      <c r="C1216" s="45" t="s">
        <v>89</v>
      </c>
      <c r="E1216" s="45">
        <v>3106</v>
      </c>
      <c r="F1216" s="45">
        <v>215</v>
      </c>
      <c r="G1216" s="45">
        <v>41</v>
      </c>
      <c r="H1216" s="45">
        <v>32</v>
      </c>
      <c r="I1216" s="45">
        <v>676</v>
      </c>
      <c r="J1216" s="45">
        <v>298</v>
      </c>
      <c r="K1216" s="45" t="s">
        <v>507</v>
      </c>
    </row>
    <row r="1217" spans="1:11">
      <c r="A1217" s="2">
        <v>43944</v>
      </c>
      <c r="B1217" s="45">
        <v>0.33333333333333331</v>
      </c>
      <c r="C1217" s="45" t="s">
        <v>99</v>
      </c>
      <c r="E1217" s="45">
        <v>178</v>
      </c>
      <c r="F1217" s="45">
        <v>6</v>
      </c>
      <c r="G1217" s="45">
        <v>3</v>
      </c>
      <c r="I1217" s="45">
        <v>133</v>
      </c>
      <c r="J1217" s="45">
        <v>8</v>
      </c>
      <c r="K1217" s="45" t="s">
        <v>328</v>
      </c>
    </row>
    <row r="1218" spans="1:11">
      <c r="A1218" s="2">
        <v>43944</v>
      </c>
      <c r="B1218" s="45">
        <v>0.375</v>
      </c>
      <c r="C1218" s="45" t="s">
        <v>50</v>
      </c>
      <c r="E1218" s="45">
        <v>931</v>
      </c>
      <c r="F1218" s="45">
        <v>42</v>
      </c>
      <c r="G1218" s="45">
        <v>7</v>
      </c>
      <c r="I1218" s="45">
        <v>793</v>
      </c>
      <c r="J1218" s="45">
        <v>45</v>
      </c>
      <c r="K1218" s="45" t="s">
        <v>332</v>
      </c>
    </row>
    <row r="1219" spans="1:11">
      <c r="A1219" s="2">
        <v>43944</v>
      </c>
      <c r="B1219" s="45">
        <v>0.39583333333333331</v>
      </c>
      <c r="C1219" s="45" t="s">
        <v>79</v>
      </c>
      <c r="E1219" s="45">
        <v>65</v>
      </c>
      <c r="F1219" s="45">
        <v>8</v>
      </c>
      <c r="G1219" s="45">
        <v>2</v>
      </c>
      <c r="J1219" s="45">
        <v>3</v>
      </c>
      <c r="K1219" s="45" t="s">
        <v>703</v>
      </c>
    </row>
    <row r="1220" spans="1:11">
      <c r="A1220" s="2">
        <v>43944</v>
      </c>
      <c r="B1220" s="45">
        <v>0.41666666666666669</v>
      </c>
      <c r="C1220" s="45" t="s">
        <v>84</v>
      </c>
      <c r="E1220" s="45">
        <v>282</v>
      </c>
      <c r="I1220" s="45">
        <v>198</v>
      </c>
      <c r="J1220" s="45">
        <v>16</v>
      </c>
      <c r="K1220" s="45" t="s">
        <v>704</v>
      </c>
    </row>
    <row r="1221" spans="1:11">
      <c r="A1221" s="2">
        <v>43944</v>
      </c>
      <c r="B1221" s="45">
        <v>0.45833333333333331</v>
      </c>
      <c r="C1221" s="45" t="s">
        <v>38</v>
      </c>
      <c r="E1221" s="45">
        <v>25</v>
      </c>
      <c r="J1221" s="45">
        <v>0</v>
      </c>
      <c r="K1221" s="45" t="s">
        <v>40</v>
      </c>
    </row>
    <row r="1222" spans="1:11">
      <c r="A1222" s="2">
        <v>43944</v>
      </c>
      <c r="B1222" s="45">
        <v>0.45833333333333331</v>
      </c>
      <c r="C1222" s="45" t="s">
        <v>66</v>
      </c>
      <c r="E1222" s="45">
        <v>654</v>
      </c>
      <c r="F1222" s="45">
        <v>38</v>
      </c>
      <c r="G1222" s="45">
        <v>7</v>
      </c>
      <c r="J1222" s="45">
        <v>15</v>
      </c>
      <c r="K1222" s="45" t="s">
        <v>68</v>
      </c>
    </row>
    <row r="1223" spans="1:11">
      <c r="A1223" s="2">
        <v>43944</v>
      </c>
      <c r="B1223" s="45">
        <v>0.54166666666666663</v>
      </c>
      <c r="C1223" s="45" t="s">
        <v>73</v>
      </c>
      <c r="E1223" s="45">
        <v>68</v>
      </c>
      <c r="F1223" s="45">
        <v>0</v>
      </c>
      <c r="J1223" s="45">
        <v>0</v>
      </c>
      <c r="K1223" s="45" t="s">
        <v>75</v>
      </c>
    </row>
    <row r="1224" spans="1:11">
      <c r="A1224" s="2">
        <v>43944</v>
      </c>
      <c r="B1224" s="45">
        <v>0.5625</v>
      </c>
      <c r="C1224" s="45" t="s">
        <v>60</v>
      </c>
      <c r="E1224" s="45">
        <v>117</v>
      </c>
      <c r="F1224" s="45">
        <v>3</v>
      </c>
      <c r="J1224" s="45">
        <v>6</v>
      </c>
      <c r="K1224" s="45" t="s">
        <v>609</v>
      </c>
    </row>
    <row r="1225" spans="1:11">
      <c r="A1225" s="2">
        <v>43944</v>
      </c>
      <c r="B1225" s="45">
        <v>0.58333333333333337</v>
      </c>
      <c r="C1225" s="45" t="s">
        <v>41</v>
      </c>
      <c r="E1225" s="45">
        <v>88</v>
      </c>
      <c r="F1225" s="45">
        <v>5</v>
      </c>
      <c r="G1225" s="45">
        <v>2</v>
      </c>
      <c r="J1225" s="45">
        <v>3</v>
      </c>
      <c r="K1225" s="45" t="s">
        <v>43</v>
      </c>
    </row>
    <row r="1226" spans="1:11">
      <c r="A1226" s="2">
        <v>43944</v>
      </c>
      <c r="B1226" s="45">
        <v>0.60416666666666663</v>
      </c>
      <c r="C1226" s="45" t="s">
        <v>101</v>
      </c>
      <c r="E1226" s="45">
        <v>3337</v>
      </c>
      <c r="F1226" s="45">
        <v>96</v>
      </c>
      <c r="H1226" s="45">
        <v>44</v>
      </c>
      <c r="J1226" s="45">
        <v>113</v>
      </c>
      <c r="K1226" s="45" t="s">
        <v>103</v>
      </c>
    </row>
    <row r="1227" spans="1:11">
      <c r="A1227" s="2">
        <v>43944</v>
      </c>
      <c r="B1227" s="45">
        <v>0.61458333333333337</v>
      </c>
      <c r="C1227" s="45" t="s">
        <v>34</v>
      </c>
      <c r="E1227" s="45">
        <v>1037</v>
      </c>
      <c r="F1227" s="45">
        <v>35</v>
      </c>
      <c r="G1227" s="45">
        <v>14</v>
      </c>
      <c r="H1227" s="45">
        <v>14</v>
      </c>
      <c r="I1227" s="45">
        <v>750</v>
      </c>
      <c r="J1227" s="45">
        <v>31</v>
      </c>
      <c r="K1227" s="45" t="s">
        <v>329</v>
      </c>
    </row>
    <row r="1228" spans="1:11">
      <c r="A1228" s="2">
        <v>43944</v>
      </c>
      <c r="B1228" s="45">
        <v>0.625</v>
      </c>
      <c r="C1228" s="45" t="s">
        <v>91</v>
      </c>
      <c r="E1228" s="45">
        <v>78</v>
      </c>
      <c r="F1228" s="45">
        <v>4</v>
      </c>
      <c r="I1228" s="45">
        <v>69</v>
      </c>
      <c r="J1228" s="45">
        <v>5</v>
      </c>
      <c r="K1228" s="45" t="s">
        <v>93</v>
      </c>
    </row>
    <row r="1229" spans="1:11">
      <c r="A1229" s="2">
        <v>43945</v>
      </c>
      <c r="C1229" s="45" t="s">
        <v>47</v>
      </c>
      <c r="E1229" s="45">
        <v>813</v>
      </c>
      <c r="F1229" s="45">
        <v>24</v>
      </c>
      <c r="G1229" s="45">
        <v>2</v>
      </c>
      <c r="H1229" s="45">
        <v>1</v>
      </c>
      <c r="I1229" s="45">
        <v>698</v>
      </c>
      <c r="J1229" s="45">
        <v>30</v>
      </c>
      <c r="K1229" s="45" t="s">
        <v>49</v>
      </c>
    </row>
    <row r="1230" spans="1:11">
      <c r="A1230" s="2">
        <v>43945</v>
      </c>
      <c r="C1230" s="45" t="s">
        <v>53</v>
      </c>
      <c r="E1230" s="45">
        <v>82</v>
      </c>
      <c r="J1230" s="45">
        <v>1</v>
      </c>
      <c r="K1230" s="45" t="s">
        <v>336</v>
      </c>
    </row>
    <row r="1231" spans="1:11">
      <c r="A1231" s="2">
        <v>43945</v>
      </c>
      <c r="C1231" s="45" t="s">
        <v>56</v>
      </c>
      <c r="E1231" s="45">
        <v>1021</v>
      </c>
      <c r="F1231" s="45">
        <v>55</v>
      </c>
      <c r="G1231" s="45">
        <v>8</v>
      </c>
      <c r="I1231" s="45">
        <v>119</v>
      </c>
      <c r="J1231" s="45">
        <v>76</v>
      </c>
      <c r="K1231" s="45" t="s">
        <v>736</v>
      </c>
    </row>
    <row r="1232" spans="1:11">
      <c r="A1232" s="2">
        <v>43945</v>
      </c>
      <c r="C1232" s="45" t="s">
        <v>58</v>
      </c>
      <c r="D1232" s="45">
        <v>23757</v>
      </c>
      <c r="E1232" s="45">
        <v>4859</v>
      </c>
      <c r="F1232" s="45">
        <v>278</v>
      </c>
      <c r="G1232" s="45">
        <v>26</v>
      </c>
      <c r="H1232" s="45">
        <v>25</v>
      </c>
      <c r="I1232" s="45">
        <v>600</v>
      </c>
      <c r="J1232" s="45">
        <v>239</v>
      </c>
      <c r="K1232" s="45" t="s">
        <v>369</v>
      </c>
    </row>
    <row r="1233" spans="1:11">
      <c r="A1233" s="2">
        <v>43945</v>
      </c>
      <c r="C1233" s="45" t="s">
        <v>62</v>
      </c>
      <c r="E1233" s="45">
        <v>799</v>
      </c>
      <c r="F1233" s="45">
        <v>29</v>
      </c>
      <c r="J1233" s="45">
        <v>44</v>
      </c>
      <c r="K1233" s="45" t="s">
        <v>511</v>
      </c>
    </row>
    <row r="1234" spans="1:11">
      <c r="A1234" s="2">
        <v>43945</v>
      </c>
      <c r="C1234" s="45" t="s">
        <v>64</v>
      </c>
      <c r="E1234" s="45">
        <v>196</v>
      </c>
      <c r="F1234" s="45">
        <v>12</v>
      </c>
      <c r="G1234" s="45">
        <v>4</v>
      </c>
      <c r="J1234" s="45">
        <v>6</v>
      </c>
      <c r="K1234" s="45" t="s">
        <v>688</v>
      </c>
    </row>
    <row r="1235" spans="1:11">
      <c r="A1235" s="2">
        <v>43945</v>
      </c>
      <c r="C1235" s="45" t="s">
        <v>69</v>
      </c>
      <c r="E1235" s="45">
        <v>665</v>
      </c>
      <c r="F1235" s="45">
        <v>36</v>
      </c>
      <c r="G1235" s="45">
        <v>6</v>
      </c>
      <c r="H1235" s="45">
        <v>4</v>
      </c>
      <c r="J1235" s="45">
        <v>70</v>
      </c>
      <c r="K1235" s="45" t="s">
        <v>325</v>
      </c>
    </row>
    <row r="1236" spans="1:11">
      <c r="A1236" s="2">
        <v>43945</v>
      </c>
      <c r="C1236" s="45" t="s">
        <v>71</v>
      </c>
      <c r="E1236" s="45">
        <v>108</v>
      </c>
      <c r="F1236" s="45">
        <v>3</v>
      </c>
      <c r="G1236" s="45">
        <v>0</v>
      </c>
      <c r="J1236" s="45">
        <v>3</v>
      </c>
      <c r="K1236" s="45" t="s">
        <v>310</v>
      </c>
    </row>
    <row r="1237" spans="1:11">
      <c r="A1237" s="2">
        <v>43945</v>
      </c>
      <c r="C1237" s="45" t="s">
        <v>76</v>
      </c>
      <c r="E1237" s="45">
        <v>745</v>
      </c>
      <c r="F1237" s="45">
        <v>43</v>
      </c>
      <c r="G1237" s="45">
        <v>4</v>
      </c>
      <c r="I1237" s="45">
        <v>175</v>
      </c>
      <c r="J1237" s="45">
        <v>31</v>
      </c>
      <c r="K1237" s="45" t="s">
        <v>78</v>
      </c>
    </row>
    <row r="1238" spans="1:11">
      <c r="A1238" s="2">
        <v>43945</v>
      </c>
      <c r="C1238" s="45" t="s">
        <v>86</v>
      </c>
      <c r="E1238" s="45">
        <v>359</v>
      </c>
      <c r="F1238" s="45">
        <v>21</v>
      </c>
      <c r="G1238" s="45">
        <v>9</v>
      </c>
      <c r="J1238" s="45">
        <v>14</v>
      </c>
      <c r="K1238" s="45" t="s">
        <v>88</v>
      </c>
    </row>
    <row r="1239" spans="1:11">
      <c r="A1239" s="2">
        <v>43945</v>
      </c>
      <c r="C1239" s="45" t="s">
        <v>94</v>
      </c>
      <c r="E1239" s="45">
        <v>5204</v>
      </c>
      <c r="F1239" s="45">
        <v>168</v>
      </c>
      <c r="G1239" s="45">
        <v>36</v>
      </c>
      <c r="J1239" s="45">
        <v>357</v>
      </c>
      <c r="K1239" s="45" t="s">
        <v>96</v>
      </c>
    </row>
    <row r="1240" spans="1:11">
      <c r="A1240" s="2">
        <v>43945</v>
      </c>
      <c r="C1240" s="45" t="s">
        <v>97</v>
      </c>
      <c r="E1240" s="45">
        <v>1831</v>
      </c>
      <c r="F1240" s="45">
        <v>71</v>
      </c>
      <c r="G1240" s="45">
        <v>14</v>
      </c>
      <c r="H1240" s="45">
        <v>9</v>
      </c>
      <c r="J1240" s="45">
        <v>127</v>
      </c>
      <c r="K1240" s="45" t="s">
        <v>620</v>
      </c>
    </row>
    <row r="1241" spans="1:11">
      <c r="A1241" s="2">
        <v>43945</v>
      </c>
      <c r="B1241" s="45">
        <v>0</v>
      </c>
      <c r="C1241" s="45" t="s">
        <v>81</v>
      </c>
      <c r="E1241" s="45">
        <v>376</v>
      </c>
      <c r="F1241" s="45">
        <v>15</v>
      </c>
      <c r="J1241" s="45">
        <v>14</v>
      </c>
      <c r="K1241" s="45" t="s">
        <v>333</v>
      </c>
    </row>
    <row r="1242" spans="1:11">
      <c r="A1242" s="2">
        <v>43945</v>
      </c>
      <c r="B1242" s="45">
        <v>0.33333333333333331</v>
      </c>
      <c r="C1242" s="45" t="s">
        <v>44</v>
      </c>
      <c r="E1242" s="45">
        <v>1694</v>
      </c>
      <c r="F1242" s="45">
        <v>60</v>
      </c>
      <c r="G1242" s="45">
        <v>11</v>
      </c>
      <c r="H1242" s="45">
        <v>8</v>
      </c>
      <c r="J1242" s="45">
        <v>82</v>
      </c>
      <c r="K1242" s="45" t="s">
        <v>46</v>
      </c>
    </row>
    <row r="1243" spans="1:11">
      <c r="A1243" s="2">
        <v>43945</v>
      </c>
      <c r="B1243" s="45">
        <v>0.33333333333333331</v>
      </c>
      <c r="C1243" s="45" t="s">
        <v>89</v>
      </c>
      <c r="E1243" s="45">
        <v>3121</v>
      </c>
      <c r="F1243" s="45">
        <v>214</v>
      </c>
      <c r="G1243" s="45">
        <v>42</v>
      </c>
      <c r="H1243" s="45">
        <v>33</v>
      </c>
      <c r="I1243" s="45">
        <v>682</v>
      </c>
      <c r="J1243" s="45">
        <v>299</v>
      </c>
      <c r="K1243" s="45" t="s">
        <v>507</v>
      </c>
    </row>
    <row r="1244" spans="1:11">
      <c r="A1244" s="2">
        <v>43945</v>
      </c>
      <c r="B1244" s="45">
        <v>0.33333333333333331</v>
      </c>
      <c r="C1244" s="45" t="s">
        <v>99</v>
      </c>
      <c r="E1244" s="45">
        <v>180</v>
      </c>
      <c r="F1244" s="45">
        <v>6</v>
      </c>
      <c r="G1244" s="45">
        <v>3</v>
      </c>
      <c r="I1244" s="45">
        <v>133</v>
      </c>
      <c r="J1244" s="45">
        <v>8</v>
      </c>
      <c r="K1244" s="45" t="s">
        <v>328</v>
      </c>
    </row>
    <row r="1245" spans="1:11">
      <c r="A1245" s="2">
        <v>43945</v>
      </c>
      <c r="B1245" s="45">
        <v>0.38541666666666669</v>
      </c>
      <c r="C1245" s="45" t="s">
        <v>50</v>
      </c>
      <c r="E1245" s="45">
        <v>936</v>
      </c>
      <c r="F1245" s="45">
        <v>40</v>
      </c>
      <c r="G1245" s="45">
        <v>7</v>
      </c>
      <c r="I1245" s="45">
        <v>800</v>
      </c>
      <c r="J1245" s="45">
        <v>46</v>
      </c>
      <c r="K1245" s="45" t="s">
        <v>331</v>
      </c>
    </row>
    <row r="1246" spans="1:11">
      <c r="A1246" s="2">
        <v>43945</v>
      </c>
      <c r="B1246" s="45">
        <v>0.39583333333333331</v>
      </c>
      <c r="C1246" s="45" t="s">
        <v>41</v>
      </c>
      <c r="E1246" s="45">
        <v>88</v>
      </c>
      <c r="F1246" s="45">
        <v>4</v>
      </c>
      <c r="G1246" s="45">
        <v>2</v>
      </c>
      <c r="J1246" s="45">
        <v>3</v>
      </c>
      <c r="K1246" s="45" t="s">
        <v>43</v>
      </c>
    </row>
    <row r="1247" spans="1:11">
      <c r="A1247" s="2">
        <v>43945</v>
      </c>
      <c r="B1247" s="45">
        <v>0.39583333333333331</v>
      </c>
      <c r="C1247" s="45" t="s">
        <v>79</v>
      </c>
      <c r="E1247" s="45">
        <v>70</v>
      </c>
      <c r="F1247" s="45">
        <v>4</v>
      </c>
      <c r="G1247" s="45">
        <v>1</v>
      </c>
      <c r="J1247" s="45">
        <v>3</v>
      </c>
      <c r="K1247" s="45" t="s">
        <v>703</v>
      </c>
    </row>
    <row r="1248" spans="1:11">
      <c r="A1248" s="2">
        <v>43945</v>
      </c>
      <c r="B1248" s="45">
        <v>0.41666666666666669</v>
      </c>
      <c r="C1248" s="45" t="s">
        <v>84</v>
      </c>
      <c r="E1248" s="45">
        <v>284</v>
      </c>
      <c r="I1248" s="45">
        <v>206</v>
      </c>
      <c r="J1248" s="45">
        <v>16</v>
      </c>
      <c r="K1248" s="45" t="s">
        <v>704</v>
      </c>
    </row>
    <row r="1249" spans="1:11">
      <c r="A1249" s="2">
        <v>43945</v>
      </c>
      <c r="B1249" s="45">
        <v>0.45833333333333331</v>
      </c>
      <c r="C1249" s="45" t="s">
        <v>38</v>
      </c>
      <c r="E1249" s="45">
        <v>25</v>
      </c>
      <c r="J1249" s="45">
        <v>0</v>
      </c>
      <c r="K1249" s="45" t="s">
        <v>40</v>
      </c>
    </row>
    <row r="1250" spans="1:11">
      <c r="A1250" s="2">
        <v>43945</v>
      </c>
      <c r="B1250" s="45">
        <v>0.45833333333333331</v>
      </c>
      <c r="C1250" s="45" t="s">
        <v>66</v>
      </c>
      <c r="E1250" s="45">
        <v>660</v>
      </c>
      <c r="J1250" s="45">
        <v>16</v>
      </c>
      <c r="K1250" s="45" t="s">
        <v>68</v>
      </c>
    </row>
    <row r="1251" spans="1:11">
      <c r="A1251" s="2">
        <v>43945</v>
      </c>
      <c r="B1251" s="45">
        <v>0.54166666666666663</v>
      </c>
      <c r="C1251" s="45" t="s">
        <v>60</v>
      </c>
      <c r="E1251" s="45">
        <v>117</v>
      </c>
      <c r="F1251" s="45">
        <v>3</v>
      </c>
      <c r="J1251" s="45">
        <v>7</v>
      </c>
      <c r="K1251" s="45" t="s">
        <v>609</v>
      </c>
    </row>
    <row r="1252" spans="1:11">
      <c r="A1252" s="2">
        <v>43945</v>
      </c>
      <c r="B1252" s="45">
        <v>0.58333333333333337</v>
      </c>
      <c r="C1252" s="45" t="s">
        <v>91</v>
      </c>
      <c r="E1252" s="45">
        <v>78</v>
      </c>
      <c r="F1252" s="45">
        <v>3</v>
      </c>
      <c r="I1252" s="45">
        <v>69</v>
      </c>
      <c r="J1252" s="45">
        <v>5</v>
      </c>
      <c r="K1252" s="45" t="s">
        <v>93</v>
      </c>
    </row>
    <row r="1253" spans="1:11">
      <c r="A1253" s="2">
        <v>43945</v>
      </c>
      <c r="B1253" s="45">
        <v>0.60416666666666663</v>
      </c>
      <c r="C1253" s="45" t="s">
        <v>101</v>
      </c>
      <c r="E1253" s="45">
        <v>3366</v>
      </c>
      <c r="F1253" s="45">
        <v>83</v>
      </c>
      <c r="H1253" s="45">
        <v>42</v>
      </c>
      <c r="J1253" s="45">
        <v>114</v>
      </c>
      <c r="K1253" s="45" t="s">
        <v>103</v>
      </c>
    </row>
    <row r="1254" spans="1:11">
      <c r="A1254" s="2">
        <v>43945</v>
      </c>
      <c r="B1254" s="45">
        <v>0.61458333333333337</v>
      </c>
      <c r="C1254" s="45" t="s">
        <v>34</v>
      </c>
      <c r="E1254" s="45">
        <v>1052</v>
      </c>
      <c r="F1254" s="45">
        <v>40</v>
      </c>
      <c r="G1254" s="45">
        <v>14</v>
      </c>
      <c r="H1254" s="45">
        <v>14</v>
      </c>
      <c r="I1254" s="45">
        <v>780</v>
      </c>
      <c r="J1254" s="45">
        <v>31</v>
      </c>
      <c r="K1254" s="45" t="s">
        <v>335</v>
      </c>
    </row>
    <row r="1255" spans="1:11">
      <c r="A1255" s="2">
        <v>43945</v>
      </c>
      <c r="B1255" s="45">
        <v>0.70833333333333337</v>
      </c>
      <c r="C1255" s="45" t="s">
        <v>73</v>
      </c>
      <c r="E1255" s="45">
        <v>71</v>
      </c>
      <c r="F1255" s="45">
        <v>0</v>
      </c>
      <c r="J1255" s="45">
        <v>0</v>
      </c>
      <c r="K1255" s="45" t="s">
        <v>75</v>
      </c>
    </row>
    <row r="1256" spans="1:11">
      <c r="A1256" s="2">
        <v>43946</v>
      </c>
      <c r="C1256" s="45" t="s">
        <v>47</v>
      </c>
      <c r="E1256" s="45">
        <v>816</v>
      </c>
      <c r="F1256" s="45">
        <v>23</v>
      </c>
      <c r="G1256" s="45">
        <v>1</v>
      </c>
      <c r="H1256" s="45">
        <v>0</v>
      </c>
      <c r="I1256" s="45">
        <v>710</v>
      </c>
      <c r="J1256" s="45">
        <v>30</v>
      </c>
      <c r="K1256" s="45" t="s">
        <v>49</v>
      </c>
    </row>
    <row r="1257" spans="1:11">
      <c r="A1257" s="2">
        <v>43946</v>
      </c>
      <c r="C1257" s="45" t="s">
        <v>53</v>
      </c>
      <c r="E1257" s="45">
        <v>82</v>
      </c>
      <c r="J1257" s="45">
        <v>1</v>
      </c>
      <c r="K1257" s="45" t="s">
        <v>342</v>
      </c>
    </row>
    <row r="1258" spans="1:11">
      <c r="A1258" s="2">
        <v>43946</v>
      </c>
      <c r="C1258" s="45" t="s">
        <v>56</v>
      </c>
      <c r="E1258" s="45">
        <v>1029</v>
      </c>
      <c r="F1258" s="45">
        <v>54</v>
      </c>
      <c r="G1258" s="45">
        <v>7</v>
      </c>
      <c r="I1258" s="45">
        <v>119</v>
      </c>
      <c r="J1258" s="45">
        <v>76</v>
      </c>
      <c r="K1258" s="45" t="s">
        <v>736</v>
      </c>
    </row>
    <row r="1259" spans="1:11">
      <c r="A1259" s="2">
        <v>43946</v>
      </c>
      <c r="C1259" s="45" t="s">
        <v>58</v>
      </c>
      <c r="D1259" s="45">
        <v>24115</v>
      </c>
      <c r="E1259" s="45">
        <v>4872</v>
      </c>
      <c r="F1259" s="45">
        <v>271</v>
      </c>
      <c r="G1259" s="45">
        <v>27</v>
      </c>
      <c r="H1259" s="45">
        <v>26</v>
      </c>
      <c r="J1259" s="45">
        <v>240</v>
      </c>
      <c r="K1259" s="45" t="s">
        <v>369</v>
      </c>
    </row>
    <row r="1260" spans="1:11">
      <c r="A1260" s="2">
        <v>43946</v>
      </c>
      <c r="C1260" s="45" t="s">
        <v>62</v>
      </c>
      <c r="E1260" s="45">
        <v>800</v>
      </c>
      <c r="F1260" s="45">
        <v>28</v>
      </c>
      <c r="J1260" s="45">
        <v>44</v>
      </c>
      <c r="K1260" s="45" t="s">
        <v>511</v>
      </c>
    </row>
    <row r="1261" spans="1:11">
      <c r="A1261" s="2">
        <v>43946</v>
      </c>
      <c r="C1261" s="45" t="s">
        <v>64</v>
      </c>
      <c r="E1261" s="45">
        <v>196</v>
      </c>
      <c r="F1261" s="45">
        <v>12</v>
      </c>
      <c r="G1261" s="45">
        <v>4</v>
      </c>
      <c r="J1261" s="45">
        <v>6</v>
      </c>
      <c r="K1261" s="45" t="s">
        <v>688</v>
      </c>
    </row>
    <row r="1262" spans="1:11">
      <c r="A1262" s="2">
        <v>43946</v>
      </c>
      <c r="C1262" s="45" t="s">
        <v>69</v>
      </c>
      <c r="E1262" s="45">
        <v>666</v>
      </c>
      <c r="F1262" s="45">
        <v>35</v>
      </c>
      <c r="G1262" s="45">
        <v>4</v>
      </c>
      <c r="H1262" s="45">
        <v>3</v>
      </c>
      <c r="J1262" s="45">
        <v>71</v>
      </c>
      <c r="K1262" s="45" t="s">
        <v>325</v>
      </c>
    </row>
    <row r="1263" spans="1:11">
      <c r="A1263" s="2">
        <v>43946</v>
      </c>
      <c r="C1263" s="45" t="s">
        <v>71</v>
      </c>
      <c r="E1263" s="45">
        <v>108</v>
      </c>
      <c r="F1263" s="45">
        <v>3</v>
      </c>
      <c r="G1263" s="45">
        <v>0</v>
      </c>
      <c r="J1263" s="45">
        <v>3</v>
      </c>
      <c r="K1263" s="45" t="s">
        <v>310</v>
      </c>
    </row>
    <row r="1264" spans="1:11">
      <c r="A1264" s="2">
        <v>43946</v>
      </c>
      <c r="C1264" s="45" t="s">
        <v>76</v>
      </c>
      <c r="E1264" s="45">
        <v>753</v>
      </c>
      <c r="J1264" s="45">
        <v>31</v>
      </c>
      <c r="K1264" s="45" t="s">
        <v>78</v>
      </c>
    </row>
    <row r="1265" spans="1:11">
      <c r="A1265" s="2">
        <v>43946</v>
      </c>
      <c r="C1265" s="45" t="s">
        <v>86</v>
      </c>
      <c r="E1265" s="45">
        <v>360</v>
      </c>
      <c r="F1265" s="45">
        <v>23</v>
      </c>
      <c r="G1265" s="45">
        <v>8</v>
      </c>
      <c r="J1265" s="45">
        <v>14</v>
      </c>
      <c r="K1265" s="45" t="s">
        <v>88</v>
      </c>
    </row>
    <row r="1266" spans="1:11">
      <c r="A1266" s="2">
        <v>43946</v>
      </c>
      <c r="C1266" s="45" t="s">
        <v>94</v>
      </c>
      <c r="E1266" s="45">
        <v>5217</v>
      </c>
      <c r="F1266" s="45">
        <v>173</v>
      </c>
      <c r="G1266" s="45">
        <v>36</v>
      </c>
      <c r="J1266" s="45">
        <v>367</v>
      </c>
      <c r="K1266" s="45" t="s">
        <v>96</v>
      </c>
    </row>
    <row r="1267" spans="1:11">
      <c r="A1267" s="2">
        <v>43946</v>
      </c>
      <c r="C1267" s="45" t="s">
        <v>97</v>
      </c>
      <c r="E1267" s="45">
        <v>1836</v>
      </c>
      <c r="F1267" s="45">
        <v>74</v>
      </c>
      <c r="G1267" s="45">
        <v>14</v>
      </c>
      <c r="H1267" s="45">
        <v>9</v>
      </c>
      <c r="J1267" s="45">
        <v>129</v>
      </c>
      <c r="K1267" s="45" t="s">
        <v>620</v>
      </c>
    </row>
    <row r="1268" spans="1:11">
      <c r="A1268" s="2">
        <v>43946</v>
      </c>
      <c r="B1268" s="45">
        <v>0</v>
      </c>
      <c r="C1268" s="45" t="s">
        <v>81</v>
      </c>
      <c r="E1268" s="45">
        <v>379</v>
      </c>
      <c r="F1268" s="45">
        <v>13</v>
      </c>
      <c r="J1268" s="45">
        <v>14</v>
      </c>
      <c r="K1268" s="45" t="s">
        <v>333</v>
      </c>
    </row>
    <row r="1269" spans="1:11">
      <c r="A1269" s="2">
        <v>43946</v>
      </c>
      <c r="B1269" s="45">
        <v>6.9444444444444447E-4</v>
      </c>
      <c r="C1269" s="45" t="s">
        <v>84</v>
      </c>
      <c r="E1269" s="45">
        <v>287</v>
      </c>
      <c r="I1269" s="45">
        <v>215</v>
      </c>
      <c r="J1269" s="45">
        <v>17</v>
      </c>
      <c r="K1269" s="45" t="s">
        <v>704</v>
      </c>
    </row>
    <row r="1270" spans="1:11">
      <c r="A1270" s="2">
        <v>43946</v>
      </c>
      <c r="B1270" s="45">
        <v>0.33333333333333331</v>
      </c>
      <c r="C1270" s="45" t="s">
        <v>44</v>
      </c>
      <c r="E1270" s="45">
        <v>1708</v>
      </c>
      <c r="F1270" s="45">
        <v>61</v>
      </c>
      <c r="G1270" s="45">
        <v>11</v>
      </c>
      <c r="H1270" s="45">
        <v>10</v>
      </c>
      <c r="J1270" s="45">
        <v>83</v>
      </c>
      <c r="K1270" s="45" t="s">
        <v>46</v>
      </c>
    </row>
    <row r="1271" spans="1:11">
      <c r="A1271" s="2">
        <v>43946</v>
      </c>
      <c r="B1271" s="45">
        <v>0.33333333333333331</v>
      </c>
      <c r="C1271" s="45" t="s">
        <v>89</v>
      </c>
      <c r="E1271" s="45">
        <v>3142</v>
      </c>
      <c r="F1271" s="45">
        <v>198</v>
      </c>
      <c r="G1271" s="45">
        <v>40</v>
      </c>
      <c r="H1271" s="45">
        <v>30</v>
      </c>
      <c r="I1271" s="45">
        <v>698</v>
      </c>
      <c r="J1271" s="45">
        <v>304</v>
      </c>
      <c r="K1271" s="45" t="s">
        <v>507</v>
      </c>
    </row>
    <row r="1272" spans="1:11">
      <c r="A1272" s="2">
        <v>43946</v>
      </c>
      <c r="B1272" s="45">
        <v>0.33333333333333331</v>
      </c>
      <c r="C1272" s="45" t="s">
        <v>99</v>
      </c>
      <c r="E1272" s="45">
        <v>181</v>
      </c>
      <c r="F1272" s="45">
        <v>6</v>
      </c>
      <c r="G1272" s="45">
        <v>3</v>
      </c>
      <c r="I1272" s="45">
        <v>133</v>
      </c>
      <c r="J1272" s="45">
        <v>8</v>
      </c>
      <c r="K1272" s="45" t="s">
        <v>328</v>
      </c>
    </row>
    <row r="1273" spans="1:11">
      <c r="A1273" s="2">
        <v>43946</v>
      </c>
      <c r="B1273" s="45">
        <v>0.39583333333333331</v>
      </c>
      <c r="C1273" s="45" t="s">
        <v>50</v>
      </c>
      <c r="E1273" s="45">
        <v>938</v>
      </c>
      <c r="J1273" s="45">
        <v>46</v>
      </c>
      <c r="K1273" s="45" t="s">
        <v>352</v>
      </c>
    </row>
    <row r="1274" spans="1:11">
      <c r="A1274" s="2">
        <v>43946</v>
      </c>
      <c r="B1274" s="45">
        <v>0.39583333333333331</v>
      </c>
      <c r="C1274" s="45" t="s">
        <v>79</v>
      </c>
      <c r="E1274" s="45">
        <v>71</v>
      </c>
      <c r="F1274" s="45">
        <v>6</v>
      </c>
      <c r="G1274" s="45">
        <v>1</v>
      </c>
      <c r="J1274" s="45">
        <v>5</v>
      </c>
      <c r="K1274" s="45" t="s">
        <v>703</v>
      </c>
    </row>
    <row r="1275" spans="1:11">
      <c r="A1275" s="2">
        <v>43946</v>
      </c>
      <c r="B1275" s="45">
        <v>0.45833333333333331</v>
      </c>
      <c r="C1275" s="45" t="s">
        <v>38</v>
      </c>
      <c r="E1275" s="45">
        <v>25</v>
      </c>
      <c r="J1275" s="45">
        <v>0</v>
      </c>
      <c r="K1275" s="45" t="s">
        <v>40</v>
      </c>
    </row>
    <row r="1276" spans="1:11">
      <c r="A1276" s="2">
        <v>43946</v>
      </c>
      <c r="B1276" s="45">
        <v>0.5</v>
      </c>
      <c r="C1276" s="45" t="s">
        <v>66</v>
      </c>
      <c r="E1276" s="45">
        <v>667</v>
      </c>
      <c r="F1276" s="45">
        <v>32</v>
      </c>
      <c r="G1276" s="45">
        <v>8</v>
      </c>
      <c r="J1276" s="45">
        <v>16</v>
      </c>
      <c r="K1276" s="45" t="s">
        <v>68</v>
      </c>
    </row>
    <row r="1277" spans="1:11">
      <c r="A1277" s="2">
        <v>43946</v>
      </c>
      <c r="B1277" s="45">
        <v>0.5</v>
      </c>
      <c r="C1277" s="45" t="s">
        <v>91</v>
      </c>
      <c r="E1277" s="45">
        <v>78</v>
      </c>
      <c r="F1277" s="45">
        <v>3</v>
      </c>
      <c r="I1277" s="45">
        <v>69</v>
      </c>
      <c r="J1277" s="45">
        <v>5</v>
      </c>
      <c r="K1277" s="45" t="s">
        <v>93</v>
      </c>
    </row>
    <row r="1278" spans="1:11">
      <c r="A1278" s="2">
        <v>43946</v>
      </c>
      <c r="B1278" s="45">
        <v>0.54166666666666663</v>
      </c>
      <c r="C1278" s="45" t="s">
        <v>60</v>
      </c>
      <c r="E1278" s="45">
        <v>120</v>
      </c>
      <c r="F1278" s="45">
        <v>3</v>
      </c>
      <c r="J1278" s="45">
        <v>7</v>
      </c>
      <c r="K1278" s="45" t="s">
        <v>609</v>
      </c>
    </row>
    <row r="1279" spans="1:11">
      <c r="A1279" s="2">
        <v>43946</v>
      </c>
      <c r="B1279" s="45">
        <v>0.60416666666666663</v>
      </c>
      <c r="C1279" s="45" t="s">
        <v>101</v>
      </c>
      <c r="E1279" s="45">
        <v>3397</v>
      </c>
      <c r="F1279" s="45">
        <v>77</v>
      </c>
      <c r="H1279" s="45">
        <v>38</v>
      </c>
      <c r="J1279" s="45">
        <v>115</v>
      </c>
      <c r="K1279" s="45" t="s">
        <v>103</v>
      </c>
    </row>
    <row r="1280" spans="1:11">
      <c r="A1280" s="2">
        <v>43947</v>
      </c>
      <c r="C1280" s="45" t="s">
        <v>47</v>
      </c>
      <c r="E1280" s="45">
        <v>816</v>
      </c>
      <c r="F1280" s="45">
        <v>21</v>
      </c>
      <c r="G1280" s="45">
        <v>0</v>
      </c>
      <c r="H1280" s="45">
        <v>0</v>
      </c>
      <c r="I1280" s="45">
        <v>724</v>
      </c>
      <c r="J1280" s="45">
        <v>30</v>
      </c>
      <c r="K1280" s="45" t="s">
        <v>49</v>
      </c>
    </row>
    <row r="1281" spans="1:11">
      <c r="A1281" s="2">
        <v>43947</v>
      </c>
      <c r="C1281" s="45" t="s">
        <v>53</v>
      </c>
      <c r="E1281" s="45">
        <v>82</v>
      </c>
      <c r="J1281" s="45">
        <v>1</v>
      </c>
      <c r="K1281" s="45" t="s">
        <v>343</v>
      </c>
    </row>
    <row r="1282" spans="1:11">
      <c r="A1282" s="2">
        <v>43947</v>
      </c>
      <c r="C1282" s="45" t="s">
        <v>56</v>
      </c>
      <c r="E1282" s="45">
        <v>1033</v>
      </c>
      <c r="F1282" s="45">
        <v>54</v>
      </c>
      <c r="G1282" s="45">
        <v>5</v>
      </c>
      <c r="I1282" s="45">
        <v>120</v>
      </c>
      <c r="J1282" s="45">
        <v>77</v>
      </c>
      <c r="K1282" s="45" t="s">
        <v>736</v>
      </c>
    </row>
    <row r="1283" spans="1:11">
      <c r="A1283" s="2">
        <v>43947</v>
      </c>
      <c r="C1283" s="45" t="s">
        <v>58</v>
      </c>
      <c r="D1283" s="45">
        <v>24297</v>
      </c>
      <c r="E1283" s="45">
        <v>4877</v>
      </c>
      <c r="F1283" s="45">
        <v>271</v>
      </c>
      <c r="G1283" s="45">
        <v>25</v>
      </c>
      <c r="H1283" s="45">
        <v>24</v>
      </c>
      <c r="I1283" s="45">
        <v>610</v>
      </c>
      <c r="J1283" s="45">
        <v>242</v>
      </c>
      <c r="K1283" s="45" t="s">
        <v>369</v>
      </c>
    </row>
    <row r="1284" spans="1:11">
      <c r="A1284" s="2">
        <v>43947</v>
      </c>
      <c r="C1284" s="45" t="s">
        <v>62</v>
      </c>
      <c r="E1284" s="45">
        <v>802</v>
      </c>
      <c r="F1284" s="45">
        <v>28</v>
      </c>
      <c r="J1284" s="45">
        <v>44</v>
      </c>
      <c r="K1284" s="45" t="s">
        <v>511</v>
      </c>
    </row>
    <row r="1285" spans="1:11">
      <c r="A1285" s="2">
        <v>43947</v>
      </c>
      <c r="C1285" s="45" t="s">
        <v>64</v>
      </c>
      <c r="E1285" s="45">
        <v>196</v>
      </c>
      <c r="F1285" s="45">
        <v>12</v>
      </c>
      <c r="G1285" s="45">
        <v>4</v>
      </c>
      <c r="J1285" s="45">
        <v>6</v>
      </c>
      <c r="K1285" s="45" t="s">
        <v>688</v>
      </c>
    </row>
    <row r="1286" spans="1:11">
      <c r="A1286" s="2">
        <v>43947</v>
      </c>
      <c r="C1286" s="45" t="s">
        <v>69</v>
      </c>
      <c r="E1286" s="45">
        <v>667</v>
      </c>
      <c r="F1286" s="45">
        <v>32</v>
      </c>
      <c r="G1286" s="45">
        <v>3</v>
      </c>
      <c r="H1286" s="45">
        <v>3</v>
      </c>
      <c r="J1286" s="45">
        <v>73</v>
      </c>
      <c r="K1286" s="45" t="s">
        <v>325</v>
      </c>
    </row>
    <row r="1287" spans="1:11">
      <c r="A1287" s="2">
        <v>43947</v>
      </c>
      <c r="C1287" s="45" t="s">
        <v>71</v>
      </c>
      <c r="E1287" s="45">
        <v>110</v>
      </c>
      <c r="F1287" s="45">
        <v>3</v>
      </c>
      <c r="G1287" s="45">
        <v>0</v>
      </c>
      <c r="J1287" s="45">
        <v>3</v>
      </c>
      <c r="K1287" s="45" t="s">
        <v>310</v>
      </c>
    </row>
    <row r="1288" spans="1:11">
      <c r="A1288" s="2">
        <v>43947</v>
      </c>
      <c r="C1288" s="45" t="s">
        <v>76</v>
      </c>
      <c r="E1288" s="45">
        <v>761</v>
      </c>
      <c r="F1288" s="45">
        <v>38</v>
      </c>
      <c r="G1288" s="45">
        <v>4</v>
      </c>
      <c r="I1288" s="45">
        <v>176</v>
      </c>
      <c r="J1288" s="45">
        <v>31</v>
      </c>
      <c r="K1288" s="45" t="s">
        <v>78</v>
      </c>
    </row>
    <row r="1289" spans="1:11">
      <c r="A1289" s="2">
        <v>43947</v>
      </c>
      <c r="C1289" s="45" t="s">
        <v>86</v>
      </c>
      <c r="E1289" s="45">
        <v>361</v>
      </c>
      <c r="F1289" s="45">
        <v>21</v>
      </c>
      <c r="G1289" s="45">
        <v>8</v>
      </c>
      <c r="J1289" s="45">
        <v>16</v>
      </c>
      <c r="K1289" s="45" t="s">
        <v>88</v>
      </c>
    </row>
    <row r="1290" spans="1:11">
      <c r="A1290" s="2">
        <v>43947</v>
      </c>
      <c r="C1290" s="45" t="s">
        <v>94</v>
      </c>
      <c r="E1290" s="45">
        <v>5229</v>
      </c>
      <c r="F1290" s="45">
        <v>181</v>
      </c>
      <c r="G1290" s="45">
        <v>36</v>
      </c>
      <c r="J1290" s="45">
        <v>371</v>
      </c>
      <c r="K1290" s="45" t="s">
        <v>96</v>
      </c>
    </row>
    <row r="1291" spans="1:11">
      <c r="A1291" s="2">
        <v>43947</v>
      </c>
      <c r="C1291" s="45" t="s">
        <v>97</v>
      </c>
      <c r="E1291" s="45">
        <v>1838</v>
      </c>
      <c r="F1291" s="45">
        <v>76</v>
      </c>
      <c r="G1291" s="45">
        <v>15</v>
      </c>
      <c r="H1291" s="45">
        <v>8</v>
      </c>
      <c r="J1291" s="45">
        <v>131</v>
      </c>
      <c r="K1291" s="45" t="s">
        <v>620</v>
      </c>
    </row>
    <row r="1292" spans="1:11">
      <c r="A1292" s="2">
        <v>43947</v>
      </c>
      <c r="B1292" s="45">
        <v>0</v>
      </c>
      <c r="C1292" s="45" t="s">
        <v>81</v>
      </c>
      <c r="E1292" s="45">
        <v>380</v>
      </c>
      <c r="F1292" s="45">
        <v>12</v>
      </c>
      <c r="J1292" s="45">
        <v>15</v>
      </c>
      <c r="K1292" s="45" t="s">
        <v>333</v>
      </c>
    </row>
    <row r="1293" spans="1:11">
      <c r="A1293" s="2">
        <v>43947</v>
      </c>
      <c r="B1293" s="45">
        <v>6.9444444444444447E-4</v>
      </c>
      <c r="C1293" s="45" t="s">
        <v>84</v>
      </c>
      <c r="E1293" s="45">
        <v>293</v>
      </c>
      <c r="I1293" s="45">
        <v>216</v>
      </c>
      <c r="J1293" s="45">
        <v>18</v>
      </c>
      <c r="K1293" s="45" t="s">
        <v>704</v>
      </c>
    </row>
    <row r="1294" spans="1:11">
      <c r="A1294" s="2">
        <v>43947</v>
      </c>
      <c r="B1294" s="45">
        <v>0.33333333333333331</v>
      </c>
      <c r="C1294" s="45" t="s">
        <v>44</v>
      </c>
      <c r="E1294" s="45">
        <v>1714</v>
      </c>
      <c r="F1294" s="45">
        <v>54</v>
      </c>
      <c r="G1294" s="45">
        <v>9</v>
      </c>
      <c r="H1294" s="45">
        <v>9</v>
      </c>
      <c r="J1294" s="45">
        <v>83</v>
      </c>
      <c r="K1294" s="45" t="s">
        <v>46</v>
      </c>
    </row>
    <row r="1295" spans="1:11">
      <c r="A1295" s="2">
        <v>43947</v>
      </c>
      <c r="B1295" s="45">
        <v>0.33333333333333331</v>
      </c>
      <c r="C1295" s="45" t="s">
        <v>89</v>
      </c>
      <c r="E1295" s="45">
        <v>3161</v>
      </c>
      <c r="F1295" s="45">
        <v>192</v>
      </c>
      <c r="G1295" s="45">
        <v>37</v>
      </c>
      <c r="H1295" s="45">
        <v>26</v>
      </c>
      <c r="I1295" s="45">
        <v>704</v>
      </c>
      <c r="J1295" s="45">
        <v>306</v>
      </c>
      <c r="K1295" s="45" t="s">
        <v>507</v>
      </c>
    </row>
    <row r="1296" spans="1:11">
      <c r="A1296" s="2">
        <v>43947</v>
      </c>
      <c r="B1296" s="45">
        <v>0.33333333333333331</v>
      </c>
      <c r="C1296" s="45" t="s">
        <v>99</v>
      </c>
      <c r="E1296" s="45">
        <v>181</v>
      </c>
      <c r="F1296" s="45">
        <v>6</v>
      </c>
      <c r="G1296" s="45">
        <v>3</v>
      </c>
      <c r="I1296" s="45">
        <v>133</v>
      </c>
      <c r="J1296" s="45">
        <v>8</v>
      </c>
      <c r="K1296" s="45" t="s">
        <v>328</v>
      </c>
    </row>
    <row r="1297" spans="1:11">
      <c r="A1297" s="2">
        <v>43947</v>
      </c>
      <c r="B1297" s="45">
        <v>0.39583333333333331</v>
      </c>
      <c r="C1297" s="45" t="s">
        <v>50</v>
      </c>
      <c r="E1297" s="45">
        <v>940</v>
      </c>
      <c r="J1297" s="45">
        <v>46</v>
      </c>
      <c r="K1297" s="45" t="s">
        <v>352</v>
      </c>
    </row>
    <row r="1298" spans="1:11">
      <c r="A1298" s="2">
        <v>43947</v>
      </c>
      <c r="B1298" s="45">
        <v>0.39583333333333331</v>
      </c>
      <c r="C1298" s="45" t="s">
        <v>79</v>
      </c>
      <c r="E1298" s="45">
        <v>72</v>
      </c>
      <c r="F1298" s="45">
        <v>9</v>
      </c>
      <c r="G1298" s="45">
        <v>2</v>
      </c>
      <c r="J1298" s="45">
        <v>5</v>
      </c>
      <c r="K1298" s="45" t="s">
        <v>703</v>
      </c>
    </row>
    <row r="1299" spans="1:11">
      <c r="A1299" s="2">
        <v>43947</v>
      </c>
      <c r="B1299" s="45">
        <v>0.5</v>
      </c>
      <c r="C1299" s="45" t="s">
        <v>66</v>
      </c>
      <c r="E1299" s="45">
        <v>670</v>
      </c>
      <c r="F1299" s="45">
        <v>26</v>
      </c>
      <c r="G1299" s="45">
        <v>7</v>
      </c>
      <c r="J1299" s="45">
        <v>16</v>
      </c>
      <c r="K1299" s="45" t="s">
        <v>68</v>
      </c>
    </row>
    <row r="1300" spans="1:11">
      <c r="A1300" s="2">
        <v>43947</v>
      </c>
      <c r="B1300" s="45">
        <v>0.5</v>
      </c>
      <c r="C1300" s="45" t="s">
        <v>91</v>
      </c>
      <c r="E1300" s="45">
        <v>80</v>
      </c>
      <c r="F1300" s="45">
        <v>3</v>
      </c>
      <c r="I1300" s="45">
        <v>69</v>
      </c>
      <c r="J1300" s="45">
        <v>5</v>
      </c>
      <c r="K1300" s="45" t="s">
        <v>93</v>
      </c>
    </row>
    <row r="1301" spans="1:11">
      <c r="A1301" s="2">
        <v>43947</v>
      </c>
      <c r="B1301" s="45">
        <v>0.54166666666666663</v>
      </c>
      <c r="C1301" s="45" t="s">
        <v>60</v>
      </c>
      <c r="E1301" s="45">
        <v>120</v>
      </c>
      <c r="F1301" s="45">
        <v>3</v>
      </c>
      <c r="J1301" s="45">
        <v>7</v>
      </c>
      <c r="K1301" s="45" t="s">
        <v>609</v>
      </c>
    </row>
    <row r="1302" spans="1:11">
      <c r="A1302" s="2">
        <v>43947</v>
      </c>
      <c r="B1302" s="45">
        <v>0.60416666666666663</v>
      </c>
      <c r="C1302" s="45" t="s">
        <v>101</v>
      </c>
      <c r="E1302" s="45">
        <v>3400</v>
      </c>
      <c r="F1302" s="45">
        <v>75</v>
      </c>
      <c r="H1302" s="45">
        <v>26</v>
      </c>
      <c r="J1302" s="45">
        <v>115</v>
      </c>
      <c r="K1302" s="45" t="s">
        <v>103</v>
      </c>
    </row>
    <row r="1303" spans="1:11">
      <c r="A1303" s="2">
        <v>43948</v>
      </c>
      <c r="C1303" s="45" t="s">
        <v>47</v>
      </c>
      <c r="E1303" s="45">
        <v>816</v>
      </c>
      <c r="F1303" s="45">
        <v>17</v>
      </c>
      <c r="G1303" s="45">
        <v>1</v>
      </c>
      <c r="H1303" s="45">
        <v>0</v>
      </c>
      <c r="I1303" s="45">
        <v>738</v>
      </c>
      <c r="J1303" s="45">
        <v>30</v>
      </c>
      <c r="K1303" s="45" t="s">
        <v>49</v>
      </c>
    </row>
    <row r="1304" spans="1:11">
      <c r="A1304" s="2">
        <v>43948</v>
      </c>
      <c r="C1304" s="45" t="s">
        <v>53</v>
      </c>
      <c r="E1304" s="45">
        <v>82</v>
      </c>
      <c r="J1304" s="45">
        <v>1</v>
      </c>
      <c r="K1304" s="45" t="s">
        <v>354</v>
      </c>
    </row>
    <row r="1305" spans="1:11">
      <c r="A1305" s="2">
        <v>43948</v>
      </c>
      <c r="C1305" s="45" t="s">
        <v>56</v>
      </c>
      <c r="E1305" s="45">
        <v>1040</v>
      </c>
      <c r="F1305" s="45">
        <v>55</v>
      </c>
      <c r="G1305" s="45">
        <v>5</v>
      </c>
      <c r="I1305" s="45">
        <v>120</v>
      </c>
      <c r="J1305" s="45">
        <v>78</v>
      </c>
      <c r="K1305" s="45" t="s">
        <v>736</v>
      </c>
    </row>
    <row r="1306" spans="1:11">
      <c r="A1306" s="2">
        <v>43948</v>
      </c>
      <c r="C1306" s="45" t="s">
        <v>58</v>
      </c>
      <c r="D1306" s="45">
        <v>24597</v>
      </c>
      <c r="E1306" s="45">
        <v>4888</v>
      </c>
      <c r="F1306" s="45">
        <v>270</v>
      </c>
      <c r="G1306" s="45">
        <v>26</v>
      </c>
      <c r="H1306" s="45">
        <v>24</v>
      </c>
      <c r="I1306" s="45">
        <v>610</v>
      </c>
      <c r="J1306" s="45">
        <v>244</v>
      </c>
      <c r="K1306" s="45" t="s">
        <v>369</v>
      </c>
    </row>
    <row r="1307" spans="1:11">
      <c r="A1307" s="2">
        <v>43948</v>
      </c>
      <c r="C1307" s="45" t="s">
        <v>62</v>
      </c>
      <c r="E1307" s="45">
        <v>807</v>
      </c>
      <c r="F1307" s="45">
        <v>29</v>
      </c>
      <c r="J1307" s="45">
        <v>45</v>
      </c>
      <c r="K1307" s="45" t="s">
        <v>511</v>
      </c>
    </row>
    <row r="1308" spans="1:11">
      <c r="A1308" s="2">
        <v>43948</v>
      </c>
      <c r="C1308" s="45" t="s">
        <v>64</v>
      </c>
      <c r="E1308" s="45">
        <v>196</v>
      </c>
      <c r="F1308" s="45">
        <v>10</v>
      </c>
      <c r="G1308" s="45">
        <v>4</v>
      </c>
      <c r="J1308" s="45">
        <v>7</v>
      </c>
      <c r="K1308" s="45" t="s">
        <v>688</v>
      </c>
    </row>
    <row r="1309" spans="1:11">
      <c r="A1309" s="2">
        <v>43948</v>
      </c>
      <c r="C1309" s="45" t="s">
        <v>69</v>
      </c>
      <c r="E1309" s="45">
        <v>672</v>
      </c>
      <c r="F1309" s="45">
        <v>28</v>
      </c>
      <c r="G1309" s="45">
        <v>3</v>
      </c>
      <c r="H1309" s="45">
        <v>3</v>
      </c>
      <c r="J1309" s="45">
        <v>73</v>
      </c>
      <c r="K1309" s="45" t="s">
        <v>325</v>
      </c>
    </row>
    <row r="1310" spans="1:11">
      <c r="A1310" s="2">
        <v>43948</v>
      </c>
      <c r="C1310" s="45" t="s">
        <v>71</v>
      </c>
      <c r="E1310" s="45">
        <v>110</v>
      </c>
      <c r="F1310" s="45">
        <v>2</v>
      </c>
      <c r="G1310" s="45">
        <v>0</v>
      </c>
      <c r="J1310" s="45">
        <v>3</v>
      </c>
      <c r="K1310" s="45" t="s">
        <v>310</v>
      </c>
    </row>
    <row r="1311" spans="1:11">
      <c r="A1311" s="2">
        <v>43948</v>
      </c>
      <c r="C1311" s="45" t="s">
        <v>76</v>
      </c>
      <c r="E1311" s="45">
        <v>767</v>
      </c>
      <c r="F1311" s="45">
        <v>39</v>
      </c>
      <c r="G1311" s="45">
        <v>2</v>
      </c>
      <c r="I1311" s="45">
        <v>176</v>
      </c>
      <c r="J1311" s="45">
        <v>31</v>
      </c>
      <c r="K1311" s="45" t="s">
        <v>78</v>
      </c>
    </row>
    <row r="1312" spans="1:11">
      <c r="A1312" s="2">
        <v>43948</v>
      </c>
      <c r="C1312" s="45" t="s">
        <v>86</v>
      </c>
      <c r="E1312" s="45">
        <v>361</v>
      </c>
      <c r="F1312" s="45">
        <v>21</v>
      </c>
      <c r="G1312" s="45">
        <v>8</v>
      </c>
      <c r="J1312" s="45">
        <v>17</v>
      </c>
      <c r="K1312" s="45" t="s">
        <v>88</v>
      </c>
    </row>
    <row r="1313" spans="1:11">
      <c r="A1313" s="2">
        <v>43948</v>
      </c>
      <c r="C1313" s="45" t="s">
        <v>94</v>
      </c>
      <c r="E1313" s="45">
        <v>5253</v>
      </c>
      <c r="F1313" s="45">
        <v>170</v>
      </c>
      <c r="G1313" s="45">
        <v>33</v>
      </c>
      <c r="J1313" s="45">
        <v>375</v>
      </c>
      <c r="K1313" s="45" t="s">
        <v>96</v>
      </c>
    </row>
    <row r="1314" spans="1:11">
      <c r="A1314" s="2">
        <v>43948</v>
      </c>
      <c r="C1314" s="45" t="s">
        <v>97</v>
      </c>
      <c r="E1314" s="45">
        <v>1853</v>
      </c>
      <c r="F1314" s="45">
        <v>66</v>
      </c>
      <c r="G1314" s="45">
        <v>14</v>
      </c>
      <c r="H1314" s="45">
        <v>9</v>
      </c>
      <c r="J1314" s="45">
        <v>132</v>
      </c>
      <c r="K1314" s="45" t="s">
        <v>620</v>
      </c>
    </row>
    <row r="1315" spans="1:11">
      <c r="A1315" s="2">
        <v>43948</v>
      </c>
      <c r="B1315" s="45">
        <v>0</v>
      </c>
      <c r="C1315" s="45" t="s">
        <v>81</v>
      </c>
      <c r="E1315" s="45">
        <v>382</v>
      </c>
      <c r="F1315" s="45">
        <v>13</v>
      </c>
      <c r="J1315" s="45">
        <v>15</v>
      </c>
      <c r="K1315" s="45" t="s">
        <v>333</v>
      </c>
    </row>
    <row r="1316" spans="1:11">
      <c r="A1316" s="2">
        <v>43948</v>
      </c>
      <c r="B1316" s="45">
        <v>0.33333333333333331</v>
      </c>
      <c r="C1316" s="45" t="s">
        <v>44</v>
      </c>
      <c r="E1316" s="45">
        <v>1722</v>
      </c>
      <c r="F1316" s="45">
        <v>54</v>
      </c>
      <c r="G1316" s="45">
        <v>10</v>
      </c>
      <c r="H1316" s="45">
        <v>9</v>
      </c>
      <c r="J1316" s="45">
        <v>83</v>
      </c>
      <c r="K1316" s="45" t="s">
        <v>46</v>
      </c>
    </row>
    <row r="1317" spans="1:11">
      <c r="A1317" s="2">
        <v>43948</v>
      </c>
      <c r="B1317" s="45">
        <v>0.33333333333333331</v>
      </c>
      <c r="C1317" s="45" t="s">
        <v>89</v>
      </c>
      <c r="E1317" s="45">
        <v>3169</v>
      </c>
      <c r="F1317" s="45">
        <v>188</v>
      </c>
      <c r="G1317" s="45">
        <v>34</v>
      </c>
      <c r="H1317" s="45">
        <v>25</v>
      </c>
      <c r="I1317" s="45">
        <v>709</v>
      </c>
      <c r="J1317" s="45">
        <v>311</v>
      </c>
      <c r="K1317" s="45" t="s">
        <v>507</v>
      </c>
    </row>
    <row r="1318" spans="1:11">
      <c r="A1318" s="2">
        <v>43948</v>
      </c>
      <c r="B1318" s="45">
        <v>0.33333333333333331</v>
      </c>
      <c r="C1318" s="45" t="s">
        <v>99</v>
      </c>
      <c r="E1318" s="45">
        <v>185</v>
      </c>
      <c r="F1318" s="45">
        <v>7</v>
      </c>
      <c r="G1318" s="45">
        <v>3</v>
      </c>
      <c r="I1318" s="45">
        <v>134</v>
      </c>
      <c r="J1318" s="45">
        <v>8</v>
      </c>
      <c r="K1318" s="45" t="s">
        <v>328</v>
      </c>
    </row>
    <row r="1319" spans="1:11">
      <c r="A1319" s="2">
        <v>43948</v>
      </c>
      <c r="B1319" s="45">
        <v>0.39583333333333331</v>
      </c>
      <c r="C1319" s="45" t="s">
        <v>79</v>
      </c>
      <c r="E1319" s="45">
        <v>73</v>
      </c>
      <c r="F1319" s="45">
        <v>12</v>
      </c>
      <c r="G1319" s="45">
        <v>3</v>
      </c>
      <c r="J1319" s="45">
        <v>5</v>
      </c>
      <c r="K1319" s="45" t="s">
        <v>703</v>
      </c>
    </row>
    <row r="1320" spans="1:11">
      <c r="A1320" s="2">
        <v>43948</v>
      </c>
      <c r="B1320" s="45">
        <v>0.41666666666666669</v>
      </c>
      <c r="C1320" s="45" t="s">
        <v>84</v>
      </c>
      <c r="E1320" s="45">
        <v>293</v>
      </c>
      <c r="I1320" s="45">
        <v>216</v>
      </c>
      <c r="J1320" s="45">
        <v>18</v>
      </c>
      <c r="K1320" s="45" t="s">
        <v>704</v>
      </c>
    </row>
    <row r="1321" spans="1:11">
      <c r="A1321" s="2">
        <v>43948</v>
      </c>
      <c r="B1321" s="45">
        <v>0.42708333333333331</v>
      </c>
      <c r="C1321" s="45" t="s">
        <v>41</v>
      </c>
      <c r="E1321" s="45">
        <v>94</v>
      </c>
      <c r="F1321" s="45">
        <v>2</v>
      </c>
      <c r="G1321" s="45">
        <v>2</v>
      </c>
      <c r="J1321" s="45">
        <v>3</v>
      </c>
      <c r="K1321" s="45" t="s">
        <v>43</v>
      </c>
    </row>
    <row r="1322" spans="1:11">
      <c r="A1322" s="2">
        <v>43948</v>
      </c>
      <c r="B1322" s="45">
        <v>0.4375</v>
      </c>
      <c r="C1322" s="45" t="s">
        <v>50</v>
      </c>
      <c r="E1322" s="45">
        <v>941</v>
      </c>
      <c r="J1322" s="45">
        <v>46</v>
      </c>
      <c r="K1322" s="45" t="s">
        <v>352</v>
      </c>
    </row>
    <row r="1323" spans="1:11">
      <c r="A1323" s="2">
        <v>43948</v>
      </c>
      <c r="B1323" s="45">
        <v>0.45833333333333331</v>
      </c>
      <c r="C1323" s="45" t="s">
        <v>38</v>
      </c>
      <c r="E1323" s="45">
        <v>25</v>
      </c>
      <c r="J1323" s="45">
        <v>0</v>
      </c>
      <c r="K1323" s="45" t="s">
        <v>40</v>
      </c>
    </row>
    <row r="1324" spans="1:11">
      <c r="A1324" s="2">
        <v>43948</v>
      </c>
      <c r="B1324" s="45">
        <v>0.5</v>
      </c>
      <c r="C1324" s="45" t="s">
        <v>66</v>
      </c>
      <c r="E1324" s="45">
        <v>674</v>
      </c>
      <c r="F1324" s="45">
        <v>32</v>
      </c>
      <c r="G1324" s="45">
        <v>7</v>
      </c>
      <c r="J1324" s="45">
        <v>16</v>
      </c>
      <c r="K1324" s="45" t="s">
        <v>68</v>
      </c>
    </row>
    <row r="1325" spans="1:11">
      <c r="A1325" s="2">
        <v>43948</v>
      </c>
      <c r="B1325" s="45">
        <v>0.5625</v>
      </c>
      <c r="C1325" s="45" t="s">
        <v>60</v>
      </c>
      <c r="E1325" s="45">
        <v>121</v>
      </c>
      <c r="F1325" s="45">
        <v>3</v>
      </c>
      <c r="J1325" s="45">
        <v>7</v>
      </c>
      <c r="K1325" s="45" t="s">
        <v>609</v>
      </c>
    </row>
    <row r="1326" spans="1:11">
      <c r="A1326" s="2">
        <v>43948</v>
      </c>
      <c r="B1326" s="45">
        <v>0.58333333333333337</v>
      </c>
      <c r="C1326" s="45" t="s">
        <v>91</v>
      </c>
      <c r="E1326" s="45">
        <v>83</v>
      </c>
      <c r="F1326" s="45">
        <v>4</v>
      </c>
      <c r="I1326" s="45">
        <v>69</v>
      </c>
      <c r="J1326" s="45">
        <v>5</v>
      </c>
      <c r="K1326" s="45" t="s">
        <v>93</v>
      </c>
    </row>
    <row r="1327" spans="1:11">
      <c r="A1327" s="2">
        <v>43948</v>
      </c>
      <c r="B1327" s="45">
        <v>0.60416666666666663</v>
      </c>
      <c r="C1327" s="45" t="s">
        <v>101</v>
      </c>
      <c r="E1327" s="45">
        <v>3418</v>
      </c>
      <c r="F1327" s="45">
        <v>73</v>
      </c>
      <c r="H1327" s="45">
        <v>24</v>
      </c>
      <c r="J1327" s="45">
        <v>119</v>
      </c>
      <c r="K1327" s="45" t="s">
        <v>103</v>
      </c>
    </row>
    <row r="1328" spans="1:11">
      <c r="A1328" s="2">
        <v>43948</v>
      </c>
      <c r="B1328" s="45">
        <v>0.61458333333333337</v>
      </c>
      <c r="C1328" s="45" t="s">
        <v>34</v>
      </c>
      <c r="E1328" s="45">
        <v>1088</v>
      </c>
      <c r="F1328" s="45">
        <v>42</v>
      </c>
      <c r="G1328" s="45">
        <v>15</v>
      </c>
      <c r="H1328" s="45">
        <v>14</v>
      </c>
      <c r="I1328" s="45">
        <v>830</v>
      </c>
      <c r="J1328" s="45">
        <v>33</v>
      </c>
      <c r="K1328" s="45" t="s">
        <v>351</v>
      </c>
    </row>
    <row r="1329" spans="1:11">
      <c r="A1329" s="2">
        <v>43948</v>
      </c>
      <c r="B1329" s="45">
        <v>0.64583333333333337</v>
      </c>
      <c r="C1329" s="45" t="s">
        <v>73</v>
      </c>
      <c r="E1329" s="45">
        <v>75</v>
      </c>
      <c r="F1329" s="45">
        <v>0</v>
      </c>
      <c r="J1329" s="45">
        <v>0</v>
      </c>
      <c r="K1329" s="45" t="s">
        <v>75</v>
      </c>
    </row>
    <row r="1330" spans="1:11">
      <c r="A1330" s="2">
        <v>43949</v>
      </c>
      <c r="C1330" s="45" t="s">
        <v>47</v>
      </c>
      <c r="E1330" s="45">
        <v>818</v>
      </c>
      <c r="F1330" s="45">
        <v>15</v>
      </c>
      <c r="G1330" s="45">
        <v>1</v>
      </c>
      <c r="H1330" s="45">
        <v>0</v>
      </c>
      <c r="I1330" s="45">
        <v>747</v>
      </c>
      <c r="J1330" s="45">
        <v>30</v>
      </c>
      <c r="K1330" s="45" t="s">
        <v>49</v>
      </c>
    </row>
    <row r="1331" spans="1:11">
      <c r="A1331" s="2">
        <v>43949</v>
      </c>
      <c r="C1331" s="45" t="s">
        <v>53</v>
      </c>
      <c r="E1331" s="45">
        <v>82</v>
      </c>
      <c r="J1331" s="45">
        <v>1</v>
      </c>
      <c r="K1331" s="45" t="s">
        <v>360</v>
      </c>
    </row>
    <row r="1332" spans="1:11">
      <c r="A1332" s="2">
        <v>43949</v>
      </c>
      <c r="C1332" s="45" t="s">
        <v>56</v>
      </c>
      <c r="E1332" s="45">
        <v>1044</v>
      </c>
      <c r="F1332" s="45">
        <v>49</v>
      </c>
      <c r="G1332" s="45">
        <v>5</v>
      </c>
      <c r="I1332" s="45">
        <v>121</v>
      </c>
      <c r="J1332" s="45">
        <v>78</v>
      </c>
      <c r="K1332" s="45" t="s">
        <v>736</v>
      </c>
    </row>
    <row r="1333" spans="1:11">
      <c r="A1333" s="2">
        <v>43949</v>
      </c>
      <c r="C1333" s="45" t="s">
        <v>58</v>
      </c>
      <c r="D1333" s="45">
        <v>24971</v>
      </c>
      <c r="E1333" s="45">
        <v>4901</v>
      </c>
      <c r="F1333" s="45">
        <v>277</v>
      </c>
      <c r="G1333" s="45">
        <v>23</v>
      </c>
      <c r="H1333" s="45">
        <v>21</v>
      </c>
      <c r="I1333" s="45">
        <v>617</v>
      </c>
      <c r="J1333" s="45">
        <v>245</v>
      </c>
      <c r="K1333" s="45" t="s">
        <v>369</v>
      </c>
    </row>
    <row r="1334" spans="1:11">
      <c r="A1334" s="2">
        <v>43949</v>
      </c>
      <c r="C1334" s="45" t="s">
        <v>62</v>
      </c>
      <c r="E1334" s="45">
        <v>809</v>
      </c>
      <c r="F1334" s="45">
        <v>27</v>
      </c>
      <c r="J1334" s="45">
        <v>45</v>
      </c>
      <c r="K1334" s="45" t="s">
        <v>511</v>
      </c>
    </row>
    <row r="1335" spans="1:11">
      <c r="A1335" s="2">
        <v>43949</v>
      </c>
      <c r="C1335" s="45" t="s">
        <v>64</v>
      </c>
      <c r="E1335" s="45">
        <v>197</v>
      </c>
      <c r="F1335" s="45">
        <v>10</v>
      </c>
      <c r="G1335" s="45">
        <v>5</v>
      </c>
      <c r="J1335" s="45">
        <v>7</v>
      </c>
      <c r="K1335" s="45" t="s">
        <v>688</v>
      </c>
    </row>
    <row r="1336" spans="1:11">
      <c r="A1336" s="2">
        <v>43949</v>
      </c>
      <c r="C1336" s="45" t="s">
        <v>66</v>
      </c>
      <c r="E1336" s="45">
        <v>677</v>
      </c>
      <c r="F1336" s="45">
        <v>29</v>
      </c>
      <c r="G1336" s="45">
        <v>7</v>
      </c>
      <c r="J1336" s="45">
        <v>17</v>
      </c>
      <c r="K1336" s="45" t="s">
        <v>68</v>
      </c>
    </row>
    <row r="1337" spans="1:11">
      <c r="A1337" s="2">
        <v>43949</v>
      </c>
      <c r="C1337" s="45" t="s">
        <v>69</v>
      </c>
      <c r="E1337" s="45">
        <v>676</v>
      </c>
      <c r="F1337" s="45">
        <v>26</v>
      </c>
      <c r="G1337" s="45">
        <v>3</v>
      </c>
      <c r="H1337" s="45">
        <v>3</v>
      </c>
      <c r="J1337" s="45">
        <v>74</v>
      </c>
      <c r="K1337" s="45" t="s">
        <v>325</v>
      </c>
    </row>
    <row r="1338" spans="1:11">
      <c r="A1338" s="2">
        <v>43949</v>
      </c>
      <c r="C1338" s="45" t="s">
        <v>71</v>
      </c>
      <c r="E1338" s="45">
        <v>111</v>
      </c>
      <c r="F1338" s="45">
        <v>2</v>
      </c>
      <c r="G1338" s="45">
        <v>0</v>
      </c>
      <c r="J1338" s="45">
        <v>3</v>
      </c>
      <c r="K1338" s="45" t="s">
        <v>310</v>
      </c>
    </row>
    <row r="1339" spans="1:11">
      <c r="A1339" s="2">
        <v>43949</v>
      </c>
      <c r="C1339" s="45" t="s">
        <v>76</v>
      </c>
      <c r="E1339" s="45">
        <v>775</v>
      </c>
      <c r="F1339" s="45">
        <v>44</v>
      </c>
      <c r="G1339" s="45">
        <v>3</v>
      </c>
      <c r="I1339" s="45">
        <v>176</v>
      </c>
      <c r="J1339" s="45">
        <v>33</v>
      </c>
      <c r="K1339" s="45" t="s">
        <v>78</v>
      </c>
    </row>
    <row r="1340" spans="1:11">
      <c r="A1340" s="2">
        <v>43949</v>
      </c>
      <c r="C1340" s="45" t="s">
        <v>86</v>
      </c>
      <c r="E1340" s="45">
        <v>362</v>
      </c>
      <c r="F1340" s="45">
        <v>21</v>
      </c>
      <c r="G1340" s="45">
        <v>8</v>
      </c>
      <c r="J1340" s="45">
        <v>17</v>
      </c>
      <c r="K1340" s="45" t="s">
        <v>88</v>
      </c>
    </row>
    <row r="1341" spans="1:11">
      <c r="A1341" s="2">
        <v>43949</v>
      </c>
      <c r="C1341" s="45" t="s">
        <v>94</v>
      </c>
      <c r="E1341" s="45">
        <v>5275</v>
      </c>
      <c r="F1341" s="45">
        <v>159</v>
      </c>
      <c r="G1341" s="45">
        <v>32</v>
      </c>
      <c r="J1341" s="45">
        <v>380</v>
      </c>
      <c r="K1341" s="45" t="s">
        <v>96</v>
      </c>
    </row>
    <row r="1342" spans="1:11">
      <c r="A1342" s="2">
        <v>43949</v>
      </c>
      <c r="C1342" s="45" t="s">
        <v>97</v>
      </c>
      <c r="E1342" s="45">
        <v>1864</v>
      </c>
      <c r="F1342" s="45">
        <v>62</v>
      </c>
      <c r="G1342" s="45">
        <v>13</v>
      </c>
      <c r="H1342" s="45">
        <v>8</v>
      </c>
      <c r="J1342" s="45">
        <v>135</v>
      </c>
      <c r="K1342" s="45" t="s">
        <v>620</v>
      </c>
    </row>
    <row r="1343" spans="1:11">
      <c r="A1343" s="2">
        <v>43949</v>
      </c>
      <c r="B1343" s="45">
        <v>0</v>
      </c>
      <c r="C1343" s="45" t="s">
        <v>81</v>
      </c>
      <c r="E1343" s="45">
        <v>383</v>
      </c>
      <c r="F1343" s="45">
        <v>13</v>
      </c>
      <c r="J1343" s="45">
        <v>15</v>
      </c>
      <c r="K1343" s="45" t="s">
        <v>333</v>
      </c>
    </row>
    <row r="1344" spans="1:11">
      <c r="A1344" s="2">
        <v>43949</v>
      </c>
      <c r="B1344" s="45">
        <v>0.33333333333333331</v>
      </c>
      <c r="C1344" s="45" t="s">
        <v>44</v>
      </c>
      <c r="E1344" s="45">
        <v>1733</v>
      </c>
      <c r="F1344" s="45">
        <v>47</v>
      </c>
      <c r="G1344" s="45">
        <v>7</v>
      </c>
      <c r="H1344" s="45">
        <v>7</v>
      </c>
      <c r="J1344" s="45">
        <v>83</v>
      </c>
      <c r="K1344" s="45" t="s">
        <v>46</v>
      </c>
    </row>
    <row r="1345" spans="1:11">
      <c r="A1345" s="2">
        <v>43949</v>
      </c>
      <c r="B1345" s="45">
        <v>0.33333333333333331</v>
      </c>
      <c r="C1345" s="45" t="s">
        <v>89</v>
      </c>
      <c r="E1345" s="45">
        <v>3176</v>
      </c>
      <c r="F1345" s="45">
        <v>186</v>
      </c>
      <c r="G1345" s="45">
        <v>30</v>
      </c>
      <c r="H1345" s="45">
        <v>22</v>
      </c>
      <c r="I1345" s="45">
        <v>712</v>
      </c>
      <c r="J1345" s="45">
        <v>316</v>
      </c>
      <c r="K1345" s="45" t="s">
        <v>507</v>
      </c>
    </row>
    <row r="1346" spans="1:11">
      <c r="A1346" s="2">
        <v>43949</v>
      </c>
      <c r="B1346" s="45">
        <v>0.33333333333333331</v>
      </c>
      <c r="C1346" s="45" t="s">
        <v>99</v>
      </c>
      <c r="E1346" s="45">
        <v>185</v>
      </c>
      <c r="F1346" s="45">
        <v>7</v>
      </c>
      <c r="G1346" s="45">
        <v>3</v>
      </c>
      <c r="I1346" s="45">
        <v>134</v>
      </c>
      <c r="J1346" s="45">
        <v>8</v>
      </c>
      <c r="K1346" s="45" t="s">
        <v>328</v>
      </c>
    </row>
    <row r="1347" spans="1:11">
      <c r="A1347" s="2">
        <v>43949</v>
      </c>
      <c r="B1347" s="45">
        <v>0.39583333333333331</v>
      </c>
      <c r="C1347" s="45" t="s">
        <v>50</v>
      </c>
      <c r="E1347" s="45">
        <v>943</v>
      </c>
      <c r="F1347" s="45">
        <v>28</v>
      </c>
      <c r="G1347" s="45">
        <v>7</v>
      </c>
      <c r="J1347" s="45">
        <v>49</v>
      </c>
      <c r="K1347" s="45" t="s">
        <v>355</v>
      </c>
    </row>
    <row r="1348" spans="1:11">
      <c r="A1348" s="2">
        <v>43949</v>
      </c>
      <c r="B1348" s="45">
        <v>0.39583333333333331</v>
      </c>
      <c r="C1348" s="45" t="s">
        <v>79</v>
      </c>
      <c r="E1348" s="45">
        <v>74</v>
      </c>
      <c r="F1348" s="45">
        <v>10</v>
      </c>
      <c r="G1348" s="45">
        <v>2</v>
      </c>
      <c r="J1348" s="45">
        <v>6</v>
      </c>
      <c r="K1348" s="45" t="s">
        <v>703</v>
      </c>
    </row>
    <row r="1349" spans="1:11">
      <c r="A1349" s="2">
        <v>43949</v>
      </c>
      <c r="B1349" s="45">
        <v>0.40277777777777779</v>
      </c>
      <c r="C1349" s="45" t="s">
        <v>41</v>
      </c>
      <c r="E1349" s="45">
        <v>94</v>
      </c>
      <c r="F1349" s="45">
        <v>4</v>
      </c>
      <c r="G1349" s="45">
        <v>2</v>
      </c>
      <c r="J1349" s="45">
        <v>3</v>
      </c>
      <c r="K1349" s="45" t="s">
        <v>43</v>
      </c>
    </row>
    <row r="1350" spans="1:11">
      <c r="A1350" s="2">
        <v>43949</v>
      </c>
      <c r="B1350" s="45">
        <v>0.41666666666666669</v>
      </c>
      <c r="C1350" s="45" t="s">
        <v>84</v>
      </c>
      <c r="E1350" s="45">
        <v>295</v>
      </c>
      <c r="I1350" s="45">
        <v>223</v>
      </c>
      <c r="J1350" s="45">
        <v>20</v>
      </c>
      <c r="K1350" s="45" t="s">
        <v>704</v>
      </c>
    </row>
    <row r="1351" spans="1:11">
      <c r="A1351" s="2">
        <v>43949</v>
      </c>
      <c r="B1351" s="45">
        <v>0.45833333333333331</v>
      </c>
      <c r="C1351" s="45" t="s">
        <v>38</v>
      </c>
      <c r="E1351" s="45">
        <v>25</v>
      </c>
      <c r="J1351" s="45">
        <v>0</v>
      </c>
      <c r="K1351" s="45" t="s">
        <v>40</v>
      </c>
    </row>
    <row r="1352" spans="1:11">
      <c r="A1352" s="2">
        <v>43949</v>
      </c>
      <c r="B1352" s="45">
        <v>0.5</v>
      </c>
      <c r="C1352" s="45" t="s">
        <v>91</v>
      </c>
      <c r="E1352" s="45">
        <v>85</v>
      </c>
      <c r="F1352" s="45">
        <v>5</v>
      </c>
      <c r="I1352" s="45">
        <v>71</v>
      </c>
      <c r="J1352" s="45">
        <v>5</v>
      </c>
      <c r="K1352" s="45" t="s">
        <v>93</v>
      </c>
    </row>
    <row r="1353" spans="1:11">
      <c r="A1353" s="2">
        <v>43949</v>
      </c>
      <c r="B1353" s="45">
        <v>0.5625</v>
      </c>
      <c r="C1353" s="45" t="s">
        <v>60</v>
      </c>
      <c r="E1353" s="45">
        <v>121</v>
      </c>
      <c r="F1353" s="45">
        <v>3</v>
      </c>
      <c r="J1353" s="45">
        <v>8</v>
      </c>
      <c r="K1353" s="45" t="s">
        <v>609</v>
      </c>
    </row>
    <row r="1354" spans="1:11">
      <c r="A1354" s="2">
        <v>43949</v>
      </c>
      <c r="B1354" s="45">
        <v>0.60416666666666663</v>
      </c>
      <c r="C1354" s="45" t="s">
        <v>101</v>
      </c>
      <c r="E1354" s="45">
        <v>3433</v>
      </c>
      <c r="F1354" s="45">
        <v>84</v>
      </c>
      <c r="H1354" s="45">
        <v>19</v>
      </c>
      <c r="J1354" s="45">
        <v>119</v>
      </c>
      <c r="K1354" s="45" t="s">
        <v>103</v>
      </c>
    </row>
    <row r="1355" spans="1:11">
      <c r="A1355" s="2">
        <v>43949</v>
      </c>
      <c r="B1355" s="45">
        <v>0.61458333333333337</v>
      </c>
      <c r="C1355" s="45" t="s">
        <v>34</v>
      </c>
      <c r="E1355" s="45">
        <v>1093</v>
      </c>
      <c r="F1355" s="45">
        <v>39</v>
      </c>
      <c r="G1355" s="45">
        <v>12</v>
      </c>
      <c r="H1355" s="45">
        <v>11</v>
      </c>
      <c r="I1355" s="45">
        <v>840</v>
      </c>
      <c r="J1355" s="45">
        <v>33</v>
      </c>
      <c r="K1355" s="45" t="s">
        <v>361</v>
      </c>
    </row>
    <row r="1356" spans="1:11">
      <c r="A1356" s="2">
        <v>43949</v>
      </c>
      <c r="B1356" s="45">
        <v>0.63541666666666663</v>
      </c>
      <c r="C1356" s="45" t="s">
        <v>73</v>
      </c>
      <c r="E1356" s="45">
        <v>78</v>
      </c>
      <c r="F1356" s="45">
        <v>1</v>
      </c>
      <c r="J1356" s="45">
        <v>0</v>
      </c>
      <c r="K1356" s="45" t="s">
        <v>75</v>
      </c>
    </row>
    <row r="1357" spans="1:11">
      <c r="A1357" s="2">
        <v>43950</v>
      </c>
      <c r="C1357" s="45" t="s">
        <v>47</v>
      </c>
      <c r="E1357" s="45">
        <v>822</v>
      </c>
      <c r="F1357" s="45">
        <v>12</v>
      </c>
      <c r="G1357" s="45">
        <v>1</v>
      </c>
      <c r="H1357" s="45">
        <v>1</v>
      </c>
      <c r="I1357" s="45">
        <v>752</v>
      </c>
      <c r="J1357" s="45">
        <v>30</v>
      </c>
      <c r="K1357" s="45" t="s">
        <v>49</v>
      </c>
    </row>
    <row r="1358" spans="1:11">
      <c r="A1358" s="2">
        <v>43950</v>
      </c>
      <c r="C1358" s="45" t="s">
        <v>53</v>
      </c>
      <c r="E1358" s="45">
        <v>82</v>
      </c>
      <c r="K1358" s="45" t="s">
        <v>362</v>
      </c>
    </row>
    <row r="1359" spans="1:11">
      <c r="A1359" s="2">
        <v>43950</v>
      </c>
      <c r="C1359" s="45" t="s">
        <v>56</v>
      </c>
      <c r="E1359" s="45">
        <v>1057</v>
      </c>
      <c r="F1359" s="45">
        <v>48</v>
      </c>
      <c r="G1359" s="45">
        <v>7</v>
      </c>
      <c r="I1359" s="45">
        <v>123</v>
      </c>
      <c r="J1359" s="45">
        <v>78</v>
      </c>
      <c r="K1359" s="45" t="s">
        <v>736</v>
      </c>
    </row>
    <row r="1360" spans="1:11">
      <c r="A1360" s="2">
        <v>43950</v>
      </c>
      <c r="C1360" s="45" t="s">
        <v>58</v>
      </c>
      <c r="D1360" s="45">
        <v>25418</v>
      </c>
      <c r="E1360" s="45">
        <v>4916</v>
      </c>
      <c r="F1360" s="45">
        <v>254</v>
      </c>
      <c r="G1360" s="45">
        <v>21</v>
      </c>
      <c r="H1360" s="45">
        <v>19</v>
      </c>
      <c r="I1360" s="45">
        <v>634</v>
      </c>
      <c r="J1360" s="45">
        <v>246</v>
      </c>
      <c r="K1360" s="45" t="s">
        <v>369</v>
      </c>
    </row>
    <row r="1361" spans="1:11">
      <c r="A1361" s="2">
        <v>43950</v>
      </c>
      <c r="C1361" s="45" t="s">
        <v>62</v>
      </c>
      <c r="E1361" s="45">
        <v>811</v>
      </c>
      <c r="F1361" s="45">
        <v>23</v>
      </c>
      <c r="J1361" s="45">
        <v>45</v>
      </c>
      <c r="K1361" s="45" t="s">
        <v>511</v>
      </c>
    </row>
    <row r="1362" spans="1:11">
      <c r="A1362" s="2">
        <v>43950</v>
      </c>
      <c r="C1362" s="45" t="s">
        <v>64</v>
      </c>
      <c r="E1362" s="45">
        <v>197</v>
      </c>
      <c r="F1362" s="45">
        <v>9</v>
      </c>
      <c r="G1362" s="45">
        <v>5</v>
      </c>
      <c r="J1362" s="45">
        <v>7</v>
      </c>
      <c r="K1362" s="45" t="s">
        <v>688</v>
      </c>
    </row>
    <row r="1363" spans="1:11">
      <c r="A1363" s="2">
        <v>43950</v>
      </c>
      <c r="C1363" s="45" t="s">
        <v>66</v>
      </c>
      <c r="E1363" s="45">
        <v>687</v>
      </c>
      <c r="F1363" s="45">
        <v>31</v>
      </c>
      <c r="G1363" s="45">
        <v>8</v>
      </c>
      <c r="J1363" s="45">
        <v>17</v>
      </c>
      <c r="K1363" s="45" t="s">
        <v>68</v>
      </c>
    </row>
    <row r="1364" spans="1:11">
      <c r="A1364" s="2">
        <v>43950</v>
      </c>
      <c r="C1364" s="45" t="s">
        <v>69</v>
      </c>
      <c r="E1364" s="45">
        <v>680</v>
      </c>
      <c r="F1364" s="45">
        <v>26</v>
      </c>
      <c r="G1364" s="45">
        <v>4</v>
      </c>
      <c r="H1364" s="45">
        <v>4</v>
      </c>
      <c r="J1364" s="45">
        <v>74</v>
      </c>
      <c r="K1364" s="45" t="s">
        <v>325</v>
      </c>
    </row>
    <row r="1365" spans="1:11">
      <c r="A1365" s="2">
        <v>43950</v>
      </c>
      <c r="C1365" s="45" t="s">
        <v>71</v>
      </c>
      <c r="E1365" s="45">
        <v>111</v>
      </c>
      <c r="F1365" s="45">
        <v>2</v>
      </c>
      <c r="G1365" s="45">
        <v>0</v>
      </c>
      <c r="J1365" s="45">
        <v>3</v>
      </c>
      <c r="K1365" s="45" t="s">
        <v>310</v>
      </c>
    </row>
    <row r="1366" spans="1:11">
      <c r="A1366" s="2">
        <v>43950</v>
      </c>
      <c r="C1366" s="45" t="s">
        <v>76</v>
      </c>
      <c r="E1366" s="45">
        <v>776</v>
      </c>
      <c r="F1366" s="45">
        <v>44</v>
      </c>
      <c r="G1366" s="45">
        <v>10</v>
      </c>
      <c r="I1366" s="45">
        <v>176</v>
      </c>
      <c r="J1366" s="45">
        <v>33</v>
      </c>
      <c r="K1366" s="45" t="s">
        <v>78</v>
      </c>
    </row>
    <row r="1367" spans="1:11">
      <c r="A1367" s="2">
        <v>43950</v>
      </c>
      <c r="C1367" s="45" t="s">
        <v>86</v>
      </c>
      <c r="E1367" s="45">
        <v>363</v>
      </c>
      <c r="F1367" s="45">
        <v>15</v>
      </c>
      <c r="G1367" s="45">
        <v>7</v>
      </c>
      <c r="J1367" s="45">
        <v>17</v>
      </c>
      <c r="K1367" s="45" t="s">
        <v>88</v>
      </c>
    </row>
    <row r="1368" spans="1:11">
      <c r="A1368" s="2">
        <v>43950</v>
      </c>
      <c r="C1368" s="45" t="s">
        <v>94</v>
      </c>
      <c r="E1368" s="45">
        <v>5289</v>
      </c>
      <c r="F1368" s="45">
        <v>149</v>
      </c>
      <c r="G1368" s="45">
        <v>31</v>
      </c>
      <c r="J1368" s="45">
        <v>381</v>
      </c>
      <c r="K1368" s="45" t="s">
        <v>96</v>
      </c>
    </row>
    <row r="1369" spans="1:11">
      <c r="A1369" s="2">
        <v>43950</v>
      </c>
      <c r="C1369" s="45" t="s">
        <v>97</v>
      </c>
      <c r="E1369" s="45">
        <v>1876</v>
      </c>
      <c r="F1369" s="45">
        <v>61</v>
      </c>
      <c r="G1369" s="45">
        <v>11</v>
      </c>
      <c r="H1369" s="45">
        <v>8</v>
      </c>
      <c r="J1369" s="45">
        <v>136</v>
      </c>
      <c r="K1369" s="45" t="s">
        <v>620</v>
      </c>
    </row>
    <row r="1370" spans="1:11">
      <c r="A1370" s="2">
        <v>43950</v>
      </c>
      <c r="B1370" s="45">
        <v>0</v>
      </c>
      <c r="C1370" s="45" t="s">
        <v>81</v>
      </c>
      <c r="E1370" s="45">
        <v>384</v>
      </c>
      <c r="F1370" s="45">
        <v>12</v>
      </c>
      <c r="J1370" s="45">
        <v>15</v>
      </c>
      <c r="K1370" s="45" t="s">
        <v>333</v>
      </c>
    </row>
    <row r="1371" spans="1:11">
      <c r="A1371" s="2">
        <v>43950</v>
      </c>
      <c r="B1371" s="45">
        <v>0.33333333333333331</v>
      </c>
      <c r="C1371" s="45" t="s">
        <v>44</v>
      </c>
      <c r="E1371" s="45">
        <v>1741</v>
      </c>
      <c r="F1371" s="45">
        <v>44</v>
      </c>
      <c r="G1371" s="45">
        <v>10</v>
      </c>
      <c r="H1371" s="45">
        <v>10</v>
      </c>
      <c r="J1371" s="45">
        <v>83</v>
      </c>
      <c r="K1371" s="45" t="s">
        <v>46</v>
      </c>
    </row>
    <row r="1372" spans="1:11">
      <c r="A1372" s="2">
        <v>43950</v>
      </c>
      <c r="B1372" s="45">
        <v>0.33333333333333331</v>
      </c>
      <c r="C1372" s="45" t="s">
        <v>89</v>
      </c>
      <c r="E1372" s="45">
        <v>3191</v>
      </c>
      <c r="F1372" s="45">
        <v>172</v>
      </c>
      <c r="G1372" s="45">
        <v>29</v>
      </c>
      <c r="H1372" s="45">
        <v>21</v>
      </c>
      <c r="I1372" s="45">
        <v>728</v>
      </c>
      <c r="J1372" s="45">
        <v>318</v>
      </c>
      <c r="K1372" s="45" t="s">
        <v>507</v>
      </c>
    </row>
    <row r="1373" spans="1:11">
      <c r="A1373" s="2">
        <v>43950</v>
      </c>
      <c r="B1373" s="45">
        <v>0.33333333333333331</v>
      </c>
      <c r="C1373" s="45" t="s">
        <v>99</v>
      </c>
      <c r="E1373" s="45">
        <v>185</v>
      </c>
      <c r="F1373" s="45">
        <v>6</v>
      </c>
      <c r="G1373" s="45">
        <v>3</v>
      </c>
      <c r="I1373" s="45">
        <v>135</v>
      </c>
      <c r="J1373" s="45">
        <v>8</v>
      </c>
      <c r="K1373" s="45" t="s">
        <v>328</v>
      </c>
    </row>
    <row r="1374" spans="1:11">
      <c r="A1374" s="2">
        <v>43950</v>
      </c>
      <c r="B1374" s="45">
        <v>0.39583333333333331</v>
      </c>
      <c r="C1374" s="45" t="s">
        <v>79</v>
      </c>
      <c r="E1374" s="45">
        <v>74</v>
      </c>
      <c r="F1374" s="45">
        <v>12</v>
      </c>
      <c r="G1374" s="45">
        <v>2</v>
      </c>
      <c r="J1374" s="45">
        <v>6</v>
      </c>
      <c r="K1374" s="45" t="s">
        <v>703</v>
      </c>
    </row>
    <row r="1375" spans="1:11">
      <c r="A1375" s="2">
        <v>43950</v>
      </c>
      <c r="B1375" s="45">
        <v>0.41666666666666669</v>
      </c>
      <c r="C1375" s="45" t="s">
        <v>84</v>
      </c>
      <c r="E1375" s="45">
        <v>295</v>
      </c>
      <c r="I1375" s="45">
        <v>224</v>
      </c>
      <c r="J1375" s="45">
        <v>20</v>
      </c>
      <c r="K1375" s="45" t="s">
        <v>704</v>
      </c>
    </row>
    <row r="1376" spans="1:11">
      <c r="A1376" s="2">
        <v>43950</v>
      </c>
      <c r="B1376" s="45">
        <v>0.43055555555555558</v>
      </c>
      <c r="C1376" s="45" t="s">
        <v>41</v>
      </c>
      <c r="E1376" s="45">
        <v>94</v>
      </c>
      <c r="F1376" s="45">
        <v>2</v>
      </c>
      <c r="G1376" s="45">
        <v>2</v>
      </c>
      <c r="J1376" s="45">
        <v>3</v>
      </c>
      <c r="K1376" s="45" t="s">
        <v>43</v>
      </c>
    </row>
    <row r="1377" spans="1:11">
      <c r="A1377" s="2">
        <v>43950</v>
      </c>
      <c r="B1377" s="45">
        <v>0.4375</v>
      </c>
      <c r="C1377" s="45" t="s">
        <v>50</v>
      </c>
      <c r="E1377" s="45">
        <v>946</v>
      </c>
      <c r="F1377" s="45">
        <v>26</v>
      </c>
      <c r="G1377" s="45">
        <v>7</v>
      </c>
      <c r="I1377" s="45">
        <v>810</v>
      </c>
      <c r="J1377" s="45">
        <v>49</v>
      </c>
      <c r="K1377" s="45" t="s">
        <v>359</v>
      </c>
    </row>
    <row r="1378" spans="1:11">
      <c r="A1378" s="2">
        <v>43950</v>
      </c>
      <c r="B1378" s="45">
        <v>0.45833333333333331</v>
      </c>
      <c r="C1378" s="45" t="s">
        <v>38</v>
      </c>
      <c r="E1378" s="45">
        <v>25</v>
      </c>
      <c r="J1378" s="45">
        <v>0</v>
      </c>
      <c r="K1378" s="45" t="s">
        <v>40</v>
      </c>
    </row>
    <row r="1379" spans="1:11">
      <c r="A1379" s="2">
        <v>43950</v>
      </c>
      <c r="B1379" s="45">
        <v>0.5625</v>
      </c>
      <c r="C1379" s="45" t="s">
        <v>60</v>
      </c>
      <c r="E1379" s="45">
        <v>122</v>
      </c>
      <c r="F1379" s="45">
        <v>3</v>
      </c>
      <c r="J1379" s="45">
        <v>9</v>
      </c>
      <c r="K1379" s="45" t="s">
        <v>609</v>
      </c>
    </row>
    <row r="1380" spans="1:11">
      <c r="A1380" s="2">
        <v>43950</v>
      </c>
      <c r="B1380" s="45">
        <v>0.58333333333333337</v>
      </c>
      <c r="C1380" s="45" t="s">
        <v>91</v>
      </c>
      <c r="E1380" s="45">
        <v>85</v>
      </c>
      <c r="F1380" s="45">
        <v>5</v>
      </c>
      <c r="I1380" s="45">
        <v>71</v>
      </c>
      <c r="J1380" s="45">
        <v>5</v>
      </c>
      <c r="K1380" s="45" t="s">
        <v>93</v>
      </c>
    </row>
    <row r="1381" spans="1:11">
      <c r="A1381" s="2">
        <v>43950</v>
      </c>
      <c r="B1381" s="45">
        <v>0.60416666666666663</v>
      </c>
      <c r="C1381" s="45" t="s">
        <v>101</v>
      </c>
      <c r="E1381" s="45">
        <v>3462</v>
      </c>
      <c r="F1381" s="45">
        <v>82</v>
      </c>
      <c r="H1381" s="45">
        <v>19</v>
      </c>
      <c r="J1381" s="45">
        <v>121</v>
      </c>
      <c r="K1381" s="45" t="s">
        <v>103</v>
      </c>
    </row>
    <row r="1382" spans="1:11">
      <c r="A1382" s="2">
        <v>43950</v>
      </c>
      <c r="B1382" s="45">
        <v>0.61458333333333337</v>
      </c>
      <c r="C1382" s="45" t="s">
        <v>34</v>
      </c>
      <c r="E1382" s="45">
        <v>1099</v>
      </c>
      <c r="F1382" s="45">
        <v>38</v>
      </c>
      <c r="G1382" s="45">
        <v>10</v>
      </c>
      <c r="H1382" s="45">
        <v>9</v>
      </c>
      <c r="I1382" s="45">
        <v>850</v>
      </c>
      <c r="J1382" s="45">
        <v>33</v>
      </c>
      <c r="K1382" s="45" t="s">
        <v>358</v>
      </c>
    </row>
    <row r="1383" spans="1:11">
      <c r="A1383" s="2">
        <v>43950</v>
      </c>
      <c r="B1383" s="45">
        <v>0.63541666666666663</v>
      </c>
      <c r="C1383" s="45" t="s">
        <v>73</v>
      </c>
      <c r="E1383" s="45">
        <v>78</v>
      </c>
      <c r="F1383" s="45">
        <v>2</v>
      </c>
      <c r="J1383" s="45">
        <v>0</v>
      </c>
      <c r="K1383" s="45" t="s">
        <v>75</v>
      </c>
    </row>
    <row r="1384" spans="1:11">
      <c r="A1384" s="2">
        <v>43951</v>
      </c>
      <c r="C1384" s="45" t="s">
        <v>47</v>
      </c>
      <c r="E1384" s="45">
        <v>824</v>
      </c>
      <c r="F1384" s="45">
        <v>9</v>
      </c>
      <c r="G1384" s="45">
        <v>1</v>
      </c>
      <c r="H1384" s="45">
        <v>1</v>
      </c>
      <c r="I1384" s="45">
        <v>756</v>
      </c>
      <c r="J1384" s="45">
        <v>30</v>
      </c>
      <c r="K1384" s="45" t="s">
        <v>49</v>
      </c>
    </row>
    <row r="1385" spans="1:11">
      <c r="A1385" s="2">
        <v>43951</v>
      </c>
      <c r="C1385" s="45" t="s">
        <v>53</v>
      </c>
      <c r="E1385" s="45">
        <v>82</v>
      </c>
      <c r="K1385" s="45" t="s">
        <v>370</v>
      </c>
    </row>
    <row r="1386" spans="1:11">
      <c r="A1386" s="2">
        <v>43951</v>
      </c>
      <c r="C1386" s="45" t="s">
        <v>56</v>
      </c>
      <c r="E1386" s="45">
        <v>1070</v>
      </c>
      <c r="F1386" s="45">
        <v>46</v>
      </c>
      <c r="G1386" s="45">
        <v>6</v>
      </c>
      <c r="I1386" s="45">
        <v>123</v>
      </c>
      <c r="J1386" s="45">
        <v>78</v>
      </c>
      <c r="K1386" s="45" t="s">
        <v>736</v>
      </c>
    </row>
    <row r="1387" spans="1:11">
      <c r="A1387" s="2">
        <v>43951</v>
      </c>
      <c r="C1387" s="45" t="s">
        <v>58</v>
      </c>
      <c r="D1387" s="45">
        <v>25631</v>
      </c>
      <c r="E1387" s="45">
        <v>4921</v>
      </c>
      <c r="F1387" s="45">
        <v>252</v>
      </c>
      <c r="G1387" s="45">
        <v>19</v>
      </c>
      <c r="H1387" s="45">
        <v>18</v>
      </c>
      <c r="I1387" s="45">
        <v>640</v>
      </c>
      <c r="J1387" s="45">
        <v>249</v>
      </c>
      <c r="K1387" s="45" t="s">
        <v>369</v>
      </c>
    </row>
    <row r="1388" spans="1:11">
      <c r="A1388" s="2">
        <v>43951</v>
      </c>
      <c r="C1388" s="45" t="s">
        <v>62</v>
      </c>
      <c r="E1388" s="45">
        <v>813</v>
      </c>
      <c r="F1388" s="45">
        <v>21</v>
      </c>
      <c r="J1388" s="45">
        <v>45</v>
      </c>
      <c r="K1388" s="45" t="s">
        <v>511</v>
      </c>
    </row>
    <row r="1389" spans="1:11">
      <c r="A1389" s="2">
        <v>43951</v>
      </c>
      <c r="C1389" s="45" t="s">
        <v>64</v>
      </c>
      <c r="E1389" s="45">
        <v>198</v>
      </c>
      <c r="F1389" s="45">
        <v>8</v>
      </c>
      <c r="G1389" s="45">
        <v>5</v>
      </c>
      <c r="J1389" s="45">
        <v>7</v>
      </c>
      <c r="K1389" s="45" t="s">
        <v>688</v>
      </c>
    </row>
    <row r="1390" spans="1:11">
      <c r="A1390" s="2">
        <v>43951</v>
      </c>
      <c r="C1390" s="45" t="s">
        <v>66</v>
      </c>
      <c r="E1390" s="45">
        <v>694</v>
      </c>
      <c r="F1390" s="45">
        <v>31</v>
      </c>
      <c r="G1390" s="45">
        <v>8</v>
      </c>
      <c r="J1390" s="45">
        <v>17</v>
      </c>
      <c r="K1390" s="45" t="s">
        <v>68</v>
      </c>
    </row>
    <row r="1391" spans="1:11">
      <c r="A1391" s="2">
        <v>43951</v>
      </c>
      <c r="C1391" s="45" t="s">
        <v>69</v>
      </c>
      <c r="E1391" s="45">
        <v>685</v>
      </c>
      <c r="F1391" s="45">
        <v>25</v>
      </c>
      <c r="G1391" s="45">
        <v>5</v>
      </c>
      <c r="H1391" s="45">
        <v>4</v>
      </c>
      <c r="J1391" s="45">
        <v>76</v>
      </c>
      <c r="K1391" s="45" t="s">
        <v>325</v>
      </c>
    </row>
    <row r="1392" spans="1:11">
      <c r="A1392" s="2">
        <v>43951</v>
      </c>
      <c r="C1392" s="45" t="s">
        <v>71</v>
      </c>
      <c r="E1392" s="45">
        <v>113</v>
      </c>
      <c r="F1392" s="45">
        <v>1</v>
      </c>
      <c r="G1392" s="45">
        <v>0</v>
      </c>
      <c r="J1392" s="45">
        <v>3</v>
      </c>
      <c r="K1392" s="45" t="s">
        <v>310</v>
      </c>
    </row>
    <row r="1393" spans="1:11">
      <c r="A1393" s="2">
        <v>43951</v>
      </c>
      <c r="C1393" s="45" t="s">
        <v>76</v>
      </c>
      <c r="E1393" s="45">
        <v>780</v>
      </c>
      <c r="F1393" s="45">
        <v>37</v>
      </c>
      <c r="G1393" s="45">
        <v>3</v>
      </c>
      <c r="I1393" s="45">
        <v>184</v>
      </c>
      <c r="J1393" s="45">
        <v>33</v>
      </c>
      <c r="K1393" s="45" t="s">
        <v>78</v>
      </c>
    </row>
    <row r="1394" spans="1:11">
      <c r="A1394" s="2">
        <v>43951</v>
      </c>
      <c r="C1394" s="45" t="s">
        <v>86</v>
      </c>
      <c r="E1394" s="45">
        <v>365</v>
      </c>
      <c r="F1394" s="45">
        <v>14</v>
      </c>
      <c r="G1394" s="45">
        <v>6</v>
      </c>
      <c r="J1394" s="45">
        <v>17</v>
      </c>
      <c r="K1394" s="45" t="s">
        <v>88</v>
      </c>
    </row>
    <row r="1395" spans="1:11">
      <c r="A1395" s="2">
        <v>43951</v>
      </c>
      <c r="C1395" s="45" t="s">
        <v>94</v>
      </c>
      <c r="E1395" s="45">
        <v>5301</v>
      </c>
      <c r="F1395" s="45">
        <v>141</v>
      </c>
      <c r="G1395" s="45">
        <v>27</v>
      </c>
      <c r="J1395" s="45">
        <v>383</v>
      </c>
      <c r="K1395" s="45" t="s">
        <v>96</v>
      </c>
    </row>
    <row r="1396" spans="1:11">
      <c r="A1396" s="2">
        <v>43951</v>
      </c>
      <c r="C1396" s="45" t="s">
        <v>97</v>
      </c>
      <c r="E1396" s="45">
        <v>1882</v>
      </c>
      <c r="F1396" s="45">
        <v>61</v>
      </c>
      <c r="G1396" s="45">
        <v>10</v>
      </c>
      <c r="H1396" s="45">
        <v>8</v>
      </c>
      <c r="J1396" s="45">
        <v>138</v>
      </c>
      <c r="K1396" s="45" t="s">
        <v>620</v>
      </c>
    </row>
    <row r="1397" spans="1:11">
      <c r="A1397" s="2">
        <v>43951</v>
      </c>
      <c r="B1397" s="45">
        <v>0</v>
      </c>
      <c r="C1397" s="45" t="s">
        <v>81</v>
      </c>
      <c r="E1397" s="45">
        <v>388</v>
      </c>
      <c r="F1397" s="45">
        <v>12</v>
      </c>
      <c r="J1397" s="45">
        <v>15</v>
      </c>
      <c r="K1397" s="45" t="s">
        <v>333</v>
      </c>
    </row>
    <row r="1398" spans="1:11">
      <c r="A1398" s="2">
        <v>43951</v>
      </c>
      <c r="B1398" s="45">
        <v>0.33333333333333331</v>
      </c>
      <c r="C1398" s="45" t="s">
        <v>44</v>
      </c>
      <c r="E1398" s="45">
        <v>1757</v>
      </c>
      <c r="F1398" s="45">
        <v>39</v>
      </c>
      <c r="G1398" s="45">
        <v>9</v>
      </c>
      <c r="H1398" s="45">
        <v>9</v>
      </c>
      <c r="J1398" s="45">
        <v>85</v>
      </c>
      <c r="K1398" s="45" t="s">
        <v>46</v>
      </c>
    </row>
    <row r="1399" spans="1:11">
      <c r="A1399" s="2">
        <v>43951</v>
      </c>
      <c r="B1399" s="45">
        <v>0.33333333333333331</v>
      </c>
      <c r="C1399" s="45" t="s">
        <v>89</v>
      </c>
      <c r="E1399" s="45">
        <v>3210</v>
      </c>
      <c r="F1399" s="45">
        <v>162</v>
      </c>
      <c r="G1399" s="45">
        <v>30</v>
      </c>
      <c r="H1399" s="45">
        <v>23</v>
      </c>
      <c r="I1399" s="45">
        <v>739</v>
      </c>
      <c r="J1399" s="45">
        <v>321</v>
      </c>
      <c r="K1399" s="45" t="s">
        <v>507</v>
      </c>
    </row>
    <row r="1400" spans="1:11">
      <c r="A1400" s="2">
        <v>43951</v>
      </c>
      <c r="B1400" s="45">
        <v>0.33333333333333331</v>
      </c>
      <c r="C1400" s="45" t="s">
        <v>99</v>
      </c>
      <c r="E1400" s="45">
        <v>189</v>
      </c>
      <c r="F1400" s="45">
        <v>6</v>
      </c>
      <c r="G1400" s="45">
        <v>3</v>
      </c>
      <c r="I1400" s="45">
        <v>135</v>
      </c>
      <c r="J1400" s="45">
        <v>8</v>
      </c>
      <c r="K1400" s="45" t="s">
        <v>328</v>
      </c>
    </row>
    <row r="1401" spans="1:11">
      <c r="A1401" s="2">
        <v>43951</v>
      </c>
      <c r="B1401" s="45">
        <v>0.375</v>
      </c>
      <c r="C1401" s="45" t="s">
        <v>50</v>
      </c>
      <c r="E1401" s="45">
        <v>951</v>
      </c>
      <c r="F1401" s="45">
        <v>24</v>
      </c>
      <c r="G1401" s="45">
        <v>8</v>
      </c>
      <c r="I1401" s="45">
        <v>828</v>
      </c>
      <c r="J1401" s="45">
        <v>50</v>
      </c>
      <c r="K1401" s="45" t="s">
        <v>363</v>
      </c>
    </row>
    <row r="1402" spans="1:11">
      <c r="A1402" s="2">
        <v>43951</v>
      </c>
      <c r="B1402" s="45">
        <v>0.39583333333333331</v>
      </c>
      <c r="C1402" s="45" t="s">
        <v>79</v>
      </c>
      <c r="E1402" s="45">
        <v>75</v>
      </c>
      <c r="F1402" s="45">
        <v>8</v>
      </c>
      <c r="G1402" s="45">
        <v>2</v>
      </c>
      <c r="J1402" s="45">
        <v>6</v>
      </c>
      <c r="K1402" s="45" t="s">
        <v>703</v>
      </c>
    </row>
    <row r="1403" spans="1:11">
      <c r="A1403" s="2">
        <v>43951</v>
      </c>
      <c r="B1403" s="45">
        <v>0.41666666666666669</v>
      </c>
      <c r="C1403" s="45" t="s">
        <v>84</v>
      </c>
      <c r="E1403" s="45">
        <v>302</v>
      </c>
      <c r="I1403" s="45">
        <v>239</v>
      </c>
      <c r="J1403" s="45">
        <v>20</v>
      </c>
      <c r="K1403" s="45" t="s">
        <v>704</v>
      </c>
    </row>
    <row r="1404" spans="1:11">
      <c r="A1404" s="2">
        <v>43951</v>
      </c>
      <c r="B1404" s="45">
        <v>0.45833333333333331</v>
      </c>
      <c r="C1404" s="45" t="s">
        <v>38</v>
      </c>
      <c r="E1404" s="45">
        <v>25</v>
      </c>
      <c r="J1404" s="45">
        <v>0</v>
      </c>
      <c r="K1404" s="45" t="s">
        <v>40</v>
      </c>
    </row>
    <row r="1405" spans="1:11">
      <c r="A1405" s="2">
        <v>43951</v>
      </c>
      <c r="B1405" s="45">
        <v>0.54166666666666663</v>
      </c>
      <c r="C1405" s="45" t="s">
        <v>60</v>
      </c>
      <c r="E1405" s="45">
        <v>122</v>
      </c>
      <c r="F1405" s="45">
        <v>2</v>
      </c>
      <c r="J1405" s="45">
        <v>10</v>
      </c>
      <c r="K1405" s="45" t="s">
        <v>609</v>
      </c>
    </row>
    <row r="1406" spans="1:11">
      <c r="A1406" s="2">
        <v>43951</v>
      </c>
      <c r="B1406" s="45">
        <v>0.5625</v>
      </c>
      <c r="C1406" s="45" t="s">
        <v>41</v>
      </c>
      <c r="E1406" s="45">
        <v>95</v>
      </c>
      <c r="F1406" s="45">
        <v>2</v>
      </c>
      <c r="G1406" s="45">
        <v>2</v>
      </c>
      <c r="J1406" s="45">
        <v>3</v>
      </c>
      <c r="K1406" s="45" t="s">
        <v>43</v>
      </c>
    </row>
    <row r="1407" spans="1:11">
      <c r="A1407" s="2">
        <v>43951</v>
      </c>
      <c r="B1407" s="45">
        <v>0.60416666666666663</v>
      </c>
      <c r="C1407" s="45" t="s">
        <v>101</v>
      </c>
      <c r="E1407" s="45">
        <v>3473</v>
      </c>
      <c r="F1407" s="45">
        <v>61</v>
      </c>
      <c r="H1407" s="45">
        <v>15</v>
      </c>
      <c r="J1407" s="45">
        <v>123</v>
      </c>
      <c r="K1407" s="45" t="s">
        <v>103</v>
      </c>
    </row>
    <row r="1408" spans="1:11">
      <c r="A1408" s="2">
        <v>43951</v>
      </c>
      <c r="B1408" s="45">
        <v>0.61458333333333337</v>
      </c>
      <c r="C1408" s="45" t="s">
        <v>34</v>
      </c>
      <c r="E1408" s="45">
        <v>1108</v>
      </c>
      <c r="F1408" s="45">
        <v>33</v>
      </c>
      <c r="G1408" s="45">
        <v>9</v>
      </c>
      <c r="H1408" s="45">
        <v>8</v>
      </c>
      <c r="I1408" s="45">
        <v>870</v>
      </c>
      <c r="J1408" s="45">
        <v>33</v>
      </c>
      <c r="K1408" s="45" t="s">
        <v>368</v>
      </c>
    </row>
    <row r="1409" spans="1:11">
      <c r="A1409" s="2">
        <v>43951</v>
      </c>
      <c r="B1409" s="45">
        <v>0.66666666666666663</v>
      </c>
      <c r="C1409" s="45" t="s">
        <v>73</v>
      </c>
      <c r="E1409" s="45">
        <v>78</v>
      </c>
      <c r="F1409" s="45">
        <v>0</v>
      </c>
      <c r="J1409" s="45">
        <v>0</v>
      </c>
      <c r="K1409" s="45" t="s">
        <v>75</v>
      </c>
    </row>
    <row r="1410" spans="1:11">
      <c r="A1410" s="2">
        <v>43951</v>
      </c>
      <c r="B1410" s="45">
        <v>0.66666666666666663</v>
      </c>
      <c r="C1410" s="45" t="s">
        <v>91</v>
      </c>
      <c r="E1410" s="45">
        <v>86</v>
      </c>
      <c r="F1410" s="45">
        <v>4</v>
      </c>
      <c r="I1410" s="45">
        <v>71</v>
      </c>
      <c r="J1410" s="45">
        <v>5</v>
      </c>
      <c r="K1410" s="45" t="s">
        <v>93</v>
      </c>
    </row>
    <row r="1411" spans="1:11">
      <c r="A1411" s="2">
        <v>43952</v>
      </c>
      <c r="C1411" s="45" t="s">
        <v>47</v>
      </c>
      <c r="E1411" s="45">
        <v>825</v>
      </c>
      <c r="F1411" s="45">
        <v>8</v>
      </c>
      <c r="G1411" s="45">
        <v>1</v>
      </c>
      <c r="H1411" s="45">
        <v>1</v>
      </c>
      <c r="I1411" s="45">
        <v>758</v>
      </c>
      <c r="J1411" s="45">
        <v>32</v>
      </c>
      <c r="K1411" s="45" t="s">
        <v>49</v>
      </c>
    </row>
    <row r="1412" spans="1:11">
      <c r="A1412" s="2">
        <v>43952</v>
      </c>
      <c r="C1412" s="45" t="s">
        <v>53</v>
      </c>
      <c r="E1412" s="45">
        <v>82</v>
      </c>
      <c r="K1412" s="45" t="s">
        <v>506</v>
      </c>
    </row>
    <row r="1413" spans="1:11">
      <c r="A1413" s="2">
        <v>43952</v>
      </c>
      <c r="C1413" s="45" t="s">
        <v>56</v>
      </c>
      <c r="E1413" s="45">
        <v>1078</v>
      </c>
      <c r="F1413" s="45">
        <v>43</v>
      </c>
      <c r="G1413" s="45">
        <v>5</v>
      </c>
      <c r="I1413" s="45">
        <v>123</v>
      </c>
      <c r="J1413" s="45">
        <v>78</v>
      </c>
      <c r="K1413" s="45" t="s">
        <v>736</v>
      </c>
    </row>
    <row r="1414" spans="1:11">
      <c r="A1414" s="2">
        <v>43952</v>
      </c>
      <c r="C1414" s="45" t="s">
        <v>58</v>
      </c>
      <c r="D1414" s="45">
        <v>26099</v>
      </c>
      <c r="E1414" s="45">
        <v>4938</v>
      </c>
      <c r="F1414" s="45">
        <v>242</v>
      </c>
      <c r="G1414" s="45">
        <v>18</v>
      </c>
      <c r="H1414" s="45">
        <v>17</v>
      </c>
      <c r="I1414" s="45">
        <v>658</v>
      </c>
      <c r="J1414" s="45">
        <v>251</v>
      </c>
      <c r="K1414" s="45" t="s">
        <v>369</v>
      </c>
    </row>
    <row r="1415" spans="1:11">
      <c r="A1415" s="2">
        <v>43952</v>
      </c>
      <c r="C1415" s="45" t="s">
        <v>62</v>
      </c>
      <c r="E1415" s="45">
        <v>814</v>
      </c>
      <c r="F1415" s="45">
        <v>21</v>
      </c>
      <c r="J1415" s="45">
        <v>45</v>
      </c>
      <c r="K1415" s="45" t="s">
        <v>511</v>
      </c>
    </row>
    <row r="1416" spans="1:11">
      <c r="A1416" s="2">
        <v>43952</v>
      </c>
      <c r="C1416" s="45" t="s">
        <v>64</v>
      </c>
      <c r="E1416" s="45">
        <v>198</v>
      </c>
      <c r="F1416" s="45">
        <v>8</v>
      </c>
      <c r="G1416" s="45">
        <v>5</v>
      </c>
      <c r="J1416" s="45">
        <v>7</v>
      </c>
      <c r="K1416" s="45" t="s">
        <v>688</v>
      </c>
    </row>
    <row r="1417" spans="1:11">
      <c r="A1417" s="2">
        <v>43952</v>
      </c>
      <c r="C1417" s="45" t="s">
        <v>66</v>
      </c>
      <c r="E1417" s="45">
        <v>703</v>
      </c>
      <c r="F1417" s="45">
        <v>40</v>
      </c>
      <c r="G1417" s="45">
        <v>8</v>
      </c>
      <c r="J1417" s="45">
        <v>17</v>
      </c>
      <c r="K1417" s="45" t="s">
        <v>68</v>
      </c>
    </row>
    <row r="1418" spans="1:11">
      <c r="A1418" s="2">
        <v>43952</v>
      </c>
      <c r="C1418" s="45" t="s">
        <v>69</v>
      </c>
      <c r="E1418" s="45">
        <v>687</v>
      </c>
      <c r="F1418" s="45">
        <v>26</v>
      </c>
      <c r="G1418" s="45">
        <v>2</v>
      </c>
      <c r="H1418" s="45">
        <v>2</v>
      </c>
      <c r="K1418" s="45" t="s">
        <v>325</v>
      </c>
    </row>
    <row r="1419" spans="1:11">
      <c r="A1419" s="2">
        <v>43952</v>
      </c>
      <c r="C1419" s="45" t="s">
        <v>71</v>
      </c>
      <c r="E1419" s="45">
        <v>113</v>
      </c>
      <c r="F1419" s="45">
        <v>1</v>
      </c>
      <c r="G1419" s="45">
        <v>0</v>
      </c>
      <c r="J1419" s="45">
        <v>3</v>
      </c>
      <c r="K1419" s="45" t="s">
        <v>310</v>
      </c>
    </row>
    <row r="1420" spans="1:11">
      <c r="A1420" s="2">
        <v>43952</v>
      </c>
      <c r="C1420" s="45" t="s">
        <v>76</v>
      </c>
      <c r="E1420" s="45">
        <v>788</v>
      </c>
      <c r="F1420" s="45">
        <v>36</v>
      </c>
      <c r="G1420" s="45">
        <v>3</v>
      </c>
      <c r="I1420" s="45">
        <v>187</v>
      </c>
      <c r="J1420" s="45">
        <v>33</v>
      </c>
      <c r="K1420" s="45" t="s">
        <v>78</v>
      </c>
    </row>
    <row r="1421" spans="1:11">
      <c r="A1421" s="2">
        <v>43952</v>
      </c>
      <c r="C1421" s="45" t="s">
        <v>86</v>
      </c>
      <c r="E1421" s="45">
        <v>367</v>
      </c>
      <c r="F1421" s="45">
        <v>14</v>
      </c>
      <c r="G1421" s="45">
        <v>6</v>
      </c>
      <c r="J1421" s="45">
        <v>17</v>
      </c>
      <c r="K1421" s="45" t="s">
        <v>88</v>
      </c>
    </row>
    <row r="1422" spans="1:11">
      <c r="A1422" s="2">
        <v>43952</v>
      </c>
      <c r="C1422" s="45" t="s">
        <v>94</v>
      </c>
      <c r="E1422" s="45">
        <v>5315</v>
      </c>
      <c r="F1422" s="45">
        <v>132</v>
      </c>
      <c r="G1422" s="45">
        <v>26</v>
      </c>
      <c r="J1422" s="45">
        <v>385</v>
      </c>
      <c r="K1422" s="45" t="s">
        <v>96</v>
      </c>
    </row>
    <row r="1423" spans="1:11">
      <c r="A1423" s="2">
        <v>43952</v>
      </c>
      <c r="C1423" s="45" t="s">
        <v>97</v>
      </c>
      <c r="E1423" s="45">
        <v>1886</v>
      </c>
      <c r="F1423" s="45">
        <v>59</v>
      </c>
      <c r="G1423" s="45">
        <v>10</v>
      </c>
      <c r="H1423" s="45">
        <v>8</v>
      </c>
      <c r="J1423" s="45">
        <v>138</v>
      </c>
      <c r="K1423" s="45" t="s">
        <v>620</v>
      </c>
    </row>
    <row r="1424" spans="1:11">
      <c r="A1424" s="2">
        <v>43952</v>
      </c>
      <c r="B1424" s="45">
        <v>0</v>
      </c>
      <c r="C1424" s="45" t="s">
        <v>81</v>
      </c>
      <c r="E1424" s="45">
        <v>390</v>
      </c>
      <c r="F1424" s="45">
        <v>12</v>
      </c>
      <c r="J1424" s="45">
        <v>15</v>
      </c>
      <c r="K1424" s="45" t="s">
        <v>333</v>
      </c>
    </row>
    <row r="1425" spans="1:11">
      <c r="A1425" s="2">
        <v>43952</v>
      </c>
      <c r="B1425" s="45">
        <v>0.33333333333333331</v>
      </c>
      <c r="C1425" s="45" t="s">
        <v>44</v>
      </c>
      <c r="E1425" s="45">
        <v>1767</v>
      </c>
      <c r="F1425" s="45">
        <v>40</v>
      </c>
      <c r="G1425" s="45">
        <v>9</v>
      </c>
      <c r="H1425" s="45">
        <v>7</v>
      </c>
      <c r="J1425" s="45">
        <v>86</v>
      </c>
      <c r="K1425" s="45" t="s">
        <v>46</v>
      </c>
    </row>
    <row r="1426" spans="1:11">
      <c r="A1426" s="2">
        <v>43952</v>
      </c>
      <c r="B1426" s="45">
        <v>0.33333333333333331</v>
      </c>
      <c r="C1426" s="45" t="s">
        <v>89</v>
      </c>
      <c r="E1426" s="45">
        <v>3218</v>
      </c>
      <c r="F1426" s="45">
        <v>142</v>
      </c>
      <c r="G1426" s="45">
        <v>25</v>
      </c>
      <c r="H1426" s="45">
        <v>20</v>
      </c>
      <c r="I1426" s="45">
        <v>764</v>
      </c>
      <c r="J1426" s="45">
        <v>322</v>
      </c>
      <c r="K1426" s="45" t="s">
        <v>507</v>
      </c>
    </row>
    <row r="1427" spans="1:11">
      <c r="A1427" s="2">
        <v>43952</v>
      </c>
      <c r="B1427" s="45">
        <v>0.33333333333333331</v>
      </c>
      <c r="C1427" s="45" t="s">
        <v>99</v>
      </c>
      <c r="E1427" s="45">
        <v>189</v>
      </c>
      <c r="F1427" s="45">
        <v>4</v>
      </c>
      <c r="G1427" s="45">
        <v>1</v>
      </c>
      <c r="I1427" s="45">
        <v>136</v>
      </c>
      <c r="J1427" s="45">
        <v>8</v>
      </c>
      <c r="K1427" s="45" t="s">
        <v>328</v>
      </c>
    </row>
    <row r="1428" spans="1:11">
      <c r="A1428" s="2">
        <v>43952</v>
      </c>
      <c r="B1428" s="45">
        <v>0.39583333333333331</v>
      </c>
      <c r="C1428" s="45" t="s">
        <v>79</v>
      </c>
      <c r="E1428" s="45">
        <v>75</v>
      </c>
      <c r="F1428" s="45">
        <v>7</v>
      </c>
      <c r="G1428" s="45">
        <v>2</v>
      </c>
      <c r="J1428" s="45">
        <v>6</v>
      </c>
      <c r="K1428" s="45" t="s">
        <v>703</v>
      </c>
    </row>
    <row r="1429" spans="1:11">
      <c r="A1429" s="2">
        <v>43952</v>
      </c>
      <c r="B1429" s="45">
        <v>0.41666666666666669</v>
      </c>
      <c r="C1429" s="45" t="s">
        <v>50</v>
      </c>
      <c r="E1429" s="45">
        <v>952</v>
      </c>
      <c r="I1429" s="45">
        <v>833</v>
      </c>
      <c r="J1429" s="45">
        <v>50</v>
      </c>
      <c r="K1429" s="45" t="s">
        <v>519</v>
      </c>
    </row>
    <row r="1430" spans="1:11">
      <c r="A1430" s="2">
        <v>43952</v>
      </c>
      <c r="B1430" s="45">
        <v>0.41666666666666669</v>
      </c>
      <c r="C1430" s="45" t="s">
        <v>84</v>
      </c>
      <c r="E1430" s="45">
        <v>303</v>
      </c>
      <c r="I1430" s="45">
        <v>242</v>
      </c>
      <c r="J1430" s="45">
        <v>21</v>
      </c>
      <c r="K1430" s="45" t="s">
        <v>704</v>
      </c>
    </row>
    <row r="1431" spans="1:11">
      <c r="A1431" s="2">
        <v>43952</v>
      </c>
      <c r="B1431" s="45">
        <v>0.45833333333333331</v>
      </c>
      <c r="C1431" s="45" t="s">
        <v>38</v>
      </c>
      <c r="E1431" s="45">
        <v>25</v>
      </c>
      <c r="J1431" s="45">
        <v>0</v>
      </c>
      <c r="K1431" s="45" t="s">
        <v>40</v>
      </c>
    </row>
    <row r="1432" spans="1:11">
      <c r="A1432" s="2">
        <v>43952</v>
      </c>
      <c r="B1432" s="45">
        <v>0.52083333333333337</v>
      </c>
      <c r="C1432" s="45" t="s">
        <v>41</v>
      </c>
      <c r="E1432" s="45">
        <v>96</v>
      </c>
      <c r="F1432" s="45">
        <v>6</v>
      </c>
      <c r="G1432" s="45">
        <v>2</v>
      </c>
      <c r="J1432" s="45">
        <v>3</v>
      </c>
      <c r="K1432" s="45" t="s">
        <v>43</v>
      </c>
    </row>
    <row r="1433" spans="1:11">
      <c r="A1433" s="2">
        <v>43952</v>
      </c>
      <c r="B1433" s="45">
        <v>0.54166666666666663</v>
      </c>
      <c r="C1433" s="45" t="s">
        <v>60</v>
      </c>
      <c r="E1433" s="45">
        <v>122</v>
      </c>
      <c r="F1433" s="45">
        <v>2</v>
      </c>
      <c r="J1433" s="45">
        <v>11</v>
      </c>
      <c r="K1433" s="45" t="s">
        <v>609</v>
      </c>
    </row>
    <row r="1434" spans="1:11">
      <c r="A1434" s="2">
        <v>43952</v>
      </c>
      <c r="B1434" s="45">
        <v>0.60416666666666663</v>
      </c>
      <c r="C1434" s="45" t="s">
        <v>101</v>
      </c>
      <c r="E1434" s="45">
        <v>3486</v>
      </c>
      <c r="F1434" s="45">
        <v>43</v>
      </c>
      <c r="H1434" s="45">
        <v>14</v>
      </c>
      <c r="J1434" s="45">
        <v>123</v>
      </c>
      <c r="K1434" s="45" t="s">
        <v>103</v>
      </c>
    </row>
    <row r="1435" spans="1:11">
      <c r="A1435" s="2">
        <v>43952</v>
      </c>
      <c r="B1435" s="45">
        <v>0.61458333333333337</v>
      </c>
      <c r="C1435" s="45" t="s">
        <v>34</v>
      </c>
      <c r="E1435" s="45">
        <v>1112</v>
      </c>
      <c r="F1435" s="45">
        <v>34</v>
      </c>
      <c r="G1435" s="45">
        <v>11</v>
      </c>
      <c r="H1435" s="45">
        <v>8</v>
      </c>
      <c r="I1435" s="45">
        <v>890</v>
      </c>
      <c r="J1435" s="45">
        <v>34</v>
      </c>
      <c r="K1435" s="45" t="s">
        <v>505</v>
      </c>
    </row>
    <row r="1436" spans="1:11">
      <c r="A1436" s="2">
        <v>43952</v>
      </c>
      <c r="B1436" s="45">
        <v>0.625</v>
      </c>
      <c r="C1436" s="45" t="s">
        <v>73</v>
      </c>
      <c r="E1436" s="45">
        <v>78</v>
      </c>
      <c r="F1436" s="45">
        <v>0</v>
      </c>
      <c r="J1436" s="45">
        <v>0</v>
      </c>
      <c r="K1436" s="45" t="s">
        <v>75</v>
      </c>
    </row>
    <row r="1437" spans="1:11">
      <c r="A1437" s="2">
        <v>43952</v>
      </c>
      <c r="B1437" s="45">
        <v>0.64583333333333337</v>
      </c>
      <c r="C1437" s="45" t="s">
        <v>91</v>
      </c>
      <c r="E1437" s="45">
        <v>87</v>
      </c>
      <c r="F1437" s="45">
        <v>3</v>
      </c>
      <c r="I1437" s="45">
        <v>72</v>
      </c>
      <c r="J1437" s="45">
        <v>6</v>
      </c>
      <c r="K1437" s="45" t="s">
        <v>93</v>
      </c>
    </row>
    <row r="1438" spans="1:11">
      <c r="A1438" s="2">
        <v>43953</v>
      </c>
      <c r="C1438" s="45" t="s">
        <v>34</v>
      </c>
      <c r="E1438" s="45">
        <v>1124</v>
      </c>
      <c r="K1438" s="45" t="s">
        <v>593</v>
      </c>
    </row>
    <row r="1439" spans="1:11">
      <c r="A1439" s="2">
        <v>43953</v>
      </c>
      <c r="C1439" s="45" t="s">
        <v>47</v>
      </c>
      <c r="E1439" s="45">
        <v>828</v>
      </c>
      <c r="F1439" s="45">
        <v>8</v>
      </c>
      <c r="G1439" s="45">
        <v>2</v>
      </c>
      <c r="H1439" s="45">
        <v>2</v>
      </c>
      <c r="I1439" s="45">
        <v>762</v>
      </c>
      <c r="J1439" s="45">
        <v>32</v>
      </c>
      <c r="K1439" s="45" t="s">
        <v>49</v>
      </c>
    </row>
    <row r="1440" spans="1:11">
      <c r="A1440" s="2">
        <v>43953</v>
      </c>
      <c r="C1440" s="45" t="s">
        <v>53</v>
      </c>
      <c r="E1440" s="45">
        <v>82</v>
      </c>
      <c r="K1440" s="45" t="s">
        <v>510</v>
      </c>
    </row>
    <row r="1441" spans="1:11">
      <c r="A1441" s="2">
        <v>43953</v>
      </c>
      <c r="C1441" s="45" t="s">
        <v>56</v>
      </c>
      <c r="E1441" s="45">
        <v>1092</v>
      </c>
      <c r="F1441" s="45">
        <v>38</v>
      </c>
      <c r="G1441" s="45">
        <v>4</v>
      </c>
      <c r="I1441" s="45">
        <v>129</v>
      </c>
      <c r="J1441" s="45">
        <v>79</v>
      </c>
      <c r="K1441" s="45" t="s">
        <v>736</v>
      </c>
    </row>
    <row r="1442" spans="1:11">
      <c r="A1442" s="2">
        <v>43953</v>
      </c>
      <c r="C1442" s="45" t="s">
        <v>58</v>
      </c>
      <c r="D1442" s="45">
        <v>26384</v>
      </c>
      <c r="E1442" s="45">
        <v>4943</v>
      </c>
      <c r="F1442" s="45">
        <v>235</v>
      </c>
      <c r="G1442" s="45">
        <v>17</v>
      </c>
      <c r="H1442" s="45">
        <v>17</v>
      </c>
      <c r="I1442" s="45">
        <v>660</v>
      </c>
      <c r="J1442" s="45">
        <v>253</v>
      </c>
      <c r="K1442" s="45" t="s">
        <v>369</v>
      </c>
    </row>
    <row r="1443" spans="1:11">
      <c r="A1443" s="2">
        <v>43953</v>
      </c>
      <c r="C1443" s="45" t="s">
        <v>62</v>
      </c>
      <c r="E1443" s="45">
        <v>816</v>
      </c>
      <c r="F1443" s="45">
        <v>19</v>
      </c>
      <c r="J1443" s="45">
        <v>45</v>
      </c>
      <c r="K1443" s="45" t="s">
        <v>511</v>
      </c>
    </row>
    <row r="1444" spans="1:11">
      <c r="A1444" s="2">
        <v>43953</v>
      </c>
      <c r="C1444" s="45" t="s">
        <v>64</v>
      </c>
      <c r="E1444" s="45">
        <v>198</v>
      </c>
      <c r="F1444" s="45">
        <v>8</v>
      </c>
      <c r="G1444" s="45">
        <v>5</v>
      </c>
      <c r="J1444" s="45">
        <v>7</v>
      </c>
      <c r="K1444" s="45" t="s">
        <v>688</v>
      </c>
    </row>
    <row r="1445" spans="1:11">
      <c r="A1445" s="2">
        <v>43953</v>
      </c>
      <c r="C1445" s="45" t="s">
        <v>66</v>
      </c>
      <c r="E1445" s="45">
        <v>704</v>
      </c>
      <c r="F1445" s="45">
        <v>40</v>
      </c>
      <c r="G1445" s="45">
        <v>8</v>
      </c>
      <c r="J1445" s="45">
        <v>17</v>
      </c>
      <c r="K1445" s="45" t="s">
        <v>68</v>
      </c>
    </row>
    <row r="1446" spans="1:11">
      <c r="A1446" s="2">
        <v>43953</v>
      </c>
      <c r="C1446" s="45" t="s">
        <v>69</v>
      </c>
      <c r="E1446" s="45">
        <v>687</v>
      </c>
      <c r="F1446" s="45">
        <v>26</v>
      </c>
      <c r="G1446" s="45">
        <v>2</v>
      </c>
      <c r="H1446" s="45">
        <v>2</v>
      </c>
      <c r="K1446" s="45" t="s">
        <v>325</v>
      </c>
    </row>
    <row r="1447" spans="1:11">
      <c r="A1447" s="2">
        <v>43953</v>
      </c>
      <c r="C1447" s="45" t="s">
        <v>71</v>
      </c>
      <c r="E1447" s="45">
        <v>113</v>
      </c>
      <c r="F1447" s="45">
        <v>1</v>
      </c>
      <c r="G1447" s="45">
        <v>0</v>
      </c>
      <c r="J1447" s="45">
        <v>3</v>
      </c>
      <c r="K1447" s="45" t="s">
        <v>310</v>
      </c>
    </row>
    <row r="1448" spans="1:11">
      <c r="A1448" s="2">
        <v>43953</v>
      </c>
      <c r="C1448" s="45" t="s">
        <v>86</v>
      </c>
      <c r="E1448" s="45">
        <v>368</v>
      </c>
      <c r="F1448" s="45">
        <v>14</v>
      </c>
      <c r="G1448" s="45">
        <v>5</v>
      </c>
      <c r="J1448" s="45">
        <v>17</v>
      </c>
      <c r="K1448" s="45" t="s">
        <v>88</v>
      </c>
    </row>
    <row r="1449" spans="1:11">
      <c r="A1449" s="2">
        <v>43953</v>
      </c>
      <c r="C1449" s="45" t="s">
        <v>94</v>
      </c>
      <c r="E1449" s="45">
        <v>5324</v>
      </c>
      <c r="F1449" s="45">
        <v>113</v>
      </c>
      <c r="G1449" s="45">
        <v>24</v>
      </c>
      <c r="J1449" s="45">
        <v>387</v>
      </c>
      <c r="K1449" s="45" t="s">
        <v>96</v>
      </c>
    </row>
    <row r="1450" spans="1:11">
      <c r="A1450" s="2">
        <v>43953</v>
      </c>
      <c r="C1450" s="45" t="s">
        <v>97</v>
      </c>
      <c r="E1450" s="45">
        <v>1888</v>
      </c>
      <c r="F1450" s="45">
        <v>59</v>
      </c>
      <c r="G1450" s="45">
        <v>10</v>
      </c>
      <c r="H1450" s="45">
        <v>8</v>
      </c>
      <c r="J1450" s="45">
        <v>140</v>
      </c>
      <c r="K1450" s="45" t="s">
        <v>620</v>
      </c>
    </row>
    <row r="1451" spans="1:11">
      <c r="A1451" s="2">
        <v>43953</v>
      </c>
      <c r="B1451" s="45">
        <v>0</v>
      </c>
      <c r="C1451" s="45" t="s">
        <v>81</v>
      </c>
      <c r="E1451" s="45">
        <v>392</v>
      </c>
      <c r="F1451" s="45">
        <v>11</v>
      </c>
      <c r="J1451" s="45">
        <v>15</v>
      </c>
      <c r="K1451" s="45" t="s">
        <v>333</v>
      </c>
    </row>
    <row r="1452" spans="1:11">
      <c r="A1452" s="2">
        <v>43953</v>
      </c>
      <c r="B1452" s="45">
        <v>6.9444444444444447E-4</v>
      </c>
      <c r="C1452" s="45" t="s">
        <v>84</v>
      </c>
      <c r="E1452" s="45">
        <v>304</v>
      </c>
      <c r="I1452" s="45">
        <v>246</v>
      </c>
      <c r="J1452" s="45">
        <v>21</v>
      </c>
      <c r="K1452" s="45" t="s">
        <v>704</v>
      </c>
    </row>
    <row r="1453" spans="1:11">
      <c r="A1453" s="2">
        <v>43953</v>
      </c>
      <c r="B1453" s="45">
        <v>0.33333333333333331</v>
      </c>
      <c r="C1453" s="45" t="s">
        <v>44</v>
      </c>
      <c r="E1453" s="45">
        <v>1779</v>
      </c>
      <c r="F1453" s="45">
        <v>44</v>
      </c>
      <c r="G1453" s="45">
        <v>9</v>
      </c>
      <c r="H1453" s="45">
        <v>6</v>
      </c>
      <c r="J1453" s="45">
        <v>90</v>
      </c>
      <c r="K1453" s="45" t="s">
        <v>46</v>
      </c>
    </row>
    <row r="1454" spans="1:11">
      <c r="A1454" s="2">
        <v>43953</v>
      </c>
      <c r="B1454" s="45">
        <v>0.33333333333333331</v>
      </c>
      <c r="C1454" s="45" t="s">
        <v>89</v>
      </c>
      <c r="E1454" s="45">
        <v>3225</v>
      </c>
      <c r="F1454" s="45">
        <v>134</v>
      </c>
      <c r="G1454" s="45">
        <v>23</v>
      </c>
      <c r="H1454" s="45">
        <v>16</v>
      </c>
      <c r="I1454" s="45">
        <v>774</v>
      </c>
      <c r="J1454" s="45">
        <v>323</v>
      </c>
      <c r="K1454" s="45" t="s">
        <v>507</v>
      </c>
    </row>
    <row r="1455" spans="1:11">
      <c r="A1455" s="2">
        <v>43953</v>
      </c>
      <c r="B1455" s="45">
        <v>0.33333333333333331</v>
      </c>
      <c r="C1455" s="45" t="s">
        <v>99</v>
      </c>
      <c r="E1455" s="45">
        <v>189</v>
      </c>
      <c r="F1455" s="45">
        <v>3</v>
      </c>
      <c r="G1455" s="45">
        <v>1</v>
      </c>
      <c r="I1455" s="45">
        <v>136</v>
      </c>
      <c r="J1455" s="45">
        <v>8</v>
      </c>
      <c r="K1455" s="45" t="s">
        <v>328</v>
      </c>
    </row>
    <row r="1456" spans="1:11">
      <c r="A1456" s="2">
        <v>43953</v>
      </c>
      <c r="B1456" s="45">
        <v>0.39583333333333331</v>
      </c>
      <c r="C1456" s="45" t="s">
        <v>79</v>
      </c>
      <c r="E1456" s="45">
        <v>75</v>
      </c>
      <c r="F1456" s="45">
        <v>7</v>
      </c>
      <c r="G1456" s="45">
        <v>2</v>
      </c>
      <c r="J1456" s="45">
        <v>6</v>
      </c>
      <c r="K1456" s="45" t="s">
        <v>703</v>
      </c>
    </row>
    <row r="1457" spans="1:11">
      <c r="A1457" s="2">
        <v>43953</v>
      </c>
      <c r="B1457" s="45">
        <v>0.41666666666666669</v>
      </c>
      <c r="C1457" s="45" t="s">
        <v>50</v>
      </c>
      <c r="E1457" s="45">
        <v>955</v>
      </c>
      <c r="I1457" s="45">
        <v>835</v>
      </c>
      <c r="J1457" s="45">
        <v>50</v>
      </c>
      <c r="K1457" s="45" t="s">
        <v>519</v>
      </c>
    </row>
    <row r="1458" spans="1:11">
      <c r="A1458" s="2">
        <v>43953</v>
      </c>
      <c r="B1458" s="45">
        <v>0.52083333333333337</v>
      </c>
      <c r="C1458" s="45" t="s">
        <v>41</v>
      </c>
      <c r="E1458" s="45">
        <v>96</v>
      </c>
      <c r="F1458" s="45">
        <v>3</v>
      </c>
      <c r="G1458" s="45">
        <v>2</v>
      </c>
      <c r="J1458" s="45">
        <v>3</v>
      </c>
      <c r="K1458" s="45" t="s">
        <v>43</v>
      </c>
    </row>
    <row r="1459" spans="1:11">
      <c r="A1459" s="2">
        <v>43953</v>
      </c>
      <c r="B1459" s="45">
        <v>0.54166666666666663</v>
      </c>
      <c r="C1459" s="45" t="s">
        <v>60</v>
      </c>
      <c r="E1459" s="45">
        <v>122</v>
      </c>
      <c r="F1459" s="45">
        <v>2</v>
      </c>
      <c r="J1459" s="45">
        <v>11</v>
      </c>
      <c r="K1459" s="45" t="s">
        <v>609</v>
      </c>
    </row>
    <row r="1460" spans="1:11">
      <c r="A1460" s="2">
        <v>43953</v>
      </c>
      <c r="B1460" s="45">
        <v>0.60416666666666663</v>
      </c>
      <c r="C1460" s="45" t="s">
        <v>101</v>
      </c>
      <c r="E1460" s="45">
        <v>3489</v>
      </c>
      <c r="F1460" s="45">
        <v>41</v>
      </c>
      <c r="H1460" s="45">
        <v>13</v>
      </c>
      <c r="J1460" s="45">
        <v>123</v>
      </c>
      <c r="K1460" s="45" t="s">
        <v>103</v>
      </c>
    </row>
    <row r="1461" spans="1:11">
      <c r="A1461" s="2">
        <v>43953</v>
      </c>
      <c r="B1461" s="45">
        <v>0.625</v>
      </c>
      <c r="C1461" s="45" t="s">
        <v>91</v>
      </c>
      <c r="E1461" s="45">
        <v>89</v>
      </c>
      <c r="F1461" s="45">
        <v>0</v>
      </c>
      <c r="I1461" s="45">
        <v>72</v>
      </c>
      <c r="J1461" s="45">
        <v>6</v>
      </c>
      <c r="K1461" s="45" t="s">
        <v>93</v>
      </c>
    </row>
    <row r="1462" spans="1:11">
      <c r="A1462" s="2">
        <v>43954</v>
      </c>
      <c r="C1462" s="45" t="s">
        <v>34</v>
      </c>
      <c r="E1462" s="45">
        <v>1129</v>
      </c>
      <c r="K1462" s="45" t="s">
        <v>593</v>
      </c>
    </row>
    <row r="1463" spans="1:11">
      <c r="A1463" s="2">
        <v>43954</v>
      </c>
      <c r="C1463" s="45" t="s">
        <v>47</v>
      </c>
      <c r="E1463" s="45">
        <v>828</v>
      </c>
      <c r="F1463" s="45">
        <v>10</v>
      </c>
      <c r="G1463" s="45">
        <v>1</v>
      </c>
      <c r="H1463" s="45">
        <v>1</v>
      </c>
      <c r="I1463" s="45">
        <v>767</v>
      </c>
      <c r="J1463" s="45">
        <v>32</v>
      </c>
      <c r="K1463" s="45" t="s">
        <v>49</v>
      </c>
    </row>
    <row r="1464" spans="1:11">
      <c r="A1464" s="2">
        <v>43954</v>
      </c>
      <c r="C1464" s="45" t="s">
        <v>53</v>
      </c>
      <c r="E1464" s="45">
        <v>82</v>
      </c>
      <c r="K1464" s="45" t="s">
        <v>516</v>
      </c>
    </row>
    <row r="1465" spans="1:11">
      <c r="A1465" s="2">
        <v>43954</v>
      </c>
      <c r="C1465" s="45" t="s">
        <v>56</v>
      </c>
      <c r="E1465" s="45">
        <v>1097</v>
      </c>
      <c r="F1465" s="45">
        <v>35</v>
      </c>
      <c r="G1465" s="45">
        <v>4</v>
      </c>
      <c r="I1465" s="45">
        <v>130</v>
      </c>
      <c r="J1465" s="45">
        <v>79</v>
      </c>
      <c r="K1465" s="45" t="s">
        <v>736</v>
      </c>
    </row>
    <row r="1466" spans="1:11">
      <c r="A1466" s="2">
        <v>43954</v>
      </c>
      <c r="C1466" s="45" t="s">
        <v>58</v>
      </c>
      <c r="D1466" s="45">
        <v>26551</v>
      </c>
      <c r="E1466" s="45">
        <v>4947</v>
      </c>
      <c r="F1466" s="45">
        <v>238</v>
      </c>
      <c r="G1466" s="45">
        <v>17</v>
      </c>
      <c r="H1466" s="45">
        <v>16</v>
      </c>
      <c r="I1466" s="45">
        <v>660</v>
      </c>
      <c r="J1466" s="45">
        <v>254</v>
      </c>
      <c r="K1466" s="45" t="s">
        <v>369</v>
      </c>
    </row>
    <row r="1467" spans="1:11">
      <c r="A1467" s="2">
        <v>43954</v>
      </c>
      <c r="C1467" s="45" t="s">
        <v>62</v>
      </c>
      <c r="E1467" s="45">
        <v>816</v>
      </c>
      <c r="F1467" s="45">
        <v>18</v>
      </c>
      <c r="J1467" s="45">
        <v>45</v>
      </c>
      <c r="K1467" s="45" t="s">
        <v>511</v>
      </c>
    </row>
    <row r="1468" spans="1:11">
      <c r="A1468" s="2">
        <v>43954</v>
      </c>
      <c r="C1468" s="45" t="s">
        <v>64</v>
      </c>
      <c r="E1468" s="45">
        <v>198</v>
      </c>
      <c r="F1468" s="45">
        <v>8</v>
      </c>
      <c r="G1468" s="45">
        <v>5</v>
      </c>
      <c r="J1468" s="45">
        <v>7</v>
      </c>
      <c r="K1468" s="45" t="s">
        <v>688</v>
      </c>
    </row>
    <row r="1469" spans="1:11">
      <c r="A1469" s="2">
        <v>43954</v>
      </c>
      <c r="C1469" s="45" t="s">
        <v>66</v>
      </c>
      <c r="E1469" s="45">
        <v>705</v>
      </c>
      <c r="F1469" s="45">
        <v>40</v>
      </c>
      <c r="G1469" s="45">
        <v>7</v>
      </c>
      <c r="J1469" s="45">
        <v>18</v>
      </c>
      <c r="K1469" s="45" t="s">
        <v>68</v>
      </c>
    </row>
    <row r="1470" spans="1:11">
      <c r="A1470" s="2">
        <v>43954</v>
      </c>
      <c r="C1470" s="45" t="s">
        <v>69</v>
      </c>
      <c r="E1470" s="45">
        <v>688</v>
      </c>
      <c r="F1470" s="45">
        <v>26</v>
      </c>
      <c r="G1470" s="45">
        <v>2</v>
      </c>
      <c r="H1470" s="45">
        <v>2</v>
      </c>
      <c r="K1470" s="45" t="s">
        <v>325</v>
      </c>
    </row>
    <row r="1471" spans="1:11">
      <c r="A1471" s="2">
        <v>43954</v>
      </c>
      <c r="C1471" s="45" t="s">
        <v>71</v>
      </c>
      <c r="E1471" s="45">
        <v>113</v>
      </c>
      <c r="F1471" s="45">
        <v>1</v>
      </c>
      <c r="G1471" s="45">
        <v>0</v>
      </c>
      <c r="J1471" s="45">
        <v>3</v>
      </c>
      <c r="K1471" s="45" t="s">
        <v>310</v>
      </c>
    </row>
    <row r="1472" spans="1:11">
      <c r="A1472" s="2">
        <v>43954</v>
      </c>
      <c r="C1472" s="45" t="s">
        <v>86</v>
      </c>
      <c r="E1472" s="45">
        <v>368</v>
      </c>
      <c r="F1472" s="45">
        <v>14</v>
      </c>
      <c r="G1472" s="45">
        <v>5</v>
      </c>
      <c r="J1472" s="45">
        <v>17</v>
      </c>
      <c r="K1472" s="45" t="s">
        <v>88</v>
      </c>
    </row>
    <row r="1473" spans="1:11">
      <c r="A1473" s="2">
        <v>43954</v>
      </c>
      <c r="C1473" s="45" t="s">
        <v>94</v>
      </c>
      <c r="E1473" s="45">
        <v>5328</v>
      </c>
      <c r="F1473" s="45">
        <v>114</v>
      </c>
      <c r="G1473" s="45">
        <v>23</v>
      </c>
      <c r="J1473" s="45">
        <v>388</v>
      </c>
      <c r="K1473" s="45" t="s">
        <v>96</v>
      </c>
    </row>
    <row r="1474" spans="1:11">
      <c r="A1474" s="2">
        <v>43954</v>
      </c>
      <c r="C1474" s="45" t="s">
        <v>97</v>
      </c>
      <c r="E1474" s="45">
        <v>1890</v>
      </c>
      <c r="F1474" s="45">
        <v>59</v>
      </c>
      <c r="G1474" s="45">
        <v>10</v>
      </c>
      <c r="H1474" s="45">
        <v>8</v>
      </c>
      <c r="J1474" s="45">
        <v>142</v>
      </c>
      <c r="K1474" s="45" t="s">
        <v>620</v>
      </c>
    </row>
    <row r="1475" spans="1:11">
      <c r="A1475" s="2">
        <v>43954</v>
      </c>
      <c r="B1475" s="45">
        <v>0</v>
      </c>
      <c r="C1475" s="45" t="s">
        <v>81</v>
      </c>
      <c r="E1475" s="45">
        <v>398</v>
      </c>
      <c r="F1475" s="45">
        <v>11</v>
      </c>
      <c r="J1475" s="45">
        <v>15</v>
      </c>
      <c r="K1475" s="45" t="s">
        <v>333</v>
      </c>
    </row>
    <row r="1476" spans="1:11">
      <c r="A1476" s="2">
        <v>43954</v>
      </c>
      <c r="B1476" s="45">
        <v>6.9444444444444447E-4</v>
      </c>
      <c r="C1476" s="45" t="s">
        <v>84</v>
      </c>
      <c r="E1476" s="45">
        <v>304</v>
      </c>
      <c r="I1476" s="45">
        <v>248</v>
      </c>
      <c r="J1476" s="45">
        <v>21</v>
      </c>
      <c r="K1476" s="45" t="s">
        <v>704</v>
      </c>
    </row>
    <row r="1477" spans="1:11">
      <c r="A1477" s="2">
        <v>43954</v>
      </c>
      <c r="B1477" s="45">
        <v>0.33333333333333331</v>
      </c>
      <c r="C1477" s="45" t="s">
        <v>44</v>
      </c>
      <c r="E1477" s="45">
        <v>1791</v>
      </c>
      <c r="F1477" s="45">
        <v>41</v>
      </c>
      <c r="G1477" s="45">
        <v>10</v>
      </c>
      <c r="H1477" s="45">
        <v>7</v>
      </c>
      <c r="J1477" s="45">
        <v>90</v>
      </c>
      <c r="K1477" s="45" t="s">
        <v>46</v>
      </c>
    </row>
    <row r="1478" spans="1:11">
      <c r="A1478" s="2">
        <v>43954</v>
      </c>
      <c r="B1478" s="45">
        <v>0.33333333333333331</v>
      </c>
      <c r="C1478" s="45" t="s">
        <v>89</v>
      </c>
      <c r="E1478" s="45">
        <v>3235</v>
      </c>
      <c r="F1478" s="45">
        <v>132</v>
      </c>
      <c r="G1478" s="45">
        <v>23</v>
      </c>
      <c r="H1478" s="45">
        <v>16</v>
      </c>
      <c r="I1478" s="45">
        <v>779</v>
      </c>
      <c r="J1478" s="45">
        <v>324</v>
      </c>
      <c r="K1478" s="45" t="s">
        <v>507</v>
      </c>
    </row>
    <row r="1479" spans="1:11">
      <c r="A1479" s="2">
        <v>43954</v>
      </c>
      <c r="B1479" s="45">
        <v>0.33333333333333331</v>
      </c>
      <c r="C1479" s="45" t="s">
        <v>99</v>
      </c>
      <c r="E1479" s="45">
        <v>189</v>
      </c>
      <c r="F1479" s="45">
        <v>3</v>
      </c>
      <c r="G1479" s="45">
        <v>1</v>
      </c>
      <c r="I1479" s="45">
        <v>137</v>
      </c>
      <c r="J1479" s="45">
        <v>8</v>
      </c>
      <c r="K1479" s="45" t="s">
        <v>328</v>
      </c>
    </row>
    <row r="1480" spans="1:11">
      <c r="A1480" s="2">
        <v>43954</v>
      </c>
      <c r="B1480" s="45">
        <v>0.39583333333333331</v>
      </c>
      <c r="C1480" s="45" t="s">
        <v>79</v>
      </c>
      <c r="E1480" s="45">
        <v>75</v>
      </c>
      <c r="F1480" s="45">
        <v>6</v>
      </c>
      <c r="G1480" s="45">
        <v>2</v>
      </c>
      <c r="J1480" s="45">
        <v>6</v>
      </c>
      <c r="K1480" s="45" t="s">
        <v>703</v>
      </c>
    </row>
    <row r="1481" spans="1:11">
      <c r="A1481" s="2">
        <v>43954</v>
      </c>
      <c r="B1481" s="45">
        <v>0.41666666666666669</v>
      </c>
      <c r="C1481" s="45" t="s">
        <v>50</v>
      </c>
      <c r="E1481" s="45">
        <v>956</v>
      </c>
      <c r="I1481" s="45">
        <v>839</v>
      </c>
      <c r="J1481" s="45">
        <v>50</v>
      </c>
      <c r="K1481" s="45" t="s">
        <v>519</v>
      </c>
    </row>
    <row r="1482" spans="1:11">
      <c r="A1482" s="2">
        <v>43954</v>
      </c>
      <c r="B1482" s="45">
        <v>0.54166666666666663</v>
      </c>
      <c r="C1482" s="45" t="s">
        <v>60</v>
      </c>
      <c r="E1482" s="45">
        <v>122</v>
      </c>
      <c r="F1482" s="45">
        <v>2</v>
      </c>
      <c r="J1482" s="45">
        <v>11</v>
      </c>
      <c r="K1482" s="45" t="s">
        <v>609</v>
      </c>
    </row>
    <row r="1483" spans="1:11">
      <c r="A1483" s="2">
        <v>43954</v>
      </c>
      <c r="B1483" s="45">
        <v>0.54166666666666663</v>
      </c>
      <c r="C1483" s="45" t="s">
        <v>91</v>
      </c>
      <c r="E1483" s="45">
        <v>90</v>
      </c>
      <c r="F1483" s="45">
        <v>0</v>
      </c>
      <c r="I1483" s="45">
        <v>72</v>
      </c>
      <c r="J1483" s="45">
        <v>6</v>
      </c>
      <c r="K1483" s="45" t="s">
        <v>93</v>
      </c>
    </row>
    <row r="1484" spans="1:11">
      <c r="A1484" s="2">
        <v>43954</v>
      </c>
      <c r="B1484" s="45">
        <v>0.5625</v>
      </c>
      <c r="C1484" s="45" t="s">
        <v>41</v>
      </c>
      <c r="E1484" s="45">
        <v>97</v>
      </c>
      <c r="F1484" s="45">
        <v>3</v>
      </c>
      <c r="G1484" s="45">
        <v>2</v>
      </c>
      <c r="J1484" s="45">
        <v>3</v>
      </c>
      <c r="K1484" s="45" t="s">
        <v>43</v>
      </c>
    </row>
    <row r="1485" spans="1:11">
      <c r="A1485" s="2">
        <v>43954</v>
      </c>
      <c r="B1485" s="45">
        <v>0.60416666666666663</v>
      </c>
      <c r="C1485" s="45" t="s">
        <v>101</v>
      </c>
      <c r="E1485" s="45">
        <v>3493</v>
      </c>
      <c r="F1485" s="45">
        <v>42</v>
      </c>
      <c r="H1485" s="45">
        <v>12</v>
      </c>
      <c r="J1485" s="45">
        <v>123</v>
      </c>
      <c r="K1485" s="45" t="s">
        <v>103</v>
      </c>
    </row>
    <row r="1486" spans="1:11">
      <c r="A1486" s="2">
        <v>43955</v>
      </c>
      <c r="C1486" s="45" t="s">
        <v>47</v>
      </c>
      <c r="E1486" s="45">
        <v>828</v>
      </c>
      <c r="F1486" s="45">
        <v>9</v>
      </c>
      <c r="G1486" s="45">
        <v>1</v>
      </c>
      <c r="H1486" s="45">
        <v>1</v>
      </c>
      <c r="I1486" s="45">
        <v>769</v>
      </c>
      <c r="J1486" s="45">
        <v>32</v>
      </c>
      <c r="K1486" s="45" t="s">
        <v>49</v>
      </c>
    </row>
    <row r="1487" spans="1:11">
      <c r="A1487" s="2">
        <v>43955</v>
      </c>
      <c r="C1487" s="45" t="s">
        <v>53</v>
      </c>
      <c r="E1487" s="45">
        <v>82</v>
      </c>
      <c r="K1487" s="45" t="s">
        <v>608</v>
      </c>
    </row>
    <row r="1488" spans="1:11">
      <c r="A1488" s="2">
        <v>43955</v>
      </c>
      <c r="C1488" s="45" t="s">
        <v>56</v>
      </c>
      <c r="E1488" s="45">
        <v>1102</v>
      </c>
      <c r="F1488" s="45">
        <v>36</v>
      </c>
      <c r="G1488" s="45">
        <v>4</v>
      </c>
      <c r="I1488" s="45">
        <v>130</v>
      </c>
      <c r="J1488" s="45">
        <v>79</v>
      </c>
      <c r="K1488" s="45" t="s">
        <v>736</v>
      </c>
    </row>
    <row r="1489" spans="1:11">
      <c r="A1489" s="2">
        <v>43955</v>
      </c>
      <c r="C1489" s="45" t="s">
        <v>58</v>
      </c>
      <c r="D1489" s="45">
        <v>26873</v>
      </c>
      <c r="E1489" s="45">
        <v>4951</v>
      </c>
      <c r="F1489" s="45">
        <v>236</v>
      </c>
      <c r="G1489" s="45">
        <v>17</v>
      </c>
      <c r="H1489" s="45">
        <v>16</v>
      </c>
      <c r="I1489" s="45">
        <v>661</v>
      </c>
      <c r="J1489" s="45">
        <v>254</v>
      </c>
      <c r="K1489" s="45" t="s">
        <v>369</v>
      </c>
    </row>
    <row r="1490" spans="1:11">
      <c r="A1490" s="2">
        <v>43955</v>
      </c>
      <c r="C1490" s="45" t="s">
        <v>62</v>
      </c>
      <c r="E1490" s="45">
        <v>816</v>
      </c>
      <c r="F1490" s="45">
        <v>16</v>
      </c>
      <c r="J1490" s="45">
        <v>45</v>
      </c>
      <c r="K1490" s="45" t="s">
        <v>511</v>
      </c>
    </row>
    <row r="1491" spans="1:11">
      <c r="A1491" s="2">
        <v>43955</v>
      </c>
      <c r="C1491" s="45" t="s">
        <v>64</v>
      </c>
      <c r="E1491" s="45">
        <v>198</v>
      </c>
      <c r="F1491" s="45">
        <v>8</v>
      </c>
      <c r="G1491" s="45">
        <v>5</v>
      </c>
      <c r="J1491" s="45">
        <v>7</v>
      </c>
      <c r="K1491" s="45" t="s">
        <v>688</v>
      </c>
    </row>
    <row r="1492" spans="1:11">
      <c r="A1492" s="2">
        <v>43955</v>
      </c>
      <c r="C1492" s="45" t="s">
        <v>66</v>
      </c>
      <c r="E1492" s="45">
        <v>705</v>
      </c>
      <c r="F1492" s="45">
        <v>34</v>
      </c>
      <c r="G1492" s="45">
        <v>6</v>
      </c>
      <c r="J1492" s="45">
        <v>18</v>
      </c>
      <c r="K1492" s="45" t="s">
        <v>68</v>
      </c>
    </row>
    <row r="1493" spans="1:11">
      <c r="A1493" s="2">
        <v>43955</v>
      </c>
      <c r="C1493" s="45" t="s">
        <v>69</v>
      </c>
      <c r="E1493" s="45">
        <v>689</v>
      </c>
      <c r="F1493" s="45">
        <v>25</v>
      </c>
      <c r="G1493" s="45">
        <v>3</v>
      </c>
      <c r="H1493" s="45">
        <v>3</v>
      </c>
      <c r="K1493" s="45" t="s">
        <v>325</v>
      </c>
    </row>
    <row r="1494" spans="1:11">
      <c r="A1494" s="2">
        <v>43955</v>
      </c>
      <c r="C1494" s="45" t="s">
        <v>71</v>
      </c>
      <c r="E1494" s="45">
        <v>113</v>
      </c>
      <c r="F1494" s="45">
        <v>1</v>
      </c>
      <c r="G1494" s="45">
        <v>0</v>
      </c>
      <c r="J1494" s="45">
        <v>3</v>
      </c>
      <c r="K1494" s="45" t="s">
        <v>310</v>
      </c>
    </row>
    <row r="1495" spans="1:11">
      <c r="A1495" s="2">
        <v>43955</v>
      </c>
      <c r="C1495" s="45" t="s">
        <v>76</v>
      </c>
      <c r="E1495" s="45">
        <v>793</v>
      </c>
      <c r="F1495" s="45">
        <v>29</v>
      </c>
      <c r="G1495" s="45">
        <v>2</v>
      </c>
      <c r="I1495" s="45">
        <v>189</v>
      </c>
      <c r="J1495" s="45">
        <v>33</v>
      </c>
      <c r="K1495" s="45" t="s">
        <v>78</v>
      </c>
    </row>
    <row r="1496" spans="1:11">
      <c r="A1496" s="2">
        <v>43955</v>
      </c>
      <c r="C1496" s="45" t="s">
        <v>86</v>
      </c>
      <c r="E1496" s="45">
        <v>372</v>
      </c>
      <c r="F1496" s="45">
        <v>14</v>
      </c>
      <c r="G1496" s="45">
        <v>5</v>
      </c>
      <c r="J1496" s="45">
        <v>17</v>
      </c>
      <c r="K1496" s="45" t="s">
        <v>88</v>
      </c>
    </row>
    <row r="1497" spans="1:11">
      <c r="A1497" s="2">
        <v>43955</v>
      </c>
      <c r="C1497" s="45" t="s">
        <v>94</v>
      </c>
      <c r="E1497" s="45">
        <v>5334</v>
      </c>
      <c r="F1497" s="45">
        <v>114</v>
      </c>
      <c r="G1497" s="45">
        <v>23</v>
      </c>
      <c r="J1497" s="45">
        <v>388</v>
      </c>
      <c r="K1497" s="45" t="s">
        <v>96</v>
      </c>
    </row>
    <row r="1498" spans="1:11">
      <c r="A1498" s="2">
        <v>43955</v>
      </c>
      <c r="C1498" s="45" t="s">
        <v>97</v>
      </c>
      <c r="E1498" s="45">
        <v>1897</v>
      </c>
      <c r="F1498" s="45">
        <v>54</v>
      </c>
      <c r="G1498" s="45">
        <v>10</v>
      </c>
      <c r="H1498" s="45">
        <v>7</v>
      </c>
      <c r="J1498" s="45">
        <v>142</v>
      </c>
      <c r="K1498" s="45" t="s">
        <v>620</v>
      </c>
    </row>
    <row r="1499" spans="1:11">
      <c r="A1499" s="2">
        <v>43955</v>
      </c>
      <c r="B1499" s="45">
        <v>0</v>
      </c>
      <c r="C1499" s="45" t="s">
        <v>81</v>
      </c>
      <c r="E1499" s="45">
        <v>400</v>
      </c>
      <c r="F1499" s="45">
        <v>11</v>
      </c>
      <c r="J1499" s="45">
        <v>15</v>
      </c>
      <c r="K1499" s="45" t="s">
        <v>333</v>
      </c>
    </row>
    <row r="1500" spans="1:11">
      <c r="A1500" s="2">
        <v>43955</v>
      </c>
      <c r="B1500" s="45">
        <v>0.33333333333333331</v>
      </c>
      <c r="C1500" s="45" t="s">
        <v>38</v>
      </c>
      <c r="E1500" s="45">
        <v>25</v>
      </c>
      <c r="J1500" s="45">
        <v>0</v>
      </c>
      <c r="K1500" s="45" t="s">
        <v>40</v>
      </c>
    </row>
    <row r="1501" spans="1:11">
      <c r="A1501" s="2">
        <v>43955</v>
      </c>
      <c r="B1501" s="45">
        <v>0.33333333333333331</v>
      </c>
      <c r="C1501" s="45" t="s">
        <v>41</v>
      </c>
      <c r="E1501" s="45">
        <v>97</v>
      </c>
      <c r="F1501" s="45">
        <v>6</v>
      </c>
      <c r="G1501" s="45">
        <v>2</v>
      </c>
      <c r="J1501" s="45">
        <v>3</v>
      </c>
      <c r="K1501" s="45" t="s">
        <v>43</v>
      </c>
    </row>
    <row r="1502" spans="1:11">
      <c r="A1502" s="2">
        <v>43955</v>
      </c>
      <c r="B1502" s="45">
        <v>0.33333333333333331</v>
      </c>
      <c r="C1502" s="45" t="s">
        <v>44</v>
      </c>
      <c r="E1502" s="45">
        <v>1796</v>
      </c>
      <c r="F1502" s="45">
        <v>35</v>
      </c>
      <c r="G1502" s="45">
        <v>8</v>
      </c>
      <c r="H1502" s="45">
        <v>7</v>
      </c>
      <c r="J1502" s="45">
        <v>90</v>
      </c>
      <c r="K1502" s="45" t="s">
        <v>46</v>
      </c>
    </row>
    <row r="1503" spans="1:11">
      <c r="A1503" s="2">
        <v>43955</v>
      </c>
      <c r="B1503" s="45">
        <v>0.33333333333333331</v>
      </c>
      <c r="C1503" s="45" t="s">
        <v>89</v>
      </c>
      <c r="E1503" s="45">
        <v>3238</v>
      </c>
      <c r="F1503" s="45">
        <v>129</v>
      </c>
      <c r="G1503" s="45">
        <v>22</v>
      </c>
      <c r="H1503" s="45">
        <v>15</v>
      </c>
      <c r="I1503" s="45">
        <v>782</v>
      </c>
      <c r="J1503" s="45">
        <v>326</v>
      </c>
      <c r="K1503" s="45" t="s">
        <v>507</v>
      </c>
    </row>
    <row r="1504" spans="1:11">
      <c r="A1504" s="2">
        <v>43955</v>
      </c>
      <c r="B1504" s="45">
        <v>0.33333333333333331</v>
      </c>
      <c r="C1504" s="45" t="s">
        <v>99</v>
      </c>
      <c r="E1504" s="45">
        <v>190</v>
      </c>
      <c r="F1504" s="45">
        <v>3</v>
      </c>
      <c r="G1504" s="45">
        <v>1</v>
      </c>
      <c r="I1504" s="45">
        <v>138</v>
      </c>
      <c r="J1504" s="45">
        <v>8</v>
      </c>
      <c r="K1504" s="45" t="s">
        <v>328</v>
      </c>
    </row>
    <row r="1505" spans="1:11">
      <c r="A1505" s="2">
        <v>43955</v>
      </c>
      <c r="B1505" s="45">
        <v>0.39583333333333331</v>
      </c>
      <c r="C1505" s="45" t="s">
        <v>79</v>
      </c>
      <c r="E1505" s="45">
        <v>75</v>
      </c>
      <c r="F1505" s="45">
        <v>4</v>
      </c>
      <c r="G1505" s="45">
        <v>2</v>
      </c>
      <c r="J1505" s="45">
        <v>6</v>
      </c>
      <c r="K1505" s="45" t="s">
        <v>703</v>
      </c>
    </row>
    <row r="1506" spans="1:11">
      <c r="A1506" s="2">
        <v>43955</v>
      </c>
      <c r="B1506" s="45">
        <v>0.41666666666666669</v>
      </c>
      <c r="C1506" s="45" t="s">
        <v>50</v>
      </c>
      <c r="E1506" s="45">
        <v>958</v>
      </c>
      <c r="I1506" s="45">
        <v>840</v>
      </c>
      <c r="J1506" s="45">
        <v>50</v>
      </c>
      <c r="K1506" s="45" t="s">
        <v>519</v>
      </c>
    </row>
    <row r="1507" spans="1:11">
      <c r="A1507" s="2">
        <v>43955</v>
      </c>
      <c r="B1507" s="45">
        <v>0.41666666666666669</v>
      </c>
      <c r="C1507" s="45" t="s">
        <v>84</v>
      </c>
      <c r="E1507" s="45">
        <v>305</v>
      </c>
      <c r="I1507" s="45">
        <v>248</v>
      </c>
      <c r="J1507" s="45">
        <v>21</v>
      </c>
      <c r="K1507" s="45" t="s">
        <v>704</v>
      </c>
    </row>
    <row r="1508" spans="1:11">
      <c r="A1508" s="2">
        <v>43955</v>
      </c>
      <c r="B1508" s="45">
        <v>0.54166666666666663</v>
      </c>
      <c r="C1508" s="45" t="s">
        <v>60</v>
      </c>
      <c r="E1508" s="45">
        <v>122</v>
      </c>
      <c r="F1508" s="45">
        <v>2</v>
      </c>
      <c r="J1508" s="45">
        <v>12</v>
      </c>
      <c r="K1508" s="45" t="s">
        <v>609</v>
      </c>
    </row>
    <row r="1509" spans="1:11">
      <c r="A1509" s="2">
        <v>43955</v>
      </c>
      <c r="B1509" s="45">
        <v>0.58333333333333337</v>
      </c>
      <c r="C1509" s="45" t="s">
        <v>91</v>
      </c>
      <c r="E1509" s="45">
        <v>91</v>
      </c>
      <c r="F1509" s="45">
        <v>2</v>
      </c>
      <c r="I1509" s="45">
        <v>72</v>
      </c>
      <c r="J1509" s="45">
        <v>6</v>
      </c>
      <c r="K1509" s="45" t="s">
        <v>93</v>
      </c>
    </row>
    <row r="1510" spans="1:11">
      <c r="A1510" s="2">
        <v>43955</v>
      </c>
      <c r="B1510" s="45">
        <v>0.60416666666666663</v>
      </c>
      <c r="C1510" s="45" t="s">
        <v>101</v>
      </c>
      <c r="E1510" s="45">
        <v>3495</v>
      </c>
      <c r="F1510" s="45">
        <v>43</v>
      </c>
      <c r="H1510" s="45">
        <v>11</v>
      </c>
      <c r="J1510" s="45">
        <v>123</v>
      </c>
      <c r="K1510" s="45" t="s">
        <v>103</v>
      </c>
    </row>
    <row r="1511" spans="1:11">
      <c r="A1511" s="2">
        <v>43955</v>
      </c>
      <c r="B1511" s="45">
        <v>0.61458333333333337</v>
      </c>
      <c r="C1511" s="45" t="s">
        <v>34</v>
      </c>
      <c r="E1511" s="45">
        <v>1133</v>
      </c>
      <c r="F1511" s="45">
        <v>38</v>
      </c>
      <c r="G1511" s="45">
        <v>5</v>
      </c>
      <c r="H1511" s="45">
        <v>4</v>
      </c>
      <c r="I1511" s="45">
        <v>940</v>
      </c>
      <c r="J1511" s="45">
        <v>36</v>
      </c>
      <c r="K1511" s="45" t="s">
        <v>593</v>
      </c>
    </row>
    <row r="1512" spans="1:11">
      <c r="A1512" s="2">
        <v>43955</v>
      </c>
      <c r="B1512" s="45">
        <v>0.625</v>
      </c>
      <c r="C1512" s="45" t="s">
        <v>73</v>
      </c>
      <c r="E1512" s="45">
        <v>79</v>
      </c>
      <c r="F1512" s="45">
        <v>0</v>
      </c>
      <c r="J1512" s="45">
        <v>0</v>
      </c>
      <c r="K1512" s="45" t="s">
        <v>75</v>
      </c>
    </row>
    <row r="1513" spans="1:11">
      <c r="A1513" s="2">
        <v>43956</v>
      </c>
      <c r="C1513" s="45" t="s">
        <v>47</v>
      </c>
      <c r="E1513" s="45">
        <v>829</v>
      </c>
      <c r="F1513" s="45">
        <v>8</v>
      </c>
      <c r="G1513" s="45">
        <v>1</v>
      </c>
      <c r="H1513" s="45">
        <v>1</v>
      </c>
      <c r="I1513" s="45">
        <v>773</v>
      </c>
      <c r="J1513" s="45">
        <v>32</v>
      </c>
      <c r="K1513" s="45" t="s">
        <v>49</v>
      </c>
    </row>
    <row r="1514" spans="1:11">
      <c r="A1514" s="2">
        <v>43956</v>
      </c>
      <c r="C1514" s="45" t="s">
        <v>53</v>
      </c>
      <c r="E1514" s="45">
        <v>82</v>
      </c>
      <c r="K1514" s="45" t="s">
        <v>692</v>
      </c>
    </row>
    <row r="1515" spans="1:11">
      <c r="A1515" s="2">
        <v>43956</v>
      </c>
      <c r="C1515" s="45" t="s">
        <v>56</v>
      </c>
      <c r="E1515" s="45">
        <v>1104</v>
      </c>
      <c r="F1515" s="45">
        <v>35</v>
      </c>
      <c r="G1515" s="45">
        <v>3</v>
      </c>
      <c r="I1515" s="45">
        <v>131</v>
      </c>
      <c r="J1515" s="45">
        <v>80</v>
      </c>
      <c r="K1515" s="45" t="s">
        <v>736</v>
      </c>
    </row>
    <row r="1516" spans="1:11">
      <c r="A1516" s="2">
        <v>43956</v>
      </c>
      <c r="C1516" s="45" t="s">
        <v>58</v>
      </c>
      <c r="D1516" s="45">
        <v>27239</v>
      </c>
      <c r="E1516" s="45">
        <v>4958</v>
      </c>
      <c r="F1516" s="45">
        <v>234</v>
      </c>
      <c r="G1516" s="45">
        <v>17</v>
      </c>
      <c r="H1516" s="45">
        <v>16</v>
      </c>
      <c r="I1516" s="45">
        <v>664</v>
      </c>
      <c r="J1516" s="45">
        <v>254</v>
      </c>
      <c r="K1516" s="45" t="s">
        <v>369</v>
      </c>
    </row>
    <row r="1517" spans="1:11">
      <c r="A1517" s="2">
        <v>43956</v>
      </c>
      <c r="C1517" s="45" t="s">
        <v>62</v>
      </c>
      <c r="E1517" s="45">
        <v>816</v>
      </c>
      <c r="F1517" s="45">
        <v>18</v>
      </c>
      <c r="J1517" s="45">
        <v>45</v>
      </c>
      <c r="K1517" s="45" t="s">
        <v>511</v>
      </c>
    </row>
    <row r="1518" spans="1:11">
      <c r="A1518" s="2">
        <v>43956</v>
      </c>
      <c r="C1518" s="45" t="s">
        <v>64</v>
      </c>
      <c r="E1518" s="45">
        <v>201</v>
      </c>
      <c r="F1518" s="45">
        <v>8</v>
      </c>
      <c r="G1518" s="45">
        <v>5</v>
      </c>
      <c r="J1518" s="45">
        <v>7</v>
      </c>
      <c r="K1518" s="45" t="s">
        <v>688</v>
      </c>
    </row>
    <row r="1519" spans="1:11">
      <c r="A1519" s="2">
        <v>43956</v>
      </c>
      <c r="C1519" s="45" t="s">
        <v>66</v>
      </c>
      <c r="E1519" s="45">
        <v>706</v>
      </c>
      <c r="F1519" s="45">
        <v>37</v>
      </c>
      <c r="G1519" s="45">
        <v>6</v>
      </c>
      <c r="J1519" s="45">
        <v>18</v>
      </c>
      <c r="K1519" s="45" t="s">
        <v>68</v>
      </c>
    </row>
    <row r="1520" spans="1:11">
      <c r="A1520" s="2">
        <v>43956</v>
      </c>
      <c r="C1520" s="45" t="s">
        <v>69</v>
      </c>
      <c r="F1520" s="45">
        <v>21</v>
      </c>
      <c r="G1520" s="45">
        <v>3</v>
      </c>
      <c r="H1520" s="45">
        <v>2</v>
      </c>
      <c r="K1520" s="45" t="s">
        <v>325</v>
      </c>
    </row>
    <row r="1521" spans="1:11">
      <c r="A1521" s="2">
        <v>43956</v>
      </c>
      <c r="C1521" s="45" t="s">
        <v>71</v>
      </c>
      <c r="E1521" s="45">
        <v>113</v>
      </c>
      <c r="F1521" s="45">
        <v>1</v>
      </c>
      <c r="G1521" s="45">
        <v>0</v>
      </c>
      <c r="J1521" s="45">
        <v>3</v>
      </c>
      <c r="K1521" s="45" t="s">
        <v>310</v>
      </c>
    </row>
    <row r="1522" spans="1:11">
      <c r="A1522" s="2">
        <v>43956</v>
      </c>
      <c r="C1522" s="45" t="s">
        <v>76</v>
      </c>
      <c r="E1522" s="45">
        <v>793</v>
      </c>
      <c r="J1522" s="45">
        <v>33</v>
      </c>
      <c r="K1522" s="45" t="s">
        <v>78</v>
      </c>
    </row>
    <row r="1523" spans="1:11">
      <c r="A1523" s="2">
        <v>43956</v>
      </c>
      <c r="C1523" s="45" t="s">
        <v>86</v>
      </c>
      <c r="E1523" s="45">
        <v>373</v>
      </c>
      <c r="F1523" s="45">
        <v>16</v>
      </c>
      <c r="G1523" s="45">
        <v>6</v>
      </c>
      <c r="J1523" s="45">
        <v>17</v>
      </c>
      <c r="K1523" s="45" t="s">
        <v>88</v>
      </c>
    </row>
    <row r="1524" spans="1:11">
      <c r="A1524" s="2">
        <v>43956</v>
      </c>
      <c r="C1524" s="45" t="s">
        <v>94</v>
      </c>
      <c r="E1524" s="45">
        <v>5335</v>
      </c>
      <c r="F1524" s="45">
        <v>105</v>
      </c>
      <c r="G1524" s="45">
        <v>22</v>
      </c>
      <c r="J1524" s="45">
        <v>388</v>
      </c>
      <c r="K1524" s="45" t="s">
        <v>96</v>
      </c>
    </row>
    <row r="1525" spans="1:11">
      <c r="A1525" s="2">
        <v>43956</v>
      </c>
      <c r="C1525" s="45" t="s">
        <v>97</v>
      </c>
      <c r="E1525" s="45">
        <v>1897</v>
      </c>
      <c r="F1525" s="45">
        <v>49</v>
      </c>
      <c r="G1525" s="45">
        <v>8</v>
      </c>
      <c r="H1525" s="45">
        <v>6</v>
      </c>
      <c r="J1525" s="45">
        <v>146</v>
      </c>
      <c r="K1525" s="45" t="s">
        <v>620</v>
      </c>
    </row>
    <row r="1526" spans="1:11">
      <c r="A1526" s="2">
        <v>43956</v>
      </c>
      <c r="B1526" s="45">
        <v>0</v>
      </c>
      <c r="C1526" s="45" t="s">
        <v>81</v>
      </c>
      <c r="E1526" s="45">
        <v>402</v>
      </c>
      <c r="F1526" s="45">
        <v>10</v>
      </c>
      <c r="J1526" s="45">
        <v>15</v>
      </c>
      <c r="K1526" s="45" t="s">
        <v>333</v>
      </c>
    </row>
    <row r="1527" spans="1:11">
      <c r="A1527" s="2">
        <v>43956</v>
      </c>
      <c r="B1527" s="45">
        <v>0.33333333333333331</v>
      </c>
      <c r="C1527" s="45" t="s">
        <v>44</v>
      </c>
      <c r="E1527" s="45">
        <v>1798</v>
      </c>
      <c r="F1527" s="45">
        <v>38</v>
      </c>
      <c r="G1527" s="45">
        <v>7</v>
      </c>
      <c r="H1527" s="45">
        <v>5</v>
      </c>
      <c r="J1527" s="45">
        <v>90</v>
      </c>
      <c r="K1527" s="45" t="s">
        <v>46</v>
      </c>
    </row>
    <row r="1528" spans="1:11">
      <c r="A1528" s="2">
        <v>43956</v>
      </c>
      <c r="B1528" s="45">
        <v>0.33333333333333331</v>
      </c>
      <c r="C1528" s="45" t="s">
        <v>89</v>
      </c>
      <c r="E1528" s="45">
        <v>3239</v>
      </c>
      <c r="F1528" s="45">
        <v>117</v>
      </c>
      <c r="G1528" s="45">
        <v>20</v>
      </c>
      <c r="H1528" s="45">
        <v>14</v>
      </c>
      <c r="I1528" s="45">
        <v>794</v>
      </c>
      <c r="J1528" s="45">
        <v>329</v>
      </c>
      <c r="K1528" s="45" t="s">
        <v>507</v>
      </c>
    </row>
    <row r="1529" spans="1:11">
      <c r="A1529" s="2">
        <v>43956</v>
      </c>
      <c r="B1529" s="45">
        <v>0.33333333333333331</v>
      </c>
      <c r="C1529" s="45" t="s">
        <v>99</v>
      </c>
      <c r="E1529" s="45">
        <v>191</v>
      </c>
      <c r="F1529" s="45">
        <v>4</v>
      </c>
      <c r="G1529" s="45">
        <v>2</v>
      </c>
      <c r="I1529" s="45">
        <v>138</v>
      </c>
      <c r="J1529" s="45">
        <v>8</v>
      </c>
      <c r="K1529" s="45" t="s">
        <v>328</v>
      </c>
    </row>
    <row r="1530" spans="1:11">
      <c r="A1530" s="2">
        <v>43956</v>
      </c>
      <c r="B1530" s="45">
        <v>0.375</v>
      </c>
      <c r="C1530" s="45" t="s">
        <v>50</v>
      </c>
      <c r="E1530" s="45">
        <v>959</v>
      </c>
      <c r="F1530" s="45">
        <v>21</v>
      </c>
      <c r="G1530" s="45">
        <v>4</v>
      </c>
      <c r="I1530" s="45">
        <v>842</v>
      </c>
      <c r="J1530" s="45">
        <v>50</v>
      </c>
      <c r="K1530" s="45" t="s">
        <v>599</v>
      </c>
    </row>
    <row r="1531" spans="1:11">
      <c r="A1531" s="2">
        <v>43956</v>
      </c>
      <c r="B1531" s="45">
        <v>0.39583333333333331</v>
      </c>
      <c r="C1531" s="45" t="s">
        <v>41</v>
      </c>
      <c r="E1531" s="45">
        <v>97</v>
      </c>
      <c r="F1531" s="45">
        <v>6</v>
      </c>
      <c r="G1531" s="45">
        <v>3</v>
      </c>
      <c r="J1531" s="45">
        <v>3</v>
      </c>
      <c r="K1531" s="45" t="s">
        <v>43</v>
      </c>
    </row>
    <row r="1532" spans="1:11">
      <c r="A1532" s="2">
        <v>43956</v>
      </c>
      <c r="B1532" s="45">
        <v>0.39583333333333331</v>
      </c>
      <c r="C1532" s="45" t="s">
        <v>79</v>
      </c>
      <c r="E1532" s="45">
        <v>75</v>
      </c>
      <c r="F1532" s="45">
        <v>6</v>
      </c>
      <c r="G1532" s="45">
        <v>4</v>
      </c>
      <c r="J1532" s="45">
        <v>6</v>
      </c>
      <c r="K1532" s="45" t="s">
        <v>703</v>
      </c>
    </row>
    <row r="1533" spans="1:11">
      <c r="A1533" s="2">
        <v>43956</v>
      </c>
      <c r="B1533" s="45">
        <v>0.41666666666666669</v>
      </c>
      <c r="C1533" s="45" t="s">
        <v>84</v>
      </c>
      <c r="E1533" s="45">
        <v>305</v>
      </c>
      <c r="I1533" s="45">
        <v>252</v>
      </c>
      <c r="J1533" s="45">
        <v>22</v>
      </c>
      <c r="K1533" s="45" t="s">
        <v>704</v>
      </c>
    </row>
    <row r="1534" spans="1:11">
      <c r="A1534" s="2">
        <v>43956</v>
      </c>
      <c r="B1534" s="45">
        <v>0.45833333333333331</v>
      </c>
      <c r="C1534" s="45" t="s">
        <v>38</v>
      </c>
      <c r="E1534" s="45">
        <v>25</v>
      </c>
      <c r="J1534" s="45">
        <v>0</v>
      </c>
      <c r="K1534" s="45" t="s">
        <v>40</v>
      </c>
    </row>
    <row r="1535" spans="1:11">
      <c r="A1535" s="2">
        <v>43956</v>
      </c>
      <c r="B1535" s="45">
        <v>0.5625</v>
      </c>
      <c r="C1535" s="45" t="s">
        <v>60</v>
      </c>
      <c r="E1535" s="45">
        <v>122</v>
      </c>
      <c r="F1535" s="45">
        <v>2</v>
      </c>
      <c r="J1535" s="45">
        <v>12</v>
      </c>
      <c r="K1535" s="45" t="s">
        <v>609</v>
      </c>
    </row>
    <row r="1536" spans="1:11">
      <c r="A1536" s="2">
        <v>43956</v>
      </c>
      <c r="B1536" s="45">
        <v>0.60416666666666663</v>
      </c>
      <c r="C1536" s="45" t="s">
        <v>101</v>
      </c>
      <c r="E1536" s="45">
        <v>3511</v>
      </c>
      <c r="F1536" s="45">
        <v>54</v>
      </c>
      <c r="H1536" s="45">
        <v>9</v>
      </c>
      <c r="J1536" s="45">
        <v>124</v>
      </c>
      <c r="K1536" s="45" t="s">
        <v>103</v>
      </c>
    </row>
    <row r="1537" spans="1:11">
      <c r="A1537" s="2">
        <v>43956</v>
      </c>
      <c r="B1537" s="45">
        <v>0.61458333333333337</v>
      </c>
      <c r="C1537" s="45" t="s">
        <v>34</v>
      </c>
      <c r="E1537" s="45">
        <v>1135</v>
      </c>
      <c r="F1537" s="45">
        <v>23</v>
      </c>
      <c r="G1537" s="45">
        <v>5</v>
      </c>
      <c r="H1537" s="45">
        <v>4</v>
      </c>
      <c r="I1537" s="45">
        <v>940</v>
      </c>
      <c r="J1537" s="45">
        <v>36</v>
      </c>
      <c r="K1537" s="45" t="s">
        <v>605</v>
      </c>
    </row>
    <row r="1538" spans="1:11">
      <c r="A1538" s="2">
        <v>43956</v>
      </c>
      <c r="B1538" s="45">
        <v>0.625</v>
      </c>
      <c r="C1538" s="45" t="s">
        <v>73</v>
      </c>
      <c r="E1538" s="45">
        <v>79</v>
      </c>
      <c r="F1538" s="45">
        <v>0</v>
      </c>
      <c r="J1538" s="45">
        <v>0</v>
      </c>
      <c r="K1538" s="45" t="s">
        <v>75</v>
      </c>
    </row>
    <row r="1539" spans="1:11">
      <c r="A1539" s="2">
        <v>43956</v>
      </c>
      <c r="B1539" s="45">
        <v>0.64583333333333337</v>
      </c>
      <c r="C1539" s="45" t="s">
        <v>91</v>
      </c>
      <c r="E1539" s="45">
        <v>91</v>
      </c>
      <c r="F1539" s="45">
        <v>2</v>
      </c>
      <c r="I1539" s="45">
        <v>74</v>
      </c>
      <c r="J1539" s="45">
        <v>7</v>
      </c>
      <c r="K1539" s="45" t="s">
        <v>93</v>
      </c>
    </row>
    <row r="1540" spans="1:11">
      <c r="A1540" s="2">
        <v>43957</v>
      </c>
      <c r="C1540" s="45" t="s">
        <v>47</v>
      </c>
      <c r="E1540" s="45">
        <v>830</v>
      </c>
      <c r="F1540" s="45">
        <v>6</v>
      </c>
      <c r="G1540" s="45">
        <v>1</v>
      </c>
      <c r="H1540" s="45">
        <v>1</v>
      </c>
      <c r="I1540" s="45">
        <v>774</v>
      </c>
      <c r="J1540" s="45">
        <v>33</v>
      </c>
      <c r="K1540" s="45" t="s">
        <v>49</v>
      </c>
    </row>
    <row r="1541" spans="1:11">
      <c r="A1541" s="2">
        <v>43957</v>
      </c>
      <c r="C1541" s="45" t="s">
        <v>53</v>
      </c>
      <c r="E1541" s="45">
        <v>82</v>
      </c>
      <c r="K1541" s="45" t="s">
        <v>692</v>
      </c>
    </row>
    <row r="1542" spans="1:11">
      <c r="A1542" s="2">
        <v>43957</v>
      </c>
      <c r="C1542" s="45" t="s">
        <v>56</v>
      </c>
      <c r="E1542" s="45">
        <v>1107</v>
      </c>
      <c r="F1542" s="45">
        <v>34</v>
      </c>
      <c r="G1542" s="45">
        <v>5</v>
      </c>
      <c r="I1542" s="45">
        <v>131</v>
      </c>
      <c r="J1542" s="45">
        <v>80</v>
      </c>
      <c r="K1542" s="45" t="s">
        <v>736</v>
      </c>
    </row>
    <row r="1543" spans="1:11">
      <c r="A1543" s="2">
        <v>43957</v>
      </c>
      <c r="C1543" s="45" t="s">
        <v>62</v>
      </c>
      <c r="E1543" s="45">
        <v>818</v>
      </c>
      <c r="F1543" s="45">
        <v>20</v>
      </c>
      <c r="J1543" s="45">
        <v>45</v>
      </c>
      <c r="K1543" s="45" t="s">
        <v>511</v>
      </c>
    </row>
    <row r="1544" spans="1:11">
      <c r="A1544" s="2">
        <v>43957</v>
      </c>
      <c r="C1544" s="45" t="s">
        <v>64</v>
      </c>
      <c r="E1544" s="45">
        <v>201</v>
      </c>
      <c r="F1544" s="45">
        <v>8</v>
      </c>
      <c r="G1544" s="45">
        <v>5</v>
      </c>
      <c r="J1544" s="45">
        <v>7</v>
      </c>
      <c r="K1544" s="45" t="s">
        <v>688</v>
      </c>
    </row>
    <row r="1545" spans="1:11">
      <c r="A1545" s="2">
        <v>43957</v>
      </c>
      <c r="C1545" s="45" t="s">
        <v>66</v>
      </c>
      <c r="E1545" s="45">
        <v>709</v>
      </c>
      <c r="F1545" s="45">
        <v>32</v>
      </c>
      <c r="G1545" s="45">
        <v>6</v>
      </c>
      <c r="J1545" s="45">
        <v>18</v>
      </c>
      <c r="K1545" s="45" t="s">
        <v>68</v>
      </c>
    </row>
    <row r="1546" spans="1:11">
      <c r="A1546" s="2">
        <v>43957</v>
      </c>
      <c r="C1546" s="45" t="s">
        <v>69</v>
      </c>
      <c r="F1546" s="45">
        <v>22</v>
      </c>
      <c r="G1546" s="45">
        <v>3</v>
      </c>
      <c r="H1546" s="45">
        <v>2</v>
      </c>
      <c r="K1546" s="45" t="s">
        <v>325</v>
      </c>
    </row>
    <row r="1547" spans="1:11">
      <c r="A1547" s="2">
        <v>43957</v>
      </c>
      <c r="C1547" s="45" t="s">
        <v>76</v>
      </c>
      <c r="E1547" s="45">
        <v>794</v>
      </c>
      <c r="F1547" s="45">
        <v>25</v>
      </c>
      <c r="G1547" s="45">
        <v>2</v>
      </c>
      <c r="I1547" s="45">
        <v>210</v>
      </c>
      <c r="J1547" s="45">
        <v>33</v>
      </c>
      <c r="K1547" s="45" t="s">
        <v>78</v>
      </c>
    </row>
    <row r="1548" spans="1:11">
      <c r="A1548" s="2">
        <v>43957</v>
      </c>
      <c r="C1548" s="45" t="s">
        <v>86</v>
      </c>
      <c r="E1548" s="45">
        <v>374</v>
      </c>
      <c r="F1548" s="45">
        <v>15</v>
      </c>
      <c r="G1548" s="45">
        <v>6</v>
      </c>
      <c r="J1548" s="45">
        <v>17</v>
      </c>
      <c r="K1548" s="45" t="s">
        <v>88</v>
      </c>
    </row>
    <row r="1549" spans="1:11">
      <c r="A1549" s="2">
        <v>43957</v>
      </c>
      <c r="C1549" s="45" t="s">
        <v>97</v>
      </c>
      <c r="F1549" s="45">
        <v>49</v>
      </c>
      <c r="G1549" s="45">
        <v>8</v>
      </c>
      <c r="H1549" s="45">
        <v>6</v>
      </c>
      <c r="J1549" s="45">
        <v>146</v>
      </c>
      <c r="K1549" s="45" t="s">
        <v>620</v>
      </c>
    </row>
    <row r="1550" spans="1:11">
      <c r="A1550" s="2">
        <v>43957</v>
      </c>
      <c r="B1550" s="45">
        <v>0</v>
      </c>
      <c r="C1550" s="45" t="s">
        <v>81</v>
      </c>
      <c r="E1550" s="45">
        <v>403</v>
      </c>
      <c r="F1550" s="45">
        <v>11</v>
      </c>
      <c r="J1550" s="45">
        <v>15</v>
      </c>
      <c r="K1550" s="45" t="s">
        <v>333</v>
      </c>
    </row>
    <row r="1551" spans="1:11">
      <c r="A1551" s="2">
        <v>43957</v>
      </c>
      <c r="B1551" s="45">
        <v>0.33333333333333331</v>
      </c>
      <c r="C1551" s="45" t="s">
        <v>44</v>
      </c>
      <c r="E1551" s="45">
        <v>1804</v>
      </c>
      <c r="F1551" s="45">
        <v>34</v>
      </c>
      <c r="G1551" s="45">
        <v>6</v>
      </c>
      <c r="H1551" s="45">
        <v>4</v>
      </c>
      <c r="J1551" s="45">
        <v>90</v>
      </c>
      <c r="K1551" s="45" t="s">
        <v>46</v>
      </c>
    </row>
    <row r="1552" spans="1:11">
      <c r="A1552" s="2">
        <v>43957</v>
      </c>
      <c r="B1552" s="45">
        <v>0.33333333333333331</v>
      </c>
      <c r="C1552" s="45" t="s">
        <v>89</v>
      </c>
      <c r="E1552" s="45">
        <v>3245</v>
      </c>
      <c r="F1552" s="45">
        <v>109</v>
      </c>
      <c r="G1552" s="45">
        <v>15</v>
      </c>
      <c r="H1552" s="45">
        <v>11</v>
      </c>
      <c r="I1552" s="45">
        <v>802</v>
      </c>
      <c r="J1552" s="45">
        <v>331</v>
      </c>
      <c r="K1552" s="45" t="s">
        <v>507</v>
      </c>
    </row>
    <row r="1553" spans="1:11">
      <c r="A1553" s="2">
        <v>43957</v>
      </c>
      <c r="B1553" s="45">
        <v>0.33333333333333331</v>
      </c>
      <c r="C1553" s="45" t="s">
        <v>99</v>
      </c>
      <c r="E1553" s="45">
        <v>191</v>
      </c>
      <c r="F1553" s="45">
        <v>3</v>
      </c>
      <c r="G1553" s="45">
        <v>2</v>
      </c>
      <c r="I1553" s="45">
        <v>142</v>
      </c>
      <c r="J1553" s="45">
        <v>8</v>
      </c>
      <c r="K1553" s="45" t="s">
        <v>328</v>
      </c>
    </row>
    <row r="1554" spans="1:11">
      <c r="A1554" s="2">
        <v>43957</v>
      </c>
      <c r="B1554" s="45">
        <v>0.39583333333333331</v>
      </c>
      <c r="C1554" s="45" t="s">
        <v>50</v>
      </c>
      <c r="E1554" s="45">
        <v>962</v>
      </c>
      <c r="F1554" s="45">
        <v>21</v>
      </c>
      <c r="G1554" s="45">
        <v>4</v>
      </c>
      <c r="I1554" s="45">
        <v>868</v>
      </c>
      <c r="J1554" s="45">
        <v>50</v>
      </c>
      <c r="K1554" s="45" t="s">
        <v>607</v>
      </c>
    </row>
    <row r="1555" spans="1:11">
      <c r="A1555" s="2">
        <v>43957</v>
      </c>
      <c r="B1555" s="45">
        <v>0.39583333333333331</v>
      </c>
      <c r="C1555" s="45" t="s">
        <v>79</v>
      </c>
      <c r="E1555" s="45">
        <v>75</v>
      </c>
      <c r="F1555" s="45">
        <v>5</v>
      </c>
      <c r="G1555" s="45">
        <v>4</v>
      </c>
      <c r="J1555" s="45">
        <v>6</v>
      </c>
      <c r="K1555" s="45" t="s">
        <v>703</v>
      </c>
    </row>
    <row r="1556" spans="1:11">
      <c r="A1556" s="2">
        <v>43957</v>
      </c>
      <c r="B1556" s="45">
        <v>0.41666666666666669</v>
      </c>
      <c r="C1556" s="45" t="s">
        <v>84</v>
      </c>
      <c r="E1556" s="45">
        <v>305</v>
      </c>
      <c r="I1556" s="45">
        <v>258</v>
      </c>
      <c r="J1556" s="45">
        <v>23</v>
      </c>
      <c r="K1556" s="45" t="s">
        <v>704</v>
      </c>
    </row>
    <row r="1557" spans="1:11">
      <c r="A1557" s="2">
        <v>43957</v>
      </c>
      <c r="B1557" s="45">
        <v>0.44444444444444442</v>
      </c>
      <c r="C1557" s="45" t="s">
        <v>41</v>
      </c>
      <c r="E1557" s="45">
        <v>97</v>
      </c>
      <c r="F1557" s="45">
        <v>8</v>
      </c>
      <c r="G1557" s="45">
        <v>3</v>
      </c>
      <c r="J1557" s="45">
        <v>3</v>
      </c>
      <c r="K1557" s="45" t="s">
        <v>43</v>
      </c>
    </row>
    <row r="1558" spans="1:11">
      <c r="A1558" s="2">
        <v>43957</v>
      </c>
      <c r="B1558" s="45">
        <v>0.45833333333333331</v>
      </c>
      <c r="C1558" s="45" t="s">
        <v>38</v>
      </c>
      <c r="E1558" s="45">
        <v>25</v>
      </c>
      <c r="J1558" s="45">
        <v>0</v>
      </c>
      <c r="K1558" s="45" t="s">
        <v>40</v>
      </c>
    </row>
    <row r="1559" spans="1:11">
      <c r="A1559" s="2">
        <v>43957</v>
      </c>
      <c r="B1559" s="45">
        <v>0.5</v>
      </c>
      <c r="C1559" s="45" t="s">
        <v>58</v>
      </c>
      <c r="F1559" s="45">
        <v>231</v>
      </c>
      <c r="G1559" s="45">
        <v>16</v>
      </c>
      <c r="H1559" s="45">
        <v>15</v>
      </c>
      <c r="I1559" s="45">
        <v>671</v>
      </c>
      <c r="K1559" s="45" t="s">
        <v>369</v>
      </c>
    </row>
    <row r="1560" spans="1:11">
      <c r="A1560" s="2">
        <v>43957</v>
      </c>
      <c r="B1560" s="45">
        <v>0.54166666666666663</v>
      </c>
      <c r="C1560" s="45" t="s">
        <v>60</v>
      </c>
      <c r="E1560" s="45">
        <v>125</v>
      </c>
      <c r="F1560" s="45">
        <v>2</v>
      </c>
      <c r="J1560" s="45">
        <v>12</v>
      </c>
      <c r="K1560" s="45" t="s">
        <v>609</v>
      </c>
    </row>
    <row r="1561" spans="1:11">
      <c r="A1561" s="2">
        <v>43957</v>
      </c>
      <c r="B1561" s="45">
        <v>0.58333333333333337</v>
      </c>
      <c r="C1561" s="45" t="s">
        <v>91</v>
      </c>
      <c r="E1561" s="45">
        <v>91</v>
      </c>
      <c r="F1561" s="45">
        <v>3</v>
      </c>
      <c r="I1561" s="45">
        <v>74</v>
      </c>
      <c r="J1561" s="45">
        <v>7</v>
      </c>
      <c r="K1561" s="45" t="s">
        <v>93</v>
      </c>
    </row>
    <row r="1562" spans="1:11">
      <c r="A1562" s="2">
        <v>43957</v>
      </c>
      <c r="B1562" s="45">
        <v>0.60416666666666663</v>
      </c>
      <c r="C1562" s="45" t="s">
        <v>101</v>
      </c>
      <c r="E1562" s="45">
        <v>3526</v>
      </c>
      <c r="F1562" s="45">
        <v>53</v>
      </c>
      <c r="H1562" s="45">
        <v>7</v>
      </c>
      <c r="J1562" s="45">
        <v>124</v>
      </c>
      <c r="K1562" s="45" t="s">
        <v>103</v>
      </c>
    </row>
    <row r="1563" spans="1:11">
      <c r="A1563" s="2">
        <v>43957</v>
      </c>
      <c r="B1563" s="45">
        <v>0.61458333333333337</v>
      </c>
      <c r="C1563" s="45" t="s">
        <v>34</v>
      </c>
      <c r="E1563" s="45">
        <v>1141</v>
      </c>
      <c r="F1563" s="45">
        <v>24</v>
      </c>
      <c r="G1563" s="45">
        <v>5</v>
      </c>
      <c r="H1563" s="45">
        <v>5</v>
      </c>
      <c r="I1563" s="45">
        <v>960</v>
      </c>
      <c r="J1563" s="45">
        <v>36</v>
      </c>
      <c r="K1563" s="45" t="s">
        <v>674</v>
      </c>
    </row>
    <row r="1564" spans="1:11">
      <c r="A1564" s="2">
        <v>43957</v>
      </c>
      <c r="B1564" s="45">
        <v>0.625</v>
      </c>
      <c r="C1564" s="45" t="s">
        <v>73</v>
      </c>
      <c r="E1564" s="45">
        <v>79</v>
      </c>
      <c r="F1564" s="45">
        <v>0</v>
      </c>
      <c r="J1564" s="45">
        <v>0</v>
      </c>
      <c r="K1564" s="45" t="s">
        <v>75</v>
      </c>
    </row>
    <row r="1565" spans="1:11">
      <c r="A1565" s="2">
        <v>43958</v>
      </c>
      <c r="C1565" s="45" t="s">
        <v>56</v>
      </c>
      <c r="E1565" s="45">
        <v>1115</v>
      </c>
      <c r="F1565" s="45">
        <v>30</v>
      </c>
      <c r="G1565" s="45">
        <v>5</v>
      </c>
      <c r="I1565" s="45">
        <v>134</v>
      </c>
      <c r="J1565" s="45">
        <v>80</v>
      </c>
      <c r="K1565" s="45" t="s">
        <v>736</v>
      </c>
    </row>
    <row r="1566" spans="1:11">
      <c r="A1566" s="2">
        <v>43958</v>
      </c>
      <c r="C1566" s="45" t="s">
        <v>66</v>
      </c>
      <c r="E1566" s="45">
        <v>710</v>
      </c>
      <c r="J1566" s="45">
        <v>19</v>
      </c>
      <c r="K1566" s="45" t="s">
        <v>68</v>
      </c>
    </row>
    <row r="1567" spans="1:11">
      <c r="A1567" s="2">
        <v>43958</v>
      </c>
      <c r="C1567" s="45" t="s">
        <v>76</v>
      </c>
      <c r="E1567" s="45">
        <v>795</v>
      </c>
      <c r="J1567" s="45">
        <v>33</v>
      </c>
      <c r="K1567" s="45" t="s">
        <v>78</v>
      </c>
    </row>
    <row r="1568" spans="1:11">
      <c r="A1568" s="2">
        <v>43958</v>
      </c>
      <c r="B1568" s="45">
        <v>0</v>
      </c>
      <c r="C1568" s="45" t="s">
        <v>81</v>
      </c>
      <c r="E1568" s="45">
        <v>406</v>
      </c>
      <c r="F1568" s="45">
        <v>11</v>
      </c>
      <c r="J1568" s="45">
        <v>15</v>
      </c>
      <c r="K1568" s="45" t="s">
        <v>333</v>
      </c>
    </row>
    <row r="1569" spans="1:11">
      <c r="A1569" s="2">
        <v>43958</v>
      </c>
      <c r="B1569" s="45">
        <v>0.33333333333333331</v>
      </c>
      <c r="C1569" s="45" t="s">
        <v>99</v>
      </c>
      <c r="E1569" s="45">
        <v>192</v>
      </c>
      <c r="F1569" s="45">
        <v>2</v>
      </c>
      <c r="G1569" s="45">
        <v>1</v>
      </c>
      <c r="I1569" s="45">
        <v>143</v>
      </c>
      <c r="J1569" s="45">
        <v>8</v>
      </c>
      <c r="K1569" s="45" t="s">
        <v>328</v>
      </c>
    </row>
    <row r="1570" spans="1:11">
      <c r="A1570" s="2">
        <v>43958</v>
      </c>
      <c r="B1570" s="45">
        <v>0.37847222222222221</v>
      </c>
      <c r="C1570" s="45" t="s">
        <v>41</v>
      </c>
      <c r="E1570" s="45">
        <v>97</v>
      </c>
      <c r="F1570" s="45">
        <v>5</v>
      </c>
      <c r="G1570" s="45">
        <v>2</v>
      </c>
      <c r="J1570" s="45">
        <v>3</v>
      </c>
      <c r="K1570" s="45" t="s">
        <v>43</v>
      </c>
    </row>
    <row r="1571" spans="1:11">
      <c r="A1571" s="2">
        <v>43958</v>
      </c>
      <c r="B1571" s="45">
        <v>0.39583333333333331</v>
      </c>
      <c r="C1571" s="45" t="s">
        <v>79</v>
      </c>
      <c r="E1571" s="45">
        <v>76</v>
      </c>
      <c r="F1571" s="45">
        <v>7</v>
      </c>
      <c r="G1571" s="45">
        <v>4</v>
      </c>
      <c r="J1571" s="45">
        <v>6</v>
      </c>
      <c r="K1571" s="45" t="s">
        <v>703</v>
      </c>
    </row>
    <row r="1572" spans="1:11">
      <c r="A1572" s="2">
        <v>43958</v>
      </c>
      <c r="B1572" s="45">
        <v>0.41666666666666669</v>
      </c>
      <c r="C1572" s="45" t="s">
        <v>50</v>
      </c>
      <c r="E1572" s="45">
        <v>965</v>
      </c>
      <c r="F1572" s="45">
        <v>20</v>
      </c>
      <c r="G1572" s="45">
        <v>4</v>
      </c>
      <c r="I1572" s="45">
        <v>870</v>
      </c>
      <c r="J1572" s="45">
        <v>50</v>
      </c>
      <c r="K1572" s="45" t="s">
        <v>725</v>
      </c>
    </row>
    <row r="1573" spans="1:11">
      <c r="A1573" s="2">
        <v>43958</v>
      </c>
      <c r="B1573" s="45">
        <v>0.41666666666666669</v>
      </c>
      <c r="C1573" s="45" t="s">
        <v>84</v>
      </c>
      <c r="E1573" s="45">
        <v>305</v>
      </c>
      <c r="I1573" s="45">
        <v>264</v>
      </c>
      <c r="J1573" s="45">
        <v>23</v>
      </c>
      <c r="K1573" s="45" t="s">
        <v>704</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sheetPr codeName="Tabelle8"/>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371</v>
      </c>
      <c r="B1" t="s">
        <v>372</v>
      </c>
      <c r="C1" t="s">
        <v>373</v>
      </c>
      <c r="D1" t="s">
        <v>374</v>
      </c>
      <c r="E1" t="s">
        <v>375</v>
      </c>
      <c r="F1" t="s">
        <v>376</v>
      </c>
      <c r="G1" t="s">
        <v>377</v>
      </c>
    </row>
    <row r="2" spans="1:7">
      <c r="A2" s="2">
        <v>43835</v>
      </c>
      <c r="B2" s="1" t="s">
        <v>378</v>
      </c>
      <c r="C2">
        <v>1</v>
      </c>
      <c r="D2">
        <v>139</v>
      </c>
      <c r="E2">
        <v>173</v>
      </c>
      <c r="F2">
        <v>207</v>
      </c>
      <c r="G2">
        <v>146</v>
      </c>
    </row>
    <row r="3" spans="1:7">
      <c r="A3" s="2">
        <v>43835</v>
      </c>
      <c r="B3" s="1" t="s">
        <v>379</v>
      </c>
      <c r="C3">
        <v>1</v>
      </c>
      <c r="D3">
        <v>1161</v>
      </c>
      <c r="E3">
        <v>1252</v>
      </c>
      <c r="F3">
        <v>1343</v>
      </c>
      <c r="G3">
        <v>1151</v>
      </c>
    </row>
    <row r="4" spans="1:7">
      <c r="A4" s="2">
        <v>43842</v>
      </c>
      <c r="B4" s="1" t="s">
        <v>378</v>
      </c>
      <c r="C4">
        <v>2</v>
      </c>
      <c r="D4">
        <v>138</v>
      </c>
      <c r="E4">
        <v>172</v>
      </c>
      <c r="F4">
        <v>206</v>
      </c>
      <c r="G4">
        <v>163</v>
      </c>
    </row>
    <row r="5" spans="1:7">
      <c r="A5" s="2">
        <v>43842</v>
      </c>
      <c r="B5" s="1" t="s">
        <v>379</v>
      </c>
      <c r="C5">
        <v>2</v>
      </c>
      <c r="D5">
        <v>1166</v>
      </c>
      <c r="E5">
        <v>1257</v>
      </c>
      <c r="F5">
        <v>1348</v>
      </c>
      <c r="G5">
        <v>1180</v>
      </c>
    </row>
    <row r="6" spans="1:7">
      <c r="A6" s="2">
        <v>43849</v>
      </c>
      <c r="B6" s="1" t="s">
        <v>378</v>
      </c>
      <c r="C6">
        <v>3</v>
      </c>
      <c r="D6">
        <v>138</v>
      </c>
      <c r="E6">
        <v>172</v>
      </c>
      <c r="F6">
        <v>206</v>
      </c>
      <c r="G6">
        <v>181</v>
      </c>
    </row>
    <row r="7" spans="1:7">
      <c r="A7" s="2">
        <v>43849</v>
      </c>
      <c r="B7" s="1" t="s">
        <v>379</v>
      </c>
      <c r="C7">
        <v>3</v>
      </c>
      <c r="D7">
        <v>1171</v>
      </c>
      <c r="E7">
        <v>1262</v>
      </c>
      <c r="F7">
        <v>1354</v>
      </c>
      <c r="G7">
        <v>1204</v>
      </c>
    </row>
    <row r="8" spans="1:7">
      <c r="A8" s="2">
        <v>43856</v>
      </c>
      <c r="B8" s="1" t="s">
        <v>378</v>
      </c>
      <c r="C8">
        <v>4</v>
      </c>
      <c r="D8">
        <v>138</v>
      </c>
      <c r="E8">
        <v>172</v>
      </c>
      <c r="F8">
        <v>205</v>
      </c>
      <c r="G8">
        <v>176</v>
      </c>
    </row>
    <row r="9" spans="1:7">
      <c r="A9" s="2">
        <v>43856</v>
      </c>
      <c r="B9" s="1" t="s">
        <v>379</v>
      </c>
      <c r="C9">
        <v>4</v>
      </c>
      <c r="D9">
        <v>1176</v>
      </c>
      <c r="E9">
        <v>1267</v>
      </c>
      <c r="F9">
        <v>1359</v>
      </c>
      <c r="G9">
        <v>1215</v>
      </c>
    </row>
    <row r="10" spans="1:7">
      <c r="A10" s="2">
        <v>43863</v>
      </c>
      <c r="B10" s="1" t="s">
        <v>378</v>
      </c>
      <c r="C10">
        <v>5</v>
      </c>
      <c r="D10">
        <v>137</v>
      </c>
      <c r="E10">
        <v>171</v>
      </c>
      <c r="F10">
        <v>205</v>
      </c>
      <c r="G10">
        <v>159</v>
      </c>
    </row>
    <row r="11" spans="1:7">
      <c r="A11" s="2">
        <v>43863</v>
      </c>
      <c r="B11" s="1" t="s">
        <v>379</v>
      </c>
      <c r="C11">
        <v>5</v>
      </c>
      <c r="D11">
        <v>1180</v>
      </c>
      <c r="E11">
        <v>1272</v>
      </c>
      <c r="F11">
        <v>1364</v>
      </c>
      <c r="G11">
        <v>1245</v>
      </c>
    </row>
    <row r="12" spans="1:7">
      <c r="A12" s="2">
        <v>43870</v>
      </c>
      <c r="B12" s="1" t="s">
        <v>378</v>
      </c>
      <c r="C12">
        <v>6</v>
      </c>
      <c r="D12">
        <v>137</v>
      </c>
      <c r="E12">
        <v>171</v>
      </c>
      <c r="F12">
        <v>204</v>
      </c>
      <c r="G12">
        <v>182</v>
      </c>
    </row>
    <row r="13" spans="1:7">
      <c r="A13" s="2">
        <v>43870</v>
      </c>
      <c r="B13" s="1" t="s">
        <v>379</v>
      </c>
      <c r="C13">
        <v>6</v>
      </c>
      <c r="D13">
        <v>1185</v>
      </c>
      <c r="E13">
        <v>1277</v>
      </c>
      <c r="F13">
        <v>1369</v>
      </c>
      <c r="G13">
        <v>1177</v>
      </c>
    </row>
    <row r="14" spans="1:7">
      <c r="A14" s="2">
        <v>43877</v>
      </c>
      <c r="B14" s="1" t="s">
        <v>378</v>
      </c>
      <c r="C14">
        <v>7</v>
      </c>
      <c r="D14">
        <v>137</v>
      </c>
      <c r="E14">
        <v>170</v>
      </c>
      <c r="F14">
        <v>204</v>
      </c>
      <c r="G14">
        <v>161</v>
      </c>
    </row>
    <row r="15" spans="1:7">
      <c r="A15" s="2">
        <v>43877</v>
      </c>
      <c r="B15" s="1" t="s">
        <v>379</v>
      </c>
      <c r="C15">
        <v>7</v>
      </c>
      <c r="D15">
        <v>1187</v>
      </c>
      <c r="E15">
        <v>1279</v>
      </c>
      <c r="F15">
        <v>1371</v>
      </c>
      <c r="G15">
        <v>1195</v>
      </c>
    </row>
    <row r="16" spans="1:7">
      <c r="A16" s="2">
        <v>43884</v>
      </c>
      <c r="B16" s="1" t="s">
        <v>378</v>
      </c>
      <c r="C16">
        <v>8</v>
      </c>
      <c r="D16">
        <v>136</v>
      </c>
      <c r="E16">
        <v>170</v>
      </c>
      <c r="F16">
        <v>204</v>
      </c>
      <c r="G16">
        <v>177</v>
      </c>
    </row>
    <row r="17" spans="1:7">
      <c r="A17" s="2">
        <v>43884</v>
      </c>
      <c r="B17" s="1" t="s">
        <v>379</v>
      </c>
      <c r="C17">
        <v>8</v>
      </c>
      <c r="D17">
        <v>1179</v>
      </c>
      <c r="E17">
        <v>1271</v>
      </c>
      <c r="F17">
        <v>1363</v>
      </c>
      <c r="G17">
        <v>1154</v>
      </c>
    </row>
    <row r="18" spans="1:7">
      <c r="A18" s="2">
        <v>43891</v>
      </c>
      <c r="B18" s="1" t="s">
        <v>378</v>
      </c>
      <c r="C18">
        <v>9</v>
      </c>
      <c r="D18">
        <v>136</v>
      </c>
      <c r="E18">
        <v>170</v>
      </c>
      <c r="F18">
        <v>203</v>
      </c>
      <c r="G18">
        <v>166</v>
      </c>
    </row>
    <row r="19" spans="1:7">
      <c r="A19" s="2">
        <v>43891</v>
      </c>
      <c r="B19" s="1" t="s">
        <v>379</v>
      </c>
      <c r="C19">
        <v>9</v>
      </c>
      <c r="D19">
        <v>1172</v>
      </c>
      <c r="E19">
        <v>1263</v>
      </c>
      <c r="F19">
        <v>1355</v>
      </c>
      <c r="G19">
        <v>1141</v>
      </c>
    </row>
    <row r="20" spans="1:7">
      <c r="A20" s="2">
        <v>43898</v>
      </c>
      <c r="B20" s="1" t="s">
        <v>378</v>
      </c>
      <c r="C20">
        <v>10</v>
      </c>
      <c r="D20">
        <v>135</v>
      </c>
      <c r="E20">
        <v>169</v>
      </c>
      <c r="F20">
        <v>202</v>
      </c>
      <c r="G20">
        <v>159</v>
      </c>
    </row>
    <row r="21" spans="1:7">
      <c r="A21" s="2">
        <v>43898</v>
      </c>
      <c r="B21" s="1" t="s">
        <v>379</v>
      </c>
      <c r="C21">
        <v>10</v>
      </c>
      <c r="D21">
        <v>1153</v>
      </c>
      <c r="E21">
        <v>1243</v>
      </c>
      <c r="F21">
        <v>1334</v>
      </c>
      <c r="G21">
        <v>1159</v>
      </c>
    </row>
    <row r="22" spans="1:7">
      <c r="A22" s="2">
        <v>43905</v>
      </c>
      <c r="B22" s="1" t="s">
        <v>378</v>
      </c>
      <c r="C22">
        <v>11</v>
      </c>
      <c r="D22">
        <v>135</v>
      </c>
      <c r="E22">
        <v>168</v>
      </c>
      <c r="F22">
        <v>201</v>
      </c>
      <c r="G22">
        <v>146</v>
      </c>
    </row>
    <row r="23" spans="1:7">
      <c r="A23" s="2">
        <v>43905</v>
      </c>
      <c r="B23" s="1" t="s">
        <v>379</v>
      </c>
      <c r="C23">
        <v>11</v>
      </c>
      <c r="D23">
        <v>1134</v>
      </c>
      <c r="E23">
        <v>1224</v>
      </c>
      <c r="F23">
        <v>1314</v>
      </c>
      <c r="G23">
        <v>1205</v>
      </c>
    </row>
    <row r="24" spans="1:7">
      <c r="A24" s="2">
        <v>43912</v>
      </c>
      <c r="B24" s="1" t="s">
        <v>378</v>
      </c>
      <c r="C24">
        <v>12</v>
      </c>
      <c r="D24">
        <v>134</v>
      </c>
      <c r="E24">
        <v>167</v>
      </c>
      <c r="F24">
        <v>200</v>
      </c>
      <c r="G24">
        <v>173.9</v>
      </c>
    </row>
    <row r="25" spans="1:7">
      <c r="A25" s="2">
        <v>43912</v>
      </c>
      <c r="B25" s="1" t="s">
        <v>379</v>
      </c>
      <c r="C25">
        <v>12</v>
      </c>
      <c r="D25">
        <v>1110</v>
      </c>
      <c r="E25">
        <v>1199</v>
      </c>
      <c r="F25">
        <v>1289</v>
      </c>
      <c r="G25">
        <v>1323.6</v>
      </c>
    </row>
    <row r="26" spans="1:7">
      <c r="A26" s="2">
        <v>43919</v>
      </c>
      <c r="B26" s="1" t="s">
        <v>378</v>
      </c>
      <c r="C26">
        <v>13</v>
      </c>
      <c r="D26">
        <v>132</v>
      </c>
      <c r="E26">
        <v>166</v>
      </c>
      <c r="F26">
        <v>199</v>
      </c>
      <c r="G26">
        <v>204.9</v>
      </c>
    </row>
    <row r="27" spans="1:7">
      <c r="A27" s="2">
        <v>43919</v>
      </c>
      <c r="B27" s="1" t="s">
        <v>379</v>
      </c>
      <c r="C27">
        <v>13</v>
      </c>
      <c r="D27">
        <v>1086</v>
      </c>
      <c r="E27">
        <v>1175</v>
      </c>
      <c r="F27">
        <v>1263</v>
      </c>
      <c r="G27">
        <v>1412.2</v>
      </c>
    </row>
    <row r="28" spans="1:7">
      <c r="A28" s="2">
        <v>43926</v>
      </c>
      <c r="B28" s="1" t="s">
        <v>378</v>
      </c>
      <c r="C28">
        <v>14</v>
      </c>
      <c r="D28">
        <v>131</v>
      </c>
      <c r="E28">
        <v>165</v>
      </c>
      <c r="F28">
        <v>198</v>
      </c>
      <c r="G28">
        <v>180.2</v>
      </c>
    </row>
    <row r="29" spans="1:7">
      <c r="A29" s="2">
        <v>43926</v>
      </c>
      <c r="B29" s="1" t="s">
        <v>379</v>
      </c>
      <c r="C29">
        <v>14</v>
      </c>
      <c r="D29">
        <v>1065</v>
      </c>
      <c r="E29">
        <v>1153</v>
      </c>
      <c r="F29">
        <v>1240</v>
      </c>
      <c r="G29">
        <v>1679.7</v>
      </c>
    </row>
    <row r="30" spans="1:7">
      <c r="A30" s="2">
        <v>43933</v>
      </c>
      <c r="B30" s="1" t="s">
        <v>378</v>
      </c>
      <c r="C30">
        <v>15</v>
      </c>
      <c r="D30">
        <v>130</v>
      </c>
      <c r="E30">
        <v>163</v>
      </c>
      <c r="F30">
        <v>196</v>
      </c>
      <c r="G30">
        <v>179.3</v>
      </c>
    </row>
    <row r="31" spans="1:7">
      <c r="A31" s="2">
        <v>43933</v>
      </c>
      <c r="B31" s="1" t="s">
        <v>379</v>
      </c>
      <c r="C31">
        <v>15</v>
      </c>
      <c r="D31">
        <v>1046</v>
      </c>
      <c r="E31">
        <v>1133</v>
      </c>
      <c r="F31">
        <v>1219</v>
      </c>
      <c r="G31">
        <v>1473.8</v>
      </c>
    </row>
    <row r="32" spans="1:7">
      <c r="A32" s="2">
        <v>43940</v>
      </c>
      <c r="B32" s="1" t="s">
        <v>378</v>
      </c>
      <c r="C32">
        <v>16</v>
      </c>
      <c r="D32">
        <v>129</v>
      </c>
      <c r="E32">
        <v>162</v>
      </c>
      <c r="F32">
        <v>195</v>
      </c>
      <c r="G32">
        <v>187.7</v>
      </c>
    </row>
    <row r="33" spans="1:7">
      <c r="A33" s="2">
        <v>43940</v>
      </c>
      <c r="B33" s="1" t="s">
        <v>379</v>
      </c>
      <c r="C33">
        <v>16</v>
      </c>
      <c r="D33">
        <v>1026</v>
      </c>
      <c r="E33">
        <v>1112</v>
      </c>
      <c r="F33">
        <v>1198</v>
      </c>
      <c r="G33">
        <v>1438.2</v>
      </c>
    </row>
    <row r="34" spans="1:7">
      <c r="A34" s="2">
        <v>43947</v>
      </c>
      <c r="B34" s="1" t="s">
        <v>378</v>
      </c>
      <c r="C34">
        <v>17</v>
      </c>
      <c r="D34">
        <v>128</v>
      </c>
      <c r="E34">
        <v>161</v>
      </c>
      <c r="F34">
        <v>194</v>
      </c>
    </row>
    <row r="35" spans="1:7">
      <c r="A35" s="2">
        <v>43947</v>
      </c>
      <c r="B35" s="1" t="s">
        <v>379</v>
      </c>
      <c r="C35">
        <v>17</v>
      </c>
      <c r="D35">
        <v>1010</v>
      </c>
      <c r="E35">
        <v>1095</v>
      </c>
      <c r="F35">
        <v>1180</v>
      </c>
    </row>
    <row r="36" spans="1:7">
      <c r="A36" s="2">
        <v>43954</v>
      </c>
      <c r="B36" s="1" t="s">
        <v>378</v>
      </c>
      <c r="C36">
        <v>18</v>
      </c>
      <c r="D36">
        <v>127</v>
      </c>
      <c r="E36">
        <v>160</v>
      </c>
      <c r="F36">
        <v>193</v>
      </c>
    </row>
    <row r="37" spans="1:7">
      <c r="A37" s="2">
        <v>43954</v>
      </c>
      <c r="B37" s="1" t="s">
        <v>379</v>
      </c>
      <c r="C37">
        <v>18</v>
      </c>
      <c r="D37">
        <v>994</v>
      </c>
      <c r="E37">
        <v>1078</v>
      </c>
      <c r="F37">
        <v>1163</v>
      </c>
    </row>
    <row r="38" spans="1:7">
      <c r="A38" s="2">
        <v>43961</v>
      </c>
      <c r="B38" s="1" t="s">
        <v>378</v>
      </c>
      <c r="C38">
        <v>19</v>
      </c>
      <c r="D38">
        <v>127</v>
      </c>
      <c r="E38">
        <v>159</v>
      </c>
      <c r="F38">
        <v>192</v>
      </c>
    </row>
    <row r="39" spans="1:7">
      <c r="A39" s="2">
        <v>43961</v>
      </c>
      <c r="B39" s="1" t="s">
        <v>379</v>
      </c>
      <c r="C39">
        <v>19</v>
      </c>
      <c r="D39">
        <v>981</v>
      </c>
      <c r="E39">
        <v>1065</v>
      </c>
      <c r="F39">
        <v>1149</v>
      </c>
    </row>
    <row r="40" spans="1:7">
      <c r="A40" s="2">
        <v>43968</v>
      </c>
      <c r="B40" s="1" t="s">
        <v>378</v>
      </c>
      <c r="C40">
        <v>20</v>
      </c>
      <c r="D40">
        <v>126</v>
      </c>
      <c r="E40">
        <v>158</v>
      </c>
      <c r="F40">
        <v>191</v>
      </c>
    </row>
    <row r="41" spans="1:7">
      <c r="A41" s="2">
        <v>43968</v>
      </c>
      <c r="B41" s="1" t="s">
        <v>379</v>
      </c>
      <c r="C41">
        <v>20</v>
      </c>
      <c r="D41">
        <v>969</v>
      </c>
      <c r="E41">
        <v>1052</v>
      </c>
      <c r="F41">
        <v>1136</v>
      </c>
    </row>
    <row r="42" spans="1:7">
      <c r="A42" s="2">
        <v>43975</v>
      </c>
      <c r="B42" s="1" t="s">
        <v>378</v>
      </c>
      <c r="C42">
        <v>21</v>
      </c>
      <c r="D42">
        <v>125</v>
      </c>
      <c r="E42">
        <v>157</v>
      </c>
      <c r="F42">
        <v>190</v>
      </c>
    </row>
    <row r="43" spans="1:7">
      <c r="A43" s="2">
        <v>43975</v>
      </c>
      <c r="B43" s="1" t="s">
        <v>379</v>
      </c>
      <c r="C43">
        <v>21</v>
      </c>
      <c r="D43">
        <v>959</v>
      </c>
      <c r="E43">
        <v>1042</v>
      </c>
      <c r="F43">
        <v>1126</v>
      </c>
    </row>
    <row r="44" spans="1:7">
      <c r="A44" s="2">
        <v>43982</v>
      </c>
      <c r="B44" s="1" t="s">
        <v>378</v>
      </c>
      <c r="C44">
        <v>22</v>
      </c>
      <c r="D44">
        <v>125</v>
      </c>
      <c r="E44">
        <v>157</v>
      </c>
      <c r="F44">
        <v>189</v>
      </c>
    </row>
    <row r="45" spans="1:7">
      <c r="A45" s="2">
        <v>43982</v>
      </c>
      <c r="B45" s="1" t="s">
        <v>379</v>
      </c>
      <c r="C45">
        <v>22</v>
      </c>
      <c r="D45">
        <v>956</v>
      </c>
      <c r="E45">
        <v>1039</v>
      </c>
      <c r="F45">
        <v>1122</v>
      </c>
    </row>
    <row r="46" spans="1:7">
      <c r="A46" s="2">
        <v>43989</v>
      </c>
      <c r="B46" s="1" t="s">
        <v>378</v>
      </c>
      <c r="C46">
        <v>23</v>
      </c>
      <c r="D46">
        <v>125</v>
      </c>
      <c r="E46">
        <v>157</v>
      </c>
      <c r="F46">
        <v>189</v>
      </c>
    </row>
    <row r="47" spans="1:7">
      <c r="A47" s="2">
        <v>43989</v>
      </c>
      <c r="B47" s="1" t="s">
        <v>379</v>
      </c>
      <c r="C47">
        <v>23</v>
      </c>
      <c r="D47">
        <v>952</v>
      </c>
      <c r="E47">
        <v>1035</v>
      </c>
      <c r="F47">
        <v>1118</v>
      </c>
    </row>
    <row r="48" spans="1:7">
      <c r="A48" s="2">
        <v>43996</v>
      </c>
      <c r="B48" s="1" t="s">
        <v>378</v>
      </c>
      <c r="C48">
        <v>24</v>
      </c>
      <c r="D48">
        <v>125</v>
      </c>
      <c r="E48">
        <v>157</v>
      </c>
      <c r="F48">
        <v>189</v>
      </c>
    </row>
    <row r="49" spans="1:6">
      <c r="A49" s="2">
        <v>43996</v>
      </c>
      <c r="B49" s="1" t="s">
        <v>379</v>
      </c>
      <c r="C49">
        <v>24</v>
      </c>
      <c r="D49">
        <v>950</v>
      </c>
      <c r="E49">
        <v>1033</v>
      </c>
      <c r="F49">
        <v>1115</v>
      </c>
    </row>
    <row r="50" spans="1:6">
      <c r="A50" s="2">
        <v>44003</v>
      </c>
      <c r="B50" s="1" t="s">
        <v>378</v>
      </c>
      <c r="C50">
        <v>25</v>
      </c>
      <c r="D50">
        <v>124</v>
      </c>
      <c r="E50">
        <v>157</v>
      </c>
      <c r="F50">
        <v>189</v>
      </c>
    </row>
    <row r="51" spans="1:6">
      <c r="A51" s="2">
        <v>44003</v>
      </c>
      <c r="B51" s="1" t="s">
        <v>379</v>
      </c>
      <c r="C51">
        <v>25</v>
      </c>
      <c r="D51">
        <v>952</v>
      </c>
      <c r="E51">
        <v>1035</v>
      </c>
      <c r="F51">
        <v>1117</v>
      </c>
    </row>
    <row r="52" spans="1:6">
      <c r="A52" s="2">
        <v>44010</v>
      </c>
      <c r="B52" s="1" t="s">
        <v>378</v>
      </c>
      <c r="C52">
        <v>26</v>
      </c>
      <c r="D52">
        <v>124</v>
      </c>
      <c r="E52">
        <v>157</v>
      </c>
      <c r="F52">
        <v>189</v>
      </c>
    </row>
    <row r="53" spans="1:6">
      <c r="A53" s="2">
        <v>44010</v>
      </c>
      <c r="B53" s="1" t="s">
        <v>379</v>
      </c>
      <c r="C53">
        <v>26</v>
      </c>
      <c r="D53">
        <v>953</v>
      </c>
      <c r="E53">
        <v>1036</v>
      </c>
      <c r="F53">
        <v>1119</v>
      </c>
    </row>
    <row r="54" spans="1:6">
      <c r="A54" s="2">
        <v>44017</v>
      </c>
      <c r="B54" s="1" t="s">
        <v>378</v>
      </c>
      <c r="C54">
        <v>27</v>
      </c>
      <c r="D54">
        <v>124</v>
      </c>
      <c r="E54">
        <v>157</v>
      </c>
      <c r="F54">
        <v>189</v>
      </c>
    </row>
    <row r="55" spans="1:6">
      <c r="A55" s="2">
        <v>44017</v>
      </c>
      <c r="B55" s="1" t="s">
        <v>379</v>
      </c>
      <c r="C55">
        <v>27</v>
      </c>
      <c r="D55">
        <v>956</v>
      </c>
      <c r="E55">
        <v>1039</v>
      </c>
      <c r="F55">
        <v>1122</v>
      </c>
    </row>
    <row r="56" spans="1:6">
      <c r="A56" s="2">
        <v>44024</v>
      </c>
      <c r="B56" s="1" t="s">
        <v>378</v>
      </c>
      <c r="C56">
        <v>28</v>
      </c>
      <c r="D56">
        <v>124</v>
      </c>
      <c r="E56">
        <v>157</v>
      </c>
      <c r="F56">
        <v>189</v>
      </c>
    </row>
    <row r="57" spans="1:6">
      <c r="A57" s="2">
        <v>44024</v>
      </c>
      <c r="B57" s="1" t="s">
        <v>379</v>
      </c>
      <c r="C57">
        <v>28</v>
      </c>
      <c r="D57">
        <v>956</v>
      </c>
      <c r="E57">
        <v>1039</v>
      </c>
      <c r="F57">
        <v>1122</v>
      </c>
    </row>
    <row r="58" spans="1:6">
      <c r="A58" s="2">
        <v>44031</v>
      </c>
      <c r="B58" s="1" t="s">
        <v>378</v>
      </c>
      <c r="C58">
        <v>29</v>
      </c>
      <c r="D58">
        <v>124</v>
      </c>
      <c r="E58">
        <v>157</v>
      </c>
      <c r="F58">
        <v>189</v>
      </c>
    </row>
    <row r="59" spans="1:6">
      <c r="A59" s="2">
        <v>44031</v>
      </c>
      <c r="B59" s="1" t="s">
        <v>379</v>
      </c>
      <c r="C59">
        <v>29</v>
      </c>
      <c r="D59">
        <v>956</v>
      </c>
      <c r="E59">
        <v>1039</v>
      </c>
      <c r="F59">
        <v>1122</v>
      </c>
    </row>
    <row r="60" spans="1:6">
      <c r="A60" s="2">
        <v>44038</v>
      </c>
      <c r="B60" s="1" t="s">
        <v>378</v>
      </c>
      <c r="C60">
        <v>30</v>
      </c>
      <c r="D60">
        <v>124</v>
      </c>
      <c r="E60">
        <v>156</v>
      </c>
      <c r="F60">
        <v>188</v>
      </c>
    </row>
    <row r="61" spans="1:6">
      <c r="A61" s="2">
        <v>44038</v>
      </c>
      <c r="B61" s="1" t="s">
        <v>379</v>
      </c>
      <c r="C61">
        <v>30</v>
      </c>
      <c r="D61">
        <v>955</v>
      </c>
      <c r="E61">
        <v>1038</v>
      </c>
      <c r="F61">
        <v>1121</v>
      </c>
    </row>
    <row r="62" spans="1:6">
      <c r="A62" s="2">
        <v>44045</v>
      </c>
      <c r="B62" s="1" t="s">
        <v>378</v>
      </c>
      <c r="C62">
        <v>31</v>
      </c>
      <c r="D62">
        <v>124</v>
      </c>
      <c r="E62">
        <v>156</v>
      </c>
      <c r="F62">
        <v>188</v>
      </c>
    </row>
    <row r="63" spans="1:6">
      <c r="A63" s="2">
        <v>44045</v>
      </c>
      <c r="B63" s="1" t="s">
        <v>379</v>
      </c>
      <c r="C63">
        <v>31</v>
      </c>
      <c r="D63">
        <v>954</v>
      </c>
      <c r="E63">
        <v>1037</v>
      </c>
      <c r="F63">
        <v>1120</v>
      </c>
    </row>
    <row r="64" spans="1:6">
      <c r="A64" s="2">
        <v>44052</v>
      </c>
      <c r="B64" s="1" t="s">
        <v>378</v>
      </c>
      <c r="C64">
        <v>32</v>
      </c>
      <c r="D64">
        <v>123</v>
      </c>
      <c r="E64">
        <v>156</v>
      </c>
      <c r="F64">
        <v>188</v>
      </c>
    </row>
    <row r="65" spans="1:6">
      <c r="A65" s="2">
        <v>44052</v>
      </c>
      <c r="B65" s="1" t="s">
        <v>379</v>
      </c>
      <c r="C65">
        <v>32</v>
      </c>
      <c r="D65">
        <v>953</v>
      </c>
      <c r="E65">
        <v>1036</v>
      </c>
      <c r="F65">
        <v>1119</v>
      </c>
    </row>
    <row r="66" spans="1:6">
      <c r="A66" s="2">
        <v>44059</v>
      </c>
      <c r="B66" s="1" t="s">
        <v>378</v>
      </c>
      <c r="C66">
        <v>33</v>
      </c>
      <c r="D66">
        <v>123</v>
      </c>
      <c r="E66">
        <v>155</v>
      </c>
      <c r="F66">
        <v>187</v>
      </c>
    </row>
    <row r="67" spans="1:6">
      <c r="A67" s="2">
        <v>44059</v>
      </c>
      <c r="B67" s="1" t="s">
        <v>379</v>
      </c>
      <c r="C67">
        <v>33</v>
      </c>
      <c r="D67">
        <v>952</v>
      </c>
      <c r="E67">
        <v>1035</v>
      </c>
      <c r="F67">
        <v>1118</v>
      </c>
    </row>
    <row r="68" spans="1:6">
      <c r="A68" s="2">
        <v>44066</v>
      </c>
      <c r="B68" s="1" t="s">
        <v>378</v>
      </c>
      <c r="C68">
        <v>34</v>
      </c>
      <c r="D68">
        <v>123</v>
      </c>
      <c r="E68">
        <v>155</v>
      </c>
      <c r="F68">
        <v>187</v>
      </c>
    </row>
    <row r="69" spans="1:6">
      <c r="A69" s="2">
        <v>44066</v>
      </c>
      <c r="B69" s="1" t="s">
        <v>379</v>
      </c>
      <c r="C69">
        <v>34</v>
      </c>
      <c r="D69">
        <v>953</v>
      </c>
      <c r="E69">
        <v>1036</v>
      </c>
      <c r="F69">
        <v>1119</v>
      </c>
    </row>
    <row r="70" spans="1:6">
      <c r="A70" s="2">
        <v>44073</v>
      </c>
      <c r="B70" s="1" t="s">
        <v>378</v>
      </c>
      <c r="C70">
        <v>35</v>
      </c>
      <c r="D70">
        <v>123</v>
      </c>
      <c r="E70">
        <v>155</v>
      </c>
      <c r="F70">
        <v>188</v>
      </c>
    </row>
    <row r="71" spans="1:6">
      <c r="A71" s="2">
        <v>44073</v>
      </c>
      <c r="B71" s="1" t="s">
        <v>379</v>
      </c>
      <c r="C71">
        <v>35</v>
      </c>
      <c r="D71">
        <v>959</v>
      </c>
      <c r="E71">
        <v>1042</v>
      </c>
      <c r="F71">
        <v>1126</v>
      </c>
    </row>
    <row r="72" spans="1:6">
      <c r="A72" s="2">
        <v>44080</v>
      </c>
      <c r="B72" s="1" t="s">
        <v>378</v>
      </c>
      <c r="C72">
        <v>36</v>
      </c>
      <c r="D72">
        <v>124</v>
      </c>
      <c r="E72">
        <v>156</v>
      </c>
      <c r="F72">
        <v>188</v>
      </c>
    </row>
    <row r="73" spans="1:6">
      <c r="A73" s="2">
        <v>44080</v>
      </c>
      <c r="B73" s="1" t="s">
        <v>379</v>
      </c>
      <c r="C73">
        <v>36</v>
      </c>
      <c r="D73">
        <v>965</v>
      </c>
      <c r="E73">
        <v>1048</v>
      </c>
      <c r="F73">
        <v>1132</v>
      </c>
    </row>
    <row r="74" spans="1:6">
      <c r="A74" s="2">
        <v>44087</v>
      </c>
      <c r="B74" s="1" t="s">
        <v>378</v>
      </c>
      <c r="C74">
        <v>37</v>
      </c>
      <c r="D74">
        <v>124</v>
      </c>
      <c r="E74">
        <v>156</v>
      </c>
      <c r="F74">
        <v>188</v>
      </c>
    </row>
    <row r="75" spans="1:6">
      <c r="A75" s="2">
        <v>44087</v>
      </c>
      <c r="B75" s="1" t="s">
        <v>379</v>
      </c>
      <c r="C75">
        <v>37</v>
      </c>
      <c r="D75">
        <v>973</v>
      </c>
      <c r="E75">
        <v>1056</v>
      </c>
      <c r="F75">
        <v>1140</v>
      </c>
    </row>
    <row r="76" spans="1:6">
      <c r="A76" s="2">
        <v>44094</v>
      </c>
      <c r="B76" s="1" t="s">
        <v>378</v>
      </c>
      <c r="C76">
        <v>38</v>
      </c>
      <c r="D76">
        <v>124</v>
      </c>
      <c r="E76">
        <v>156</v>
      </c>
      <c r="F76">
        <v>189</v>
      </c>
    </row>
    <row r="77" spans="1:6">
      <c r="A77" s="2">
        <v>44094</v>
      </c>
      <c r="B77" s="1" t="s">
        <v>379</v>
      </c>
      <c r="C77">
        <v>38</v>
      </c>
      <c r="D77">
        <v>982</v>
      </c>
      <c r="E77">
        <v>1067</v>
      </c>
      <c r="F77">
        <v>1151</v>
      </c>
    </row>
    <row r="78" spans="1:6">
      <c r="A78" s="2">
        <v>44101</v>
      </c>
      <c r="B78" s="1" t="s">
        <v>378</v>
      </c>
      <c r="C78">
        <v>39</v>
      </c>
      <c r="D78">
        <v>125</v>
      </c>
      <c r="E78">
        <v>157</v>
      </c>
      <c r="F78">
        <v>189</v>
      </c>
    </row>
    <row r="79" spans="1:6">
      <c r="A79" s="2">
        <v>44101</v>
      </c>
      <c r="B79" s="1" t="s">
        <v>379</v>
      </c>
      <c r="C79">
        <v>39</v>
      </c>
      <c r="D79">
        <v>992</v>
      </c>
      <c r="E79">
        <v>1077</v>
      </c>
      <c r="F79">
        <v>1161</v>
      </c>
    </row>
    <row r="80" spans="1:6">
      <c r="A80" s="2">
        <v>44108</v>
      </c>
      <c r="B80" s="1" t="s">
        <v>378</v>
      </c>
      <c r="C80">
        <v>40</v>
      </c>
      <c r="D80">
        <v>125</v>
      </c>
      <c r="E80">
        <v>157</v>
      </c>
      <c r="F80">
        <v>190</v>
      </c>
    </row>
    <row r="81" spans="1:6">
      <c r="A81" s="2">
        <v>44108</v>
      </c>
      <c r="B81" s="1" t="s">
        <v>379</v>
      </c>
      <c r="C81">
        <v>40</v>
      </c>
      <c r="D81">
        <v>1002</v>
      </c>
      <c r="E81">
        <v>1087</v>
      </c>
      <c r="F81">
        <v>1172</v>
      </c>
    </row>
    <row r="82" spans="1:6">
      <c r="A82" s="2">
        <v>44115</v>
      </c>
      <c r="B82" s="1" t="s">
        <v>378</v>
      </c>
      <c r="C82">
        <v>41</v>
      </c>
      <c r="D82">
        <v>125</v>
      </c>
      <c r="E82">
        <v>158</v>
      </c>
      <c r="F82">
        <v>190</v>
      </c>
    </row>
    <row r="83" spans="1:6">
      <c r="A83" s="2">
        <v>44115</v>
      </c>
      <c r="B83" s="1" t="s">
        <v>379</v>
      </c>
      <c r="C83">
        <v>41</v>
      </c>
      <c r="D83">
        <v>1011</v>
      </c>
      <c r="E83">
        <v>1097</v>
      </c>
      <c r="F83">
        <v>1182</v>
      </c>
    </row>
    <row r="84" spans="1:6">
      <c r="A84" s="2">
        <v>44122</v>
      </c>
      <c r="B84" s="1" t="s">
        <v>378</v>
      </c>
      <c r="C84">
        <v>42</v>
      </c>
      <c r="D84">
        <v>126</v>
      </c>
      <c r="E84">
        <v>158</v>
      </c>
      <c r="F84">
        <v>190</v>
      </c>
    </row>
    <row r="85" spans="1:6">
      <c r="A85" s="2">
        <v>44122</v>
      </c>
      <c r="B85" s="1" t="s">
        <v>379</v>
      </c>
      <c r="C85">
        <v>42</v>
      </c>
      <c r="D85">
        <v>1021</v>
      </c>
      <c r="E85">
        <v>1107</v>
      </c>
      <c r="F85">
        <v>1192</v>
      </c>
    </row>
    <row r="86" spans="1:6">
      <c r="A86" s="2">
        <v>44129</v>
      </c>
      <c r="B86" s="1" t="s">
        <v>378</v>
      </c>
      <c r="C86">
        <v>43</v>
      </c>
      <c r="D86">
        <v>126</v>
      </c>
      <c r="E86">
        <v>158</v>
      </c>
      <c r="F86">
        <v>191</v>
      </c>
    </row>
    <row r="87" spans="1:6">
      <c r="A87" s="2">
        <v>44129</v>
      </c>
      <c r="B87" s="1" t="s">
        <v>379</v>
      </c>
      <c r="C87">
        <v>43</v>
      </c>
      <c r="D87">
        <v>1029</v>
      </c>
      <c r="E87">
        <v>1115</v>
      </c>
      <c r="F87">
        <v>1201</v>
      </c>
    </row>
    <row r="88" spans="1:6">
      <c r="A88" s="2">
        <v>44136</v>
      </c>
      <c r="B88" s="1" t="s">
        <v>378</v>
      </c>
      <c r="C88">
        <v>44</v>
      </c>
      <c r="D88">
        <v>126</v>
      </c>
      <c r="E88">
        <v>158</v>
      </c>
      <c r="F88">
        <v>191</v>
      </c>
    </row>
    <row r="89" spans="1:6">
      <c r="A89" s="2">
        <v>44136</v>
      </c>
      <c r="B89" s="1" t="s">
        <v>379</v>
      </c>
      <c r="C89">
        <v>44</v>
      </c>
      <c r="D89">
        <v>1037</v>
      </c>
      <c r="E89">
        <v>1124</v>
      </c>
      <c r="F89">
        <v>1210</v>
      </c>
    </row>
    <row r="90" spans="1:6">
      <c r="A90" s="2">
        <v>44143</v>
      </c>
      <c r="B90" s="1" t="s">
        <v>378</v>
      </c>
      <c r="C90">
        <v>45</v>
      </c>
      <c r="D90">
        <v>126</v>
      </c>
      <c r="E90">
        <v>159</v>
      </c>
      <c r="F90">
        <v>191</v>
      </c>
    </row>
    <row r="91" spans="1:6">
      <c r="A91" s="2">
        <v>44143</v>
      </c>
      <c r="B91" s="1" t="s">
        <v>379</v>
      </c>
      <c r="C91">
        <v>45</v>
      </c>
      <c r="D91">
        <v>1049</v>
      </c>
      <c r="E91">
        <v>1136</v>
      </c>
      <c r="F91">
        <v>1223</v>
      </c>
    </row>
    <row r="92" spans="1:6">
      <c r="A92" s="2">
        <v>44150</v>
      </c>
      <c r="B92" s="1" t="s">
        <v>378</v>
      </c>
      <c r="C92">
        <v>46</v>
      </c>
      <c r="D92">
        <v>126</v>
      </c>
      <c r="E92">
        <v>159</v>
      </c>
      <c r="F92">
        <v>191</v>
      </c>
    </row>
    <row r="93" spans="1:6">
      <c r="A93" s="2">
        <v>44150</v>
      </c>
      <c r="B93" s="1" t="s">
        <v>379</v>
      </c>
      <c r="C93">
        <v>46</v>
      </c>
      <c r="D93">
        <v>1061</v>
      </c>
      <c r="E93">
        <v>1148</v>
      </c>
      <c r="F93">
        <v>1235</v>
      </c>
    </row>
    <row r="94" spans="1:6">
      <c r="A94" s="2">
        <v>44157</v>
      </c>
      <c r="B94" s="1" t="s">
        <v>378</v>
      </c>
      <c r="C94">
        <v>47</v>
      </c>
      <c r="D94">
        <v>127</v>
      </c>
      <c r="E94">
        <v>159</v>
      </c>
      <c r="F94">
        <v>192</v>
      </c>
    </row>
    <row r="95" spans="1:6">
      <c r="A95" s="2">
        <v>44157</v>
      </c>
      <c r="B95" s="1" t="s">
        <v>379</v>
      </c>
      <c r="C95">
        <v>47</v>
      </c>
      <c r="D95">
        <v>1073</v>
      </c>
      <c r="E95">
        <v>1161</v>
      </c>
      <c r="F95">
        <v>1248</v>
      </c>
    </row>
    <row r="96" spans="1:6">
      <c r="A96" s="2">
        <v>44164</v>
      </c>
      <c r="B96" s="1" t="s">
        <v>378</v>
      </c>
      <c r="C96">
        <v>48</v>
      </c>
      <c r="D96">
        <v>127</v>
      </c>
      <c r="E96">
        <v>160</v>
      </c>
      <c r="F96">
        <v>192</v>
      </c>
    </row>
    <row r="97" spans="1:6">
      <c r="A97" s="2">
        <v>44164</v>
      </c>
      <c r="B97" s="1" t="s">
        <v>379</v>
      </c>
      <c r="C97">
        <v>48</v>
      </c>
      <c r="D97">
        <v>1084</v>
      </c>
      <c r="E97">
        <v>1172</v>
      </c>
      <c r="F97">
        <v>1261</v>
      </c>
    </row>
    <row r="98" spans="1:6">
      <c r="A98" s="2">
        <v>44171</v>
      </c>
      <c r="B98" s="1" t="s">
        <v>378</v>
      </c>
      <c r="C98">
        <v>49</v>
      </c>
      <c r="D98">
        <v>128</v>
      </c>
      <c r="E98">
        <v>160</v>
      </c>
      <c r="F98">
        <v>193</v>
      </c>
    </row>
    <row r="99" spans="1:6">
      <c r="A99" s="2">
        <v>44171</v>
      </c>
      <c r="B99" s="1" t="s">
        <v>379</v>
      </c>
      <c r="C99">
        <v>49</v>
      </c>
      <c r="D99">
        <v>1096</v>
      </c>
      <c r="E99">
        <v>1184</v>
      </c>
      <c r="F99">
        <v>1273</v>
      </c>
    </row>
    <row r="100" spans="1:6">
      <c r="A100" s="2">
        <v>44178</v>
      </c>
      <c r="B100" s="1" t="s">
        <v>378</v>
      </c>
      <c r="C100">
        <v>50</v>
      </c>
      <c r="D100">
        <v>128</v>
      </c>
      <c r="E100">
        <v>161</v>
      </c>
      <c r="F100">
        <v>193</v>
      </c>
    </row>
    <row r="101" spans="1:6">
      <c r="A101" s="2">
        <v>44178</v>
      </c>
      <c r="B101" s="1" t="s">
        <v>379</v>
      </c>
      <c r="C101">
        <v>50</v>
      </c>
      <c r="D101">
        <v>1105</v>
      </c>
      <c r="E101">
        <v>1194</v>
      </c>
      <c r="F101">
        <v>1283</v>
      </c>
    </row>
    <row r="102" spans="1:6">
      <c r="A102" s="2">
        <v>44185</v>
      </c>
      <c r="B102" s="1" t="s">
        <v>378</v>
      </c>
      <c r="C102">
        <v>51</v>
      </c>
      <c r="D102">
        <v>128</v>
      </c>
      <c r="E102">
        <v>161</v>
      </c>
      <c r="F102">
        <v>194</v>
      </c>
    </row>
    <row r="103" spans="1:6">
      <c r="A103" s="2">
        <v>44185</v>
      </c>
      <c r="B103" s="1" t="s">
        <v>379</v>
      </c>
      <c r="C103">
        <v>51</v>
      </c>
      <c r="D103">
        <v>1114</v>
      </c>
      <c r="E103">
        <v>1203</v>
      </c>
      <c r="F103">
        <v>1292</v>
      </c>
    </row>
    <row r="104" spans="1:6">
      <c r="A104" s="2">
        <v>44192</v>
      </c>
      <c r="B104" s="1" t="s">
        <v>378</v>
      </c>
      <c r="C104">
        <v>52</v>
      </c>
      <c r="D104">
        <v>129</v>
      </c>
      <c r="E104">
        <v>162</v>
      </c>
      <c r="F104">
        <v>194</v>
      </c>
    </row>
    <row r="105" spans="1:6">
      <c r="A105" s="2">
        <v>44192</v>
      </c>
      <c r="B105" s="1" t="s">
        <v>379</v>
      </c>
      <c r="C105">
        <v>52</v>
      </c>
      <c r="D105">
        <v>1122</v>
      </c>
      <c r="E105">
        <v>1212</v>
      </c>
      <c r="F105">
        <v>1302</v>
      </c>
    </row>
    <row r="106" spans="1:6">
      <c r="A106" s="2">
        <v>44199</v>
      </c>
      <c r="B106" s="1" t="s">
        <v>378</v>
      </c>
      <c r="C106">
        <v>53</v>
      </c>
      <c r="D106">
        <v>129</v>
      </c>
      <c r="E106">
        <v>162</v>
      </c>
      <c r="F106">
        <v>195</v>
      </c>
    </row>
    <row r="107" spans="1:6">
      <c r="A107" s="2">
        <v>44199</v>
      </c>
      <c r="B107" s="1" t="s">
        <v>379</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D78"/>
  <sheetViews>
    <sheetView topLeftCell="A37" workbookViewId="0">
      <selection activeCell="D59" sqref="D59"/>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4">
      <c r="A3" s="16" t="s">
        <v>277</v>
      </c>
      <c r="B3" t="s">
        <v>349</v>
      </c>
      <c r="C3" t="s">
        <v>347</v>
      </c>
      <c r="D3" t="s">
        <v>348</v>
      </c>
    </row>
    <row r="4" spans="1:4">
      <c r="A4" s="44">
        <v>43886</v>
      </c>
      <c r="B4" s="1">
        <v>0</v>
      </c>
      <c r="C4" s="1">
        <v>0</v>
      </c>
      <c r="D4" s="1">
        <v>0</v>
      </c>
    </row>
    <row r="5" spans="1:4">
      <c r="A5" s="44">
        <v>43887</v>
      </c>
      <c r="B5" s="1">
        <v>2</v>
      </c>
      <c r="C5" s="1">
        <v>0</v>
      </c>
      <c r="D5" s="1">
        <v>0</v>
      </c>
    </row>
    <row r="6" spans="1:4">
      <c r="A6" s="44">
        <v>43888</v>
      </c>
      <c r="B6" s="1">
        <v>6</v>
      </c>
      <c r="C6" s="1">
        <v>0</v>
      </c>
      <c r="D6" s="1">
        <v>0</v>
      </c>
    </row>
    <row r="7" spans="1:4">
      <c r="A7" s="44">
        <v>43889</v>
      </c>
      <c r="B7" s="1">
        <v>13</v>
      </c>
      <c r="C7" s="1">
        <v>0</v>
      </c>
      <c r="D7" s="1">
        <v>0</v>
      </c>
    </row>
    <row r="8" spans="1:4">
      <c r="A8" s="44">
        <v>43890</v>
      </c>
      <c r="B8" s="1">
        <v>20</v>
      </c>
      <c r="C8" s="1">
        <v>0</v>
      </c>
      <c r="D8" s="1">
        <v>0</v>
      </c>
    </row>
    <row r="9" spans="1:4">
      <c r="A9" s="44">
        <v>43891</v>
      </c>
      <c r="B9" s="1">
        <v>29</v>
      </c>
      <c r="C9" s="1">
        <v>0</v>
      </c>
      <c r="D9" s="1">
        <v>0</v>
      </c>
    </row>
    <row r="10" spans="1:4">
      <c r="A10" s="44">
        <v>43892</v>
      </c>
      <c r="B10" s="1">
        <v>42</v>
      </c>
      <c r="C10" s="1">
        <v>0</v>
      </c>
      <c r="D10" s="1">
        <v>0</v>
      </c>
    </row>
    <row r="11" spans="1:4">
      <c r="A11" s="44">
        <v>43893</v>
      </c>
      <c r="B11" s="1">
        <v>55</v>
      </c>
      <c r="C11" s="1">
        <v>0</v>
      </c>
      <c r="D11" s="1">
        <v>0</v>
      </c>
    </row>
    <row r="12" spans="1:4">
      <c r="A12" s="44">
        <v>43894</v>
      </c>
      <c r="B12" s="1">
        <v>85</v>
      </c>
      <c r="C12" s="1">
        <v>0</v>
      </c>
      <c r="D12" s="1">
        <v>0</v>
      </c>
    </row>
    <row r="13" spans="1:4">
      <c r="A13" s="44">
        <v>43895</v>
      </c>
      <c r="B13" s="1">
        <v>117</v>
      </c>
      <c r="C13" s="1">
        <v>0</v>
      </c>
      <c r="D13" s="1">
        <v>0</v>
      </c>
    </row>
    <row r="14" spans="1:4">
      <c r="A14" s="44">
        <v>43896</v>
      </c>
      <c r="B14" s="1">
        <v>188</v>
      </c>
      <c r="C14" s="1">
        <v>1</v>
      </c>
      <c r="D14" s="1">
        <v>1</v>
      </c>
    </row>
    <row r="15" spans="1:4">
      <c r="A15" s="44">
        <v>43897</v>
      </c>
      <c r="B15" s="1">
        <v>207</v>
      </c>
      <c r="C15" s="1">
        <v>0</v>
      </c>
      <c r="D15" s="1">
        <v>1</v>
      </c>
    </row>
    <row r="16" spans="1:4">
      <c r="A16" s="44">
        <v>43898</v>
      </c>
      <c r="B16" s="1">
        <v>265</v>
      </c>
      <c r="C16" s="1">
        <v>0</v>
      </c>
      <c r="D16" s="1">
        <v>2</v>
      </c>
    </row>
    <row r="17" spans="1:4">
      <c r="A17" s="44">
        <v>43899</v>
      </c>
      <c r="B17" s="1">
        <v>383</v>
      </c>
      <c r="C17" s="1">
        <v>3</v>
      </c>
      <c r="D17" s="1">
        <v>2</v>
      </c>
    </row>
    <row r="18" spans="1:4">
      <c r="A18" s="44">
        <v>43900</v>
      </c>
      <c r="B18" s="1">
        <v>487</v>
      </c>
      <c r="C18" s="1">
        <v>4</v>
      </c>
      <c r="D18" s="1">
        <v>4</v>
      </c>
    </row>
    <row r="19" spans="1:4">
      <c r="A19" s="44">
        <v>43901</v>
      </c>
      <c r="B19" s="1">
        <v>707</v>
      </c>
      <c r="C19" s="1">
        <v>9</v>
      </c>
      <c r="D19" s="1">
        <v>5</v>
      </c>
    </row>
    <row r="20" spans="1:4">
      <c r="A20" s="44">
        <v>43902</v>
      </c>
      <c r="B20" s="1">
        <v>1008</v>
      </c>
      <c r="C20" s="1">
        <v>10</v>
      </c>
      <c r="D20" s="1">
        <v>9</v>
      </c>
    </row>
    <row r="21" spans="1:4">
      <c r="A21" s="44">
        <v>43903</v>
      </c>
      <c r="B21" s="1">
        <v>1317</v>
      </c>
      <c r="C21" s="1">
        <v>9</v>
      </c>
      <c r="D21" s="1">
        <v>10</v>
      </c>
    </row>
    <row r="22" spans="1:4">
      <c r="A22" s="44">
        <v>43904</v>
      </c>
      <c r="B22" s="1">
        <v>1682</v>
      </c>
      <c r="C22" s="1">
        <v>68</v>
      </c>
      <c r="D22" s="1">
        <v>14</v>
      </c>
    </row>
    <row r="23" spans="1:4">
      <c r="A23" s="44">
        <v>43905</v>
      </c>
      <c r="B23" s="1">
        <v>1868</v>
      </c>
      <c r="C23" s="1">
        <v>67</v>
      </c>
      <c r="D23" s="1">
        <v>21</v>
      </c>
    </row>
    <row r="24" spans="1:4">
      <c r="A24" s="44">
        <v>43906</v>
      </c>
      <c r="B24" s="1">
        <v>2781</v>
      </c>
      <c r="C24" s="1">
        <v>74</v>
      </c>
      <c r="D24" s="1">
        <v>31</v>
      </c>
    </row>
    <row r="25" spans="1:4">
      <c r="A25" s="44">
        <v>43907</v>
      </c>
      <c r="B25" s="1">
        <v>3526</v>
      </c>
      <c r="C25" s="1">
        <v>106</v>
      </c>
      <c r="D25" s="1">
        <v>37</v>
      </c>
    </row>
    <row r="26" spans="1:4">
      <c r="A26" s="44">
        <v>43908</v>
      </c>
      <c r="B26" s="1">
        <v>4777</v>
      </c>
      <c r="C26" s="1">
        <v>124</v>
      </c>
      <c r="D26" s="1">
        <v>47</v>
      </c>
    </row>
    <row r="27" spans="1:4">
      <c r="A27" s="44">
        <v>43909</v>
      </c>
      <c r="B27" s="1">
        <v>5632</v>
      </c>
      <c r="C27" s="1">
        <v>130</v>
      </c>
      <c r="D27" s="1">
        <v>56</v>
      </c>
    </row>
    <row r="28" spans="1:4">
      <c r="A28" s="44">
        <v>43910</v>
      </c>
      <c r="B28" s="1">
        <v>6930</v>
      </c>
      <c r="C28" s="1">
        <v>137</v>
      </c>
      <c r="D28" s="1">
        <v>79</v>
      </c>
    </row>
    <row r="29" spans="1:4">
      <c r="A29" s="44">
        <v>43911</v>
      </c>
      <c r="B29" s="1">
        <v>7280</v>
      </c>
      <c r="C29" s="1">
        <v>151</v>
      </c>
      <c r="D29" s="1">
        <v>98</v>
      </c>
    </row>
    <row r="30" spans="1:4">
      <c r="A30" s="44">
        <v>43912</v>
      </c>
      <c r="B30" s="1">
        <v>7594</v>
      </c>
      <c r="C30" s="1">
        <v>169</v>
      </c>
      <c r="D30" s="1">
        <v>110</v>
      </c>
    </row>
    <row r="31" spans="1:4">
      <c r="A31" s="44">
        <v>43913</v>
      </c>
      <c r="B31" s="1">
        <v>9712</v>
      </c>
      <c r="C31" s="1">
        <v>190</v>
      </c>
      <c r="D31" s="1">
        <v>144</v>
      </c>
    </row>
    <row r="32" spans="1:4">
      <c r="A32" s="44">
        <v>43914</v>
      </c>
      <c r="B32" s="1">
        <v>10818</v>
      </c>
      <c r="C32" s="1">
        <v>351</v>
      </c>
      <c r="D32" s="1">
        <v>166</v>
      </c>
    </row>
    <row r="33" spans="1:4">
      <c r="A33" s="44">
        <v>43915</v>
      </c>
      <c r="B33" s="1">
        <v>11822</v>
      </c>
      <c r="C33" s="1">
        <v>409</v>
      </c>
      <c r="D33" s="1">
        <v>201</v>
      </c>
    </row>
    <row r="34" spans="1:4">
      <c r="A34" s="44">
        <v>43916</v>
      </c>
      <c r="B34" s="1">
        <v>13061</v>
      </c>
      <c r="C34" s="1">
        <v>495</v>
      </c>
      <c r="D34" s="1">
        <v>246</v>
      </c>
    </row>
    <row r="35" spans="1:4">
      <c r="A35" s="44">
        <v>43917</v>
      </c>
      <c r="B35" s="1">
        <v>14398</v>
      </c>
      <c r="C35" s="1">
        <v>580</v>
      </c>
      <c r="D35" s="1">
        <v>283</v>
      </c>
    </row>
    <row r="36" spans="1:4">
      <c r="A36" s="44">
        <v>43918</v>
      </c>
      <c r="B36" s="1">
        <v>14830</v>
      </c>
      <c r="C36" s="1">
        <v>679</v>
      </c>
      <c r="D36" s="1">
        <v>332</v>
      </c>
    </row>
    <row r="37" spans="1:4">
      <c r="A37" s="44">
        <v>43919</v>
      </c>
      <c r="B37" s="1">
        <v>15416</v>
      </c>
      <c r="C37" s="1">
        <v>748</v>
      </c>
      <c r="D37" s="1">
        <v>377</v>
      </c>
    </row>
    <row r="38" spans="1:4">
      <c r="A38" s="44">
        <v>43920</v>
      </c>
      <c r="B38" s="1">
        <v>16758</v>
      </c>
      <c r="C38" s="1">
        <v>873</v>
      </c>
      <c r="D38" s="1">
        <v>439</v>
      </c>
    </row>
    <row r="39" spans="1:4">
      <c r="A39" s="44">
        <v>43921</v>
      </c>
      <c r="B39" s="1">
        <v>17869</v>
      </c>
      <c r="C39" s="1">
        <v>1075</v>
      </c>
      <c r="D39" s="1">
        <v>506</v>
      </c>
    </row>
    <row r="40" spans="1:4">
      <c r="A40" s="44">
        <v>43922</v>
      </c>
      <c r="B40" s="1">
        <v>18926</v>
      </c>
      <c r="C40" s="1">
        <v>1179</v>
      </c>
      <c r="D40" s="1">
        <v>569</v>
      </c>
    </row>
    <row r="41" spans="1:4">
      <c r="A41" s="44">
        <v>43923</v>
      </c>
      <c r="B41" s="1">
        <v>20009</v>
      </c>
      <c r="C41" s="1">
        <v>1372</v>
      </c>
      <c r="D41" s="1">
        <v>630</v>
      </c>
    </row>
    <row r="42" spans="1:4">
      <c r="A42" s="44">
        <v>43924</v>
      </c>
      <c r="B42" s="1">
        <v>20976</v>
      </c>
      <c r="C42" s="1">
        <v>1475</v>
      </c>
      <c r="D42" s="1">
        <v>691</v>
      </c>
    </row>
    <row r="43" spans="1:4">
      <c r="A43" s="44">
        <v>43925</v>
      </c>
      <c r="B43" s="1">
        <v>20865</v>
      </c>
      <c r="C43" s="1">
        <v>1626</v>
      </c>
      <c r="D43" s="1">
        <v>746</v>
      </c>
    </row>
    <row r="44" spans="1:4">
      <c r="A44" s="44">
        <v>43926</v>
      </c>
      <c r="B44" s="1">
        <v>21226</v>
      </c>
      <c r="C44" s="1">
        <v>1786</v>
      </c>
      <c r="D44" s="1">
        <v>798</v>
      </c>
    </row>
    <row r="45" spans="1:4">
      <c r="A45" s="44">
        <v>43927</v>
      </c>
      <c r="B45" s="1">
        <v>22594</v>
      </c>
      <c r="C45" s="1">
        <v>1899</v>
      </c>
      <c r="D45" s="1">
        <v>868</v>
      </c>
    </row>
    <row r="46" spans="1:4">
      <c r="A46" s="44">
        <v>43928</v>
      </c>
      <c r="B46" s="1">
        <v>23323</v>
      </c>
      <c r="C46" s="1">
        <v>2245</v>
      </c>
      <c r="D46" s="1">
        <v>929</v>
      </c>
    </row>
    <row r="47" spans="1:4">
      <c r="A47" s="44">
        <v>43929</v>
      </c>
      <c r="B47" s="1">
        <v>23914</v>
      </c>
      <c r="C47" s="1">
        <v>2455</v>
      </c>
      <c r="D47" s="1">
        <v>996</v>
      </c>
    </row>
    <row r="48" spans="1:4">
      <c r="A48" s="44">
        <v>43930</v>
      </c>
      <c r="B48" s="1">
        <v>24583</v>
      </c>
      <c r="C48" s="1">
        <v>2157</v>
      </c>
      <c r="D48" s="1">
        <v>1047</v>
      </c>
    </row>
    <row r="49" spans="1:4">
      <c r="A49" s="44">
        <v>43931</v>
      </c>
      <c r="B49" s="1">
        <v>25024</v>
      </c>
      <c r="C49" s="1">
        <v>2433</v>
      </c>
      <c r="D49" s="1">
        <v>1099</v>
      </c>
    </row>
    <row r="50" spans="1:4">
      <c r="A50" s="44">
        <v>43932</v>
      </c>
      <c r="B50" s="1">
        <v>25511</v>
      </c>
      <c r="C50" s="1">
        <v>2837</v>
      </c>
      <c r="D50" s="1">
        <v>1137</v>
      </c>
    </row>
    <row r="51" spans="1:4">
      <c r="A51" s="44">
        <v>43933</v>
      </c>
      <c r="B51" s="1">
        <v>25683</v>
      </c>
      <c r="C51" s="1">
        <v>2630</v>
      </c>
      <c r="D51" s="1">
        <v>1190</v>
      </c>
    </row>
    <row r="52" spans="1:4">
      <c r="A52" s="44">
        <v>43934</v>
      </c>
      <c r="B52" s="1">
        <v>26034</v>
      </c>
      <c r="C52" s="1">
        <v>2710</v>
      </c>
      <c r="D52" s="1">
        <v>1223</v>
      </c>
    </row>
    <row r="53" spans="1:4">
      <c r="A53" s="44">
        <v>43935</v>
      </c>
      <c r="B53" s="1">
        <v>26339</v>
      </c>
      <c r="C53" s="1">
        <v>3164</v>
      </c>
      <c r="D53" s="1">
        <v>1260</v>
      </c>
    </row>
    <row r="54" spans="1:4">
      <c r="A54" s="44">
        <v>43936</v>
      </c>
      <c r="B54" s="1">
        <v>26741</v>
      </c>
      <c r="C54" s="1">
        <v>3318</v>
      </c>
      <c r="D54" s="1">
        <v>1314</v>
      </c>
    </row>
    <row r="55" spans="1:4">
      <c r="A55" s="44">
        <v>43937</v>
      </c>
      <c r="B55" s="1">
        <v>27041</v>
      </c>
      <c r="C55" s="1">
        <v>3475</v>
      </c>
      <c r="D55" s="1">
        <v>1360</v>
      </c>
    </row>
    <row r="56" spans="1:4">
      <c r="A56" s="44">
        <v>43938</v>
      </c>
      <c r="B56" s="1">
        <v>27365</v>
      </c>
      <c r="C56" s="1">
        <v>3577</v>
      </c>
      <c r="D56" s="1">
        <v>1407</v>
      </c>
    </row>
    <row r="57" spans="1:4">
      <c r="A57" s="44">
        <v>43939</v>
      </c>
      <c r="B57" s="1">
        <v>27478</v>
      </c>
      <c r="C57" s="1">
        <v>3151</v>
      </c>
      <c r="D57" s="1">
        <v>1446</v>
      </c>
    </row>
    <row r="58" spans="1:4">
      <c r="A58" s="44">
        <v>43940</v>
      </c>
      <c r="B58" s="1">
        <v>27679</v>
      </c>
      <c r="C58" s="1">
        <v>3202</v>
      </c>
      <c r="D58" s="1">
        <v>1470</v>
      </c>
    </row>
    <row r="59" spans="1:4">
      <c r="A59" s="44">
        <v>43941</v>
      </c>
      <c r="B59" s="1">
        <v>28028</v>
      </c>
      <c r="C59" s="1">
        <v>3876</v>
      </c>
      <c r="D59" s="1">
        <v>1515</v>
      </c>
    </row>
    <row r="60" spans="1:4">
      <c r="A60" s="44">
        <v>43942</v>
      </c>
      <c r="B60" s="1">
        <v>28191</v>
      </c>
      <c r="C60" s="1">
        <v>3994</v>
      </c>
      <c r="D60" s="1">
        <v>1556</v>
      </c>
    </row>
    <row r="61" spans="1:4">
      <c r="A61" s="44">
        <v>43943</v>
      </c>
      <c r="B61" s="1">
        <v>28392</v>
      </c>
      <c r="C61" s="1">
        <v>4101</v>
      </c>
      <c r="D61" s="1">
        <v>1583</v>
      </c>
    </row>
    <row r="62" spans="1:4">
      <c r="A62" s="44">
        <v>43944</v>
      </c>
      <c r="B62" s="1">
        <v>28611</v>
      </c>
      <c r="C62" s="1">
        <v>4191</v>
      </c>
      <c r="D62" s="1">
        <v>1613</v>
      </c>
    </row>
    <row r="63" spans="1:4">
      <c r="A63" s="44">
        <v>43945</v>
      </c>
      <c r="B63" s="1">
        <v>28800</v>
      </c>
      <c r="C63" s="1">
        <v>4262</v>
      </c>
      <c r="D63" s="1">
        <v>1642</v>
      </c>
    </row>
    <row r="64" spans="1:4">
      <c r="A64" s="44">
        <v>43946</v>
      </c>
      <c r="B64" s="1">
        <v>27728</v>
      </c>
      <c r="C64" s="1">
        <v>1944</v>
      </c>
      <c r="D64" s="1">
        <v>1632</v>
      </c>
    </row>
    <row r="65" spans="1:4">
      <c r="A65" s="44">
        <v>43947</v>
      </c>
      <c r="B65" s="1">
        <v>27783</v>
      </c>
      <c r="C65" s="1">
        <v>2752</v>
      </c>
      <c r="D65" s="1">
        <v>1649</v>
      </c>
    </row>
    <row r="66" spans="1:4">
      <c r="A66" s="44">
        <v>43948</v>
      </c>
      <c r="B66" s="1">
        <v>29188</v>
      </c>
      <c r="C66" s="1">
        <v>3602</v>
      </c>
      <c r="D66" s="1">
        <v>1705</v>
      </c>
    </row>
    <row r="67" spans="1:4">
      <c r="A67" s="44">
        <v>43949</v>
      </c>
      <c r="B67" s="1">
        <v>29309</v>
      </c>
      <c r="C67" s="1">
        <v>3641</v>
      </c>
      <c r="D67" s="1">
        <v>1730</v>
      </c>
    </row>
    <row r="68" spans="1:4">
      <c r="A68" s="17" t="s">
        <v>346</v>
      </c>
      <c r="B68" s="1"/>
      <c r="C68" s="1"/>
      <c r="D68" s="1"/>
    </row>
    <row r="69" spans="1:4">
      <c r="A69" s="44">
        <v>43950</v>
      </c>
      <c r="B69" s="1">
        <v>29448</v>
      </c>
      <c r="C69" s="1">
        <v>4503</v>
      </c>
      <c r="D69" s="1">
        <v>1737</v>
      </c>
    </row>
    <row r="70" spans="1:4">
      <c r="A70" s="44">
        <v>43951</v>
      </c>
      <c r="B70" s="1">
        <v>29587</v>
      </c>
      <c r="C70" s="1">
        <v>4585</v>
      </c>
      <c r="D70" s="1">
        <v>1755</v>
      </c>
    </row>
    <row r="71" spans="1:4">
      <c r="A71" s="44">
        <v>43952</v>
      </c>
      <c r="B71" s="1">
        <v>29694</v>
      </c>
      <c r="C71" s="1">
        <v>4663</v>
      </c>
      <c r="D71" s="1">
        <v>1691</v>
      </c>
    </row>
    <row r="72" spans="1:4">
      <c r="A72" s="44">
        <v>43953</v>
      </c>
      <c r="B72" s="1">
        <v>28882</v>
      </c>
      <c r="C72" s="1">
        <v>3614</v>
      </c>
      <c r="D72" s="1">
        <v>1636</v>
      </c>
    </row>
    <row r="73" spans="1:4">
      <c r="A73" s="44">
        <v>43954</v>
      </c>
      <c r="B73" s="1">
        <v>28939</v>
      </c>
      <c r="C73" s="1">
        <v>3632</v>
      </c>
      <c r="D73" s="1">
        <v>1642</v>
      </c>
    </row>
    <row r="74" spans="1:4">
      <c r="A74" s="44">
        <v>43955</v>
      </c>
      <c r="B74" s="1">
        <v>29884</v>
      </c>
      <c r="C74" s="1">
        <v>4769</v>
      </c>
      <c r="D74" s="1">
        <v>1714</v>
      </c>
    </row>
    <row r="75" spans="1:4">
      <c r="A75" s="44">
        <v>43956</v>
      </c>
      <c r="B75" s="1">
        <v>29236</v>
      </c>
      <c r="C75" s="1">
        <v>4608</v>
      </c>
      <c r="D75" s="1">
        <v>1725</v>
      </c>
    </row>
    <row r="76" spans="1:4">
      <c r="A76" s="44">
        <v>43957</v>
      </c>
      <c r="B76" s="1">
        <v>16984</v>
      </c>
      <c r="C76" s="1">
        <v>4890</v>
      </c>
      <c r="D76" s="1">
        <v>1084</v>
      </c>
    </row>
    <row r="77" spans="1:4">
      <c r="A77" s="44">
        <v>43958</v>
      </c>
      <c r="B77" s="1">
        <v>4661</v>
      </c>
      <c r="C77" s="1">
        <v>1411</v>
      </c>
      <c r="D77" s="1">
        <v>237</v>
      </c>
    </row>
    <row r="78" spans="1:4">
      <c r="A78" s="17" t="s">
        <v>278</v>
      </c>
      <c r="B78" s="1">
        <v>1116341</v>
      </c>
      <c r="C78" s="1">
        <v>122191</v>
      </c>
      <c r="D78" s="1">
        <v>51247</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8"/>
  <sheetViews>
    <sheetView topLeftCell="A49" workbookViewId="0">
      <selection activeCell="B89" sqref="B89"/>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19" width="3.81640625" bestFit="1" customWidth="1"/>
    <col min="20" max="20" width="3"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29" width="14.36328125" bestFit="1" customWidth="1"/>
  </cols>
  <sheetData>
    <row r="3" spans="1:29">
      <c r="A3" s="16" t="s">
        <v>364</v>
      </c>
      <c r="B3" s="16" t="s">
        <v>279</v>
      </c>
    </row>
    <row r="4" spans="1:29">
      <c r="A4" s="16" t="s">
        <v>277</v>
      </c>
      <c r="B4" t="s">
        <v>56</v>
      </c>
      <c r="C4" t="s">
        <v>81</v>
      </c>
      <c r="D4" t="s">
        <v>34</v>
      </c>
      <c r="E4" t="s">
        <v>38</v>
      </c>
      <c r="F4" t="s">
        <v>41</v>
      </c>
      <c r="G4" t="s">
        <v>44</v>
      </c>
      <c r="H4" t="s">
        <v>47</v>
      </c>
      <c r="I4" t="s">
        <v>50</v>
      </c>
      <c r="J4" t="s">
        <v>53</v>
      </c>
      <c r="K4" t="s">
        <v>58</v>
      </c>
      <c r="L4" t="s">
        <v>60</v>
      </c>
      <c r="M4" t="s">
        <v>62</v>
      </c>
      <c r="N4" t="s">
        <v>64</v>
      </c>
      <c r="O4" t="s">
        <v>66</v>
      </c>
      <c r="P4" t="s">
        <v>69</v>
      </c>
      <c r="Q4" t="s">
        <v>71</v>
      </c>
      <c r="R4" t="s">
        <v>73</v>
      </c>
      <c r="S4" t="s">
        <v>76</v>
      </c>
      <c r="T4" t="s">
        <v>79</v>
      </c>
      <c r="U4" t="s">
        <v>84</v>
      </c>
      <c r="V4" t="s">
        <v>86</v>
      </c>
      <c r="W4" t="s">
        <v>89</v>
      </c>
      <c r="X4" t="s">
        <v>91</v>
      </c>
      <c r="Y4" t="s">
        <v>94</v>
      </c>
      <c r="Z4" t="s">
        <v>97</v>
      </c>
      <c r="AA4" t="s">
        <v>99</v>
      </c>
      <c r="AB4" t="s">
        <v>101</v>
      </c>
      <c r="AC4" t="s">
        <v>278</v>
      </c>
    </row>
    <row r="5" spans="1:29">
      <c r="A5" s="44" t="s">
        <v>521</v>
      </c>
      <c r="B5" s="1"/>
      <c r="C5" s="1"/>
      <c r="D5" s="1"/>
      <c r="E5" s="1"/>
      <c r="F5" s="1"/>
      <c r="G5" s="1"/>
      <c r="H5" s="1"/>
      <c r="I5" s="1"/>
      <c r="J5" s="1"/>
      <c r="K5" s="1">
        <v>0</v>
      </c>
      <c r="L5" s="1"/>
      <c r="M5" s="1"/>
      <c r="N5" s="1"/>
      <c r="O5" s="1"/>
      <c r="P5" s="1"/>
      <c r="Q5" s="1"/>
      <c r="R5" s="1"/>
      <c r="S5" s="1"/>
      <c r="T5" s="1"/>
      <c r="U5" s="1"/>
      <c r="V5" s="1"/>
      <c r="W5" s="1">
        <v>0</v>
      </c>
      <c r="X5" s="1"/>
      <c r="Y5" s="1"/>
      <c r="Z5" s="1"/>
      <c r="AA5" s="1"/>
      <c r="AB5" s="1"/>
      <c r="AC5" s="1">
        <v>0</v>
      </c>
    </row>
    <row r="6" spans="1:29">
      <c r="A6" s="44" t="s">
        <v>522</v>
      </c>
      <c r="B6" s="1"/>
      <c r="C6" s="1"/>
      <c r="D6" s="1"/>
      <c r="E6" s="1"/>
      <c r="F6" s="1"/>
      <c r="G6" s="1"/>
      <c r="H6" s="1"/>
      <c r="I6" s="1"/>
      <c r="J6" s="1"/>
      <c r="K6" s="1">
        <v>0</v>
      </c>
      <c r="L6" s="1"/>
      <c r="M6" s="1"/>
      <c r="N6" s="1"/>
      <c r="O6" s="1"/>
      <c r="P6" s="1"/>
      <c r="Q6" s="1"/>
      <c r="R6" s="1"/>
      <c r="S6" s="1"/>
      <c r="T6" s="1"/>
      <c r="U6" s="1"/>
      <c r="V6" s="1"/>
      <c r="W6" s="1">
        <v>0</v>
      </c>
      <c r="X6" s="1"/>
      <c r="Y6" s="1"/>
      <c r="Z6" s="1"/>
      <c r="AA6" s="1"/>
      <c r="AB6" s="1"/>
      <c r="AC6" s="1">
        <v>0</v>
      </c>
    </row>
    <row r="7" spans="1:29">
      <c r="A7" s="44" t="s">
        <v>523</v>
      </c>
      <c r="B7" s="1"/>
      <c r="C7" s="1"/>
      <c r="D7" s="1"/>
      <c r="E7" s="1"/>
      <c r="F7" s="1"/>
      <c r="G7" s="1"/>
      <c r="H7" s="1"/>
      <c r="I7" s="1"/>
      <c r="J7" s="1"/>
      <c r="K7" s="1">
        <v>0</v>
      </c>
      <c r="L7" s="1"/>
      <c r="M7" s="1"/>
      <c r="N7" s="1">
        <v>0</v>
      </c>
      <c r="O7" s="1"/>
      <c r="P7" s="1"/>
      <c r="Q7" s="1"/>
      <c r="R7" s="1"/>
      <c r="S7" s="1"/>
      <c r="T7" s="1"/>
      <c r="U7" s="1"/>
      <c r="V7" s="1"/>
      <c r="W7" s="1">
        <v>0</v>
      </c>
      <c r="X7" s="1"/>
      <c r="Y7" s="1"/>
      <c r="Z7" s="1"/>
      <c r="AA7" s="1"/>
      <c r="AB7" s="1"/>
      <c r="AC7" s="1">
        <v>0</v>
      </c>
    </row>
    <row r="8" spans="1:29">
      <c r="A8" s="44" t="s">
        <v>524</v>
      </c>
      <c r="B8" s="1"/>
      <c r="C8" s="1"/>
      <c r="D8" s="1"/>
      <c r="E8" s="1"/>
      <c r="F8" s="1"/>
      <c r="G8" s="1"/>
      <c r="H8" s="1"/>
      <c r="I8" s="1"/>
      <c r="J8" s="1"/>
      <c r="K8" s="1">
        <v>0</v>
      </c>
      <c r="L8" s="1"/>
      <c r="M8" s="1"/>
      <c r="N8" s="1">
        <v>0</v>
      </c>
      <c r="O8" s="1"/>
      <c r="P8" s="1"/>
      <c r="Q8" s="1"/>
      <c r="R8" s="1"/>
      <c r="S8" s="1"/>
      <c r="T8" s="1"/>
      <c r="U8" s="1"/>
      <c r="V8" s="1"/>
      <c r="W8" s="1">
        <v>0</v>
      </c>
      <c r="X8" s="1"/>
      <c r="Y8" s="1"/>
      <c r="Z8" s="1">
        <v>0</v>
      </c>
      <c r="AA8" s="1"/>
      <c r="AB8" s="1"/>
      <c r="AC8" s="1">
        <v>0</v>
      </c>
    </row>
    <row r="9" spans="1:29">
      <c r="A9" s="44" t="s">
        <v>525</v>
      </c>
      <c r="B9" s="1"/>
      <c r="C9" s="1"/>
      <c r="D9" s="1"/>
      <c r="E9" s="1"/>
      <c r="F9" s="1"/>
      <c r="G9" s="1"/>
      <c r="H9" s="1"/>
      <c r="I9" s="1"/>
      <c r="J9" s="1"/>
      <c r="K9" s="1">
        <v>0</v>
      </c>
      <c r="L9" s="1"/>
      <c r="M9" s="1"/>
      <c r="N9" s="1">
        <v>0</v>
      </c>
      <c r="O9" s="1"/>
      <c r="P9" s="1"/>
      <c r="Q9" s="1"/>
      <c r="R9" s="1"/>
      <c r="S9" s="1"/>
      <c r="T9" s="1"/>
      <c r="U9" s="1"/>
      <c r="V9" s="1"/>
      <c r="W9" s="1">
        <v>0</v>
      </c>
      <c r="X9" s="1"/>
      <c r="Y9" s="1"/>
      <c r="Z9" s="1">
        <v>0</v>
      </c>
      <c r="AA9" s="1">
        <v>0</v>
      </c>
      <c r="AB9" s="1"/>
      <c r="AC9" s="1">
        <v>0</v>
      </c>
    </row>
    <row r="10" spans="1:29">
      <c r="A10" s="44" t="s">
        <v>526</v>
      </c>
      <c r="B10" s="1"/>
      <c r="C10" s="1"/>
      <c r="D10" s="1"/>
      <c r="E10" s="1"/>
      <c r="F10" s="1"/>
      <c r="G10" s="1"/>
      <c r="H10" s="1"/>
      <c r="I10" s="1"/>
      <c r="J10" s="1"/>
      <c r="K10" s="1">
        <v>0</v>
      </c>
      <c r="L10" s="1"/>
      <c r="M10" s="1"/>
      <c r="N10" s="1">
        <v>0</v>
      </c>
      <c r="O10" s="1"/>
      <c r="P10" s="1"/>
      <c r="Q10" s="1"/>
      <c r="R10" s="1"/>
      <c r="S10" s="1"/>
      <c r="T10" s="1"/>
      <c r="U10" s="1"/>
      <c r="V10" s="1"/>
      <c r="W10" s="1">
        <v>0</v>
      </c>
      <c r="X10" s="1"/>
      <c r="Y10" s="1"/>
      <c r="Z10" s="1">
        <v>0</v>
      </c>
      <c r="AA10" s="1">
        <v>0</v>
      </c>
      <c r="AB10" s="1"/>
      <c r="AC10" s="1">
        <v>0</v>
      </c>
    </row>
    <row r="11" spans="1:29">
      <c r="A11" s="44" t="s">
        <v>527</v>
      </c>
      <c r="B11" s="1"/>
      <c r="C11" s="1"/>
      <c r="D11" s="1"/>
      <c r="E11" s="1"/>
      <c r="F11" s="1"/>
      <c r="G11" s="1"/>
      <c r="H11" s="1"/>
      <c r="I11" s="1"/>
      <c r="J11" s="1"/>
      <c r="K11" s="1">
        <v>0</v>
      </c>
      <c r="L11" s="1"/>
      <c r="M11" s="1"/>
      <c r="N11" s="1">
        <v>0</v>
      </c>
      <c r="O11" s="1"/>
      <c r="P11" s="1"/>
      <c r="Q11" s="1"/>
      <c r="R11" s="1"/>
      <c r="S11" s="1"/>
      <c r="T11" s="1"/>
      <c r="U11" s="1"/>
      <c r="V11" s="1"/>
      <c r="W11" s="1">
        <v>0</v>
      </c>
      <c r="X11" s="1"/>
      <c r="Y11" s="1"/>
      <c r="Z11" s="1">
        <v>0</v>
      </c>
      <c r="AA11" s="1">
        <v>0</v>
      </c>
      <c r="AB11" s="1"/>
      <c r="AC11" s="1">
        <v>0</v>
      </c>
    </row>
    <row r="12" spans="1:29">
      <c r="A12" s="44" t="s">
        <v>528</v>
      </c>
      <c r="B12" s="1"/>
      <c r="C12" s="1"/>
      <c r="D12" s="1"/>
      <c r="E12" s="1"/>
      <c r="F12" s="1"/>
      <c r="G12" s="1"/>
      <c r="H12" s="1"/>
      <c r="I12" s="1"/>
      <c r="J12" s="1"/>
      <c r="K12" s="1">
        <v>0</v>
      </c>
      <c r="L12" s="1"/>
      <c r="M12" s="1"/>
      <c r="N12" s="1">
        <v>0</v>
      </c>
      <c r="O12" s="1"/>
      <c r="P12" s="1"/>
      <c r="Q12" s="1"/>
      <c r="R12" s="1"/>
      <c r="S12" s="1"/>
      <c r="T12" s="1"/>
      <c r="U12" s="1"/>
      <c r="V12" s="1"/>
      <c r="W12" s="1">
        <v>0</v>
      </c>
      <c r="X12" s="1"/>
      <c r="Y12" s="1"/>
      <c r="Z12" s="1">
        <v>0</v>
      </c>
      <c r="AA12" s="1">
        <v>0</v>
      </c>
      <c r="AB12" s="1"/>
      <c r="AC12" s="1">
        <v>0</v>
      </c>
    </row>
    <row r="13" spans="1:29">
      <c r="A13" s="44" t="s">
        <v>529</v>
      </c>
      <c r="B13" s="1"/>
      <c r="C13" s="1"/>
      <c r="D13" s="1"/>
      <c r="E13" s="1"/>
      <c r="F13" s="1"/>
      <c r="G13" s="1"/>
      <c r="H13" s="1"/>
      <c r="I13" s="1"/>
      <c r="J13" s="1"/>
      <c r="K13" s="1">
        <v>0</v>
      </c>
      <c r="L13" s="1"/>
      <c r="M13" s="1"/>
      <c r="N13" s="1">
        <v>0</v>
      </c>
      <c r="O13" s="1"/>
      <c r="P13" s="1"/>
      <c r="Q13" s="1"/>
      <c r="R13" s="1"/>
      <c r="S13" s="1"/>
      <c r="T13" s="1"/>
      <c r="U13" s="1"/>
      <c r="V13" s="1"/>
      <c r="W13" s="1">
        <v>0</v>
      </c>
      <c r="X13" s="1"/>
      <c r="Y13" s="1">
        <v>1</v>
      </c>
      <c r="Z13" s="1">
        <v>0</v>
      </c>
      <c r="AA13" s="1">
        <v>0</v>
      </c>
      <c r="AB13" s="1"/>
      <c r="AC13" s="1">
        <v>1</v>
      </c>
    </row>
    <row r="14" spans="1:29">
      <c r="A14" s="44" t="s">
        <v>530</v>
      </c>
      <c r="B14" s="1"/>
      <c r="C14" s="1"/>
      <c r="D14" s="1"/>
      <c r="E14" s="1"/>
      <c r="F14" s="1"/>
      <c r="G14" s="1"/>
      <c r="H14" s="1"/>
      <c r="I14" s="1"/>
      <c r="J14" s="1"/>
      <c r="K14" s="1">
        <v>0</v>
      </c>
      <c r="L14" s="1"/>
      <c r="M14" s="1"/>
      <c r="N14" s="1">
        <v>0</v>
      </c>
      <c r="O14" s="1"/>
      <c r="P14" s="1"/>
      <c r="Q14" s="1"/>
      <c r="R14" s="1"/>
      <c r="S14" s="1"/>
      <c r="T14" s="1"/>
      <c r="U14" s="1"/>
      <c r="V14" s="1"/>
      <c r="W14" s="1">
        <v>0</v>
      </c>
      <c r="X14" s="1"/>
      <c r="Y14" s="1">
        <v>1</v>
      </c>
      <c r="Z14" s="1">
        <v>0</v>
      </c>
      <c r="AA14" s="1">
        <v>0</v>
      </c>
      <c r="AB14" s="1"/>
      <c r="AC14" s="1">
        <v>1</v>
      </c>
    </row>
    <row r="15" spans="1:29">
      <c r="A15" s="44" t="s">
        <v>531</v>
      </c>
      <c r="B15" s="1"/>
      <c r="C15" s="1"/>
      <c r="D15" s="1"/>
      <c r="E15" s="1"/>
      <c r="F15" s="1"/>
      <c r="G15" s="1"/>
      <c r="H15" s="1">
        <v>2</v>
      </c>
      <c r="I15" s="1"/>
      <c r="J15" s="1"/>
      <c r="K15" s="1">
        <v>0</v>
      </c>
      <c r="L15" s="1"/>
      <c r="M15" s="1"/>
      <c r="N15" s="1">
        <v>0</v>
      </c>
      <c r="O15" s="1"/>
      <c r="P15" s="1"/>
      <c r="Q15" s="1"/>
      <c r="R15" s="1"/>
      <c r="S15" s="1"/>
      <c r="T15" s="1"/>
      <c r="U15" s="1"/>
      <c r="V15" s="1"/>
      <c r="W15" s="1">
        <v>0</v>
      </c>
      <c r="X15" s="1"/>
      <c r="Y15" s="1">
        <v>2</v>
      </c>
      <c r="Z15" s="1">
        <v>0</v>
      </c>
      <c r="AA15" s="1">
        <v>0</v>
      </c>
      <c r="AB15" s="1"/>
      <c r="AC15" s="1">
        <v>4</v>
      </c>
    </row>
    <row r="16" spans="1:29">
      <c r="A16" s="44" t="s">
        <v>532</v>
      </c>
      <c r="B16" s="1"/>
      <c r="C16" s="1"/>
      <c r="D16" s="1"/>
      <c r="E16" s="1"/>
      <c r="F16" s="1"/>
      <c r="G16" s="1"/>
      <c r="H16" s="1">
        <v>2</v>
      </c>
      <c r="I16" s="1"/>
      <c r="J16" s="1"/>
      <c r="K16" s="1">
        <v>0</v>
      </c>
      <c r="L16" s="1"/>
      <c r="M16" s="1"/>
      <c r="N16" s="1">
        <v>0</v>
      </c>
      <c r="O16" s="1"/>
      <c r="P16" s="1"/>
      <c r="Q16" s="1"/>
      <c r="R16" s="1"/>
      <c r="S16" s="1"/>
      <c r="T16" s="1"/>
      <c r="U16" s="1"/>
      <c r="V16" s="1"/>
      <c r="W16" s="1">
        <v>0</v>
      </c>
      <c r="X16" s="1"/>
      <c r="Y16" s="1">
        <v>4</v>
      </c>
      <c r="Z16" s="1">
        <v>0</v>
      </c>
      <c r="AA16" s="1">
        <v>0</v>
      </c>
      <c r="AB16" s="1"/>
      <c r="AC16" s="1">
        <v>6</v>
      </c>
    </row>
    <row r="17" spans="1:29">
      <c r="A17" s="44" t="s">
        <v>533</v>
      </c>
      <c r="B17" s="1"/>
      <c r="C17" s="1"/>
      <c r="D17" s="1"/>
      <c r="E17" s="1"/>
      <c r="F17" s="1"/>
      <c r="G17" s="1"/>
      <c r="H17" s="1">
        <v>2</v>
      </c>
      <c r="I17" s="1"/>
      <c r="J17" s="1"/>
      <c r="K17" s="1">
        <v>0</v>
      </c>
      <c r="L17" s="1"/>
      <c r="M17" s="1"/>
      <c r="N17" s="1">
        <v>0</v>
      </c>
      <c r="O17" s="1"/>
      <c r="P17" s="1"/>
      <c r="Q17" s="1"/>
      <c r="R17" s="1"/>
      <c r="S17" s="1"/>
      <c r="T17" s="1"/>
      <c r="U17" s="1"/>
      <c r="V17" s="1"/>
      <c r="W17" s="1">
        <v>0</v>
      </c>
      <c r="X17" s="1"/>
      <c r="Y17" s="1">
        <v>3</v>
      </c>
      <c r="Z17" s="1">
        <v>1</v>
      </c>
      <c r="AA17" s="1">
        <v>0</v>
      </c>
      <c r="AB17" s="1"/>
      <c r="AC17" s="1">
        <v>6</v>
      </c>
    </row>
    <row r="18" spans="1:29">
      <c r="A18" s="44" t="s">
        <v>534</v>
      </c>
      <c r="B18" s="1"/>
      <c r="C18" s="1"/>
      <c r="D18" s="1"/>
      <c r="E18" s="1"/>
      <c r="F18" s="1"/>
      <c r="G18" s="1"/>
      <c r="H18" s="1">
        <v>4</v>
      </c>
      <c r="I18" s="1"/>
      <c r="J18" s="1"/>
      <c r="K18" s="1">
        <v>3</v>
      </c>
      <c r="L18" s="1"/>
      <c r="M18" s="1"/>
      <c r="N18" s="1">
        <v>0</v>
      </c>
      <c r="O18" s="1"/>
      <c r="P18" s="1"/>
      <c r="Q18" s="1"/>
      <c r="R18" s="1"/>
      <c r="S18" s="1"/>
      <c r="T18" s="1"/>
      <c r="U18" s="1"/>
      <c r="V18" s="1"/>
      <c r="W18" s="1">
        <v>0</v>
      </c>
      <c r="X18" s="1"/>
      <c r="Y18" s="1">
        <v>5</v>
      </c>
      <c r="Z18" s="1">
        <v>1</v>
      </c>
      <c r="AA18" s="1">
        <v>0</v>
      </c>
      <c r="AB18" s="1"/>
      <c r="AC18" s="1">
        <v>13</v>
      </c>
    </row>
    <row r="19" spans="1:29">
      <c r="A19" s="44" t="s">
        <v>535</v>
      </c>
      <c r="B19" s="1"/>
      <c r="C19" s="1"/>
      <c r="D19" s="1"/>
      <c r="E19" s="1"/>
      <c r="F19" s="1"/>
      <c r="G19" s="1"/>
      <c r="H19" s="1">
        <v>1</v>
      </c>
      <c r="I19" s="1"/>
      <c r="J19" s="1"/>
      <c r="K19" s="1">
        <v>4</v>
      </c>
      <c r="L19" s="1"/>
      <c r="M19" s="1"/>
      <c r="N19" s="1">
        <v>0</v>
      </c>
      <c r="O19" s="1"/>
      <c r="P19" s="1"/>
      <c r="Q19" s="1"/>
      <c r="R19" s="1"/>
      <c r="S19" s="1"/>
      <c r="T19" s="1"/>
      <c r="U19" s="1"/>
      <c r="V19" s="1"/>
      <c r="W19" s="1">
        <v>0</v>
      </c>
      <c r="X19" s="1"/>
      <c r="Y19" s="1">
        <v>8</v>
      </c>
      <c r="Z19" s="1">
        <v>1</v>
      </c>
      <c r="AA19" s="1">
        <v>0</v>
      </c>
      <c r="AB19" s="1"/>
      <c r="AC19" s="1">
        <v>14</v>
      </c>
    </row>
    <row r="20" spans="1:29">
      <c r="A20" s="44" t="s">
        <v>536</v>
      </c>
      <c r="B20" s="1"/>
      <c r="C20" s="1"/>
      <c r="D20" s="1"/>
      <c r="E20" s="1"/>
      <c r="F20" s="1"/>
      <c r="G20" s="1"/>
      <c r="H20" s="1">
        <v>1</v>
      </c>
      <c r="I20" s="1">
        <v>2</v>
      </c>
      <c r="J20" s="1"/>
      <c r="K20" s="1">
        <v>6</v>
      </c>
      <c r="L20" s="1"/>
      <c r="M20" s="1"/>
      <c r="N20" s="1">
        <v>0</v>
      </c>
      <c r="O20" s="1"/>
      <c r="P20" s="1"/>
      <c r="Q20" s="1"/>
      <c r="R20" s="1"/>
      <c r="S20" s="1"/>
      <c r="T20" s="1"/>
      <c r="U20" s="1"/>
      <c r="V20" s="1"/>
      <c r="W20" s="1">
        <v>0</v>
      </c>
      <c r="X20" s="1"/>
      <c r="Y20" s="1">
        <v>7</v>
      </c>
      <c r="Z20" s="1">
        <v>1</v>
      </c>
      <c r="AA20" s="1">
        <v>0</v>
      </c>
      <c r="AB20" s="1"/>
      <c r="AC20" s="1">
        <v>17</v>
      </c>
    </row>
    <row r="21" spans="1:29">
      <c r="A21" s="44" t="s">
        <v>537</v>
      </c>
      <c r="B21" s="1"/>
      <c r="C21" s="1"/>
      <c r="D21" s="1"/>
      <c r="E21" s="1"/>
      <c r="F21" s="1"/>
      <c r="G21" s="1"/>
      <c r="H21" s="1">
        <v>3</v>
      </c>
      <c r="I21" s="1"/>
      <c r="J21" s="1"/>
      <c r="K21" s="1">
        <v>6</v>
      </c>
      <c r="L21" s="1"/>
      <c r="M21" s="1"/>
      <c r="N21" s="1">
        <v>0</v>
      </c>
      <c r="O21" s="1"/>
      <c r="P21" s="1"/>
      <c r="Q21" s="1"/>
      <c r="R21" s="1"/>
      <c r="S21" s="1"/>
      <c r="T21" s="1"/>
      <c r="U21" s="1"/>
      <c r="V21" s="1"/>
      <c r="W21" s="1">
        <v>0</v>
      </c>
      <c r="X21" s="1"/>
      <c r="Y21" s="1">
        <v>6</v>
      </c>
      <c r="Z21" s="1">
        <v>1</v>
      </c>
      <c r="AA21" s="1">
        <v>0</v>
      </c>
      <c r="AB21" s="1"/>
      <c r="AC21" s="1">
        <v>16</v>
      </c>
    </row>
    <row r="22" spans="1:29">
      <c r="A22" s="44" t="s">
        <v>538</v>
      </c>
      <c r="B22" s="1"/>
      <c r="C22" s="1"/>
      <c r="D22" s="1"/>
      <c r="E22" s="1"/>
      <c r="F22" s="1"/>
      <c r="G22" s="1"/>
      <c r="H22" s="1">
        <v>3</v>
      </c>
      <c r="I22" s="1"/>
      <c r="J22" s="1"/>
      <c r="K22" s="1">
        <v>7</v>
      </c>
      <c r="L22" s="1"/>
      <c r="M22" s="1"/>
      <c r="N22" s="1">
        <v>0</v>
      </c>
      <c r="O22" s="1"/>
      <c r="P22" s="1"/>
      <c r="Q22" s="1"/>
      <c r="R22" s="1"/>
      <c r="S22" s="1"/>
      <c r="T22" s="1"/>
      <c r="U22" s="1"/>
      <c r="V22" s="1"/>
      <c r="W22" s="1">
        <v>0</v>
      </c>
      <c r="X22" s="1"/>
      <c r="Y22" s="1">
        <v>7</v>
      </c>
      <c r="Z22" s="1">
        <v>1</v>
      </c>
      <c r="AA22" s="1">
        <v>0</v>
      </c>
      <c r="AB22" s="1"/>
      <c r="AC22" s="1">
        <v>18</v>
      </c>
    </row>
    <row r="23" spans="1:29">
      <c r="A23" s="44" t="s">
        <v>539</v>
      </c>
      <c r="B23" s="1"/>
      <c r="C23" s="1"/>
      <c r="D23" s="1"/>
      <c r="E23" s="1"/>
      <c r="F23" s="1"/>
      <c r="G23" s="1"/>
      <c r="H23" s="1">
        <v>2</v>
      </c>
      <c r="I23" s="1"/>
      <c r="J23" s="1"/>
      <c r="K23" s="1">
        <v>8</v>
      </c>
      <c r="L23" s="1"/>
      <c r="M23" s="1"/>
      <c r="N23" s="1">
        <v>0</v>
      </c>
      <c r="O23" s="1"/>
      <c r="P23" s="1"/>
      <c r="Q23" s="1"/>
      <c r="R23" s="1"/>
      <c r="S23" s="1"/>
      <c r="T23" s="1"/>
      <c r="U23" s="1"/>
      <c r="V23" s="1"/>
      <c r="W23" s="1">
        <v>13</v>
      </c>
      <c r="X23" s="1"/>
      <c r="Y23" s="1">
        <v>10</v>
      </c>
      <c r="Z23" s="1">
        <v>1</v>
      </c>
      <c r="AA23" s="1">
        <v>0</v>
      </c>
      <c r="AB23" s="1"/>
      <c r="AC23" s="1">
        <v>34</v>
      </c>
    </row>
    <row r="24" spans="1:29">
      <c r="A24" s="44" t="s">
        <v>540</v>
      </c>
      <c r="B24" s="1"/>
      <c r="C24" s="1"/>
      <c r="D24" s="1"/>
      <c r="E24" s="1"/>
      <c r="F24" s="1"/>
      <c r="G24" s="1"/>
      <c r="H24" s="1">
        <v>2</v>
      </c>
      <c r="I24" s="1"/>
      <c r="J24" s="1"/>
      <c r="K24" s="1">
        <v>12</v>
      </c>
      <c r="L24" s="1"/>
      <c r="M24" s="1"/>
      <c r="N24" s="1">
        <v>0</v>
      </c>
      <c r="O24" s="1"/>
      <c r="P24" s="1"/>
      <c r="Q24" s="1"/>
      <c r="R24" s="1"/>
      <c r="S24" s="1"/>
      <c r="T24" s="1"/>
      <c r="U24" s="1"/>
      <c r="V24" s="1"/>
      <c r="W24" s="1">
        <v>16</v>
      </c>
      <c r="X24" s="1"/>
      <c r="Y24" s="1">
        <v>10</v>
      </c>
      <c r="Z24" s="1">
        <v>1</v>
      </c>
      <c r="AA24" s="1">
        <v>0</v>
      </c>
      <c r="AB24" s="1"/>
      <c r="AC24" s="1">
        <v>41</v>
      </c>
    </row>
    <row r="25" spans="1:29">
      <c r="A25" s="44" t="s">
        <v>541</v>
      </c>
      <c r="B25" s="1"/>
      <c r="C25" s="1"/>
      <c r="D25" s="1"/>
      <c r="E25" s="1"/>
      <c r="F25" s="1"/>
      <c r="G25" s="1"/>
      <c r="H25" s="1">
        <v>4</v>
      </c>
      <c r="I25" s="1"/>
      <c r="J25" s="1"/>
      <c r="K25" s="1">
        <v>10</v>
      </c>
      <c r="L25" s="1"/>
      <c r="M25" s="1"/>
      <c r="N25" s="1">
        <v>0</v>
      </c>
      <c r="O25" s="1"/>
      <c r="P25" s="1"/>
      <c r="Q25" s="1"/>
      <c r="R25" s="1"/>
      <c r="S25" s="1"/>
      <c r="T25" s="1"/>
      <c r="U25" s="1"/>
      <c r="V25" s="1"/>
      <c r="W25" s="1">
        <v>18</v>
      </c>
      <c r="X25" s="1"/>
      <c r="Y25" s="1">
        <v>20</v>
      </c>
      <c r="Z25" s="1">
        <v>2</v>
      </c>
      <c r="AA25" s="1">
        <v>0</v>
      </c>
      <c r="AB25" s="1"/>
      <c r="AC25" s="1">
        <v>54</v>
      </c>
    </row>
    <row r="26" spans="1:29">
      <c r="A26" s="44" t="s">
        <v>542</v>
      </c>
      <c r="B26" s="1"/>
      <c r="C26" s="1"/>
      <c r="D26" s="1"/>
      <c r="E26" s="1"/>
      <c r="F26" s="1"/>
      <c r="G26" s="1"/>
      <c r="H26" s="1">
        <v>5</v>
      </c>
      <c r="I26" s="1"/>
      <c r="J26" s="1"/>
      <c r="K26" s="1">
        <v>19</v>
      </c>
      <c r="L26" s="1"/>
      <c r="M26" s="1"/>
      <c r="N26" s="1">
        <v>0</v>
      </c>
      <c r="O26" s="1"/>
      <c r="P26" s="1"/>
      <c r="Q26" s="1"/>
      <c r="R26" s="1"/>
      <c r="S26" s="1"/>
      <c r="T26" s="1"/>
      <c r="U26" s="1"/>
      <c r="V26" s="1"/>
      <c r="W26" s="1">
        <v>23</v>
      </c>
      <c r="X26" s="1"/>
      <c r="Y26" s="1">
        <v>24</v>
      </c>
      <c r="Z26" s="1">
        <v>2</v>
      </c>
      <c r="AA26" s="1">
        <v>0</v>
      </c>
      <c r="AB26" s="1"/>
      <c r="AC26" s="1">
        <v>73</v>
      </c>
    </row>
    <row r="27" spans="1:29">
      <c r="A27" s="44" t="s">
        <v>543</v>
      </c>
      <c r="B27" s="1">
        <v>5</v>
      </c>
      <c r="C27" s="1"/>
      <c r="D27" s="1"/>
      <c r="E27" s="1"/>
      <c r="F27" s="1"/>
      <c r="G27" s="1"/>
      <c r="H27" s="1">
        <v>2</v>
      </c>
      <c r="I27" s="1"/>
      <c r="J27" s="1"/>
      <c r="K27" s="1">
        <v>20</v>
      </c>
      <c r="L27" s="1"/>
      <c r="M27" s="1"/>
      <c r="N27" s="1">
        <v>0</v>
      </c>
      <c r="O27" s="1"/>
      <c r="P27" s="1"/>
      <c r="Q27" s="1"/>
      <c r="R27" s="1"/>
      <c r="S27" s="1"/>
      <c r="T27" s="1"/>
      <c r="U27" s="1"/>
      <c r="V27" s="1"/>
      <c r="W27" s="1">
        <v>29</v>
      </c>
      <c r="X27" s="1"/>
      <c r="Y27" s="1">
        <v>24</v>
      </c>
      <c r="Z27" s="1">
        <v>2</v>
      </c>
      <c r="AA27" s="1">
        <v>0</v>
      </c>
      <c r="AB27" s="1"/>
      <c r="AC27" s="1">
        <v>82</v>
      </c>
    </row>
    <row r="28" spans="1:29">
      <c r="A28" s="44" t="s">
        <v>544</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4" t="s">
        <v>545</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4" t="s">
        <v>546</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4" t="s">
        <v>547</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4" t="s">
        <v>548</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38</v>
      </c>
      <c r="Z32" s="1">
        <v>12</v>
      </c>
      <c r="AA32" s="1">
        <v>0</v>
      </c>
      <c r="AB32" s="1"/>
      <c r="AC32" s="1">
        <v>172</v>
      </c>
    </row>
    <row r="33" spans="1:29">
      <c r="A33" s="44" t="s">
        <v>549</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39</v>
      </c>
      <c r="Z33" s="1">
        <v>13</v>
      </c>
      <c r="AA33" s="1">
        <v>0</v>
      </c>
      <c r="AB33" s="1"/>
      <c r="AC33" s="1">
        <v>175</v>
      </c>
    </row>
    <row r="34" spans="1:29">
      <c r="A34" s="44" t="s">
        <v>550</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49</v>
      </c>
      <c r="Z34" s="1">
        <v>15</v>
      </c>
      <c r="AA34" s="1">
        <v>1</v>
      </c>
      <c r="AB34" s="1"/>
      <c r="AC34" s="1">
        <v>207</v>
      </c>
    </row>
    <row r="35" spans="1:29">
      <c r="A35" s="44" t="s">
        <v>551</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53</v>
      </c>
      <c r="Z35" s="1">
        <v>19</v>
      </c>
      <c r="AA35" s="1">
        <v>1</v>
      </c>
      <c r="AB35" s="1"/>
      <c r="AC35" s="1">
        <v>231</v>
      </c>
    </row>
    <row r="36" spans="1:29">
      <c r="A36" s="44" t="s">
        <v>552</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57</v>
      </c>
      <c r="Z36" s="1">
        <v>20</v>
      </c>
      <c r="AA36" s="1">
        <v>5</v>
      </c>
      <c r="AB36" s="1"/>
      <c r="AC36" s="1">
        <v>252</v>
      </c>
    </row>
    <row r="37" spans="1:29">
      <c r="A37" s="44" t="s">
        <v>553</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58</v>
      </c>
      <c r="Z37" s="1">
        <v>21</v>
      </c>
      <c r="AA37" s="1">
        <v>5</v>
      </c>
      <c r="AB37" s="1"/>
      <c r="AC37" s="1">
        <v>266</v>
      </c>
    </row>
    <row r="38" spans="1:29">
      <c r="A38" s="44" t="s">
        <v>554</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59</v>
      </c>
      <c r="Z38" s="1">
        <v>22</v>
      </c>
      <c r="AA38" s="1">
        <v>5</v>
      </c>
      <c r="AB38" s="1"/>
      <c r="AC38" s="1">
        <v>276</v>
      </c>
    </row>
    <row r="39" spans="1:29">
      <c r="A39" s="44" t="s">
        <v>555</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61</v>
      </c>
      <c r="Z39" s="1">
        <v>25</v>
      </c>
      <c r="AA39" s="1">
        <v>5</v>
      </c>
      <c r="AB39" s="1"/>
      <c r="AC39" s="1">
        <v>334</v>
      </c>
    </row>
    <row r="40" spans="1:29">
      <c r="A40" s="44" t="s">
        <v>556</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64</v>
      </c>
      <c r="Z40" s="1">
        <v>24</v>
      </c>
      <c r="AA40" s="1">
        <v>6</v>
      </c>
      <c r="AB40" s="1"/>
      <c r="AC40" s="1">
        <v>356</v>
      </c>
    </row>
    <row r="41" spans="1:29">
      <c r="A41" s="44" t="s">
        <v>557</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66</v>
      </c>
      <c r="Z41" s="1">
        <v>26</v>
      </c>
      <c r="AA41" s="1">
        <v>5</v>
      </c>
      <c r="AB41" s="1"/>
      <c r="AC41" s="1">
        <v>382</v>
      </c>
    </row>
    <row r="42" spans="1:29">
      <c r="A42" s="44" t="s">
        <v>558</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67</v>
      </c>
      <c r="Z42" s="1">
        <v>28</v>
      </c>
      <c r="AA42" s="1">
        <v>5</v>
      </c>
      <c r="AB42" s="1"/>
      <c r="AC42" s="1">
        <v>388</v>
      </c>
    </row>
    <row r="43" spans="1:29">
      <c r="A43" s="44" t="s">
        <v>559</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65</v>
      </c>
      <c r="Z43" s="1">
        <v>26</v>
      </c>
      <c r="AA43" s="1">
        <v>7</v>
      </c>
      <c r="AB43" s="1"/>
      <c r="AC43" s="1">
        <v>394</v>
      </c>
    </row>
    <row r="44" spans="1:29">
      <c r="A44" s="44" t="s">
        <v>560</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65</v>
      </c>
      <c r="Z44" s="1">
        <v>28</v>
      </c>
      <c r="AA44" s="1">
        <v>7</v>
      </c>
      <c r="AB44" s="1"/>
      <c r="AC44" s="1">
        <v>367</v>
      </c>
    </row>
    <row r="45" spans="1:29">
      <c r="A45" s="44" t="s">
        <v>561</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64</v>
      </c>
      <c r="Z45" s="1">
        <v>26</v>
      </c>
      <c r="AA45" s="1">
        <v>7</v>
      </c>
      <c r="AB45" s="1"/>
      <c r="AC45" s="1">
        <v>357</v>
      </c>
    </row>
    <row r="46" spans="1:29">
      <c r="A46" s="44" t="s">
        <v>562</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62</v>
      </c>
      <c r="Z46" s="1">
        <v>26</v>
      </c>
      <c r="AA46" s="1">
        <v>8</v>
      </c>
      <c r="AB46" s="1"/>
      <c r="AC46" s="1">
        <v>384</v>
      </c>
    </row>
    <row r="47" spans="1:29">
      <c r="A47" s="44" t="s">
        <v>563</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61</v>
      </c>
      <c r="Z47" s="1">
        <v>25</v>
      </c>
      <c r="AA47" s="1">
        <v>8</v>
      </c>
      <c r="AB47" s="1"/>
      <c r="AC47" s="1">
        <v>376</v>
      </c>
    </row>
    <row r="48" spans="1:29">
      <c r="A48" s="44" t="s">
        <v>564</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60</v>
      </c>
      <c r="Z48" s="1">
        <v>26</v>
      </c>
      <c r="AA48" s="1">
        <v>9</v>
      </c>
      <c r="AB48" s="1"/>
      <c r="AC48" s="1">
        <v>371</v>
      </c>
    </row>
    <row r="49" spans="1:29">
      <c r="A49" s="44" t="s">
        <v>565</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61</v>
      </c>
      <c r="Z49" s="1">
        <v>24</v>
      </c>
      <c r="AA49" s="1">
        <v>9</v>
      </c>
      <c r="AB49" s="1"/>
      <c r="AC49" s="1">
        <v>371</v>
      </c>
    </row>
    <row r="50" spans="1:29">
      <c r="A50" s="44" t="s">
        <v>566</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64</v>
      </c>
      <c r="Z50" s="1">
        <v>24</v>
      </c>
      <c r="AA50" s="1">
        <v>9</v>
      </c>
      <c r="AB50" s="1"/>
      <c r="AC50" s="1">
        <v>343</v>
      </c>
    </row>
    <row r="51" spans="1:29">
      <c r="A51" s="44" t="s">
        <v>567</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64</v>
      </c>
      <c r="Z51" s="1">
        <v>20</v>
      </c>
      <c r="AA51" s="1">
        <v>9</v>
      </c>
      <c r="AB51" s="1"/>
      <c r="AC51" s="1">
        <v>346</v>
      </c>
    </row>
    <row r="52" spans="1:29">
      <c r="A52" s="44" t="s">
        <v>568</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63</v>
      </c>
      <c r="Z52" s="1">
        <v>22</v>
      </c>
      <c r="AA52" s="1">
        <v>9</v>
      </c>
      <c r="AB52" s="1"/>
      <c r="AC52" s="1">
        <v>332</v>
      </c>
    </row>
    <row r="53" spans="1:29">
      <c r="A53" s="44" t="s">
        <v>569</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59</v>
      </c>
      <c r="Z53" s="1">
        <v>21</v>
      </c>
      <c r="AA53" s="1">
        <v>9</v>
      </c>
      <c r="AB53" s="1"/>
      <c r="AC53" s="1">
        <v>315</v>
      </c>
    </row>
    <row r="54" spans="1:29">
      <c r="A54" s="44" t="s">
        <v>570</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58</v>
      </c>
      <c r="Z54" s="1">
        <v>20</v>
      </c>
      <c r="AA54" s="1">
        <v>9</v>
      </c>
      <c r="AB54" s="1"/>
      <c r="AC54" s="1">
        <v>335</v>
      </c>
    </row>
    <row r="55" spans="1:29">
      <c r="A55" s="44" t="s">
        <v>571</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54</v>
      </c>
      <c r="Z55" s="1">
        <v>20</v>
      </c>
      <c r="AA55" s="1">
        <v>9</v>
      </c>
      <c r="AB55" s="1"/>
      <c r="AC55" s="1">
        <v>314</v>
      </c>
    </row>
    <row r="56" spans="1:29">
      <c r="A56" s="44" t="s">
        <v>572</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53</v>
      </c>
      <c r="Z56" s="1">
        <v>17</v>
      </c>
      <c r="AA56" s="1">
        <v>7</v>
      </c>
      <c r="AB56" s="1"/>
      <c r="AC56" s="1">
        <v>293</v>
      </c>
    </row>
    <row r="57" spans="1:29">
      <c r="A57" s="44" t="s">
        <v>573</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52</v>
      </c>
      <c r="Z57" s="1">
        <v>16</v>
      </c>
      <c r="AA57" s="1">
        <v>6</v>
      </c>
      <c r="AB57" s="1"/>
      <c r="AC57" s="1">
        <v>287</v>
      </c>
    </row>
    <row r="58" spans="1:29">
      <c r="A58" s="44" t="s">
        <v>574</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49</v>
      </c>
      <c r="Z58" s="1">
        <v>18</v>
      </c>
      <c r="AA58" s="1">
        <v>6</v>
      </c>
      <c r="AB58" s="1"/>
      <c r="AC58" s="1">
        <v>247</v>
      </c>
    </row>
    <row r="59" spans="1:29">
      <c r="A59" s="44" t="s">
        <v>575</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48</v>
      </c>
      <c r="Z59" s="1">
        <v>16</v>
      </c>
      <c r="AA59" s="1">
        <v>6</v>
      </c>
      <c r="AB59" s="1"/>
      <c r="AC59" s="1">
        <v>239</v>
      </c>
    </row>
    <row r="60" spans="1:29">
      <c r="A60" s="44" t="s">
        <v>576</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42</v>
      </c>
      <c r="Z60" s="1">
        <v>15</v>
      </c>
      <c r="AA60" s="1">
        <v>5</v>
      </c>
      <c r="AB60" s="1"/>
      <c r="AC60" s="1">
        <v>245</v>
      </c>
    </row>
    <row r="61" spans="1:29">
      <c r="A61" s="44" t="s">
        <v>577</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42</v>
      </c>
      <c r="Z61" s="1">
        <v>14</v>
      </c>
      <c r="AA61" s="1">
        <v>4</v>
      </c>
      <c r="AB61" s="1"/>
      <c r="AC61" s="1">
        <v>240</v>
      </c>
    </row>
    <row r="62" spans="1:29">
      <c r="A62" s="44" t="s">
        <v>578</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41</v>
      </c>
      <c r="Z62" s="1">
        <v>13</v>
      </c>
      <c r="AA62" s="1">
        <v>3</v>
      </c>
      <c r="AB62" s="1"/>
      <c r="AC62" s="1">
        <v>201</v>
      </c>
    </row>
    <row r="63" spans="1:29">
      <c r="A63" s="44" t="s">
        <v>579</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39</v>
      </c>
      <c r="Z63" s="1">
        <v>13</v>
      </c>
      <c r="AA63" s="1">
        <v>3</v>
      </c>
      <c r="AB63" s="1"/>
      <c r="AC63" s="1">
        <v>198</v>
      </c>
    </row>
    <row r="64" spans="1:29">
      <c r="A64" s="44" t="s">
        <v>580</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36</v>
      </c>
      <c r="Z64" s="1">
        <v>14</v>
      </c>
      <c r="AA64" s="1">
        <v>3</v>
      </c>
      <c r="AB64" s="1"/>
      <c r="AC64" s="1">
        <v>189</v>
      </c>
    </row>
    <row r="65" spans="1:29">
      <c r="A65" s="44" t="s">
        <v>581</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36</v>
      </c>
      <c r="Z65" s="1">
        <v>14</v>
      </c>
      <c r="AA65" s="1">
        <v>3</v>
      </c>
      <c r="AB65" s="1"/>
      <c r="AC65" s="1">
        <v>164</v>
      </c>
    </row>
    <row r="66" spans="1:29">
      <c r="A66" s="44" t="s">
        <v>582</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36</v>
      </c>
      <c r="Z66" s="1">
        <v>15</v>
      </c>
      <c r="AA66" s="1">
        <v>3</v>
      </c>
      <c r="AB66" s="1"/>
      <c r="AC66" s="1">
        <v>158</v>
      </c>
    </row>
    <row r="67" spans="1:29">
      <c r="A67" s="44" t="s">
        <v>583</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33</v>
      </c>
      <c r="Z67" s="1">
        <v>14</v>
      </c>
      <c r="AA67" s="1">
        <v>3</v>
      </c>
      <c r="AB67" s="1"/>
      <c r="AC67" s="1">
        <v>170</v>
      </c>
    </row>
    <row r="68" spans="1:29">
      <c r="A68" s="44" t="s">
        <v>584</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32</v>
      </c>
      <c r="Z68" s="1">
        <v>13</v>
      </c>
      <c r="AA68" s="1">
        <v>3</v>
      </c>
      <c r="AB68" s="1"/>
      <c r="AC68" s="1">
        <v>163</v>
      </c>
    </row>
    <row r="69" spans="1:29">
      <c r="A69" s="44" t="s">
        <v>585</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31</v>
      </c>
      <c r="Z69" s="1">
        <v>11</v>
      </c>
      <c r="AA69" s="1">
        <v>3</v>
      </c>
      <c r="AB69" s="1"/>
      <c r="AC69" s="1">
        <v>168</v>
      </c>
    </row>
    <row r="70" spans="1:29">
      <c r="A70" s="44" t="s">
        <v>586</v>
      </c>
      <c r="B70" s="1">
        <v>6</v>
      </c>
      <c r="C70" s="1"/>
      <c r="D70" s="1">
        <v>9</v>
      </c>
      <c r="E70" s="1"/>
      <c r="F70" s="1">
        <v>2</v>
      </c>
      <c r="G70" s="1">
        <v>9</v>
      </c>
      <c r="H70" s="1">
        <v>1</v>
      </c>
      <c r="I70" s="1">
        <v>8</v>
      </c>
      <c r="J70" s="1"/>
      <c r="K70" s="1">
        <v>19</v>
      </c>
      <c r="L70" s="1"/>
      <c r="M70" s="1"/>
      <c r="N70" s="1">
        <v>5</v>
      </c>
      <c r="O70" s="1">
        <v>8</v>
      </c>
      <c r="P70" s="1">
        <v>5</v>
      </c>
      <c r="Q70" s="1">
        <v>0</v>
      </c>
      <c r="R70" s="1"/>
      <c r="S70" s="1">
        <v>3</v>
      </c>
      <c r="T70" s="1">
        <v>2</v>
      </c>
      <c r="U70" s="1"/>
      <c r="V70" s="1">
        <v>6</v>
      </c>
      <c r="W70" s="1">
        <v>30</v>
      </c>
      <c r="X70" s="1"/>
      <c r="Y70" s="1">
        <v>27</v>
      </c>
      <c r="Z70" s="1">
        <v>10</v>
      </c>
      <c r="AA70" s="1">
        <v>3</v>
      </c>
      <c r="AB70" s="1"/>
      <c r="AC70" s="1">
        <v>153</v>
      </c>
    </row>
    <row r="71" spans="1:29">
      <c r="A71" s="44" t="s">
        <v>587</v>
      </c>
      <c r="B71" s="1">
        <v>5</v>
      </c>
      <c r="C71" s="1"/>
      <c r="D71" s="1">
        <v>11</v>
      </c>
      <c r="E71" s="1"/>
      <c r="F71" s="1">
        <v>2</v>
      </c>
      <c r="G71" s="1">
        <v>9</v>
      </c>
      <c r="H71" s="1">
        <v>1</v>
      </c>
      <c r="I71" s="1"/>
      <c r="J71" s="1"/>
      <c r="K71" s="1">
        <v>18</v>
      </c>
      <c r="L71" s="1"/>
      <c r="M71" s="1"/>
      <c r="N71" s="1">
        <v>5</v>
      </c>
      <c r="O71" s="1">
        <v>8</v>
      </c>
      <c r="P71" s="1">
        <v>2</v>
      </c>
      <c r="Q71" s="1">
        <v>0</v>
      </c>
      <c r="R71" s="1"/>
      <c r="S71" s="1">
        <v>3</v>
      </c>
      <c r="T71" s="1">
        <v>2</v>
      </c>
      <c r="U71" s="1"/>
      <c r="V71" s="1">
        <v>6</v>
      </c>
      <c r="W71" s="1">
        <v>25</v>
      </c>
      <c r="X71" s="1"/>
      <c r="Y71" s="1">
        <v>26</v>
      </c>
      <c r="Z71" s="1">
        <v>10</v>
      </c>
      <c r="AA71" s="1">
        <v>1</v>
      </c>
      <c r="AB71" s="1"/>
      <c r="AC71" s="1">
        <v>134</v>
      </c>
    </row>
    <row r="72" spans="1:29">
      <c r="A72" s="44" t="s">
        <v>588</v>
      </c>
      <c r="B72" s="1">
        <v>4</v>
      </c>
      <c r="C72" s="1"/>
      <c r="D72" s="1"/>
      <c r="E72" s="1"/>
      <c r="F72" s="1">
        <v>2</v>
      </c>
      <c r="G72" s="1">
        <v>9</v>
      </c>
      <c r="H72" s="1">
        <v>2</v>
      </c>
      <c r="I72" s="1"/>
      <c r="J72" s="1"/>
      <c r="K72" s="1">
        <v>17</v>
      </c>
      <c r="L72" s="1"/>
      <c r="M72" s="1"/>
      <c r="N72" s="1">
        <v>5</v>
      </c>
      <c r="O72" s="1">
        <v>8</v>
      </c>
      <c r="P72" s="1">
        <v>2</v>
      </c>
      <c r="Q72" s="1">
        <v>0</v>
      </c>
      <c r="R72" s="1"/>
      <c r="S72" s="1"/>
      <c r="T72" s="1">
        <v>2</v>
      </c>
      <c r="U72" s="1"/>
      <c r="V72" s="1">
        <v>5</v>
      </c>
      <c r="W72" s="1">
        <v>23</v>
      </c>
      <c r="X72" s="1"/>
      <c r="Y72" s="1">
        <v>24</v>
      </c>
      <c r="Z72" s="1">
        <v>10</v>
      </c>
      <c r="AA72" s="1">
        <v>1</v>
      </c>
      <c r="AB72" s="1"/>
      <c r="AC72" s="1">
        <v>114</v>
      </c>
    </row>
    <row r="73" spans="1:29">
      <c r="A73" s="44" t="s">
        <v>589</v>
      </c>
      <c r="B73" s="1">
        <v>4</v>
      </c>
      <c r="C73" s="1"/>
      <c r="D73" s="1"/>
      <c r="E73" s="1"/>
      <c r="F73" s="1">
        <v>2</v>
      </c>
      <c r="G73" s="1">
        <v>10</v>
      </c>
      <c r="H73" s="1">
        <v>1</v>
      </c>
      <c r="I73" s="1"/>
      <c r="J73" s="1"/>
      <c r="K73" s="1">
        <v>17</v>
      </c>
      <c r="L73" s="1"/>
      <c r="M73" s="1"/>
      <c r="N73" s="1">
        <v>5</v>
      </c>
      <c r="O73" s="1">
        <v>7</v>
      </c>
      <c r="P73" s="1">
        <v>2</v>
      </c>
      <c r="Q73" s="1">
        <v>0</v>
      </c>
      <c r="R73" s="1"/>
      <c r="S73" s="1"/>
      <c r="T73" s="1">
        <v>2</v>
      </c>
      <c r="U73" s="1"/>
      <c r="V73" s="1">
        <v>5</v>
      </c>
      <c r="W73" s="1">
        <v>23</v>
      </c>
      <c r="X73" s="1"/>
      <c r="Y73" s="1">
        <v>23</v>
      </c>
      <c r="Z73" s="1">
        <v>10</v>
      </c>
      <c r="AA73" s="1">
        <v>1</v>
      </c>
      <c r="AB73" s="1"/>
      <c r="AC73" s="1">
        <v>112</v>
      </c>
    </row>
    <row r="74" spans="1:29">
      <c r="A74" s="44" t="s">
        <v>590</v>
      </c>
      <c r="B74" s="1">
        <v>4</v>
      </c>
      <c r="C74" s="1"/>
      <c r="D74" s="1">
        <v>5</v>
      </c>
      <c r="E74" s="1"/>
      <c r="F74" s="1">
        <v>2</v>
      </c>
      <c r="G74" s="1">
        <v>8</v>
      </c>
      <c r="H74" s="1">
        <v>1</v>
      </c>
      <c r="I74" s="1"/>
      <c r="J74" s="1"/>
      <c r="K74" s="1">
        <v>17</v>
      </c>
      <c r="L74" s="1"/>
      <c r="M74" s="1"/>
      <c r="N74" s="1">
        <v>5</v>
      </c>
      <c r="O74" s="1">
        <v>6</v>
      </c>
      <c r="P74" s="1">
        <v>3</v>
      </c>
      <c r="Q74" s="1">
        <v>0</v>
      </c>
      <c r="R74" s="1"/>
      <c r="S74" s="1">
        <v>2</v>
      </c>
      <c r="T74" s="1">
        <v>2</v>
      </c>
      <c r="U74" s="1"/>
      <c r="V74" s="1">
        <v>5</v>
      </c>
      <c r="W74" s="1">
        <v>22</v>
      </c>
      <c r="X74" s="1"/>
      <c r="Y74" s="1">
        <v>23</v>
      </c>
      <c r="Z74" s="1">
        <v>10</v>
      </c>
      <c r="AA74" s="1">
        <v>1</v>
      </c>
      <c r="AB74" s="1"/>
      <c r="AC74" s="1">
        <v>116</v>
      </c>
    </row>
    <row r="75" spans="1:29">
      <c r="A75" s="44" t="s">
        <v>604</v>
      </c>
      <c r="B75" s="1">
        <v>3</v>
      </c>
      <c r="C75" s="1"/>
      <c r="D75" s="1">
        <v>5</v>
      </c>
      <c r="E75" s="1"/>
      <c r="F75" s="1">
        <v>3</v>
      </c>
      <c r="G75" s="1">
        <v>7</v>
      </c>
      <c r="H75" s="1">
        <v>1</v>
      </c>
      <c r="I75" s="1">
        <v>4</v>
      </c>
      <c r="J75" s="1"/>
      <c r="K75" s="1">
        <v>17</v>
      </c>
      <c r="L75" s="1"/>
      <c r="M75" s="1"/>
      <c r="N75" s="1">
        <v>5</v>
      </c>
      <c r="O75" s="1">
        <v>6</v>
      </c>
      <c r="P75" s="1">
        <v>3</v>
      </c>
      <c r="Q75" s="1">
        <v>0</v>
      </c>
      <c r="R75" s="1"/>
      <c r="S75" s="1"/>
      <c r="T75" s="1">
        <v>4</v>
      </c>
      <c r="U75" s="1"/>
      <c r="V75" s="1">
        <v>6</v>
      </c>
      <c r="W75" s="1">
        <v>20</v>
      </c>
      <c r="X75" s="1"/>
      <c r="Y75" s="1">
        <v>22</v>
      </c>
      <c r="Z75" s="1">
        <v>8</v>
      </c>
      <c r="AA75" s="1">
        <v>2</v>
      </c>
      <c r="AB75" s="1"/>
      <c r="AC75" s="1">
        <v>116</v>
      </c>
    </row>
    <row r="76" spans="1:29">
      <c r="A76" s="44" t="s">
        <v>623</v>
      </c>
      <c r="B76" s="1">
        <v>5</v>
      </c>
      <c r="C76" s="1"/>
      <c r="D76" s="1">
        <v>5</v>
      </c>
      <c r="E76" s="1"/>
      <c r="F76" s="1">
        <v>3</v>
      </c>
      <c r="G76" s="1">
        <v>6</v>
      </c>
      <c r="H76" s="1">
        <v>1</v>
      </c>
      <c r="I76" s="1">
        <v>4</v>
      </c>
      <c r="J76" s="1"/>
      <c r="K76" s="1">
        <v>16</v>
      </c>
      <c r="L76" s="1"/>
      <c r="M76" s="1"/>
      <c r="N76" s="1">
        <v>5</v>
      </c>
      <c r="O76" s="1">
        <v>6</v>
      </c>
      <c r="P76" s="1">
        <v>3</v>
      </c>
      <c r="Q76" s="1"/>
      <c r="R76" s="1"/>
      <c r="S76" s="1">
        <v>2</v>
      </c>
      <c r="T76" s="1">
        <v>4</v>
      </c>
      <c r="U76" s="1"/>
      <c r="V76" s="1">
        <v>6</v>
      </c>
      <c r="W76" s="1">
        <v>15</v>
      </c>
      <c r="X76" s="1"/>
      <c r="Y76" s="1"/>
      <c r="Z76" s="1">
        <v>8</v>
      </c>
      <c r="AA76" s="1">
        <v>2</v>
      </c>
      <c r="AB76" s="1"/>
      <c r="AC76" s="1">
        <v>91</v>
      </c>
    </row>
    <row r="77" spans="1:29">
      <c r="A77" s="44" t="s">
        <v>705</v>
      </c>
      <c r="B77" s="1">
        <v>5</v>
      </c>
      <c r="C77" s="1"/>
      <c r="D77" s="1"/>
      <c r="E77" s="1"/>
      <c r="F77" s="1">
        <v>2</v>
      </c>
      <c r="G77" s="1"/>
      <c r="H77" s="1"/>
      <c r="I77" s="1">
        <v>4</v>
      </c>
      <c r="J77" s="1"/>
      <c r="K77" s="1"/>
      <c r="L77" s="1"/>
      <c r="M77" s="1"/>
      <c r="N77" s="1"/>
      <c r="O77" s="1"/>
      <c r="P77" s="1"/>
      <c r="Q77" s="1"/>
      <c r="R77" s="1"/>
      <c r="S77" s="1"/>
      <c r="T77" s="1">
        <v>4</v>
      </c>
      <c r="U77" s="1"/>
      <c r="V77" s="1"/>
      <c r="W77" s="1"/>
      <c r="X77" s="1"/>
      <c r="Y77" s="1"/>
      <c r="Z77" s="1"/>
      <c r="AA77" s="1">
        <v>1</v>
      </c>
      <c r="AB77" s="1"/>
      <c r="AC77" s="1">
        <v>16</v>
      </c>
    </row>
    <row r="78" spans="1:29">
      <c r="A78" s="44" t="s">
        <v>278</v>
      </c>
      <c r="B78" s="1">
        <v>574</v>
      </c>
      <c r="C78" s="1"/>
      <c r="D78" s="1">
        <v>522</v>
      </c>
      <c r="E78" s="1"/>
      <c r="F78" s="1">
        <v>28</v>
      </c>
      <c r="G78" s="1">
        <v>791</v>
      </c>
      <c r="H78" s="1">
        <v>471</v>
      </c>
      <c r="I78" s="1">
        <v>320</v>
      </c>
      <c r="J78" s="1"/>
      <c r="K78" s="1">
        <v>2003</v>
      </c>
      <c r="L78" s="1"/>
      <c r="M78" s="1"/>
      <c r="N78" s="1">
        <v>207</v>
      </c>
      <c r="O78" s="1">
        <v>218</v>
      </c>
      <c r="P78" s="1">
        <v>376</v>
      </c>
      <c r="Q78" s="1">
        <v>41</v>
      </c>
      <c r="R78" s="1"/>
      <c r="S78" s="1">
        <v>240</v>
      </c>
      <c r="T78" s="1">
        <v>99</v>
      </c>
      <c r="U78" s="1"/>
      <c r="V78" s="1">
        <v>322</v>
      </c>
      <c r="W78" s="1">
        <v>2645</v>
      </c>
      <c r="X78" s="1"/>
      <c r="Y78" s="1">
        <v>2358</v>
      </c>
      <c r="Z78" s="1">
        <v>846</v>
      </c>
      <c r="AA78" s="1">
        <v>217</v>
      </c>
      <c r="AB78" s="1"/>
      <c r="AC78" s="1">
        <v>12278</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sheetPr codeName="Tabelle11"/>
  <dimension ref="A3:O58"/>
  <sheetViews>
    <sheetView topLeftCell="A34"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279</v>
      </c>
    </row>
    <row r="4" spans="1:15">
      <c r="B4" t="s">
        <v>493</v>
      </c>
      <c r="D4" t="s">
        <v>494</v>
      </c>
      <c r="F4" t="s">
        <v>495</v>
      </c>
      <c r="H4" t="s">
        <v>496</v>
      </c>
      <c r="O4" t="s">
        <v>492</v>
      </c>
    </row>
    <row r="5" spans="1:15">
      <c r="A5" s="16" t="s">
        <v>277</v>
      </c>
      <c r="B5" t="s">
        <v>378</v>
      </c>
      <c r="C5" t="s">
        <v>379</v>
      </c>
      <c r="D5" t="s">
        <v>378</v>
      </c>
      <c r="E5" t="s">
        <v>379</v>
      </c>
      <c r="F5" t="s">
        <v>378</v>
      </c>
      <c r="G5" t="s">
        <v>379</v>
      </c>
      <c r="H5" t="s">
        <v>378</v>
      </c>
      <c r="I5" t="s">
        <v>379</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sheetPr codeName="Tabelle12"/>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497</v>
      </c>
      <c r="B1" t="s">
        <v>498</v>
      </c>
      <c r="C1" t="s">
        <v>371</v>
      </c>
      <c r="D1" t="s">
        <v>372</v>
      </c>
      <c r="E1" t="s">
        <v>499</v>
      </c>
      <c r="F1" t="s">
        <v>375</v>
      </c>
      <c r="G1" t="s">
        <v>374</v>
      </c>
      <c r="H1" t="s">
        <v>376</v>
      </c>
      <c r="I1" t="s">
        <v>500</v>
      </c>
    </row>
    <row r="2" spans="1:9">
      <c r="A2">
        <v>2010</v>
      </c>
      <c r="B2">
        <v>1</v>
      </c>
      <c r="C2" s="2">
        <v>40188</v>
      </c>
      <c r="D2" s="1" t="s">
        <v>378</v>
      </c>
      <c r="E2">
        <v>193</v>
      </c>
      <c r="F2">
        <v>195</v>
      </c>
      <c r="G2">
        <v>159</v>
      </c>
      <c r="H2">
        <v>231</v>
      </c>
    </row>
    <row r="3" spans="1:9">
      <c r="A3">
        <v>2010</v>
      </c>
      <c r="B3">
        <v>2</v>
      </c>
      <c r="C3" s="2">
        <v>40195</v>
      </c>
      <c r="D3" s="1" t="s">
        <v>378</v>
      </c>
      <c r="E3">
        <v>198</v>
      </c>
      <c r="F3">
        <v>195</v>
      </c>
      <c r="G3">
        <v>159</v>
      </c>
      <c r="H3">
        <v>231</v>
      </c>
    </row>
    <row r="4" spans="1:9">
      <c r="A4">
        <v>2010</v>
      </c>
      <c r="B4">
        <v>3</v>
      </c>
      <c r="C4" s="2">
        <v>40202</v>
      </c>
      <c r="D4" s="1" t="s">
        <v>378</v>
      </c>
      <c r="E4">
        <v>191</v>
      </c>
      <c r="F4">
        <v>194</v>
      </c>
      <c r="G4">
        <v>158</v>
      </c>
      <c r="H4">
        <v>230</v>
      </c>
    </row>
    <row r="5" spans="1:9">
      <c r="A5">
        <v>2010</v>
      </c>
      <c r="B5">
        <v>4</v>
      </c>
      <c r="C5" s="2">
        <v>40209</v>
      </c>
      <c r="D5" s="1" t="s">
        <v>378</v>
      </c>
      <c r="E5">
        <v>207</v>
      </c>
      <c r="F5">
        <v>194</v>
      </c>
      <c r="G5">
        <v>158</v>
      </c>
      <c r="H5">
        <v>229</v>
      </c>
    </row>
    <row r="6" spans="1:9">
      <c r="A6">
        <v>2010</v>
      </c>
      <c r="B6">
        <v>5</v>
      </c>
      <c r="C6" s="2">
        <v>40216</v>
      </c>
      <c r="D6" s="1" t="s">
        <v>378</v>
      </c>
      <c r="E6">
        <v>175</v>
      </c>
      <c r="F6">
        <v>193</v>
      </c>
      <c r="G6">
        <v>157</v>
      </c>
      <c r="H6">
        <v>229</v>
      </c>
    </row>
    <row r="7" spans="1:9">
      <c r="A7">
        <v>2010</v>
      </c>
      <c r="B7">
        <v>6</v>
      </c>
      <c r="C7" s="2">
        <v>40223</v>
      </c>
      <c r="D7" s="1" t="s">
        <v>378</v>
      </c>
      <c r="E7">
        <v>179</v>
      </c>
      <c r="F7">
        <v>192</v>
      </c>
      <c r="G7">
        <v>157</v>
      </c>
      <c r="H7">
        <v>228</v>
      </c>
    </row>
    <row r="8" spans="1:9">
      <c r="A8">
        <v>2010</v>
      </c>
      <c r="B8">
        <v>7</v>
      </c>
      <c r="C8" s="2">
        <v>40230</v>
      </c>
      <c r="D8" s="1" t="s">
        <v>378</v>
      </c>
      <c r="E8">
        <v>218</v>
      </c>
      <c r="F8">
        <v>192</v>
      </c>
      <c r="G8">
        <v>156</v>
      </c>
      <c r="H8">
        <v>227</v>
      </c>
    </row>
    <row r="9" spans="1:9">
      <c r="A9">
        <v>2010</v>
      </c>
      <c r="B9">
        <v>8</v>
      </c>
      <c r="C9" s="2">
        <v>40237</v>
      </c>
      <c r="D9" s="1" t="s">
        <v>378</v>
      </c>
      <c r="E9">
        <v>184</v>
      </c>
      <c r="F9">
        <v>191</v>
      </c>
      <c r="G9">
        <v>155</v>
      </c>
      <c r="H9">
        <v>227</v>
      </c>
    </row>
    <row r="10" spans="1:9">
      <c r="A10">
        <v>2010</v>
      </c>
      <c r="B10">
        <v>9</v>
      </c>
      <c r="C10" s="2">
        <v>40244</v>
      </c>
      <c r="D10" s="1" t="s">
        <v>378</v>
      </c>
      <c r="E10">
        <v>179</v>
      </c>
      <c r="F10">
        <v>190</v>
      </c>
      <c r="G10">
        <v>155</v>
      </c>
      <c r="H10">
        <v>226</v>
      </c>
    </row>
    <row r="11" spans="1:9">
      <c r="A11">
        <v>2010</v>
      </c>
      <c r="B11">
        <v>10</v>
      </c>
      <c r="C11" s="2">
        <v>40251</v>
      </c>
      <c r="D11" s="1" t="s">
        <v>378</v>
      </c>
      <c r="E11">
        <v>221</v>
      </c>
      <c r="F11">
        <v>190</v>
      </c>
      <c r="G11">
        <v>154</v>
      </c>
      <c r="H11">
        <v>225</v>
      </c>
    </row>
    <row r="12" spans="1:9">
      <c r="A12">
        <v>2010</v>
      </c>
      <c r="B12">
        <v>11</v>
      </c>
      <c r="C12" s="2">
        <v>40258</v>
      </c>
      <c r="D12" s="1" t="s">
        <v>378</v>
      </c>
      <c r="E12">
        <v>196</v>
      </c>
      <c r="F12">
        <v>189</v>
      </c>
      <c r="G12">
        <v>154</v>
      </c>
      <c r="H12">
        <v>225</v>
      </c>
    </row>
    <row r="13" spans="1:9">
      <c r="A13">
        <v>2010</v>
      </c>
      <c r="B13">
        <v>12</v>
      </c>
      <c r="C13" s="2">
        <v>40265</v>
      </c>
      <c r="D13" s="1" t="s">
        <v>378</v>
      </c>
      <c r="E13">
        <v>200</v>
      </c>
      <c r="F13">
        <v>189</v>
      </c>
      <c r="G13">
        <v>153</v>
      </c>
      <c r="H13">
        <v>224</v>
      </c>
    </row>
    <row r="14" spans="1:9">
      <c r="A14">
        <v>2010</v>
      </c>
      <c r="B14">
        <v>13</v>
      </c>
      <c r="C14" s="2">
        <v>40272</v>
      </c>
      <c r="D14" s="1" t="s">
        <v>378</v>
      </c>
      <c r="E14">
        <v>162</v>
      </c>
      <c r="F14">
        <v>188</v>
      </c>
      <c r="G14">
        <v>153</v>
      </c>
      <c r="H14">
        <v>223</v>
      </c>
    </row>
    <row r="15" spans="1:9">
      <c r="A15">
        <v>2010</v>
      </c>
      <c r="B15">
        <v>14</v>
      </c>
      <c r="C15" s="2">
        <v>40279</v>
      </c>
      <c r="D15" s="1" t="s">
        <v>378</v>
      </c>
      <c r="E15">
        <v>180</v>
      </c>
      <c r="F15">
        <v>187</v>
      </c>
      <c r="G15">
        <v>152</v>
      </c>
      <c r="H15">
        <v>223</v>
      </c>
    </row>
    <row r="16" spans="1:9">
      <c r="A16">
        <v>2010</v>
      </c>
      <c r="B16">
        <v>15</v>
      </c>
      <c r="C16" s="2">
        <v>40286</v>
      </c>
      <c r="D16" s="1" t="s">
        <v>378</v>
      </c>
      <c r="E16">
        <v>158</v>
      </c>
      <c r="F16">
        <v>187</v>
      </c>
      <c r="G16">
        <v>152</v>
      </c>
      <c r="H16">
        <v>222</v>
      </c>
    </row>
    <row r="17" spans="1:9">
      <c r="A17">
        <v>2010</v>
      </c>
      <c r="B17">
        <v>16</v>
      </c>
      <c r="C17" s="2">
        <v>40293</v>
      </c>
      <c r="D17" s="1" t="s">
        <v>378</v>
      </c>
      <c r="E17">
        <v>226</v>
      </c>
      <c r="F17">
        <v>186</v>
      </c>
      <c r="G17">
        <v>151</v>
      </c>
      <c r="H17">
        <v>221</v>
      </c>
      <c r="I17">
        <v>226</v>
      </c>
    </row>
    <row r="18" spans="1:9">
      <c r="A18">
        <v>2010</v>
      </c>
      <c r="B18">
        <v>17</v>
      </c>
      <c r="C18" s="2">
        <v>40300</v>
      </c>
      <c r="D18" s="1" t="s">
        <v>378</v>
      </c>
      <c r="E18">
        <v>176</v>
      </c>
      <c r="F18">
        <v>185</v>
      </c>
      <c r="G18">
        <v>150</v>
      </c>
      <c r="H18">
        <v>221</v>
      </c>
    </row>
    <row r="19" spans="1:9">
      <c r="A19">
        <v>2010</v>
      </c>
      <c r="B19">
        <v>18</v>
      </c>
      <c r="C19" s="2">
        <v>40307</v>
      </c>
      <c r="D19" s="1" t="s">
        <v>378</v>
      </c>
      <c r="E19">
        <v>161</v>
      </c>
      <c r="F19">
        <v>185</v>
      </c>
      <c r="G19">
        <v>150</v>
      </c>
      <c r="H19">
        <v>220</v>
      </c>
    </row>
    <row r="20" spans="1:9">
      <c r="A20">
        <v>2010</v>
      </c>
      <c r="B20">
        <v>19</v>
      </c>
      <c r="C20" s="2">
        <v>40314</v>
      </c>
      <c r="D20" s="1" t="s">
        <v>378</v>
      </c>
      <c r="E20">
        <v>190</v>
      </c>
      <c r="F20">
        <v>184</v>
      </c>
      <c r="G20">
        <v>149</v>
      </c>
      <c r="H20">
        <v>219</v>
      </c>
    </row>
    <row r="21" spans="1:9">
      <c r="A21">
        <v>2010</v>
      </c>
      <c r="B21">
        <v>20</v>
      </c>
      <c r="C21" s="2">
        <v>40321</v>
      </c>
      <c r="D21" s="1" t="s">
        <v>378</v>
      </c>
      <c r="E21">
        <v>193</v>
      </c>
      <c r="F21">
        <v>183</v>
      </c>
      <c r="G21">
        <v>149</v>
      </c>
      <c r="H21">
        <v>218</v>
      </c>
    </row>
    <row r="22" spans="1:9">
      <c r="A22">
        <v>2010</v>
      </c>
      <c r="B22">
        <v>21</v>
      </c>
      <c r="C22" s="2">
        <v>40328</v>
      </c>
      <c r="D22" s="1" t="s">
        <v>378</v>
      </c>
      <c r="E22">
        <v>191</v>
      </c>
      <c r="F22">
        <v>183</v>
      </c>
      <c r="G22">
        <v>148</v>
      </c>
      <c r="H22">
        <v>218</v>
      </c>
    </row>
    <row r="23" spans="1:9">
      <c r="A23">
        <v>2010</v>
      </c>
      <c r="B23">
        <v>22</v>
      </c>
      <c r="C23" s="2">
        <v>40335</v>
      </c>
      <c r="D23" s="1" t="s">
        <v>378</v>
      </c>
      <c r="E23">
        <v>202</v>
      </c>
      <c r="F23">
        <v>182</v>
      </c>
      <c r="G23">
        <v>148</v>
      </c>
      <c r="H23">
        <v>217</v>
      </c>
    </row>
    <row r="24" spans="1:9">
      <c r="A24">
        <v>2010</v>
      </c>
      <c r="B24">
        <v>23</v>
      </c>
      <c r="C24" s="2">
        <v>40342</v>
      </c>
      <c r="D24" s="1" t="s">
        <v>378</v>
      </c>
      <c r="E24">
        <v>189</v>
      </c>
      <c r="F24">
        <v>182</v>
      </c>
      <c r="G24">
        <v>147</v>
      </c>
      <c r="H24">
        <v>217</v>
      </c>
    </row>
    <row r="25" spans="1:9">
      <c r="A25">
        <v>2010</v>
      </c>
      <c r="B25">
        <v>24</v>
      </c>
      <c r="C25" s="2">
        <v>40349</v>
      </c>
      <c r="D25" s="1" t="s">
        <v>378</v>
      </c>
      <c r="E25">
        <v>192</v>
      </c>
      <c r="F25">
        <v>182</v>
      </c>
      <c r="G25">
        <v>147</v>
      </c>
      <c r="H25">
        <v>217</v>
      </c>
    </row>
    <row r="26" spans="1:9">
      <c r="A26">
        <v>2010</v>
      </c>
      <c r="B26">
        <v>25</v>
      </c>
      <c r="C26" s="2">
        <v>40356</v>
      </c>
      <c r="D26" s="1" t="s">
        <v>378</v>
      </c>
      <c r="E26">
        <v>168</v>
      </c>
      <c r="F26">
        <v>182</v>
      </c>
      <c r="G26">
        <v>147</v>
      </c>
      <c r="H26">
        <v>216</v>
      </c>
    </row>
    <row r="27" spans="1:9">
      <c r="A27">
        <v>2010</v>
      </c>
      <c r="B27">
        <v>26</v>
      </c>
      <c r="C27" s="2">
        <v>40363</v>
      </c>
      <c r="D27" s="1" t="s">
        <v>378</v>
      </c>
      <c r="E27">
        <v>189</v>
      </c>
      <c r="F27">
        <v>181</v>
      </c>
      <c r="G27">
        <v>147</v>
      </c>
      <c r="H27">
        <v>216</v>
      </c>
    </row>
    <row r="28" spans="1:9">
      <c r="A28">
        <v>2010</v>
      </c>
      <c r="B28">
        <v>27</v>
      </c>
      <c r="C28" s="2">
        <v>40370</v>
      </c>
      <c r="D28" s="1" t="s">
        <v>378</v>
      </c>
      <c r="E28">
        <v>187</v>
      </c>
      <c r="F28">
        <v>181</v>
      </c>
      <c r="G28">
        <v>146</v>
      </c>
      <c r="H28">
        <v>216</v>
      </c>
    </row>
    <row r="29" spans="1:9">
      <c r="A29">
        <v>2010</v>
      </c>
      <c r="B29">
        <v>28</v>
      </c>
      <c r="C29" s="2">
        <v>40377</v>
      </c>
      <c r="D29" s="1" t="s">
        <v>378</v>
      </c>
      <c r="E29">
        <v>184</v>
      </c>
      <c r="F29">
        <v>181</v>
      </c>
      <c r="G29">
        <v>146</v>
      </c>
      <c r="H29">
        <v>216</v>
      </c>
    </row>
    <row r="30" spans="1:9">
      <c r="A30">
        <v>2010</v>
      </c>
      <c r="B30">
        <v>29</v>
      </c>
      <c r="C30" s="2">
        <v>40384</v>
      </c>
      <c r="D30" s="1" t="s">
        <v>378</v>
      </c>
      <c r="E30">
        <v>170</v>
      </c>
      <c r="F30">
        <v>181</v>
      </c>
      <c r="G30">
        <v>146</v>
      </c>
      <c r="H30">
        <v>216</v>
      </c>
    </row>
    <row r="31" spans="1:9">
      <c r="A31">
        <v>2010</v>
      </c>
      <c r="B31">
        <v>30</v>
      </c>
      <c r="C31" s="2">
        <v>40391</v>
      </c>
      <c r="D31" s="1" t="s">
        <v>378</v>
      </c>
      <c r="E31">
        <v>177</v>
      </c>
      <c r="F31">
        <v>181</v>
      </c>
      <c r="G31">
        <v>146</v>
      </c>
      <c r="H31">
        <v>216</v>
      </c>
    </row>
    <row r="32" spans="1:9">
      <c r="A32">
        <v>2010</v>
      </c>
      <c r="B32">
        <v>31</v>
      </c>
      <c r="C32" s="2">
        <v>40398</v>
      </c>
      <c r="D32" s="1" t="s">
        <v>378</v>
      </c>
      <c r="E32">
        <v>187</v>
      </c>
      <c r="F32">
        <v>181</v>
      </c>
      <c r="G32">
        <v>146</v>
      </c>
      <c r="H32">
        <v>216</v>
      </c>
    </row>
    <row r="33" spans="1:8">
      <c r="A33">
        <v>2010</v>
      </c>
      <c r="B33">
        <v>32</v>
      </c>
      <c r="C33" s="2">
        <v>40405</v>
      </c>
      <c r="D33" s="1" t="s">
        <v>378</v>
      </c>
      <c r="E33">
        <v>172</v>
      </c>
      <c r="F33">
        <v>181</v>
      </c>
      <c r="G33">
        <v>147</v>
      </c>
      <c r="H33">
        <v>216</v>
      </c>
    </row>
    <row r="34" spans="1:8">
      <c r="A34">
        <v>2010</v>
      </c>
      <c r="B34">
        <v>33</v>
      </c>
      <c r="C34" s="2">
        <v>40412</v>
      </c>
      <c r="D34" s="1" t="s">
        <v>378</v>
      </c>
      <c r="E34">
        <v>171</v>
      </c>
      <c r="F34">
        <v>181</v>
      </c>
      <c r="G34">
        <v>147</v>
      </c>
      <c r="H34">
        <v>216</v>
      </c>
    </row>
    <row r="35" spans="1:8">
      <c r="A35">
        <v>2010</v>
      </c>
      <c r="B35">
        <v>34</v>
      </c>
      <c r="C35" s="2">
        <v>40419</v>
      </c>
      <c r="D35" s="1" t="s">
        <v>378</v>
      </c>
      <c r="E35">
        <v>169</v>
      </c>
      <c r="F35">
        <v>182</v>
      </c>
      <c r="G35">
        <v>147</v>
      </c>
      <c r="H35">
        <v>216</v>
      </c>
    </row>
    <row r="36" spans="1:8">
      <c r="A36">
        <v>2010</v>
      </c>
      <c r="B36">
        <v>35</v>
      </c>
      <c r="C36" s="2">
        <v>40426</v>
      </c>
      <c r="D36" s="1" t="s">
        <v>378</v>
      </c>
      <c r="E36">
        <v>176</v>
      </c>
      <c r="F36">
        <v>182</v>
      </c>
      <c r="G36">
        <v>147</v>
      </c>
      <c r="H36">
        <v>216</v>
      </c>
    </row>
    <row r="37" spans="1:8">
      <c r="A37">
        <v>2010</v>
      </c>
      <c r="B37">
        <v>36</v>
      </c>
      <c r="C37" s="2">
        <v>40433</v>
      </c>
      <c r="D37" s="1" t="s">
        <v>378</v>
      </c>
      <c r="E37">
        <v>197</v>
      </c>
      <c r="F37">
        <v>182</v>
      </c>
      <c r="G37">
        <v>147</v>
      </c>
      <c r="H37">
        <v>217</v>
      </c>
    </row>
    <row r="38" spans="1:8">
      <c r="A38">
        <v>2010</v>
      </c>
      <c r="B38">
        <v>37</v>
      </c>
      <c r="C38" s="2">
        <v>40440</v>
      </c>
      <c r="D38" s="1" t="s">
        <v>378</v>
      </c>
      <c r="E38">
        <v>176</v>
      </c>
      <c r="F38">
        <v>182</v>
      </c>
      <c r="G38">
        <v>147</v>
      </c>
      <c r="H38">
        <v>217</v>
      </c>
    </row>
    <row r="39" spans="1:8">
      <c r="A39">
        <v>2010</v>
      </c>
      <c r="B39">
        <v>38</v>
      </c>
      <c r="C39" s="2">
        <v>40447</v>
      </c>
      <c r="D39" s="1" t="s">
        <v>378</v>
      </c>
      <c r="E39">
        <v>186</v>
      </c>
      <c r="F39">
        <v>182</v>
      </c>
      <c r="G39">
        <v>147</v>
      </c>
      <c r="H39">
        <v>217</v>
      </c>
    </row>
    <row r="40" spans="1:8">
      <c r="A40">
        <v>2010</v>
      </c>
      <c r="B40">
        <v>39</v>
      </c>
      <c r="C40" s="2">
        <v>40454</v>
      </c>
      <c r="D40" s="1" t="s">
        <v>378</v>
      </c>
      <c r="E40">
        <v>185</v>
      </c>
      <c r="F40">
        <v>182</v>
      </c>
      <c r="G40">
        <v>148</v>
      </c>
      <c r="H40">
        <v>217</v>
      </c>
    </row>
    <row r="41" spans="1:8">
      <c r="A41">
        <v>2010</v>
      </c>
      <c r="B41">
        <v>40</v>
      </c>
      <c r="C41" s="2">
        <v>40461</v>
      </c>
      <c r="D41" s="1" t="s">
        <v>378</v>
      </c>
      <c r="E41">
        <v>192</v>
      </c>
      <c r="F41">
        <v>183</v>
      </c>
      <c r="G41">
        <v>148</v>
      </c>
      <c r="H41">
        <v>217</v>
      </c>
    </row>
    <row r="42" spans="1:8">
      <c r="A42">
        <v>2010</v>
      </c>
      <c r="B42">
        <v>41</v>
      </c>
      <c r="C42" s="2">
        <v>40468</v>
      </c>
      <c r="D42" s="1" t="s">
        <v>378</v>
      </c>
      <c r="E42">
        <v>189</v>
      </c>
      <c r="F42">
        <v>183</v>
      </c>
      <c r="G42">
        <v>148</v>
      </c>
      <c r="H42">
        <v>218</v>
      </c>
    </row>
    <row r="43" spans="1:8">
      <c r="A43">
        <v>2010</v>
      </c>
      <c r="B43">
        <v>42</v>
      </c>
      <c r="C43" s="2">
        <v>40475</v>
      </c>
      <c r="D43" s="1" t="s">
        <v>378</v>
      </c>
      <c r="E43">
        <v>183</v>
      </c>
      <c r="F43">
        <v>183</v>
      </c>
      <c r="G43">
        <v>148</v>
      </c>
      <c r="H43">
        <v>218</v>
      </c>
    </row>
    <row r="44" spans="1:8">
      <c r="A44">
        <v>2010</v>
      </c>
      <c r="B44">
        <v>43</v>
      </c>
      <c r="C44" s="2">
        <v>40482</v>
      </c>
      <c r="D44" s="1" t="s">
        <v>378</v>
      </c>
      <c r="E44">
        <v>181</v>
      </c>
      <c r="F44">
        <v>183</v>
      </c>
      <c r="G44">
        <v>148</v>
      </c>
      <c r="H44">
        <v>218</v>
      </c>
    </row>
    <row r="45" spans="1:8">
      <c r="A45">
        <v>2010</v>
      </c>
      <c r="B45">
        <v>44</v>
      </c>
      <c r="C45" s="2">
        <v>40489</v>
      </c>
      <c r="D45" s="1" t="s">
        <v>378</v>
      </c>
      <c r="E45">
        <v>178</v>
      </c>
      <c r="F45">
        <v>183</v>
      </c>
      <c r="G45">
        <v>148</v>
      </c>
      <c r="H45">
        <v>218</v>
      </c>
    </row>
    <row r="46" spans="1:8">
      <c r="A46">
        <v>2010</v>
      </c>
      <c r="B46">
        <v>45</v>
      </c>
      <c r="C46" s="2">
        <v>40496</v>
      </c>
      <c r="D46" s="1" t="s">
        <v>378</v>
      </c>
      <c r="E46">
        <v>169</v>
      </c>
      <c r="F46">
        <v>183</v>
      </c>
      <c r="G46">
        <v>148</v>
      </c>
      <c r="H46">
        <v>218</v>
      </c>
    </row>
    <row r="47" spans="1:8">
      <c r="A47">
        <v>2010</v>
      </c>
      <c r="B47">
        <v>46</v>
      </c>
      <c r="C47" s="2">
        <v>40503</v>
      </c>
      <c r="D47" s="1" t="s">
        <v>378</v>
      </c>
      <c r="E47">
        <v>182</v>
      </c>
      <c r="F47">
        <v>183</v>
      </c>
      <c r="G47">
        <v>148</v>
      </c>
      <c r="H47">
        <v>218</v>
      </c>
    </row>
    <row r="48" spans="1:8">
      <c r="A48">
        <v>2010</v>
      </c>
      <c r="B48">
        <v>47</v>
      </c>
      <c r="C48" s="2">
        <v>40510</v>
      </c>
      <c r="D48" s="1" t="s">
        <v>378</v>
      </c>
      <c r="E48">
        <v>180</v>
      </c>
      <c r="F48">
        <v>183</v>
      </c>
      <c r="G48">
        <v>148</v>
      </c>
      <c r="H48">
        <v>218</v>
      </c>
    </row>
    <row r="49" spans="1:9">
      <c r="A49">
        <v>2010</v>
      </c>
      <c r="B49">
        <v>48</v>
      </c>
      <c r="C49" s="2">
        <v>40517</v>
      </c>
      <c r="D49" s="1" t="s">
        <v>378</v>
      </c>
      <c r="E49">
        <v>185</v>
      </c>
      <c r="F49">
        <v>183</v>
      </c>
      <c r="G49">
        <v>149</v>
      </c>
      <c r="H49">
        <v>218</v>
      </c>
    </row>
    <row r="50" spans="1:9">
      <c r="A50">
        <v>2010</v>
      </c>
      <c r="B50">
        <v>49</v>
      </c>
      <c r="C50" s="2">
        <v>40524</v>
      </c>
      <c r="D50" s="1" t="s">
        <v>378</v>
      </c>
      <c r="E50">
        <v>188</v>
      </c>
      <c r="F50">
        <v>184</v>
      </c>
      <c r="G50">
        <v>149</v>
      </c>
      <c r="H50">
        <v>218</v>
      </c>
    </row>
    <row r="51" spans="1:9">
      <c r="A51">
        <v>2010</v>
      </c>
      <c r="B51">
        <v>50</v>
      </c>
      <c r="C51" s="2">
        <v>40531</v>
      </c>
      <c r="D51" s="1" t="s">
        <v>378</v>
      </c>
      <c r="E51">
        <v>191</v>
      </c>
      <c r="F51">
        <v>184</v>
      </c>
      <c r="G51">
        <v>149</v>
      </c>
      <c r="H51">
        <v>219</v>
      </c>
    </row>
    <row r="52" spans="1:9">
      <c r="A52">
        <v>2010</v>
      </c>
      <c r="B52">
        <v>51</v>
      </c>
      <c r="C52" s="2">
        <v>40538</v>
      </c>
      <c r="D52" s="1" t="s">
        <v>378</v>
      </c>
      <c r="E52">
        <v>209</v>
      </c>
      <c r="F52">
        <v>184</v>
      </c>
      <c r="G52">
        <v>149</v>
      </c>
      <c r="H52">
        <v>219</v>
      </c>
    </row>
    <row r="53" spans="1:9">
      <c r="A53">
        <v>2010</v>
      </c>
      <c r="B53">
        <v>52</v>
      </c>
      <c r="C53" s="2">
        <v>40545</v>
      </c>
      <c r="D53" s="1" t="s">
        <v>378</v>
      </c>
      <c r="E53">
        <v>197</v>
      </c>
      <c r="F53">
        <v>184</v>
      </c>
      <c r="G53">
        <v>149</v>
      </c>
      <c r="H53">
        <v>219</v>
      </c>
    </row>
    <row r="54" spans="1:9">
      <c r="A54">
        <v>2010</v>
      </c>
      <c r="B54">
        <v>1</v>
      </c>
      <c r="C54" s="2">
        <v>40188</v>
      </c>
      <c r="D54" s="1" t="s">
        <v>379</v>
      </c>
      <c r="E54">
        <v>1100</v>
      </c>
      <c r="F54">
        <v>1156</v>
      </c>
      <c r="G54">
        <v>1068</v>
      </c>
      <c r="H54">
        <v>1243</v>
      </c>
    </row>
    <row r="55" spans="1:9">
      <c r="A55">
        <v>2010</v>
      </c>
      <c r="B55">
        <v>2</v>
      </c>
      <c r="C55" s="2">
        <v>40195</v>
      </c>
      <c r="D55" s="1" t="s">
        <v>379</v>
      </c>
      <c r="E55">
        <v>1071</v>
      </c>
      <c r="F55">
        <v>1149</v>
      </c>
      <c r="G55">
        <v>1061</v>
      </c>
      <c r="H55">
        <v>1236</v>
      </c>
    </row>
    <row r="56" spans="1:9">
      <c r="A56">
        <v>2010</v>
      </c>
      <c r="B56">
        <v>3</v>
      </c>
      <c r="C56" s="2">
        <v>40202</v>
      </c>
      <c r="D56" s="1" t="s">
        <v>379</v>
      </c>
      <c r="E56">
        <v>1005</v>
      </c>
      <c r="F56">
        <v>1141</v>
      </c>
      <c r="G56">
        <v>1054</v>
      </c>
      <c r="H56">
        <v>1228</v>
      </c>
    </row>
    <row r="57" spans="1:9">
      <c r="A57">
        <v>2010</v>
      </c>
      <c r="B57">
        <v>4</v>
      </c>
      <c r="C57" s="2">
        <v>40209</v>
      </c>
      <c r="D57" s="1" t="s">
        <v>379</v>
      </c>
      <c r="E57">
        <v>1039</v>
      </c>
      <c r="F57">
        <v>1133</v>
      </c>
      <c r="G57">
        <v>1047</v>
      </c>
      <c r="H57">
        <v>1220</v>
      </c>
    </row>
    <row r="58" spans="1:9">
      <c r="A58">
        <v>2010</v>
      </c>
      <c r="B58">
        <v>5</v>
      </c>
      <c r="C58" s="2">
        <v>40216</v>
      </c>
      <c r="D58" s="1" t="s">
        <v>379</v>
      </c>
      <c r="E58">
        <v>1110</v>
      </c>
      <c r="F58">
        <v>1125</v>
      </c>
      <c r="G58">
        <v>1039</v>
      </c>
      <c r="H58">
        <v>1211</v>
      </c>
    </row>
    <row r="59" spans="1:9">
      <c r="A59">
        <v>2010</v>
      </c>
      <c r="B59">
        <v>6</v>
      </c>
      <c r="C59" s="2">
        <v>40223</v>
      </c>
      <c r="D59" s="1" t="s">
        <v>379</v>
      </c>
      <c r="E59">
        <v>1057</v>
      </c>
      <c r="F59">
        <v>1117</v>
      </c>
      <c r="G59">
        <v>1031</v>
      </c>
      <c r="H59">
        <v>1203</v>
      </c>
    </row>
    <row r="60" spans="1:9">
      <c r="A60">
        <v>2010</v>
      </c>
      <c r="B60">
        <v>7</v>
      </c>
      <c r="C60" s="2">
        <v>40230</v>
      </c>
      <c r="D60" s="1" t="s">
        <v>379</v>
      </c>
      <c r="E60">
        <v>1203</v>
      </c>
      <c r="F60">
        <v>1109</v>
      </c>
      <c r="G60">
        <v>1023</v>
      </c>
      <c r="H60">
        <v>1194</v>
      </c>
      <c r="I60">
        <v>1203</v>
      </c>
    </row>
    <row r="61" spans="1:9">
      <c r="A61">
        <v>2010</v>
      </c>
      <c r="B61">
        <v>8</v>
      </c>
      <c r="C61" s="2">
        <v>40237</v>
      </c>
      <c r="D61" s="1" t="s">
        <v>379</v>
      </c>
      <c r="E61">
        <v>1131</v>
      </c>
      <c r="F61">
        <v>1095</v>
      </c>
      <c r="G61">
        <v>1010</v>
      </c>
      <c r="H61">
        <v>1180</v>
      </c>
    </row>
    <row r="62" spans="1:9">
      <c r="A62">
        <v>2010</v>
      </c>
      <c r="B62">
        <v>9</v>
      </c>
      <c r="C62" s="2">
        <v>40244</v>
      </c>
      <c r="D62" s="1" t="s">
        <v>379</v>
      </c>
      <c r="E62">
        <v>1119</v>
      </c>
      <c r="F62">
        <v>1082</v>
      </c>
      <c r="G62">
        <v>997</v>
      </c>
      <c r="H62">
        <v>1166</v>
      </c>
    </row>
    <row r="63" spans="1:9">
      <c r="A63">
        <v>2010</v>
      </c>
      <c r="B63">
        <v>10</v>
      </c>
      <c r="C63" s="2">
        <v>40251</v>
      </c>
      <c r="D63" s="1" t="s">
        <v>379</v>
      </c>
      <c r="E63">
        <v>1131</v>
      </c>
      <c r="F63">
        <v>1065</v>
      </c>
      <c r="G63">
        <v>981</v>
      </c>
      <c r="H63">
        <v>1149</v>
      </c>
    </row>
    <row r="64" spans="1:9">
      <c r="A64">
        <v>2010</v>
      </c>
      <c r="B64">
        <v>11</v>
      </c>
      <c r="C64" s="2">
        <v>40258</v>
      </c>
      <c r="D64" s="1" t="s">
        <v>379</v>
      </c>
      <c r="E64">
        <v>1114</v>
      </c>
      <c r="F64">
        <v>1049</v>
      </c>
      <c r="G64">
        <v>965</v>
      </c>
      <c r="H64">
        <v>1132</v>
      </c>
    </row>
    <row r="65" spans="1:8">
      <c r="A65">
        <v>2010</v>
      </c>
      <c r="B65">
        <v>12</v>
      </c>
      <c r="C65" s="2">
        <v>40265</v>
      </c>
      <c r="D65" s="1" t="s">
        <v>379</v>
      </c>
      <c r="E65">
        <v>1048</v>
      </c>
      <c r="F65">
        <v>1033</v>
      </c>
      <c r="G65">
        <v>950</v>
      </c>
      <c r="H65">
        <v>1115</v>
      </c>
    </row>
    <row r="66" spans="1:8">
      <c r="A66">
        <v>2010</v>
      </c>
      <c r="B66">
        <v>13</v>
      </c>
      <c r="C66" s="2">
        <v>40272</v>
      </c>
      <c r="D66" s="1" t="s">
        <v>379</v>
      </c>
      <c r="E66">
        <v>1049</v>
      </c>
      <c r="F66">
        <v>1017</v>
      </c>
      <c r="G66">
        <v>934</v>
      </c>
      <c r="H66">
        <v>1099</v>
      </c>
    </row>
    <row r="67" spans="1:8">
      <c r="A67">
        <v>2010</v>
      </c>
      <c r="B67">
        <v>14</v>
      </c>
      <c r="C67" s="2">
        <v>40279</v>
      </c>
      <c r="D67" s="1" t="s">
        <v>379</v>
      </c>
      <c r="E67">
        <v>970</v>
      </c>
      <c r="F67">
        <v>1002</v>
      </c>
      <c r="G67">
        <v>920</v>
      </c>
      <c r="H67">
        <v>1083</v>
      </c>
    </row>
    <row r="68" spans="1:8">
      <c r="A68">
        <v>2010</v>
      </c>
      <c r="B68">
        <v>15</v>
      </c>
      <c r="C68" s="2">
        <v>40286</v>
      </c>
      <c r="D68" s="1" t="s">
        <v>379</v>
      </c>
      <c r="E68">
        <v>987</v>
      </c>
      <c r="F68">
        <v>988</v>
      </c>
      <c r="G68">
        <v>907</v>
      </c>
      <c r="H68">
        <v>1069</v>
      </c>
    </row>
    <row r="69" spans="1:8">
      <c r="A69">
        <v>2010</v>
      </c>
      <c r="B69">
        <v>16</v>
      </c>
      <c r="C69" s="2">
        <v>40293</v>
      </c>
      <c r="D69" s="1" t="s">
        <v>379</v>
      </c>
      <c r="E69">
        <v>971</v>
      </c>
      <c r="F69">
        <v>975</v>
      </c>
      <c r="G69">
        <v>895</v>
      </c>
      <c r="H69">
        <v>1056</v>
      </c>
    </row>
    <row r="70" spans="1:8">
      <c r="A70">
        <v>2010</v>
      </c>
      <c r="B70">
        <v>17</v>
      </c>
      <c r="C70" s="2">
        <v>40300</v>
      </c>
      <c r="D70" s="1" t="s">
        <v>379</v>
      </c>
      <c r="E70">
        <v>964</v>
      </c>
      <c r="F70">
        <v>965</v>
      </c>
      <c r="G70">
        <v>885</v>
      </c>
      <c r="H70">
        <v>1045</v>
      </c>
    </row>
    <row r="71" spans="1:8">
      <c r="A71">
        <v>2010</v>
      </c>
      <c r="B71">
        <v>18</v>
      </c>
      <c r="C71" s="2">
        <v>40307</v>
      </c>
      <c r="D71" s="1" t="s">
        <v>379</v>
      </c>
      <c r="E71">
        <v>976</v>
      </c>
      <c r="F71">
        <v>954</v>
      </c>
      <c r="G71">
        <v>875</v>
      </c>
      <c r="H71">
        <v>1034</v>
      </c>
    </row>
    <row r="72" spans="1:8">
      <c r="A72">
        <v>2010</v>
      </c>
      <c r="B72">
        <v>19</v>
      </c>
      <c r="C72" s="2">
        <v>40314</v>
      </c>
      <c r="D72" s="1" t="s">
        <v>379</v>
      </c>
      <c r="E72">
        <v>974</v>
      </c>
      <c r="F72">
        <v>947</v>
      </c>
      <c r="G72">
        <v>868</v>
      </c>
      <c r="H72">
        <v>1026</v>
      </c>
    </row>
    <row r="73" spans="1:8">
      <c r="A73">
        <v>2010</v>
      </c>
      <c r="B73">
        <v>20</v>
      </c>
      <c r="C73" s="2">
        <v>40321</v>
      </c>
      <c r="D73" s="1" t="s">
        <v>379</v>
      </c>
      <c r="E73">
        <v>985</v>
      </c>
      <c r="F73">
        <v>939</v>
      </c>
      <c r="G73">
        <v>860</v>
      </c>
      <c r="H73">
        <v>1018</v>
      </c>
    </row>
    <row r="74" spans="1:8">
      <c r="A74">
        <v>2010</v>
      </c>
      <c r="B74">
        <v>21</v>
      </c>
      <c r="C74" s="2">
        <v>40328</v>
      </c>
      <c r="D74" s="1" t="s">
        <v>379</v>
      </c>
      <c r="E74">
        <v>961</v>
      </c>
      <c r="F74">
        <v>934</v>
      </c>
      <c r="G74">
        <v>855</v>
      </c>
      <c r="H74">
        <v>1013</v>
      </c>
    </row>
    <row r="75" spans="1:8">
      <c r="A75">
        <v>2010</v>
      </c>
      <c r="B75">
        <v>22</v>
      </c>
      <c r="C75" s="2">
        <v>40335</v>
      </c>
      <c r="D75" s="1" t="s">
        <v>379</v>
      </c>
      <c r="E75">
        <v>898</v>
      </c>
      <c r="F75">
        <v>930</v>
      </c>
      <c r="G75">
        <v>851</v>
      </c>
      <c r="H75">
        <v>1008</v>
      </c>
    </row>
    <row r="76" spans="1:8">
      <c r="A76">
        <v>2010</v>
      </c>
      <c r="B76">
        <v>23</v>
      </c>
      <c r="C76" s="2">
        <v>40342</v>
      </c>
      <c r="D76" s="1" t="s">
        <v>379</v>
      </c>
      <c r="E76">
        <v>946</v>
      </c>
      <c r="F76">
        <v>926</v>
      </c>
      <c r="G76">
        <v>847</v>
      </c>
      <c r="H76">
        <v>1004</v>
      </c>
    </row>
    <row r="77" spans="1:8">
      <c r="A77">
        <v>2010</v>
      </c>
      <c r="B77">
        <v>24</v>
      </c>
      <c r="C77" s="2">
        <v>40349</v>
      </c>
      <c r="D77" s="1" t="s">
        <v>379</v>
      </c>
      <c r="E77">
        <v>887</v>
      </c>
      <c r="F77">
        <v>922</v>
      </c>
      <c r="G77">
        <v>844</v>
      </c>
      <c r="H77">
        <v>1000</v>
      </c>
    </row>
    <row r="78" spans="1:8">
      <c r="A78">
        <v>2010</v>
      </c>
      <c r="B78">
        <v>25</v>
      </c>
      <c r="C78" s="2">
        <v>40356</v>
      </c>
      <c r="D78" s="1" t="s">
        <v>379</v>
      </c>
      <c r="E78">
        <v>907</v>
      </c>
      <c r="F78">
        <v>919</v>
      </c>
      <c r="G78">
        <v>841</v>
      </c>
      <c r="H78">
        <v>997</v>
      </c>
    </row>
    <row r="79" spans="1:8">
      <c r="A79">
        <v>2010</v>
      </c>
      <c r="B79">
        <v>26</v>
      </c>
      <c r="C79" s="2">
        <v>40363</v>
      </c>
      <c r="D79" s="1" t="s">
        <v>379</v>
      </c>
      <c r="E79">
        <v>956</v>
      </c>
      <c r="F79">
        <v>915</v>
      </c>
      <c r="G79">
        <v>837</v>
      </c>
      <c r="H79">
        <v>993</v>
      </c>
    </row>
    <row r="80" spans="1:8">
      <c r="A80">
        <v>2010</v>
      </c>
      <c r="B80">
        <v>27</v>
      </c>
      <c r="C80" s="2">
        <v>40370</v>
      </c>
      <c r="D80" s="1" t="s">
        <v>379</v>
      </c>
      <c r="E80">
        <v>918</v>
      </c>
      <c r="F80">
        <v>912</v>
      </c>
      <c r="G80">
        <v>835</v>
      </c>
      <c r="H80">
        <v>990</v>
      </c>
    </row>
    <row r="81" spans="1:9">
      <c r="A81">
        <v>2010</v>
      </c>
      <c r="B81">
        <v>28</v>
      </c>
      <c r="C81" s="2">
        <v>40377</v>
      </c>
      <c r="D81" s="1" t="s">
        <v>379</v>
      </c>
      <c r="E81">
        <v>936</v>
      </c>
      <c r="F81">
        <v>910</v>
      </c>
      <c r="G81">
        <v>832</v>
      </c>
      <c r="H81">
        <v>988</v>
      </c>
    </row>
    <row r="82" spans="1:9">
      <c r="A82">
        <v>2010</v>
      </c>
      <c r="B82">
        <v>29</v>
      </c>
      <c r="C82" s="2">
        <v>40384</v>
      </c>
      <c r="D82" s="1" t="s">
        <v>379</v>
      </c>
      <c r="E82">
        <v>870</v>
      </c>
      <c r="F82">
        <v>907</v>
      </c>
      <c r="G82">
        <v>830</v>
      </c>
      <c r="H82">
        <v>985</v>
      </c>
    </row>
    <row r="83" spans="1:9">
      <c r="A83">
        <v>2010</v>
      </c>
      <c r="B83">
        <v>30</v>
      </c>
      <c r="C83" s="2">
        <v>40391</v>
      </c>
      <c r="D83" s="1" t="s">
        <v>379</v>
      </c>
      <c r="E83">
        <v>922</v>
      </c>
      <c r="F83">
        <v>905</v>
      </c>
      <c r="G83">
        <v>827</v>
      </c>
      <c r="H83">
        <v>982</v>
      </c>
    </row>
    <row r="84" spans="1:9">
      <c r="A84">
        <v>2010</v>
      </c>
      <c r="B84">
        <v>31</v>
      </c>
      <c r="C84" s="2">
        <v>40398</v>
      </c>
      <c r="D84" s="1" t="s">
        <v>379</v>
      </c>
      <c r="E84">
        <v>914</v>
      </c>
      <c r="F84">
        <v>902</v>
      </c>
      <c r="G84">
        <v>825</v>
      </c>
      <c r="H84">
        <v>980</v>
      </c>
    </row>
    <row r="85" spans="1:9">
      <c r="A85">
        <v>2010</v>
      </c>
      <c r="B85">
        <v>32</v>
      </c>
      <c r="C85" s="2">
        <v>40405</v>
      </c>
      <c r="D85" s="1" t="s">
        <v>379</v>
      </c>
      <c r="E85">
        <v>911</v>
      </c>
      <c r="F85">
        <v>903</v>
      </c>
      <c r="G85">
        <v>826</v>
      </c>
      <c r="H85">
        <v>981</v>
      </c>
    </row>
    <row r="86" spans="1:9">
      <c r="A86">
        <v>2010</v>
      </c>
      <c r="B86">
        <v>33</v>
      </c>
      <c r="C86" s="2">
        <v>40412</v>
      </c>
      <c r="D86" s="1" t="s">
        <v>379</v>
      </c>
      <c r="E86">
        <v>882</v>
      </c>
      <c r="F86">
        <v>904</v>
      </c>
      <c r="G86">
        <v>827</v>
      </c>
      <c r="H86">
        <v>982</v>
      </c>
    </row>
    <row r="87" spans="1:9">
      <c r="A87">
        <v>2010</v>
      </c>
      <c r="B87">
        <v>34</v>
      </c>
      <c r="C87" s="2">
        <v>40419</v>
      </c>
      <c r="D87" s="1" t="s">
        <v>379</v>
      </c>
      <c r="E87">
        <v>938</v>
      </c>
      <c r="F87">
        <v>909</v>
      </c>
      <c r="G87">
        <v>831</v>
      </c>
      <c r="H87">
        <v>987</v>
      </c>
    </row>
    <row r="88" spans="1:9">
      <c r="A88">
        <v>2010</v>
      </c>
      <c r="B88">
        <v>35</v>
      </c>
      <c r="C88" s="2">
        <v>40426</v>
      </c>
      <c r="D88" s="1" t="s">
        <v>379</v>
      </c>
      <c r="E88">
        <v>938</v>
      </c>
      <c r="F88">
        <v>915</v>
      </c>
      <c r="G88">
        <v>837</v>
      </c>
      <c r="H88">
        <v>993</v>
      </c>
    </row>
    <row r="89" spans="1:9">
      <c r="A89">
        <v>2010</v>
      </c>
      <c r="B89">
        <v>36</v>
      </c>
      <c r="C89" s="2">
        <v>40433</v>
      </c>
      <c r="D89" s="1" t="s">
        <v>379</v>
      </c>
      <c r="E89">
        <v>993</v>
      </c>
      <c r="F89">
        <v>920</v>
      </c>
      <c r="G89">
        <v>842</v>
      </c>
      <c r="H89">
        <v>999</v>
      </c>
    </row>
    <row r="90" spans="1:9">
      <c r="A90">
        <v>2010</v>
      </c>
      <c r="B90">
        <v>37</v>
      </c>
      <c r="C90" s="2">
        <v>40440</v>
      </c>
      <c r="D90" s="1" t="s">
        <v>379</v>
      </c>
      <c r="E90">
        <v>945</v>
      </c>
      <c r="F90">
        <v>927</v>
      </c>
      <c r="G90">
        <v>849</v>
      </c>
      <c r="H90">
        <v>1005</v>
      </c>
    </row>
    <row r="91" spans="1:9">
      <c r="A91">
        <v>2010</v>
      </c>
      <c r="B91">
        <v>38</v>
      </c>
      <c r="C91" s="2">
        <v>40447</v>
      </c>
      <c r="D91" s="1" t="s">
        <v>379</v>
      </c>
      <c r="E91">
        <v>996</v>
      </c>
      <c r="F91">
        <v>934</v>
      </c>
      <c r="G91">
        <v>856</v>
      </c>
      <c r="H91">
        <v>1013</v>
      </c>
    </row>
    <row r="92" spans="1:9">
      <c r="A92">
        <v>2010</v>
      </c>
      <c r="B92">
        <v>39</v>
      </c>
      <c r="C92" s="2">
        <v>40454</v>
      </c>
      <c r="D92" s="1" t="s">
        <v>379</v>
      </c>
      <c r="E92">
        <v>1035</v>
      </c>
      <c r="F92">
        <v>942</v>
      </c>
      <c r="G92">
        <v>863</v>
      </c>
      <c r="H92">
        <v>1021</v>
      </c>
      <c r="I92">
        <v>1035</v>
      </c>
    </row>
    <row r="93" spans="1:9">
      <c r="A93">
        <v>2010</v>
      </c>
      <c r="B93">
        <v>40</v>
      </c>
      <c r="C93" s="2">
        <v>40461</v>
      </c>
      <c r="D93" s="1" t="s">
        <v>379</v>
      </c>
      <c r="E93">
        <v>1018</v>
      </c>
      <c r="F93">
        <v>950</v>
      </c>
      <c r="G93">
        <v>871</v>
      </c>
      <c r="H93">
        <v>1029</v>
      </c>
    </row>
    <row r="94" spans="1:9">
      <c r="A94">
        <v>2010</v>
      </c>
      <c r="B94">
        <v>41</v>
      </c>
      <c r="C94" s="2">
        <v>40468</v>
      </c>
      <c r="D94" s="1" t="s">
        <v>379</v>
      </c>
      <c r="E94">
        <v>1060</v>
      </c>
      <c r="F94">
        <v>959</v>
      </c>
      <c r="G94">
        <v>879</v>
      </c>
      <c r="H94">
        <v>1038</v>
      </c>
      <c r="I94">
        <v>1060</v>
      </c>
    </row>
    <row r="95" spans="1:9">
      <c r="A95">
        <v>2010</v>
      </c>
      <c r="B95">
        <v>42</v>
      </c>
      <c r="C95" s="2">
        <v>40475</v>
      </c>
      <c r="D95" s="1" t="s">
        <v>379</v>
      </c>
      <c r="E95">
        <v>976</v>
      </c>
      <c r="F95">
        <v>967</v>
      </c>
      <c r="G95">
        <v>887</v>
      </c>
      <c r="H95">
        <v>1048</v>
      </c>
    </row>
    <row r="96" spans="1:9">
      <c r="A96">
        <v>2010</v>
      </c>
      <c r="B96">
        <v>43</v>
      </c>
      <c r="C96" s="2">
        <v>40482</v>
      </c>
      <c r="D96" s="1" t="s">
        <v>379</v>
      </c>
      <c r="E96">
        <v>1036</v>
      </c>
      <c r="F96">
        <v>978</v>
      </c>
      <c r="G96">
        <v>897</v>
      </c>
      <c r="H96">
        <v>1058</v>
      </c>
    </row>
    <row r="97" spans="1:8">
      <c r="A97">
        <v>2010</v>
      </c>
      <c r="B97">
        <v>44</v>
      </c>
      <c r="C97" s="2">
        <v>40489</v>
      </c>
      <c r="D97" s="1" t="s">
        <v>379</v>
      </c>
      <c r="E97">
        <v>1059</v>
      </c>
      <c r="F97">
        <v>988</v>
      </c>
      <c r="G97">
        <v>907</v>
      </c>
      <c r="H97">
        <v>1069</v>
      </c>
    </row>
    <row r="98" spans="1:8">
      <c r="A98">
        <v>2010</v>
      </c>
      <c r="B98">
        <v>45</v>
      </c>
      <c r="C98" s="2">
        <v>40496</v>
      </c>
      <c r="D98" s="1" t="s">
        <v>379</v>
      </c>
      <c r="E98">
        <v>1054</v>
      </c>
      <c r="F98">
        <v>999</v>
      </c>
      <c r="G98">
        <v>918</v>
      </c>
      <c r="H98">
        <v>1081</v>
      </c>
    </row>
    <row r="99" spans="1:8">
      <c r="A99">
        <v>2010</v>
      </c>
      <c r="B99">
        <v>46</v>
      </c>
      <c r="C99" s="2">
        <v>40503</v>
      </c>
      <c r="D99" s="1" t="s">
        <v>379</v>
      </c>
      <c r="E99">
        <v>993</v>
      </c>
      <c r="F99">
        <v>1011</v>
      </c>
      <c r="G99">
        <v>929</v>
      </c>
      <c r="H99">
        <v>1093</v>
      </c>
    </row>
    <row r="100" spans="1:8">
      <c r="A100">
        <v>2010</v>
      </c>
      <c r="B100">
        <v>47</v>
      </c>
      <c r="C100" s="2">
        <v>40510</v>
      </c>
      <c r="D100" s="1" t="s">
        <v>379</v>
      </c>
      <c r="E100">
        <v>1017</v>
      </c>
      <c r="F100">
        <v>1025</v>
      </c>
      <c r="G100">
        <v>943</v>
      </c>
      <c r="H100">
        <v>1108</v>
      </c>
    </row>
    <row r="101" spans="1:8">
      <c r="A101">
        <v>2010</v>
      </c>
      <c r="B101">
        <v>48</v>
      </c>
      <c r="C101" s="2">
        <v>40517</v>
      </c>
      <c r="D101" s="1" t="s">
        <v>379</v>
      </c>
      <c r="E101">
        <v>1030</v>
      </c>
      <c r="F101">
        <v>1041</v>
      </c>
      <c r="G101">
        <v>958</v>
      </c>
      <c r="H101">
        <v>1124</v>
      </c>
    </row>
    <row r="102" spans="1:8">
      <c r="A102">
        <v>2010</v>
      </c>
      <c r="B102">
        <v>49</v>
      </c>
      <c r="C102" s="2">
        <v>40524</v>
      </c>
      <c r="D102" s="1" t="s">
        <v>379</v>
      </c>
      <c r="E102">
        <v>1085</v>
      </c>
      <c r="F102">
        <v>1057</v>
      </c>
      <c r="G102">
        <v>974</v>
      </c>
      <c r="H102">
        <v>1141</v>
      </c>
    </row>
    <row r="103" spans="1:8">
      <c r="A103">
        <v>2010</v>
      </c>
      <c r="B103">
        <v>50</v>
      </c>
      <c r="C103" s="2">
        <v>40531</v>
      </c>
      <c r="D103" s="1" t="s">
        <v>379</v>
      </c>
      <c r="E103">
        <v>1092</v>
      </c>
      <c r="F103">
        <v>1073</v>
      </c>
      <c r="G103">
        <v>989</v>
      </c>
      <c r="H103">
        <v>1158</v>
      </c>
    </row>
    <row r="104" spans="1:8">
      <c r="A104">
        <v>2010</v>
      </c>
      <c r="B104">
        <v>51</v>
      </c>
      <c r="C104" s="2">
        <v>40538</v>
      </c>
      <c r="D104" s="1" t="s">
        <v>379</v>
      </c>
      <c r="E104">
        <v>1060</v>
      </c>
      <c r="F104">
        <v>1089</v>
      </c>
      <c r="G104">
        <v>1004</v>
      </c>
      <c r="H104">
        <v>1174</v>
      </c>
    </row>
    <row r="105" spans="1:8">
      <c r="A105">
        <v>2010</v>
      </c>
      <c r="B105">
        <v>52</v>
      </c>
      <c r="C105" s="2">
        <v>40545</v>
      </c>
      <c r="D105" s="1" t="s">
        <v>379</v>
      </c>
      <c r="E105">
        <v>1122</v>
      </c>
      <c r="F105">
        <v>1105</v>
      </c>
      <c r="G105">
        <v>1019</v>
      </c>
      <c r="H105">
        <v>1190</v>
      </c>
    </row>
    <row r="106" spans="1:8">
      <c r="A106">
        <v>2011</v>
      </c>
      <c r="B106">
        <v>1</v>
      </c>
      <c r="C106" s="2">
        <v>40552</v>
      </c>
      <c r="D106" s="1" t="s">
        <v>378</v>
      </c>
      <c r="E106">
        <v>199</v>
      </c>
      <c r="F106">
        <v>193</v>
      </c>
      <c r="G106">
        <v>157</v>
      </c>
      <c r="H106">
        <v>229</v>
      </c>
    </row>
    <row r="107" spans="1:8">
      <c r="A107">
        <v>2011</v>
      </c>
      <c r="B107">
        <v>2</v>
      </c>
      <c r="C107" s="2">
        <v>40559</v>
      </c>
      <c r="D107" s="1" t="s">
        <v>378</v>
      </c>
      <c r="E107">
        <v>172</v>
      </c>
      <c r="F107">
        <v>193</v>
      </c>
      <c r="G107">
        <v>157</v>
      </c>
      <c r="H107">
        <v>228</v>
      </c>
    </row>
    <row r="108" spans="1:8">
      <c r="A108">
        <v>2011</v>
      </c>
      <c r="B108">
        <v>3</v>
      </c>
      <c r="C108" s="2">
        <v>40566</v>
      </c>
      <c r="D108" s="1" t="s">
        <v>378</v>
      </c>
      <c r="E108">
        <v>213</v>
      </c>
      <c r="F108">
        <v>192</v>
      </c>
      <c r="G108">
        <v>156</v>
      </c>
      <c r="H108">
        <v>228</v>
      </c>
    </row>
    <row r="109" spans="1:8">
      <c r="A109">
        <v>2011</v>
      </c>
      <c r="B109">
        <v>4</v>
      </c>
      <c r="C109" s="2">
        <v>40573</v>
      </c>
      <c r="D109" s="1" t="s">
        <v>378</v>
      </c>
      <c r="E109">
        <v>188</v>
      </c>
      <c r="F109">
        <v>191</v>
      </c>
      <c r="G109">
        <v>156</v>
      </c>
      <c r="H109">
        <v>227</v>
      </c>
    </row>
    <row r="110" spans="1:8">
      <c r="A110">
        <v>2011</v>
      </c>
      <c r="B110">
        <v>5</v>
      </c>
      <c r="C110" s="2">
        <v>40580</v>
      </c>
      <c r="D110" s="1" t="s">
        <v>378</v>
      </c>
      <c r="E110">
        <v>219</v>
      </c>
      <c r="F110">
        <v>191</v>
      </c>
      <c r="G110">
        <v>155</v>
      </c>
      <c r="H110">
        <v>226</v>
      </c>
    </row>
    <row r="111" spans="1:8">
      <c r="A111">
        <v>2011</v>
      </c>
      <c r="B111">
        <v>6</v>
      </c>
      <c r="C111" s="2">
        <v>40587</v>
      </c>
      <c r="D111" s="1" t="s">
        <v>378</v>
      </c>
      <c r="E111">
        <v>188</v>
      </c>
      <c r="F111">
        <v>190</v>
      </c>
      <c r="G111">
        <v>155</v>
      </c>
      <c r="H111">
        <v>226</v>
      </c>
    </row>
    <row r="112" spans="1:8">
      <c r="A112">
        <v>2011</v>
      </c>
      <c r="B112">
        <v>7</v>
      </c>
      <c r="C112" s="2">
        <v>40594</v>
      </c>
      <c r="D112" s="1" t="s">
        <v>378</v>
      </c>
      <c r="E112">
        <v>167</v>
      </c>
      <c r="F112">
        <v>190</v>
      </c>
      <c r="G112">
        <v>154</v>
      </c>
      <c r="H112">
        <v>225</v>
      </c>
    </row>
    <row r="113" spans="1:8">
      <c r="A113">
        <v>2011</v>
      </c>
      <c r="B113">
        <v>8</v>
      </c>
      <c r="C113" s="2">
        <v>40601</v>
      </c>
      <c r="D113" s="1" t="s">
        <v>378</v>
      </c>
      <c r="E113">
        <v>199</v>
      </c>
      <c r="F113">
        <v>189</v>
      </c>
      <c r="G113">
        <v>154</v>
      </c>
      <c r="H113">
        <v>225</v>
      </c>
    </row>
    <row r="114" spans="1:8">
      <c r="A114">
        <v>2011</v>
      </c>
      <c r="B114">
        <v>9</v>
      </c>
      <c r="C114" s="2">
        <v>40608</v>
      </c>
      <c r="D114" s="1" t="s">
        <v>378</v>
      </c>
      <c r="E114">
        <v>196</v>
      </c>
      <c r="F114">
        <v>189</v>
      </c>
      <c r="G114">
        <v>153</v>
      </c>
      <c r="H114">
        <v>224</v>
      </c>
    </row>
    <row r="115" spans="1:8">
      <c r="A115">
        <v>2011</v>
      </c>
      <c r="B115">
        <v>10</v>
      </c>
      <c r="C115" s="2">
        <v>40615</v>
      </c>
      <c r="D115" s="1" t="s">
        <v>378</v>
      </c>
      <c r="E115">
        <v>174</v>
      </c>
      <c r="F115">
        <v>188</v>
      </c>
      <c r="G115">
        <v>153</v>
      </c>
      <c r="H115">
        <v>223</v>
      </c>
    </row>
    <row r="116" spans="1:8">
      <c r="A116">
        <v>2011</v>
      </c>
      <c r="B116">
        <v>11</v>
      </c>
      <c r="C116" s="2">
        <v>40622</v>
      </c>
      <c r="D116" s="1" t="s">
        <v>378</v>
      </c>
      <c r="E116">
        <v>180</v>
      </c>
      <c r="F116">
        <v>187</v>
      </c>
      <c r="G116">
        <v>152</v>
      </c>
      <c r="H116">
        <v>223</v>
      </c>
    </row>
    <row r="117" spans="1:8">
      <c r="A117">
        <v>2011</v>
      </c>
      <c r="B117">
        <v>12</v>
      </c>
      <c r="C117" s="2">
        <v>40629</v>
      </c>
      <c r="D117" s="1" t="s">
        <v>378</v>
      </c>
      <c r="E117">
        <v>165</v>
      </c>
      <c r="F117">
        <v>187</v>
      </c>
      <c r="G117">
        <v>152</v>
      </c>
      <c r="H117">
        <v>222</v>
      </c>
    </row>
    <row r="118" spans="1:8">
      <c r="A118">
        <v>2011</v>
      </c>
      <c r="B118">
        <v>13</v>
      </c>
      <c r="C118" s="2">
        <v>40636</v>
      </c>
      <c r="D118" s="1" t="s">
        <v>378</v>
      </c>
      <c r="E118">
        <v>192</v>
      </c>
      <c r="F118">
        <v>186</v>
      </c>
      <c r="G118">
        <v>151</v>
      </c>
      <c r="H118">
        <v>221</v>
      </c>
    </row>
    <row r="119" spans="1:8">
      <c r="A119">
        <v>2011</v>
      </c>
      <c r="B119">
        <v>14</v>
      </c>
      <c r="C119" s="2">
        <v>40643</v>
      </c>
      <c r="D119" s="1" t="s">
        <v>378</v>
      </c>
      <c r="E119">
        <v>170</v>
      </c>
      <c r="F119">
        <v>186</v>
      </c>
      <c r="G119">
        <v>151</v>
      </c>
      <c r="H119">
        <v>221</v>
      </c>
    </row>
    <row r="120" spans="1:8">
      <c r="A120">
        <v>2011</v>
      </c>
      <c r="B120">
        <v>15</v>
      </c>
      <c r="C120" s="2">
        <v>40650</v>
      </c>
      <c r="D120" s="1" t="s">
        <v>378</v>
      </c>
      <c r="E120">
        <v>173</v>
      </c>
      <c r="F120">
        <v>185</v>
      </c>
      <c r="G120">
        <v>150</v>
      </c>
      <c r="H120">
        <v>220</v>
      </c>
    </row>
    <row r="121" spans="1:8">
      <c r="A121">
        <v>2011</v>
      </c>
      <c r="B121">
        <v>16</v>
      </c>
      <c r="C121" s="2">
        <v>40657</v>
      </c>
      <c r="D121" s="1" t="s">
        <v>378</v>
      </c>
      <c r="E121">
        <v>164</v>
      </c>
      <c r="F121">
        <v>184</v>
      </c>
      <c r="G121">
        <v>149</v>
      </c>
      <c r="H121">
        <v>219</v>
      </c>
    </row>
    <row r="122" spans="1:8">
      <c r="A122">
        <v>2011</v>
      </c>
      <c r="B122">
        <v>17</v>
      </c>
      <c r="C122" s="2">
        <v>40664</v>
      </c>
      <c r="D122" s="1" t="s">
        <v>378</v>
      </c>
      <c r="E122">
        <v>166</v>
      </c>
      <c r="F122">
        <v>184</v>
      </c>
      <c r="G122">
        <v>149</v>
      </c>
      <c r="H122">
        <v>219</v>
      </c>
    </row>
    <row r="123" spans="1:8">
      <c r="A123">
        <v>2011</v>
      </c>
      <c r="B123">
        <v>18</v>
      </c>
      <c r="C123" s="2">
        <v>40671</v>
      </c>
      <c r="D123" s="1" t="s">
        <v>378</v>
      </c>
      <c r="E123">
        <v>180</v>
      </c>
      <c r="F123">
        <v>183</v>
      </c>
      <c r="G123">
        <v>148</v>
      </c>
      <c r="H123">
        <v>218</v>
      </c>
    </row>
    <row r="124" spans="1:8">
      <c r="A124">
        <v>2011</v>
      </c>
      <c r="B124">
        <v>19</v>
      </c>
      <c r="C124" s="2">
        <v>40678</v>
      </c>
      <c r="D124" s="1" t="s">
        <v>378</v>
      </c>
      <c r="E124">
        <v>182</v>
      </c>
      <c r="F124">
        <v>182</v>
      </c>
      <c r="G124">
        <v>148</v>
      </c>
      <c r="H124">
        <v>217</v>
      </c>
    </row>
    <row r="125" spans="1:8">
      <c r="A125">
        <v>2011</v>
      </c>
      <c r="B125">
        <v>20</v>
      </c>
      <c r="C125" s="2">
        <v>40685</v>
      </c>
      <c r="D125" s="1" t="s">
        <v>378</v>
      </c>
      <c r="E125">
        <v>187</v>
      </c>
      <c r="F125">
        <v>181</v>
      </c>
      <c r="G125">
        <v>147</v>
      </c>
      <c r="H125">
        <v>216</v>
      </c>
    </row>
    <row r="126" spans="1:8">
      <c r="A126">
        <v>2011</v>
      </c>
      <c r="B126">
        <v>21</v>
      </c>
      <c r="C126" s="2">
        <v>40692</v>
      </c>
      <c r="D126" s="1" t="s">
        <v>378</v>
      </c>
      <c r="E126">
        <v>175</v>
      </c>
      <c r="F126">
        <v>181</v>
      </c>
      <c r="G126">
        <v>146</v>
      </c>
      <c r="H126">
        <v>215</v>
      </c>
    </row>
    <row r="127" spans="1:8">
      <c r="A127">
        <v>2011</v>
      </c>
      <c r="B127">
        <v>22</v>
      </c>
      <c r="C127" s="2">
        <v>40699</v>
      </c>
      <c r="D127" s="1" t="s">
        <v>378</v>
      </c>
      <c r="E127">
        <v>178</v>
      </c>
      <c r="F127">
        <v>180</v>
      </c>
      <c r="G127">
        <v>146</v>
      </c>
      <c r="H127">
        <v>215</v>
      </c>
    </row>
    <row r="128" spans="1:8">
      <c r="A128">
        <v>2011</v>
      </c>
      <c r="B128">
        <v>23</v>
      </c>
      <c r="C128" s="2">
        <v>40706</v>
      </c>
      <c r="D128" s="1" t="s">
        <v>378</v>
      </c>
      <c r="E128">
        <v>160</v>
      </c>
      <c r="F128">
        <v>180</v>
      </c>
      <c r="G128">
        <v>145</v>
      </c>
      <c r="H128">
        <v>214</v>
      </c>
    </row>
    <row r="129" spans="1:8">
      <c r="A129">
        <v>2011</v>
      </c>
      <c r="B129">
        <v>24</v>
      </c>
      <c r="C129" s="2">
        <v>40713</v>
      </c>
      <c r="D129" s="1" t="s">
        <v>378</v>
      </c>
      <c r="E129">
        <v>170</v>
      </c>
      <c r="F129">
        <v>179</v>
      </c>
      <c r="G129">
        <v>145</v>
      </c>
      <c r="H129">
        <v>214</v>
      </c>
    </row>
    <row r="130" spans="1:8">
      <c r="A130">
        <v>2011</v>
      </c>
      <c r="B130">
        <v>25</v>
      </c>
      <c r="C130" s="2">
        <v>40720</v>
      </c>
      <c r="D130" s="1" t="s">
        <v>378</v>
      </c>
      <c r="E130">
        <v>170</v>
      </c>
      <c r="F130">
        <v>179</v>
      </c>
      <c r="G130">
        <v>145</v>
      </c>
      <c r="H130">
        <v>213</v>
      </c>
    </row>
    <row r="131" spans="1:8">
      <c r="A131">
        <v>2011</v>
      </c>
      <c r="B131">
        <v>26</v>
      </c>
      <c r="C131" s="2">
        <v>40727</v>
      </c>
      <c r="D131" s="1" t="s">
        <v>378</v>
      </c>
      <c r="E131">
        <v>186</v>
      </c>
      <c r="F131">
        <v>179</v>
      </c>
      <c r="G131">
        <v>144</v>
      </c>
      <c r="H131">
        <v>213</v>
      </c>
    </row>
    <row r="132" spans="1:8">
      <c r="A132">
        <v>2011</v>
      </c>
      <c r="B132">
        <v>27</v>
      </c>
      <c r="C132" s="2">
        <v>40734</v>
      </c>
      <c r="D132" s="1" t="s">
        <v>378</v>
      </c>
      <c r="E132">
        <v>172</v>
      </c>
      <c r="F132">
        <v>178</v>
      </c>
      <c r="G132">
        <v>144</v>
      </c>
      <c r="H132">
        <v>213</v>
      </c>
    </row>
    <row r="133" spans="1:8">
      <c r="A133">
        <v>2011</v>
      </c>
      <c r="B133">
        <v>28</v>
      </c>
      <c r="C133" s="2">
        <v>40741</v>
      </c>
      <c r="D133" s="1" t="s">
        <v>378</v>
      </c>
      <c r="E133">
        <v>172</v>
      </c>
      <c r="F133">
        <v>178</v>
      </c>
      <c r="G133">
        <v>144</v>
      </c>
      <c r="H133">
        <v>213</v>
      </c>
    </row>
    <row r="134" spans="1:8">
      <c r="A134">
        <v>2011</v>
      </c>
      <c r="B134">
        <v>29</v>
      </c>
      <c r="C134" s="2">
        <v>40748</v>
      </c>
      <c r="D134" s="1" t="s">
        <v>378</v>
      </c>
      <c r="E134">
        <v>179</v>
      </c>
      <c r="F134">
        <v>178</v>
      </c>
      <c r="G134">
        <v>144</v>
      </c>
      <c r="H134">
        <v>212</v>
      </c>
    </row>
    <row r="135" spans="1:8">
      <c r="A135">
        <v>2011</v>
      </c>
      <c r="B135">
        <v>30</v>
      </c>
      <c r="C135" s="2">
        <v>40755</v>
      </c>
      <c r="D135" s="1" t="s">
        <v>378</v>
      </c>
      <c r="E135">
        <v>157</v>
      </c>
      <c r="F135">
        <v>178</v>
      </c>
      <c r="G135">
        <v>144</v>
      </c>
      <c r="H135">
        <v>212</v>
      </c>
    </row>
    <row r="136" spans="1:8">
      <c r="A136">
        <v>2011</v>
      </c>
      <c r="B136">
        <v>31</v>
      </c>
      <c r="C136" s="2">
        <v>40762</v>
      </c>
      <c r="D136" s="1" t="s">
        <v>378</v>
      </c>
      <c r="E136">
        <v>154</v>
      </c>
      <c r="F136">
        <v>178</v>
      </c>
      <c r="G136">
        <v>144</v>
      </c>
      <c r="H136">
        <v>212</v>
      </c>
    </row>
    <row r="137" spans="1:8">
      <c r="A137">
        <v>2011</v>
      </c>
      <c r="B137">
        <v>32</v>
      </c>
      <c r="C137" s="2">
        <v>40769</v>
      </c>
      <c r="D137" s="1" t="s">
        <v>378</v>
      </c>
      <c r="E137">
        <v>191</v>
      </c>
      <c r="F137">
        <v>178</v>
      </c>
      <c r="G137">
        <v>144</v>
      </c>
      <c r="H137">
        <v>212</v>
      </c>
    </row>
    <row r="138" spans="1:8">
      <c r="A138">
        <v>2011</v>
      </c>
      <c r="B138">
        <v>33</v>
      </c>
      <c r="C138" s="2">
        <v>40776</v>
      </c>
      <c r="D138" s="1" t="s">
        <v>378</v>
      </c>
      <c r="E138">
        <v>182</v>
      </c>
      <c r="F138">
        <v>178</v>
      </c>
      <c r="G138">
        <v>144</v>
      </c>
      <c r="H138">
        <v>212</v>
      </c>
    </row>
    <row r="139" spans="1:8">
      <c r="A139">
        <v>2011</v>
      </c>
      <c r="B139">
        <v>34</v>
      </c>
      <c r="C139" s="2">
        <v>40783</v>
      </c>
      <c r="D139" s="1" t="s">
        <v>378</v>
      </c>
      <c r="E139">
        <v>181</v>
      </c>
      <c r="F139">
        <v>178</v>
      </c>
      <c r="G139">
        <v>144</v>
      </c>
      <c r="H139">
        <v>212</v>
      </c>
    </row>
    <row r="140" spans="1:8">
      <c r="A140">
        <v>2011</v>
      </c>
      <c r="B140">
        <v>35</v>
      </c>
      <c r="C140" s="2">
        <v>40790</v>
      </c>
      <c r="D140" s="1" t="s">
        <v>378</v>
      </c>
      <c r="E140">
        <v>192</v>
      </c>
      <c r="F140">
        <v>178</v>
      </c>
      <c r="G140">
        <v>144</v>
      </c>
      <c r="H140">
        <v>213</v>
      </c>
    </row>
    <row r="141" spans="1:8">
      <c r="A141">
        <v>2011</v>
      </c>
      <c r="B141">
        <v>36</v>
      </c>
      <c r="C141" s="2">
        <v>40797</v>
      </c>
      <c r="D141" s="1" t="s">
        <v>378</v>
      </c>
      <c r="E141">
        <v>181</v>
      </c>
      <c r="F141">
        <v>179</v>
      </c>
      <c r="G141">
        <v>144</v>
      </c>
      <c r="H141">
        <v>213</v>
      </c>
    </row>
    <row r="142" spans="1:8">
      <c r="A142">
        <v>2011</v>
      </c>
      <c r="B142">
        <v>37</v>
      </c>
      <c r="C142" s="2">
        <v>40804</v>
      </c>
      <c r="D142" s="1" t="s">
        <v>378</v>
      </c>
      <c r="E142">
        <v>161</v>
      </c>
      <c r="F142">
        <v>179</v>
      </c>
      <c r="G142">
        <v>144</v>
      </c>
      <c r="H142">
        <v>213</v>
      </c>
    </row>
    <row r="143" spans="1:8">
      <c r="A143">
        <v>2011</v>
      </c>
      <c r="B143">
        <v>38</v>
      </c>
      <c r="C143" s="2">
        <v>40811</v>
      </c>
      <c r="D143" s="1" t="s">
        <v>378</v>
      </c>
      <c r="E143">
        <v>182</v>
      </c>
      <c r="F143">
        <v>179</v>
      </c>
      <c r="G143">
        <v>145</v>
      </c>
      <c r="H143">
        <v>214</v>
      </c>
    </row>
    <row r="144" spans="1:8">
      <c r="A144">
        <v>2011</v>
      </c>
      <c r="B144">
        <v>39</v>
      </c>
      <c r="C144" s="2">
        <v>40818</v>
      </c>
      <c r="D144" s="1" t="s">
        <v>378</v>
      </c>
      <c r="E144">
        <v>179</v>
      </c>
      <c r="F144">
        <v>179</v>
      </c>
      <c r="G144">
        <v>145</v>
      </c>
      <c r="H144">
        <v>214</v>
      </c>
    </row>
    <row r="145" spans="1:8">
      <c r="A145">
        <v>2011</v>
      </c>
      <c r="B145">
        <v>40</v>
      </c>
      <c r="C145" s="2">
        <v>40825</v>
      </c>
      <c r="D145" s="1" t="s">
        <v>378</v>
      </c>
      <c r="E145">
        <v>171</v>
      </c>
      <c r="F145">
        <v>180</v>
      </c>
      <c r="G145">
        <v>145</v>
      </c>
      <c r="H145">
        <v>214</v>
      </c>
    </row>
    <row r="146" spans="1:8">
      <c r="A146">
        <v>2011</v>
      </c>
      <c r="B146">
        <v>41</v>
      </c>
      <c r="C146" s="2">
        <v>40832</v>
      </c>
      <c r="D146" s="1" t="s">
        <v>378</v>
      </c>
      <c r="E146">
        <v>191</v>
      </c>
      <c r="F146">
        <v>180</v>
      </c>
      <c r="G146">
        <v>145</v>
      </c>
      <c r="H146">
        <v>214</v>
      </c>
    </row>
    <row r="147" spans="1:8">
      <c r="A147">
        <v>2011</v>
      </c>
      <c r="B147">
        <v>42</v>
      </c>
      <c r="C147" s="2">
        <v>40839</v>
      </c>
      <c r="D147" s="1" t="s">
        <v>378</v>
      </c>
      <c r="E147">
        <v>177</v>
      </c>
      <c r="F147">
        <v>180</v>
      </c>
      <c r="G147">
        <v>146</v>
      </c>
      <c r="H147">
        <v>215</v>
      </c>
    </row>
    <row r="148" spans="1:8">
      <c r="A148">
        <v>2011</v>
      </c>
      <c r="B148">
        <v>43</v>
      </c>
      <c r="C148" s="2">
        <v>40846</v>
      </c>
      <c r="D148" s="1" t="s">
        <v>378</v>
      </c>
      <c r="E148">
        <v>194</v>
      </c>
      <c r="F148">
        <v>180</v>
      </c>
      <c r="G148">
        <v>146</v>
      </c>
      <c r="H148">
        <v>215</v>
      </c>
    </row>
    <row r="149" spans="1:8">
      <c r="A149">
        <v>2011</v>
      </c>
      <c r="B149">
        <v>44</v>
      </c>
      <c r="C149" s="2">
        <v>40853</v>
      </c>
      <c r="D149" s="1" t="s">
        <v>378</v>
      </c>
      <c r="E149">
        <v>156</v>
      </c>
      <c r="F149">
        <v>181</v>
      </c>
      <c r="G149">
        <v>146</v>
      </c>
      <c r="H149">
        <v>215</v>
      </c>
    </row>
    <row r="150" spans="1:8">
      <c r="A150">
        <v>2011</v>
      </c>
      <c r="B150">
        <v>45</v>
      </c>
      <c r="C150" s="2">
        <v>40860</v>
      </c>
      <c r="D150" s="1" t="s">
        <v>378</v>
      </c>
      <c r="E150">
        <v>177</v>
      </c>
      <c r="F150">
        <v>181</v>
      </c>
      <c r="G150">
        <v>146</v>
      </c>
      <c r="H150">
        <v>215</v>
      </c>
    </row>
    <row r="151" spans="1:8">
      <c r="A151">
        <v>2011</v>
      </c>
      <c r="B151">
        <v>46</v>
      </c>
      <c r="C151" s="2">
        <v>40867</v>
      </c>
      <c r="D151" s="1" t="s">
        <v>378</v>
      </c>
      <c r="E151">
        <v>195</v>
      </c>
      <c r="F151">
        <v>181</v>
      </c>
      <c r="G151">
        <v>146</v>
      </c>
      <c r="H151">
        <v>216</v>
      </c>
    </row>
    <row r="152" spans="1:8">
      <c r="A152">
        <v>2011</v>
      </c>
      <c r="B152">
        <v>47</v>
      </c>
      <c r="C152" s="2">
        <v>40874</v>
      </c>
      <c r="D152" s="1" t="s">
        <v>378</v>
      </c>
      <c r="E152">
        <v>175</v>
      </c>
      <c r="F152">
        <v>181</v>
      </c>
      <c r="G152">
        <v>147</v>
      </c>
      <c r="H152">
        <v>216</v>
      </c>
    </row>
    <row r="153" spans="1:8">
      <c r="A153">
        <v>2011</v>
      </c>
      <c r="B153">
        <v>48</v>
      </c>
      <c r="C153" s="2">
        <v>40881</v>
      </c>
      <c r="D153" s="1" t="s">
        <v>378</v>
      </c>
      <c r="E153">
        <v>168</v>
      </c>
      <c r="F153">
        <v>182</v>
      </c>
      <c r="G153">
        <v>147</v>
      </c>
      <c r="H153">
        <v>216</v>
      </c>
    </row>
    <row r="154" spans="1:8">
      <c r="A154">
        <v>2011</v>
      </c>
      <c r="B154">
        <v>49</v>
      </c>
      <c r="C154" s="2">
        <v>40888</v>
      </c>
      <c r="D154" s="1" t="s">
        <v>378</v>
      </c>
      <c r="E154">
        <v>184</v>
      </c>
      <c r="F154">
        <v>182</v>
      </c>
      <c r="G154">
        <v>147</v>
      </c>
      <c r="H154">
        <v>216</v>
      </c>
    </row>
    <row r="155" spans="1:8">
      <c r="A155">
        <v>2011</v>
      </c>
      <c r="B155">
        <v>50</v>
      </c>
      <c r="C155" s="2">
        <v>40895</v>
      </c>
      <c r="D155" s="1" t="s">
        <v>378</v>
      </c>
      <c r="E155">
        <v>191</v>
      </c>
      <c r="F155">
        <v>182</v>
      </c>
      <c r="G155">
        <v>147</v>
      </c>
      <c r="H155">
        <v>217</v>
      </c>
    </row>
    <row r="156" spans="1:8">
      <c r="A156">
        <v>2011</v>
      </c>
      <c r="B156">
        <v>51</v>
      </c>
      <c r="C156" s="2">
        <v>40902</v>
      </c>
      <c r="D156" s="1" t="s">
        <v>378</v>
      </c>
      <c r="E156">
        <v>197</v>
      </c>
      <c r="F156">
        <v>182</v>
      </c>
      <c r="G156">
        <v>147</v>
      </c>
      <c r="H156">
        <v>217</v>
      </c>
    </row>
    <row r="157" spans="1:8">
      <c r="A157">
        <v>2011</v>
      </c>
      <c r="B157">
        <v>52</v>
      </c>
      <c r="C157" s="2">
        <v>40909</v>
      </c>
      <c r="D157" s="1" t="s">
        <v>378</v>
      </c>
      <c r="E157">
        <v>171</v>
      </c>
      <c r="F157">
        <v>182</v>
      </c>
      <c r="G157">
        <v>148</v>
      </c>
      <c r="H157">
        <v>217</v>
      </c>
    </row>
    <row r="158" spans="1:8">
      <c r="A158">
        <v>2011</v>
      </c>
      <c r="B158">
        <v>1</v>
      </c>
      <c r="C158" s="2">
        <v>40552</v>
      </c>
      <c r="D158" s="1" t="s">
        <v>379</v>
      </c>
      <c r="E158">
        <v>1155</v>
      </c>
      <c r="F158">
        <v>1153</v>
      </c>
      <c r="G158">
        <v>1066</v>
      </c>
      <c r="H158">
        <v>1241</v>
      </c>
    </row>
    <row r="159" spans="1:8">
      <c r="A159">
        <v>2011</v>
      </c>
      <c r="B159">
        <v>2</v>
      </c>
      <c r="C159" s="2">
        <v>40559</v>
      </c>
      <c r="D159" s="1" t="s">
        <v>379</v>
      </c>
      <c r="E159">
        <v>1118</v>
      </c>
      <c r="F159">
        <v>1150</v>
      </c>
      <c r="G159">
        <v>1062</v>
      </c>
      <c r="H159">
        <v>1237</v>
      </c>
    </row>
    <row r="160" spans="1:8">
      <c r="A160">
        <v>2011</v>
      </c>
      <c r="B160">
        <v>3</v>
      </c>
      <c r="C160" s="2">
        <v>40566</v>
      </c>
      <c r="D160" s="1" t="s">
        <v>379</v>
      </c>
      <c r="E160">
        <v>1033</v>
      </c>
      <c r="F160">
        <v>1146</v>
      </c>
      <c r="G160">
        <v>1059</v>
      </c>
      <c r="H160">
        <v>1233</v>
      </c>
    </row>
    <row r="161" spans="1:8">
      <c r="A161">
        <v>2011</v>
      </c>
      <c r="B161">
        <v>4</v>
      </c>
      <c r="C161" s="2">
        <v>40573</v>
      </c>
      <c r="D161" s="1" t="s">
        <v>379</v>
      </c>
      <c r="E161">
        <v>1106</v>
      </c>
      <c r="F161">
        <v>1142</v>
      </c>
      <c r="G161">
        <v>1055</v>
      </c>
      <c r="H161">
        <v>1229</v>
      </c>
    </row>
    <row r="162" spans="1:8">
      <c r="A162">
        <v>2011</v>
      </c>
      <c r="B162">
        <v>5</v>
      </c>
      <c r="C162" s="2">
        <v>40580</v>
      </c>
      <c r="D162" s="1" t="s">
        <v>379</v>
      </c>
      <c r="E162">
        <v>1049</v>
      </c>
      <c r="F162">
        <v>1138</v>
      </c>
      <c r="G162">
        <v>1051</v>
      </c>
      <c r="H162">
        <v>1225</v>
      </c>
    </row>
    <row r="163" spans="1:8">
      <c r="A163">
        <v>2011</v>
      </c>
      <c r="B163">
        <v>6</v>
      </c>
      <c r="C163" s="2">
        <v>40587</v>
      </c>
      <c r="D163" s="1" t="s">
        <v>379</v>
      </c>
      <c r="E163">
        <v>1059</v>
      </c>
      <c r="F163">
        <v>1134</v>
      </c>
      <c r="G163">
        <v>1048</v>
      </c>
      <c r="H163">
        <v>1221</v>
      </c>
    </row>
    <row r="164" spans="1:8">
      <c r="A164">
        <v>2011</v>
      </c>
      <c r="B164">
        <v>7</v>
      </c>
      <c r="C164" s="2">
        <v>40594</v>
      </c>
      <c r="D164" s="1" t="s">
        <v>379</v>
      </c>
      <c r="E164">
        <v>1094</v>
      </c>
      <c r="F164">
        <v>1130</v>
      </c>
      <c r="G164">
        <v>1043</v>
      </c>
      <c r="H164">
        <v>1217</v>
      </c>
    </row>
    <row r="165" spans="1:8">
      <c r="A165">
        <v>2011</v>
      </c>
      <c r="B165">
        <v>8</v>
      </c>
      <c r="C165" s="2">
        <v>40601</v>
      </c>
      <c r="D165" s="1" t="s">
        <v>379</v>
      </c>
      <c r="E165">
        <v>1074</v>
      </c>
      <c r="F165">
        <v>1119</v>
      </c>
      <c r="G165">
        <v>1033</v>
      </c>
      <c r="H165">
        <v>1205</v>
      </c>
    </row>
    <row r="166" spans="1:8">
      <c r="A166">
        <v>2011</v>
      </c>
      <c r="B166">
        <v>9</v>
      </c>
      <c r="C166" s="2">
        <v>40608</v>
      </c>
      <c r="D166" s="1" t="s">
        <v>379</v>
      </c>
      <c r="E166">
        <v>1050</v>
      </c>
      <c r="F166">
        <v>1108</v>
      </c>
      <c r="G166">
        <v>1022</v>
      </c>
      <c r="H166">
        <v>1193</v>
      </c>
    </row>
    <row r="167" spans="1:8">
      <c r="A167">
        <v>2011</v>
      </c>
      <c r="B167">
        <v>10</v>
      </c>
      <c r="C167" s="2">
        <v>40615</v>
      </c>
      <c r="D167" s="1" t="s">
        <v>379</v>
      </c>
      <c r="E167">
        <v>1109</v>
      </c>
      <c r="F167">
        <v>1092</v>
      </c>
      <c r="G167">
        <v>1007</v>
      </c>
      <c r="H167">
        <v>1177</v>
      </c>
    </row>
    <row r="168" spans="1:8">
      <c r="A168">
        <v>2011</v>
      </c>
      <c r="B168">
        <v>11</v>
      </c>
      <c r="C168" s="2">
        <v>40622</v>
      </c>
      <c r="D168" s="1" t="s">
        <v>379</v>
      </c>
      <c r="E168">
        <v>1065</v>
      </c>
      <c r="F168">
        <v>1076</v>
      </c>
      <c r="G168">
        <v>991</v>
      </c>
      <c r="H168">
        <v>1160</v>
      </c>
    </row>
    <row r="169" spans="1:8">
      <c r="A169">
        <v>2011</v>
      </c>
      <c r="B169">
        <v>12</v>
      </c>
      <c r="C169" s="2">
        <v>40629</v>
      </c>
      <c r="D169" s="1" t="s">
        <v>379</v>
      </c>
      <c r="E169">
        <v>1017</v>
      </c>
      <c r="F169">
        <v>1057</v>
      </c>
      <c r="G169">
        <v>973</v>
      </c>
      <c r="H169">
        <v>1140</v>
      </c>
    </row>
    <row r="170" spans="1:8">
      <c r="A170">
        <v>2011</v>
      </c>
      <c r="B170">
        <v>13</v>
      </c>
      <c r="C170" s="2">
        <v>40636</v>
      </c>
      <c r="D170" s="1" t="s">
        <v>379</v>
      </c>
      <c r="E170">
        <v>1084</v>
      </c>
      <c r="F170">
        <v>1038</v>
      </c>
      <c r="G170">
        <v>955</v>
      </c>
      <c r="H170">
        <v>1121</v>
      </c>
    </row>
    <row r="171" spans="1:8">
      <c r="A171">
        <v>2011</v>
      </c>
      <c r="B171">
        <v>14</v>
      </c>
      <c r="C171" s="2">
        <v>40643</v>
      </c>
      <c r="D171" s="1" t="s">
        <v>379</v>
      </c>
      <c r="E171">
        <v>1049</v>
      </c>
      <c r="F171">
        <v>1021</v>
      </c>
      <c r="G171">
        <v>939</v>
      </c>
      <c r="H171">
        <v>1104</v>
      </c>
    </row>
    <row r="172" spans="1:8">
      <c r="A172">
        <v>2011</v>
      </c>
      <c r="B172">
        <v>15</v>
      </c>
      <c r="C172" s="2">
        <v>40650</v>
      </c>
      <c r="D172" s="1" t="s">
        <v>379</v>
      </c>
      <c r="E172">
        <v>895</v>
      </c>
      <c r="F172">
        <v>1008</v>
      </c>
      <c r="G172">
        <v>926</v>
      </c>
      <c r="H172">
        <v>1090</v>
      </c>
    </row>
    <row r="173" spans="1:8">
      <c r="A173">
        <v>2011</v>
      </c>
      <c r="B173">
        <v>16</v>
      </c>
      <c r="C173" s="2">
        <v>40657</v>
      </c>
      <c r="D173" s="1" t="s">
        <v>379</v>
      </c>
      <c r="E173">
        <v>1027</v>
      </c>
      <c r="F173">
        <v>995</v>
      </c>
      <c r="G173">
        <v>914</v>
      </c>
      <c r="H173">
        <v>1076</v>
      </c>
    </row>
    <row r="174" spans="1:8">
      <c r="A174">
        <v>2011</v>
      </c>
      <c r="B174">
        <v>17</v>
      </c>
      <c r="C174" s="2">
        <v>40664</v>
      </c>
      <c r="D174" s="1" t="s">
        <v>379</v>
      </c>
      <c r="E174">
        <v>992</v>
      </c>
      <c r="F174">
        <v>985</v>
      </c>
      <c r="G174">
        <v>904</v>
      </c>
      <c r="H174">
        <v>1065</v>
      </c>
    </row>
    <row r="175" spans="1:8">
      <c r="A175">
        <v>2011</v>
      </c>
      <c r="B175">
        <v>18</v>
      </c>
      <c r="C175" s="2">
        <v>40671</v>
      </c>
      <c r="D175" s="1" t="s">
        <v>379</v>
      </c>
      <c r="E175">
        <v>1011</v>
      </c>
      <c r="F175">
        <v>974</v>
      </c>
      <c r="G175">
        <v>894</v>
      </c>
      <c r="H175">
        <v>1055</v>
      </c>
    </row>
    <row r="176" spans="1:8">
      <c r="A176">
        <v>2011</v>
      </c>
      <c r="B176">
        <v>19</v>
      </c>
      <c r="C176" s="2">
        <v>40678</v>
      </c>
      <c r="D176" s="1" t="s">
        <v>379</v>
      </c>
      <c r="E176">
        <v>923</v>
      </c>
      <c r="F176">
        <v>965</v>
      </c>
      <c r="G176">
        <v>885</v>
      </c>
      <c r="H176">
        <v>1045</v>
      </c>
    </row>
    <row r="177" spans="1:9">
      <c r="A177">
        <v>2011</v>
      </c>
      <c r="B177">
        <v>20</v>
      </c>
      <c r="C177" s="2">
        <v>40685</v>
      </c>
      <c r="D177" s="1" t="s">
        <v>379</v>
      </c>
      <c r="E177">
        <v>920</v>
      </c>
      <c r="F177">
        <v>956</v>
      </c>
      <c r="G177">
        <v>877</v>
      </c>
      <c r="H177">
        <v>1036</v>
      </c>
    </row>
    <row r="178" spans="1:9">
      <c r="A178">
        <v>2011</v>
      </c>
      <c r="B178">
        <v>21</v>
      </c>
      <c r="C178" s="2">
        <v>40692</v>
      </c>
      <c r="D178" s="1" t="s">
        <v>379</v>
      </c>
      <c r="E178">
        <v>901</v>
      </c>
      <c r="F178">
        <v>949</v>
      </c>
      <c r="G178">
        <v>870</v>
      </c>
      <c r="H178">
        <v>1029</v>
      </c>
    </row>
    <row r="179" spans="1:9">
      <c r="A179">
        <v>2011</v>
      </c>
      <c r="B179">
        <v>22</v>
      </c>
      <c r="C179" s="2">
        <v>40699</v>
      </c>
      <c r="D179" s="1" t="s">
        <v>379</v>
      </c>
      <c r="E179">
        <v>927</v>
      </c>
      <c r="F179">
        <v>946</v>
      </c>
      <c r="G179">
        <v>867</v>
      </c>
      <c r="H179">
        <v>1025</v>
      </c>
    </row>
    <row r="180" spans="1:9">
      <c r="A180">
        <v>2011</v>
      </c>
      <c r="B180">
        <v>23</v>
      </c>
      <c r="C180" s="2">
        <v>40706</v>
      </c>
      <c r="D180" s="1" t="s">
        <v>379</v>
      </c>
      <c r="E180">
        <v>906</v>
      </c>
      <c r="F180">
        <v>943</v>
      </c>
      <c r="G180">
        <v>864</v>
      </c>
      <c r="H180">
        <v>1022</v>
      </c>
    </row>
    <row r="181" spans="1:9">
      <c r="A181">
        <v>2011</v>
      </c>
      <c r="B181">
        <v>24</v>
      </c>
      <c r="C181" s="2">
        <v>40713</v>
      </c>
      <c r="D181" s="1" t="s">
        <v>379</v>
      </c>
      <c r="E181">
        <v>928</v>
      </c>
      <c r="F181">
        <v>941</v>
      </c>
      <c r="G181">
        <v>862</v>
      </c>
      <c r="H181">
        <v>1020</v>
      </c>
    </row>
    <row r="182" spans="1:9">
      <c r="A182">
        <v>2011</v>
      </c>
      <c r="B182">
        <v>25</v>
      </c>
      <c r="C182" s="2">
        <v>40720</v>
      </c>
      <c r="D182" s="1" t="s">
        <v>379</v>
      </c>
      <c r="E182">
        <v>926</v>
      </c>
      <c r="F182">
        <v>938</v>
      </c>
      <c r="G182">
        <v>859</v>
      </c>
      <c r="H182">
        <v>1016</v>
      </c>
    </row>
    <row r="183" spans="1:9">
      <c r="A183">
        <v>2011</v>
      </c>
      <c r="B183">
        <v>26</v>
      </c>
      <c r="C183" s="2">
        <v>40727</v>
      </c>
      <c r="D183" s="1" t="s">
        <v>379</v>
      </c>
      <c r="E183">
        <v>955</v>
      </c>
      <c r="F183">
        <v>934</v>
      </c>
      <c r="G183">
        <v>855</v>
      </c>
      <c r="H183">
        <v>1013</v>
      </c>
    </row>
    <row r="184" spans="1:9">
      <c r="A184">
        <v>2011</v>
      </c>
      <c r="B184">
        <v>27</v>
      </c>
      <c r="C184" s="2">
        <v>40734</v>
      </c>
      <c r="D184" s="1" t="s">
        <v>379</v>
      </c>
      <c r="E184">
        <v>929</v>
      </c>
      <c r="F184">
        <v>931</v>
      </c>
      <c r="G184">
        <v>853</v>
      </c>
      <c r="H184">
        <v>1010</v>
      </c>
    </row>
    <row r="185" spans="1:9">
      <c r="A185">
        <v>2011</v>
      </c>
      <c r="B185">
        <v>28</v>
      </c>
      <c r="C185" s="2">
        <v>40741</v>
      </c>
      <c r="D185" s="1" t="s">
        <v>379</v>
      </c>
      <c r="E185">
        <v>938</v>
      </c>
      <c r="F185">
        <v>928</v>
      </c>
      <c r="G185">
        <v>849</v>
      </c>
      <c r="H185">
        <v>1006</v>
      </c>
    </row>
    <row r="186" spans="1:9">
      <c r="A186">
        <v>2011</v>
      </c>
      <c r="B186">
        <v>29</v>
      </c>
      <c r="C186" s="2">
        <v>40748</v>
      </c>
      <c r="D186" s="1" t="s">
        <v>379</v>
      </c>
      <c r="E186">
        <v>908</v>
      </c>
      <c r="F186">
        <v>924</v>
      </c>
      <c r="G186">
        <v>846</v>
      </c>
      <c r="H186">
        <v>1002</v>
      </c>
    </row>
    <row r="187" spans="1:9">
      <c r="A187">
        <v>2011</v>
      </c>
      <c r="B187">
        <v>30</v>
      </c>
      <c r="C187" s="2">
        <v>40755</v>
      </c>
      <c r="D187" s="1" t="s">
        <v>379</v>
      </c>
      <c r="E187">
        <v>989</v>
      </c>
      <c r="F187">
        <v>921</v>
      </c>
      <c r="G187">
        <v>842</v>
      </c>
      <c r="H187">
        <v>999</v>
      </c>
    </row>
    <row r="188" spans="1:9">
      <c r="A188">
        <v>2011</v>
      </c>
      <c r="B188">
        <v>31</v>
      </c>
      <c r="C188" s="2">
        <v>40762</v>
      </c>
      <c r="D188" s="1" t="s">
        <v>379</v>
      </c>
      <c r="E188">
        <v>955</v>
      </c>
      <c r="F188">
        <v>917</v>
      </c>
      <c r="G188">
        <v>839</v>
      </c>
      <c r="H188">
        <v>995</v>
      </c>
    </row>
    <row r="189" spans="1:9">
      <c r="A189">
        <v>2011</v>
      </c>
      <c r="B189">
        <v>32</v>
      </c>
      <c r="C189" s="2">
        <v>40769</v>
      </c>
      <c r="D189" s="1" t="s">
        <v>379</v>
      </c>
      <c r="E189">
        <v>892</v>
      </c>
      <c r="F189">
        <v>919</v>
      </c>
      <c r="G189">
        <v>841</v>
      </c>
      <c r="H189">
        <v>997</v>
      </c>
    </row>
    <row r="190" spans="1:9">
      <c r="A190">
        <v>2011</v>
      </c>
      <c r="B190">
        <v>33</v>
      </c>
      <c r="C190" s="2">
        <v>40776</v>
      </c>
      <c r="D190" s="1" t="s">
        <v>379</v>
      </c>
      <c r="E190">
        <v>968</v>
      </c>
      <c r="F190">
        <v>921</v>
      </c>
      <c r="G190">
        <v>843</v>
      </c>
      <c r="H190">
        <v>999</v>
      </c>
    </row>
    <row r="191" spans="1:9">
      <c r="A191">
        <v>2011</v>
      </c>
      <c r="B191">
        <v>34</v>
      </c>
      <c r="C191" s="2">
        <v>40783</v>
      </c>
      <c r="D191" s="1" t="s">
        <v>379</v>
      </c>
      <c r="E191">
        <v>1024</v>
      </c>
      <c r="F191">
        <v>925</v>
      </c>
      <c r="G191">
        <v>847</v>
      </c>
      <c r="H191">
        <v>1003</v>
      </c>
      <c r="I191">
        <v>1024</v>
      </c>
    </row>
    <row r="192" spans="1:9">
      <c r="A192">
        <v>2011</v>
      </c>
      <c r="B192">
        <v>35</v>
      </c>
      <c r="C192" s="2">
        <v>40790</v>
      </c>
      <c r="D192" s="1" t="s">
        <v>379</v>
      </c>
      <c r="E192">
        <v>933</v>
      </c>
      <c r="F192">
        <v>931</v>
      </c>
      <c r="G192">
        <v>852</v>
      </c>
      <c r="H192">
        <v>1009</v>
      </c>
    </row>
    <row r="193" spans="1:8">
      <c r="A193">
        <v>2011</v>
      </c>
      <c r="B193">
        <v>36</v>
      </c>
      <c r="C193" s="2">
        <v>40797</v>
      </c>
      <c r="D193" s="1" t="s">
        <v>379</v>
      </c>
      <c r="E193">
        <v>930</v>
      </c>
      <c r="F193">
        <v>936</v>
      </c>
      <c r="G193">
        <v>857</v>
      </c>
      <c r="H193">
        <v>1015</v>
      </c>
    </row>
    <row r="194" spans="1:8">
      <c r="A194">
        <v>2011</v>
      </c>
      <c r="B194">
        <v>37</v>
      </c>
      <c r="C194" s="2">
        <v>40804</v>
      </c>
      <c r="D194" s="1" t="s">
        <v>379</v>
      </c>
      <c r="E194">
        <v>924</v>
      </c>
      <c r="F194">
        <v>943</v>
      </c>
      <c r="G194">
        <v>864</v>
      </c>
      <c r="H194">
        <v>1022</v>
      </c>
    </row>
    <row r="195" spans="1:8">
      <c r="A195">
        <v>2011</v>
      </c>
      <c r="B195">
        <v>38</v>
      </c>
      <c r="C195" s="2">
        <v>40811</v>
      </c>
      <c r="D195" s="1" t="s">
        <v>379</v>
      </c>
      <c r="E195">
        <v>931</v>
      </c>
      <c r="F195">
        <v>951</v>
      </c>
      <c r="G195">
        <v>871</v>
      </c>
      <c r="H195">
        <v>1030</v>
      </c>
    </row>
    <row r="196" spans="1:8">
      <c r="A196">
        <v>2011</v>
      </c>
      <c r="B196">
        <v>39</v>
      </c>
      <c r="C196" s="2">
        <v>40818</v>
      </c>
      <c r="D196" s="1" t="s">
        <v>379</v>
      </c>
      <c r="E196">
        <v>953</v>
      </c>
      <c r="F196">
        <v>958</v>
      </c>
      <c r="G196">
        <v>879</v>
      </c>
      <c r="H196">
        <v>1038</v>
      </c>
    </row>
    <row r="197" spans="1:8">
      <c r="A197">
        <v>2011</v>
      </c>
      <c r="B197">
        <v>40</v>
      </c>
      <c r="C197" s="2">
        <v>40825</v>
      </c>
      <c r="D197" s="1" t="s">
        <v>379</v>
      </c>
      <c r="E197">
        <v>970</v>
      </c>
      <c r="F197">
        <v>966</v>
      </c>
      <c r="G197">
        <v>886</v>
      </c>
      <c r="H197">
        <v>1046</v>
      </c>
    </row>
    <row r="198" spans="1:8">
      <c r="A198">
        <v>2011</v>
      </c>
      <c r="B198">
        <v>41</v>
      </c>
      <c r="C198" s="2">
        <v>40832</v>
      </c>
      <c r="D198" s="1" t="s">
        <v>379</v>
      </c>
      <c r="E198">
        <v>1005</v>
      </c>
      <c r="F198">
        <v>974</v>
      </c>
      <c r="G198">
        <v>893</v>
      </c>
      <c r="H198">
        <v>1054</v>
      </c>
    </row>
    <row r="199" spans="1:8">
      <c r="A199">
        <v>2011</v>
      </c>
      <c r="B199">
        <v>42</v>
      </c>
      <c r="C199" s="2">
        <v>40839</v>
      </c>
      <c r="D199" s="1" t="s">
        <v>379</v>
      </c>
      <c r="E199">
        <v>939</v>
      </c>
      <c r="F199">
        <v>981</v>
      </c>
      <c r="G199">
        <v>900</v>
      </c>
      <c r="H199">
        <v>1062</v>
      </c>
    </row>
    <row r="200" spans="1:8">
      <c r="A200">
        <v>2011</v>
      </c>
      <c r="B200">
        <v>43</v>
      </c>
      <c r="C200" s="2">
        <v>40846</v>
      </c>
      <c r="D200" s="1" t="s">
        <v>379</v>
      </c>
      <c r="E200">
        <v>1060</v>
      </c>
      <c r="F200">
        <v>991</v>
      </c>
      <c r="G200">
        <v>910</v>
      </c>
      <c r="H200">
        <v>1072</v>
      </c>
    </row>
    <row r="201" spans="1:8">
      <c r="A201">
        <v>2011</v>
      </c>
      <c r="B201">
        <v>44</v>
      </c>
      <c r="C201" s="2">
        <v>40853</v>
      </c>
      <c r="D201" s="1" t="s">
        <v>379</v>
      </c>
      <c r="E201">
        <v>1030</v>
      </c>
      <c r="F201">
        <v>1001</v>
      </c>
      <c r="G201">
        <v>919</v>
      </c>
      <c r="H201">
        <v>1082</v>
      </c>
    </row>
    <row r="202" spans="1:8">
      <c r="A202">
        <v>2011</v>
      </c>
      <c r="B202">
        <v>45</v>
      </c>
      <c r="C202" s="2">
        <v>40860</v>
      </c>
      <c r="D202" s="1" t="s">
        <v>379</v>
      </c>
      <c r="E202">
        <v>991</v>
      </c>
      <c r="F202">
        <v>1013</v>
      </c>
      <c r="G202">
        <v>931</v>
      </c>
      <c r="H202">
        <v>1095</v>
      </c>
    </row>
    <row r="203" spans="1:8">
      <c r="A203">
        <v>2011</v>
      </c>
      <c r="B203">
        <v>46</v>
      </c>
      <c r="C203" s="2">
        <v>40867</v>
      </c>
      <c r="D203" s="1" t="s">
        <v>379</v>
      </c>
      <c r="E203">
        <v>1004</v>
      </c>
      <c r="F203">
        <v>1024</v>
      </c>
      <c r="G203">
        <v>942</v>
      </c>
      <c r="H203">
        <v>1107</v>
      </c>
    </row>
    <row r="204" spans="1:8">
      <c r="A204">
        <v>2011</v>
      </c>
      <c r="B204">
        <v>47</v>
      </c>
      <c r="C204" s="2">
        <v>40874</v>
      </c>
      <c r="D204" s="1" t="s">
        <v>379</v>
      </c>
      <c r="E204">
        <v>1048</v>
      </c>
      <c r="F204">
        <v>1039</v>
      </c>
      <c r="G204">
        <v>956</v>
      </c>
      <c r="H204">
        <v>1122</v>
      </c>
    </row>
    <row r="205" spans="1:8">
      <c r="A205">
        <v>2011</v>
      </c>
      <c r="B205">
        <v>48</v>
      </c>
      <c r="C205" s="2">
        <v>40881</v>
      </c>
      <c r="D205" s="1" t="s">
        <v>379</v>
      </c>
      <c r="E205">
        <v>1087</v>
      </c>
      <c r="F205">
        <v>1057</v>
      </c>
      <c r="G205">
        <v>973</v>
      </c>
      <c r="H205">
        <v>1141</v>
      </c>
    </row>
    <row r="206" spans="1:8">
      <c r="A206">
        <v>2011</v>
      </c>
      <c r="B206">
        <v>49</v>
      </c>
      <c r="C206" s="2">
        <v>40888</v>
      </c>
      <c r="D206" s="1" t="s">
        <v>379</v>
      </c>
      <c r="E206">
        <v>1057</v>
      </c>
      <c r="F206">
        <v>1075</v>
      </c>
      <c r="G206">
        <v>990</v>
      </c>
      <c r="H206">
        <v>1159</v>
      </c>
    </row>
    <row r="207" spans="1:8">
      <c r="A207">
        <v>2011</v>
      </c>
      <c r="B207">
        <v>50</v>
      </c>
      <c r="C207" s="2">
        <v>40895</v>
      </c>
      <c r="D207" s="1" t="s">
        <v>379</v>
      </c>
      <c r="E207">
        <v>1090</v>
      </c>
      <c r="F207">
        <v>1092</v>
      </c>
      <c r="G207">
        <v>1007</v>
      </c>
      <c r="H207">
        <v>1177</v>
      </c>
    </row>
    <row r="208" spans="1:8">
      <c r="A208">
        <v>2011</v>
      </c>
      <c r="B208">
        <v>51</v>
      </c>
      <c r="C208" s="2">
        <v>40902</v>
      </c>
      <c r="D208" s="1" t="s">
        <v>379</v>
      </c>
      <c r="E208">
        <v>1084</v>
      </c>
      <c r="F208">
        <v>1109</v>
      </c>
      <c r="G208">
        <v>1023</v>
      </c>
      <c r="H208">
        <v>1195</v>
      </c>
    </row>
    <row r="209" spans="1:8">
      <c r="A209">
        <v>2011</v>
      </c>
      <c r="B209">
        <v>52</v>
      </c>
      <c r="C209" s="2">
        <v>40909</v>
      </c>
      <c r="D209" s="1" t="s">
        <v>379</v>
      </c>
      <c r="E209">
        <v>1065</v>
      </c>
      <c r="F209">
        <v>1126</v>
      </c>
      <c r="G209">
        <v>1040</v>
      </c>
      <c r="H209">
        <v>1213</v>
      </c>
    </row>
    <row r="210" spans="1:8">
      <c r="A210">
        <v>2012</v>
      </c>
      <c r="B210">
        <v>1</v>
      </c>
      <c r="C210" s="2">
        <v>40916</v>
      </c>
      <c r="D210" s="1" t="s">
        <v>378</v>
      </c>
      <c r="E210">
        <v>175</v>
      </c>
      <c r="F210">
        <v>188</v>
      </c>
      <c r="G210">
        <v>152</v>
      </c>
      <c r="H210">
        <v>223</v>
      </c>
    </row>
    <row r="211" spans="1:8">
      <c r="A211">
        <v>2012</v>
      </c>
      <c r="B211">
        <v>2</v>
      </c>
      <c r="C211" s="2">
        <v>40923</v>
      </c>
      <c r="D211" s="1" t="s">
        <v>378</v>
      </c>
      <c r="E211">
        <v>198</v>
      </c>
      <c r="F211">
        <v>187</v>
      </c>
      <c r="G211">
        <v>152</v>
      </c>
      <c r="H211">
        <v>222</v>
      </c>
    </row>
    <row r="212" spans="1:8">
      <c r="A212">
        <v>2012</v>
      </c>
      <c r="B212">
        <v>3</v>
      </c>
      <c r="C212" s="2">
        <v>40930</v>
      </c>
      <c r="D212" s="1" t="s">
        <v>378</v>
      </c>
      <c r="E212">
        <v>163</v>
      </c>
      <c r="F212">
        <v>186</v>
      </c>
      <c r="G212">
        <v>151</v>
      </c>
      <c r="H212">
        <v>222</v>
      </c>
    </row>
    <row r="213" spans="1:8">
      <c r="A213">
        <v>2012</v>
      </c>
      <c r="B213">
        <v>4</v>
      </c>
      <c r="C213" s="2">
        <v>40937</v>
      </c>
      <c r="D213" s="1" t="s">
        <v>378</v>
      </c>
      <c r="E213">
        <v>189</v>
      </c>
      <c r="F213">
        <v>186</v>
      </c>
      <c r="G213">
        <v>151</v>
      </c>
      <c r="H213">
        <v>221</v>
      </c>
    </row>
    <row r="214" spans="1:8">
      <c r="A214">
        <v>2012</v>
      </c>
      <c r="B214">
        <v>5</v>
      </c>
      <c r="C214" s="2">
        <v>40944</v>
      </c>
      <c r="D214" s="1" t="s">
        <v>378</v>
      </c>
      <c r="E214">
        <v>199</v>
      </c>
      <c r="F214">
        <v>185</v>
      </c>
      <c r="G214">
        <v>150</v>
      </c>
      <c r="H214">
        <v>220</v>
      </c>
    </row>
    <row r="215" spans="1:8">
      <c r="A215">
        <v>2012</v>
      </c>
      <c r="B215">
        <v>6</v>
      </c>
      <c r="C215" s="2">
        <v>40951</v>
      </c>
      <c r="D215" s="1" t="s">
        <v>378</v>
      </c>
      <c r="E215">
        <v>218</v>
      </c>
      <c r="F215">
        <v>185</v>
      </c>
      <c r="G215">
        <v>150</v>
      </c>
      <c r="H215">
        <v>220</v>
      </c>
    </row>
    <row r="216" spans="1:8">
      <c r="A216">
        <v>2012</v>
      </c>
      <c r="B216">
        <v>7</v>
      </c>
      <c r="C216" s="2">
        <v>40958</v>
      </c>
      <c r="D216" s="1" t="s">
        <v>378</v>
      </c>
      <c r="E216">
        <v>206</v>
      </c>
      <c r="F216">
        <v>184</v>
      </c>
      <c r="G216">
        <v>149</v>
      </c>
      <c r="H216">
        <v>219</v>
      </c>
    </row>
    <row r="217" spans="1:8">
      <c r="A217">
        <v>2012</v>
      </c>
      <c r="B217">
        <v>8</v>
      </c>
      <c r="C217" s="2">
        <v>40965</v>
      </c>
      <c r="D217" s="1" t="s">
        <v>378</v>
      </c>
      <c r="E217">
        <v>181</v>
      </c>
      <c r="F217">
        <v>184</v>
      </c>
      <c r="G217">
        <v>149</v>
      </c>
      <c r="H217">
        <v>218</v>
      </c>
    </row>
    <row r="218" spans="1:8">
      <c r="A218">
        <v>2012</v>
      </c>
      <c r="B218">
        <v>9</v>
      </c>
      <c r="C218" s="2">
        <v>40972</v>
      </c>
      <c r="D218" s="1" t="s">
        <v>378</v>
      </c>
      <c r="E218">
        <v>198</v>
      </c>
      <c r="F218">
        <v>183</v>
      </c>
      <c r="G218">
        <v>148</v>
      </c>
      <c r="H218">
        <v>218</v>
      </c>
    </row>
    <row r="219" spans="1:8">
      <c r="A219">
        <v>2012</v>
      </c>
      <c r="B219">
        <v>10</v>
      </c>
      <c r="C219" s="2">
        <v>40979</v>
      </c>
      <c r="D219" s="1" t="s">
        <v>378</v>
      </c>
      <c r="E219">
        <v>181</v>
      </c>
      <c r="F219">
        <v>182</v>
      </c>
      <c r="G219">
        <v>148</v>
      </c>
      <c r="H219">
        <v>217</v>
      </c>
    </row>
    <row r="220" spans="1:8">
      <c r="A220">
        <v>2012</v>
      </c>
      <c r="B220">
        <v>11</v>
      </c>
      <c r="C220" s="2">
        <v>40986</v>
      </c>
      <c r="D220" s="1" t="s">
        <v>378</v>
      </c>
      <c r="E220">
        <v>210</v>
      </c>
      <c r="F220">
        <v>182</v>
      </c>
      <c r="G220">
        <v>147</v>
      </c>
      <c r="H220">
        <v>217</v>
      </c>
    </row>
    <row r="221" spans="1:8">
      <c r="A221">
        <v>2012</v>
      </c>
      <c r="B221">
        <v>12</v>
      </c>
      <c r="C221" s="2">
        <v>40993</v>
      </c>
      <c r="D221" s="1" t="s">
        <v>378</v>
      </c>
      <c r="E221">
        <v>180</v>
      </c>
      <c r="F221">
        <v>181</v>
      </c>
      <c r="G221">
        <v>147</v>
      </c>
      <c r="H221">
        <v>216</v>
      </c>
    </row>
    <row r="222" spans="1:8">
      <c r="A222">
        <v>2012</v>
      </c>
      <c r="B222">
        <v>13</v>
      </c>
      <c r="C222" s="2">
        <v>41000</v>
      </c>
      <c r="D222" s="1" t="s">
        <v>378</v>
      </c>
      <c r="E222">
        <v>187</v>
      </c>
      <c r="F222">
        <v>181</v>
      </c>
      <c r="G222">
        <v>146</v>
      </c>
      <c r="H222">
        <v>215</v>
      </c>
    </row>
    <row r="223" spans="1:8">
      <c r="A223">
        <v>2012</v>
      </c>
      <c r="B223">
        <v>14</v>
      </c>
      <c r="C223" s="2">
        <v>41007</v>
      </c>
      <c r="D223" s="1" t="s">
        <v>378</v>
      </c>
      <c r="E223">
        <v>202</v>
      </c>
      <c r="F223">
        <v>180</v>
      </c>
      <c r="G223">
        <v>146</v>
      </c>
      <c r="H223">
        <v>215</v>
      </c>
    </row>
    <row r="224" spans="1:8">
      <c r="A224">
        <v>2012</v>
      </c>
      <c r="B224">
        <v>15</v>
      </c>
      <c r="C224" s="2">
        <v>41014</v>
      </c>
      <c r="D224" s="1" t="s">
        <v>378</v>
      </c>
      <c r="E224">
        <v>182</v>
      </c>
      <c r="F224">
        <v>179</v>
      </c>
      <c r="G224">
        <v>145</v>
      </c>
      <c r="H224">
        <v>214</v>
      </c>
    </row>
    <row r="225" spans="1:8">
      <c r="A225">
        <v>2012</v>
      </c>
      <c r="B225">
        <v>16</v>
      </c>
      <c r="C225" s="2">
        <v>41021</v>
      </c>
      <c r="D225" s="1" t="s">
        <v>378</v>
      </c>
      <c r="E225">
        <v>189</v>
      </c>
      <c r="F225">
        <v>179</v>
      </c>
      <c r="G225">
        <v>144</v>
      </c>
      <c r="H225">
        <v>213</v>
      </c>
    </row>
    <row r="226" spans="1:8">
      <c r="A226">
        <v>2012</v>
      </c>
      <c r="B226">
        <v>17</v>
      </c>
      <c r="C226" s="2">
        <v>41028</v>
      </c>
      <c r="D226" s="1" t="s">
        <v>378</v>
      </c>
      <c r="E226">
        <v>207</v>
      </c>
      <c r="F226">
        <v>178</v>
      </c>
      <c r="G226">
        <v>144</v>
      </c>
      <c r="H226">
        <v>213</v>
      </c>
    </row>
    <row r="227" spans="1:8">
      <c r="A227">
        <v>2012</v>
      </c>
      <c r="B227">
        <v>18</v>
      </c>
      <c r="C227" s="2">
        <v>41035</v>
      </c>
      <c r="D227" s="1" t="s">
        <v>378</v>
      </c>
      <c r="E227">
        <v>167</v>
      </c>
      <c r="F227">
        <v>178</v>
      </c>
      <c r="G227">
        <v>143</v>
      </c>
      <c r="H227">
        <v>212</v>
      </c>
    </row>
    <row r="228" spans="1:8">
      <c r="A228">
        <v>2012</v>
      </c>
      <c r="B228">
        <v>19</v>
      </c>
      <c r="C228" s="2">
        <v>41042</v>
      </c>
      <c r="D228" s="1" t="s">
        <v>378</v>
      </c>
      <c r="E228">
        <v>195</v>
      </c>
      <c r="F228">
        <v>177</v>
      </c>
      <c r="G228">
        <v>143</v>
      </c>
      <c r="H228">
        <v>211</v>
      </c>
    </row>
    <row r="229" spans="1:8">
      <c r="A229">
        <v>2012</v>
      </c>
      <c r="B229">
        <v>20</v>
      </c>
      <c r="C229" s="2">
        <v>41049</v>
      </c>
      <c r="D229" s="1" t="s">
        <v>378</v>
      </c>
      <c r="E229">
        <v>161</v>
      </c>
      <c r="F229">
        <v>176</v>
      </c>
      <c r="G229">
        <v>142</v>
      </c>
      <c r="H229">
        <v>211</v>
      </c>
    </row>
    <row r="230" spans="1:8">
      <c r="A230">
        <v>2012</v>
      </c>
      <c r="B230">
        <v>21</v>
      </c>
      <c r="C230" s="2">
        <v>41056</v>
      </c>
      <c r="D230" s="1" t="s">
        <v>378</v>
      </c>
      <c r="E230">
        <v>175</v>
      </c>
      <c r="F230">
        <v>176</v>
      </c>
      <c r="G230">
        <v>142</v>
      </c>
      <c r="H230">
        <v>210</v>
      </c>
    </row>
    <row r="231" spans="1:8">
      <c r="A231">
        <v>2012</v>
      </c>
      <c r="B231">
        <v>22</v>
      </c>
      <c r="C231" s="2">
        <v>41063</v>
      </c>
      <c r="D231" s="1" t="s">
        <v>378</v>
      </c>
      <c r="E231">
        <v>177</v>
      </c>
      <c r="F231">
        <v>175</v>
      </c>
      <c r="G231">
        <v>141</v>
      </c>
      <c r="H231">
        <v>209</v>
      </c>
    </row>
    <row r="232" spans="1:8">
      <c r="A232">
        <v>2012</v>
      </c>
      <c r="B232">
        <v>23</v>
      </c>
      <c r="C232" s="2">
        <v>41070</v>
      </c>
      <c r="D232" s="1" t="s">
        <v>378</v>
      </c>
      <c r="E232">
        <v>162</v>
      </c>
      <c r="F232">
        <v>175</v>
      </c>
      <c r="G232">
        <v>141</v>
      </c>
      <c r="H232">
        <v>209</v>
      </c>
    </row>
    <row r="233" spans="1:8">
      <c r="A233">
        <v>2012</v>
      </c>
      <c r="B233">
        <v>24</v>
      </c>
      <c r="C233" s="2">
        <v>41077</v>
      </c>
      <c r="D233" s="1" t="s">
        <v>378</v>
      </c>
      <c r="E233">
        <v>183</v>
      </c>
      <c r="F233">
        <v>175</v>
      </c>
      <c r="G233">
        <v>141</v>
      </c>
      <c r="H233">
        <v>209</v>
      </c>
    </row>
    <row r="234" spans="1:8">
      <c r="A234">
        <v>2012</v>
      </c>
      <c r="B234">
        <v>25</v>
      </c>
      <c r="C234" s="2">
        <v>41084</v>
      </c>
      <c r="D234" s="1" t="s">
        <v>378</v>
      </c>
      <c r="E234">
        <v>185</v>
      </c>
      <c r="F234">
        <v>174</v>
      </c>
      <c r="G234">
        <v>140</v>
      </c>
      <c r="H234">
        <v>208</v>
      </c>
    </row>
    <row r="235" spans="1:8">
      <c r="A235">
        <v>2012</v>
      </c>
      <c r="B235">
        <v>26</v>
      </c>
      <c r="C235" s="2">
        <v>41091</v>
      </c>
      <c r="D235" s="1" t="s">
        <v>378</v>
      </c>
      <c r="E235">
        <v>190</v>
      </c>
      <c r="F235">
        <v>174</v>
      </c>
      <c r="G235">
        <v>140</v>
      </c>
      <c r="H235">
        <v>208</v>
      </c>
    </row>
    <row r="236" spans="1:8">
      <c r="A236">
        <v>2012</v>
      </c>
      <c r="B236">
        <v>27</v>
      </c>
      <c r="C236" s="2">
        <v>41098</v>
      </c>
      <c r="D236" s="1" t="s">
        <v>378</v>
      </c>
      <c r="E236">
        <v>194</v>
      </c>
      <c r="F236">
        <v>174</v>
      </c>
      <c r="G236">
        <v>140</v>
      </c>
      <c r="H236">
        <v>208</v>
      </c>
    </row>
    <row r="237" spans="1:8">
      <c r="A237">
        <v>2012</v>
      </c>
      <c r="B237">
        <v>28</v>
      </c>
      <c r="C237" s="2">
        <v>41105</v>
      </c>
      <c r="D237" s="1" t="s">
        <v>378</v>
      </c>
      <c r="E237">
        <v>178</v>
      </c>
      <c r="F237">
        <v>174</v>
      </c>
      <c r="G237">
        <v>140</v>
      </c>
      <c r="H237">
        <v>207</v>
      </c>
    </row>
    <row r="238" spans="1:8">
      <c r="A238">
        <v>2012</v>
      </c>
      <c r="B238">
        <v>29</v>
      </c>
      <c r="C238" s="2">
        <v>41112</v>
      </c>
      <c r="D238" s="1" t="s">
        <v>378</v>
      </c>
      <c r="E238">
        <v>140</v>
      </c>
      <c r="F238">
        <v>173</v>
      </c>
      <c r="G238">
        <v>140</v>
      </c>
      <c r="H238">
        <v>207</v>
      </c>
    </row>
    <row r="239" spans="1:8">
      <c r="A239">
        <v>2012</v>
      </c>
      <c r="B239">
        <v>30</v>
      </c>
      <c r="C239" s="2">
        <v>41119</v>
      </c>
      <c r="D239" s="1" t="s">
        <v>378</v>
      </c>
      <c r="E239">
        <v>185</v>
      </c>
      <c r="F239">
        <v>173</v>
      </c>
      <c r="G239">
        <v>139</v>
      </c>
      <c r="H239">
        <v>207</v>
      </c>
    </row>
    <row r="240" spans="1:8">
      <c r="A240">
        <v>2012</v>
      </c>
      <c r="B240">
        <v>31</v>
      </c>
      <c r="C240" s="2">
        <v>41126</v>
      </c>
      <c r="D240" s="1" t="s">
        <v>378</v>
      </c>
      <c r="E240">
        <v>177</v>
      </c>
      <c r="F240">
        <v>173</v>
      </c>
      <c r="G240">
        <v>139</v>
      </c>
      <c r="H240">
        <v>207</v>
      </c>
    </row>
    <row r="241" spans="1:8">
      <c r="A241">
        <v>2012</v>
      </c>
      <c r="B241">
        <v>32</v>
      </c>
      <c r="C241" s="2">
        <v>41133</v>
      </c>
      <c r="D241" s="1" t="s">
        <v>378</v>
      </c>
      <c r="E241">
        <v>166</v>
      </c>
      <c r="F241">
        <v>173</v>
      </c>
      <c r="G241">
        <v>139</v>
      </c>
      <c r="H241">
        <v>207</v>
      </c>
    </row>
    <row r="242" spans="1:8">
      <c r="A242">
        <v>2012</v>
      </c>
      <c r="B242">
        <v>33</v>
      </c>
      <c r="C242" s="2">
        <v>41140</v>
      </c>
      <c r="D242" s="1" t="s">
        <v>378</v>
      </c>
      <c r="E242">
        <v>169</v>
      </c>
      <c r="F242">
        <v>173</v>
      </c>
      <c r="G242">
        <v>140</v>
      </c>
      <c r="H242">
        <v>207</v>
      </c>
    </row>
    <row r="243" spans="1:8">
      <c r="A243">
        <v>2012</v>
      </c>
      <c r="B243">
        <v>34</v>
      </c>
      <c r="C243" s="2">
        <v>41147</v>
      </c>
      <c r="D243" s="1" t="s">
        <v>378</v>
      </c>
      <c r="E243">
        <v>201</v>
      </c>
      <c r="F243">
        <v>173</v>
      </c>
      <c r="G243">
        <v>140</v>
      </c>
      <c r="H243">
        <v>207</v>
      </c>
    </row>
    <row r="244" spans="1:8">
      <c r="A244">
        <v>2012</v>
      </c>
      <c r="B244">
        <v>35</v>
      </c>
      <c r="C244" s="2">
        <v>41154</v>
      </c>
      <c r="D244" s="1" t="s">
        <v>378</v>
      </c>
      <c r="E244">
        <v>167</v>
      </c>
      <c r="F244">
        <v>174</v>
      </c>
      <c r="G244">
        <v>140</v>
      </c>
      <c r="H244">
        <v>208</v>
      </c>
    </row>
    <row r="245" spans="1:8">
      <c r="A245">
        <v>2012</v>
      </c>
      <c r="B245">
        <v>36</v>
      </c>
      <c r="C245" s="2">
        <v>41161</v>
      </c>
      <c r="D245" s="1" t="s">
        <v>378</v>
      </c>
      <c r="E245">
        <v>172</v>
      </c>
      <c r="F245">
        <v>174</v>
      </c>
      <c r="G245">
        <v>140</v>
      </c>
      <c r="H245">
        <v>208</v>
      </c>
    </row>
    <row r="246" spans="1:8">
      <c r="A246">
        <v>2012</v>
      </c>
      <c r="B246">
        <v>37</v>
      </c>
      <c r="C246" s="2">
        <v>41168</v>
      </c>
      <c r="D246" s="1" t="s">
        <v>378</v>
      </c>
      <c r="E246">
        <v>189</v>
      </c>
      <c r="F246">
        <v>174</v>
      </c>
      <c r="G246">
        <v>140</v>
      </c>
      <c r="H246">
        <v>208</v>
      </c>
    </row>
    <row r="247" spans="1:8">
      <c r="A247">
        <v>2012</v>
      </c>
      <c r="B247">
        <v>38</v>
      </c>
      <c r="C247" s="2">
        <v>41175</v>
      </c>
      <c r="D247" s="1" t="s">
        <v>378</v>
      </c>
      <c r="E247">
        <v>180</v>
      </c>
      <c r="F247">
        <v>174</v>
      </c>
      <c r="G247">
        <v>140</v>
      </c>
      <c r="H247">
        <v>208</v>
      </c>
    </row>
    <row r="248" spans="1:8">
      <c r="A248">
        <v>2012</v>
      </c>
      <c r="B248">
        <v>39</v>
      </c>
      <c r="C248" s="2">
        <v>41182</v>
      </c>
      <c r="D248" s="1" t="s">
        <v>378</v>
      </c>
      <c r="E248">
        <v>176</v>
      </c>
      <c r="F248">
        <v>175</v>
      </c>
      <c r="G248">
        <v>141</v>
      </c>
      <c r="H248">
        <v>209</v>
      </c>
    </row>
    <row r="249" spans="1:8">
      <c r="A249">
        <v>2012</v>
      </c>
      <c r="B249">
        <v>40</v>
      </c>
      <c r="C249" s="2">
        <v>41189</v>
      </c>
      <c r="D249" s="1" t="s">
        <v>378</v>
      </c>
      <c r="E249">
        <v>180</v>
      </c>
      <c r="F249">
        <v>175</v>
      </c>
      <c r="G249">
        <v>141</v>
      </c>
      <c r="H249">
        <v>209</v>
      </c>
    </row>
    <row r="250" spans="1:8">
      <c r="A250">
        <v>2012</v>
      </c>
      <c r="B250">
        <v>41</v>
      </c>
      <c r="C250" s="2">
        <v>41196</v>
      </c>
      <c r="D250" s="1" t="s">
        <v>378</v>
      </c>
      <c r="E250">
        <v>162</v>
      </c>
      <c r="F250">
        <v>175</v>
      </c>
      <c r="G250">
        <v>141</v>
      </c>
      <c r="H250">
        <v>209</v>
      </c>
    </row>
    <row r="251" spans="1:8">
      <c r="A251">
        <v>2012</v>
      </c>
      <c r="B251">
        <v>42</v>
      </c>
      <c r="C251" s="2">
        <v>41203</v>
      </c>
      <c r="D251" s="1" t="s">
        <v>378</v>
      </c>
      <c r="E251">
        <v>149</v>
      </c>
      <c r="F251">
        <v>175</v>
      </c>
      <c r="G251">
        <v>141</v>
      </c>
      <c r="H251">
        <v>209</v>
      </c>
    </row>
    <row r="252" spans="1:8">
      <c r="A252">
        <v>2012</v>
      </c>
      <c r="B252">
        <v>43</v>
      </c>
      <c r="C252" s="2">
        <v>41210</v>
      </c>
      <c r="D252" s="1" t="s">
        <v>378</v>
      </c>
      <c r="E252">
        <v>181</v>
      </c>
      <c r="F252">
        <v>176</v>
      </c>
      <c r="G252">
        <v>141</v>
      </c>
      <c r="H252">
        <v>210</v>
      </c>
    </row>
    <row r="253" spans="1:8">
      <c r="A253">
        <v>2012</v>
      </c>
      <c r="B253">
        <v>44</v>
      </c>
      <c r="C253" s="2">
        <v>41217</v>
      </c>
      <c r="D253" s="1" t="s">
        <v>378</v>
      </c>
      <c r="E253">
        <v>187</v>
      </c>
      <c r="F253">
        <v>176</v>
      </c>
      <c r="G253">
        <v>142</v>
      </c>
      <c r="H253">
        <v>210</v>
      </c>
    </row>
    <row r="254" spans="1:8">
      <c r="A254">
        <v>2012</v>
      </c>
      <c r="B254">
        <v>45</v>
      </c>
      <c r="C254" s="2">
        <v>41224</v>
      </c>
      <c r="D254" s="1" t="s">
        <v>378</v>
      </c>
      <c r="E254">
        <v>190</v>
      </c>
      <c r="F254">
        <v>176</v>
      </c>
      <c r="G254">
        <v>142</v>
      </c>
      <c r="H254">
        <v>210</v>
      </c>
    </row>
    <row r="255" spans="1:8">
      <c r="A255">
        <v>2012</v>
      </c>
      <c r="B255">
        <v>46</v>
      </c>
      <c r="C255" s="2">
        <v>41231</v>
      </c>
      <c r="D255" s="1" t="s">
        <v>378</v>
      </c>
      <c r="E255">
        <v>183</v>
      </c>
      <c r="F255">
        <v>177</v>
      </c>
      <c r="G255">
        <v>142</v>
      </c>
      <c r="H255">
        <v>211</v>
      </c>
    </row>
    <row r="256" spans="1:8">
      <c r="A256">
        <v>2012</v>
      </c>
      <c r="B256">
        <v>47</v>
      </c>
      <c r="C256" s="2">
        <v>41238</v>
      </c>
      <c r="D256" s="1" t="s">
        <v>378</v>
      </c>
      <c r="E256">
        <v>192</v>
      </c>
      <c r="F256">
        <v>177</v>
      </c>
      <c r="G256">
        <v>143</v>
      </c>
      <c r="H256">
        <v>211</v>
      </c>
    </row>
    <row r="257" spans="1:9">
      <c r="A257">
        <v>2012</v>
      </c>
      <c r="B257">
        <v>48</v>
      </c>
      <c r="C257" s="2">
        <v>41245</v>
      </c>
      <c r="D257" s="1" t="s">
        <v>378</v>
      </c>
      <c r="E257">
        <v>143</v>
      </c>
      <c r="F257">
        <v>177</v>
      </c>
      <c r="G257">
        <v>143</v>
      </c>
      <c r="H257">
        <v>211</v>
      </c>
    </row>
    <row r="258" spans="1:9">
      <c r="A258">
        <v>2012</v>
      </c>
      <c r="B258">
        <v>49</v>
      </c>
      <c r="C258" s="2">
        <v>41252</v>
      </c>
      <c r="D258" s="1" t="s">
        <v>378</v>
      </c>
      <c r="E258">
        <v>168</v>
      </c>
      <c r="F258">
        <v>177</v>
      </c>
      <c r="G258">
        <v>143</v>
      </c>
      <c r="H258">
        <v>212</v>
      </c>
    </row>
    <row r="259" spans="1:9">
      <c r="A259">
        <v>2012</v>
      </c>
      <c r="B259">
        <v>50</v>
      </c>
      <c r="C259" s="2">
        <v>41259</v>
      </c>
      <c r="D259" s="1" t="s">
        <v>378</v>
      </c>
      <c r="E259">
        <v>163</v>
      </c>
      <c r="F259">
        <v>178</v>
      </c>
      <c r="G259">
        <v>143</v>
      </c>
      <c r="H259">
        <v>212</v>
      </c>
    </row>
    <row r="260" spans="1:9">
      <c r="A260">
        <v>2012</v>
      </c>
      <c r="B260">
        <v>51</v>
      </c>
      <c r="C260" s="2">
        <v>41266</v>
      </c>
      <c r="D260" s="1" t="s">
        <v>378</v>
      </c>
      <c r="E260">
        <v>178</v>
      </c>
      <c r="F260">
        <v>178</v>
      </c>
      <c r="G260">
        <v>144</v>
      </c>
      <c r="H260">
        <v>212</v>
      </c>
    </row>
    <row r="261" spans="1:9">
      <c r="A261">
        <v>2012</v>
      </c>
      <c r="B261">
        <v>52</v>
      </c>
      <c r="C261" s="2">
        <v>41273</v>
      </c>
      <c r="D261" s="1" t="s">
        <v>378</v>
      </c>
      <c r="E261">
        <v>202</v>
      </c>
      <c r="F261">
        <v>178</v>
      </c>
      <c r="G261">
        <v>144</v>
      </c>
      <c r="H261">
        <v>213</v>
      </c>
    </row>
    <row r="262" spans="1:9">
      <c r="A262">
        <v>2012</v>
      </c>
      <c r="B262">
        <v>1</v>
      </c>
      <c r="C262" s="2">
        <v>40916</v>
      </c>
      <c r="D262" s="1" t="s">
        <v>379</v>
      </c>
      <c r="E262">
        <v>1174</v>
      </c>
      <c r="F262">
        <v>1156</v>
      </c>
      <c r="G262">
        <v>1068</v>
      </c>
      <c r="H262">
        <v>1244</v>
      </c>
    </row>
    <row r="263" spans="1:9">
      <c r="A263">
        <v>2012</v>
      </c>
      <c r="B263">
        <v>2</v>
      </c>
      <c r="C263" s="2">
        <v>40923</v>
      </c>
      <c r="D263" s="1" t="s">
        <v>379</v>
      </c>
      <c r="E263">
        <v>1153</v>
      </c>
      <c r="F263">
        <v>1153</v>
      </c>
      <c r="G263">
        <v>1065</v>
      </c>
      <c r="H263">
        <v>1240</v>
      </c>
    </row>
    <row r="264" spans="1:9">
      <c r="A264">
        <v>2012</v>
      </c>
      <c r="B264">
        <v>3</v>
      </c>
      <c r="C264" s="2">
        <v>40930</v>
      </c>
      <c r="D264" s="1" t="s">
        <v>379</v>
      </c>
      <c r="E264">
        <v>1181</v>
      </c>
      <c r="F264">
        <v>1149</v>
      </c>
      <c r="G264">
        <v>1062</v>
      </c>
      <c r="H264">
        <v>1236</v>
      </c>
    </row>
    <row r="265" spans="1:9">
      <c r="A265">
        <v>2012</v>
      </c>
      <c r="B265">
        <v>4</v>
      </c>
      <c r="C265" s="2">
        <v>40937</v>
      </c>
      <c r="D265" s="1" t="s">
        <v>379</v>
      </c>
      <c r="E265">
        <v>1148</v>
      </c>
      <c r="F265">
        <v>1146</v>
      </c>
      <c r="G265">
        <v>1059</v>
      </c>
      <c r="H265">
        <v>1233</v>
      </c>
    </row>
    <row r="266" spans="1:9">
      <c r="A266">
        <v>2012</v>
      </c>
      <c r="B266">
        <v>5</v>
      </c>
      <c r="C266" s="2">
        <v>40944</v>
      </c>
      <c r="D266" s="1" t="s">
        <v>379</v>
      </c>
      <c r="E266">
        <v>1137</v>
      </c>
      <c r="F266">
        <v>1142</v>
      </c>
      <c r="G266">
        <v>1055</v>
      </c>
      <c r="H266">
        <v>1229</v>
      </c>
    </row>
    <row r="267" spans="1:9">
      <c r="A267">
        <v>2012</v>
      </c>
      <c r="B267">
        <v>6</v>
      </c>
      <c r="C267" s="2">
        <v>40951</v>
      </c>
      <c r="D267" s="1" t="s">
        <v>379</v>
      </c>
      <c r="E267">
        <v>1197</v>
      </c>
      <c r="F267">
        <v>1138</v>
      </c>
      <c r="G267">
        <v>1052</v>
      </c>
      <c r="H267">
        <v>1225</v>
      </c>
    </row>
    <row r="268" spans="1:9">
      <c r="A268">
        <v>2012</v>
      </c>
      <c r="B268">
        <v>7</v>
      </c>
      <c r="C268" s="2">
        <v>40958</v>
      </c>
      <c r="D268" s="1" t="s">
        <v>379</v>
      </c>
      <c r="E268">
        <v>1218</v>
      </c>
      <c r="F268">
        <v>1135</v>
      </c>
      <c r="G268">
        <v>1048</v>
      </c>
      <c r="H268">
        <v>1222</v>
      </c>
    </row>
    <row r="269" spans="1:9">
      <c r="A269">
        <v>2012</v>
      </c>
      <c r="B269">
        <v>8</v>
      </c>
      <c r="C269" s="2">
        <v>40965</v>
      </c>
      <c r="D269" s="1" t="s">
        <v>379</v>
      </c>
      <c r="E269">
        <v>1216</v>
      </c>
      <c r="F269">
        <v>1125</v>
      </c>
      <c r="G269">
        <v>1038</v>
      </c>
      <c r="H269">
        <v>1211</v>
      </c>
      <c r="I269">
        <v>1216</v>
      </c>
    </row>
    <row r="270" spans="1:9">
      <c r="A270">
        <v>2012</v>
      </c>
      <c r="B270">
        <v>9</v>
      </c>
      <c r="C270" s="2">
        <v>40972</v>
      </c>
      <c r="D270" s="1" t="s">
        <v>379</v>
      </c>
      <c r="E270">
        <v>1209</v>
      </c>
      <c r="F270">
        <v>1115</v>
      </c>
      <c r="G270">
        <v>1029</v>
      </c>
      <c r="H270">
        <v>1201</v>
      </c>
      <c r="I270">
        <v>1209</v>
      </c>
    </row>
    <row r="271" spans="1:9">
      <c r="A271">
        <v>2012</v>
      </c>
      <c r="B271">
        <v>10</v>
      </c>
      <c r="C271" s="2">
        <v>40979</v>
      </c>
      <c r="D271" s="1" t="s">
        <v>379</v>
      </c>
      <c r="E271">
        <v>1146</v>
      </c>
      <c r="F271">
        <v>1099</v>
      </c>
      <c r="G271">
        <v>1013</v>
      </c>
      <c r="H271">
        <v>1184</v>
      </c>
    </row>
    <row r="272" spans="1:9">
      <c r="A272">
        <v>2012</v>
      </c>
      <c r="B272">
        <v>11</v>
      </c>
      <c r="C272" s="2">
        <v>40986</v>
      </c>
      <c r="D272" s="1" t="s">
        <v>379</v>
      </c>
      <c r="E272">
        <v>1182</v>
      </c>
      <c r="F272">
        <v>1082</v>
      </c>
      <c r="G272">
        <v>998</v>
      </c>
      <c r="H272">
        <v>1167</v>
      </c>
      <c r="I272">
        <v>1182</v>
      </c>
    </row>
    <row r="273" spans="1:9">
      <c r="A273">
        <v>2012</v>
      </c>
      <c r="B273">
        <v>12</v>
      </c>
      <c r="C273" s="2">
        <v>40993</v>
      </c>
      <c r="D273" s="1" t="s">
        <v>379</v>
      </c>
      <c r="E273">
        <v>1048</v>
      </c>
      <c r="F273">
        <v>1062</v>
      </c>
      <c r="G273">
        <v>978</v>
      </c>
      <c r="H273">
        <v>1146</v>
      </c>
    </row>
    <row r="274" spans="1:9">
      <c r="A274">
        <v>2012</v>
      </c>
      <c r="B274">
        <v>13</v>
      </c>
      <c r="C274" s="2">
        <v>41000</v>
      </c>
      <c r="D274" s="1" t="s">
        <v>379</v>
      </c>
      <c r="E274">
        <v>1121</v>
      </c>
      <c r="F274">
        <v>1042</v>
      </c>
      <c r="G274">
        <v>959</v>
      </c>
      <c r="H274">
        <v>1126</v>
      </c>
    </row>
    <row r="275" spans="1:9">
      <c r="A275">
        <v>2012</v>
      </c>
      <c r="B275">
        <v>14</v>
      </c>
      <c r="C275" s="2">
        <v>41007</v>
      </c>
      <c r="D275" s="1" t="s">
        <v>379</v>
      </c>
      <c r="E275">
        <v>1082</v>
      </c>
      <c r="F275">
        <v>1025</v>
      </c>
      <c r="G275">
        <v>943</v>
      </c>
      <c r="H275">
        <v>1108</v>
      </c>
    </row>
    <row r="276" spans="1:9">
      <c r="A276">
        <v>2012</v>
      </c>
      <c r="B276">
        <v>15</v>
      </c>
      <c r="C276" s="2">
        <v>41014</v>
      </c>
      <c r="D276" s="1" t="s">
        <v>379</v>
      </c>
      <c r="E276">
        <v>1092</v>
      </c>
      <c r="F276">
        <v>1010</v>
      </c>
      <c r="G276">
        <v>929</v>
      </c>
      <c r="H276">
        <v>1092</v>
      </c>
    </row>
    <row r="277" spans="1:9">
      <c r="A277">
        <v>2012</v>
      </c>
      <c r="B277">
        <v>16</v>
      </c>
      <c r="C277" s="2">
        <v>41021</v>
      </c>
      <c r="D277" s="1" t="s">
        <v>379</v>
      </c>
      <c r="E277">
        <v>1018</v>
      </c>
      <c r="F277">
        <v>996</v>
      </c>
      <c r="G277">
        <v>914</v>
      </c>
      <c r="H277">
        <v>1077</v>
      </c>
    </row>
    <row r="278" spans="1:9">
      <c r="A278">
        <v>2012</v>
      </c>
      <c r="B278">
        <v>17</v>
      </c>
      <c r="C278" s="2">
        <v>41028</v>
      </c>
      <c r="D278" s="1" t="s">
        <v>379</v>
      </c>
      <c r="E278">
        <v>1088</v>
      </c>
      <c r="F278">
        <v>985</v>
      </c>
      <c r="G278">
        <v>904</v>
      </c>
      <c r="H278">
        <v>1066</v>
      </c>
      <c r="I278">
        <v>1088</v>
      </c>
    </row>
    <row r="279" spans="1:9">
      <c r="A279">
        <v>2012</v>
      </c>
      <c r="B279">
        <v>18</v>
      </c>
      <c r="C279" s="2">
        <v>41035</v>
      </c>
      <c r="D279" s="1" t="s">
        <v>379</v>
      </c>
      <c r="E279">
        <v>987</v>
      </c>
      <c r="F279">
        <v>974</v>
      </c>
      <c r="G279">
        <v>894</v>
      </c>
      <c r="H279">
        <v>1054</v>
      </c>
    </row>
    <row r="280" spans="1:9">
      <c r="A280">
        <v>2012</v>
      </c>
      <c r="B280">
        <v>19</v>
      </c>
      <c r="C280" s="2">
        <v>41042</v>
      </c>
      <c r="D280" s="1" t="s">
        <v>379</v>
      </c>
      <c r="E280">
        <v>979</v>
      </c>
      <c r="F280">
        <v>966</v>
      </c>
      <c r="G280">
        <v>886</v>
      </c>
      <c r="H280">
        <v>1046</v>
      </c>
    </row>
    <row r="281" spans="1:9">
      <c r="A281">
        <v>2012</v>
      </c>
      <c r="B281">
        <v>20</v>
      </c>
      <c r="C281" s="2">
        <v>41049</v>
      </c>
      <c r="D281" s="1" t="s">
        <v>379</v>
      </c>
      <c r="E281">
        <v>941</v>
      </c>
      <c r="F281">
        <v>957</v>
      </c>
      <c r="G281">
        <v>878</v>
      </c>
      <c r="H281">
        <v>1037</v>
      </c>
    </row>
    <row r="282" spans="1:9">
      <c r="A282">
        <v>2012</v>
      </c>
      <c r="B282">
        <v>21</v>
      </c>
      <c r="C282" s="2">
        <v>41056</v>
      </c>
      <c r="D282" s="1" t="s">
        <v>379</v>
      </c>
      <c r="E282">
        <v>921</v>
      </c>
      <c r="F282">
        <v>950</v>
      </c>
      <c r="G282">
        <v>871</v>
      </c>
      <c r="H282">
        <v>1030</v>
      </c>
    </row>
    <row r="283" spans="1:9">
      <c r="A283">
        <v>2012</v>
      </c>
      <c r="B283">
        <v>22</v>
      </c>
      <c r="C283" s="2">
        <v>41063</v>
      </c>
      <c r="D283" s="1" t="s">
        <v>379</v>
      </c>
      <c r="E283">
        <v>951</v>
      </c>
      <c r="F283">
        <v>947</v>
      </c>
      <c r="G283">
        <v>868</v>
      </c>
      <c r="H283">
        <v>1026</v>
      </c>
    </row>
    <row r="284" spans="1:9">
      <c r="A284">
        <v>2012</v>
      </c>
      <c r="B284">
        <v>23</v>
      </c>
      <c r="C284" s="2">
        <v>41070</v>
      </c>
      <c r="D284" s="1" t="s">
        <v>379</v>
      </c>
      <c r="E284">
        <v>873</v>
      </c>
      <c r="F284">
        <v>944</v>
      </c>
      <c r="G284">
        <v>865</v>
      </c>
      <c r="H284">
        <v>1023</v>
      </c>
    </row>
    <row r="285" spans="1:9">
      <c r="A285">
        <v>2012</v>
      </c>
      <c r="B285">
        <v>24</v>
      </c>
      <c r="C285" s="2">
        <v>41077</v>
      </c>
      <c r="D285" s="1" t="s">
        <v>379</v>
      </c>
      <c r="E285">
        <v>985</v>
      </c>
      <c r="F285">
        <v>941</v>
      </c>
      <c r="G285">
        <v>862</v>
      </c>
      <c r="H285">
        <v>1020</v>
      </c>
    </row>
    <row r="286" spans="1:9">
      <c r="A286">
        <v>2012</v>
      </c>
      <c r="B286">
        <v>25</v>
      </c>
      <c r="C286" s="2">
        <v>41084</v>
      </c>
      <c r="D286" s="1" t="s">
        <v>379</v>
      </c>
      <c r="E286">
        <v>956</v>
      </c>
      <c r="F286">
        <v>937</v>
      </c>
      <c r="G286">
        <v>858</v>
      </c>
      <c r="H286">
        <v>1016</v>
      </c>
    </row>
    <row r="287" spans="1:9">
      <c r="A287">
        <v>2012</v>
      </c>
      <c r="B287">
        <v>26</v>
      </c>
      <c r="C287" s="2">
        <v>41091</v>
      </c>
      <c r="D287" s="1" t="s">
        <v>379</v>
      </c>
      <c r="E287">
        <v>945</v>
      </c>
      <c r="F287">
        <v>933</v>
      </c>
      <c r="G287">
        <v>854</v>
      </c>
      <c r="H287">
        <v>1012</v>
      </c>
    </row>
    <row r="288" spans="1:9">
      <c r="A288">
        <v>2012</v>
      </c>
      <c r="B288">
        <v>27</v>
      </c>
      <c r="C288" s="2">
        <v>41098</v>
      </c>
      <c r="D288" s="1" t="s">
        <v>379</v>
      </c>
      <c r="E288">
        <v>903</v>
      </c>
      <c r="F288">
        <v>929</v>
      </c>
      <c r="G288">
        <v>850</v>
      </c>
      <c r="H288">
        <v>1007</v>
      </c>
    </row>
    <row r="289" spans="1:9">
      <c r="A289">
        <v>2012</v>
      </c>
      <c r="B289">
        <v>28</v>
      </c>
      <c r="C289" s="2">
        <v>41105</v>
      </c>
      <c r="D289" s="1" t="s">
        <v>379</v>
      </c>
      <c r="E289">
        <v>925</v>
      </c>
      <c r="F289">
        <v>925</v>
      </c>
      <c r="G289">
        <v>847</v>
      </c>
      <c r="H289">
        <v>1003</v>
      </c>
    </row>
    <row r="290" spans="1:9">
      <c r="A290">
        <v>2012</v>
      </c>
      <c r="B290">
        <v>29</v>
      </c>
      <c r="C290" s="2">
        <v>41112</v>
      </c>
      <c r="D290" s="1" t="s">
        <v>379</v>
      </c>
      <c r="E290">
        <v>933</v>
      </c>
      <c r="F290">
        <v>921</v>
      </c>
      <c r="G290">
        <v>843</v>
      </c>
      <c r="H290">
        <v>1000</v>
      </c>
    </row>
    <row r="291" spans="1:9">
      <c r="A291">
        <v>2012</v>
      </c>
      <c r="B291">
        <v>30</v>
      </c>
      <c r="C291" s="2">
        <v>41119</v>
      </c>
      <c r="D291" s="1" t="s">
        <v>379</v>
      </c>
      <c r="E291">
        <v>957</v>
      </c>
      <c r="F291">
        <v>920</v>
      </c>
      <c r="G291">
        <v>842</v>
      </c>
      <c r="H291">
        <v>998</v>
      </c>
    </row>
    <row r="292" spans="1:9">
      <c r="A292">
        <v>2012</v>
      </c>
      <c r="B292">
        <v>31</v>
      </c>
      <c r="C292" s="2">
        <v>41126</v>
      </c>
      <c r="D292" s="1" t="s">
        <v>379</v>
      </c>
      <c r="E292">
        <v>945</v>
      </c>
      <c r="F292">
        <v>918</v>
      </c>
      <c r="G292">
        <v>840</v>
      </c>
      <c r="H292">
        <v>996</v>
      </c>
    </row>
    <row r="293" spans="1:9">
      <c r="A293">
        <v>2012</v>
      </c>
      <c r="B293">
        <v>32</v>
      </c>
      <c r="C293" s="2">
        <v>41133</v>
      </c>
      <c r="D293" s="1" t="s">
        <v>379</v>
      </c>
      <c r="E293">
        <v>858</v>
      </c>
      <c r="F293">
        <v>921</v>
      </c>
      <c r="G293">
        <v>843</v>
      </c>
      <c r="H293">
        <v>999</v>
      </c>
    </row>
    <row r="294" spans="1:9">
      <c r="A294">
        <v>2012</v>
      </c>
      <c r="B294">
        <v>33</v>
      </c>
      <c r="C294" s="2">
        <v>41140</v>
      </c>
      <c r="D294" s="1" t="s">
        <v>379</v>
      </c>
      <c r="E294">
        <v>949</v>
      </c>
      <c r="F294">
        <v>924</v>
      </c>
      <c r="G294">
        <v>845</v>
      </c>
      <c r="H294">
        <v>1002</v>
      </c>
    </row>
    <row r="295" spans="1:9">
      <c r="A295">
        <v>2012</v>
      </c>
      <c r="B295">
        <v>34</v>
      </c>
      <c r="C295" s="2">
        <v>41147</v>
      </c>
      <c r="D295" s="1" t="s">
        <v>379</v>
      </c>
      <c r="E295">
        <v>979</v>
      </c>
      <c r="F295">
        <v>928</v>
      </c>
      <c r="G295">
        <v>850</v>
      </c>
      <c r="H295">
        <v>1007</v>
      </c>
    </row>
    <row r="296" spans="1:9">
      <c r="A296">
        <v>2012</v>
      </c>
      <c r="B296">
        <v>35</v>
      </c>
      <c r="C296" s="2">
        <v>41154</v>
      </c>
      <c r="D296" s="1" t="s">
        <v>379</v>
      </c>
      <c r="E296">
        <v>914</v>
      </c>
      <c r="F296">
        <v>934</v>
      </c>
      <c r="G296">
        <v>855</v>
      </c>
      <c r="H296">
        <v>1012</v>
      </c>
    </row>
    <row r="297" spans="1:9">
      <c r="A297">
        <v>2012</v>
      </c>
      <c r="B297">
        <v>36</v>
      </c>
      <c r="C297" s="2">
        <v>41161</v>
      </c>
      <c r="D297" s="1" t="s">
        <v>379</v>
      </c>
      <c r="E297">
        <v>955</v>
      </c>
      <c r="F297">
        <v>939</v>
      </c>
      <c r="G297">
        <v>860</v>
      </c>
      <c r="H297">
        <v>1018</v>
      </c>
    </row>
    <row r="298" spans="1:9">
      <c r="A298">
        <v>2012</v>
      </c>
      <c r="B298">
        <v>37</v>
      </c>
      <c r="C298" s="2">
        <v>41168</v>
      </c>
      <c r="D298" s="1" t="s">
        <v>379</v>
      </c>
      <c r="E298">
        <v>970</v>
      </c>
      <c r="F298">
        <v>944</v>
      </c>
      <c r="G298">
        <v>865</v>
      </c>
      <c r="H298">
        <v>1023</v>
      </c>
    </row>
    <row r="299" spans="1:9">
      <c r="A299">
        <v>2012</v>
      </c>
      <c r="B299">
        <v>38</v>
      </c>
      <c r="C299" s="2">
        <v>41175</v>
      </c>
      <c r="D299" s="1" t="s">
        <v>379</v>
      </c>
      <c r="E299">
        <v>993</v>
      </c>
      <c r="F299">
        <v>950</v>
      </c>
      <c r="G299">
        <v>871</v>
      </c>
      <c r="H299">
        <v>1030</v>
      </c>
    </row>
    <row r="300" spans="1:9">
      <c r="A300">
        <v>2012</v>
      </c>
      <c r="B300">
        <v>39</v>
      </c>
      <c r="C300" s="2">
        <v>41182</v>
      </c>
      <c r="D300" s="1" t="s">
        <v>379</v>
      </c>
      <c r="E300">
        <v>979</v>
      </c>
      <c r="F300">
        <v>957</v>
      </c>
      <c r="G300">
        <v>877</v>
      </c>
      <c r="H300">
        <v>1036</v>
      </c>
    </row>
    <row r="301" spans="1:9">
      <c r="A301">
        <v>2012</v>
      </c>
      <c r="B301">
        <v>40</v>
      </c>
      <c r="C301" s="2">
        <v>41189</v>
      </c>
      <c r="D301" s="1" t="s">
        <v>379</v>
      </c>
      <c r="E301">
        <v>1057</v>
      </c>
      <c r="F301">
        <v>965</v>
      </c>
      <c r="G301">
        <v>885</v>
      </c>
      <c r="H301">
        <v>1045</v>
      </c>
      <c r="I301">
        <v>1057</v>
      </c>
    </row>
    <row r="302" spans="1:9">
      <c r="A302">
        <v>2012</v>
      </c>
      <c r="B302">
        <v>41</v>
      </c>
      <c r="C302" s="2">
        <v>41196</v>
      </c>
      <c r="D302" s="1" t="s">
        <v>379</v>
      </c>
      <c r="E302">
        <v>1018</v>
      </c>
      <c r="F302">
        <v>972</v>
      </c>
      <c r="G302">
        <v>892</v>
      </c>
      <c r="H302">
        <v>1053</v>
      </c>
    </row>
    <row r="303" spans="1:9">
      <c r="A303">
        <v>2012</v>
      </c>
      <c r="B303">
        <v>42</v>
      </c>
      <c r="C303" s="2">
        <v>41203</v>
      </c>
      <c r="D303" s="1" t="s">
        <v>379</v>
      </c>
      <c r="E303">
        <v>993</v>
      </c>
      <c r="F303">
        <v>980</v>
      </c>
      <c r="G303">
        <v>900</v>
      </c>
      <c r="H303">
        <v>1061</v>
      </c>
    </row>
    <row r="304" spans="1:9">
      <c r="A304">
        <v>2012</v>
      </c>
      <c r="B304">
        <v>43</v>
      </c>
      <c r="C304" s="2">
        <v>41210</v>
      </c>
      <c r="D304" s="1" t="s">
        <v>379</v>
      </c>
      <c r="E304">
        <v>1064</v>
      </c>
      <c r="F304">
        <v>991</v>
      </c>
      <c r="G304">
        <v>910</v>
      </c>
      <c r="H304">
        <v>1072</v>
      </c>
    </row>
    <row r="305" spans="1:9">
      <c r="A305">
        <v>2012</v>
      </c>
      <c r="B305">
        <v>44</v>
      </c>
      <c r="C305" s="2">
        <v>41217</v>
      </c>
      <c r="D305" s="1" t="s">
        <v>379</v>
      </c>
      <c r="E305">
        <v>986</v>
      </c>
      <c r="F305">
        <v>1002</v>
      </c>
      <c r="G305">
        <v>920</v>
      </c>
      <c r="H305">
        <v>1083</v>
      </c>
    </row>
    <row r="306" spans="1:9">
      <c r="A306">
        <v>2012</v>
      </c>
      <c r="B306">
        <v>45</v>
      </c>
      <c r="C306" s="2">
        <v>41224</v>
      </c>
      <c r="D306" s="1" t="s">
        <v>379</v>
      </c>
      <c r="E306">
        <v>994</v>
      </c>
      <c r="F306">
        <v>1015</v>
      </c>
      <c r="G306">
        <v>933</v>
      </c>
      <c r="H306">
        <v>1097</v>
      </c>
    </row>
    <row r="307" spans="1:9">
      <c r="A307">
        <v>2012</v>
      </c>
      <c r="B307">
        <v>46</v>
      </c>
      <c r="C307" s="2">
        <v>41231</v>
      </c>
      <c r="D307" s="1" t="s">
        <v>379</v>
      </c>
      <c r="E307">
        <v>1024</v>
      </c>
      <c r="F307">
        <v>1028</v>
      </c>
      <c r="G307">
        <v>945</v>
      </c>
      <c r="H307">
        <v>1111</v>
      </c>
    </row>
    <row r="308" spans="1:9">
      <c r="A308">
        <v>2012</v>
      </c>
      <c r="B308">
        <v>47</v>
      </c>
      <c r="C308" s="2">
        <v>41238</v>
      </c>
      <c r="D308" s="1" t="s">
        <v>379</v>
      </c>
      <c r="E308">
        <v>1073</v>
      </c>
      <c r="F308">
        <v>1043</v>
      </c>
      <c r="G308">
        <v>960</v>
      </c>
      <c r="H308">
        <v>1126</v>
      </c>
    </row>
    <row r="309" spans="1:9">
      <c r="A309">
        <v>2012</v>
      </c>
      <c r="B309">
        <v>48</v>
      </c>
      <c r="C309" s="2">
        <v>41245</v>
      </c>
      <c r="D309" s="1" t="s">
        <v>379</v>
      </c>
      <c r="E309">
        <v>1067</v>
      </c>
      <c r="F309">
        <v>1059</v>
      </c>
      <c r="G309">
        <v>975</v>
      </c>
      <c r="H309">
        <v>1143</v>
      </c>
    </row>
    <row r="310" spans="1:9">
      <c r="A310">
        <v>2012</v>
      </c>
      <c r="B310">
        <v>49</v>
      </c>
      <c r="C310" s="2">
        <v>41252</v>
      </c>
      <c r="D310" s="1" t="s">
        <v>379</v>
      </c>
      <c r="E310">
        <v>1095</v>
      </c>
      <c r="F310">
        <v>1075</v>
      </c>
      <c r="G310">
        <v>991</v>
      </c>
      <c r="H310">
        <v>1160</v>
      </c>
    </row>
    <row r="311" spans="1:9">
      <c r="A311">
        <v>2012</v>
      </c>
      <c r="B311">
        <v>50</v>
      </c>
      <c r="C311" s="2">
        <v>41259</v>
      </c>
      <c r="D311" s="1" t="s">
        <v>379</v>
      </c>
      <c r="E311">
        <v>1103</v>
      </c>
      <c r="F311">
        <v>1091</v>
      </c>
      <c r="G311">
        <v>1006</v>
      </c>
      <c r="H311">
        <v>1176</v>
      </c>
    </row>
    <row r="312" spans="1:9">
      <c r="A312">
        <v>2012</v>
      </c>
      <c r="B312">
        <v>51</v>
      </c>
      <c r="C312" s="2">
        <v>41266</v>
      </c>
      <c r="D312" s="1" t="s">
        <v>379</v>
      </c>
      <c r="E312">
        <v>1094</v>
      </c>
      <c r="F312">
        <v>1107</v>
      </c>
      <c r="G312">
        <v>1021</v>
      </c>
      <c r="H312">
        <v>1193</v>
      </c>
    </row>
    <row r="313" spans="1:9">
      <c r="A313">
        <v>2012</v>
      </c>
      <c r="B313">
        <v>52</v>
      </c>
      <c r="C313" s="2">
        <v>41273</v>
      </c>
      <c r="D313" s="1" t="s">
        <v>379</v>
      </c>
      <c r="E313">
        <v>1140</v>
      </c>
      <c r="F313">
        <v>1123</v>
      </c>
      <c r="G313">
        <v>1036</v>
      </c>
      <c r="H313">
        <v>1209</v>
      </c>
    </row>
    <row r="314" spans="1:9">
      <c r="A314">
        <v>2013</v>
      </c>
      <c r="B314">
        <v>1</v>
      </c>
      <c r="C314" s="2">
        <v>41280</v>
      </c>
      <c r="D314" s="1" t="s">
        <v>378</v>
      </c>
      <c r="E314">
        <v>194</v>
      </c>
      <c r="F314">
        <v>185</v>
      </c>
      <c r="G314">
        <v>150</v>
      </c>
      <c r="H314">
        <v>220</v>
      </c>
    </row>
    <row r="315" spans="1:9">
      <c r="A315">
        <v>2013</v>
      </c>
      <c r="B315">
        <v>2</v>
      </c>
      <c r="C315" s="2">
        <v>41287</v>
      </c>
      <c r="D315" s="1" t="s">
        <v>378</v>
      </c>
      <c r="E315">
        <v>174</v>
      </c>
      <c r="F315">
        <v>185</v>
      </c>
      <c r="G315">
        <v>150</v>
      </c>
      <c r="H315">
        <v>220</v>
      </c>
    </row>
    <row r="316" spans="1:9">
      <c r="A316">
        <v>2013</v>
      </c>
      <c r="B316">
        <v>3</v>
      </c>
      <c r="C316" s="2">
        <v>41294</v>
      </c>
      <c r="D316" s="1" t="s">
        <v>378</v>
      </c>
      <c r="E316">
        <v>204</v>
      </c>
      <c r="F316">
        <v>184</v>
      </c>
      <c r="G316">
        <v>149</v>
      </c>
      <c r="H316">
        <v>219</v>
      </c>
    </row>
    <row r="317" spans="1:9">
      <c r="A317">
        <v>2013</v>
      </c>
      <c r="B317">
        <v>4</v>
      </c>
      <c r="C317" s="2">
        <v>41301</v>
      </c>
      <c r="D317" s="1" t="s">
        <v>378</v>
      </c>
      <c r="E317">
        <v>192</v>
      </c>
      <c r="F317">
        <v>184</v>
      </c>
      <c r="G317">
        <v>149</v>
      </c>
      <c r="H317">
        <v>218</v>
      </c>
    </row>
    <row r="318" spans="1:9">
      <c r="A318">
        <v>2013</v>
      </c>
      <c r="B318">
        <v>5</v>
      </c>
      <c r="C318" s="2">
        <v>41308</v>
      </c>
      <c r="D318" s="1" t="s">
        <v>378</v>
      </c>
      <c r="E318">
        <v>207</v>
      </c>
      <c r="F318">
        <v>183</v>
      </c>
      <c r="G318">
        <v>148</v>
      </c>
      <c r="H318">
        <v>218</v>
      </c>
    </row>
    <row r="319" spans="1:9">
      <c r="A319">
        <v>2013</v>
      </c>
      <c r="B319">
        <v>6</v>
      </c>
      <c r="C319" s="2">
        <v>41315</v>
      </c>
      <c r="D319" s="1" t="s">
        <v>378</v>
      </c>
      <c r="E319">
        <v>195</v>
      </c>
      <c r="F319">
        <v>182</v>
      </c>
      <c r="G319">
        <v>148</v>
      </c>
      <c r="H319">
        <v>217</v>
      </c>
    </row>
    <row r="320" spans="1:9">
      <c r="A320">
        <v>2013</v>
      </c>
      <c r="B320">
        <v>7</v>
      </c>
      <c r="C320" s="2">
        <v>41322</v>
      </c>
      <c r="D320" s="1" t="s">
        <v>378</v>
      </c>
      <c r="E320">
        <v>232</v>
      </c>
      <c r="F320">
        <v>182</v>
      </c>
      <c r="G320">
        <v>147</v>
      </c>
      <c r="H320">
        <v>217</v>
      </c>
      <c r="I320">
        <v>232</v>
      </c>
    </row>
    <row r="321" spans="1:8">
      <c r="A321">
        <v>2013</v>
      </c>
      <c r="B321">
        <v>8</v>
      </c>
      <c r="C321" s="2">
        <v>41329</v>
      </c>
      <c r="D321" s="1" t="s">
        <v>378</v>
      </c>
      <c r="E321">
        <v>193</v>
      </c>
      <c r="F321">
        <v>181</v>
      </c>
      <c r="G321">
        <v>147</v>
      </c>
      <c r="H321">
        <v>216</v>
      </c>
    </row>
    <row r="322" spans="1:8">
      <c r="A322">
        <v>2013</v>
      </c>
      <c r="B322">
        <v>9</v>
      </c>
      <c r="C322" s="2">
        <v>41336</v>
      </c>
      <c r="D322" s="1" t="s">
        <v>378</v>
      </c>
      <c r="E322">
        <v>206</v>
      </c>
      <c r="F322">
        <v>181</v>
      </c>
      <c r="G322">
        <v>146</v>
      </c>
      <c r="H322">
        <v>215</v>
      </c>
    </row>
    <row r="323" spans="1:8">
      <c r="A323">
        <v>2013</v>
      </c>
      <c r="B323">
        <v>10</v>
      </c>
      <c r="C323" s="2">
        <v>41343</v>
      </c>
      <c r="D323" s="1" t="s">
        <v>378</v>
      </c>
      <c r="E323">
        <v>151</v>
      </c>
      <c r="F323">
        <v>180</v>
      </c>
      <c r="G323">
        <v>146</v>
      </c>
      <c r="H323">
        <v>215</v>
      </c>
    </row>
    <row r="324" spans="1:8">
      <c r="A324">
        <v>2013</v>
      </c>
      <c r="B324">
        <v>11</v>
      </c>
      <c r="C324" s="2">
        <v>41350</v>
      </c>
      <c r="D324" s="1" t="s">
        <v>378</v>
      </c>
      <c r="E324">
        <v>192</v>
      </c>
      <c r="F324">
        <v>180</v>
      </c>
      <c r="G324">
        <v>145</v>
      </c>
      <c r="H324">
        <v>214</v>
      </c>
    </row>
    <row r="325" spans="1:8">
      <c r="A325">
        <v>2013</v>
      </c>
      <c r="B325">
        <v>12</v>
      </c>
      <c r="C325" s="2">
        <v>41357</v>
      </c>
      <c r="D325" s="1" t="s">
        <v>378</v>
      </c>
      <c r="E325">
        <v>203</v>
      </c>
      <c r="F325">
        <v>179</v>
      </c>
      <c r="G325">
        <v>145</v>
      </c>
      <c r="H325">
        <v>213</v>
      </c>
    </row>
    <row r="326" spans="1:8">
      <c r="A326">
        <v>2013</v>
      </c>
      <c r="B326">
        <v>13</v>
      </c>
      <c r="C326" s="2">
        <v>41364</v>
      </c>
      <c r="D326" s="1" t="s">
        <v>378</v>
      </c>
      <c r="E326">
        <v>182</v>
      </c>
      <c r="F326">
        <v>178</v>
      </c>
      <c r="G326">
        <v>144</v>
      </c>
      <c r="H326">
        <v>213</v>
      </c>
    </row>
    <row r="327" spans="1:8">
      <c r="A327">
        <v>2013</v>
      </c>
      <c r="B327">
        <v>14</v>
      </c>
      <c r="C327" s="2">
        <v>41371</v>
      </c>
      <c r="D327" s="1" t="s">
        <v>378</v>
      </c>
      <c r="E327">
        <v>185</v>
      </c>
      <c r="F327">
        <v>178</v>
      </c>
      <c r="G327">
        <v>144</v>
      </c>
      <c r="H327">
        <v>212</v>
      </c>
    </row>
    <row r="328" spans="1:8">
      <c r="A328">
        <v>2013</v>
      </c>
      <c r="B328">
        <v>15</v>
      </c>
      <c r="C328" s="2">
        <v>41378</v>
      </c>
      <c r="D328" s="1" t="s">
        <v>378</v>
      </c>
      <c r="E328">
        <v>161</v>
      </c>
      <c r="F328">
        <v>177</v>
      </c>
      <c r="G328">
        <v>143</v>
      </c>
      <c r="H328">
        <v>212</v>
      </c>
    </row>
    <row r="329" spans="1:8">
      <c r="A329">
        <v>2013</v>
      </c>
      <c r="B329">
        <v>16</v>
      </c>
      <c r="C329" s="2">
        <v>41385</v>
      </c>
      <c r="D329" s="1" t="s">
        <v>378</v>
      </c>
      <c r="E329">
        <v>170</v>
      </c>
      <c r="F329">
        <v>177</v>
      </c>
      <c r="G329">
        <v>142</v>
      </c>
      <c r="H329">
        <v>211</v>
      </c>
    </row>
    <row r="330" spans="1:8">
      <c r="A330">
        <v>2013</v>
      </c>
      <c r="B330">
        <v>17</v>
      </c>
      <c r="C330" s="2">
        <v>41392</v>
      </c>
      <c r="D330" s="1" t="s">
        <v>378</v>
      </c>
      <c r="E330">
        <v>191</v>
      </c>
      <c r="F330">
        <v>176</v>
      </c>
      <c r="G330">
        <v>142</v>
      </c>
      <c r="H330">
        <v>210</v>
      </c>
    </row>
    <row r="331" spans="1:8">
      <c r="A331">
        <v>2013</v>
      </c>
      <c r="B331">
        <v>18</v>
      </c>
      <c r="C331" s="2">
        <v>41399</v>
      </c>
      <c r="D331" s="1" t="s">
        <v>378</v>
      </c>
      <c r="E331">
        <v>184</v>
      </c>
      <c r="F331">
        <v>175</v>
      </c>
      <c r="G331">
        <v>141</v>
      </c>
      <c r="H331">
        <v>209</v>
      </c>
    </row>
    <row r="332" spans="1:8">
      <c r="A332">
        <v>2013</v>
      </c>
      <c r="B332">
        <v>19</v>
      </c>
      <c r="C332" s="2">
        <v>41406</v>
      </c>
      <c r="D332" s="1" t="s">
        <v>378</v>
      </c>
      <c r="E332">
        <v>170</v>
      </c>
      <c r="F332">
        <v>175</v>
      </c>
      <c r="G332">
        <v>141</v>
      </c>
      <c r="H332">
        <v>209</v>
      </c>
    </row>
    <row r="333" spans="1:8">
      <c r="A333">
        <v>2013</v>
      </c>
      <c r="B333">
        <v>20</v>
      </c>
      <c r="C333" s="2">
        <v>41413</v>
      </c>
      <c r="D333" s="1" t="s">
        <v>378</v>
      </c>
      <c r="E333">
        <v>173</v>
      </c>
      <c r="F333">
        <v>174</v>
      </c>
      <c r="G333">
        <v>140</v>
      </c>
      <c r="H333">
        <v>208</v>
      </c>
    </row>
    <row r="334" spans="1:8">
      <c r="A334">
        <v>2013</v>
      </c>
      <c r="B334">
        <v>21</v>
      </c>
      <c r="C334" s="2">
        <v>41420</v>
      </c>
      <c r="D334" s="1" t="s">
        <v>378</v>
      </c>
      <c r="E334">
        <v>164</v>
      </c>
      <c r="F334">
        <v>173</v>
      </c>
      <c r="G334">
        <v>139</v>
      </c>
      <c r="H334">
        <v>207</v>
      </c>
    </row>
    <row r="335" spans="1:8">
      <c r="A335">
        <v>2013</v>
      </c>
      <c r="B335">
        <v>22</v>
      </c>
      <c r="C335" s="2">
        <v>41427</v>
      </c>
      <c r="D335" s="1" t="s">
        <v>378</v>
      </c>
      <c r="E335">
        <v>184</v>
      </c>
      <c r="F335">
        <v>173</v>
      </c>
      <c r="G335">
        <v>139</v>
      </c>
      <c r="H335">
        <v>207</v>
      </c>
    </row>
    <row r="336" spans="1:8">
      <c r="A336">
        <v>2013</v>
      </c>
      <c r="B336">
        <v>23</v>
      </c>
      <c r="C336" s="2">
        <v>41434</v>
      </c>
      <c r="D336" s="1" t="s">
        <v>378</v>
      </c>
      <c r="E336">
        <v>153</v>
      </c>
      <c r="F336">
        <v>173</v>
      </c>
      <c r="G336">
        <v>139</v>
      </c>
      <c r="H336">
        <v>207</v>
      </c>
    </row>
    <row r="337" spans="1:8">
      <c r="A337">
        <v>2013</v>
      </c>
      <c r="B337">
        <v>24</v>
      </c>
      <c r="C337" s="2">
        <v>41441</v>
      </c>
      <c r="D337" s="1" t="s">
        <v>378</v>
      </c>
      <c r="E337">
        <v>182</v>
      </c>
      <c r="F337">
        <v>172</v>
      </c>
      <c r="G337">
        <v>139</v>
      </c>
      <c r="H337">
        <v>206</v>
      </c>
    </row>
    <row r="338" spans="1:8">
      <c r="A338">
        <v>2013</v>
      </c>
      <c r="B338">
        <v>25</v>
      </c>
      <c r="C338" s="2">
        <v>41448</v>
      </c>
      <c r="D338" s="1" t="s">
        <v>378</v>
      </c>
      <c r="E338">
        <v>169</v>
      </c>
      <c r="F338">
        <v>172</v>
      </c>
      <c r="G338">
        <v>138</v>
      </c>
      <c r="H338">
        <v>206</v>
      </c>
    </row>
    <row r="339" spans="1:8">
      <c r="A339">
        <v>2013</v>
      </c>
      <c r="B339">
        <v>26</v>
      </c>
      <c r="C339" s="2">
        <v>41455</v>
      </c>
      <c r="D339" s="1" t="s">
        <v>378</v>
      </c>
      <c r="E339">
        <v>191</v>
      </c>
      <c r="F339">
        <v>172</v>
      </c>
      <c r="G339">
        <v>138</v>
      </c>
      <c r="H339">
        <v>205</v>
      </c>
    </row>
    <row r="340" spans="1:8">
      <c r="A340">
        <v>2013</v>
      </c>
      <c r="B340">
        <v>27</v>
      </c>
      <c r="C340" s="2">
        <v>41462</v>
      </c>
      <c r="D340" s="1" t="s">
        <v>378</v>
      </c>
      <c r="E340">
        <v>174</v>
      </c>
      <c r="F340">
        <v>171</v>
      </c>
      <c r="G340">
        <v>138</v>
      </c>
      <c r="H340">
        <v>205</v>
      </c>
    </row>
    <row r="341" spans="1:8">
      <c r="A341">
        <v>2013</v>
      </c>
      <c r="B341">
        <v>28</v>
      </c>
      <c r="C341" s="2">
        <v>41469</v>
      </c>
      <c r="D341" s="1" t="s">
        <v>378</v>
      </c>
      <c r="E341">
        <v>175</v>
      </c>
      <c r="F341">
        <v>171</v>
      </c>
      <c r="G341">
        <v>138</v>
      </c>
      <c r="H341">
        <v>205</v>
      </c>
    </row>
    <row r="342" spans="1:8">
      <c r="A342">
        <v>2013</v>
      </c>
      <c r="B342">
        <v>29</v>
      </c>
      <c r="C342" s="2">
        <v>41476</v>
      </c>
      <c r="D342" s="1" t="s">
        <v>378</v>
      </c>
      <c r="E342">
        <v>161</v>
      </c>
      <c r="F342">
        <v>171</v>
      </c>
      <c r="G342">
        <v>138</v>
      </c>
      <c r="H342">
        <v>205</v>
      </c>
    </row>
    <row r="343" spans="1:8">
      <c r="A343">
        <v>2013</v>
      </c>
      <c r="B343">
        <v>30</v>
      </c>
      <c r="C343" s="2">
        <v>41483</v>
      </c>
      <c r="D343" s="1" t="s">
        <v>378</v>
      </c>
      <c r="E343">
        <v>176</v>
      </c>
      <c r="F343">
        <v>171</v>
      </c>
      <c r="G343">
        <v>138</v>
      </c>
      <c r="H343">
        <v>205</v>
      </c>
    </row>
    <row r="344" spans="1:8">
      <c r="A344">
        <v>2013</v>
      </c>
      <c r="B344">
        <v>31</v>
      </c>
      <c r="C344" s="2">
        <v>41490</v>
      </c>
      <c r="D344" s="1" t="s">
        <v>378</v>
      </c>
      <c r="E344">
        <v>174</v>
      </c>
      <c r="F344">
        <v>171</v>
      </c>
      <c r="G344">
        <v>137</v>
      </c>
      <c r="H344">
        <v>205</v>
      </c>
    </row>
    <row r="345" spans="1:8">
      <c r="A345">
        <v>2013</v>
      </c>
      <c r="B345">
        <v>32</v>
      </c>
      <c r="C345" s="2">
        <v>41497</v>
      </c>
      <c r="D345" s="1" t="s">
        <v>378</v>
      </c>
      <c r="E345">
        <v>174</v>
      </c>
      <c r="F345">
        <v>171</v>
      </c>
      <c r="G345">
        <v>138</v>
      </c>
      <c r="H345">
        <v>205</v>
      </c>
    </row>
    <row r="346" spans="1:8">
      <c r="A346">
        <v>2013</v>
      </c>
      <c r="B346">
        <v>33</v>
      </c>
      <c r="C346" s="2">
        <v>41504</v>
      </c>
      <c r="D346" s="1" t="s">
        <v>378</v>
      </c>
      <c r="E346">
        <v>185</v>
      </c>
      <c r="F346">
        <v>171</v>
      </c>
      <c r="G346">
        <v>138</v>
      </c>
      <c r="H346">
        <v>205</v>
      </c>
    </row>
    <row r="347" spans="1:8">
      <c r="A347">
        <v>2013</v>
      </c>
      <c r="B347">
        <v>34</v>
      </c>
      <c r="C347" s="2">
        <v>41511</v>
      </c>
      <c r="D347" s="1" t="s">
        <v>378</v>
      </c>
      <c r="E347">
        <v>176</v>
      </c>
      <c r="F347">
        <v>171</v>
      </c>
      <c r="G347">
        <v>138</v>
      </c>
      <c r="H347">
        <v>205</v>
      </c>
    </row>
    <row r="348" spans="1:8">
      <c r="A348">
        <v>2013</v>
      </c>
      <c r="B348">
        <v>35</v>
      </c>
      <c r="C348" s="2">
        <v>41518</v>
      </c>
      <c r="D348" s="1" t="s">
        <v>378</v>
      </c>
      <c r="E348">
        <v>188</v>
      </c>
      <c r="F348">
        <v>172</v>
      </c>
      <c r="G348">
        <v>138</v>
      </c>
      <c r="H348">
        <v>206</v>
      </c>
    </row>
    <row r="349" spans="1:8">
      <c r="A349">
        <v>2013</v>
      </c>
      <c r="B349">
        <v>36</v>
      </c>
      <c r="C349" s="2">
        <v>41525</v>
      </c>
      <c r="D349" s="1" t="s">
        <v>378</v>
      </c>
      <c r="E349">
        <v>162</v>
      </c>
      <c r="F349">
        <v>172</v>
      </c>
      <c r="G349">
        <v>138</v>
      </c>
      <c r="H349">
        <v>206</v>
      </c>
    </row>
    <row r="350" spans="1:8">
      <c r="A350">
        <v>2013</v>
      </c>
      <c r="B350">
        <v>37</v>
      </c>
      <c r="C350" s="2">
        <v>41532</v>
      </c>
      <c r="D350" s="1" t="s">
        <v>378</v>
      </c>
      <c r="E350">
        <v>164</v>
      </c>
      <c r="F350">
        <v>172</v>
      </c>
      <c r="G350">
        <v>139</v>
      </c>
      <c r="H350">
        <v>206</v>
      </c>
    </row>
    <row r="351" spans="1:8">
      <c r="A351">
        <v>2013</v>
      </c>
      <c r="B351">
        <v>38</v>
      </c>
      <c r="C351" s="2">
        <v>41539</v>
      </c>
      <c r="D351" s="1" t="s">
        <v>378</v>
      </c>
      <c r="E351">
        <v>168</v>
      </c>
      <c r="F351">
        <v>173</v>
      </c>
      <c r="G351">
        <v>139</v>
      </c>
      <c r="H351">
        <v>206</v>
      </c>
    </row>
    <row r="352" spans="1:8">
      <c r="A352">
        <v>2013</v>
      </c>
      <c r="B352">
        <v>39</v>
      </c>
      <c r="C352" s="2">
        <v>41546</v>
      </c>
      <c r="D352" s="1" t="s">
        <v>378</v>
      </c>
      <c r="E352">
        <v>179</v>
      </c>
      <c r="F352">
        <v>173</v>
      </c>
      <c r="G352">
        <v>139</v>
      </c>
      <c r="H352">
        <v>207</v>
      </c>
    </row>
    <row r="353" spans="1:8">
      <c r="A353">
        <v>2013</v>
      </c>
      <c r="B353">
        <v>40</v>
      </c>
      <c r="C353" s="2">
        <v>41553</v>
      </c>
      <c r="D353" s="1" t="s">
        <v>378</v>
      </c>
      <c r="E353">
        <v>195</v>
      </c>
      <c r="F353">
        <v>173</v>
      </c>
      <c r="G353">
        <v>139</v>
      </c>
      <c r="H353">
        <v>207</v>
      </c>
    </row>
    <row r="354" spans="1:8">
      <c r="A354">
        <v>2013</v>
      </c>
      <c r="B354">
        <v>41</v>
      </c>
      <c r="C354" s="2">
        <v>41560</v>
      </c>
      <c r="D354" s="1" t="s">
        <v>378</v>
      </c>
      <c r="E354">
        <v>165</v>
      </c>
      <c r="F354">
        <v>174</v>
      </c>
      <c r="G354">
        <v>140</v>
      </c>
      <c r="H354">
        <v>208</v>
      </c>
    </row>
    <row r="355" spans="1:8">
      <c r="A355">
        <v>2013</v>
      </c>
      <c r="B355">
        <v>42</v>
      </c>
      <c r="C355" s="2">
        <v>41567</v>
      </c>
      <c r="D355" s="1" t="s">
        <v>378</v>
      </c>
      <c r="E355">
        <v>158</v>
      </c>
      <c r="F355">
        <v>174</v>
      </c>
      <c r="G355">
        <v>140</v>
      </c>
      <c r="H355">
        <v>208</v>
      </c>
    </row>
    <row r="356" spans="1:8">
      <c r="A356">
        <v>2013</v>
      </c>
      <c r="B356">
        <v>43</v>
      </c>
      <c r="C356" s="2">
        <v>41574</v>
      </c>
      <c r="D356" s="1" t="s">
        <v>378</v>
      </c>
      <c r="E356">
        <v>181</v>
      </c>
      <c r="F356">
        <v>174</v>
      </c>
      <c r="G356">
        <v>140</v>
      </c>
      <c r="H356">
        <v>208</v>
      </c>
    </row>
    <row r="357" spans="1:8">
      <c r="A357">
        <v>2013</v>
      </c>
      <c r="B357">
        <v>44</v>
      </c>
      <c r="C357" s="2">
        <v>41581</v>
      </c>
      <c r="D357" s="1" t="s">
        <v>378</v>
      </c>
      <c r="E357">
        <v>166</v>
      </c>
      <c r="F357">
        <v>175</v>
      </c>
      <c r="G357">
        <v>141</v>
      </c>
      <c r="H357">
        <v>209</v>
      </c>
    </row>
    <row r="358" spans="1:8">
      <c r="A358">
        <v>2013</v>
      </c>
      <c r="B358">
        <v>45</v>
      </c>
      <c r="C358" s="2">
        <v>41588</v>
      </c>
      <c r="D358" s="1" t="s">
        <v>378</v>
      </c>
      <c r="E358">
        <v>168</v>
      </c>
      <c r="F358">
        <v>175</v>
      </c>
      <c r="G358">
        <v>141</v>
      </c>
      <c r="H358">
        <v>209</v>
      </c>
    </row>
    <row r="359" spans="1:8">
      <c r="A359">
        <v>2013</v>
      </c>
      <c r="B359">
        <v>46</v>
      </c>
      <c r="C359" s="2">
        <v>41595</v>
      </c>
      <c r="D359" s="1" t="s">
        <v>378</v>
      </c>
      <c r="E359">
        <v>161</v>
      </c>
      <c r="F359">
        <v>176</v>
      </c>
      <c r="G359">
        <v>141</v>
      </c>
      <c r="H359">
        <v>210</v>
      </c>
    </row>
    <row r="360" spans="1:8">
      <c r="A360">
        <v>2013</v>
      </c>
      <c r="B360">
        <v>47</v>
      </c>
      <c r="C360" s="2">
        <v>41602</v>
      </c>
      <c r="D360" s="1" t="s">
        <v>378</v>
      </c>
      <c r="E360">
        <v>179</v>
      </c>
      <c r="F360">
        <v>176</v>
      </c>
      <c r="G360">
        <v>142</v>
      </c>
      <c r="H360">
        <v>210</v>
      </c>
    </row>
    <row r="361" spans="1:8">
      <c r="A361">
        <v>2013</v>
      </c>
      <c r="B361">
        <v>48</v>
      </c>
      <c r="C361" s="2">
        <v>41609</v>
      </c>
      <c r="D361" s="1" t="s">
        <v>378</v>
      </c>
      <c r="E361">
        <v>165</v>
      </c>
      <c r="F361">
        <v>176</v>
      </c>
      <c r="G361">
        <v>142</v>
      </c>
      <c r="H361">
        <v>211</v>
      </c>
    </row>
    <row r="362" spans="1:8">
      <c r="A362">
        <v>2013</v>
      </c>
      <c r="B362">
        <v>49</v>
      </c>
      <c r="C362" s="2">
        <v>41616</v>
      </c>
      <c r="D362" s="1" t="s">
        <v>378</v>
      </c>
      <c r="E362">
        <v>201</v>
      </c>
      <c r="F362">
        <v>177</v>
      </c>
      <c r="G362">
        <v>143</v>
      </c>
      <c r="H362">
        <v>211</v>
      </c>
    </row>
    <row r="363" spans="1:8">
      <c r="A363">
        <v>2013</v>
      </c>
      <c r="B363">
        <v>50</v>
      </c>
      <c r="C363" s="2">
        <v>41623</v>
      </c>
      <c r="D363" s="1" t="s">
        <v>378</v>
      </c>
      <c r="E363">
        <v>180</v>
      </c>
      <c r="F363">
        <v>177</v>
      </c>
      <c r="G363">
        <v>143</v>
      </c>
      <c r="H363">
        <v>211</v>
      </c>
    </row>
    <row r="364" spans="1:8">
      <c r="A364">
        <v>2013</v>
      </c>
      <c r="B364">
        <v>51</v>
      </c>
      <c r="C364" s="2">
        <v>41630</v>
      </c>
      <c r="D364" s="1" t="s">
        <v>378</v>
      </c>
      <c r="E364">
        <v>190</v>
      </c>
      <c r="F364">
        <v>178</v>
      </c>
      <c r="G364">
        <v>143</v>
      </c>
      <c r="H364">
        <v>212</v>
      </c>
    </row>
    <row r="365" spans="1:8">
      <c r="A365">
        <v>2013</v>
      </c>
      <c r="B365">
        <v>52</v>
      </c>
      <c r="C365" s="2">
        <v>41637</v>
      </c>
      <c r="D365" s="1" t="s">
        <v>378</v>
      </c>
      <c r="E365">
        <v>169</v>
      </c>
      <c r="F365">
        <v>178</v>
      </c>
      <c r="G365">
        <v>144</v>
      </c>
      <c r="H365">
        <v>212</v>
      </c>
    </row>
    <row r="366" spans="1:8">
      <c r="A366">
        <v>2013</v>
      </c>
      <c r="B366">
        <v>1</v>
      </c>
      <c r="C366" s="2">
        <v>41280</v>
      </c>
      <c r="D366" s="1" t="s">
        <v>379</v>
      </c>
      <c r="E366">
        <v>1093</v>
      </c>
      <c r="F366">
        <v>1184</v>
      </c>
      <c r="G366">
        <v>1096</v>
      </c>
      <c r="H366">
        <v>1273</v>
      </c>
    </row>
    <row r="367" spans="1:8">
      <c r="A367">
        <v>2013</v>
      </c>
      <c r="B367">
        <v>2</v>
      </c>
      <c r="C367" s="2">
        <v>41287</v>
      </c>
      <c r="D367" s="1" t="s">
        <v>379</v>
      </c>
      <c r="E367">
        <v>1238</v>
      </c>
      <c r="F367">
        <v>1182</v>
      </c>
      <c r="G367">
        <v>1094</v>
      </c>
      <c r="H367">
        <v>1271</v>
      </c>
    </row>
    <row r="368" spans="1:8">
      <c r="A368">
        <v>2013</v>
      </c>
      <c r="B368">
        <v>3</v>
      </c>
      <c r="C368" s="2">
        <v>41294</v>
      </c>
      <c r="D368" s="1" t="s">
        <v>379</v>
      </c>
      <c r="E368">
        <v>1191</v>
      </c>
      <c r="F368">
        <v>1180</v>
      </c>
      <c r="G368">
        <v>1092</v>
      </c>
      <c r="H368">
        <v>1269</v>
      </c>
    </row>
    <row r="369" spans="1:9">
      <c r="A369">
        <v>2013</v>
      </c>
      <c r="B369">
        <v>4</v>
      </c>
      <c r="C369" s="2">
        <v>41301</v>
      </c>
      <c r="D369" s="1" t="s">
        <v>379</v>
      </c>
      <c r="E369">
        <v>1212</v>
      </c>
      <c r="F369">
        <v>1178</v>
      </c>
      <c r="G369">
        <v>1090</v>
      </c>
      <c r="H369">
        <v>1266</v>
      </c>
    </row>
    <row r="370" spans="1:9">
      <c r="A370">
        <v>2013</v>
      </c>
      <c r="B370">
        <v>5</v>
      </c>
      <c r="C370" s="2">
        <v>41308</v>
      </c>
      <c r="D370" s="1" t="s">
        <v>379</v>
      </c>
      <c r="E370">
        <v>1223</v>
      </c>
      <c r="F370">
        <v>1176</v>
      </c>
      <c r="G370">
        <v>1087</v>
      </c>
      <c r="H370">
        <v>1264</v>
      </c>
    </row>
    <row r="371" spans="1:9">
      <c r="A371">
        <v>2013</v>
      </c>
      <c r="B371">
        <v>6</v>
      </c>
      <c r="C371" s="2">
        <v>41315</v>
      </c>
      <c r="D371" s="1" t="s">
        <v>379</v>
      </c>
      <c r="E371">
        <v>1256</v>
      </c>
      <c r="F371">
        <v>1173</v>
      </c>
      <c r="G371">
        <v>1085</v>
      </c>
      <c r="H371">
        <v>1261</v>
      </c>
    </row>
    <row r="372" spans="1:9">
      <c r="A372">
        <v>2013</v>
      </c>
      <c r="B372">
        <v>7</v>
      </c>
      <c r="C372" s="2">
        <v>41322</v>
      </c>
      <c r="D372" s="1" t="s">
        <v>379</v>
      </c>
      <c r="E372">
        <v>1264</v>
      </c>
      <c r="F372">
        <v>1171</v>
      </c>
      <c r="G372">
        <v>1083</v>
      </c>
      <c r="H372">
        <v>1259</v>
      </c>
      <c r="I372">
        <v>1264</v>
      </c>
    </row>
    <row r="373" spans="1:9">
      <c r="A373">
        <v>2013</v>
      </c>
      <c r="B373">
        <v>8</v>
      </c>
      <c r="C373" s="2">
        <v>41329</v>
      </c>
      <c r="D373" s="1" t="s">
        <v>379</v>
      </c>
      <c r="E373">
        <v>1230</v>
      </c>
      <c r="F373">
        <v>1162</v>
      </c>
      <c r="G373">
        <v>1074</v>
      </c>
      <c r="H373">
        <v>1250</v>
      </c>
    </row>
    <row r="374" spans="1:9">
      <c r="A374">
        <v>2013</v>
      </c>
      <c r="B374">
        <v>9</v>
      </c>
      <c r="C374" s="2">
        <v>41336</v>
      </c>
      <c r="D374" s="1" t="s">
        <v>379</v>
      </c>
      <c r="E374">
        <v>1255</v>
      </c>
      <c r="F374">
        <v>1152</v>
      </c>
      <c r="G374">
        <v>1065</v>
      </c>
      <c r="H374">
        <v>1240</v>
      </c>
      <c r="I374">
        <v>1255</v>
      </c>
    </row>
    <row r="375" spans="1:9">
      <c r="A375">
        <v>2013</v>
      </c>
      <c r="B375">
        <v>10</v>
      </c>
      <c r="C375" s="2">
        <v>41343</v>
      </c>
      <c r="D375" s="1" t="s">
        <v>379</v>
      </c>
      <c r="E375">
        <v>1305</v>
      </c>
      <c r="F375">
        <v>1136</v>
      </c>
      <c r="G375">
        <v>1049</v>
      </c>
      <c r="H375">
        <v>1222</v>
      </c>
      <c r="I375">
        <v>1305</v>
      </c>
    </row>
    <row r="376" spans="1:9">
      <c r="A376">
        <v>2013</v>
      </c>
      <c r="B376">
        <v>11</v>
      </c>
      <c r="C376" s="2">
        <v>41350</v>
      </c>
      <c r="D376" s="1" t="s">
        <v>379</v>
      </c>
      <c r="E376">
        <v>1227</v>
      </c>
      <c r="F376">
        <v>1119</v>
      </c>
      <c r="G376">
        <v>1033</v>
      </c>
      <c r="H376">
        <v>1205</v>
      </c>
      <c r="I376">
        <v>1227</v>
      </c>
    </row>
    <row r="377" spans="1:9">
      <c r="A377">
        <v>2013</v>
      </c>
      <c r="B377">
        <v>12</v>
      </c>
      <c r="C377" s="2">
        <v>41357</v>
      </c>
      <c r="D377" s="1" t="s">
        <v>379</v>
      </c>
      <c r="E377">
        <v>1146</v>
      </c>
      <c r="F377">
        <v>1098</v>
      </c>
      <c r="G377">
        <v>1012</v>
      </c>
      <c r="H377">
        <v>1183</v>
      </c>
    </row>
    <row r="378" spans="1:9">
      <c r="A378">
        <v>2013</v>
      </c>
      <c r="B378">
        <v>13</v>
      </c>
      <c r="C378" s="2">
        <v>41364</v>
      </c>
      <c r="D378" s="1" t="s">
        <v>379</v>
      </c>
      <c r="E378">
        <v>1170</v>
      </c>
      <c r="F378">
        <v>1077</v>
      </c>
      <c r="G378">
        <v>992</v>
      </c>
      <c r="H378">
        <v>1161</v>
      </c>
      <c r="I378">
        <v>1170</v>
      </c>
    </row>
    <row r="379" spans="1:9">
      <c r="A379">
        <v>2013</v>
      </c>
      <c r="B379">
        <v>14</v>
      </c>
      <c r="C379" s="2">
        <v>41371</v>
      </c>
      <c r="D379" s="1" t="s">
        <v>379</v>
      </c>
      <c r="E379">
        <v>1132</v>
      </c>
      <c r="F379">
        <v>1059</v>
      </c>
      <c r="G379">
        <v>975</v>
      </c>
      <c r="H379">
        <v>1142</v>
      </c>
    </row>
    <row r="380" spans="1:9">
      <c r="A380">
        <v>2013</v>
      </c>
      <c r="B380">
        <v>15</v>
      </c>
      <c r="C380" s="2">
        <v>41378</v>
      </c>
      <c r="D380" s="1" t="s">
        <v>379</v>
      </c>
      <c r="E380">
        <v>1107</v>
      </c>
      <c r="F380">
        <v>1043</v>
      </c>
      <c r="G380">
        <v>960</v>
      </c>
      <c r="H380">
        <v>1126</v>
      </c>
    </row>
    <row r="381" spans="1:9">
      <c r="A381">
        <v>2013</v>
      </c>
      <c r="B381">
        <v>16</v>
      </c>
      <c r="C381" s="2">
        <v>41385</v>
      </c>
      <c r="D381" s="1" t="s">
        <v>379</v>
      </c>
      <c r="E381">
        <v>1043</v>
      </c>
      <c r="F381">
        <v>1028</v>
      </c>
      <c r="G381">
        <v>945</v>
      </c>
      <c r="H381">
        <v>1111</v>
      </c>
    </row>
    <row r="382" spans="1:9">
      <c r="A382">
        <v>2013</v>
      </c>
      <c r="B382">
        <v>17</v>
      </c>
      <c r="C382" s="2">
        <v>41392</v>
      </c>
      <c r="D382" s="1" t="s">
        <v>379</v>
      </c>
      <c r="E382">
        <v>1054</v>
      </c>
      <c r="F382">
        <v>1016</v>
      </c>
      <c r="G382">
        <v>933</v>
      </c>
      <c r="H382">
        <v>1098</v>
      </c>
    </row>
    <row r="383" spans="1:9">
      <c r="A383">
        <v>2013</v>
      </c>
      <c r="B383">
        <v>18</v>
      </c>
      <c r="C383" s="2">
        <v>41399</v>
      </c>
      <c r="D383" s="1" t="s">
        <v>379</v>
      </c>
      <c r="E383">
        <v>968</v>
      </c>
      <c r="F383">
        <v>1003</v>
      </c>
      <c r="G383">
        <v>922</v>
      </c>
      <c r="H383">
        <v>1085</v>
      </c>
    </row>
    <row r="384" spans="1:9">
      <c r="A384">
        <v>2013</v>
      </c>
      <c r="B384">
        <v>19</v>
      </c>
      <c r="C384" s="2">
        <v>41406</v>
      </c>
      <c r="D384" s="1" t="s">
        <v>379</v>
      </c>
      <c r="E384">
        <v>935</v>
      </c>
      <c r="F384">
        <v>992</v>
      </c>
      <c r="G384">
        <v>911</v>
      </c>
      <c r="H384">
        <v>1073</v>
      </c>
    </row>
    <row r="385" spans="1:8">
      <c r="A385">
        <v>2013</v>
      </c>
      <c r="B385">
        <v>20</v>
      </c>
      <c r="C385" s="2">
        <v>41413</v>
      </c>
      <c r="D385" s="1" t="s">
        <v>379</v>
      </c>
      <c r="E385">
        <v>981</v>
      </c>
      <c r="F385">
        <v>981</v>
      </c>
      <c r="G385">
        <v>901</v>
      </c>
      <c r="H385">
        <v>1062</v>
      </c>
    </row>
    <row r="386" spans="1:8">
      <c r="A386">
        <v>2013</v>
      </c>
      <c r="B386">
        <v>21</v>
      </c>
      <c r="C386" s="2">
        <v>41420</v>
      </c>
      <c r="D386" s="1" t="s">
        <v>379</v>
      </c>
      <c r="E386">
        <v>937</v>
      </c>
      <c r="F386">
        <v>971</v>
      </c>
      <c r="G386">
        <v>891</v>
      </c>
      <c r="H386">
        <v>1052</v>
      </c>
    </row>
    <row r="387" spans="1:8">
      <c r="A387">
        <v>2013</v>
      </c>
      <c r="B387">
        <v>22</v>
      </c>
      <c r="C387" s="2">
        <v>41427</v>
      </c>
      <c r="D387" s="1" t="s">
        <v>379</v>
      </c>
      <c r="E387">
        <v>935</v>
      </c>
      <c r="F387">
        <v>966</v>
      </c>
      <c r="G387">
        <v>886</v>
      </c>
      <c r="H387">
        <v>1046</v>
      </c>
    </row>
    <row r="388" spans="1:8">
      <c r="A388">
        <v>2013</v>
      </c>
      <c r="B388">
        <v>23</v>
      </c>
      <c r="C388" s="2">
        <v>41434</v>
      </c>
      <c r="D388" s="1" t="s">
        <v>379</v>
      </c>
      <c r="E388">
        <v>986</v>
      </c>
      <c r="F388">
        <v>961</v>
      </c>
      <c r="G388">
        <v>881</v>
      </c>
      <c r="H388">
        <v>1041</v>
      </c>
    </row>
    <row r="389" spans="1:8">
      <c r="A389">
        <v>2013</v>
      </c>
      <c r="B389">
        <v>24</v>
      </c>
      <c r="C389" s="2">
        <v>41441</v>
      </c>
      <c r="D389" s="1" t="s">
        <v>379</v>
      </c>
      <c r="E389">
        <v>992</v>
      </c>
      <c r="F389">
        <v>958</v>
      </c>
      <c r="G389">
        <v>878</v>
      </c>
      <c r="H389">
        <v>1038</v>
      </c>
    </row>
    <row r="390" spans="1:8">
      <c r="A390">
        <v>2013</v>
      </c>
      <c r="B390">
        <v>25</v>
      </c>
      <c r="C390" s="2">
        <v>41448</v>
      </c>
      <c r="D390" s="1" t="s">
        <v>379</v>
      </c>
      <c r="E390">
        <v>1002</v>
      </c>
      <c r="F390">
        <v>956</v>
      </c>
      <c r="G390">
        <v>876</v>
      </c>
      <c r="H390">
        <v>1035</v>
      </c>
    </row>
    <row r="391" spans="1:8">
      <c r="A391">
        <v>2013</v>
      </c>
      <c r="B391">
        <v>26</v>
      </c>
      <c r="C391" s="2">
        <v>41455</v>
      </c>
      <c r="D391" s="1" t="s">
        <v>379</v>
      </c>
      <c r="E391">
        <v>909</v>
      </c>
      <c r="F391">
        <v>953</v>
      </c>
      <c r="G391">
        <v>874</v>
      </c>
      <c r="H391">
        <v>1033</v>
      </c>
    </row>
    <row r="392" spans="1:8">
      <c r="A392">
        <v>2013</v>
      </c>
      <c r="B392">
        <v>27</v>
      </c>
      <c r="C392" s="2">
        <v>41462</v>
      </c>
      <c r="D392" s="1" t="s">
        <v>379</v>
      </c>
      <c r="E392">
        <v>991</v>
      </c>
      <c r="F392">
        <v>952</v>
      </c>
      <c r="G392">
        <v>872</v>
      </c>
      <c r="H392">
        <v>1031</v>
      </c>
    </row>
    <row r="393" spans="1:8">
      <c r="A393">
        <v>2013</v>
      </c>
      <c r="B393">
        <v>28</v>
      </c>
      <c r="C393" s="2">
        <v>41469</v>
      </c>
      <c r="D393" s="1" t="s">
        <v>379</v>
      </c>
      <c r="E393">
        <v>924</v>
      </c>
      <c r="F393">
        <v>950</v>
      </c>
      <c r="G393">
        <v>870</v>
      </c>
      <c r="H393">
        <v>1029</v>
      </c>
    </row>
    <row r="394" spans="1:8">
      <c r="A394">
        <v>2013</v>
      </c>
      <c r="B394">
        <v>29</v>
      </c>
      <c r="C394" s="2">
        <v>41476</v>
      </c>
      <c r="D394" s="1" t="s">
        <v>379</v>
      </c>
      <c r="E394">
        <v>1012</v>
      </c>
      <c r="F394">
        <v>948</v>
      </c>
      <c r="G394">
        <v>868</v>
      </c>
      <c r="H394">
        <v>1027</v>
      </c>
    </row>
    <row r="395" spans="1:8">
      <c r="A395">
        <v>2013</v>
      </c>
      <c r="B395">
        <v>30</v>
      </c>
      <c r="C395" s="2">
        <v>41483</v>
      </c>
      <c r="D395" s="1" t="s">
        <v>379</v>
      </c>
      <c r="E395">
        <v>1020</v>
      </c>
      <c r="F395">
        <v>947</v>
      </c>
      <c r="G395">
        <v>867</v>
      </c>
      <c r="H395">
        <v>1026</v>
      </c>
    </row>
    <row r="396" spans="1:8">
      <c r="A396">
        <v>2013</v>
      </c>
      <c r="B396">
        <v>31</v>
      </c>
      <c r="C396" s="2">
        <v>41490</v>
      </c>
      <c r="D396" s="1" t="s">
        <v>379</v>
      </c>
      <c r="E396">
        <v>967</v>
      </c>
      <c r="F396">
        <v>946</v>
      </c>
      <c r="G396">
        <v>867</v>
      </c>
      <c r="H396">
        <v>1025</v>
      </c>
    </row>
    <row r="397" spans="1:8">
      <c r="A397">
        <v>2013</v>
      </c>
      <c r="B397">
        <v>32</v>
      </c>
      <c r="C397" s="2">
        <v>41497</v>
      </c>
      <c r="D397" s="1" t="s">
        <v>379</v>
      </c>
      <c r="E397">
        <v>910</v>
      </c>
      <c r="F397">
        <v>948</v>
      </c>
      <c r="G397">
        <v>869</v>
      </c>
      <c r="H397">
        <v>1028</v>
      </c>
    </row>
    <row r="398" spans="1:8">
      <c r="A398">
        <v>2013</v>
      </c>
      <c r="B398">
        <v>33</v>
      </c>
      <c r="C398" s="2">
        <v>41504</v>
      </c>
      <c r="D398" s="1" t="s">
        <v>379</v>
      </c>
      <c r="E398">
        <v>993</v>
      </c>
      <c r="F398">
        <v>951</v>
      </c>
      <c r="G398">
        <v>871</v>
      </c>
      <c r="H398">
        <v>1030</v>
      </c>
    </row>
    <row r="399" spans="1:8">
      <c r="A399">
        <v>2013</v>
      </c>
      <c r="B399">
        <v>34</v>
      </c>
      <c r="C399" s="2">
        <v>41511</v>
      </c>
      <c r="D399" s="1" t="s">
        <v>379</v>
      </c>
      <c r="E399">
        <v>948</v>
      </c>
      <c r="F399">
        <v>955</v>
      </c>
      <c r="G399">
        <v>875</v>
      </c>
      <c r="H399">
        <v>1034</v>
      </c>
    </row>
    <row r="400" spans="1:8">
      <c r="A400">
        <v>2013</v>
      </c>
      <c r="B400">
        <v>35</v>
      </c>
      <c r="C400" s="2">
        <v>41518</v>
      </c>
      <c r="D400" s="1" t="s">
        <v>379</v>
      </c>
      <c r="E400">
        <v>975</v>
      </c>
      <c r="F400">
        <v>960</v>
      </c>
      <c r="G400">
        <v>880</v>
      </c>
      <c r="H400">
        <v>1040</v>
      </c>
    </row>
    <row r="401" spans="1:8">
      <c r="A401">
        <v>2013</v>
      </c>
      <c r="B401">
        <v>36</v>
      </c>
      <c r="C401" s="2">
        <v>41525</v>
      </c>
      <c r="D401" s="1" t="s">
        <v>379</v>
      </c>
      <c r="E401">
        <v>996</v>
      </c>
      <c r="F401">
        <v>965</v>
      </c>
      <c r="G401">
        <v>885</v>
      </c>
      <c r="H401">
        <v>1045</v>
      </c>
    </row>
    <row r="402" spans="1:8">
      <c r="A402">
        <v>2013</v>
      </c>
      <c r="B402">
        <v>37</v>
      </c>
      <c r="C402" s="2">
        <v>41532</v>
      </c>
      <c r="D402" s="1" t="s">
        <v>379</v>
      </c>
      <c r="E402">
        <v>942</v>
      </c>
      <c r="F402">
        <v>970</v>
      </c>
      <c r="G402">
        <v>889</v>
      </c>
      <c r="H402">
        <v>1050</v>
      </c>
    </row>
    <row r="403" spans="1:8">
      <c r="A403">
        <v>2013</v>
      </c>
      <c r="B403">
        <v>38</v>
      </c>
      <c r="C403" s="2">
        <v>41539</v>
      </c>
      <c r="D403" s="1" t="s">
        <v>379</v>
      </c>
      <c r="E403">
        <v>992</v>
      </c>
      <c r="F403">
        <v>975</v>
      </c>
      <c r="G403">
        <v>894</v>
      </c>
      <c r="H403">
        <v>1055</v>
      </c>
    </row>
    <row r="404" spans="1:8">
      <c r="A404">
        <v>2013</v>
      </c>
      <c r="B404">
        <v>39</v>
      </c>
      <c r="C404" s="2">
        <v>41546</v>
      </c>
      <c r="D404" s="1" t="s">
        <v>379</v>
      </c>
      <c r="E404">
        <v>989</v>
      </c>
      <c r="F404">
        <v>980</v>
      </c>
      <c r="G404">
        <v>899</v>
      </c>
      <c r="H404">
        <v>1060</v>
      </c>
    </row>
    <row r="405" spans="1:8">
      <c r="A405">
        <v>2013</v>
      </c>
      <c r="B405">
        <v>40</v>
      </c>
      <c r="C405" s="2">
        <v>41553</v>
      </c>
      <c r="D405" s="1" t="s">
        <v>379</v>
      </c>
      <c r="E405">
        <v>920</v>
      </c>
      <c r="F405">
        <v>987</v>
      </c>
      <c r="G405">
        <v>906</v>
      </c>
      <c r="H405">
        <v>1068</v>
      </c>
    </row>
    <row r="406" spans="1:8">
      <c r="A406">
        <v>2013</v>
      </c>
      <c r="B406">
        <v>41</v>
      </c>
      <c r="C406" s="2">
        <v>41560</v>
      </c>
      <c r="D406" s="1" t="s">
        <v>379</v>
      </c>
      <c r="E406">
        <v>980</v>
      </c>
      <c r="F406">
        <v>995</v>
      </c>
      <c r="G406">
        <v>914</v>
      </c>
      <c r="H406">
        <v>1077</v>
      </c>
    </row>
    <row r="407" spans="1:8">
      <c r="A407">
        <v>2013</v>
      </c>
      <c r="B407">
        <v>42</v>
      </c>
      <c r="C407" s="2">
        <v>41567</v>
      </c>
      <c r="D407" s="1" t="s">
        <v>379</v>
      </c>
      <c r="E407">
        <v>984</v>
      </c>
      <c r="F407">
        <v>1003</v>
      </c>
      <c r="G407">
        <v>922</v>
      </c>
      <c r="H407">
        <v>1085</v>
      </c>
    </row>
    <row r="408" spans="1:8">
      <c r="A408">
        <v>2013</v>
      </c>
      <c r="B408">
        <v>43</v>
      </c>
      <c r="C408" s="2">
        <v>41574</v>
      </c>
      <c r="D408" s="1" t="s">
        <v>379</v>
      </c>
      <c r="E408">
        <v>1024</v>
      </c>
      <c r="F408">
        <v>1015</v>
      </c>
      <c r="G408">
        <v>933</v>
      </c>
      <c r="H408">
        <v>1097</v>
      </c>
    </row>
    <row r="409" spans="1:8">
      <c r="A409">
        <v>2013</v>
      </c>
      <c r="B409">
        <v>44</v>
      </c>
      <c r="C409" s="2">
        <v>41581</v>
      </c>
      <c r="D409" s="1" t="s">
        <v>379</v>
      </c>
      <c r="E409">
        <v>1030</v>
      </c>
      <c r="F409">
        <v>1027</v>
      </c>
      <c r="G409">
        <v>945</v>
      </c>
      <c r="H409">
        <v>1110</v>
      </c>
    </row>
    <row r="410" spans="1:8">
      <c r="A410">
        <v>2013</v>
      </c>
      <c r="B410">
        <v>45</v>
      </c>
      <c r="C410" s="2">
        <v>41588</v>
      </c>
      <c r="D410" s="1" t="s">
        <v>379</v>
      </c>
      <c r="E410">
        <v>1035</v>
      </c>
      <c r="F410">
        <v>1042</v>
      </c>
      <c r="G410">
        <v>959</v>
      </c>
      <c r="H410">
        <v>1125</v>
      </c>
    </row>
    <row r="411" spans="1:8">
      <c r="A411">
        <v>2013</v>
      </c>
      <c r="B411">
        <v>46</v>
      </c>
      <c r="C411" s="2">
        <v>41595</v>
      </c>
      <c r="D411" s="1" t="s">
        <v>379</v>
      </c>
      <c r="E411">
        <v>1007</v>
      </c>
      <c r="F411">
        <v>1057</v>
      </c>
      <c r="G411">
        <v>974</v>
      </c>
      <c r="H411">
        <v>1141</v>
      </c>
    </row>
    <row r="412" spans="1:8">
      <c r="A412">
        <v>2013</v>
      </c>
      <c r="B412">
        <v>47</v>
      </c>
      <c r="C412" s="2">
        <v>41602</v>
      </c>
      <c r="D412" s="1" t="s">
        <v>379</v>
      </c>
      <c r="E412">
        <v>1061</v>
      </c>
      <c r="F412">
        <v>1073</v>
      </c>
      <c r="G412">
        <v>988</v>
      </c>
      <c r="H412">
        <v>1157</v>
      </c>
    </row>
    <row r="413" spans="1:8">
      <c r="A413">
        <v>2013</v>
      </c>
      <c r="B413">
        <v>48</v>
      </c>
      <c r="C413" s="2">
        <v>41609</v>
      </c>
      <c r="D413" s="1" t="s">
        <v>379</v>
      </c>
      <c r="E413">
        <v>1049</v>
      </c>
      <c r="F413">
        <v>1088</v>
      </c>
      <c r="G413">
        <v>1003</v>
      </c>
      <c r="H413">
        <v>1173</v>
      </c>
    </row>
    <row r="414" spans="1:8">
      <c r="A414">
        <v>2013</v>
      </c>
      <c r="B414">
        <v>49</v>
      </c>
      <c r="C414" s="2">
        <v>41616</v>
      </c>
      <c r="D414" s="1" t="s">
        <v>379</v>
      </c>
      <c r="E414">
        <v>1128</v>
      </c>
      <c r="F414">
        <v>1103</v>
      </c>
      <c r="G414">
        <v>1018</v>
      </c>
      <c r="H414">
        <v>1189</v>
      </c>
    </row>
    <row r="415" spans="1:8">
      <c r="A415">
        <v>2013</v>
      </c>
      <c r="B415">
        <v>50</v>
      </c>
      <c r="C415" s="2">
        <v>41623</v>
      </c>
      <c r="D415" s="1" t="s">
        <v>379</v>
      </c>
      <c r="E415">
        <v>1076</v>
      </c>
      <c r="F415">
        <v>1118</v>
      </c>
      <c r="G415">
        <v>1032</v>
      </c>
      <c r="H415">
        <v>1204</v>
      </c>
    </row>
    <row r="416" spans="1:8">
      <c r="A416">
        <v>2013</v>
      </c>
      <c r="B416">
        <v>51</v>
      </c>
      <c r="C416" s="2">
        <v>41630</v>
      </c>
      <c r="D416" s="1" t="s">
        <v>379</v>
      </c>
      <c r="E416">
        <v>1031</v>
      </c>
      <c r="F416">
        <v>1132</v>
      </c>
      <c r="G416">
        <v>1046</v>
      </c>
      <c r="H416">
        <v>1219</v>
      </c>
    </row>
    <row r="417" spans="1:8">
      <c r="A417">
        <v>2013</v>
      </c>
      <c r="B417">
        <v>52</v>
      </c>
      <c r="C417" s="2">
        <v>41637</v>
      </c>
      <c r="D417" s="1" t="s">
        <v>379</v>
      </c>
      <c r="E417">
        <v>1106</v>
      </c>
      <c r="F417">
        <v>1147</v>
      </c>
      <c r="G417">
        <v>1060</v>
      </c>
      <c r="H417">
        <v>1234</v>
      </c>
    </row>
    <row r="418" spans="1:8">
      <c r="A418">
        <v>2014</v>
      </c>
      <c r="B418">
        <v>1</v>
      </c>
      <c r="C418" s="2">
        <v>41644</v>
      </c>
      <c r="D418" s="1" t="s">
        <v>378</v>
      </c>
      <c r="E418">
        <v>166</v>
      </c>
      <c r="F418">
        <v>185</v>
      </c>
      <c r="G418">
        <v>150</v>
      </c>
      <c r="H418">
        <v>220</v>
      </c>
    </row>
    <row r="419" spans="1:8">
      <c r="A419">
        <v>2014</v>
      </c>
      <c r="B419">
        <v>2</v>
      </c>
      <c r="C419" s="2">
        <v>41651</v>
      </c>
      <c r="D419" s="1" t="s">
        <v>378</v>
      </c>
      <c r="E419">
        <v>160</v>
      </c>
      <c r="F419">
        <v>185</v>
      </c>
      <c r="G419">
        <v>150</v>
      </c>
      <c r="H419">
        <v>220</v>
      </c>
    </row>
    <row r="420" spans="1:8">
      <c r="A420">
        <v>2014</v>
      </c>
      <c r="B420">
        <v>3</v>
      </c>
      <c r="C420" s="2">
        <v>41658</v>
      </c>
      <c r="D420" s="1" t="s">
        <v>378</v>
      </c>
      <c r="E420">
        <v>215</v>
      </c>
      <c r="F420">
        <v>184</v>
      </c>
      <c r="G420">
        <v>149</v>
      </c>
      <c r="H420">
        <v>219</v>
      </c>
    </row>
    <row r="421" spans="1:8">
      <c r="A421">
        <v>2014</v>
      </c>
      <c r="B421">
        <v>4</v>
      </c>
      <c r="C421" s="2">
        <v>41665</v>
      </c>
      <c r="D421" s="1" t="s">
        <v>378</v>
      </c>
      <c r="E421">
        <v>184</v>
      </c>
      <c r="F421">
        <v>183</v>
      </c>
      <c r="G421">
        <v>148</v>
      </c>
      <c r="H421">
        <v>218</v>
      </c>
    </row>
    <row r="422" spans="1:8">
      <c r="A422">
        <v>2014</v>
      </c>
      <c r="B422">
        <v>5</v>
      </c>
      <c r="C422" s="2">
        <v>41672</v>
      </c>
      <c r="D422" s="1" t="s">
        <v>378</v>
      </c>
      <c r="E422">
        <v>149</v>
      </c>
      <c r="F422">
        <v>182</v>
      </c>
      <c r="G422">
        <v>148</v>
      </c>
      <c r="H422">
        <v>217</v>
      </c>
    </row>
    <row r="423" spans="1:8">
      <c r="A423">
        <v>2014</v>
      </c>
      <c r="B423">
        <v>6</v>
      </c>
      <c r="C423" s="2">
        <v>41679</v>
      </c>
      <c r="D423" s="1" t="s">
        <v>378</v>
      </c>
      <c r="E423">
        <v>167</v>
      </c>
      <c r="F423">
        <v>182</v>
      </c>
      <c r="G423">
        <v>147</v>
      </c>
      <c r="H423">
        <v>217</v>
      </c>
    </row>
    <row r="424" spans="1:8">
      <c r="A424">
        <v>2014</v>
      </c>
      <c r="B424">
        <v>7</v>
      </c>
      <c r="C424" s="2">
        <v>41686</v>
      </c>
      <c r="D424" s="1" t="s">
        <v>378</v>
      </c>
      <c r="E424">
        <v>205</v>
      </c>
      <c r="F424">
        <v>181</v>
      </c>
      <c r="G424">
        <v>146</v>
      </c>
      <c r="H424">
        <v>216</v>
      </c>
    </row>
    <row r="425" spans="1:8">
      <c r="A425">
        <v>2014</v>
      </c>
      <c r="B425">
        <v>8</v>
      </c>
      <c r="C425" s="2">
        <v>41693</v>
      </c>
      <c r="D425" s="1" t="s">
        <v>378</v>
      </c>
      <c r="E425">
        <v>191</v>
      </c>
      <c r="F425">
        <v>180</v>
      </c>
      <c r="G425">
        <v>146</v>
      </c>
      <c r="H425">
        <v>215</v>
      </c>
    </row>
    <row r="426" spans="1:8">
      <c r="A426">
        <v>2014</v>
      </c>
      <c r="B426">
        <v>9</v>
      </c>
      <c r="C426" s="2">
        <v>41700</v>
      </c>
      <c r="D426" s="1" t="s">
        <v>378</v>
      </c>
      <c r="E426">
        <v>198</v>
      </c>
      <c r="F426">
        <v>180</v>
      </c>
      <c r="G426">
        <v>145</v>
      </c>
      <c r="H426">
        <v>214</v>
      </c>
    </row>
    <row r="427" spans="1:8">
      <c r="A427">
        <v>2014</v>
      </c>
      <c r="B427">
        <v>10</v>
      </c>
      <c r="C427" s="2">
        <v>41707</v>
      </c>
      <c r="D427" s="1" t="s">
        <v>378</v>
      </c>
      <c r="E427">
        <v>184</v>
      </c>
      <c r="F427">
        <v>179</v>
      </c>
      <c r="G427">
        <v>145</v>
      </c>
      <c r="H427">
        <v>213</v>
      </c>
    </row>
    <row r="428" spans="1:8">
      <c r="A428">
        <v>2014</v>
      </c>
      <c r="B428">
        <v>11</v>
      </c>
      <c r="C428" s="2">
        <v>41714</v>
      </c>
      <c r="D428" s="1" t="s">
        <v>378</v>
      </c>
      <c r="E428">
        <v>178</v>
      </c>
      <c r="F428">
        <v>178</v>
      </c>
      <c r="G428">
        <v>144</v>
      </c>
      <c r="H428">
        <v>213</v>
      </c>
    </row>
    <row r="429" spans="1:8">
      <c r="A429">
        <v>2014</v>
      </c>
      <c r="B429">
        <v>12</v>
      </c>
      <c r="C429" s="2">
        <v>41721</v>
      </c>
      <c r="D429" s="1" t="s">
        <v>378</v>
      </c>
      <c r="E429">
        <v>172</v>
      </c>
      <c r="F429">
        <v>178</v>
      </c>
      <c r="G429">
        <v>143</v>
      </c>
      <c r="H429">
        <v>212</v>
      </c>
    </row>
    <row r="430" spans="1:8">
      <c r="A430">
        <v>2014</v>
      </c>
      <c r="B430">
        <v>13</v>
      </c>
      <c r="C430" s="2">
        <v>41728</v>
      </c>
      <c r="D430" s="1" t="s">
        <v>378</v>
      </c>
      <c r="E430">
        <v>183</v>
      </c>
      <c r="F430">
        <v>177</v>
      </c>
      <c r="G430">
        <v>143</v>
      </c>
      <c r="H430">
        <v>211</v>
      </c>
    </row>
    <row r="431" spans="1:8">
      <c r="A431">
        <v>2014</v>
      </c>
      <c r="B431">
        <v>14</v>
      </c>
      <c r="C431" s="2">
        <v>41735</v>
      </c>
      <c r="D431" s="1" t="s">
        <v>378</v>
      </c>
      <c r="E431">
        <v>188</v>
      </c>
      <c r="F431">
        <v>176</v>
      </c>
      <c r="G431">
        <v>142</v>
      </c>
      <c r="H431">
        <v>211</v>
      </c>
    </row>
    <row r="432" spans="1:8">
      <c r="A432">
        <v>2014</v>
      </c>
      <c r="B432">
        <v>15</v>
      </c>
      <c r="C432" s="2">
        <v>41742</v>
      </c>
      <c r="D432" s="1" t="s">
        <v>378</v>
      </c>
      <c r="E432">
        <v>177</v>
      </c>
      <c r="F432">
        <v>176</v>
      </c>
      <c r="G432">
        <v>141</v>
      </c>
      <c r="H432">
        <v>210</v>
      </c>
    </row>
    <row r="433" spans="1:9">
      <c r="A433">
        <v>2014</v>
      </c>
      <c r="B433">
        <v>16</v>
      </c>
      <c r="C433" s="2">
        <v>41749</v>
      </c>
      <c r="D433" s="1" t="s">
        <v>378</v>
      </c>
      <c r="E433">
        <v>170</v>
      </c>
      <c r="F433">
        <v>175</v>
      </c>
      <c r="G433">
        <v>141</v>
      </c>
      <c r="H433">
        <v>209</v>
      </c>
    </row>
    <row r="434" spans="1:9">
      <c r="A434">
        <v>2014</v>
      </c>
      <c r="B434">
        <v>17</v>
      </c>
      <c r="C434" s="2">
        <v>41756</v>
      </c>
      <c r="D434" s="1" t="s">
        <v>378</v>
      </c>
      <c r="E434">
        <v>156</v>
      </c>
      <c r="F434">
        <v>174</v>
      </c>
      <c r="G434">
        <v>140</v>
      </c>
      <c r="H434">
        <v>208</v>
      </c>
    </row>
    <row r="435" spans="1:9">
      <c r="A435">
        <v>2014</v>
      </c>
      <c r="B435">
        <v>18</v>
      </c>
      <c r="C435" s="2">
        <v>41763</v>
      </c>
      <c r="D435" s="1" t="s">
        <v>378</v>
      </c>
      <c r="E435">
        <v>141</v>
      </c>
      <c r="F435">
        <v>173</v>
      </c>
      <c r="G435">
        <v>139</v>
      </c>
      <c r="H435">
        <v>207</v>
      </c>
    </row>
    <row r="436" spans="1:9">
      <c r="A436">
        <v>2014</v>
      </c>
      <c r="B436">
        <v>19</v>
      </c>
      <c r="C436" s="2">
        <v>41770</v>
      </c>
      <c r="D436" s="1" t="s">
        <v>378</v>
      </c>
      <c r="E436">
        <v>208</v>
      </c>
      <c r="F436">
        <v>173</v>
      </c>
      <c r="G436">
        <v>139</v>
      </c>
      <c r="H436">
        <v>206</v>
      </c>
      <c r="I436">
        <v>208</v>
      </c>
    </row>
    <row r="437" spans="1:9">
      <c r="A437">
        <v>2014</v>
      </c>
      <c r="B437">
        <v>20</v>
      </c>
      <c r="C437" s="2">
        <v>41777</v>
      </c>
      <c r="D437" s="1" t="s">
        <v>378</v>
      </c>
      <c r="E437">
        <v>165</v>
      </c>
      <c r="F437">
        <v>172</v>
      </c>
      <c r="G437">
        <v>138</v>
      </c>
      <c r="H437">
        <v>206</v>
      </c>
    </row>
    <row r="438" spans="1:9">
      <c r="A438">
        <v>2014</v>
      </c>
      <c r="B438">
        <v>21</v>
      </c>
      <c r="C438" s="2">
        <v>41784</v>
      </c>
      <c r="D438" s="1" t="s">
        <v>378</v>
      </c>
      <c r="E438">
        <v>170</v>
      </c>
      <c r="F438">
        <v>171</v>
      </c>
      <c r="G438">
        <v>137</v>
      </c>
      <c r="H438">
        <v>205</v>
      </c>
    </row>
    <row r="439" spans="1:9">
      <c r="A439">
        <v>2014</v>
      </c>
      <c r="B439">
        <v>22</v>
      </c>
      <c r="C439" s="2">
        <v>41791</v>
      </c>
      <c r="D439" s="1" t="s">
        <v>378</v>
      </c>
      <c r="E439">
        <v>176</v>
      </c>
      <c r="F439">
        <v>171</v>
      </c>
      <c r="G439">
        <v>137</v>
      </c>
      <c r="H439">
        <v>204</v>
      </c>
    </row>
    <row r="440" spans="1:9">
      <c r="A440">
        <v>2014</v>
      </c>
      <c r="B440">
        <v>23</v>
      </c>
      <c r="C440" s="2">
        <v>41798</v>
      </c>
      <c r="D440" s="1" t="s">
        <v>378</v>
      </c>
      <c r="E440">
        <v>163</v>
      </c>
      <c r="F440">
        <v>170</v>
      </c>
      <c r="G440">
        <v>137</v>
      </c>
      <c r="H440">
        <v>204</v>
      </c>
    </row>
    <row r="441" spans="1:9">
      <c r="A441">
        <v>2014</v>
      </c>
      <c r="B441">
        <v>24</v>
      </c>
      <c r="C441" s="2">
        <v>41805</v>
      </c>
      <c r="D441" s="1" t="s">
        <v>378</v>
      </c>
      <c r="E441">
        <v>158</v>
      </c>
      <c r="F441">
        <v>170</v>
      </c>
      <c r="G441">
        <v>136</v>
      </c>
      <c r="H441">
        <v>203</v>
      </c>
    </row>
    <row r="442" spans="1:9">
      <c r="A442">
        <v>2014</v>
      </c>
      <c r="B442">
        <v>25</v>
      </c>
      <c r="C442" s="2">
        <v>41812</v>
      </c>
      <c r="D442" s="1" t="s">
        <v>378</v>
      </c>
      <c r="E442">
        <v>159</v>
      </c>
      <c r="F442">
        <v>169</v>
      </c>
      <c r="G442">
        <v>136</v>
      </c>
      <c r="H442">
        <v>203</v>
      </c>
    </row>
    <row r="443" spans="1:9">
      <c r="A443">
        <v>2014</v>
      </c>
      <c r="B443">
        <v>26</v>
      </c>
      <c r="C443" s="2">
        <v>41819</v>
      </c>
      <c r="D443" s="1" t="s">
        <v>378</v>
      </c>
      <c r="E443">
        <v>163</v>
      </c>
      <c r="F443">
        <v>169</v>
      </c>
      <c r="G443">
        <v>136</v>
      </c>
      <c r="H443">
        <v>203</v>
      </c>
    </row>
    <row r="444" spans="1:9">
      <c r="A444">
        <v>2014</v>
      </c>
      <c r="B444">
        <v>27</v>
      </c>
      <c r="C444" s="2">
        <v>41826</v>
      </c>
      <c r="D444" s="1" t="s">
        <v>378</v>
      </c>
      <c r="E444">
        <v>163</v>
      </c>
      <c r="F444">
        <v>169</v>
      </c>
      <c r="G444">
        <v>135</v>
      </c>
      <c r="H444">
        <v>202</v>
      </c>
    </row>
    <row r="445" spans="1:9">
      <c r="A445">
        <v>2014</v>
      </c>
      <c r="B445">
        <v>28</v>
      </c>
      <c r="C445" s="2">
        <v>41833</v>
      </c>
      <c r="D445" s="1" t="s">
        <v>378</v>
      </c>
      <c r="E445">
        <v>150</v>
      </c>
      <c r="F445">
        <v>169</v>
      </c>
      <c r="G445">
        <v>135</v>
      </c>
      <c r="H445">
        <v>202</v>
      </c>
    </row>
    <row r="446" spans="1:9">
      <c r="A446">
        <v>2014</v>
      </c>
      <c r="B446">
        <v>29</v>
      </c>
      <c r="C446" s="2">
        <v>41840</v>
      </c>
      <c r="D446" s="1" t="s">
        <v>378</v>
      </c>
      <c r="E446">
        <v>167</v>
      </c>
      <c r="F446">
        <v>168</v>
      </c>
      <c r="G446">
        <v>135</v>
      </c>
      <c r="H446">
        <v>202</v>
      </c>
    </row>
    <row r="447" spans="1:9">
      <c r="A447">
        <v>2014</v>
      </c>
      <c r="B447">
        <v>30</v>
      </c>
      <c r="C447" s="2">
        <v>41847</v>
      </c>
      <c r="D447" s="1" t="s">
        <v>378</v>
      </c>
      <c r="E447">
        <v>165</v>
      </c>
      <c r="F447">
        <v>168</v>
      </c>
      <c r="G447">
        <v>135</v>
      </c>
      <c r="H447">
        <v>202</v>
      </c>
    </row>
    <row r="448" spans="1:9">
      <c r="A448">
        <v>2014</v>
      </c>
      <c r="B448">
        <v>31</v>
      </c>
      <c r="C448" s="2">
        <v>41854</v>
      </c>
      <c r="D448" s="1" t="s">
        <v>378</v>
      </c>
      <c r="E448">
        <v>159</v>
      </c>
      <c r="F448">
        <v>168</v>
      </c>
      <c r="G448">
        <v>135</v>
      </c>
      <c r="H448">
        <v>202</v>
      </c>
    </row>
    <row r="449" spans="1:8">
      <c r="A449">
        <v>2014</v>
      </c>
      <c r="B449">
        <v>32</v>
      </c>
      <c r="C449" s="2">
        <v>41861</v>
      </c>
      <c r="D449" s="1" t="s">
        <v>378</v>
      </c>
      <c r="E449">
        <v>154</v>
      </c>
      <c r="F449">
        <v>168</v>
      </c>
      <c r="G449">
        <v>135</v>
      </c>
      <c r="H449">
        <v>202</v>
      </c>
    </row>
    <row r="450" spans="1:8">
      <c r="A450">
        <v>2014</v>
      </c>
      <c r="B450">
        <v>33</v>
      </c>
      <c r="C450" s="2">
        <v>41868</v>
      </c>
      <c r="D450" s="1" t="s">
        <v>378</v>
      </c>
      <c r="E450">
        <v>142</v>
      </c>
      <c r="F450">
        <v>168</v>
      </c>
      <c r="G450">
        <v>135</v>
      </c>
      <c r="H450">
        <v>202</v>
      </c>
    </row>
    <row r="451" spans="1:8">
      <c r="A451">
        <v>2014</v>
      </c>
      <c r="B451">
        <v>34</v>
      </c>
      <c r="C451" s="2">
        <v>41875</v>
      </c>
      <c r="D451" s="1" t="s">
        <v>378</v>
      </c>
      <c r="E451">
        <v>160</v>
      </c>
      <c r="F451">
        <v>168</v>
      </c>
      <c r="G451">
        <v>135</v>
      </c>
      <c r="H451">
        <v>202</v>
      </c>
    </row>
    <row r="452" spans="1:8">
      <c r="A452">
        <v>2014</v>
      </c>
      <c r="B452">
        <v>35</v>
      </c>
      <c r="C452" s="2">
        <v>41882</v>
      </c>
      <c r="D452" s="1" t="s">
        <v>378</v>
      </c>
      <c r="E452">
        <v>163</v>
      </c>
      <c r="F452">
        <v>169</v>
      </c>
      <c r="G452">
        <v>135</v>
      </c>
      <c r="H452">
        <v>202</v>
      </c>
    </row>
    <row r="453" spans="1:8">
      <c r="A453">
        <v>2014</v>
      </c>
      <c r="B453">
        <v>36</v>
      </c>
      <c r="C453" s="2">
        <v>41889</v>
      </c>
      <c r="D453" s="1" t="s">
        <v>378</v>
      </c>
      <c r="E453">
        <v>188</v>
      </c>
      <c r="F453">
        <v>169</v>
      </c>
      <c r="G453">
        <v>135</v>
      </c>
      <c r="H453">
        <v>202</v>
      </c>
    </row>
    <row r="454" spans="1:8">
      <c r="A454">
        <v>2014</v>
      </c>
      <c r="B454">
        <v>37</v>
      </c>
      <c r="C454" s="2">
        <v>41896</v>
      </c>
      <c r="D454" s="1" t="s">
        <v>378</v>
      </c>
      <c r="E454">
        <v>141</v>
      </c>
      <c r="F454">
        <v>169</v>
      </c>
      <c r="G454">
        <v>136</v>
      </c>
      <c r="H454">
        <v>203</v>
      </c>
    </row>
    <row r="455" spans="1:8">
      <c r="A455">
        <v>2014</v>
      </c>
      <c r="B455">
        <v>38</v>
      </c>
      <c r="C455" s="2">
        <v>41903</v>
      </c>
      <c r="D455" s="1" t="s">
        <v>378</v>
      </c>
      <c r="E455">
        <v>157</v>
      </c>
      <c r="F455">
        <v>170</v>
      </c>
      <c r="G455">
        <v>136</v>
      </c>
      <c r="H455">
        <v>203</v>
      </c>
    </row>
    <row r="456" spans="1:8">
      <c r="A456">
        <v>2014</v>
      </c>
      <c r="B456">
        <v>39</v>
      </c>
      <c r="C456" s="2">
        <v>41910</v>
      </c>
      <c r="D456" s="1" t="s">
        <v>378</v>
      </c>
      <c r="E456">
        <v>169</v>
      </c>
      <c r="F456">
        <v>170</v>
      </c>
      <c r="G456">
        <v>136</v>
      </c>
      <c r="H456">
        <v>204</v>
      </c>
    </row>
    <row r="457" spans="1:8">
      <c r="A457">
        <v>2014</v>
      </c>
      <c r="B457">
        <v>40</v>
      </c>
      <c r="C457" s="2">
        <v>41917</v>
      </c>
      <c r="D457" s="1" t="s">
        <v>378</v>
      </c>
      <c r="E457">
        <v>167</v>
      </c>
      <c r="F457">
        <v>170</v>
      </c>
      <c r="G457">
        <v>137</v>
      </c>
      <c r="H457">
        <v>204</v>
      </c>
    </row>
    <row r="458" spans="1:8">
      <c r="A458">
        <v>2014</v>
      </c>
      <c r="B458">
        <v>41</v>
      </c>
      <c r="C458" s="2">
        <v>41924</v>
      </c>
      <c r="D458" s="1" t="s">
        <v>378</v>
      </c>
      <c r="E458">
        <v>188</v>
      </c>
      <c r="F458">
        <v>171</v>
      </c>
      <c r="G458">
        <v>137</v>
      </c>
      <c r="H458">
        <v>205</v>
      </c>
    </row>
    <row r="459" spans="1:8">
      <c r="A459">
        <v>2014</v>
      </c>
      <c r="B459">
        <v>42</v>
      </c>
      <c r="C459" s="2">
        <v>41931</v>
      </c>
      <c r="D459" s="1" t="s">
        <v>378</v>
      </c>
      <c r="E459">
        <v>149</v>
      </c>
      <c r="F459">
        <v>172</v>
      </c>
      <c r="G459">
        <v>138</v>
      </c>
      <c r="H459">
        <v>205</v>
      </c>
    </row>
    <row r="460" spans="1:8">
      <c r="A460">
        <v>2014</v>
      </c>
      <c r="B460">
        <v>43</v>
      </c>
      <c r="C460" s="2">
        <v>41938</v>
      </c>
      <c r="D460" s="1" t="s">
        <v>378</v>
      </c>
      <c r="E460">
        <v>158</v>
      </c>
      <c r="F460">
        <v>172</v>
      </c>
      <c r="G460">
        <v>138</v>
      </c>
      <c r="H460">
        <v>206</v>
      </c>
    </row>
    <row r="461" spans="1:8">
      <c r="A461">
        <v>2014</v>
      </c>
      <c r="B461">
        <v>44</v>
      </c>
      <c r="C461" s="2">
        <v>41945</v>
      </c>
      <c r="D461" s="1" t="s">
        <v>378</v>
      </c>
      <c r="E461">
        <v>182</v>
      </c>
      <c r="F461">
        <v>173</v>
      </c>
      <c r="G461">
        <v>139</v>
      </c>
      <c r="H461">
        <v>207</v>
      </c>
    </row>
    <row r="462" spans="1:8">
      <c r="A462">
        <v>2014</v>
      </c>
      <c r="B462">
        <v>45</v>
      </c>
      <c r="C462" s="2">
        <v>41952</v>
      </c>
      <c r="D462" s="1" t="s">
        <v>378</v>
      </c>
      <c r="E462">
        <v>181</v>
      </c>
      <c r="F462">
        <v>173</v>
      </c>
      <c r="G462">
        <v>139</v>
      </c>
      <c r="H462">
        <v>207</v>
      </c>
    </row>
    <row r="463" spans="1:8">
      <c r="A463">
        <v>2014</v>
      </c>
      <c r="B463">
        <v>46</v>
      </c>
      <c r="C463" s="2">
        <v>41959</v>
      </c>
      <c r="D463" s="1" t="s">
        <v>378</v>
      </c>
      <c r="E463">
        <v>207</v>
      </c>
      <c r="F463">
        <v>174</v>
      </c>
      <c r="G463">
        <v>140</v>
      </c>
      <c r="H463">
        <v>208</v>
      </c>
    </row>
    <row r="464" spans="1:8">
      <c r="A464">
        <v>2014</v>
      </c>
      <c r="B464">
        <v>47</v>
      </c>
      <c r="C464" s="2">
        <v>41966</v>
      </c>
      <c r="D464" s="1" t="s">
        <v>378</v>
      </c>
      <c r="E464">
        <v>181</v>
      </c>
      <c r="F464">
        <v>174</v>
      </c>
      <c r="G464">
        <v>140</v>
      </c>
      <c r="H464">
        <v>208</v>
      </c>
    </row>
    <row r="465" spans="1:8">
      <c r="A465">
        <v>2014</v>
      </c>
      <c r="B465">
        <v>48</v>
      </c>
      <c r="C465" s="2">
        <v>41973</v>
      </c>
      <c r="D465" s="1" t="s">
        <v>378</v>
      </c>
      <c r="E465">
        <v>158</v>
      </c>
      <c r="F465">
        <v>175</v>
      </c>
      <c r="G465">
        <v>141</v>
      </c>
      <c r="H465">
        <v>209</v>
      </c>
    </row>
    <row r="466" spans="1:8">
      <c r="A466">
        <v>2014</v>
      </c>
      <c r="B466">
        <v>49</v>
      </c>
      <c r="C466" s="2">
        <v>41980</v>
      </c>
      <c r="D466" s="1" t="s">
        <v>378</v>
      </c>
      <c r="E466">
        <v>194</v>
      </c>
      <c r="F466">
        <v>176</v>
      </c>
      <c r="G466">
        <v>142</v>
      </c>
      <c r="H466">
        <v>210</v>
      </c>
    </row>
    <row r="467" spans="1:8">
      <c r="A467">
        <v>2014</v>
      </c>
      <c r="B467">
        <v>50</v>
      </c>
      <c r="C467" s="2">
        <v>41987</v>
      </c>
      <c r="D467" s="1" t="s">
        <v>378</v>
      </c>
      <c r="E467">
        <v>171</v>
      </c>
      <c r="F467">
        <v>176</v>
      </c>
      <c r="G467">
        <v>142</v>
      </c>
      <c r="H467">
        <v>210</v>
      </c>
    </row>
    <row r="468" spans="1:8">
      <c r="A468">
        <v>2014</v>
      </c>
      <c r="B468">
        <v>51</v>
      </c>
      <c r="C468" s="2">
        <v>41994</v>
      </c>
      <c r="D468" s="1" t="s">
        <v>378</v>
      </c>
      <c r="E468">
        <v>173</v>
      </c>
      <c r="F468">
        <v>177</v>
      </c>
      <c r="G468">
        <v>143</v>
      </c>
      <c r="H468">
        <v>211</v>
      </c>
    </row>
    <row r="469" spans="1:8">
      <c r="A469">
        <v>2014</v>
      </c>
      <c r="B469">
        <v>52</v>
      </c>
      <c r="C469" s="2">
        <v>42001</v>
      </c>
      <c r="D469" s="1" t="s">
        <v>378</v>
      </c>
      <c r="E469">
        <v>177</v>
      </c>
      <c r="F469">
        <v>178</v>
      </c>
      <c r="G469">
        <v>143</v>
      </c>
      <c r="H469">
        <v>212</v>
      </c>
    </row>
    <row r="470" spans="1:8">
      <c r="A470">
        <v>2014</v>
      </c>
      <c r="B470">
        <v>1</v>
      </c>
      <c r="C470" s="2">
        <v>41644</v>
      </c>
      <c r="D470" s="1" t="s">
        <v>379</v>
      </c>
      <c r="E470">
        <v>1143</v>
      </c>
      <c r="F470">
        <v>1216</v>
      </c>
      <c r="G470">
        <v>1126</v>
      </c>
      <c r="H470">
        <v>1306</v>
      </c>
    </row>
    <row r="471" spans="1:8">
      <c r="A471">
        <v>2014</v>
      </c>
      <c r="B471">
        <v>2</v>
      </c>
      <c r="C471" s="2">
        <v>41651</v>
      </c>
      <c r="D471" s="1" t="s">
        <v>379</v>
      </c>
      <c r="E471">
        <v>1126</v>
      </c>
      <c r="F471">
        <v>1215</v>
      </c>
      <c r="G471">
        <v>1126</v>
      </c>
      <c r="H471">
        <v>1305</v>
      </c>
    </row>
    <row r="472" spans="1:8">
      <c r="A472">
        <v>2014</v>
      </c>
      <c r="B472">
        <v>3</v>
      </c>
      <c r="C472" s="2">
        <v>41658</v>
      </c>
      <c r="D472" s="1" t="s">
        <v>379</v>
      </c>
      <c r="E472">
        <v>1097</v>
      </c>
      <c r="F472">
        <v>1216</v>
      </c>
      <c r="G472">
        <v>1126</v>
      </c>
      <c r="H472">
        <v>1306</v>
      </c>
    </row>
    <row r="473" spans="1:8">
      <c r="A473">
        <v>2014</v>
      </c>
      <c r="B473">
        <v>4</v>
      </c>
      <c r="C473" s="2">
        <v>41665</v>
      </c>
      <c r="D473" s="1" t="s">
        <v>379</v>
      </c>
      <c r="E473">
        <v>1131</v>
      </c>
      <c r="F473">
        <v>1216</v>
      </c>
      <c r="G473">
        <v>1126</v>
      </c>
      <c r="H473">
        <v>1306</v>
      </c>
    </row>
    <row r="474" spans="1:8">
      <c r="A474">
        <v>2014</v>
      </c>
      <c r="B474">
        <v>5</v>
      </c>
      <c r="C474" s="2">
        <v>41672</v>
      </c>
      <c r="D474" s="1" t="s">
        <v>379</v>
      </c>
      <c r="E474">
        <v>1164</v>
      </c>
      <c r="F474">
        <v>1217</v>
      </c>
      <c r="G474">
        <v>1127</v>
      </c>
      <c r="H474">
        <v>1307</v>
      </c>
    </row>
    <row r="475" spans="1:8">
      <c r="A475">
        <v>2014</v>
      </c>
      <c r="B475">
        <v>6</v>
      </c>
      <c r="C475" s="2">
        <v>41679</v>
      </c>
      <c r="D475" s="1" t="s">
        <v>379</v>
      </c>
      <c r="E475">
        <v>1108</v>
      </c>
      <c r="F475">
        <v>1218</v>
      </c>
      <c r="G475">
        <v>1128</v>
      </c>
      <c r="H475">
        <v>1308</v>
      </c>
    </row>
    <row r="476" spans="1:8">
      <c r="A476">
        <v>2014</v>
      </c>
      <c r="B476">
        <v>7</v>
      </c>
      <c r="C476" s="2">
        <v>41686</v>
      </c>
      <c r="D476" s="1" t="s">
        <v>379</v>
      </c>
      <c r="E476">
        <v>1095</v>
      </c>
      <c r="F476">
        <v>1215</v>
      </c>
      <c r="G476">
        <v>1125</v>
      </c>
      <c r="H476">
        <v>1305</v>
      </c>
    </row>
    <row r="477" spans="1:8">
      <c r="A477">
        <v>2014</v>
      </c>
      <c r="B477">
        <v>8</v>
      </c>
      <c r="C477" s="2">
        <v>41693</v>
      </c>
      <c r="D477" s="1" t="s">
        <v>379</v>
      </c>
      <c r="E477">
        <v>1158</v>
      </c>
      <c r="F477">
        <v>1204</v>
      </c>
      <c r="G477">
        <v>1115</v>
      </c>
      <c r="H477">
        <v>1294</v>
      </c>
    </row>
    <row r="478" spans="1:8">
      <c r="A478">
        <v>2014</v>
      </c>
      <c r="B478">
        <v>9</v>
      </c>
      <c r="C478" s="2">
        <v>41700</v>
      </c>
      <c r="D478" s="1" t="s">
        <v>379</v>
      </c>
      <c r="E478">
        <v>1160</v>
      </c>
      <c r="F478">
        <v>1193</v>
      </c>
      <c r="G478">
        <v>1104</v>
      </c>
      <c r="H478">
        <v>1282</v>
      </c>
    </row>
    <row r="479" spans="1:8">
      <c r="A479">
        <v>2014</v>
      </c>
      <c r="B479">
        <v>10</v>
      </c>
      <c r="C479" s="2">
        <v>41707</v>
      </c>
      <c r="D479" s="1" t="s">
        <v>379</v>
      </c>
      <c r="E479">
        <v>1151</v>
      </c>
      <c r="F479">
        <v>1170</v>
      </c>
      <c r="G479">
        <v>1082</v>
      </c>
      <c r="H479">
        <v>1258</v>
      </c>
    </row>
    <row r="480" spans="1:8">
      <c r="A480">
        <v>2014</v>
      </c>
      <c r="B480">
        <v>11</v>
      </c>
      <c r="C480" s="2">
        <v>41714</v>
      </c>
      <c r="D480" s="1" t="s">
        <v>379</v>
      </c>
      <c r="E480">
        <v>1114</v>
      </c>
      <c r="F480">
        <v>1146</v>
      </c>
      <c r="G480">
        <v>1059</v>
      </c>
      <c r="H480">
        <v>1233</v>
      </c>
    </row>
    <row r="481" spans="1:8">
      <c r="A481">
        <v>2014</v>
      </c>
      <c r="B481">
        <v>12</v>
      </c>
      <c r="C481" s="2">
        <v>41721</v>
      </c>
      <c r="D481" s="1" t="s">
        <v>379</v>
      </c>
      <c r="E481">
        <v>1114</v>
      </c>
      <c r="F481">
        <v>1121</v>
      </c>
      <c r="G481">
        <v>1034</v>
      </c>
      <c r="H481">
        <v>1207</v>
      </c>
    </row>
    <row r="482" spans="1:8">
      <c r="A482">
        <v>2014</v>
      </c>
      <c r="B482">
        <v>13</v>
      </c>
      <c r="C482" s="2">
        <v>41728</v>
      </c>
      <c r="D482" s="1" t="s">
        <v>379</v>
      </c>
      <c r="E482">
        <v>1026</v>
      </c>
      <c r="F482">
        <v>1095</v>
      </c>
      <c r="G482">
        <v>1010</v>
      </c>
      <c r="H482">
        <v>1180</v>
      </c>
    </row>
    <row r="483" spans="1:8">
      <c r="A483">
        <v>2014</v>
      </c>
      <c r="B483">
        <v>14</v>
      </c>
      <c r="C483" s="2">
        <v>41735</v>
      </c>
      <c r="D483" s="1" t="s">
        <v>379</v>
      </c>
      <c r="E483">
        <v>1036</v>
      </c>
      <c r="F483">
        <v>1077</v>
      </c>
      <c r="G483">
        <v>992</v>
      </c>
      <c r="H483">
        <v>1161</v>
      </c>
    </row>
    <row r="484" spans="1:8">
      <c r="A484">
        <v>2014</v>
      </c>
      <c r="B484">
        <v>15</v>
      </c>
      <c r="C484" s="2">
        <v>41742</v>
      </c>
      <c r="D484" s="1" t="s">
        <v>379</v>
      </c>
      <c r="E484">
        <v>1035</v>
      </c>
      <c r="F484">
        <v>1063</v>
      </c>
      <c r="G484">
        <v>979</v>
      </c>
      <c r="H484">
        <v>1147</v>
      </c>
    </row>
    <row r="485" spans="1:8">
      <c r="A485">
        <v>2014</v>
      </c>
      <c r="B485">
        <v>16</v>
      </c>
      <c r="C485" s="2">
        <v>41749</v>
      </c>
      <c r="D485" s="1" t="s">
        <v>379</v>
      </c>
      <c r="E485">
        <v>1020</v>
      </c>
      <c r="F485">
        <v>1049</v>
      </c>
      <c r="G485">
        <v>966</v>
      </c>
      <c r="H485">
        <v>1132</v>
      </c>
    </row>
    <row r="486" spans="1:8">
      <c r="A486">
        <v>2014</v>
      </c>
      <c r="B486">
        <v>17</v>
      </c>
      <c r="C486" s="2">
        <v>41756</v>
      </c>
      <c r="D486" s="1" t="s">
        <v>379</v>
      </c>
      <c r="E486">
        <v>980</v>
      </c>
      <c r="F486">
        <v>1036</v>
      </c>
      <c r="G486">
        <v>954</v>
      </c>
      <c r="H486">
        <v>1119</v>
      </c>
    </row>
    <row r="487" spans="1:8">
      <c r="A487">
        <v>2014</v>
      </c>
      <c r="B487">
        <v>18</v>
      </c>
      <c r="C487" s="2">
        <v>41763</v>
      </c>
      <c r="D487" s="1" t="s">
        <v>379</v>
      </c>
      <c r="E487">
        <v>1047</v>
      </c>
      <c r="F487">
        <v>1024</v>
      </c>
      <c r="G487">
        <v>942</v>
      </c>
      <c r="H487">
        <v>1106</v>
      </c>
    </row>
    <row r="488" spans="1:8">
      <c r="A488">
        <v>2014</v>
      </c>
      <c r="B488">
        <v>19</v>
      </c>
      <c r="C488" s="2">
        <v>41770</v>
      </c>
      <c r="D488" s="1" t="s">
        <v>379</v>
      </c>
      <c r="E488">
        <v>1001</v>
      </c>
      <c r="F488">
        <v>1012</v>
      </c>
      <c r="G488">
        <v>930</v>
      </c>
      <c r="H488">
        <v>1094</v>
      </c>
    </row>
    <row r="489" spans="1:8">
      <c r="A489">
        <v>2014</v>
      </c>
      <c r="B489">
        <v>20</v>
      </c>
      <c r="C489" s="2">
        <v>41777</v>
      </c>
      <c r="D489" s="1" t="s">
        <v>379</v>
      </c>
      <c r="E489">
        <v>970</v>
      </c>
      <c r="F489">
        <v>999</v>
      </c>
      <c r="G489">
        <v>918</v>
      </c>
      <c r="H489">
        <v>1081</v>
      </c>
    </row>
    <row r="490" spans="1:8">
      <c r="A490">
        <v>2014</v>
      </c>
      <c r="B490">
        <v>21</v>
      </c>
      <c r="C490" s="2">
        <v>41784</v>
      </c>
      <c r="D490" s="1" t="s">
        <v>379</v>
      </c>
      <c r="E490">
        <v>983</v>
      </c>
      <c r="F490">
        <v>988</v>
      </c>
      <c r="G490">
        <v>907</v>
      </c>
      <c r="H490">
        <v>1069</v>
      </c>
    </row>
    <row r="491" spans="1:8">
      <c r="A491">
        <v>2014</v>
      </c>
      <c r="B491">
        <v>22</v>
      </c>
      <c r="C491" s="2">
        <v>41791</v>
      </c>
      <c r="D491" s="1" t="s">
        <v>379</v>
      </c>
      <c r="E491">
        <v>948</v>
      </c>
      <c r="F491">
        <v>984</v>
      </c>
      <c r="G491">
        <v>903</v>
      </c>
      <c r="H491">
        <v>1064</v>
      </c>
    </row>
    <row r="492" spans="1:8">
      <c r="A492">
        <v>2014</v>
      </c>
      <c r="B492">
        <v>23</v>
      </c>
      <c r="C492" s="2">
        <v>41798</v>
      </c>
      <c r="D492" s="1" t="s">
        <v>379</v>
      </c>
      <c r="E492">
        <v>934</v>
      </c>
      <c r="F492">
        <v>979</v>
      </c>
      <c r="G492">
        <v>899</v>
      </c>
      <c r="H492">
        <v>1060</v>
      </c>
    </row>
    <row r="493" spans="1:8">
      <c r="A493">
        <v>2014</v>
      </c>
      <c r="B493">
        <v>24</v>
      </c>
      <c r="C493" s="2">
        <v>41805</v>
      </c>
      <c r="D493" s="1" t="s">
        <v>379</v>
      </c>
      <c r="E493">
        <v>1057</v>
      </c>
      <c r="F493">
        <v>978</v>
      </c>
      <c r="G493">
        <v>897</v>
      </c>
      <c r="H493">
        <v>1058</v>
      </c>
    </row>
    <row r="494" spans="1:8">
      <c r="A494">
        <v>2014</v>
      </c>
      <c r="B494">
        <v>25</v>
      </c>
      <c r="C494" s="2">
        <v>41812</v>
      </c>
      <c r="D494" s="1" t="s">
        <v>379</v>
      </c>
      <c r="E494">
        <v>921</v>
      </c>
      <c r="F494">
        <v>976</v>
      </c>
      <c r="G494">
        <v>896</v>
      </c>
      <c r="H494">
        <v>1057</v>
      </c>
    </row>
    <row r="495" spans="1:8">
      <c r="A495">
        <v>2014</v>
      </c>
      <c r="B495">
        <v>26</v>
      </c>
      <c r="C495" s="2">
        <v>41819</v>
      </c>
      <c r="D495" s="1" t="s">
        <v>379</v>
      </c>
      <c r="E495">
        <v>916</v>
      </c>
      <c r="F495">
        <v>975</v>
      </c>
      <c r="G495">
        <v>894</v>
      </c>
      <c r="H495">
        <v>1055</v>
      </c>
    </row>
    <row r="496" spans="1:8">
      <c r="A496">
        <v>2014</v>
      </c>
      <c r="B496">
        <v>27</v>
      </c>
      <c r="C496" s="2">
        <v>41826</v>
      </c>
      <c r="D496" s="1" t="s">
        <v>379</v>
      </c>
      <c r="E496">
        <v>993</v>
      </c>
      <c r="F496">
        <v>975</v>
      </c>
      <c r="G496">
        <v>894</v>
      </c>
      <c r="H496">
        <v>1055</v>
      </c>
    </row>
    <row r="497" spans="1:8">
      <c r="A497">
        <v>2014</v>
      </c>
      <c r="B497">
        <v>28</v>
      </c>
      <c r="C497" s="2">
        <v>41833</v>
      </c>
      <c r="D497" s="1" t="s">
        <v>379</v>
      </c>
      <c r="E497">
        <v>927</v>
      </c>
      <c r="F497">
        <v>971</v>
      </c>
      <c r="G497">
        <v>891</v>
      </c>
      <c r="H497">
        <v>1051</v>
      </c>
    </row>
    <row r="498" spans="1:8">
      <c r="A498">
        <v>2014</v>
      </c>
      <c r="B498">
        <v>29</v>
      </c>
      <c r="C498" s="2">
        <v>41840</v>
      </c>
      <c r="D498" s="1" t="s">
        <v>379</v>
      </c>
      <c r="E498">
        <v>1014</v>
      </c>
      <c r="F498">
        <v>968</v>
      </c>
      <c r="G498">
        <v>888</v>
      </c>
      <c r="H498">
        <v>1048</v>
      </c>
    </row>
    <row r="499" spans="1:8">
      <c r="A499">
        <v>2014</v>
      </c>
      <c r="B499">
        <v>30</v>
      </c>
      <c r="C499" s="2">
        <v>41847</v>
      </c>
      <c r="D499" s="1" t="s">
        <v>379</v>
      </c>
      <c r="E499">
        <v>971</v>
      </c>
      <c r="F499">
        <v>967</v>
      </c>
      <c r="G499">
        <v>887</v>
      </c>
      <c r="H499">
        <v>1047</v>
      </c>
    </row>
    <row r="500" spans="1:8">
      <c r="A500">
        <v>2014</v>
      </c>
      <c r="B500">
        <v>31</v>
      </c>
      <c r="C500" s="2">
        <v>41854</v>
      </c>
      <c r="D500" s="1" t="s">
        <v>379</v>
      </c>
      <c r="E500">
        <v>1002</v>
      </c>
      <c r="F500">
        <v>967</v>
      </c>
      <c r="G500">
        <v>887</v>
      </c>
      <c r="H500">
        <v>1047</v>
      </c>
    </row>
    <row r="501" spans="1:8">
      <c r="A501">
        <v>2014</v>
      </c>
      <c r="B501">
        <v>32</v>
      </c>
      <c r="C501" s="2">
        <v>41861</v>
      </c>
      <c r="D501" s="1" t="s">
        <v>379</v>
      </c>
      <c r="E501">
        <v>900</v>
      </c>
      <c r="F501">
        <v>970</v>
      </c>
      <c r="G501">
        <v>890</v>
      </c>
      <c r="H501">
        <v>1051</v>
      </c>
    </row>
    <row r="502" spans="1:8">
      <c r="A502">
        <v>2014</v>
      </c>
      <c r="B502">
        <v>33</v>
      </c>
      <c r="C502" s="2">
        <v>41868</v>
      </c>
      <c r="D502" s="1" t="s">
        <v>379</v>
      </c>
      <c r="E502">
        <v>965</v>
      </c>
      <c r="F502">
        <v>974</v>
      </c>
      <c r="G502">
        <v>894</v>
      </c>
      <c r="H502">
        <v>1055</v>
      </c>
    </row>
    <row r="503" spans="1:8">
      <c r="A503">
        <v>2014</v>
      </c>
      <c r="B503">
        <v>34</v>
      </c>
      <c r="C503" s="2">
        <v>41875</v>
      </c>
      <c r="D503" s="1" t="s">
        <v>379</v>
      </c>
      <c r="E503">
        <v>943</v>
      </c>
      <c r="F503">
        <v>980</v>
      </c>
      <c r="G503">
        <v>900</v>
      </c>
      <c r="H503">
        <v>1061</v>
      </c>
    </row>
    <row r="504" spans="1:8">
      <c r="A504">
        <v>2014</v>
      </c>
      <c r="B504">
        <v>35</v>
      </c>
      <c r="C504" s="2">
        <v>41882</v>
      </c>
      <c r="D504" s="1" t="s">
        <v>379</v>
      </c>
      <c r="E504">
        <v>1014</v>
      </c>
      <c r="F504">
        <v>987</v>
      </c>
      <c r="G504">
        <v>906</v>
      </c>
      <c r="H504">
        <v>1068</v>
      </c>
    </row>
    <row r="505" spans="1:8">
      <c r="A505">
        <v>2014</v>
      </c>
      <c r="B505">
        <v>36</v>
      </c>
      <c r="C505" s="2">
        <v>41889</v>
      </c>
      <c r="D505" s="1" t="s">
        <v>379</v>
      </c>
      <c r="E505">
        <v>963</v>
      </c>
      <c r="F505">
        <v>994</v>
      </c>
      <c r="G505">
        <v>913</v>
      </c>
      <c r="H505">
        <v>1075</v>
      </c>
    </row>
    <row r="506" spans="1:8">
      <c r="A506">
        <v>2014</v>
      </c>
      <c r="B506">
        <v>37</v>
      </c>
      <c r="C506" s="2">
        <v>41896</v>
      </c>
      <c r="D506" s="1" t="s">
        <v>379</v>
      </c>
      <c r="E506">
        <v>991</v>
      </c>
      <c r="F506">
        <v>999</v>
      </c>
      <c r="G506">
        <v>917</v>
      </c>
      <c r="H506">
        <v>1080</v>
      </c>
    </row>
    <row r="507" spans="1:8">
      <c r="A507">
        <v>2014</v>
      </c>
      <c r="B507">
        <v>38</v>
      </c>
      <c r="C507" s="2">
        <v>41903</v>
      </c>
      <c r="D507" s="1" t="s">
        <v>379</v>
      </c>
      <c r="E507">
        <v>958</v>
      </c>
      <c r="F507">
        <v>1003</v>
      </c>
      <c r="G507">
        <v>922</v>
      </c>
      <c r="H507">
        <v>1085</v>
      </c>
    </row>
    <row r="508" spans="1:8">
      <c r="A508">
        <v>2014</v>
      </c>
      <c r="B508">
        <v>39</v>
      </c>
      <c r="C508" s="2">
        <v>41910</v>
      </c>
      <c r="D508" s="1" t="s">
        <v>379</v>
      </c>
      <c r="E508">
        <v>966</v>
      </c>
      <c r="F508">
        <v>1008</v>
      </c>
      <c r="G508">
        <v>926</v>
      </c>
      <c r="H508">
        <v>1090</v>
      </c>
    </row>
    <row r="509" spans="1:8">
      <c r="A509">
        <v>2014</v>
      </c>
      <c r="B509">
        <v>40</v>
      </c>
      <c r="C509" s="2">
        <v>41917</v>
      </c>
      <c r="D509" s="1" t="s">
        <v>379</v>
      </c>
      <c r="E509">
        <v>1022</v>
      </c>
      <c r="F509">
        <v>1015</v>
      </c>
      <c r="G509">
        <v>933</v>
      </c>
      <c r="H509">
        <v>1098</v>
      </c>
    </row>
    <row r="510" spans="1:8">
      <c r="A510">
        <v>2014</v>
      </c>
      <c r="B510">
        <v>41</v>
      </c>
      <c r="C510" s="2">
        <v>41924</v>
      </c>
      <c r="D510" s="1" t="s">
        <v>379</v>
      </c>
      <c r="E510">
        <v>1020</v>
      </c>
      <c r="F510">
        <v>1024</v>
      </c>
      <c r="G510">
        <v>942</v>
      </c>
      <c r="H510">
        <v>1106</v>
      </c>
    </row>
    <row r="511" spans="1:8">
      <c r="A511">
        <v>2014</v>
      </c>
      <c r="B511">
        <v>42</v>
      </c>
      <c r="C511" s="2">
        <v>41931</v>
      </c>
      <c r="D511" s="1" t="s">
        <v>379</v>
      </c>
      <c r="E511">
        <v>1020</v>
      </c>
      <c r="F511">
        <v>1033</v>
      </c>
      <c r="G511">
        <v>950</v>
      </c>
      <c r="H511">
        <v>1115</v>
      </c>
    </row>
    <row r="512" spans="1:8">
      <c r="A512">
        <v>2014</v>
      </c>
      <c r="B512">
        <v>43</v>
      </c>
      <c r="C512" s="2">
        <v>41938</v>
      </c>
      <c r="D512" s="1" t="s">
        <v>379</v>
      </c>
      <c r="E512">
        <v>1086</v>
      </c>
      <c r="F512">
        <v>1045</v>
      </c>
      <c r="G512">
        <v>962</v>
      </c>
      <c r="H512">
        <v>1128</v>
      </c>
    </row>
    <row r="513" spans="1:9">
      <c r="A513">
        <v>2014</v>
      </c>
      <c r="B513">
        <v>44</v>
      </c>
      <c r="C513" s="2">
        <v>41945</v>
      </c>
      <c r="D513" s="1" t="s">
        <v>379</v>
      </c>
      <c r="E513">
        <v>1036</v>
      </c>
      <c r="F513">
        <v>1057</v>
      </c>
      <c r="G513">
        <v>974</v>
      </c>
      <c r="H513">
        <v>1141</v>
      </c>
    </row>
    <row r="514" spans="1:9">
      <c r="A514">
        <v>2014</v>
      </c>
      <c r="B514">
        <v>45</v>
      </c>
      <c r="C514" s="2">
        <v>41952</v>
      </c>
      <c r="D514" s="1" t="s">
        <v>379</v>
      </c>
      <c r="E514">
        <v>1085</v>
      </c>
      <c r="F514">
        <v>1074</v>
      </c>
      <c r="G514">
        <v>989</v>
      </c>
      <c r="H514">
        <v>1158</v>
      </c>
    </row>
    <row r="515" spans="1:9">
      <c r="A515">
        <v>2014</v>
      </c>
      <c r="B515">
        <v>46</v>
      </c>
      <c r="C515" s="2">
        <v>41959</v>
      </c>
      <c r="D515" s="1" t="s">
        <v>379</v>
      </c>
      <c r="E515">
        <v>1092</v>
      </c>
      <c r="F515">
        <v>1090</v>
      </c>
      <c r="G515">
        <v>1005</v>
      </c>
      <c r="H515">
        <v>1175</v>
      </c>
    </row>
    <row r="516" spans="1:9">
      <c r="A516">
        <v>2014</v>
      </c>
      <c r="B516">
        <v>47</v>
      </c>
      <c r="C516" s="2">
        <v>41966</v>
      </c>
      <c r="D516" s="1" t="s">
        <v>379</v>
      </c>
      <c r="E516">
        <v>1112</v>
      </c>
      <c r="F516">
        <v>1106</v>
      </c>
      <c r="G516">
        <v>1021</v>
      </c>
      <c r="H516">
        <v>1192</v>
      </c>
    </row>
    <row r="517" spans="1:9">
      <c r="A517">
        <v>2014</v>
      </c>
      <c r="B517">
        <v>48</v>
      </c>
      <c r="C517" s="2">
        <v>41973</v>
      </c>
      <c r="D517" s="1" t="s">
        <v>379</v>
      </c>
      <c r="E517">
        <v>1125</v>
      </c>
      <c r="F517">
        <v>1123</v>
      </c>
      <c r="G517">
        <v>1037</v>
      </c>
      <c r="H517">
        <v>1209</v>
      </c>
    </row>
    <row r="518" spans="1:9">
      <c r="A518">
        <v>2014</v>
      </c>
      <c r="B518">
        <v>49</v>
      </c>
      <c r="C518" s="2">
        <v>41980</v>
      </c>
      <c r="D518" s="1" t="s">
        <v>379</v>
      </c>
      <c r="E518">
        <v>1100</v>
      </c>
      <c r="F518">
        <v>1140</v>
      </c>
      <c r="G518">
        <v>1053</v>
      </c>
      <c r="H518">
        <v>1227</v>
      </c>
    </row>
    <row r="519" spans="1:9">
      <c r="A519">
        <v>2014</v>
      </c>
      <c r="B519">
        <v>50</v>
      </c>
      <c r="C519" s="2">
        <v>41987</v>
      </c>
      <c r="D519" s="1" t="s">
        <v>379</v>
      </c>
      <c r="E519">
        <v>1080</v>
      </c>
      <c r="F519">
        <v>1149</v>
      </c>
      <c r="G519">
        <v>1062</v>
      </c>
      <c r="H519">
        <v>1237</v>
      </c>
    </row>
    <row r="520" spans="1:9">
      <c r="A520">
        <v>2014</v>
      </c>
      <c r="B520">
        <v>51</v>
      </c>
      <c r="C520" s="2">
        <v>41994</v>
      </c>
      <c r="D520" s="1" t="s">
        <v>379</v>
      </c>
      <c r="E520">
        <v>1160</v>
      </c>
      <c r="F520">
        <v>1158</v>
      </c>
      <c r="G520">
        <v>1071</v>
      </c>
      <c r="H520">
        <v>1246</v>
      </c>
    </row>
    <row r="521" spans="1:9">
      <c r="A521">
        <v>2014</v>
      </c>
      <c r="B521">
        <v>52</v>
      </c>
      <c r="C521" s="2">
        <v>42001</v>
      </c>
      <c r="D521" s="1" t="s">
        <v>379</v>
      </c>
      <c r="E521">
        <v>1155</v>
      </c>
      <c r="F521">
        <v>1167</v>
      </c>
      <c r="G521">
        <v>1079</v>
      </c>
      <c r="H521">
        <v>1255</v>
      </c>
    </row>
    <row r="522" spans="1:9">
      <c r="A522">
        <v>2015</v>
      </c>
      <c r="B522">
        <v>1</v>
      </c>
      <c r="C522" s="2">
        <v>42008</v>
      </c>
      <c r="D522" s="1" t="s">
        <v>378</v>
      </c>
      <c r="E522">
        <v>192</v>
      </c>
      <c r="F522">
        <v>177</v>
      </c>
      <c r="G522">
        <v>143</v>
      </c>
      <c r="H522">
        <v>211</v>
      </c>
    </row>
    <row r="523" spans="1:9">
      <c r="A523">
        <v>2015</v>
      </c>
      <c r="B523">
        <v>2</v>
      </c>
      <c r="C523" s="2">
        <v>42015</v>
      </c>
      <c r="D523" s="1" t="s">
        <v>378</v>
      </c>
      <c r="E523">
        <v>190</v>
      </c>
      <c r="F523">
        <v>177</v>
      </c>
      <c r="G523">
        <v>143</v>
      </c>
      <c r="H523">
        <v>212</v>
      </c>
    </row>
    <row r="524" spans="1:9">
      <c r="A524">
        <v>2015</v>
      </c>
      <c r="B524">
        <v>3</v>
      </c>
      <c r="C524" s="2">
        <v>42022</v>
      </c>
      <c r="D524" s="1" t="s">
        <v>378</v>
      </c>
      <c r="E524">
        <v>197</v>
      </c>
      <c r="F524">
        <v>178</v>
      </c>
      <c r="G524">
        <v>144</v>
      </c>
      <c r="H524">
        <v>212</v>
      </c>
    </row>
    <row r="525" spans="1:9">
      <c r="A525">
        <v>2015</v>
      </c>
      <c r="B525">
        <v>4</v>
      </c>
      <c r="C525" s="2">
        <v>42029</v>
      </c>
      <c r="D525" s="1" t="s">
        <v>378</v>
      </c>
      <c r="E525">
        <v>174</v>
      </c>
      <c r="F525">
        <v>178</v>
      </c>
      <c r="G525">
        <v>144</v>
      </c>
      <c r="H525">
        <v>213</v>
      </c>
    </row>
    <row r="526" spans="1:9">
      <c r="A526">
        <v>2015</v>
      </c>
      <c r="B526">
        <v>5</v>
      </c>
      <c r="C526" s="2">
        <v>42036</v>
      </c>
      <c r="D526" s="1" t="s">
        <v>378</v>
      </c>
      <c r="E526">
        <v>203</v>
      </c>
      <c r="F526">
        <v>179</v>
      </c>
      <c r="G526">
        <v>144</v>
      </c>
      <c r="H526">
        <v>213</v>
      </c>
    </row>
    <row r="527" spans="1:9">
      <c r="A527">
        <v>2015</v>
      </c>
      <c r="B527">
        <v>6</v>
      </c>
      <c r="C527" s="2">
        <v>42043</v>
      </c>
      <c r="D527" s="1" t="s">
        <v>378</v>
      </c>
      <c r="E527">
        <v>178</v>
      </c>
      <c r="F527">
        <v>179</v>
      </c>
      <c r="G527">
        <v>145</v>
      </c>
      <c r="H527">
        <v>214</v>
      </c>
    </row>
    <row r="528" spans="1:9">
      <c r="A528">
        <v>2015</v>
      </c>
      <c r="B528">
        <v>7</v>
      </c>
      <c r="C528" s="2">
        <v>42050</v>
      </c>
      <c r="D528" s="1" t="s">
        <v>378</v>
      </c>
      <c r="E528">
        <v>223</v>
      </c>
      <c r="F528">
        <v>179</v>
      </c>
      <c r="G528">
        <v>145</v>
      </c>
      <c r="H528">
        <v>214</v>
      </c>
      <c r="I528">
        <v>223</v>
      </c>
    </row>
    <row r="529" spans="1:8">
      <c r="A529">
        <v>2015</v>
      </c>
      <c r="B529">
        <v>8</v>
      </c>
      <c r="C529" s="2">
        <v>42057</v>
      </c>
      <c r="D529" s="1" t="s">
        <v>378</v>
      </c>
      <c r="E529">
        <v>208</v>
      </c>
      <c r="F529">
        <v>178</v>
      </c>
      <c r="G529">
        <v>144</v>
      </c>
      <c r="H529">
        <v>213</v>
      </c>
    </row>
    <row r="530" spans="1:8">
      <c r="A530">
        <v>2015</v>
      </c>
      <c r="B530">
        <v>9</v>
      </c>
      <c r="C530" s="2">
        <v>42064</v>
      </c>
      <c r="D530" s="1" t="s">
        <v>378</v>
      </c>
      <c r="E530">
        <v>188</v>
      </c>
      <c r="F530">
        <v>177</v>
      </c>
      <c r="G530">
        <v>143</v>
      </c>
      <c r="H530">
        <v>211</v>
      </c>
    </row>
    <row r="531" spans="1:8">
      <c r="A531">
        <v>2015</v>
      </c>
      <c r="B531">
        <v>10</v>
      </c>
      <c r="C531" s="2">
        <v>42071</v>
      </c>
      <c r="D531" s="1" t="s">
        <v>378</v>
      </c>
      <c r="E531">
        <v>184</v>
      </c>
      <c r="F531">
        <v>175</v>
      </c>
      <c r="G531">
        <v>141</v>
      </c>
      <c r="H531">
        <v>210</v>
      </c>
    </row>
    <row r="532" spans="1:8">
      <c r="A532">
        <v>2015</v>
      </c>
      <c r="B532">
        <v>11</v>
      </c>
      <c r="C532" s="2">
        <v>42078</v>
      </c>
      <c r="D532" s="1" t="s">
        <v>378</v>
      </c>
      <c r="E532">
        <v>171</v>
      </c>
      <c r="F532">
        <v>174</v>
      </c>
      <c r="G532">
        <v>140</v>
      </c>
      <c r="H532">
        <v>208</v>
      </c>
    </row>
    <row r="533" spans="1:8">
      <c r="A533">
        <v>2015</v>
      </c>
      <c r="B533">
        <v>12</v>
      </c>
      <c r="C533" s="2">
        <v>42085</v>
      </c>
      <c r="D533" s="1" t="s">
        <v>378</v>
      </c>
      <c r="E533">
        <v>187</v>
      </c>
      <c r="F533">
        <v>172</v>
      </c>
      <c r="G533">
        <v>138</v>
      </c>
      <c r="H533">
        <v>206</v>
      </c>
    </row>
    <row r="534" spans="1:8">
      <c r="A534">
        <v>2015</v>
      </c>
      <c r="B534">
        <v>13</v>
      </c>
      <c r="C534" s="2">
        <v>42092</v>
      </c>
      <c r="D534" s="1" t="s">
        <v>378</v>
      </c>
      <c r="E534">
        <v>170</v>
      </c>
      <c r="F534">
        <v>171</v>
      </c>
      <c r="G534">
        <v>137</v>
      </c>
      <c r="H534">
        <v>204</v>
      </c>
    </row>
    <row r="535" spans="1:8">
      <c r="A535">
        <v>2015</v>
      </c>
      <c r="B535">
        <v>14</v>
      </c>
      <c r="C535" s="2">
        <v>42099</v>
      </c>
      <c r="D535" s="1" t="s">
        <v>378</v>
      </c>
      <c r="E535">
        <v>186</v>
      </c>
      <c r="F535">
        <v>170</v>
      </c>
      <c r="G535">
        <v>136</v>
      </c>
      <c r="H535">
        <v>204</v>
      </c>
    </row>
    <row r="536" spans="1:8">
      <c r="A536">
        <v>2015</v>
      </c>
      <c r="B536">
        <v>15</v>
      </c>
      <c r="C536" s="2">
        <v>42106</v>
      </c>
      <c r="D536" s="1" t="s">
        <v>378</v>
      </c>
      <c r="E536">
        <v>161</v>
      </c>
      <c r="F536">
        <v>169</v>
      </c>
      <c r="G536">
        <v>136</v>
      </c>
      <c r="H536">
        <v>203</v>
      </c>
    </row>
    <row r="537" spans="1:8">
      <c r="A537">
        <v>2015</v>
      </c>
      <c r="B537">
        <v>16</v>
      </c>
      <c r="C537" s="2">
        <v>42113</v>
      </c>
      <c r="D537" s="1" t="s">
        <v>378</v>
      </c>
      <c r="E537">
        <v>171</v>
      </c>
      <c r="F537">
        <v>169</v>
      </c>
      <c r="G537">
        <v>135</v>
      </c>
      <c r="H537">
        <v>202</v>
      </c>
    </row>
    <row r="538" spans="1:8">
      <c r="A538">
        <v>2015</v>
      </c>
      <c r="B538">
        <v>17</v>
      </c>
      <c r="C538" s="2">
        <v>42120</v>
      </c>
      <c r="D538" s="1" t="s">
        <v>378</v>
      </c>
      <c r="E538">
        <v>163</v>
      </c>
      <c r="F538">
        <v>169</v>
      </c>
      <c r="G538">
        <v>135</v>
      </c>
      <c r="H538">
        <v>202</v>
      </c>
    </row>
    <row r="539" spans="1:8">
      <c r="A539">
        <v>2015</v>
      </c>
      <c r="B539">
        <v>18</v>
      </c>
      <c r="C539" s="2">
        <v>42127</v>
      </c>
      <c r="D539" s="1" t="s">
        <v>378</v>
      </c>
      <c r="E539">
        <v>159</v>
      </c>
      <c r="F539">
        <v>168</v>
      </c>
      <c r="G539">
        <v>135</v>
      </c>
      <c r="H539">
        <v>202</v>
      </c>
    </row>
    <row r="540" spans="1:8">
      <c r="A540">
        <v>2015</v>
      </c>
      <c r="B540">
        <v>19</v>
      </c>
      <c r="C540" s="2">
        <v>42134</v>
      </c>
      <c r="D540" s="1" t="s">
        <v>378</v>
      </c>
      <c r="E540">
        <v>180</v>
      </c>
      <c r="F540">
        <v>168</v>
      </c>
      <c r="G540">
        <v>135</v>
      </c>
      <c r="H540">
        <v>201</v>
      </c>
    </row>
    <row r="541" spans="1:8">
      <c r="A541">
        <v>2015</v>
      </c>
      <c r="B541">
        <v>20</v>
      </c>
      <c r="C541" s="2">
        <v>42141</v>
      </c>
      <c r="D541" s="1" t="s">
        <v>378</v>
      </c>
      <c r="E541">
        <v>184</v>
      </c>
      <c r="F541">
        <v>167</v>
      </c>
      <c r="G541">
        <v>134</v>
      </c>
      <c r="H541">
        <v>201</v>
      </c>
    </row>
    <row r="542" spans="1:8">
      <c r="A542">
        <v>2015</v>
      </c>
      <c r="B542">
        <v>21</v>
      </c>
      <c r="C542" s="2">
        <v>42148</v>
      </c>
      <c r="D542" s="1" t="s">
        <v>378</v>
      </c>
      <c r="E542">
        <v>166</v>
      </c>
      <c r="F542">
        <v>167</v>
      </c>
      <c r="G542">
        <v>133</v>
      </c>
      <c r="H542">
        <v>200</v>
      </c>
    </row>
    <row r="543" spans="1:8">
      <c r="A543">
        <v>2015</v>
      </c>
      <c r="B543">
        <v>22</v>
      </c>
      <c r="C543" s="2">
        <v>42155</v>
      </c>
      <c r="D543" s="1" t="s">
        <v>378</v>
      </c>
      <c r="E543">
        <v>164</v>
      </c>
      <c r="F543">
        <v>166</v>
      </c>
      <c r="G543">
        <v>133</v>
      </c>
      <c r="H543">
        <v>200</v>
      </c>
    </row>
    <row r="544" spans="1:8">
      <c r="A544">
        <v>2015</v>
      </c>
      <c r="B544">
        <v>23</v>
      </c>
      <c r="C544" s="2">
        <v>42162</v>
      </c>
      <c r="D544" s="1" t="s">
        <v>378</v>
      </c>
      <c r="E544">
        <v>164</v>
      </c>
      <c r="F544">
        <v>166</v>
      </c>
      <c r="G544">
        <v>133</v>
      </c>
      <c r="H544">
        <v>199</v>
      </c>
    </row>
    <row r="545" spans="1:9">
      <c r="A545">
        <v>2015</v>
      </c>
      <c r="B545">
        <v>24</v>
      </c>
      <c r="C545" s="2">
        <v>42169</v>
      </c>
      <c r="D545" s="1" t="s">
        <v>378</v>
      </c>
      <c r="E545">
        <v>175</v>
      </c>
      <c r="F545">
        <v>166</v>
      </c>
      <c r="G545">
        <v>133</v>
      </c>
      <c r="H545">
        <v>199</v>
      </c>
    </row>
    <row r="546" spans="1:9">
      <c r="A546">
        <v>2015</v>
      </c>
      <c r="B546">
        <v>25</v>
      </c>
      <c r="C546" s="2">
        <v>42176</v>
      </c>
      <c r="D546" s="1" t="s">
        <v>378</v>
      </c>
      <c r="E546">
        <v>166</v>
      </c>
      <c r="F546">
        <v>165</v>
      </c>
      <c r="G546">
        <v>132</v>
      </c>
      <c r="H546">
        <v>198</v>
      </c>
    </row>
    <row r="547" spans="1:9">
      <c r="A547">
        <v>2015</v>
      </c>
      <c r="B547">
        <v>26</v>
      </c>
      <c r="C547" s="2">
        <v>42183</v>
      </c>
      <c r="D547" s="1" t="s">
        <v>378</v>
      </c>
      <c r="E547">
        <v>202</v>
      </c>
      <c r="F547">
        <v>165</v>
      </c>
      <c r="G547">
        <v>132</v>
      </c>
      <c r="H547">
        <v>198</v>
      </c>
      <c r="I547">
        <v>202</v>
      </c>
    </row>
    <row r="548" spans="1:9">
      <c r="A548">
        <v>2015</v>
      </c>
      <c r="B548">
        <v>27</v>
      </c>
      <c r="C548" s="2">
        <v>42190</v>
      </c>
      <c r="D548" s="1" t="s">
        <v>378</v>
      </c>
      <c r="E548">
        <v>179</v>
      </c>
      <c r="F548">
        <v>164</v>
      </c>
      <c r="G548">
        <v>131</v>
      </c>
      <c r="H548">
        <v>197</v>
      </c>
    </row>
    <row r="549" spans="1:9">
      <c r="A549">
        <v>2015</v>
      </c>
      <c r="B549">
        <v>28</v>
      </c>
      <c r="C549" s="2">
        <v>42197</v>
      </c>
      <c r="D549" s="1" t="s">
        <v>378</v>
      </c>
      <c r="E549">
        <v>181</v>
      </c>
      <c r="F549">
        <v>163</v>
      </c>
      <c r="G549">
        <v>130</v>
      </c>
      <c r="H549">
        <v>196</v>
      </c>
    </row>
    <row r="550" spans="1:9">
      <c r="A550">
        <v>2015</v>
      </c>
      <c r="B550">
        <v>29</v>
      </c>
      <c r="C550" s="2">
        <v>42204</v>
      </c>
      <c r="D550" s="1" t="s">
        <v>378</v>
      </c>
      <c r="E550">
        <v>203</v>
      </c>
      <c r="F550">
        <v>162</v>
      </c>
      <c r="G550">
        <v>129</v>
      </c>
      <c r="H550">
        <v>195</v>
      </c>
      <c r="I550">
        <v>203</v>
      </c>
    </row>
    <row r="551" spans="1:9">
      <c r="A551">
        <v>2015</v>
      </c>
      <c r="B551">
        <v>30</v>
      </c>
      <c r="C551" s="2">
        <v>42211</v>
      </c>
      <c r="D551" s="1" t="s">
        <v>378</v>
      </c>
      <c r="E551">
        <v>157</v>
      </c>
      <c r="F551">
        <v>161</v>
      </c>
      <c r="G551">
        <v>129</v>
      </c>
      <c r="H551">
        <v>194</v>
      </c>
    </row>
    <row r="552" spans="1:9">
      <c r="A552">
        <v>2015</v>
      </c>
      <c r="B552">
        <v>31</v>
      </c>
      <c r="C552" s="2">
        <v>42218</v>
      </c>
      <c r="D552" s="1" t="s">
        <v>378</v>
      </c>
      <c r="E552">
        <v>164</v>
      </c>
      <c r="F552">
        <v>161</v>
      </c>
      <c r="G552">
        <v>128</v>
      </c>
      <c r="H552">
        <v>194</v>
      </c>
    </row>
    <row r="553" spans="1:9">
      <c r="A553">
        <v>2015</v>
      </c>
      <c r="B553">
        <v>32</v>
      </c>
      <c r="C553" s="2">
        <v>42225</v>
      </c>
      <c r="D553" s="1" t="s">
        <v>378</v>
      </c>
      <c r="E553">
        <v>180</v>
      </c>
      <c r="F553">
        <v>161</v>
      </c>
      <c r="G553">
        <v>129</v>
      </c>
      <c r="H553">
        <v>194</v>
      </c>
    </row>
    <row r="554" spans="1:9">
      <c r="A554">
        <v>2015</v>
      </c>
      <c r="B554">
        <v>33</v>
      </c>
      <c r="C554" s="2">
        <v>42232</v>
      </c>
      <c r="D554" s="1" t="s">
        <v>378</v>
      </c>
      <c r="E554">
        <v>165</v>
      </c>
      <c r="F554">
        <v>162</v>
      </c>
      <c r="G554">
        <v>129</v>
      </c>
      <c r="H554">
        <v>194</v>
      </c>
    </row>
    <row r="555" spans="1:9">
      <c r="A555">
        <v>2015</v>
      </c>
      <c r="B555">
        <v>34</v>
      </c>
      <c r="C555" s="2">
        <v>42239</v>
      </c>
      <c r="D555" s="1" t="s">
        <v>378</v>
      </c>
      <c r="E555">
        <v>163</v>
      </c>
      <c r="F555">
        <v>162</v>
      </c>
      <c r="G555">
        <v>130</v>
      </c>
      <c r="H555">
        <v>195</v>
      </c>
    </row>
    <row r="556" spans="1:9">
      <c r="A556">
        <v>2015</v>
      </c>
      <c r="B556">
        <v>35</v>
      </c>
      <c r="C556" s="2">
        <v>42246</v>
      </c>
      <c r="D556" s="1" t="s">
        <v>378</v>
      </c>
      <c r="E556">
        <v>176</v>
      </c>
      <c r="F556">
        <v>163</v>
      </c>
      <c r="G556">
        <v>131</v>
      </c>
      <c r="H556">
        <v>196</v>
      </c>
    </row>
    <row r="557" spans="1:9">
      <c r="A557">
        <v>2015</v>
      </c>
      <c r="B557">
        <v>36</v>
      </c>
      <c r="C557" s="2">
        <v>42253</v>
      </c>
      <c r="D557" s="1" t="s">
        <v>378</v>
      </c>
      <c r="E557">
        <v>162</v>
      </c>
      <c r="F557">
        <v>164</v>
      </c>
      <c r="G557">
        <v>131</v>
      </c>
      <c r="H557">
        <v>197</v>
      </c>
    </row>
    <row r="558" spans="1:9">
      <c r="A558">
        <v>2015</v>
      </c>
      <c r="B558">
        <v>37</v>
      </c>
      <c r="C558" s="2">
        <v>42260</v>
      </c>
      <c r="D558" s="1" t="s">
        <v>378</v>
      </c>
      <c r="E558">
        <v>186</v>
      </c>
      <c r="F558">
        <v>165</v>
      </c>
      <c r="G558">
        <v>132</v>
      </c>
      <c r="H558">
        <v>199</v>
      </c>
    </row>
    <row r="559" spans="1:9">
      <c r="A559">
        <v>2015</v>
      </c>
      <c r="B559">
        <v>38</v>
      </c>
      <c r="C559" s="2">
        <v>42267</v>
      </c>
      <c r="D559" s="1" t="s">
        <v>378</v>
      </c>
      <c r="E559">
        <v>169</v>
      </c>
      <c r="F559">
        <v>166</v>
      </c>
      <c r="G559">
        <v>133</v>
      </c>
      <c r="H559">
        <v>199</v>
      </c>
    </row>
    <row r="560" spans="1:9">
      <c r="A560">
        <v>2015</v>
      </c>
      <c r="B560">
        <v>39</v>
      </c>
      <c r="C560" s="2">
        <v>42274</v>
      </c>
      <c r="D560" s="1" t="s">
        <v>378</v>
      </c>
      <c r="E560">
        <v>146</v>
      </c>
      <c r="F560">
        <v>166</v>
      </c>
      <c r="G560">
        <v>133</v>
      </c>
      <c r="H560">
        <v>199</v>
      </c>
    </row>
    <row r="561" spans="1:9">
      <c r="A561">
        <v>2015</v>
      </c>
      <c r="B561">
        <v>40</v>
      </c>
      <c r="C561" s="2">
        <v>42281</v>
      </c>
      <c r="D561" s="1" t="s">
        <v>378</v>
      </c>
      <c r="E561">
        <v>185</v>
      </c>
      <c r="F561">
        <v>166</v>
      </c>
      <c r="G561">
        <v>133</v>
      </c>
      <c r="H561">
        <v>200</v>
      </c>
    </row>
    <row r="562" spans="1:9">
      <c r="A562">
        <v>2015</v>
      </c>
      <c r="B562">
        <v>41</v>
      </c>
      <c r="C562" s="2">
        <v>42288</v>
      </c>
      <c r="D562" s="1" t="s">
        <v>378</v>
      </c>
      <c r="E562">
        <v>159</v>
      </c>
      <c r="F562">
        <v>167</v>
      </c>
      <c r="G562">
        <v>133</v>
      </c>
      <c r="H562">
        <v>200</v>
      </c>
    </row>
    <row r="563" spans="1:9">
      <c r="A563">
        <v>2015</v>
      </c>
      <c r="B563">
        <v>42</v>
      </c>
      <c r="C563" s="2">
        <v>42295</v>
      </c>
      <c r="D563" s="1" t="s">
        <v>378</v>
      </c>
      <c r="E563">
        <v>171</v>
      </c>
      <c r="F563">
        <v>167</v>
      </c>
      <c r="G563">
        <v>134</v>
      </c>
      <c r="H563">
        <v>200</v>
      </c>
    </row>
    <row r="564" spans="1:9">
      <c r="A564">
        <v>2015</v>
      </c>
      <c r="B564">
        <v>43</v>
      </c>
      <c r="C564" s="2">
        <v>42302</v>
      </c>
      <c r="D564" s="1" t="s">
        <v>378</v>
      </c>
      <c r="E564">
        <v>170</v>
      </c>
      <c r="F564">
        <v>167</v>
      </c>
      <c r="G564">
        <v>133</v>
      </c>
      <c r="H564">
        <v>200</v>
      </c>
    </row>
    <row r="565" spans="1:9">
      <c r="A565">
        <v>2015</v>
      </c>
      <c r="B565">
        <v>44</v>
      </c>
      <c r="C565" s="2">
        <v>42309</v>
      </c>
      <c r="D565" s="1" t="s">
        <v>378</v>
      </c>
      <c r="E565">
        <v>177</v>
      </c>
      <c r="F565">
        <v>166</v>
      </c>
      <c r="G565">
        <v>133</v>
      </c>
      <c r="H565">
        <v>200</v>
      </c>
    </row>
    <row r="566" spans="1:9">
      <c r="A566">
        <v>2015</v>
      </c>
      <c r="B566">
        <v>45</v>
      </c>
      <c r="C566" s="2">
        <v>42316</v>
      </c>
      <c r="D566" s="1" t="s">
        <v>378</v>
      </c>
      <c r="E566">
        <v>167</v>
      </c>
      <c r="F566">
        <v>167</v>
      </c>
      <c r="G566">
        <v>134</v>
      </c>
      <c r="H566">
        <v>200</v>
      </c>
    </row>
    <row r="567" spans="1:9">
      <c r="A567">
        <v>2015</v>
      </c>
      <c r="B567">
        <v>46</v>
      </c>
      <c r="C567" s="2">
        <v>42323</v>
      </c>
      <c r="D567" s="1" t="s">
        <v>378</v>
      </c>
      <c r="E567">
        <v>181</v>
      </c>
      <c r="F567">
        <v>167</v>
      </c>
      <c r="G567">
        <v>134</v>
      </c>
      <c r="H567">
        <v>200</v>
      </c>
    </row>
    <row r="568" spans="1:9">
      <c r="A568">
        <v>2015</v>
      </c>
      <c r="B568">
        <v>47</v>
      </c>
      <c r="C568" s="2">
        <v>42330</v>
      </c>
      <c r="D568" s="1" t="s">
        <v>378</v>
      </c>
      <c r="E568">
        <v>178</v>
      </c>
      <c r="F568">
        <v>169</v>
      </c>
      <c r="G568">
        <v>135</v>
      </c>
      <c r="H568">
        <v>202</v>
      </c>
    </row>
    <row r="569" spans="1:9">
      <c r="A569">
        <v>2015</v>
      </c>
      <c r="B569">
        <v>48</v>
      </c>
      <c r="C569" s="2">
        <v>42337</v>
      </c>
      <c r="D569" s="1" t="s">
        <v>378</v>
      </c>
      <c r="E569">
        <v>159</v>
      </c>
      <c r="F569">
        <v>171</v>
      </c>
      <c r="G569">
        <v>137</v>
      </c>
      <c r="H569">
        <v>204</v>
      </c>
    </row>
    <row r="570" spans="1:9">
      <c r="A570">
        <v>2015</v>
      </c>
      <c r="B570">
        <v>49</v>
      </c>
      <c r="C570" s="2">
        <v>42344</v>
      </c>
      <c r="D570" s="1" t="s">
        <v>378</v>
      </c>
      <c r="E570">
        <v>179</v>
      </c>
      <c r="F570">
        <v>173</v>
      </c>
      <c r="G570">
        <v>139</v>
      </c>
      <c r="H570">
        <v>207</v>
      </c>
    </row>
    <row r="571" spans="1:9">
      <c r="A571">
        <v>2015</v>
      </c>
      <c r="B571">
        <v>50</v>
      </c>
      <c r="C571" s="2">
        <v>42351</v>
      </c>
      <c r="D571" s="1" t="s">
        <v>378</v>
      </c>
      <c r="E571">
        <v>180</v>
      </c>
      <c r="F571">
        <v>175</v>
      </c>
      <c r="G571">
        <v>141</v>
      </c>
      <c r="H571">
        <v>209</v>
      </c>
    </row>
    <row r="572" spans="1:9">
      <c r="A572">
        <v>2015</v>
      </c>
      <c r="B572">
        <v>51</v>
      </c>
      <c r="C572" s="2">
        <v>42358</v>
      </c>
      <c r="D572" s="1" t="s">
        <v>378</v>
      </c>
      <c r="E572">
        <v>162</v>
      </c>
      <c r="F572">
        <v>177</v>
      </c>
      <c r="G572">
        <v>142</v>
      </c>
      <c r="H572">
        <v>211</v>
      </c>
    </row>
    <row r="573" spans="1:9">
      <c r="A573">
        <v>2015</v>
      </c>
      <c r="B573">
        <v>52</v>
      </c>
      <c r="C573" s="2">
        <v>42365</v>
      </c>
      <c r="D573" s="1" t="s">
        <v>378</v>
      </c>
      <c r="E573">
        <v>169</v>
      </c>
      <c r="F573">
        <v>179</v>
      </c>
      <c r="G573">
        <v>144</v>
      </c>
      <c r="H573">
        <v>213</v>
      </c>
    </row>
    <row r="574" spans="1:9">
      <c r="A574">
        <v>2015</v>
      </c>
      <c r="B574">
        <v>53</v>
      </c>
      <c r="C574" s="2">
        <v>42372</v>
      </c>
      <c r="D574" s="1" t="s">
        <v>378</v>
      </c>
      <c r="E574">
        <v>165</v>
      </c>
      <c r="F574">
        <v>181</v>
      </c>
      <c r="G574">
        <v>146</v>
      </c>
      <c r="H574">
        <v>215</v>
      </c>
    </row>
    <row r="575" spans="1:9">
      <c r="A575">
        <v>2015</v>
      </c>
      <c r="B575">
        <v>1</v>
      </c>
      <c r="C575" s="2">
        <v>42008</v>
      </c>
      <c r="D575" s="1" t="s">
        <v>379</v>
      </c>
      <c r="E575">
        <v>1210</v>
      </c>
      <c r="F575">
        <v>1188</v>
      </c>
      <c r="G575">
        <v>1100</v>
      </c>
      <c r="H575">
        <v>1277</v>
      </c>
    </row>
    <row r="576" spans="1:9">
      <c r="A576">
        <v>2015</v>
      </c>
      <c r="B576">
        <v>2</v>
      </c>
      <c r="C576" s="2">
        <v>42015</v>
      </c>
      <c r="D576" s="1" t="s">
        <v>379</v>
      </c>
      <c r="E576">
        <v>1293</v>
      </c>
      <c r="F576">
        <v>1190</v>
      </c>
      <c r="G576">
        <v>1101</v>
      </c>
      <c r="H576">
        <v>1279</v>
      </c>
      <c r="I576">
        <v>1293</v>
      </c>
    </row>
    <row r="577" spans="1:9">
      <c r="A577">
        <v>2015</v>
      </c>
      <c r="B577">
        <v>3</v>
      </c>
      <c r="C577" s="2">
        <v>42022</v>
      </c>
      <c r="D577" s="1" t="s">
        <v>379</v>
      </c>
      <c r="E577">
        <v>1313</v>
      </c>
      <c r="F577">
        <v>1192</v>
      </c>
      <c r="G577">
        <v>1103</v>
      </c>
      <c r="H577">
        <v>1281</v>
      </c>
      <c r="I577">
        <v>1313</v>
      </c>
    </row>
    <row r="578" spans="1:9">
      <c r="A578">
        <v>2015</v>
      </c>
      <c r="B578">
        <v>4</v>
      </c>
      <c r="C578" s="2">
        <v>42029</v>
      </c>
      <c r="D578" s="1" t="s">
        <v>379</v>
      </c>
      <c r="E578">
        <v>1299</v>
      </c>
      <c r="F578">
        <v>1195</v>
      </c>
      <c r="G578">
        <v>1106</v>
      </c>
      <c r="H578">
        <v>1284</v>
      </c>
      <c r="I578">
        <v>1299</v>
      </c>
    </row>
    <row r="579" spans="1:9">
      <c r="A579">
        <v>2015</v>
      </c>
      <c r="B579">
        <v>5</v>
      </c>
      <c r="C579" s="2">
        <v>42036</v>
      </c>
      <c r="D579" s="1" t="s">
        <v>379</v>
      </c>
      <c r="E579">
        <v>1378</v>
      </c>
      <c r="F579">
        <v>1199</v>
      </c>
      <c r="G579">
        <v>1110</v>
      </c>
      <c r="H579">
        <v>1288</v>
      </c>
      <c r="I579">
        <v>1378</v>
      </c>
    </row>
    <row r="580" spans="1:9">
      <c r="A580">
        <v>2015</v>
      </c>
      <c r="B580">
        <v>6</v>
      </c>
      <c r="C580" s="2">
        <v>42043</v>
      </c>
      <c r="D580" s="1" t="s">
        <v>379</v>
      </c>
      <c r="E580">
        <v>1468</v>
      </c>
      <c r="F580">
        <v>1209</v>
      </c>
      <c r="G580">
        <v>1119</v>
      </c>
      <c r="H580">
        <v>1298</v>
      </c>
      <c r="I580">
        <v>1468</v>
      </c>
    </row>
    <row r="581" spans="1:9">
      <c r="A581">
        <v>2015</v>
      </c>
      <c r="B581">
        <v>7</v>
      </c>
      <c r="C581" s="2">
        <v>42050</v>
      </c>
      <c r="D581" s="1" t="s">
        <v>379</v>
      </c>
      <c r="E581">
        <v>1572</v>
      </c>
      <c r="F581">
        <v>1213</v>
      </c>
      <c r="G581">
        <v>1123</v>
      </c>
      <c r="H581">
        <v>1303</v>
      </c>
      <c r="I581">
        <v>1572</v>
      </c>
    </row>
    <row r="582" spans="1:9">
      <c r="A582">
        <v>2015</v>
      </c>
      <c r="B582">
        <v>8</v>
      </c>
      <c r="C582" s="2">
        <v>42057</v>
      </c>
      <c r="D582" s="1" t="s">
        <v>379</v>
      </c>
      <c r="E582">
        <v>1548</v>
      </c>
      <c r="F582">
        <v>1212</v>
      </c>
      <c r="G582">
        <v>1122</v>
      </c>
      <c r="H582">
        <v>1302</v>
      </c>
      <c r="I582">
        <v>1548</v>
      </c>
    </row>
    <row r="583" spans="1:9">
      <c r="A583">
        <v>2015</v>
      </c>
      <c r="B583">
        <v>9</v>
      </c>
      <c r="C583" s="2">
        <v>42064</v>
      </c>
      <c r="D583" s="1" t="s">
        <v>379</v>
      </c>
      <c r="E583">
        <v>1527</v>
      </c>
      <c r="F583">
        <v>1201</v>
      </c>
      <c r="G583">
        <v>1112</v>
      </c>
      <c r="H583">
        <v>1291</v>
      </c>
      <c r="I583">
        <v>1527</v>
      </c>
    </row>
    <row r="584" spans="1:9">
      <c r="A584">
        <v>2015</v>
      </c>
      <c r="B584">
        <v>10</v>
      </c>
      <c r="C584" s="2">
        <v>42071</v>
      </c>
      <c r="D584" s="1" t="s">
        <v>379</v>
      </c>
      <c r="E584">
        <v>1359</v>
      </c>
      <c r="F584">
        <v>1176</v>
      </c>
      <c r="G584">
        <v>1088</v>
      </c>
      <c r="H584">
        <v>1265</v>
      </c>
      <c r="I584">
        <v>1359</v>
      </c>
    </row>
    <row r="585" spans="1:9">
      <c r="A585">
        <v>2015</v>
      </c>
      <c r="B585">
        <v>11</v>
      </c>
      <c r="C585" s="2">
        <v>42078</v>
      </c>
      <c r="D585" s="1" t="s">
        <v>379</v>
      </c>
      <c r="E585">
        <v>1359</v>
      </c>
      <c r="F585">
        <v>1147</v>
      </c>
      <c r="G585">
        <v>1060</v>
      </c>
      <c r="H585">
        <v>1235</v>
      </c>
      <c r="I585">
        <v>1359</v>
      </c>
    </row>
    <row r="586" spans="1:9">
      <c r="A586">
        <v>2015</v>
      </c>
      <c r="B586">
        <v>12</v>
      </c>
      <c r="C586" s="2">
        <v>42085</v>
      </c>
      <c r="D586" s="1" t="s">
        <v>379</v>
      </c>
      <c r="E586">
        <v>1237</v>
      </c>
      <c r="F586">
        <v>1119</v>
      </c>
      <c r="G586">
        <v>1033</v>
      </c>
      <c r="H586">
        <v>1205</v>
      </c>
      <c r="I586">
        <v>1237</v>
      </c>
    </row>
    <row r="587" spans="1:9">
      <c r="A587">
        <v>2015</v>
      </c>
      <c r="B587">
        <v>13</v>
      </c>
      <c r="C587" s="2">
        <v>42092</v>
      </c>
      <c r="D587" s="1" t="s">
        <v>379</v>
      </c>
      <c r="E587">
        <v>1112</v>
      </c>
      <c r="F587">
        <v>1092</v>
      </c>
      <c r="G587">
        <v>1007</v>
      </c>
      <c r="H587">
        <v>1177</v>
      </c>
    </row>
    <row r="588" spans="1:9">
      <c r="A588">
        <v>2015</v>
      </c>
      <c r="B588">
        <v>14</v>
      </c>
      <c r="C588" s="2">
        <v>42099</v>
      </c>
      <c r="D588" s="1" t="s">
        <v>379</v>
      </c>
      <c r="E588">
        <v>1104</v>
      </c>
      <c r="F588">
        <v>1071</v>
      </c>
      <c r="G588">
        <v>987</v>
      </c>
      <c r="H588">
        <v>1156</v>
      </c>
    </row>
    <row r="589" spans="1:9">
      <c r="A589">
        <v>2015</v>
      </c>
      <c r="B589">
        <v>15</v>
      </c>
      <c r="C589" s="2">
        <v>42106</v>
      </c>
      <c r="D589" s="1" t="s">
        <v>379</v>
      </c>
      <c r="E589">
        <v>1059</v>
      </c>
      <c r="F589">
        <v>1058</v>
      </c>
      <c r="G589">
        <v>974</v>
      </c>
      <c r="H589">
        <v>1141</v>
      </c>
    </row>
    <row r="590" spans="1:9">
      <c r="A590">
        <v>2015</v>
      </c>
      <c r="B590">
        <v>16</v>
      </c>
      <c r="C590" s="2">
        <v>42113</v>
      </c>
      <c r="D590" s="1" t="s">
        <v>379</v>
      </c>
      <c r="E590">
        <v>1106</v>
      </c>
      <c r="F590">
        <v>1045</v>
      </c>
      <c r="G590">
        <v>962</v>
      </c>
      <c r="H590">
        <v>1128</v>
      </c>
    </row>
    <row r="591" spans="1:9">
      <c r="A591">
        <v>2015</v>
      </c>
      <c r="B591">
        <v>17</v>
      </c>
      <c r="C591" s="2">
        <v>42120</v>
      </c>
      <c r="D591" s="1" t="s">
        <v>379</v>
      </c>
      <c r="E591">
        <v>1043</v>
      </c>
      <c r="F591">
        <v>1032</v>
      </c>
      <c r="G591">
        <v>949</v>
      </c>
      <c r="H591">
        <v>1115</v>
      </c>
    </row>
    <row r="592" spans="1:9">
      <c r="A592">
        <v>2015</v>
      </c>
      <c r="B592">
        <v>18</v>
      </c>
      <c r="C592" s="2">
        <v>42127</v>
      </c>
      <c r="D592" s="1" t="s">
        <v>379</v>
      </c>
      <c r="E592">
        <v>1105</v>
      </c>
      <c r="F592">
        <v>1019</v>
      </c>
      <c r="G592">
        <v>937</v>
      </c>
      <c r="H592">
        <v>1102</v>
      </c>
      <c r="I592">
        <v>1105</v>
      </c>
    </row>
    <row r="593" spans="1:9">
      <c r="A593">
        <v>2015</v>
      </c>
      <c r="B593">
        <v>19</v>
      </c>
      <c r="C593" s="2">
        <v>42134</v>
      </c>
      <c r="D593" s="1" t="s">
        <v>379</v>
      </c>
      <c r="E593">
        <v>970</v>
      </c>
      <c r="F593">
        <v>1006</v>
      </c>
      <c r="G593">
        <v>924</v>
      </c>
      <c r="H593">
        <v>1088</v>
      </c>
    </row>
    <row r="594" spans="1:9">
      <c r="A594">
        <v>2015</v>
      </c>
      <c r="B594">
        <v>20</v>
      </c>
      <c r="C594" s="2">
        <v>42141</v>
      </c>
      <c r="D594" s="1" t="s">
        <v>379</v>
      </c>
      <c r="E594">
        <v>957</v>
      </c>
      <c r="F594">
        <v>993</v>
      </c>
      <c r="G594">
        <v>912</v>
      </c>
      <c r="H594">
        <v>1074</v>
      </c>
    </row>
    <row r="595" spans="1:9">
      <c r="A595">
        <v>2015</v>
      </c>
      <c r="B595">
        <v>21</v>
      </c>
      <c r="C595" s="2">
        <v>42148</v>
      </c>
      <c r="D595" s="1" t="s">
        <v>379</v>
      </c>
      <c r="E595">
        <v>950</v>
      </c>
      <c r="F595">
        <v>981</v>
      </c>
      <c r="G595">
        <v>901</v>
      </c>
      <c r="H595">
        <v>1062</v>
      </c>
    </row>
    <row r="596" spans="1:9">
      <c r="A596">
        <v>2015</v>
      </c>
      <c r="B596">
        <v>22</v>
      </c>
      <c r="C596" s="2">
        <v>42155</v>
      </c>
      <c r="D596" s="1" t="s">
        <v>379</v>
      </c>
      <c r="E596">
        <v>921</v>
      </c>
      <c r="F596">
        <v>975</v>
      </c>
      <c r="G596">
        <v>894</v>
      </c>
      <c r="H596">
        <v>1055</v>
      </c>
    </row>
    <row r="597" spans="1:9">
      <c r="A597">
        <v>2015</v>
      </c>
      <c r="B597">
        <v>23</v>
      </c>
      <c r="C597" s="2">
        <v>42162</v>
      </c>
      <c r="D597" s="1" t="s">
        <v>379</v>
      </c>
      <c r="E597">
        <v>994</v>
      </c>
      <c r="F597">
        <v>974</v>
      </c>
      <c r="G597">
        <v>893</v>
      </c>
      <c r="H597">
        <v>1054</v>
      </c>
    </row>
    <row r="598" spans="1:9">
      <c r="A598">
        <v>2015</v>
      </c>
      <c r="B598">
        <v>24</v>
      </c>
      <c r="C598" s="2">
        <v>42169</v>
      </c>
      <c r="D598" s="1" t="s">
        <v>379</v>
      </c>
      <c r="E598">
        <v>982</v>
      </c>
      <c r="F598">
        <v>975</v>
      </c>
      <c r="G598">
        <v>894</v>
      </c>
      <c r="H598">
        <v>1055</v>
      </c>
    </row>
    <row r="599" spans="1:9">
      <c r="A599">
        <v>2015</v>
      </c>
      <c r="B599">
        <v>25</v>
      </c>
      <c r="C599" s="2">
        <v>42176</v>
      </c>
      <c r="D599" s="1" t="s">
        <v>379</v>
      </c>
      <c r="E599">
        <v>923</v>
      </c>
      <c r="F599">
        <v>976</v>
      </c>
      <c r="G599">
        <v>896</v>
      </c>
      <c r="H599">
        <v>1057</v>
      </c>
    </row>
    <row r="600" spans="1:9">
      <c r="A600">
        <v>2015</v>
      </c>
      <c r="B600">
        <v>26</v>
      </c>
      <c r="C600" s="2">
        <v>42183</v>
      </c>
      <c r="D600" s="1" t="s">
        <v>379</v>
      </c>
      <c r="E600">
        <v>983</v>
      </c>
      <c r="F600">
        <v>980</v>
      </c>
      <c r="G600">
        <v>899</v>
      </c>
      <c r="H600">
        <v>1061</v>
      </c>
    </row>
    <row r="601" spans="1:9">
      <c r="A601">
        <v>2015</v>
      </c>
      <c r="B601">
        <v>27</v>
      </c>
      <c r="C601" s="2">
        <v>42190</v>
      </c>
      <c r="D601" s="1" t="s">
        <v>379</v>
      </c>
      <c r="E601">
        <v>1098</v>
      </c>
      <c r="F601">
        <v>983</v>
      </c>
      <c r="G601">
        <v>902</v>
      </c>
      <c r="H601">
        <v>1063</v>
      </c>
      <c r="I601">
        <v>1098</v>
      </c>
    </row>
    <row r="602" spans="1:9">
      <c r="A602">
        <v>2015</v>
      </c>
      <c r="B602">
        <v>28</v>
      </c>
      <c r="C602" s="2">
        <v>42197</v>
      </c>
      <c r="D602" s="1" t="s">
        <v>379</v>
      </c>
      <c r="E602">
        <v>1157</v>
      </c>
      <c r="F602">
        <v>984</v>
      </c>
      <c r="G602">
        <v>903</v>
      </c>
      <c r="H602">
        <v>1064</v>
      </c>
      <c r="I602">
        <v>1157</v>
      </c>
    </row>
    <row r="603" spans="1:9">
      <c r="A603">
        <v>2015</v>
      </c>
      <c r="B603">
        <v>29</v>
      </c>
      <c r="C603" s="2">
        <v>42204</v>
      </c>
      <c r="D603" s="1" t="s">
        <v>379</v>
      </c>
      <c r="E603">
        <v>1077</v>
      </c>
      <c r="F603">
        <v>981</v>
      </c>
      <c r="G603">
        <v>900</v>
      </c>
      <c r="H603">
        <v>1062</v>
      </c>
      <c r="I603">
        <v>1077</v>
      </c>
    </row>
    <row r="604" spans="1:9">
      <c r="A604">
        <v>2015</v>
      </c>
      <c r="B604">
        <v>30</v>
      </c>
      <c r="C604" s="2">
        <v>42211</v>
      </c>
      <c r="D604" s="1" t="s">
        <v>379</v>
      </c>
      <c r="E604">
        <v>994</v>
      </c>
      <c r="F604">
        <v>977</v>
      </c>
      <c r="G604">
        <v>896</v>
      </c>
      <c r="H604">
        <v>1057</v>
      </c>
    </row>
    <row r="605" spans="1:9">
      <c r="A605">
        <v>2015</v>
      </c>
      <c r="B605">
        <v>31</v>
      </c>
      <c r="C605" s="2">
        <v>42218</v>
      </c>
      <c r="D605" s="1" t="s">
        <v>379</v>
      </c>
      <c r="E605">
        <v>957</v>
      </c>
      <c r="F605">
        <v>973</v>
      </c>
      <c r="G605">
        <v>893</v>
      </c>
      <c r="H605">
        <v>1054</v>
      </c>
    </row>
    <row r="606" spans="1:9">
      <c r="A606">
        <v>2015</v>
      </c>
      <c r="B606">
        <v>32</v>
      </c>
      <c r="C606" s="2">
        <v>42225</v>
      </c>
      <c r="D606" s="1" t="s">
        <v>379</v>
      </c>
      <c r="E606">
        <v>1018</v>
      </c>
      <c r="F606">
        <v>972</v>
      </c>
      <c r="G606">
        <v>892</v>
      </c>
      <c r="H606">
        <v>1052</v>
      </c>
    </row>
    <row r="607" spans="1:9">
      <c r="A607">
        <v>2015</v>
      </c>
      <c r="B607">
        <v>33</v>
      </c>
      <c r="C607" s="2">
        <v>42232</v>
      </c>
      <c r="D607" s="1" t="s">
        <v>379</v>
      </c>
      <c r="E607">
        <v>1015</v>
      </c>
      <c r="F607">
        <v>972</v>
      </c>
      <c r="G607">
        <v>892</v>
      </c>
      <c r="H607">
        <v>1053</v>
      </c>
    </row>
    <row r="608" spans="1:9">
      <c r="A608">
        <v>2015</v>
      </c>
      <c r="B608">
        <v>34</v>
      </c>
      <c r="C608" s="2">
        <v>42239</v>
      </c>
      <c r="D608" s="1" t="s">
        <v>379</v>
      </c>
      <c r="E608">
        <v>967</v>
      </c>
      <c r="F608">
        <v>978</v>
      </c>
      <c r="G608">
        <v>898</v>
      </c>
      <c r="H608">
        <v>1059</v>
      </c>
    </row>
    <row r="609" spans="1:8">
      <c r="A609">
        <v>2015</v>
      </c>
      <c r="B609">
        <v>35</v>
      </c>
      <c r="C609" s="2">
        <v>42246</v>
      </c>
      <c r="D609" s="1" t="s">
        <v>379</v>
      </c>
      <c r="E609">
        <v>990</v>
      </c>
      <c r="F609">
        <v>988</v>
      </c>
      <c r="G609">
        <v>907</v>
      </c>
      <c r="H609">
        <v>1069</v>
      </c>
    </row>
    <row r="610" spans="1:8">
      <c r="A610">
        <v>2015</v>
      </c>
      <c r="B610">
        <v>36</v>
      </c>
      <c r="C610" s="2">
        <v>42253</v>
      </c>
      <c r="D610" s="1" t="s">
        <v>379</v>
      </c>
      <c r="E610">
        <v>980</v>
      </c>
      <c r="F610">
        <v>995</v>
      </c>
      <c r="G610">
        <v>914</v>
      </c>
      <c r="H610">
        <v>1076</v>
      </c>
    </row>
    <row r="611" spans="1:8">
      <c r="A611">
        <v>2015</v>
      </c>
      <c r="B611">
        <v>37</v>
      </c>
      <c r="C611" s="2">
        <v>42260</v>
      </c>
      <c r="D611" s="1" t="s">
        <v>379</v>
      </c>
      <c r="E611">
        <v>991</v>
      </c>
      <c r="F611">
        <v>999</v>
      </c>
      <c r="G611">
        <v>918</v>
      </c>
      <c r="H611">
        <v>1081</v>
      </c>
    </row>
    <row r="612" spans="1:8">
      <c r="A612">
        <v>2015</v>
      </c>
      <c r="B612">
        <v>38</v>
      </c>
      <c r="C612" s="2">
        <v>42267</v>
      </c>
      <c r="D612" s="1" t="s">
        <v>379</v>
      </c>
      <c r="E612">
        <v>952</v>
      </c>
      <c r="F612">
        <v>1005</v>
      </c>
      <c r="G612">
        <v>923</v>
      </c>
      <c r="H612">
        <v>1086</v>
      </c>
    </row>
    <row r="613" spans="1:8">
      <c r="A613">
        <v>2015</v>
      </c>
      <c r="B613">
        <v>39</v>
      </c>
      <c r="C613" s="2">
        <v>42274</v>
      </c>
      <c r="D613" s="1" t="s">
        <v>379</v>
      </c>
      <c r="E613">
        <v>1027</v>
      </c>
      <c r="F613">
        <v>1012</v>
      </c>
      <c r="G613">
        <v>930</v>
      </c>
      <c r="H613">
        <v>1094</v>
      </c>
    </row>
    <row r="614" spans="1:8">
      <c r="A614">
        <v>2015</v>
      </c>
      <c r="B614">
        <v>40</v>
      </c>
      <c r="C614" s="2">
        <v>42281</v>
      </c>
      <c r="D614" s="1" t="s">
        <v>379</v>
      </c>
      <c r="E614">
        <v>1031</v>
      </c>
      <c r="F614">
        <v>1021</v>
      </c>
      <c r="G614">
        <v>938</v>
      </c>
      <c r="H614">
        <v>1103</v>
      </c>
    </row>
    <row r="615" spans="1:8">
      <c r="A615">
        <v>2015</v>
      </c>
      <c r="B615">
        <v>41</v>
      </c>
      <c r="C615" s="2">
        <v>42288</v>
      </c>
      <c r="D615" s="1" t="s">
        <v>379</v>
      </c>
      <c r="E615">
        <v>999</v>
      </c>
      <c r="F615">
        <v>1034</v>
      </c>
      <c r="G615">
        <v>951</v>
      </c>
      <c r="H615">
        <v>1116</v>
      </c>
    </row>
    <row r="616" spans="1:8">
      <c r="A616">
        <v>2015</v>
      </c>
      <c r="B616">
        <v>42</v>
      </c>
      <c r="C616" s="2">
        <v>42295</v>
      </c>
      <c r="D616" s="1" t="s">
        <v>379</v>
      </c>
      <c r="E616">
        <v>1039</v>
      </c>
      <c r="F616">
        <v>1045</v>
      </c>
      <c r="G616">
        <v>962</v>
      </c>
      <c r="H616">
        <v>1128</v>
      </c>
    </row>
    <row r="617" spans="1:8">
      <c r="A617">
        <v>2015</v>
      </c>
      <c r="B617">
        <v>43</v>
      </c>
      <c r="C617" s="2">
        <v>42302</v>
      </c>
      <c r="D617" s="1" t="s">
        <v>379</v>
      </c>
      <c r="E617">
        <v>1026</v>
      </c>
      <c r="F617">
        <v>1053</v>
      </c>
      <c r="G617">
        <v>970</v>
      </c>
      <c r="H617">
        <v>1137</v>
      </c>
    </row>
    <row r="618" spans="1:8">
      <c r="A618">
        <v>2015</v>
      </c>
      <c r="B618">
        <v>44</v>
      </c>
      <c r="C618" s="2">
        <v>42309</v>
      </c>
      <c r="D618" s="1" t="s">
        <v>379</v>
      </c>
      <c r="E618">
        <v>1093</v>
      </c>
      <c r="F618">
        <v>1061</v>
      </c>
      <c r="G618">
        <v>977</v>
      </c>
      <c r="H618">
        <v>1145</v>
      </c>
    </row>
    <row r="619" spans="1:8">
      <c r="A619">
        <v>2015</v>
      </c>
      <c r="B619">
        <v>45</v>
      </c>
      <c r="C619" s="2">
        <v>42316</v>
      </c>
      <c r="D619" s="1" t="s">
        <v>379</v>
      </c>
      <c r="E619">
        <v>994</v>
      </c>
      <c r="F619">
        <v>1073</v>
      </c>
      <c r="G619">
        <v>988</v>
      </c>
      <c r="H619">
        <v>1157</v>
      </c>
    </row>
    <row r="620" spans="1:8">
      <c r="A620">
        <v>2015</v>
      </c>
      <c r="B620">
        <v>46</v>
      </c>
      <c r="C620" s="2">
        <v>42323</v>
      </c>
      <c r="D620" s="1" t="s">
        <v>379</v>
      </c>
      <c r="E620">
        <v>1007</v>
      </c>
      <c r="F620">
        <v>1084</v>
      </c>
      <c r="G620">
        <v>999</v>
      </c>
      <c r="H620">
        <v>1169</v>
      </c>
    </row>
    <row r="621" spans="1:8">
      <c r="A621">
        <v>2015</v>
      </c>
      <c r="B621">
        <v>47</v>
      </c>
      <c r="C621" s="2">
        <v>42330</v>
      </c>
      <c r="D621" s="1" t="s">
        <v>379</v>
      </c>
      <c r="E621">
        <v>1066</v>
      </c>
      <c r="F621">
        <v>1101</v>
      </c>
      <c r="G621">
        <v>1016</v>
      </c>
      <c r="H621">
        <v>1187</v>
      </c>
    </row>
    <row r="622" spans="1:8">
      <c r="A622">
        <v>2015</v>
      </c>
      <c r="B622">
        <v>48</v>
      </c>
      <c r="C622" s="2">
        <v>42337</v>
      </c>
      <c r="D622" s="1" t="s">
        <v>379</v>
      </c>
      <c r="E622">
        <v>1084</v>
      </c>
      <c r="F622">
        <v>1121</v>
      </c>
      <c r="G622">
        <v>1035</v>
      </c>
      <c r="H622">
        <v>1207</v>
      </c>
    </row>
    <row r="623" spans="1:8">
      <c r="A623">
        <v>2015</v>
      </c>
      <c r="B623">
        <v>49</v>
      </c>
      <c r="C623" s="2">
        <v>42344</v>
      </c>
      <c r="D623" s="1" t="s">
        <v>379</v>
      </c>
      <c r="E623">
        <v>1111</v>
      </c>
      <c r="F623">
        <v>1138</v>
      </c>
      <c r="G623">
        <v>1051</v>
      </c>
      <c r="H623">
        <v>1225</v>
      </c>
    </row>
    <row r="624" spans="1:8">
      <c r="A624">
        <v>2015</v>
      </c>
      <c r="B624">
        <v>50</v>
      </c>
      <c r="C624" s="2">
        <v>42351</v>
      </c>
      <c r="D624" s="1" t="s">
        <v>379</v>
      </c>
      <c r="E624">
        <v>1034</v>
      </c>
      <c r="F624">
        <v>1149</v>
      </c>
      <c r="G624">
        <v>1062</v>
      </c>
      <c r="H624">
        <v>1237</v>
      </c>
    </row>
    <row r="625" spans="1:8">
      <c r="A625">
        <v>2015</v>
      </c>
      <c r="B625">
        <v>51</v>
      </c>
      <c r="C625" s="2">
        <v>42358</v>
      </c>
      <c r="D625" s="1" t="s">
        <v>379</v>
      </c>
      <c r="E625">
        <v>1022</v>
      </c>
      <c r="F625">
        <v>1159</v>
      </c>
      <c r="G625">
        <v>1071</v>
      </c>
      <c r="H625">
        <v>1247</v>
      </c>
    </row>
    <row r="626" spans="1:8">
      <c r="A626">
        <v>2015</v>
      </c>
      <c r="B626">
        <v>52</v>
      </c>
      <c r="C626" s="2">
        <v>42365</v>
      </c>
      <c r="D626" s="1" t="s">
        <v>379</v>
      </c>
      <c r="E626">
        <v>1099</v>
      </c>
      <c r="F626">
        <v>1168</v>
      </c>
      <c r="G626">
        <v>1080</v>
      </c>
      <c r="H626">
        <v>1256</v>
      </c>
    </row>
    <row r="627" spans="1:8">
      <c r="A627">
        <v>2015</v>
      </c>
      <c r="B627">
        <v>53</v>
      </c>
      <c r="C627" s="2">
        <v>42372</v>
      </c>
      <c r="D627" s="1" t="s">
        <v>379</v>
      </c>
      <c r="E627">
        <v>1126</v>
      </c>
      <c r="F627">
        <v>1177</v>
      </c>
      <c r="G627">
        <v>1089</v>
      </c>
      <c r="H627">
        <v>1266</v>
      </c>
    </row>
    <row r="628" spans="1:8">
      <c r="A628">
        <v>2016</v>
      </c>
      <c r="B628">
        <v>1</v>
      </c>
      <c r="C628" s="2">
        <v>42379</v>
      </c>
      <c r="D628" s="1" t="s">
        <v>378</v>
      </c>
      <c r="E628">
        <v>183</v>
      </c>
      <c r="F628">
        <v>181</v>
      </c>
      <c r="G628">
        <v>147</v>
      </c>
      <c r="H628">
        <v>216</v>
      </c>
    </row>
    <row r="629" spans="1:8">
      <c r="A629">
        <v>2016</v>
      </c>
      <c r="B629">
        <v>2</v>
      </c>
      <c r="C629" s="2">
        <v>42386</v>
      </c>
      <c r="D629" s="1" t="s">
        <v>378</v>
      </c>
      <c r="E629">
        <v>149</v>
      </c>
      <c r="F629">
        <v>181</v>
      </c>
      <c r="G629">
        <v>146</v>
      </c>
      <c r="H629">
        <v>215</v>
      </c>
    </row>
    <row r="630" spans="1:8">
      <c r="A630">
        <v>2016</v>
      </c>
      <c r="B630">
        <v>3</v>
      </c>
      <c r="C630" s="2">
        <v>42393</v>
      </c>
      <c r="D630" s="1" t="s">
        <v>378</v>
      </c>
      <c r="E630">
        <v>183</v>
      </c>
      <c r="F630">
        <v>180</v>
      </c>
      <c r="G630">
        <v>145</v>
      </c>
      <c r="H630">
        <v>214</v>
      </c>
    </row>
    <row r="631" spans="1:8">
      <c r="A631">
        <v>2016</v>
      </c>
      <c r="B631">
        <v>4</v>
      </c>
      <c r="C631" s="2">
        <v>42400</v>
      </c>
      <c r="D631" s="1" t="s">
        <v>378</v>
      </c>
      <c r="E631">
        <v>194</v>
      </c>
      <c r="F631">
        <v>179</v>
      </c>
      <c r="G631">
        <v>144</v>
      </c>
      <c r="H631">
        <v>213</v>
      </c>
    </row>
    <row r="632" spans="1:8">
      <c r="A632">
        <v>2016</v>
      </c>
      <c r="B632">
        <v>5</v>
      </c>
      <c r="C632" s="2">
        <v>42407</v>
      </c>
      <c r="D632" s="1" t="s">
        <v>378</v>
      </c>
      <c r="E632">
        <v>190</v>
      </c>
      <c r="F632">
        <v>178</v>
      </c>
      <c r="G632">
        <v>144</v>
      </c>
      <c r="H632">
        <v>213</v>
      </c>
    </row>
    <row r="633" spans="1:8">
      <c r="A633">
        <v>2016</v>
      </c>
      <c r="B633">
        <v>6</v>
      </c>
      <c r="C633" s="2">
        <v>42414</v>
      </c>
      <c r="D633" s="1" t="s">
        <v>378</v>
      </c>
      <c r="E633">
        <v>187</v>
      </c>
      <c r="F633">
        <v>177</v>
      </c>
      <c r="G633">
        <v>143</v>
      </c>
      <c r="H633">
        <v>212</v>
      </c>
    </row>
    <row r="634" spans="1:8">
      <c r="A634">
        <v>2016</v>
      </c>
      <c r="B634">
        <v>7</v>
      </c>
      <c r="C634" s="2">
        <v>42421</v>
      </c>
      <c r="D634" s="1" t="s">
        <v>378</v>
      </c>
      <c r="E634">
        <v>179</v>
      </c>
      <c r="F634">
        <v>177</v>
      </c>
      <c r="G634">
        <v>142</v>
      </c>
      <c r="H634">
        <v>211</v>
      </c>
    </row>
    <row r="635" spans="1:8">
      <c r="A635">
        <v>2016</v>
      </c>
      <c r="B635">
        <v>8</v>
      </c>
      <c r="C635" s="2">
        <v>42428</v>
      </c>
      <c r="D635" s="1" t="s">
        <v>378</v>
      </c>
      <c r="E635">
        <v>194</v>
      </c>
      <c r="F635">
        <v>176</v>
      </c>
      <c r="G635">
        <v>142</v>
      </c>
      <c r="H635">
        <v>210</v>
      </c>
    </row>
    <row r="636" spans="1:8">
      <c r="A636">
        <v>2016</v>
      </c>
      <c r="B636">
        <v>9</v>
      </c>
      <c r="C636" s="2">
        <v>42435</v>
      </c>
      <c r="D636" s="1" t="s">
        <v>378</v>
      </c>
      <c r="E636">
        <v>181</v>
      </c>
      <c r="F636">
        <v>175</v>
      </c>
      <c r="G636">
        <v>141</v>
      </c>
      <c r="H636">
        <v>209</v>
      </c>
    </row>
    <row r="637" spans="1:8">
      <c r="A637">
        <v>2016</v>
      </c>
      <c r="B637">
        <v>10</v>
      </c>
      <c r="C637" s="2">
        <v>42442</v>
      </c>
      <c r="D637" s="1" t="s">
        <v>378</v>
      </c>
      <c r="E637">
        <v>191</v>
      </c>
      <c r="F637">
        <v>174</v>
      </c>
      <c r="G637">
        <v>140</v>
      </c>
      <c r="H637">
        <v>208</v>
      </c>
    </row>
    <row r="638" spans="1:8">
      <c r="A638">
        <v>2016</v>
      </c>
      <c r="B638">
        <v>11</v>
      </c>
      <c r="C638" s="2">
        <v>42449</v>
      </c>
      <c r="D638" s="1" t="s">
        <v>378</v>
      </c>
      <c r="E638">
        <v>168</v>
      </c>
      <c r="F638">
        <v>174</v>
      </c>
      <c r="G638">
        <v>140</v>
      </c>
      <c r="H638">
        <v>207</v>
      </c>
    </row>
    <row r="639" spans="1:8">
      <c r="A639">
        <v>2016</v>
      </c>
      <c r="B639">
        <v>12</v>
      </c>
      <c r="C639" s="2">
        <v>42456</v>
      </c>
      <c r="D639" s="1" t="s">
        <v>378</v>
      </c>
      <c r="E639">
        <v>183</v>
      </c>
      <c r="F639">
        <v>173</v>
      </c>
      <c r="G639">
        <v>139</v>
      </c>
      <c r="H639">
        <v>207</v>
      </c>
    </row>
    <row r="640" spans="1:8">
      <c r="A640">
        <v>2016</v>
      </c>
      <c r="B640">
        <v>13</v>
      </c>
      <c r="C640" s="2">
        <v>42463</v>
      </c>
      <c r="D640" s="1" t="s">
        <v>378</v>
      </c>
      <c r="E640">
        <v>167</v>
      </c>
      <c r="F640">
        <v>172</v>
      </c>
      <c r="G640">
        <v>138</v>
      </c>
      <c r="H640">
        <v>206</v>
      </c>
    </row>
    <row r="641" spans="1:8">
      <c r="A641">
        <v>2016</v>
      </c>
      <c r="B641">
        <v>14</v>
      </c>
      <c r="C641" s="2">
        <v>42470</v>
      </c>
      <c r="D641" s="1" t="s">
        <v>378</v>
      </c>
      <c r="E641">
        <v>143</v>
      </c>
      <c r="F641">
        <v>171</v>
      </c>
      <c r="G641">
        <v>138</v>
      </c>
      <c r="H641">
        <v>205</v>
      </c>
    </row>
    <row r="642" spans="1:8">
      <c r="A642">
        <v>2016</v>
      </c>
      <c r="B642">
        <v>15</v>
      </c>
      <c r="C642" s="2">
        <v>42477</v>
      </c>
      <c r="D642" s="1" t="s">
        <v>378</v>
      </c>
      <c r="E642">
        <v>159</v>
      </c>
      <c r="F642">
        <v>170</v>
      </c>
      <c r="G642">
        <v>137</v>
      </c>
      <c r="H642">
        <v>204</v>
      </c>
    </row>
    <row r="643" spans="1:8">
      <c r="A643">
        <v>2016</v>
      </c>
      <c r="B643">
        <v>16</v>
      </c>
      <c r="C643" s="2">
        <v>42484</v>
      </c>
      <c r="D643" s="1" t="s">
        <v>378</v>
      </c>
      <c r="E643">
        <v>168</v>
      </c>
      <c r="F643">
        <v>170</v>
      </c>
      <c r="G643">
        <v>136</v>
      </c>
      <c r="H643">
        <v>203</v>
      </c>
    </row>
    <row r="644" spans="1:8">
      <c r="A644">
        <v>2016</v>
      </c>
      <c r="B644">
        <v>17</v>
      </c>
      <c r="C644" s="2">
        <v>42491</v>
      </c>
      <c r="D644" s="1" t="s">
        <v>378</v>
      </c>
      <c r="E644">
        <v>152</v>
      </c>
      <c r="F644">
        <v>169</v>
      </c>
      <c r="G644">
        <v>135</v>
      </c>
      <c r="H644">
        <v>202</v>
      </c>
    </row>
    <row r="645" spans="1:8">
      <c r="A645">
        <v>2016</v>
      </c>
      <c r="B645">
        <v>18</v>
      </c>
      <c r="C645" s="2">
        <v>42498</v>
      </c>
      <c r="D645" s="1" t="s">
        <v>378</v>
      </c>
      <c r="E645">
        <v>169</v>
      </c>
      <c r="F645">
        <v>168</v>
      </c>
      <c r="G645">
        <v>135</v>
      </c>
      <c r="H645">
        <v>201</v>
      </c>
    </row>
    <row r="646" spans="1:8">
      <c r="A646">
        <v>2016</v>
      </c>
      <c r="B646">
        <v>19</v>
      </c>
      <c r="C646" s="2">
        <v>42505</v>
      </c>
      <c r="D646" s="1" t="s">
        <v>378</v>
      </c>
      <c r="E646">
        <v>177</v>
      </c>
      <c r="F646">
        <v>167</v>
      </c>
      <c r="G646">
        <v>134</v>
      </c>
      <c r="H646">
        <v>200</v>
      </c>
    </row>
    <row r="647" spans="1:8">
      <c r="A647">
        <v>2016</v>
      </c>
      <c r="B647">
        <v>20</v>
      </c>
      <c r="C647" s="2">
        <v>42512</v>
      </c>
      <c r="D647" s="1" t="s">
        <v>378</v>
      </c>
      <c r="E647">
        <v>165</v>
      </c>
      <c r="F647">
        <v>166</v>
      </c>
      <c r="G647">
        <v>133</v>
      </c>
      <c r="H647">
        <v>200</v>
      </c>
    </row>
    <row r="648" spans="1:8">
      <c r="A648">
        <v>2016</v>
      </c>
      <c r="B648">
        <v>21</v>
      </c>
      <c r="C648" s="2">
        <v>42519</v>
      </c>
      <c r="D648" s="1" t="s">
        <v>378</v>
      </c>
      <c r="E648">
        <v>146</v>
      </c>
      <c r="F648">
        <v>166</v>
      </c>
      <c r="G648">
        <v>132</v>
      </c>
      <c r="H648">
        <v>199</v>
      </c>
    </row>
    <row r="649" spans="1:8">
      <c r="A649">
        <v>2016</v>
      </c>
      <c r="B649">
        <v>22</v>
      </c>
      <c r="C649" s="2">
        <v>42526</v>
      </c>
      <c r="D649" s="1" t="s">
        <v>378</v>
      </c>
      <c r="E649">
        <v>151</v>
      </c>
      <c r="F649">
        <v>165</v>
      </c>
      <c r="G649">
        <v>132</v>
      </c>
      <c r="H649">
        <v>198</v>
      </c>
    </row>
    <row r="650" spans="1:8">
      <c r="A650">
        <v>2016</v>
      </c>
      <c r="B650">
        <v>23</v>
      </c>
      <c r="C650" s="2">
        <v>42533</v>
      </c>
      <c r="D650" s="1" t="s">
        <v>378</v>
      </c>
      <c r="E650">
        <v>165</v>
      </c>
      <c r="F650">
        <v>165</v>
      </c>
      <c r="G650">
        <v>132</v>
      </c>
      <c r="H650">
        <v>198</v>
      </c>
    </row>
    <row r="651" spans="1:8">
      <c r="A651">
        <v>2016</v>
      </c>
      <c r="B651">
        <v>24</v>
      </c>
      <c r="C651" s="2">
        <v>42540</v>
      </c>
      <c r="D651" s="1" t="s">
        <v>378</v>
      </c>
      <c r="E651">
        <v>173</v>
      </c>
      <c r="F651">
        <v>164</v>
      </c>
      <c r="G651">
        <v>131</v>
      </c>
      <c r="H651">
        <v>197</v>
      </c>
    </row>
    <row r="652" spans="1:8">
      <c r="A652">
        <v>2016</v>
      </c>
      <c r="B652">
        <v>25</v>
      </c>
      <c r="C652" s="2">
        <v>42547</v>
      </c>
      <c r="D652" s="1" t="s">
        <v>378</v>
      </c>
      <c r="E652">
        <v>163</v>
      </c>
      <c r="F652">
        <v>164</v>
      </c>
      <c r="G652">
        <v>131</v>
      </c>
      <c r="H652">
        <v>197</v>
      </c>
    </row>
    <row r="653" spans="1:8">
      <c r="A653">
        <v>2016</v>
      </c>
      <c r="B653">
        <v>26</v>
      </c>
      <c r="C653" s="2">
        <v>42554</v>
      </c>
      <c r="D653" s="1" t="s">
        <v>378</v>
      </c>
      <c r="E653">
        <v>169</v>
      </c>
      <c r="F653">
        <v>164</v>
      </c>
      <c r="G653">
        <v>131</v>
      </c>
      <c r="H653">
        <v>197</v>
      </c>
    </row>
    <row r="654" spans="1:8">
      <c r="A654">
        <v>2016</v>
      </c>
      <c r="B654">
        <v>27</v>
      </c>
      <c r="C654" s="2">
        <v>42561</v>
      </c>
      <c r="D654" s="1" t="s">
        <v>378</v>
      </c>
      <c r="E654">
        <v>154</v>
      </c>
      <c r="F654">
        <v>163</v>
      </c>
      <c r="G654">
        <v>130</v>
      </c>
      <c r="H654">
        <v>196</v>
      </c>
    </row>
    <row r="655" spans="1:8">
      <c r="A655">
        <v>2016</v>
      </c>
      <c r="B655">
        <v>28</v>
      </c>
      <c r="C655" s="2">
        <v>42568</v>
      </c>
      <c r="D655" s="1" t="s">
        <v>378</v>
      </c>
      <c r="E655">
        <v>155</v>
      </c>
      <c r="F655">
        <v>163</v>
      </c>
      <c r="G655">
        <v>130</v>
      </c>
      <c r="H655">
        <v>196</v>
      </c>
    </row>
    <row r="656" spans="1:8">
      <c r="A656">
        <v>2016</v>
      </c>
      <c r="B656">
        <v>29</v>
      </c>
      <c r="C656" s="2">
        <v>42575</v>
      </c>
      <c r="D656" s="1" t="s">
        <v>378</v>
      </c>
      <c r="E656">
        <v>166</v>
      </c>
      <c r="F656">
        <v>163</v>
      </c>
      <c r="G656">
        <v>130</v>
      </c>
      <c r="H656">
        <v>196</v>
      </c>
    </row>
    <row r="657" spans="1:8">
      <c r="A657">
        <v>2016</v>
      </c>
      <c r="B657">
        <v>30</v>
      </c>
      <c r="C657" s="2">
        <v>42582</v>
      </c>
      <c r="D657" s="1" t="s">
        <v>378</v>
      </c>
      <c r="E657">
        <v>160</v>
      </c>
      <c r="F657">
        <v>163</v>
      </c>
      <c r="G657">
        <v>130</v>
      </c>
      <c r="H657">
        <v>196</v>
      </c>
    </row>
    <row r="658" spans="1:8">
      <c r="A658">
        <v>2016</v>
      </c>
      <c r="B658">
        <v>31</v>
      </c>
      <c r="C658" s="2">
        <v>42589</v>
      </c>
      <c r="D658" s="1" t="s">
        <v>378</v>
      </c>
      <c r="E658">
        <v>195</v>
      </c>
      <c r="F658">
        <v>163</v>
      </c>
      <c r="G658">
        <v>130</v>
      </c>
      <c r="H658">
        <v>196</v>
      </c>
    </row>
    <row r="659" spans="1:8">
      <c r="A659">
        <v>2016</v>
      </c>
      <c r="B659">
        <v>32</v>
      </c>
      <c r="C659" s="2">
        <v>42596</v>
      </c>
      <c r="D659" s="1" t="s">
        <v>378</v>
      </c>
      <c r="E659">
        <v>187</v>
      </c>
      <c r="F659">
        <v>163</v>
      </c>
      <c r="G659">
        <v>130</v>
      </c>
      <c r="H659">
        <v>196</v>
      </c>
    </row>
    <row r="660" spans="1:8">
      <c r="A660">
        <v>2016</v>
      </c>
      <c r="B660">
        <v>33</v>
      </c>
      <c r="C660" s="2">
        <v>42603</v>
      </c>
      <c r="D660" s="1" t="s">
        <v>378</v>
      </c>
      <c r="E660">
        <v>151</v>
      </c>
      <c r="F660">
        <v>163</v>
      </c>
      <c r="G660">
        <v>130</v>
      </c>
      <c r="H660">
        <v>196</v>
      </c>
    </row>
    <row r="661" spans="1:8">
      <c r="A661">
        <v>2016</v>
      </c>
      <c r="B661">
        <v>34</v>
      </c>
      <c r="C661" s="2">
        <v>42610</v>
      </c>
      <c r="D661" s="1" t="s">
        <v>378</v>
      </c>
      <c r="E661">
        <v>139</v>
      </c>
      <c r="F661">
        <v>163</v>
      </c>
      <c r="G661">
        <v>131</v>
      </c>
      <c r="H661">
        <v>196</v>
      </c>
    </row>
    <row r="662" spans="1:8">
      <c r="A662">
        <v>2016</v>
      </c>
      <c r="B662">
        <v>35</v>
      </c>
      <c r="C662" s="2">
        <v>42617</v>
      </c>
      <c r="D662" s="1" t="s">
        <v>378</v>
      </c>
      <c r="E662">
        <v>169</v>
      </c>
      <c r="F662">
        <v>164</v>
      </c>
      <c r="G662">
        <v>131</v>
      </c>
      <c r="H662">
        <v>197</v>
      </c>
    </row>
    <row r="663" spans="1:8">
      <c r="A663">
        <v>2016</v>
      </c>
      <c r="B663">
        <v>36</v>
      </c>
      <c r="C663" s="2">
        <v>42624</v>
      </c>
      <c r="D663" s="1" t="s">
        <v>378</v>
      </c>
      <c r="E663">
        <v>182</v>
      </c>
      <c r="F663">
        <v>164</v>
      </c>
      <c r="G663">
        <v>131</v>
      </c>
      <c r="H663">
        <v>197</v>
      </c>
    </row>
    <row r="664" spans="1:8">
      <c r="A664">
        <v>2016</v>
      </c>
      <c r="B664">
        <v>37</v>
      </c>
      <c r="C664" s="2">
        <v>42631</v>
      </c>
      <c r="D664" s="1" t="s">
        <v>378</v>
      </c>
      <c r="E664">
        <v>150</v>
      </c>
      <c r="F664">
        <v>164</v>
      </c>
      <c r="G664">
        <v>131</v>
      </c>
      <c r="H664">
        <v>198</v>
      </c>
    </row>
    <row r="665" spans="1:8">
      <c r="A665">
        <v>2016</v>
      </c>
      <c r="B665">
        <v>38</v>
      </c>
      <c r="C665" s="2">
        <v>42638</v>
      </c>
      <c r="D665" s="1" t="s">
        <v>378</v>
      </c>
      <c r="E665">
        <v>171</v>
      </c>
      <c r="F665">
        <v>165</v>
      </c>
      <c r="G665">
        <v>132</v>
      </c>
      <c r="H665">
        <v>198</v>
      </c>
    </row>
    <row r="666" spans="1:8">
      <c r="A666">
        <v>2016</v>
      </c>
      <c r="B666">
        <v>39</v>
      </c>
      <c r="C666" s="2">
        <v>42645</v>
      </c>
      <c r="D666" s="1" t="s">
        <v>378</v>
      </c>
      <c r="E666">
        <v>172</v>
      </c>
      <c r="F666">
        <v>165</v>
      </c>
      <c r="G666">
        <v>132</v>
      </c>
      <c r="H666">
        <v>198</v>
      </c>
    </row>
    <row r="667" spans="1:8">
      <c r="A667">
        <v>2016</v>
      </c>
      <c r="B667">
        <v>40</v>
      </c>
      <c r="C667" s="2">
        <v>42652</v>
      </c>
      <c r="D667" s="1" t="s">
        <v>378</v>
      </c>
      <c r="E667">
        <v>185</v>
      </c>
      <c r="F667">
        <v>165</v>
      </c>
      <c r="G667">
        <v>132</v>
      </c>
      <c r="H667">
        <v>199</v>
      </c>
    </row>
    <row r="668" spans="1:8">
      <c r="A668">
        <v>2016</v>
      </c>
      <c r="B668">
        <v>41</v>
      </c>
      <c r="C668" s="2">
        <v>42659</v>
      </c>
      <c r="D668" s="1" t="s">
        <v>378</v>
      </c>
      <c r="E668">
        <v>172</v>
      </c>
      <c r="F668">
        <v>166</v>
      </c>
      <c r="G668">
        <v>133</v>
      </c>
      <c r="H668">
        <v>199</v>
      </c>
    </row>
    <row r="669" spans="1:8">
      <c r="A669">
        <v>2016</v>
      </c>
      <c r="B669">
        <v>42</v>
      </c>
      <c r="C669" s="2">
        <v>42666</v>
      </c>
      <c r="D669" s="1" t="s">
        <v>378</v>
      </c>
      <c r="E669">
        <v>163</v>
      </c>
      <c r="F669">
        <v>167</v>
      </c>
      <c r="G669">
        <v>133</v>
      </c>
      <c r="H669">
        <v>200</v>
      </c>
    </row>
    <row r="670" spans="1:8">
      <c r="A670">
        <v>2016</v>
      </c>
      <c r="B670">
        <v>43</v>
      </c>
      <c r="C670" s="2">
        <v>42673</v>
      </c>
      <c r="D670" s="1" t="s">
        <v>378</v>
      </c>
      <c r="E670">
        <v>168</v>
      </c>
      <c r="F670">
        <v>167</v>
      </c>
      <c r="G670">
        <v>134</v>
      </c>
      <c r="H670">
        <v>200</v>
      </c>
    </row>
    <row r="671" spans="1:8">
      <c r="A671">
        <v>2016</v>
      </c>
      <c r="B671">
        <v>44</v>
      </c>
      <c r="C671" s="2">
        <v>42680</v>
      </c>
      <c r="D671" s="1" t="s">
        <v>378</v>
      </c>
      <c r="E671">
        <v>176</v>
      </c>
      <c r="F671">
        <v>168</v>
      </c>
      <c r="G671">
        <v>134</v>
      </c>
      <c r="H671">
        <v>201</v>
      </c>
    </row>
    <row r="672" spans="1:8">
      <c r="A672">
        <v>2016</v>
      </c>
      <c r="B672">
        <v>45</v>
      </c>
      <c r="C672" s="2">
        <v>42687</v>
      </c>
      <c r="D672" s="1" t="s">
        <v>378</v>
      </c>
      <c r="E672">
        <v>172</v>
      </c>
      <c r="F672">
        <v>168</v>
      </c>
      <c r="G672">
        <v>135</v>
      </c>
      <c r="H672">
        <v>202</v>
      </c>
    </row>
    <row r="673" spans="1:8">
      <c r="A673">
        <v>2016</v>
      </c>
      <c r="B673">
        <v>46</v>
      </c>
      <c r="C673" s="2">
        <v>42694</v>
      </c>
      <c r="D673" s="1" t="s">
        <v>378</v>
      </c>
      <c r="E673">
        <v>170</v>
      </c>
      <c r="F673">
        <v>169</v>
      </c>
      <c r="G673">
        <v>135</v>
      </c>
      <c r="H673">
        <v>202</v>
      </c>
    </row>
    <row r="674" spans="1:8">
      <c r="A674">
        <v>2016</v>
      </c>
      <c r="B674">
        <v>47</v>
      </c>
      <c r="C674" s="2">
        <v>42701</v>
      </c>
      <c r="D674" s="1" t="s">
        <v>378</v>
      </c>
      <c r="E674">
        <v>134</v>
      </c>
      <c r="F674">
        <v>169</v>
      </c>
      <c r="G674">
        <v>136</v>
      </c>
      <c r="H674">
        <v>203</v>
      </c>
    </row>
    <row r="675" spans="1:8">
      <c r="A675">
        <v>2016</v>
      </c>
      <c r="B675">
        <v>48</v>
      </c>
      <c r="C675" s="2">
        <v>42708</v>
      </c>
      <c r="D675" s="1" t="s">
        <v>378</v>
      </c>
      <c r="E675">
        <v>179</v>
      </c>
      <c r="F675">
        <v>170</v>
      </c>
      <c r="G675">
        <v>136</v>
      </c>
      <c r="H675">
        <v>203</v>
      </c>
    </row>
    <row r="676" spans="1:8">
      <c r="A676">
        <v>2016</v>
      </c>
      <c r="B676">
        <v>49</v>
      </c>
      <c r="C676" s="2">
        <v>42715</v>
      </c>
      <c r="D676" s="1" t="s">
        <v>378</v>
      </c>
      <c r="E676">
        <v>159</v>
      </c>
      <c r="F676">
        <v>170</v>
      </c>
      <c r="G676">
        <v>137</v>
      </c>
      <c r="H676">
        <v>204</v>
      </c>
    </row>
    <row r="677" spans="1:8">
      <c r="A677">
        <v>2016</v>
      </c>
      <c r="B677">
        <v>50</v>
      </c>
      <c r="C677" s="2">
        <v>42722</v>
      </c>
      <c r="D677" s="1" t="s">
        <v>378</v>
      </c>
      <c r="E677">
        <v>163</v>
      </c>
      <c r="F677">
        <v>171</v>
      </c>
      <c r="G677">
        <v>137</v>
      </c>
      <c r="H677">
        <v>205</v>
      </c>
    </row>
    <row r="678" spans="1:8">
      <c r="A678">
        <v>2016</v>
      </c>
      <c r="B678">
        <v>51</v>
      </c>
      <c r="C678" s="2">
        <v>42729</v>
      </c>
      <c r="D678" s="1" t="s">
        <v>378</v>
      </c>
      <c r="E678">
        <v>187</v>
      </c>
      <c r="F678">
        <v>171</v>
      </c>
      <c r="G678">
        <v>138</v>
      </c>
      <c r="H678">
        <v>205</v>
      </c>
    </row>
    <row r="679" spans="1:8">
      <c r="A679">
        <v>2016</v>
      </c>
      <c r="B679">
        <v>52</v>
      </c>
      <c r="C679" s="2">
        <v>42736</v>
      </c>
      <c r="D679" s="1" t="s">
        <v>378</v>
      </c>
      <c r="E679">
        <v>168</v>
      </c>
      <c r="F679">
        <v>172</v>
      </c>
      <c r="G679">
        <v>138</v>
      </c>
      <c r="H679">
        <v>206</v>
      </c>
    </row>
    <row r="680" spans="1:8">
      <c r="A680">
        <v>2016</v>
      </c>
      <c r="B680">
        <v>1</v>
      </c>
      <c r="C680" s="2">
        <v>42379</v>
      </c>
      <c r="D680" s="1" t="s">
        <v>379</v>
      </c>
      <c r="E680">
        <v>1146</v>
      </c>
      <c r="F680">
        <v>1237</v>
      </c>
      <c r="G680">
        <v>1147</v>
      </c>
      <c r="H680">
        <v>1328</v>
      </c>
    </row>
    <row r="681" spans="1:8">
      <c r="A681">
        <v>2016</v>
      </c>
      <c r="B681">
        <v>2</v>
      </c>
      <c r="C681" s="2">
        <v>42386</v>
      </c>
      <c r="D681" s="1" t="s">
        <v>379</v>
      </c>
      <c r="E681">
        <v>1090</v>
      </c>
      <c r="F681">
        <v>1236</v>
      </c>
      <c r="G681">
        <v>1146</v>
      </c>
      <c r="H681">
        <v>1327</v>
      </c>
    </row>
    <row r="682" spans="1:8">
      <c r="A682">
        <v>2016</v>
      </c>
      <c r="B682">
        <v>3</v>
      </c>
      <c r="C682" s="2">
        <v>42393</v>
      </c>
      <c r="D682" s="1" t="s">
        <v>379</v>
      </c>
      <c r="E682">
        <v>1134</v>
      </c>
      <c r="F682">
        <v>1236</v>
      </c>
      <c r="G682">
        <v>1145</v>
      </c>
      <c r="H682">
        <v>1326</v>
      </c>
    </row>
    <row r="683" spans="1:8">
      <c r="A683">
        <v>2016</v>
      </c>
      <c r="B683">
        <v>4</v>
      </c>
      <c r="C683" s="2">
        <v>42400</v>
      </c>
      <c r="D683" s="1" t="s">
        <v>379</v>
      </c>
      <c r="E683">
        <v>1151</v>
      </c>
      <c r="F683">
        <v>1235</v>
      </c>
      <c r="G683">
        <v>1145</v>
      </c>
      <c r="H683">
        <v>1326</v>
      </c>
    </row>
    <row r="684" spans="1:8">
      <c r="A684">
        <v>2016</v>
      </c>
      <c r="B684">
        <v>5</v>
      </c>
      <c r="C684" s="2">
        <v>42407</v>
      </c>
      <c r="D684" s="1" t="s">
        <v>379</v>
      </c>
      <c r="E684">
        <v>1138</v>
      </c>
      <c r="F684">
        <v>1234</v>
      </c>
      <c r="G684">
        <v>1143</v>
      </c>
      <c r="H684">
        <v>1324</v>
      </c>
    </row>
    <row r="685" spans="1:8">
      <c r="A685">
        <v>2016</v>
      </c>
      <c r="B685">
        <v>6</v>
      </c>
      <c r="C685" s="2">
        <v>42414</v>
      </c>
      <c r="D685" s="1" t="s">
        <v>379</v>
      </c>
      <c r="E685">
        <v>1145</v>
      </c>
      <c r="F685">
        <v>1233</v>
      </c>
      <c r="G685">
        <v>1142</v>
      </c>
      <c r="H685">
        <v>1323</v>
      </c>
    </row>
    <row r="686" spans="1:8">
      <c r="A686">
        <v>2016</v>
      </c>
      <c r="B686">
        <v>7</v>
      </c>
      <c r="C686" s="2">
        <v>42421</v>
      </c>
      <c r="D686" s="1" t="s">
        <v>379</v>
      </c>
      <c r="E686">
        <v>1124</v>
      </c>
      <c r="F686">
        <v>1231</v>
      </c>
      <c r="G686">
        <v>1141</v>
      </c>
      <c r="H686">
        <v>1322</v>
      </c>
    </row>
    <row r="687" spans="1:8">
      <c r="A687">
        <v>2016</v>
      </c>
      <c r="B687">
        <v>8</v>
      </c>
      <c r="C687" s="2">
        <v>42428</v>
      </c>
      <c r="D687" s="1" t="s">
        <v>379</v>
      </c>
      <c r="E687">
        <v>1181</v>
      </c>
      <c r="F687">
        <v>1223</v>
      </c>
      <c r="G687">
        <v>1133</v>
      </c>
      <c r="H687">
        <v>1313</v>
      </c>
    </row>
    <row r="688" spans="1:8">
      <c r="A688">
        <v>2016</v>
      </c>
      <c r="B688">
        <v>9</v>
      </c>
      <c r="C688" s="2">
        <v>42435</v>
      </c>
      <c r="D688" s="1" t="s">
        <v>379</v>
      </c>
      <c r="E688">
        <v>1137</v>
      </c>
      <c r="F688">
        <v>1215</v>
      </c>
      <c r="G688">
        <v>1126</v>
      </c>
      <c r="H688">
        <v>1305</v>
      </c>
    </row>
    <row r="689" spans="1:8">
      <c r="A689">
        <v>2016</v>
      </c>
      <c r="B689">
        <v>10</v>
      </c>
      <c r="C689" s="2">
        <v>42442</v>
      </c>
      <c r="D689" s="1" t="s">
        <v>379</v>
      </c>
      <c r="E689">
        <v>1151</v>
      </c>
      <c r="F689">
        <v>1200</v>
      </c>
      <c r="G689">
        <v>1111</v>
      </c>
      <c r="H689">
        <v>1289</v>
      </c>
    </row>
    <row r="690" spans="1:8">
      <c r="A690">
        <v>2016</v>
      </c>
      <c r="B690">
        <v>11</v>
      </c>
      <c r="C690" s="2">
        <v>42449</v>
      </c>
      <c r="D690" s="1" t="s">
        <v>379</v>
      </c>
      <c r="E690">
        <v>1102</v>
      </c>
      <c r="F690">
        <v>1184</v>
      </c>
      <c r="G690">
        <v>1096</v>
      </c>
      <c r="H690">
        <v>1273</v>
      </c>
    </row>
    <row r="691" spans="1:8">
      <c r="A691">
        <v>2016</v>
      </c>
      <c r="B691">
        <v>12</v>
      </c>
      <c r="C691" s="2">
        <v>42456</v>
      </c>
      <c r="D691" s="1" t="s">
        <v>379</v>
      </c>
      <c r="E691">
        <v>1100</v>
      </c>
      <c r="F691">
        <v>1163</v>
      </c>
      <c r="G691">
        <v>1076</v>
      </c>
      <c r="H691">
        <v>1251</v>
      </c>
    </row>
    <row r="692" spans="1:8">
      <c r="A692">
        <v>2016</v>
      </c>
      <c r="B692">
        <v>13</v>
      </c>
      <c r="C692" s="2">
        <v>42463</v>
      </c>
      <c r="D692" s="1" t="s">
        <v>379</v>
      </c>
      <c r="E692">
        <v>1093</v>
      </c>
      <c r="F692">
        <v>1143</v>
      </c>
      <c r="G692">
        <v>1055</v>
      </c>
      <c r="H692">
        <v>1230</v>
      </c>
    </row>
    <row r="693" spans="1:8">
      <c r="A693">
        <v>2016</v>
      </c>
      <c r="B693">
        <v>14</v>
      </c>
      <c r="C693" s="2">
        <v>42470</v>
      </c>
      <c r="D693" s="1" t="s">
        <v>379</v>
      </c>
      <c r="E693">
        <v>1091</v>
      </c>
      <c r="F693">
        <v>1123</v>
      </c>
      <c r="G693">
        <v>1037</v>
      </c>
      <c r="H693">
        <v>1209</v>
      </c>
    </row>
    <row r="694" spans="1:8">
      <c r="A694">
        <v>2016</v>
      </c>
      <c r="B694">
        <v>15</v>
      </c>
      <c r="C694" s="2">
        <v>42477</v>
      </c>
      <c r="D694" s="1" t="s">
        <v>379</v>
      </c>
      <c r="E694">
        <v>1059</v>
      </c>
      <c r="F694">
        <v>1106</v>
      </c>
      <c r="G694">
        <v>1020</v>
      </c>
      <c r="H694">
        <v>1191</v>
      </c>
    </row>
    <row r="695" spans="1:8">
      <c r="A695">
        <v>2016</v>
      </c>
      <c r="B695">
        <v>16</v>
      </c>
      <c r="C695" s="2">
        <v>42484</v>
      </c>
      <c r="D695" s="1" t="s">
        <v>379</v>
      </c>
      <c r="E695">
        <v>962</v>
      </c>
      <c r="F695">
        <v>1088</v>
      </c>
      <c r="G695">
        <v>1003</v>
      </c>
      <c r="H695">
        <v>1173</v>
      </c>
    </row>
    <row r="696" spans="1:8">
      <c r="A696">
        <v>2016</v>
      </c>
      <c r="B696">
        <v>17</v>
      </c>
      <c r="C696" s="2">
        <v>42491</v>
      </c>
      <c r="D696" s="1" t="s">
        <v>379</v>
      </c>
      <c r="E696">
        <v>1013</v>
      </c>
      <c r="F696">
        <v>1073</v>
      </c>
      <c r="G696">
        <v>988</v>
      </c>
      <c r="H696">
        <v>1157</v>
      </c>
    </row>
    <row r="697" spans="1:8">
      <c r="A697">
        <v>2016</v>
      </c>
      <c r="B697">
        <v>18</v>
      </c>
      <c r="C697" s="2">
        <v>42498</v>
      </c>
      <c r="D697" s="1" t="s">
        <v>379</v>
      </c>
      <c r="E697">
        <v>987</v>
      </c>
      <c r="F697">
        <v>1057</v>
      </c>
      <c r="G697">
        <v>973</v>
      </c>
      <c r="H697">
        <v>1141</v>
      </c>
    </row>
    <row r="698" spans="1:8">
      <c r="A698">
        <v>2016</v>
      </c>
      <c r="B698">
        <v>19</v>
      </c>
      <c r="C698" s="2">
        <v>42505</v>
      </c>
      <c r="D698" s="1" t="s">
        <v>379</v>
      </c>
      <c r="E698">
        <v>964</v>
      </c>
      <c r="F698">
        <v>1045</v>
      </c>
      <c r="G698">
        <v>961</v>
      </c>
      <c r="H698">
        <v>1128</v>
      </c>
    </row>
    <row r="699" spans="1:8">
      <c r="A699">
        <v>2016</v>
      </c>
      <c r="B699">
        <v>20</v>
      </c>
      <c r="C699" s="2">
        <v>42512</v>
      </c>
      <c r="D699" s="1" t="s">
        <v>379</v>
      </c>
      <c r="E699">
        <v>1003</v>
      </c>
      <c r="F699">
        <v>1032</v>
      </c>
      <c r="G699">
        <v>949</v>
      </c>
      <c r="H699">
        <v>1115</v>
      </c>
    </row>
    <row r="700" spans="1:8">
      <c r="A700">
        <v>2016</v>
      </c>
      <c r="B700">
        <v>21</v>
      </c>
      <c r="C700" s="2">
        <v>42519</v>
      </c>
      <c r="D700" s="1" t="s">
        <v>379</v>
      </c>
      <c r="E700">
        <v>1071</v>
      </c>
      <c r="F700">
        <v>1024</v>
      </c>
      <c r="G700">
        <v>941</v>
      </c>
      <c r="H700">
        <v>1106</v>
      </c>
    </row>
    <row r="701" spans="1:8">
      <c r="A701">
        <v>2016</v>
      </c>
      <c r="B701">
        <v>22</v>
      </c>
      <c r="C701" s="2">
        <v>42526</v>
      </c>
      <c r="D701" s="1" t="s">
        <v>379</v>
      </c>
      <c r="E701">
        <v>989</v>
      </c>
      <c r="F701">
        <v>1019</v>
      </c>
      <c r="G701">
        <v>936</v>
      </c>
      <c r="H701">
        <v>1101</v>
      </c>
    </row>
    <row r="702" spans="1:8">
      <c r="A702">
        <v>2016</v>
      </c>
      <c r="B702">
        <v>23</v>
      </c>
      <c r="C702" s="2">
        <v>42533</v>
      </c>
      <c r="D702" s="1" t="s">
        <v>379</v>
      </c>
      <c r="E702">
        <v>928</v>
      </c>
      <c r="F702">
        <v>1013</v>
      </c>
      <c r="G702">
        <v>931</v>
      </c>
      <c r="H702">
        <v>1095</v>
      </c>
    </row>
    <row r="703" spans="1:8">
      <c r="A703">
        <v>2016</v>
      </c>
      <c r="B703">
        <v>24</v>
      </c>
      <c r="C703" s="2">
        <v>42540</v>
      </c>
      <c r="D703" s="1" t="s">
        <v>379</v>
      </c>
      <c r="E703">
        <v>929</v>
      </c>
      <c r="F703">
        <v>1011</v>
      </c>
      <c r="G703">
        <v>929</v>
      </c>
      <c r="H703">
        <v>1093</v>
      </c>
    </row>
    <row r="704" spans="1:8">
      <c r="A704">
        <v>2016</v>
      </c>
      <c r="B704">
        <v>25</v>
      </c>
      <c r="C704" s="2">
        <v>42547</v>
      </c>
      <c r="D704" s="1" t="s">
        <v>379</v>
      </c>
      <c r="E704">
        <v>1057</v>
      </c>
      <c r="F704">
        <v>1012</v>
      </c>
      <c r="G704">
        <v>930</v>
      </c>
      <c r="H704">
        <v>1094</v>
      </c>
    </row>
    <row r="705" spans="1:8">
      <c r="A705">
        <v>2016</v>
      </c>
      <c r="B705">
        <v>26</v>
      </c>
      <c r="C705" s="2">
        <v>42554</v>
      </c>
      <c r="D705" s="1" t="s">
        <v>379</v>
      </c>
      <c r="E705">
        <v>990</v>
      </c>
      <c r="F705">
        <v>1012</v>
      </c>
      <c r="G705">
        <v>930</v>
      </c>
      <c r="H705">
        <v>1094</v>
      </c>
    </row>
    <row r="706" spans="1:8">
      <c r="A706">
        <v>2016</v>
      </c>
      <c r="B706">
        <v>27</v>
      </c>
      <c r="C706" s="2">
        <v>42561</v>
      </c>
      <c r="D706" s="1" t="s">
        <v>379</v>
      </c>
      <c r="E706">
        <v>928</v>
      </c>
      <c r="F706">
        <v>1015</v>
      </c>
      <c r="G706">
        <v>932</v>
      </c>
      <c r="H706">
        <v>1097</v>
      </c>
    </row>
    <row r="707" spans="1:8">
      <c r="A707">
        <v>2016</v>
      </c>
      <c r="B707">
        <v>28</v>
      </c>
      <c r="C707" s="2">
        <v>42568</v>
      </c>
      <c r="D707" s="1" t="s">
        <v>379</v>
      </c>
      <c r="E707">
        <v>985</v>
      </c>
      <c r="F707">
        <v>1014</v>
      </c>
      <c r="G707">
        <v>932</v>
      </c>
      <c r="H707">
        <v>1096</v>
      </c>
    </row>
    <row r="708" spans="1:8">
      <c r="A708">
        <v>2016</v>
      </c>
      <c r="B708">
        <v>29</v>
      </c>
      <c r="C708" s="2">
        <v>42575</v>
      </c>
      <c r="D708" s="1" t="s">
        <v>379</v>
      </c>
      <c r="E708">
        <v>1053</v>
      </c>
      <c r="F708">
        <v>1013</v>
      </c>
      <c r="G708">
        <v>931</v>
      </c>
      <c r="H708">
        <v>1095</v>
      </c>
    </row>
    <row r="709" spans="1:8">
      <c r="A709">
        <v>2016</v>
      </c>
      <c r="B709">
        <v>30</v>
      </c>
      <c r="C709" s="2">
        <v>42582</v>
      </c>
      <c r="D709" s="1" t="s">
        <v>379</v>
      </c>
      <c r="E709">
        <v>999</v>
      </c>
      <c r="F709">
        <v>1014</v>
      </c>
      <c r="G709">
        <v>932</v>
      </c>
      <c r="H709">
        <v>1096</v>
      </c>
    </row>
    <row r="710" spans="1:8">
      <c r="A710">
        <v>2016</v>
      </c>
      <c r="B710">
        <v>31</v>
      </c>
      <c r="C710" s="2">
        <v>42589</v>
      </c>
      <c r="D710" s="1" t="s">
        <v>379</v>
      </c>
      <c r="E710">
        <v>902</v>
      </c>
      <c r="F710">
        <v>1014</v>
      </c>
      <c r="G710">
        <v>932</v>
      </c>
      <c r="H710">
        <v>1096</v>
      </c>
    </row>
    <row r="711" spans="1:8">
      <c r="A711">
        <v>2016</v>
      </c>
      <c r="B711">
        <v>32</v>
      </c>
      <c r="C711" s="2">
        <v>42596</v>
      </c>
      <c r="D711" s="1" t="s">
        <v>379</v>
      </c>
      <c r="E711">
        <v>959</v>
      </c>
      <c r="F711">
        <v>1015</v>
      </c>
      <c r="G711">
        <v>933</v>
      </c>
      <c r="H711">
        <v>1097</v>
      </c>
    </row>
    <row r="712" spans="1:8">
      <c r="A712">
        <v>2016</v>
      </c>
      <c r="B712">
        <v>33</v>
      </c>
      <c r="C712" s="2">
        <v>42603</v>
      </c>
      <c r="D712" s="1" t="s">
        <v>379</v>
      </c>
      <c r="E712">
        <v>1006</v>
      </c>
      <c r="F712">
        <v>1016</v>
      </c>
      <c r="G712">
        <v>934</v>
      </c>
      <c r="H712">
        <v>1098</v>
      </c>
    </row>
    <row r="713" spans="1:8">
      <c r="A713">
        <v>2016</v>
      </c>
      <c r="B713">
        <v>34</v>
      </c>
      <c r="C713" s="2">
        <v>42610</v>
      </c>
      <c r="D713" s="1" t="s">
        <v>379</v>
      </c>
      <c r="E713">
        <v>979</v>
      </c>
      <c r="F713">
        <v>1018</v>
      </c>
      <c r="G713">
        <v>936</v>
      </c>
      <c r="H713">
        <v>1100</v>
      </c>
    </row>
    <row r="714" spans="1:8">
      <c r="A714">
        <v>2016</v>
      </c>
      <c r="B714">
        <v>35</v>
      </c>
      <c r="C714" s="2">
        <v>42617</v>
      </c>
      <c r="D714" s="1" t="s">
        <v>379</v>
      </c>
      <c r="E714">
        <v>958</v>
      </c>
      <c r="F714">
        <v>1022</v>
      </c>
      <c r="G714">
        <v>940</v>
      </c>
      <c r="H714">
        <v>1104</v>
      </c>
    </row>
    <row r="715" spans="1:8">
      <c r="A715">
        <v>2016</v>
      </c>
      <c r="B715">
        <v>36</v>
      </c>
      <c r="C715" s="2">
        <v>42624</v>
      </c>
      <c r="D715" s="1" t="s">
        <v>379</v>
      </c>
      <c r="E715">
        <v>987</v>
      </c>
      <c r="F715">
        <v>1027</v>
      </c>
      <c r="G715">
        <v>944</v>
      </c>
      <c r="H715">
        <v>1109</v>
      </c>
    </row>
    <row r="716" spans="1:8">
      <c r="A716">
        <v>2016</v>
      </c>
      <c r="B716">
        <v>37</v>
      </c>
      <c r="C716" s="2">
        <v>42631</v>
      </c>
      <c r="D716" s="1" t="s">
        <v>379</v>
      </c>
      <c r="E716">
        <v>943</v>
      </c>
      <c r="F716">
        <v>1034</v>
      </c>
      <c r="G716">
        <v>951</v>
      </c>
      <c r="H716">
        <v>1117</v>
      </c>
    </row>
    <row r="717" spans="1:8">
      <c r="A717">
        <v>2016</v>
      </c>
      <c r="B717">
        <v>38</v>
      </c>
      <c r="C717" s="2">
        <v>42638</v>
      </c>
      <c r="D717" s="1" t="s">
        <v>379</v>
      </c>
      <c r="E717">
        <v>998</v>
      </c>
      <c r="F717">
        <v>1042</v>
      </c>
      <c r="G717">
        <v>959</v>
      </c>
      <c r="H717">
        <v>1125</v>
      </c>
    </row>
    <row r="718" spans="1:8">
      <c r="A718">
        <v>2016</v>
      </c>
      <c r="B718">
        <v>39</v>
      </c>
      <c r="C718" s="2">
        <v>42645</v>
      </c>
      <c r="D718" s="1" t="s">
        <v>379</v>
      </c>
      <c r="E718">
        <v>1024</v>
      </c>
      <c r="F718">
        <v>1051</v>
      </c>
      <c r="G718">
        <v>967</v>
      </c>
      <c r="H718">
        <v>1134</v>
      </c>
    </row>
    <row r="719" spans="1:8">
      <c r="A719">
        <v>2016</v>
      </c>
      <c r="B719">
        <v>40</v>
      </c>
      <c r="C719" s="2">
        <v>42652</v>
      </c>
      <c r="D719" s="1" t="s">
        <v>379</v>
      </c>
      <c r="E719">
        <v>1082</v>
      </c>
      <c r="F719">
        <v>1060</v>
      </c>
      <c r="G719">
        <v>976</v>
      </c>
      <c r="H719">
        <v>1144</v>
      </c>
    </row>
    <row r="720" spans="1:8">
      <c r="A720">
        <v>2016</v>
      </c>
      <c r="B720">
        <v>41</v>
      </c>
      <c r="C720" s="2">
        <v>42659</v>
      </c>
      <c r="D720" s="1" t="s">
        <v>379</v>
      </c>
      <c r="E720">
        <v>1085</v>
      </c>
      <c r="F720">
        <v>1069</v>
      </c>
      <c r="G720">
        <v>985</v>
      </c>
      <c r="H720">
        <v>1153</v>
      </c>
    </row>
    <row r="721" spans="1:9">
      <c r="A721">
        <v>2016</v>
      </c>
      <c r="B721">
        <v>42</v>
      </c>
      <c r="C721" s="2">
        <v>42666</v>
      </c>
      <c r="D721" s="1" t="s">
        <v>379</v>
      </c>
      <c r="E721">
        <v>1109</v>
      </c>
      <c r="F721">
        <v>1078</v>
      </c>
      <c r="G721">
        <v>993</v>
      </c>
      <c r="H721">
        <v>1162</v>
      </c>
    </row>
    <row r="722" spans="1:9">
      <c r="A722">
        <v>2016</v>
      </c>
      <c r="B722">
        <v>43</v>
      </c>
      <c r="C722" s="2">
        <v>42673</v>
      </c>
      <c r="D722" s="1" t="s">
        <v>379</v>
      </c>
      <c r="E722">
        <v>1054</v>
      </c>
      <c r="F722">
        <v>1088</v>
      </c>
      <c r="G722">
        <v>1003</v>
      </c>
      <c r="H722">
        <v>1173</v>
      </c>
    </row>
    <row r="723" spans="1:9">
      <c r="A723">
        <v>2016</v>
      </c>
      <c r="B723">
        <v>44</v>
      </c>
      <c r="C723" s="2">
        <v>42680</v>
      </c>
      <c r="D723" s="1" t="s">
        <v>379</v>
      </c>
      <c r="E723">
        <v>1124</v>
      </c>
      <c r="F723">
        <v>1098</v>
      </c>
      <c r="G723">
        <v>1012</v>
      </c>
      <c r="H723">
        <v>1183</v>
      </c>
    </row>
    <row r="724" spans="1:9">
      <c r="A724">
        <v>2016</v>
      </c>
      <c r="B724">
        <v>45</v>
      </c>
      <c r="C724" s="2">
        <v>42687</v>
      </c>
      <c r="D724" s="1" t="s">
        <v>379</v>
      </c>
      <c r="E724">
        <v>1108</v>
      </c>
      <c r="F724">
        <v>1109</v>
      </c>
      <c r="G724">
        <v>1023</v>
      </c>
      <c r="H724">
        <v>1195</v>
      </c>
    </row>
    <row r="725" spans="1:9">
      <c r="A725">
        <v>2016</v>
      </c>
      <c r="B725">
        <v>46</v>
      </c>
      <c r="C725" s="2">
        <v>42694</v>
      </c>
      <c r="D725" s="1" t="s">
        <v>379</v>
      </c>
      <c r="E725">
        <v>1176</v>
      </c>
      <c r="F725">
        <v>1121</v>
      </c>
      <c r="G725">
        <v>1034</v>
      </c>
      <c r="H725">
        <v>1207</v>
      </c>
    </row>
    <row r="726" spans="1:9">
      <c r="A726">
        <v>2016</v>
      </c>
      <c r="B726">
        <v>47</v>
      </c>
      <c r="C726" s="2">
        <v>42701</v>
      </c>
      <c r="D726" s="1" t="s">
        <v>379</v>
      </c>
      <c r="E726">
        <v>1050</v>
      </c>
      <c r="F726">
        <v>1133</v>
      </c>
      <c r="G726">
        <v>1046</v>
      </c>
      <c r="H726">
        <v>1219</v>
      </c>
    </row>
    <row r="727" spans="1:9">
      <c r="A727">
        <v>2016</v>
      </c>
      <c r="B727">
        <v>48</v>
      </c>
      <c r="C727" s="2">
        <v>42708</v>
      </c>
      <c r="D727" s="1" t="s">
        <v>379</v>
      </c>
      <c r="E727">
        <v>1144</v>
      </c>
      <c r="F727">
        <v>1146</v>
      </c>
      <c r="G727">
        <v>1059</v>
      </c>
      <c r="H727">
        <v>1233</v>
      </c>
    </row>
    <row r="728" spans="1:9">
      <c r="A728">
        <v>2016</v>
      </c>
      <c r="B728">
        <v>49</v>
      </c>
      <c r="C728" s="2">
        <v>42715</v>
      </c>
      <c r="D728" s="1" t="s">
        <v>379</v>
      </c>
      <c r="E728">
        <v>1125</v>
      </c>
      <c r="F728">
        <v>1159</v>
      </c>
      <c r="G728">
        <v>1071</v>
      </c>
      <c r="H728">
        <v>1247</v>
      </c>
    </row>
    <row r="729" spans="1:9">
      <c r="A729">
        <v>2016</v>
      </c>
      <c r="B729">
        <v>50</v>
      </c>
      <c r="C729" s="2">
        <v>42722</v>
      </c>
      <c r="D729" s="1" t="s">
        <v>379</v>
      </c>
      <c r="E729">
        <v>1129</v>
      </c>
      <c r="F729">
        <v>1172</v>
      </c>
      <c r="G729">
        <v>1084</v>
      </c>
      <c r="H729">
        <v>1261</v>
      </c>
    </row>
    <row r="730" spans="1:9">
      <c r="A730">
        <v>2016</v>
      </c>
      <c r="B730">
        <v>51</v>
      </c>
      <c r="C730" s="2">
        <v>42729</v>
      </c>
      <c r="D730" s="1" t="s">
        <v>379</v>
      </c>
      <c r="E730">
        <v>1247</v>
      </c>
      <c r="F730">
        <v>1186</v>
      </c>
      <c r="G730">
        <v>1097</v>
      </c>
      <c r="H730">
        <v>1274</v>
      </c>
    </row>
    <row r="731" spans="1:9">
      <c r="A731">
        <v>2016</v>
      </c>
      <c r="B731">
        <v>52</v>
      </c>
      <c r="C731" s="2">
        <v>42736</v>
      </c>
      <c r="D731" s="1" t="s">
        <v>379</v>
      </c>
      <c r="E731">
        <v>1404</v>
      </c>
      <c r="F731">
        <v>1199</v>
      </c>
      <c r="G731">
        <v>1110</v>
      </c>
      <c r="H731">
        <v>1288</v>
      </c>
      <c r="I731">
        <v>1404</v>
      </c>
    </row>
    <row r="732" spans="1:9">
      <c r="A732">
        <v>2017</v>
      </c>
      <c r="B732">
        <v>1</v>
      </c>
      <c r="C732" s="2">
        <v>42743</v>
      </c>
      <c r="D732" s="1" t="s">
        <v>378</v>
      </c>
      <c r="E732">
        <v>170</v>
      </c>
      <c r="F732">
        <v>176</v>
      </c>
      <c r="G732">
        <v>142</v>
      </c>
      <c r="H732">
        <v>210</v>
      </c>
    </row>
    <row r="733" spans="1:9">
      <c r="A733">
        <v>2017</v>
      </c>
      <c r="B733">
        <v>2</v>
      </c>
      <c r="C733" s="2">
        <v>42750</v>
      </c>
      <c r="D733" s="1" t="s">
        <v>378</v>
      </c>
      <c r="E733">
        <v>181</v>
      </c>
      <c r="F733">
        <v>176</v>
      </c>
      <c r="G733">
        <v>142</v>
      </c>
      <c r="H733">
        <v>210</v>
      </c>
    </row>
    <row r="734" spans="1:9">
      <c r="A734">
        <v>2017</v>
      </c>
      <c r="B734">
        <v>3</v>
      </c>
      <c r="C734" s="2">
        <v>42757</v>
      </c>
      <c r="D734" s="1" t="s">
        <v>378</v>
      </c>
      <c r="E734">
        <v>189</v>
      </c>
      <c r="F734">
        <v>176</v>
      </c>
      <c r="G734">
        <v>142</v>
      </c>
      <c r="H734">
        <v>211</v>
      </c>
    </row>
    <row r="735" spans="1:9">
      <c r="A735">
        <v>2017</v>
      </c>
      <c r="B735">
        <v>4</v>
      </c>
      <c r="C735" s="2">
        <v>42764</v>
      </c>
      <c r="D735" s="1" t="s">
        <v>378</v>
      </c>
      <c r="E735">
        <v>170</v>
      </c>
      <c r="F735">
        <v>177</v>
      </c>
      <c r="G735">
        <v>142</v>
      </c>
      <c r="H735">
        <v>211</v>
      </c>
    </row>
    <row r="736" spans="1:9">
      <c r="A736">
        <v>2017</v>
      </c>
      <c r="B736">
        <v>5</v>
      </c>
      <c r="C736" s="2">
        <v>42771</v>
      </c>
      <c r="D736" s="1" t="s">
        <v>378</v>
      </c>
      <c r="E736">
        <v>181</v>
      </c>
      <c r="F736">
        <v>177</v>
      </c>
      <c r="G736">
        <v>142</v>
      </c>
      <c r="H736">
        <v>211</v>
      </c>
    </row>
    <row r="737" spans="1:8">
      <c r="A737">
        <v>2017</v>
      </c>
      <c r="B737">
        <v>6</v>
      </c>
      <c r="C737" s="2">
        <v>42778</v>
      </c>
      <c r="D737" s="1" t="s">
        <v>378</v>
      </c>
      <c r="E737">
        <v>180</v>
      </c>
      <c r="F737">
        <v>177</v>
      </c>
      <c r="G737">
        <v>142</v>
      </c>
      <c r="H737">
        <v>211</v>
      </c>
    </row>
    <row r="738" spans="1:8">
      <c r="A738">
        <v>2017</v>
      </c>
      <c r="B738">
        <v>7</v>
      </c>
      <c r="C738" s="2">
        <v>42785</v>
      </c>
      <c r="D738" s="1" t="s">
        <v>378</v>
      </c>
      <c r="E738">
        <v>174</v>
      </c>
      <c r="F738">
        <v>176</v>
      </c>
      <c r="G738">
        <v>142</v>
      </c>
      <c r="H738">
        <v>211</v>
      </c>
    </row>
    <row r="739" spans="1:8">
      <c r="A739">
        <v>2017</v>
      </c>
      <c r="B739">
        <v>8</v>
      </c>
      <c r="C739" s="2">
        <v>42792</v>
      </c>
      <c r="D739" s="1" t="s">
        <v>378</v>
      </c>
      <c r="E739">
        <v>176</v>
      </c>
      <c r="F739">
        <v>176</v>
      </c>
      <c r="G739">
        <v>142</v>
      </c>
      <c r="H739">
        <v>210</v>
      </c>
    </row>
    <row r="740" spans="1:8">
      <c r="A740">
        <v>2017</v>
      </c>
      <c r="B740">
        <v>9</v>
      </c>
      <c r="C740" s="2">
        <v>42799</v>
      </c>
      <c r="D740" s="1" t="s">
        <v>378</v>
      </c>
      <c r="E740">
        <v>171</v>
      </c>
      <c r="F740">
        <v>175</v>
      </c>
      <c r="G740">
        <v>141</v>
      </c>
      <c r="H740">
        <v>210</v>
      </c>
    </row>
    <row r="741" spans="1:8">
      <c r="A741">
        <v>2017</v>
      </c>
      <c r="B741">
        <v>10</v>
      </c>
      <c r="C741" s="2">
        <v>42806</v>
      </c>
      <c r="D741" s="1" t="s">
        <v>378</v>
      </c>
      <c r="E741">
        <v>194</v>
      </c>
      <c r="F741">
        <v>174</v>
      </c>
      <c r="G741">
        <v>140</v>
      </c>
      <c r="H741">
        <v>208</v>
      </c>
    </row>
    <row r="742" spans="1:8">
      <c r="A742">
        <v>2017</v>
      </c>
      <c r="B742">
        <v>11</v>
      </c>
      <c r="C742" s="2">
        <v>42813</v>
      </c>
      <c r="D742" s="1" t="s">
        <v>378</v>
      </c>
      <c r="E742">
        <v>169</v>
      </c>
      <c r="F742">
        <v>172</v>
      </c>
      <c r="G742">
        <v>139</v>
      </c>
      <c r="H742">
        <v>206</v>
      </c>
    </row>
    <row r="743" spans="1:8">
      <c r="A743">
        <v>2017</v>
      </c>
      <c r="B743">
        <v>12</v>
      </c>
      <c r="C743" s="2">
        <v>42820</v>
      </c>
      <c r="D743" s="1" t="s">
        <v>378</v>
      </c>
      <c r="E743">
        <v>174</v>
      </c>
      <c r="F743">
        <v>171</v>
      </c>
      <c r="G743">
        <v>137</v>
      </c>
      <c r="H743">
        <v>204</v>
      </c>
    </row>
    <row r="744" spans="1:8">
      <c r="A744">
        <v>2017</v>
      </c>
      <c r="B744">
        <v>13</v>
      </c>
      <c r="C744" s="2">
        <v>42827</v>
      </c>
      <c r="D744" s="1" t="s">
        <v>378</v>
      </c>
      <c r="E744">
        <v>169</v>
      </c>
      <c r="F744">
        <v>169</v>
      </c>
      <c r="G744">
        <v>135</v>
      </c>
      <c r="H744">
        <v>202</v>
      </c>
    </row>
    <row r="745" spans="1:8">
      <c r="A745">
        <v>2017</v>
      </c>
      <c r="B745">
        <v>14</v>
      </c>
      <c r="C745" s="2">
        <v>42834</v>
      </c>
      <c r="D745" s="1" t="s">
        <v>378</v>
      </c>
      <c r="E745">
        <v>169</v>
      </c>
      <c r="F745">
        <v>167</v>
      </c>
      <c r="G745">
        <v>134</v>
      </c>
      <c r="H745">
        <v>200</v>
      </c>
    </row>
    <row r="746" spans="1:8">
      <c r="A746">
        <v>2017</v>
      </c>
      <c r="B746">
        <v>15</v>
      </c>
      <c r="C746" s="2">
        <v>42841</v>
      </c>
      <c r="D746" s="1" t="s">
        <v>378</v>
      </c>
      <c r="E746">
        <v>163</v>
      </c>
      <c r="F746">
        <v>166</v>
      </c>
      <c r="G746">
        <v>133</v>
      </c>
      <c r="H746">
        <v>199</v>
      </c>
    </row>
    <row r="747" spans="1:8">
      <c r="A747">
        <v>2017</v>
      </c>
      <c r="B747">
        <v>16</v>
      </c>
      <c r="C747" s="2">
        <v>42848</v>
      </c>
      <c r="D747" s="1" t="s">
        <v>378</v>
      </c>
      <c r="E747">
        <v>159</v>
      </c>
      <c r="F747">
        <v>165</v>
      </c>
      <c r="G747">
        <v>132</v>
      </c>
      <c r="H747">
        <v>198</v>
      </c>
    </row>
    <row r="748" spans="1:8">
      <c r="A748">
        <v>2017</v>
      </c>
      <c r="B748">
        <v>17</v>
      </c>
      <c r="C748" s="2">
        <v>42855</v>
      </c>
      <c r="D748" s="1" t="s">
        <v>378</v>
      </c>
      <c r="E748">
        <v>159</v>
      </c>
      <c r="F748">
        <v>164</v>
      </c>
      <c r="G748">
        <v>131</v>
      </c>
      <c r="H748">
        <v>197</v>
      </c>
    </row>
    <row r="749" spans="1:8">
      <c r="A749">
        <v>2017</v>
      </c>
      <c r="B749">
        <v>18</v>
      </c>
      <c r="C749" s="2">
        <v>42862</v>
      </c>
      <c r="D749" s="1" t="s">
        <v>378</v>
      </c>
      <c r="E749">
        <v>162</v>
      </c>
      <c r="F749">
        <v>163</v>
      </c>
      <c r="G749">
        <v>130</v>
      </c>
      <c r="H749">
        <v>196</v>
      </c>
    </row>
    <row r="750" spans="1:8">
      <c r="A750">
        <v>2017</v>
      </c>
      <c r="B750">
        <v>19</v>
      </c>
      <c r="C750" s="2">
        <v>42869</v>
      </c>
      <c r="D750" s="1" t="s">
        <v>378</v>
      </c>
      <c r="E750">
        <v>164</v>
      </c>
      <c r="F750">
        <v>162</v>
      </c>
      <c r="G750">
        <v>130</v>
      </c>
      <c r="H750">
        <v>195</v>
      </c>
    </row>
    <row r="751" spans="1:8">
      <c r="A751">
        <v>2017</v>
      </c>
      <c r="B751">
        <v>20</v>
      </c>
      <c r="C751" s="2">
        <v>42876</v>
      </c>
      <c r="D751" s="1" t="s">
        <v>378</v>
      </c>
      <c r="E751">
        <v>169</v>
      </c>
      <c r="F751">
        <v>162</v>
      </c>
      <c r="G751">
        <v>129</v>
      </c>
      <c r="H751">
        <v>195</v>
      </c>
    </row>
    <row r="752" spans="1:8">
      <c r="A752">
        <v>2017</v>
      </c>
      <c r="B752">
        <v>21</v>
      </c>
      <c r="C752" s="2">
        <v>42883</v>
      </c>
      <c r="D752" s="1" t="s">
        <v>378</v>
      </c>
      <c r="E752">
        <v>159</v>
      </c>
      <c r="F752">
        <v>162</v>
      </c>
      <c r="G752">
        <v>129</v>
      </c>
      <c r="H752">
        <v>194</v>
      </c>
    </row>
    <row r="753" spans="1:9">
      <c r="A753">
        <v>2017</v>
      </c>
      <c r="B753">
        <v>22</v>
      </c>
      <c r="C753" s="2">
        <v>42890</v>
      </c>
      <c r="D753" s="1" t="s">
        <v>378</v>
      </c>
      <c r="E753">
        <v>159</v>
      </c>
      <c r="F753">
        <v>162</v>
      </c>
      <c r="G753">
        <v>129</v>
      </c>
      <c r="H753">
        <v>194</v>
      </c>
    </row>
    <row r="754" spans="1:9">
      <c r="A754">
        <v>2017</v>
      </c>
      <c r="B754">
        <v>23</v>
      </c>
      <c r="C754" s="2">
        <v>42897</v>
      </c>
      <c r="D754" s="1" t="s">
        <v>378</v>
      </c>
      <c r="E754">
        <v>175</v>
      </c>
      <c r="F754">
        <v>162</v>
      </c>
      <c r="G754">
        <v>129</v>
      </c>
      <c r="H754">
        <v>194</v>
      </c>
    </row>
    <row r="755" spans="1:9">
      <c r="A755">
        <v>2017</v>
      </c>
      <c r="B755">
        <v>24</v>
      </c>
      <c r="C755" s="2">
        <v>42904</v>
      </c>
      <c r="D755" s="1" t="s">
        <v>378</v>
      </c>
      <c r="E755">
        <v>149</v>
      </c>
      <c r="F755">
        <v>162</v>
      </c>
      <c r="G755">
        <v>129</v>
      </c>
      <c r="H755">
        <v>194</v>
      </c>
    </row>
    <row r="756" spans="1:9">
      <c r="A756">
        <v>2017</v>
      </c>
      <c r="B756">
        <v>25</v>
      </c>
      <c r="C756" s="2">
        <v>42911</v>
      </c>
      <c r="D756" s="1" t="s">
        <v>378</v>
      </c>
      <c r="E756">
        <v>154</v>
      </c>
      <c r="F756">
        <v>161</v>
      </c>
      <c r="G756">
        <v>129</v>
      </c>
      <c r="H756">
        <v>194</v>
      </c>
    </row>
    <row r="757" spans="1:9">
      <c r="A757">
        <v>2017</v>
      </c>
      <c r="B757">
        <v>26</v>
      </c>
      <c r="C757" s="2">
        <v>42918</v>
      </c>
      <c r="D757" s="1" t="s">
        <v>378</v>
      </c>
      <c r="E757">
        <v>166</v>
      </c>
      <c r="F757">
        <v>161</v>
      </c>
      <c r="G757">
        <v>128</v>
      </c>
      <c r="H757">
        <v>194</v>
      </c>
    </row>
    <row r="758" spans="1:9">
      <c r="A758">
        <v>2017</v>
      </c>
      <c r="B758">
        <v>27</v>
      </c>
      <c r="C758" s="2">
        <v>42925</v>
      </c>
      <c r="D758" s="1" t="s">
        <v>378</v>
      </c>
      <c r="E758">
        <v>146</v>
      </c>
      <c r="F758">
        <v>161</v>
      </c>
      <c r="G758">
        <v>128</v>
      </c>
      <c r="H758">
        <v>194</v>
      </c>
    </row>
    <row r="759" spans="1:9">
      <c r="A759">
        <v>2017</v>
      </c>
      <c r="B759">
        <v>28</v>
      </c>
      <c r="C759" s="2">
        <v>42932</v>
      </c>
      <c r="D759" s="1" t="s">
        <v>378</v>
      </c>
      <c r="E759">
        <v>150</v>
      </c>
      <c r="F759">
        <v>161</v>
      </c>
      <c r="G759">
        <v>128</v>
      </c>
      <c r="H759">
        <v>194</v>
      </c>
    </row>
    <row r="760" spans="1:9">
      <c r="A760">
        <v>2017</v>
      </c>
      <c r="B760">
        <v>29</v>
      </c>
      <c r="C760" s="2">
        <v>42939</v>
      </c>
      <c r="D760" s="1" t="s">
        <v>378</v>
      </c>
      <c r="E760">
        <v>167</v>
      </c>
      <c r="F760">
        <v>161</v>
      </c>
      <c r="G760">
        <v>128</v>
      </c>
      <c r="H760">
        <v>194</v>
      </c>
    </row>
    <row r="761" spans="1:9">
      <c r="A761">
        <v>2017</v>
      </c>
      <c r="B761">
        <v>30</v>
      </c>
      <c r="C761" s="2">
        <v>42946</v>
      </c>
      <c r="D761" s="1" t="s">
        <v>378</v>
      </c>
      <c r="E761">
        <v>153</v>
      </c>
      <c r="F761">
        <v>161</v>
      </c>
      <c r="G761">
        <v>128</v>
      </c>
      <c r="H761">
        <v>193</v>
      </c>
    </row>
    <row r="762" spans="1:9">
      <c r="A762">
        <v>2017</v>
      </c>
      <c r="B762">
        <v>31</v>
      </c>
      <c r="C762" s="2">
        <v>42953</v>
      </c>
      <c r="D762" s="1" t="s">
        <v>378</v>
      </c>
      <c r="E762">
        <v>170</v>
      </c>
      <c r="F762">
        <v>161</v>
      </c>
      <c r="G762">
        <v>128</v>
      </c>
      <c r="H762">
        <v>193</v>
      </c>
    </row>
    <row r="763" spans="1:9">
      <c r="A763">
        <v>2017</v>
      </c>
      <c r="B763">
        <v>32</v>
      </c>
      <c r="C763" s="2">
        <v>42960</v>
      </c>
      <c r="D763" s="1" t="s">
        <v>378</v>
      </c>
      <c r="E763">
        <v>141</v>
      </c>
      <c r="F763">
        <v>161</v>
      </c>
      <c r="G763">
        <v>128</v>
      </c>
      <c r="H763">
        <v>193</v>
      </c>
    </row>
    <row r="764" spans="1:9">
      <c r="A764">
        <v>2017</v>
      </c>
      <c r="B764">
        <v>33</v>
      </c>
      <c r="C764" s="2">
        <v>42967</v>
      </c>
      <c r="D764" s="1" t="s">
        <v>378</v>
      </c>
      <c r="E764">
        <v>139</v>
      </c>
      <c r="F764">
        <v>161</v>
      </c>
      <c r="G764">
        <v>128</v>
      </c>
      <c r="H764">
        <v>193</v>
      </c>
    </row>
    <row r="765" spans="1:9">
      <c r="A765">
        <v>2017</v>
      </c>
      <c r="B765">
        <v>34</v>
      </c>
      <c r="C765" s="2">
        <v>42974</v>
      </c>
      <c r="D765" s="1" t="s">
        <v>378</v>
      </c>
      <c r="E765">
        <v>201</v>
      </c>
      <c r="F765">
        <v>161</v>
      </c>
      <c r="G765">
        <v>128</v>
      </c>
      <c r="H765">
        <v>194</v>
      </c>
      <c r="I765">
        <v>201</v>
      </c>
    </row>
    <row r="766" spans="1:9">
      <c r="A766">
        <v>2017</v>
      </c>
      <c r="B766">
        <v>35</v>
      </c>
      <c r="C766" s="2">
        <v>42981</v>
      </c>
      <c r="D766" s="1" t="s">
        <v>378</v>
      </c>
      <c r="E766">
        <v>166</v>
      </c>
      <c r="F766">
        <v>161</v>
      </c>
      <c r="G766">
        <v>129</v>
      </c>
      <c r="H766">
        <v>194</v>
      </c>
    </row>
    <row r="767" spans="1:9">
      <c r="A767">
        <v>2017</v>
      </c>
      <c r="B767">
        <v>36</v>
      </c>
      <c r="C767" s="2">
        <v>42988</v>
      </c>
      <c r="D767" s="1" t="s">
        <v>378</v>
      </c>
      <c r="E767">
        <v>177</v>
      </c>
      <c r="F767">
        <v>162</v>
      </c>
      <c r="G767">
        <v>129</v>
      </c>
      <c r="H767">
        <v>195</v>
      </c>
    </row>
    <row r="768" spans="1:9">
      <c r="A768">
        <v>2017</v>
      </c>
      <c r="B768">
        <v>37</v>
      </c>
      <c r="C768" s="2">
        <v>42995</v>
      </c>
      <c r="D768" s="1" t="s">
        <v>378</v>
      </c>
      <c r="E768">
        <v>184</v>
      </c>
      <c r="F768">
        <v>162</v>
      </c>
      <c r="G768">
        <v>129</v>
      </c>
      <c r="H768">
        <v>195</v>
      </c>
    </row>
    <row r="769" spans="1:9">
      <c r="A769">
        <v>2017</v>
      </c>
      <c r="B769">
        <v>38</v>
      </c>
      <c r="C769" s="2">
        <v>43002</v>
      </c>
      <c r="D769" s="1" t="s">
        <v>378</v>
      </c>
      <c r="E769">
        <v>186</v>
      </c>
      <c r="F769">
        <v>163</v>
      </c>
      <c r="G769">
        <v>130</v>
      </c>
      <c r="H769">
        <v>195</v>
      </c>
    </row>
    <row r="770" spans="1:9">
      <c r="A770">
        <v>2017</v>
      </c>
      <c r="B770">
        <v>39</v>
      </c>
      <c r="C770" s="2">
        <v>43009</v>
      </c>
      <c r="D770" s="1" t="s">
        <v>378</v>
      </c>
      <c r="E770">
        <v>166</v>
      </c>
      <c r="F770">
        <v>163</v>
      </c>
      <c r="G770">
        <v>130</v>
      </c>
      <c r="H770">
        <v>196</v>
      </c>
    </row>
    <row r="771" spans="1:9">
      <c r="A771">
        <v>2017</v>
      </c>
      <c r="B771">
        <v>40</v>
      </c>
      <c r="C771" s="2">
        <v>43016</v>
      </c>
      <c r="D771" s="1" t="s">
        <v>378</v>
      </c>
      <c r="E771">
        <v>171</v>
      </c>
      <c r="F771">
        <v>163</v>
      </c>
      <c r="G771">
        <v>130</v>
      </c>
      <c r="H771">
        <v>196</v>
      </c>
    </row>
    <row r="772" spans="1:9">
      <c r="A772">
        <v>2017</v>
      </c>
      <c r="B772">
        <v>41</v>
      </c>
      <c r="C772" s="2">
        <v>43023</v>
      </c>
      <c r="D772" s="1" t="s">
        <v>378</v>
      </c>
      <c r="E772">
        <v>170</v>
      </c>
      <c r="F772">
        <v>163</v>
      </c>
      <c r="G772">
        <v>130</v>
      </c>
      <c r="H772">
        <v>196</v>
      </c>
    </row>
    <row r="773" spans="1:9">
      <c r="A773">
        <v>2017</v>
      </c>
      <c r="B773">
        <v>42</v>
      </c>
      <c r="C773" s="2">
        <v>43030</v>
      </c>
      <c r="D773" s="1" t="s">
        <v>378</v>
      </c>
      <c r="E773">
        <v>165</v>
      </c>
      <c r="F773">
        <v>164</v>
      </c>
      <c r="G773">
        <v>131</v>
      </c>
      <c r="H773">
        <v>196</v>
      </c>
    </row>
    <row r="774" spans="1:9">
      <c r="A774">
        <v>2017</v>
      </c>
      <c r="B774">
        <v>43</v>
      </c>
      <c r="C774" s="2">
        <v>43037</v>
      </c>
      <c r="D774" s="1" t="s">
        <v>378</v>
      </c>
      <c r="E774">
        <v>151</v>
      </c>
      <c r="F774">
        <v>164</v>
      </c>
      <c r="G774">
        <v>131</v>
      </c>
      <c r="H774">
        <v>197</v>
      </c>
    </row>
    <row r="775" spans="1:9">
      <c r="A775">
        <v>2017</v>
      </c>
      <c r="B775">
        <v>44</v>
      </c>
      <c r="C775" s="2">
        <v>43044</v>
      </c>
      <c r="D775" s="1" t="s">
        <v>378</v>
      </c>
      <c r="E775">
        <v>176</v>
      </c>
      <c r="F775">
        <v>164</v>
      </c>
      <c r="G775">
        <v>131</v>
      </c>
      <c r="H775">
        <v>197</v>
      </c>
    </row>
    <row r="776" spans="1:9">
      <c r="A776">
        <v>2017</v>
      </c>
      <c r="B776">
        <v>45</v>
      </c>
      <c r="C776" s="2">
        <v>43051</v>
      </c>
      <c r="D776" s="1" t="s">
        <v>378</v>
      </c>
      <c r="E776">
        <v>198</v>
      </c>
      <c r="F776">
        <v>164</v>
      </c>
      <c r="G776">
        <v>131</v>
      </c>
      <c r="H776">
        <v>197</v>
      </c>
      <c r="I776">
        <v>198</v>
      </c>
    </row>
    <row r="777" spans="1:9">
      <c r="A777">
        <v>2017</v>
      </c>
      <c r="B777">
        <v>46</v>
      </c>
      <c r="C777" s="2">
        <v>43058</v>
      </c>
      <c r="D777" s="1" t="s">
        <v>378</v>
      </c>
      <c r="E777">
        <v>180</v>
      </c>
      <c r="F777">
        <v>165</v>
      </c>
      <c r="G777">
        <v>132</v>
      </c>
      <c r="H777">
        <v>198</v>
      </c>
    </row>
    <row r="778" spans="1:9">
      <c r="A778">
        <v>2017</v>
      </c>
      <c r="B778">
        <v>47</v>
      </c>
      <c r="C778" s="2">
        <v>43065</v>
      </c>
      <c r="D778" s="1" t="s">
        <v>378</v>
      </c>
      <c r="E778">
        <v>161</v>
      </c>
      <c r="F778">
        <v>166</v>
      </c>
      <c r="G778">
        <v>133</v>
      </c>
      <c r="H778">
        <v>199</v>
      </c>
    </row>
    <row r="779" spans="1:9">
      <c r="A779">
        <v>2017</v>
      </c>
      <c r="B779">
        <v>48</v>
      </c>
      <c r="C779" s="2">
        <v>43072</v>
      </c>
      <c r="D779" s="1" t="s">
        <v>378</v>
      </c>
      <c r="E779">
        <v>188</v>
      </c>
      <c r="F779">
        <v>167</v>
      </c>
      <c r="G779">
        <v>134</v>
      </c>
      <c r="H779">
        <v>200</v>
      </c>
    </row>
    <row r="780" spans="1:9">
      <c r="A780">
        <v>2017</v>
      </c>
      <c r="B780">
        <v>49</v>
      </c>
      <c r="C780" s="2">
        <v>43079</v>
      </c>
      <c r="D780" s="1" t="s">
        <v>378</v>
      </c>
      <c r="E780">
        <v>166</v>
      </c>
      <c r="F780">
        <v>168</v>
      </c>
      <c r="G780">
        <v>135</v>
      </c>
      <c r="H780">
        <v>201</v>
      </c>
    </row>
    <row r="781" spans="1:9">
      <c r="A781">
        <v>2017</v>
      </c>
      <c r="B781">
        <v>50</v>
      </c>
      <c r="C781" s="2">
        <v>43086</v>
      </c>
      <c r="D781" s="1" t="s">
        <v>378</v>
      </c>
      <c r="E781">
        <v>164</v>
      </c>
      <c r="F781">
        <v>169</v>
      </c>
      <c r="G781">
        <v>136</v>
      </c>
      <c r="H781">
        <v>203</v>
      </c>
    </row>
    <row r="782" spans="1:9">
      <c r="A782">
        <v>2017</v>
      </c>
      <c r="B782">
        <v>51</v>
      </c>
      <c r="C782" s="2">
        <v>43093</v>
      </c>
      <c r="D782" s="1" t="s">
        <v>378</v>
      </c>
      <c r="E782">
        <v>156</v>
      </c>
      <c r="F782">
        <v>170</v>
      </c>
      <c r="G782">
        <v>137</v>
      </c>
      <c r="H782">
        <v>204</v>
      </c>
    </row>
    <row r="783" spans="1:9">
      <c r="A783">
        <v>2017</v>
      </c>
      <c r="B783">
        <v>52</v>
      </c>
      <c r="C783" s="2">
        <v>43100</v>
      </c>
      <c r="D783" s="1" t="s">
        <v>378</v>
      </c>
      <c r="E783">
        <v>171</v>
      </c>
      <c r="F783">
        <v>171</v>
      </c>
      <c r="G783">
        <v>138</v>
      </c>
      <c r="H783">
        <v>205</v>
      </c>
    </row>
    <row r="784" spans="1:9">
      <c r="A784">
        <v>2017</v>
      </c>
      <c r="B784">
        <v>1</v>
      </c>
      <c r="C784" s="2">
        <v>42743</v>
      </c>
      <c r="D784" s="1" t="s">
        <v>379</v>
      </c>
      <c r="E784">
        <v>1499</v>
      </c>
      <c r="F784">
        <v>1228</v>
      </c>
      <c r="G784">
        <v>1138</v>
      </c>
      <c r="H784">
        <v>1318</v>
      </c>
      <c r="I784">
        <v>1499</v>
      </c>
    </row>
    <row r="785" spans="1:9">
      <c r="A785">
        <v>2017</v>
      </c>
      <c r="B785">
        <v>2</v>
      </c>
      <c r="C785" s="2">
        <v>42750</v>
      </c>
      <c r="D785" s="1" t="s">
        <v>379</v>
      </c>
      <c r="E785">
        <v>1537</v>
      </c>
      <c r="F785">
        <v>1228</v>
      </c>
      <c r="G785">
        <v>1138</v>
      </c>
      <c r="H785">
        <v>1319</v>
      </c>
      <c r="I785">
        <v>1537</v>
      </c>
    </row>
    <row r="786" spans="1:9">
      <c r="A786">
        <v>2017</v>
      </c>
      <c r="B786">
        <v>3</v>
      </c>
      <c r="C786" s="2">
        <v>42757</v>
      </c>
      <c r="D786" s="1" t="s">
        <v>379</v>
      </c>
      <c r="E786">
        <v>1549</v>
      </c>
      <c r="F786">
        <v>1229</v>
      </c>
      <c r="G786">
        <v>1138</v>
      </c>
      <c r="H786">
        <v>1319</v>
      </c>
      <c r="I786">
        <v>1549</v>
      </c>
    </row>
    <row r="787" spans="1:9">
      <c r="A787">
        <v>2017</v>
      </c>
      <c r="B787">
        <v>4</v>
      </c>
      <c r="C787" s="2">
        <v>42764</v>
      </c>
      <c r="D787" s="1" t="s">
        <v>379</v>
      </c>
      <c r="E787">
        <v>1472</v>
      </c>
      <c r="F787">
        <v>1229</v>
      </c>
      <c r="G787">
        <v>1139</v>
      </c>
      <c r="H787">
        <v>1319</v>
      </c>
      <c r="I787">
        <v>1472</v>
      </c>
    </row>
    <row r="788" spans="1:9">
      <c r="A788">
        <v>2017</v>
      </c>
      <c r="B788">
        <v>5</v>
      </c>
      <c r="C788" s="2">
        <v>42771</v>
      </c>
      <c r="D788" s="1" t="s">
        <v>379</v>
      </c>
      <c r="E788">
        <v>1377</v>
      </c>
      <c r="F788">
        <v>1229</v>
      </c>
      <c r="G788">
        <v>1138</v>
      </c>
      <c r="H788">
        <v>1319</v>
      </c>
      <c r="I788">
        <v>1377</v>
      </c>
    </row>
    <row r="789" spans="1:9">
      <c r="A789">
        <v>2017</v>
      </c>
      <c r="B789">
        <v>6</v>
      </c>
      <c r="C789" s="2">
        <v>42778</v>
      </c>
      <c r="D789" s="1" t="s">
        <v>379</v>
      </c>
      <c r="E789">
        <v>1405</v>
      </c>
      <c r="F789">
        <v>1228</v>
      </c>
      <c r="G789">
        <v>1138</v>
      </c>
      <c r="H789">
        <v>1319</v>
      </c>
      <c r="I789">
        <v>1405</v>
      </c>
    </row>
    <row r="790" spans="1:9">
      <c r="A790">
        <v>2017</v>
      </c>
      <c r="B790">
        <v>7</v>
      </c>
      <c r="C790" s="2">
        <v>42785</v>
      </c>
      <c r="D790" s="1" t="s">
        <v>379</v>
      </c>
      <c r="E790">
        <v>1222</v>
      </c>
      <c r="F790">
        <v>1228</v>
      </c>
      <c r="G790">
        <v>1138</v>
      </c>
      <c r="H790">
        <v>1318</v>
      </c>
    </row>
    <row r="791" spans="1:9">
      <c r="A791">
        <v>2017</v>
      </c>
      <c r="B791">
        <v>8</v>
      </c>
      <c r="C791" s="2">
        <v>42792</v>
      </c>
      <c r="D791" s="1" t="s">
        <v>379</v>
      </c>
      <c r="E791">
        <v>1199</v>
      </c>
      <c r="F791">
        <v>1220</v>
      </c>
      <c r="G791">
        <v>1130</v>
      </c>
      <c r="H791">
        <v>1310</v>
      </c>
    </row>
    <row r="792" spans="1:9">
      <c r="A792">
        <v>2017</v>
      </c>
      <c r="B792">
        <v>9</v>
      </c>
      <c r="C792" s="2">
        <v>42799</v>
      </c>
      <c r="D792" s="1" t="s">
        <v>379</v>
      </c>
      <c r="E792">
        <v>1204</v>
      </c>
      <c r="F792">
        <v>1213</v>
      </c>
      <c r="G792">
        <v>1123</v>
      </c>
      <c r="H792">
        <v>1302</v>
      </c>
    </row>
    <row r="793" spans="1:9">
      <c r="A793">
        <v>2017</v>
      </c>
      <c r="B793">
        <v>10</v>
      </c>
      <c r="C793" s="2">
        <v>42806</v>
      </c>
      <c r="D793" s="1" t="s">
        <v>379</v>
      </c>
      <c r="E793">
        <v>1136</v>
      </c>
      <c r="F793">
        <v>1199</v>
      </c>
      <c r="G793">
        <v>1110</v>
      </c>
      <c r="H793">
        <v>1288</v>
      </c>
    </row>
    <row r="794" spans="1:9">
      <c r="A794">
        <v>2017</v>
      </c>
      <c r="B794">
        <v>11</v>
      </c>
      <c r="C794" s="2">
        <v>42813</v>
      </c>
      <c r="D794" s="1" t="s">
        <v>379</v>
      </c>
      <c r="E794">
        <v>1070</v>
      </c>
      <c r="F794">
        <v>1185</v>
      </c>
      <c r="G794">
        <v>1096</v>
      </c>
      <c r="H794">
        <v>1274</v>
      </c>
    </row>
    <row r="795" spans="1:9">
      <c r="A795">
        <v>2017</v>
      </c>
      <c r="B795">
        <v>12</v>
      </c>
      <c r="C795" s="2">
        <v>42820</v>
      </c>
      <c r="D795" s="1" t="s">
        <v>379</v>
      </c>
      <c r="E795">
        <v>1061</v>
      </c>
      <c r="F795">
        <v>1165</v>
      </c>
      <c r="G795">
        <v>1077</v>
      </c>
      <c r="H795">
        <v>1253</v>
      </c>
    </row>
    <row r="796" spans="1:9">
      <c r="A796">
        <v>2017</v>
      </c>
      <c r="B796">
        <v>13</v>
      </c>
      <c r="C796" s="2">
        <v>42827</v>
      </c>
      <c r="D796" s="1" t="s">
        <v>379</v>
      </c>
      <c r="E796">
        <v>1002</v>
      </c>
      <c r="F796">
        <v>1146</v>
      </c>
      <c r="G796">
        <v>1058</v>
      </c>
      <c r="H796">
        <v>1233</v>
      </c>
    </row>
    <row r="797" spans="1:9">
      <c r="A797">
        <v>2017</v>
      </c>
      <c r="B797">
        <v>14</v>
      </c>
      <c r="C797" s="2">
        <v>42834</v>
      </c>
      <c r="D797" s="1" t="s">
        <v>379</v>
      </c>
      <c r="E797">
        <v>1055</v>
      </c>
      <c r="F797">
        <v>1125</v>
      </c>
      <c r="G797">
        <v>1039</v>
      </c>
      <c r="H797">
        <v>1212</v>
      </c>
    </row>
    <row r="798" spans="1:9">
      <c r="A798">
        <v>2017</v>
      </c>
      <c r="B798">
        <v>15</v>
      </c>
      <c r="C798" s="2">
        <v>42841</v>
      </c>
      <c r="D798" s="1" t="s">
        <v>379</v>
      </c>
      <c r="E798">
        <v>1022</v>
      </c>
      <c r="F798">
        <v>1107</v>
      </c>
      <c r="G798">
        <v>1021</v>
      </c>
      <c r="H798">
        <v>1193</v>
      </c>
    </row>
    <row r="799" spans="1:9">
      <c r="A799">
        <v>2017</v>
      </c>
      <c r="B799">
        <v>16</v>
      </c>
      <c r="C799" s="2">
        <v>42848</v>
      </c>
      <c r="D799" s="1" t="s">
        <v>379</v>
      </c>
      <c r="E799">
        <v>1005</v>
      </c>
      <c r="F799">
        <v>1089</v>
      </c>
      <c r="G799">
        <v>1004</v>
      </c>
      <c r="H799">
        <v>1174</v>
      </c>
    </row>
    <row r="800" spans="1:9">
      <c r="A800">
        <v>2017</v>
      </c>
      <c r="B800">
        <v>17</v>
      </c>
      <c r="C800" s="2">
        <v>42855</v>
      </c>
      <c r="D800" s="1" t="s">
        <v>379</v>
      </c>
      <c r="E800">
        <v>1052</v>
      </c>
      <c r="F800">
        <v>1072</v>
      </c>
      <c r="G800">
        <v>988</v>
      </c>
      <c r="H800">
        <v>1156</v>
      </c>
    </row>
    <row r="801" spans="1:8">
      <c r="A801">
        <v>2017</v>
      </c>
      <c r="B801">
        <v>18</v>
      </c>
      <c r="C801" s="2">
        <v>42862</v>
      </c>
      <c r="D801" s="1" t="s">
        <v>379</v>
      </c>
      <c r="E801">
        <v>1035</v>
      </c>
      <c r="F801">
        <v>1055</v>
      </c>
      <c r="G801">
        <v>972</v>
      </c>
      <c r="H801">
        <v>1139</v>
      </c>
    </row>
    <row r="802" spans="1:8">
      <c r="A802">
        <v>2017</v>
      </c>
      <c r="B802">
        <v>19</v>
      </c>
      <c r="C802" s="2">
        <v>42869</v>
      </c>
      <c r="D802" s="1" t="s">
        <v>379</v>
      </c>
      <c r="E802">
        <v>1023</v>
      </c>
      <c r="F802">
        <v>1041</v>
      </c>
      <c r="G802">
        <v>958</v>
      </c>
      <c r="H802">
        <v>1124</v>
      </c>
    </row>
    <row r="803" spans="1:8">
      <c r="A803">
        <v>2017</v>
      </c>
      <c r="B803">
        <v>20</v>
      </c>
      <c r="C803" s="2">
        <v>42876</v>
      </c>
      <c r="D803" s="1" t="s">
        <v>379</v>
      </c>
      <c r="E803">
        <v>1029</v>
      </c>
      <c r="F803">
        <v>1027</v>
      </c>
      <c r="G803">
        <v>944</v>
      </c>
      <c r="H803">
        <v>1109</v>
      </c>
    </row>
    <row r="804" spans="1:8">
      <c r="A804">
        <v>2017</v>
      </c>
      <c r="B804">
        <v>21</v>
      </c>
      <c r="C804" s="2">
        <v>42883</v>
      </c>
      <c r="D804" s="1" t="s">
        <v>379</v>
      </c>
      <c r="E804">
        <v>1012</v>
      </c>
      <c r="F804">
        <v>1017</v>
      </c>
      <c r="G804">
        <v>935</v>
      </c>
      <c r="H804">
        <v>1099</v>
      </c>
    </row>
    <row r="805" spans="1:8">
      <c r="A805">
        <v>2017</v>
      </c>
      <c r="B805">
        <v>22</v>
      </c>
      <c r="C805" s="2">
        <v>42890</v>
      </c>
      <c r="D805" s="1" t="s">
        <v>379</v>
      </c>
      <c r="E805">
        <v>951</v>
      </c>
      <c r="F805">
        <v>1011</v>
      </c>
      <c r="G805">
        <v>929</v>
      </c>
      <c r="H805">
        <v>1093</v>
      </c>
    </row>
    <row r="806" spans="1:8">
      <c r="A806">
        <v>2017</v>
      </c>
      <c r="B806">
        <v>23</v>
      </c>
      <c r="C806" s="2">
        <v>42897</v>
      </c>
      <c r="D806" s="1" t="s">
        <v>379</v>
      </c>
      <c r="E806">
        <v>920</v>
      </c>
      <c r="F806">
        <v>1005</v>
      </c>
      <c r="G806">
        <v>924</v>
      </c>
      <c r="H806">
        <v>1087</v>
      </c>
    </row>
    <row r="807" spans="1:8">
      <c r="A807">
        <v>2017</v>
      </c>
      <c r="B807">
        <v>24</v>
      </c>
      <c r="C807" s="2">
        <v>42904</v>
      </c>
      <c r="D807" s="1" t="s">
        <v>379</v>
      </c>
      <c r="E807">
        <v>960</v>
      </c>
      <c r="F807">
        <v>1002</v>
      </c>
      <c r="G807">
        <v>921</v>
      </c>
      <c r="H807">
        <v>1084</v>
      </c>
    </row>
    <row r="808" spans="1:8">
      <c r="A808">
        <v>2017</v>
      </c>
      <c r="B808">
        <v>25</v>
      </c>
      <c r="C808" s="2">
        <v>42911</v>
      </c>
      <c r="D808" s="1" t="s">
        <v>379</v>
      </c>
      <c r="E808">
        <v>1028</v>
      </c>
      <c r="F808">
        <v>1002</v>
      </c>
      <c r="G808">
        <v>921</v>
      </c>
      <c r="H808">
        <v>1084</v>
      </c>
    </row>
    <row r="809" spans="1:8">
      <c r="A809">
        <v>2017</v>
      </c>
      <c r="B809">
        <v>26</v>
      </c>
      <c r="C809" s="2">
        <v>42918</v>
      </c>
      <c r="D809" s="1" t="s">
        <v>379</v>
      </c>
      <c r="E809">
        <v>991</v>
      </c>
      <c r="F809">
        <v>1002</v>
      </c>
      <c r="G809">
        <v>920</v>
      </c>
      <c r="H809">
        <v>1083</v>
      </c>
    </row>
    <row r="810" spans="1:8">
      <c r="A810">
        <v>2017</v>
      </c>
      <c r="B810">
        <v>27</v>
      </c>
      <c r="C810" s="2">
        <v>42925</v>
      </c>
      <c r="D810" s="1" t="s">
        <v>379</v>
      </c>
      <c r="E810">
        <v>993</v>
      </c>
      <c r="F810">
        <v>1004</v>
      </c>
      <c r="G810">
        <v>922</v>
      </c>
      <c r="H810">
        <v>1086</v>
      </c>
    </row>
    <row r="811" spans="1:8">
      <c r="A811">
        <v>2017</v>
      </c>
      <c r="B811">
        <v>28</v>
      </c>
      <c r="C811" s="2">
        <v>42932</v>
      </c>
      <c r="D811" s="1" t="s">
        <v>379</v>
      </c>
      <c r="E811">
        <v>922</v>
      </c>
      <c r="F811">
        <v>1004</v>
      </c>
      <c r="G811">
        <v>923</v>
      </c>
      <c r="H811">
        <v>1086</v>
      </c>
    </row>
    <row r="812" spans="1:8">
      <c r="A812">
        <v>2017</v>
      </c>
      <c r="B812">
        <v>29</v>
      </c>
      <c r="C812" s="2">
        <v>42939</v>
      </c>
      <c r="D812" s="1" t="s">
        <v>379</v>
      </c>
      <c r="E812">
        <v>968</v>
      </c>
      <c r="F812">
        <v>1005</v>
      </c>
      <c r="G812">
        <v>923</v>
      </c>
      <c r="H812">
        <v>1087</v>
      </c>
    </row>
    <row r="813" spans="1:8">
      <c r="A813">
        <v>2017</v>
      </c>
      <c r="B813">
        <v>30</v>
      </c>
      <c r="C813" s="2">
        <v>42946</v>
      </c>
      <c r="D813" s="1" t="s">
        <v>379</v>
      </c>
      <c r="E813">
        <v>947</v>
      </c>
      <c r="F813">
        <v>1006</v>
      </c>
      <c r="G813">
        <v>924</v>
      </c>
      <c r="H813">
        <v>1088</v>
      </c>
    </row>
    <row r="814" spans="1:8">
      <c r="A814">
        <v>2017</v>
      </c>
      <c r="B814">
        <v>31</v>
      </c>
      <c r="C814" s="2">
        <v>42953</v>
      </c>
      <c r="D814" s="1" t="s">
        <v>379</v>
      </c>
      <c r="E814">
        <v>1011</v>
      </c>
      <c r="F814">
        <v>1007</v>
      </c>
      <c r="G814">
        <v>925</v>
      </c>
      <c r="H814">
        <v>1089</v>
      </c>
    </row>
    <row r="815" spans="1:8">
      <c r="A815">
        <v>2017</v>
      </c>
      <c r="B815">
        <v>32</v>
      </c>
      <c r="C815" s="2">
        <v>42960</v>
      </c>
      <c r="D815" s="1" t="s">
        <v>379</v>
      </c>
      <c r="E815">
        <v>944</v>
      </c>
      <c r="F815">
        <v>1009</v>
      </c>
      <c r="G815">
        <v>927</v>
      </c>
      <c r="H815">
        <v>1090</v>
      </c>
    </row>
    <row r="816" spans="1:8">
      <c r="A816">
        <v>2017</v>
      </c>
      <c r="B816">
        <v>33</v>
      </c>
      <c r="C816" s="2">
        <v>42967</v>
      </c>
      <c r="D816" s="1" t="s">
        <v>379</v>
      </c>
      <c r="E816">
        <v>972</v>
      </c>
      <c r="F816">
        <v>1011</v>
      </c>
      <c r="G816">
        <v>929</v>
      </c>
      <c r="H816">
        <v>1092</v>
      </c>
    </row>
    <row r="817" spans="1:8">
      <c r="A817">
        <v>2017</v>
      </c>
      <c r="B817">
        <v>34</v>
      </c>
      <c r="C817" s="2">
        <v>42974</v>
      </c>
      <c r="D817" s="1" t="s">
        <v>379</v>
      </c>
      <c r="E817">
        <v>990</v>
      </c>
      <c r="F817">
        <v>1012</v>
      </c>
      <c r="G817">
        <v>931</v>
      </c>
      <c r="H817">
        <v>1094</v>
      </c>
    </row>
    <row r="818" spans="1:8">
      <c r="A818">
        <v>2017</v>
      </c>
      <c r="B818">
        <v>35</v>
      </c>
      <c r="C818" s="2">
        <v>42981</v>
      </c>
      <c r="D818" s="1" t="s">
        <v>379</v>
      </c>
      <c r="E818">
        <v>984</v>
      </c>
      <c r="F818">
        <v>1018</v>
      </c>
      <c r="G818">
        <v>936</v>
      </c>
      <c r="H818">
        <v>1100</v>
      </c>
    </row>
    <row r="819" spans="1:8">
      <c r="A819">
        <v>2017</v>
      </c>
      <c r="B819">
        <v>36</v>
      </c>
      <c r="C819" s="2">
        <v>42988</v>
      </c>
      <c r="D819" s="1" t="s">
        <v>379</v>
      </c>
      <c r="E819">
        <v>960</v>
      </c>
      <c r="F819">
        <v>1023</v>
      </c>
      <c r="G819">
        <v>941</v>
      </c>
      <c r="H819">
        <v>1106</v>
      </c>
    </row>
    <row r="820" spans="1:8">
      <c r="A820">
        <v>2017</v>
      </c>
      <c r="B820">
        <v>37</v>
      </c>
      <c r="C820" s="2">
        <v>42995</v>
      </c>
      <c r="D820" s="1" t="s">
        <v>379</v>
      </c>
      <c r="E820">
        <v>989</v>
      </c>
      <c r="F820">
        <v>1031</v>
      </c>
      <c r="G820">
        <v>949</v>
      </c>
      <c r="H820">
        <v>1114</v>
      </c>
    </row>
    <row r="821" spans="1:8">
      <c r="A821">
        <v>2017</v>
      </c>
      <c r="B821">
        <v>38</v>
      </c>
      <c r="C821" s="2">
        <v>43002</v>
      </c>
      <c r="D821" s="1" t="s">
        <v>379</v>
      </c>
      <c r="E821">
        <v>1072</v>
      </c>
      <c r="F821">
        <v>1040</v>
      </c>
      <c r="G821">
        <v>957</v>
      </c>
      <c r="H821">
        <v>1123</v>
      </c>
    </row>
    <row r="822" spans="1:8">
      <c r="A822">
        <v>2017</v>
      </c>
      <c r="B822">
        <v>39</v>
      </c>
      <c r="C822" s="2">
        <v>43009</v>
      </c>
      <c r="D822" s="1" t="s">
        <v>379</v>
      </c>
      <c r="E822">
        <v>1059</v>
      </c>
      <c r="F822">
        <v>1049</v>
      </c>
      <c r="G822">
        <v>966</v>
      </c>
      <c r="H822">
        <v>1132</v>
      </c>
    </row>
    <row r="823" spans="1:8">
      <c r="A823">
        <v>2017</v>
      </c>
      <c r="B823">
        <v>40</v>
      </c>
      <c r="C823" s="2">
        <v>43016</v>
      </c>
      <c r="D823" s="1" t="s">
        <v>379</v>
      </c>
      <c r="E823">
        <v>1104</v>
      </c>
      <c r="F823">
        <v>1060</v>
      </c>
      <c r="G823">
        <v>976</v>
      </c>
      <c r="H823">
        <v>1143</v>
      </c>
    </row>
    <row r="824" spans="1:8">
      <c r="A824">
        <v>2017</v>
      </c>
      <c r="B824">
        <v>41</v>
      </c>
      <c r="C824" s="2">
        <v>43023</v>
      </c>
      <c r="D824" s="1" t="s">
        <v>379</v>
      </c>
      <c r="E824">
        <v>1087</v>
      </c>
      <c r="F824">
        <v>1069</v>
      </c>
      <c r="G824">
        <v>985</v>
      </c>
      <c r="H824">
        <v>1153</v>
      </c>
    </row>
    <row r="825" spans="1:8">
      <c r="A825">
        <v>2017</v>
      </c>
      <c r="B825">
        <v>42</v>
      </c>
      <c r="C825" s="2">
        <v>43030</v>
      </c>
      <c r="D825" s="1" t="s">
        <v>379</v>
      </c>
      <c r="E825">
        <v>1023</v>
      </c>
      <c r="F825">
        <v>1078</v>
      </c>
      <c r="G825">
        <v>993</v>
      </c>
      <c r="H825">
        <v>1162</v>
      </c>
    </row>
    <row r="826" spans="1:8">
      <c r="A826">
        <v>2017</v>
      </c>
      <c r="B826">
        <v>43</v>
      </c>
      <c r="C826" s="2">
        <v>43037</v>
      </c>
      <c r="D826" s="1" t="s">
        <v>379</v>
      </c>
      <c r="E826">
        <v>1050</v>
      </c>
      <c r="F826">
        <v>1086</v>
      </c>
      <c r="G826">
        <v>1001</v>
      </c>
      <c r="H826">
        <v>1171</v>
      </c>
    </row>
    <row r="827" spans="1:8">
      <c r="A827">
        <v>2017</v>
      </c>
      <c r="B827">
        <v>44</v>
      </c>
      <c r="C827" s="2">
        <v>43044</v>
      </c>
      <c r="D827" s="1" t="s">
        <v>379</v>
      </c>
      <c r="E827">
        <v>967</v>
      </c>
      <c r="F827">
        <v>1094</v>
      </c>
      <c r="G827">
        <v>1009</v>
      </c>
      <c r="H827">
        <v>1179</v>
      </c>
    </row>
    <row r="828" spans="1:8">
      <c r="A828">
        <v>2017</v>
      </c>
      <c r="B828">
        <v>45</v>
      </c>
      <c r="C828" s="2">
        <v>43051</v>
      </c>
      <c r="D828" s="1" t="s">
        <v>379</v>
      </c>
      <c r="E828">
        <v>1100</v>
      </c>
      <c r="F828">
        <v>1104</v>
      </c>
      <c r="G828">
        <v>1019</v>
      </c>
      <c r="H828">
        <v>1190</v>
      </c>
    </row>
    <row r="829" spans="1:8">
      <c r="A829">
        <v>2017</v>
      </c>
      <c r="B829">
        <v>46</v>
      </c>
      <c r="C829" s="2">
        <v>43058</v>
      </c>
      <c r="D829" s="1" t="s">
        <v>379</v>
      </c>
      <c r="E829">
        <v>1055</v>
      </c>
      <c r="F829">
        <v>1114</v>
      </c>
      <c r="G829">
        <v>1028</v>
      </c>
      <c r="H829">
        <v>1200</v>
      </c>
    </row>
    <row r="830" spans="1:8">
      <c r="A830">
        <v>2017</v>
      </c>
      <c r="B830">
        <v>47</v>
      </c>
      <c r="C830" s="2">
        <v>43065</v>
      </c>
      <c r="D830" s="1" t="s">
        <v>379</v>
      </c>
      <c r="E830">
        <v>1139</v>
      </c>
      <c r="F830">
        <v>1126</v>
      </c>
      <c r="G830">
        <v>1039</v>
      </c>
      <c r="H830">
        <v>1212</v>
      </c>
    </row>
    <row r="831" spans="1:8">
      <c r="A831">
        <v>2017</v>
      </c>
      <c r="B831">
        <v>48</v>
      </c>
      <c r="C831" s="2">
        <v>43072</v>
      </c>
      <c r="D831" s="1" t="s">
        <v>379</v>
      </c>
      <c r="E831">
        <v>1177</v>
      </c>
      <c r="F831">
        <v>1140</v>
      </c>
      <c r="G831">
        <v>1053</v>
      </c>
      <c r="H831">
        <v>1227</v>
      </c>
    </row>
    <row r="832" spans="1:8">
      <c r="A832">
        <v>2017</v>
      </c>
      <c r="B832">
        <v>49</v>
      </c>
      <c r="C832" s="2">
        <v>43079</v>
      </c>
      <c r="D832" s="1" t="s">
        <v>379</v>
      </c>
      <c r="E832">
        <v>1196</v>
      </c>
      <c r="F832">
        <v>1154</v>
      </c>
      <c r="G832">
        <v>1066</v>
      </c>
      <c r="H832">
        <v>1241</v>
      </c>
    </row>
    <row r="833" spans="1:9">
      <c r="A833">
        <v>2017</v>
      </c>
      <c r="B833">
        <v>50</v>
      </c>
      <c r="C833" s="2">
        <v>43086</v>
      </c>
      <c r="D833" s="1" t="s">
        <v>379</v>
      </c>
      <c r="E833">
        <v>1165</v>
      </c>
      <c r="F833">
        <v>1168</v>
      </c>
      <c r="G833">
        <v>1080</v>
      </c>
      <c r="H833">
        <v>1256</v>
      </c>
    </row>
    <row r="834" spans="1:9">
      <c r="A834">
        <v>2017</v>
      </c>
      <c r="B834">
        <v>51</v>
      </c>
      <c r="C834" s="2">
        <v>43093</v>
      </c>
      <c r="D834" s="1" t="s">
        <v>379</v>
      </c>
      <c r="E834">
        <v>1270</v>
      </c>
      <c r="F834">
        <v>1182</v>
      </c>
      <c r="G834">
        <v>1094</v>
      </c>
      <c r="H834">
        <v>1271</v>
      </c>
    </row>
    <row r="835" spans="1:9">
      <c r="A835">
        <v>2017</v>
      </c>
      <c r="B835">
        <v>52</v>
      </c>
      <c r="C835" s="2">
        <v>43100</v>
      </c>
      <c r="D835" s="1" t="s">
        <v>379</v>
      </c>
      <c r="E835">
        <v>1159</v>
      </c>
      <c r="F835">
        <v>1197</v>
      </c>
      <c r="G835">
        <v>1107</v>
      </c>
      <c r="H835">
        <v>1286</v>
      </c>
    </row>
    <row r="836" spans="1:9">
      <c r="A836">
        <v>2018</v>
      </c>
      <c r="B836">
        <v>1</v>
      </c>
      <c r="C836" s="2">
        <v>43107</v>
      </c>
      <c r="D836" s="1" t="s">
        <v>378</v>
      </c>
      <c r="E836">
        <v>179</v>
      </c>
      <c r="F836">
        <v>174</v>
      </c>
      <c r="G836">
        <v>140</v>
      </c>
      <c r="H836">
        <v>208</v>
      </c>
    </row>
    <row r="837" spans="1:9">
      <c r="A837">
        <v>2018</v>
      </c>
      <c r="B837">
        <v>2</v>
      </c>
      <c r="C837" s="2">
        <v>43114</v>
      </c>
      <c r="D837" s="1" t="s">
        <v>378</v>
      </c>
      <c r="E837">
        <v>174</v>
      </c>
      <c r="F837">
        <v>175</v>
      </c>
      <c r="G837">
        <v>141</v>
      </c>
      <c r="H837">
        <v>209</v>
      </c>
    </row>
    <row r="838" spans="1:9">
      <c r="A838">
        <v>2018</v>
      </c>
      <c r="B838">
        <v>3</v>
      </c>
      <c r="C838" s="2">
        <v>43121</v>
      </c>
      <c r="D838" s="1" t="s">
        <v>378</v>
      </c>
      <c r="E838">
        <v>187</v>
      </c>
      <c r="F838">
        <v>176</v>
      </c>
      <c r="G838">
        <v>141</v>
      </c>
      <c r="H838">
        <v>210</v>
      </c>
    </row>
    <row r="839" spans="1:9">
      <c r="A839">
        <v>2018</v>
      </c>
      <c r="B839">
        <v>4</v>
      </c>
      <c r="C839" s="2">
        <v>43128</v>
      </c>
      <c r="D839" s="1" t="s">
        <v>378</v>
      </c>
      <c r="E839">
        <v>189</v>
      </c>
      <c r="F839">
        <v>176</v>
      </c>
      <c r="G839">
        <v>142</v>
      </c>
      <c r="H839">
        <v>210</v>
      </c>
    </row>
    <row r="840" spans="1:9">
      <c r="A840">
        <v>2018</v>
      </c>
      <c r="B840">
        <v>5</v>
      </c>
      <c r="C840" s="2">
        <v>43135</v>
      </c>
      <c r="D840" s="1" t="s">
        <v>378</v>
      </c>
      <c r="E840">
        <v>152</v>
      </c>
      <c r="F840">
        <v>177</v>
      </c>
      <c r="G840">
        <v>142</v>
      </c>
      <c r="H840">
        <v>211</v>
      </c>
    </row>
    <row r="841" spans="1:9">
      <c r="A841">
        <v>2018</v>
      </c>
      <c r="B841">
        <v>6</v>
      </c>
      <c r="C841" s="2">
        <v>43142</v>
      </c>
      <c r="D841" s="1" t="s">
        <v>378</v>
      </c>
      <c r="E841">
        <v>191</v>
      </c>
      <c r="F841">
        <v>177</v>
      </c>
      <c r="G841">
        <v>143</v>
      </c>
      <c r="H841">
        <v>211</v>
      </c>
    </row>
    <row r="842" spans="1:9">
      <c r="A842">
        <v>2018</v>
      </c>
      <c r="B842">
        <v>7</v>
      </c>
      <c r="C842" s="2">
        <v>43149</v>
      </c>
      <c r="D842" s="1" t="s">
        <v>378</v>
      </c>
      <c r="E842">
        <v>195</v>
      </c>
      <c r="F842">
        <v>177</v>
      </c>
      <c r="G842">
        <v>143</v>
      </c>
      <c r="H842">
        <v>211</v>
      </c>
    </row>
    <row r="843" spans="1:9">
      <c r="A843">
        <v>2018</v>
      </c>
      <c r="B843">
        <v>8</v>
      </c>
      <c r="C843" s="2">
        <v>43156</v>
      </c>
      <c r="D843" s="1" t="s">
        <v>378</v>
      </c>
      <c r="E843">
        <v>190</v>
      </c>
      <c r="F843">
        <v>176</v>
      </c>
      <c r="G843">
        <v>142</v>
      </c>
      <c r="H843">
        <v>210</v>
      </c>
    </row>
    <row r="844" spans="1:9">
      <c r="A844">
        <v>2018</v>
      </c>
      <c r="B844">
        <v>9</v>
      </c>
      <c r="C844" s="2">
        <v>43163</v>
      </c>
      <c r="D844" s="1" t="s">
        <v>378</v>
      </c>
      <c r="E844">
        <v>213</v>
      </c>
      <c r="F844">
        <v>175</v>
      </c>
      <c r="G844">
        <v>141</v>
      </c>
      <c r="H844">
        <v>209</v>
      </c>
      <c r="I844">
        <v>213</v>
      </c>
    </row>
    <row r="845" spans="1:9">
      <c r="A845">
        <v>2018</v>
      </c>
      <c r="B845">
        <v>10</v>
      </c>
      <c r="C845" s="2">
        <v>43170</v>
      </c>
      <c r="D845" s="1" t="s">
        <v>378</v>
      </c>
      <c r="E845">
        <v>202</v>
      </c>
      <c r="F845">
        <v>173</v>
      </c>
      <c r="G845">
        <v>139</v>
      </c>
      <c r="H845">
        <v>207</v>
      </c>
    </row>
    <row r="846" spans="1:9">
      <c r="A846">
        <v>2018</v>
      </c>
      <c r="B846">
        <v>11</v>
      </c>
      <c r="C846" s="2">
        <v>43177</v>
      </c>
      <c r="D846" s="1" t="s">
        <v>378</v>
      </c>
      <c r="E846">
        <v>175</v>
      </c>
      <c r="F846">
        <v>171</v>
      </c>
      <c r="G846">
        <v>137</v>
      </c>
      <c r="H846">
        <v>205</v>
      </c>
    </row>
    <row r="847" spans="1:9">
      <c r="A847">
        <v>2018</v>
      </c>
      <c r="B847">
        <v>12</v>
      </c>
      <c r="C847" s="2">
        <v>43184</v>
      </c>
      <c r="D847" s="1" t="s">
        <v>378</v>
      </c>
      <c r="E847">
        <v>160</v>
      </c>
      <c r="F847">
        <v>168</v>
      </c>
      <c r="G847">
        <v>135</v>
      </c>
      <c r="H847">
        <v>202</v>
      </c>
    </row>
    <row r="848" spans="1:9">
      <c r="A848">
        <v>2018</v>
      </c>
      <c r="B848">
        <v>13</v>
      </c>
      <c r="C848" s="2">
        <v>43191</v>
      </c>
      <c r="D848" s="1" t="s">
        <v>378</v>
      </c>
      <c r="E848">
        <v>171</v>
      </c>
      <c r="F848">
        <v>166</v>
      </c>
      <c r="G848">
        <v>133</v>
      </c>
      <c r="H848">
        <v>199</v>
      </c>
    </row>
    <row r="849" spans="1:8">
      <c r="A849">
        <v>2018</v>
      </c>
      <c r="B849">
        <v>14</v>
      </c>
      <c r="C849" s="2">
        <v>43198</v>
      </c>
      <c r="D849" s="1" t="s">
        <v>378</v>
      </c>
      <c r="E849">
        <v>171</v>
      </c>
      <c r="F849">
        <v>163</v>
      </c>
      <c r="G849">
        <v>131</v>
      </c>
      <c r="H849">
        <v>196</v>
      </c>
    </row>
    <row r="850" spans="1:8">
      <c r="A850">
        <v>2018</v>
      </c>
      <c r="B850">
        <v>15</v>
      </c>
      <c r="C850" s="2">
        <v>43205</v>
      </c>
      <c r="D850" s="1" t="s">
        <v>378</v>
      </c>
      <c r="E850">
        <v>170</v>
      </c>
      <c r="F850">
        <v>162</v>
      </c>
      <c r="G850">
        <v>129</v>
      </c>
      <c r="H850">
        <v>195</v>
      </c>
    </row>
    <row r="851" spans="1:8">
      <c r="A851">
        <v>2018</v>
      </c>
      <c r="B851">
        <v>16</v>
      </c>
      <c r="C851" s="2">
        <v>43212</v>
      </c>
      <c r="D851" s="1" t="s">
        <v>378</v>
      </c>
      <c r="E851">
        <v>182</v>
      </c>
      <c r="F851">
        <v>160</v>
      </c>
      <c r="G851">
        <v>128</v>
      </c>
      <c r="H851">
        <v>193</v>
      </c>
    </row>
    <row r="852" spans="1:8">
      <c r="A852">
        <v>2018</v>
      </c>
      <c r="B852">
        <v>17</v>
      </c>
      <c r="C852" s="2">
        <v>43219</v>
      </c>
      <c r="D852" s="1" t="s">
        <v>378</v>
      </c>
      <c r="E852">
        <v>163</v>
      </c>
      <c r="F852">
        <v>160</v>
      </c>
      <c r="G852">
        <v>127</v>
      </c>
      <c r="H852">
        <v>192</v>
      </c>
    </row>
    <row r="853" spans="1:8">
      <c r="A853">
        <v>2018</v>
      </c>
      <c r="B853">
        <v>18</v>
      </c>
      <c r="C853" s="2">
        <v>43226</v>
      </c>
      <c r="D853" s="1" t="s">
        <v>378</v>
      </c>
      <c r="E853">
        <v>151</v>
      </c>
      <c r="F853">
        <v>159</v>
      </c>
      <c r="G853">
        <v>126</v>
      </c>
      <c r="H853">
        <v>191</v>
      </c>
    </row>
    <row r="854" spans="1:8">
      <c r="A854">
        <v>2018</v>
      </c>
      <c r="B854">
        <v>19</v>
      </c>
      <c r="C854" s="2">
        <v>43233</v>
      </c>
      <c r="D854" s="1" t="s">
        <v>378</v>
      </c>
      <c r="E854">
        <v>162</v>
      </c>
      <c r="F854">
        <v>159</v>
      </c>
      <c r="G854">
        <v>126</v>
      </c>
      <c r="H854">
        <v>191</v>
      </c>
    </row>
    <row r="855" spans="1:8">
      <c r="A855">
        <v>2018</v>
      </c>
      <c r="B855">
        <v>20</v>
      </c>
      <c r="C855" s="2">
        <v>43240</v>
      </c>
      <c r="D855" s="1" t="s">
        <v>378</v>
      </c>
      <c r="E855">
        <v>167</v>
      </c>
      <c r="F855">
        <v>159</v>
      </c>
      <c r="G855">
        <v>126</v>
      </c>
      <c r="H855">
        <v>191</v>
      </c>
    </row>
    <row r="856" spans="1:8">
      <c r="A856">
        <v>2018</v>
      </c>
      <c r="B856">
        <v>21</v>
      </c>
      <c r="C856" s="2">
        <v>43247</v>
      </c>
      <c r="D856" s="1" t="s">
        <v>378</v>
      </c>
      <c r="E856">
        <v>172</v>
      </c>
      <c r="F856">
        <v>159</v>
      </c>
      <c r="G856">
        <v>126</v>
      </c>
      <c r="H856">
        <v>191</v>
      </c>
    </row>
    <row r="857" spans="1:8">
      <c r="A857">
        <v>2018</v>
      </c>
      <c r="B857">
        <v>22</v>
      </c>
      <c r="C857" s="2">
        <v>43254</v>
      </c>
      <c r="D857" s="1" t="s">
        <v>378</v>
      </c>
      <c r="E857">
        <v>156</v>
      </c>
      <c r="F857">
        <v>159</v>
      </c>
      <c r="G857">
        <v>127</v>
      </c>
      <c r="H857">
        <v>192</v>
      </c>
    </row>
    <row r="858" spans="1:8">
      <c r="A858">
        <v>2018</v>
      </c>
      <c r="B858">
        <v>23</v>
      </c>
      <c r="C858" s="2">
        <v>43261</v>
      </c>
      <c r="D858" s="1" t="s">
        <v>378</v>
      </c>
      <c r="E858">
        <v>171</v>
      </c>
      <c r="F858">
        <v>160</v>
      </c>
      <c r="G858">
        <v>127</v>
      </c>
      <c r="H858">
        <v>192</v>
      </c>
    </row>
    <row r="859" spans="1:8">
      <c r="A859">
        <v>2018</v>
      </c>
      <c r="B859">
        <v>24</v>
      </c>
      <c r="C859" s="2">
        <v>43268</v>
      </c>
      <c r="D859" s="1" t="s">
        <v>378</v>
      </c>
      <c r="E859">
        <v>149</v>
      </c>
      <c r="F859">
        <v>160</v>
      </c>
      <c r="G859">
        <v>127</v>
      </c>
      <c r="H859">
        <v>193</v>
      </c>
    </row>
    <row r="860" spans="1:8">
      <c r="A860">
        <v>2018</v>
      </c>
      <c r="B860">
        <v>25</v>
      </c>
      <c r="C860" s="2">
        <v>43275</v>
      </c>
      <c r="D860" s="1" t="s">
        <v>378</v>
      </c>
      <c r="E860">
        <v>174</v>
      </c>
      <c r="F860">
        <v>160</v>
      </c>
      <c r="G860">
        <v>127</v>
      </c>
      <c r="H860">
        <v>192</v>
      </c>
    </row>
    <row r="861" spans="1:8">
      <c r="A861">
        <v>2018</v>
      </c>
      <c r="B861">
        <v>26</v>
      </c>
      <c r="C861" s="2">
        <v>43282</v>
      </c>
      <c r="D861" s="1" t="s">
        <v>378</v>
      </c>
      <c r="E861">
        <v>150</v>
      </c>
      <c r="F861">
        <v>160</v>
      </c>
      <c r="G861">
        <v>127</v>
      </c>
      <c r="H861">
        <v>192</v>
      </c>
    </row>
    <row r="862" spans="1:8">
      <c r="A862">
        <v>2018</v>
      </c>
      <c r="B862">
        <v>27</v>
      </c>
      <c r="C862" s="2">
        <v>43289</v>
      </c>
      <c r="D862" s="1" t="s">
        <v>378</v>
      </c>
      <c r="E862">
        <v>155</v>
      </c>
      <c r="F862">
        <v>160</v>
      </c>
      <c r="G862">
        <v>127</v>
      </c>
      <c r="H862">
        <v>192</v>
      </c>
    </row>
    <row r="863" spans="1:8">
      <c r="A863">
        <v>2018</v>
      </c>
      <c r="B863">
        <v>28</v>
      </c>
      <c r="C863" s="2">
        <v>43296</v>
      </c>
      <c r="D863" s="1" t="s">
        <v>378</v>
      </c>
      <c r="E863">
        <v>146</v>
      </c>
      <c r="F863">
        <v>160</v>
      </c>
      <c r="G863">
        <v>127</v>
      </c>
      <c r="H863">
        <v>192</v>
      </c>
    </row>
    <row r="864" spans="1:8">
      <c r="A864">
        <v>2018</v>
      </c>
      <c r="B864">
        <v>29</v>
      </c>
      <c r="C864" s="2">
        <v>43303</v>
      </c>
      <c r="D864" s="1" t="s">
        <v>378</v>
      </c>
      <c r="E864">
        <v>159</v>
      </c>
      <c r="F864">
        <v>160</v>
      </c>
      <c r="G864">
        <v>127</v>
      </c>
      <c r="H864">
        <v>192</v>
      </c>
    </row>
    <row r="865" spans="1:8">
      <c r="A865">
        <v>2018</v>
      </c>
      <c r="B865">
        <v>30</v>
      </c>
      <c r="C865" s="2">
        <v>43310</v>
      </c>
      <c r="D865" s="1" t="s">
        <v>378</v>
      </c>
      <c r="E865">
        <v>170</v>
      </c>
      <c r="F865">
        <v>159</v>
      </c>
      <c r="G865">
        <v>127</v>
      </c>
      <c r="H865">
        <v>192</v>
      </c>
    </row>
    <row r="866" spans="1:8">
      <c r="A866">
        <v>2018</v>
      </c>
      <c r="B866">
        <v>31</v>
      </c>
      <c r="C866" s="2">
        <v>43317</v>
      </c>
      <c r="D866" s="1" t="s">
        <v>378</v>
      </c>
      <c r="E866">
        <v>188</v>
      </c>
      <c r="F866">
        <v>159</v>
      </c>
      <c r="G866">
        <v>126</v>
      </c>
      <c r="H866">
        <v>191</v>
      </c>
    </row>
    <row r="867" spans="1:8">
      <c r="A867">
        <v>2018</v>
      </c>
      <c r="B867">
        <v>32</v>
      </c>
      <c r="C867" s="2">
        <v>43324</v>
      </c>
      <c r="D867" s="1" t="s">
        <v>378</v>
      </c>
      <c r="E867">
        <v>153</v>
      </c>
      <c r="F867">
        <v>159</v>
      </c>
      <c r="G867">
        <v>127</v>
      </c>
      <c r="H867">
        <v>192</v>
      </c>
    </row>
    <row r="868" spans="1:8">
      <c r="A868">
        <v>2018</v>
      </c>
      <c r="B868">
        <v>33</v>
      </c>
      <c r="C868" s="2">
        <v>43331</v>
      </c>
      <c r="D868" s="1" t="s">
        <v>378</v>
      </c>
      <c r="E868">
        <v>162</v>
      </c>
      <c r="F868">
        <v>159</v>
      </c>
      <c r="G868">
        <v>127</v>
      </c>
      <c r="H868">
        <v>192</v>
      </c>
    </row>
    <row r="869" spans="1:8">
      <c r="A869">
        <v>2018</v>
      </c>
      <c r="B869">
        <v>34</v>
      </c>
      <c r="C869" s="2">
        <v>43338</v>
      </c>
      <c r="D869" s="1" t="s">
        <v>378</v>
      </c>
      <c r="E869">
        <v>152</v>
      </c>
      <c r="F869">
        <v>160</v>
      </c>
      <c r="G869">
        <v>127</v>
      </c>
      <c r="H869">
        <v>193</v>
      </c>
    </row>
    <row r="870" spans="1:8">
      <c r="A870">
        <v>2018</v>
      </c>
      <c r="B870">
        <v>35</v>
      </c>
      <c r="C870" s="2">
        <v>43345</v>
      </c>
      <c r="D870" s="1" t="s">
        <v>378</v>
      </c>
      <c r="E870">
        <v>168</v>
      </c>
      <c r="F870">
        <v>161</v>
      </c>
      <c r="G870">
        <v>128</v>
      </c>
      <c r="H870">
        <v>193</v>
      </c>
    </row>
    <row r="871" spans="1:8">
      <c r="A871">
        <v>2018</v>
      </c>
      <c r="B871">
        <v>36</v>
      </c>
      <c r="C871" s="2">
        <v>43352</v>
      </c>
      <c r="D871" s="1" t="s">
        <v>378</v>
      </c>
      <c r="E871">
        <v>177</v>
      </c>
      <c r="F871">
        <v>161</v>
      </c>
      <c r="G871">
        <v>129</v>
      </c>
      <c r="H871">
        <v>194</v>
      </c>
    </row>
    <row r="872" spans="1:8">
      <c r="A872">
        <v>2018</v>
      </c>
      <c r="B872">
        <v>37</v>
      </c>
      <c r="C872" s="2">
        <v>43359</v>
      </c>
      <c r="D872" s="1" t="s">
        <v>378</v>
      </c>
      <c r="E872">
        <v>159</v>
      </c>
      <c r="F872">
        <v>162</v>
      </c>
      <c r="G872">
        <v>129</v>
      </c>
      <c r="H872">
        <v>195</v>
      </c>
    </row>
    <row r="873" spans="1:8">
      <c r="A873">
        <v>2018</v>
      </c>
      <c r="B873">
        <v>38</v>
      </c>
      <c r="C873" s="2">
        <v>43366</v>
      </c>
      <c r="D873" s="1" t="s">
        <v>378</v>
      </c>
      <c r="E873">
        <v>172</v>
      </c>
      <c r="F873">
        <v>162</v>
      </c>
      <c r="G873">
        <v>129</v>
      </c>
      <c r="H873">
        <v>195</v>
      </c>
    </row>
    <row r="874" spans="1:8">
      <c r="A874">
        <v>2018</v>
      </c>
      <c r="B874">
        <v>39</v>
      </c>
      <c r="C874" s="2">
        <v>43373</v>
      </c>
      <c r="D874" s="1" t="s">
        <v>378</v>
      </c>
      <c r="E874">
        <v>166</v>
      </c>
      <c r="F874">
        <v>162</v>
      </c>
      <c r="G874">
        <v>130</v>
      </c>
      <c r="H874">
        <v>195</v>
      </c>
    </row>
    <row r="875" spans="1:8">
      <c r="A875">
        <v>2018</v>
      </c>
      <c r="B875">
        <v>40</v>
      </c>
      <c r="C875" s="2">
        <v>43380</v>
      </c>
      <c r="D875" s="1" t="s">
        <v>378</v>
      </c>
      <c r="E875">
        <v>171</v>
      </c>
      <c r="F875">
        <v>163</v>
      </c>
      <c r="G875">
        <v>130</v>
      </c>
      <c r="H875">
        <v>195</v>
      </c>
    </row>
    <row r="876" spans="1:8">
      <c r="A876">
        <v>2018</v>
      </c>
      <c r="B876">
        <v>41</v>
      </c>
      <c r="C876" s="2">
        <v>43387</v>
      </c>
      <c r="D876" s="1" t="s">
        <v>378</v>
      </c>
      <c r="E876">
        <v>162</v>
      </c>
      <c r="F876">
        <v>163</v>
      </c>
      <c r="G876">
        <v>130</v>
      </c>
      <c r="H876">
        <v>196</v>
      </c>
    </row>
    <row r="877" spans="1:8">
      <c r="A877">
        <v>2018</v>
      </c>
      <c r="B877">
        <v>42</v>
      </c>
      <c r="C877" s="2">
        <v>43394</v>
      </c>
      <c r="D877" s="1" t="s">
        <v>378</v>
      </c>
      <c r="E877">
        <v>149</v>
      </c>
      <c r="F877">
        <v>163</v>
      </c>
      <c r="G877">
        <v>130</v>
      </c>
      <c r="H877">
        <v>196</v>
      </c>
    </row>
    <row r="878" spans="1:8">
      <c r="A878">
        <v>2018</v>
      </c>
      <c r="B878">
        <v>43</v>
      </c>
      <c r="C878" s="2">
        <v>43401</v>
      </c>
      <c r="D878" s="1" t="s">
        <v>378</v>
      </c>
      <c r="E878">
        <v>134</v>
      </c>
      <c r="F878">
        <v>163</v>
      </c>
      <c r="G878">
        <v>130</v>
      </c>
      <c r="H878">
        <v>196</v>
      </c>
    </row>
    <row r="879" spans="1:8">
      <c r="A879">
        <v>2018</v>
      </c>
      <c r="B879">
        <v>44</v>
      </c>
      <c r="C879" s="2">
        <v>43408</v>
      </c>
      <c r="D879" s="1" t="s">
        <v>378</v>
      </c>
      <c r="E879">
        <v>149</v>
      </c>
      <c r="F879">
        <v>163</v>
      </c>
      <c r="G879">
        <v>130</v>
      </c>
      <c r="H879">
        <v>196</v>
      </c>
    </row>
    <row r="880" spans="1:8">
      <c r="A880">
        <v>2018</v>
      </c>
      <c r="B880">
        <v>45</v>
      </c>
      <c r="C880" s="2">
        <v>43415</v>
      </c>
      <c r="D880" s="1" t="s">
        <v>378</v>
      </c>
      <c r="E880">
        <v>169</v>
      </c>
      <c r="F880">
        <v>163</v>
      </c>
      <c r="G880">
        <v>130</v>
      </c>
      <c r="H880">
        <v>196</v>
      </c>
    </row>
    <row r="881" spans="1:9">
      <c r="A881">
        <v>2018</v>
      </c>
      <c r="B881">
        <v>46</v>
      </c>
      <c r="C881" s="2">
        <v>43422</v>
      </c>
      <c r="D881" s="1" t="s">
        <v>378</v>
      </c>
      <c r="E881">
        <v>186</v>
      </c>
      <c r="F881">
        <v>163</v>
      </c>
      <c r="G881">
        <v>130</v>
      </c>
      <c r="H881">
        <v>196</v>
      </c>
    </row>
    <row r="882" spans="1:9">
      <c r="A882">
        <v>2018</v>
      </c>
      <c r="B882">
        <v>47</v>
      </c>
      <c r="C882" s="2">
        <v>43429</v>
      </c>
      <c r="D882" s="1" t="s">
        <v>378</v>
      </c>
      <c r="E882">
        <v>164</v>
      </c>
      <c r="F882">
        <v>164</v>
      </c>
      <c r="G882">
        <v>131</v>
      </c>
      <c r="H882">
        <v>197</v>
      </c>
    </row>
    <row r="883" spans="1:9">
      <c r="A883">
        <v>2018</v>
      </c>
      <c r="B883">
        <v>48</v>
      </c>
      <c r="C883" s="2">
        <v>43436</v>
      </c>
      <c r="D883" s="1" t="s">
        <v>378</v>
      </c>
      <c r="E883">
        <v>181</v>
      </c>
      <c r="F883">
        <v>165</v>
      </c>
      <c r="G883">
        <v>132</v>
      </c>
      <c r="H883">
        <v>198</v>
      </c>
    </row>
    <row r="884" spans="1:9">
      <c r="A884">
        <v>2018</v>
      </c>
      <c r="B884">
        <v>49</v>
      </c>
      <c r="C884" s="2">
        <v>43443</v>
      </c>
      <c r="D884" s="1" t="s">
        <v>378</v>
      </c>
      <c r="E884">
        <v>198</v>
      </c>
      <c r="F884">
        <v>166</v>
      </c>
      <c r="G884">
        <v>133</v>
      </c>
      <c r="H884">
        <v>199</v>
      </c>
    </row>
    <row r="885" spans="1:9">
      <c r="A885">
        <v>2018</v>
      </c>
      <c r="B885">
        <v>50</v>
      </c>
      <c r="C885" s="2">
        <v>43450</v>
      </c>
      <c r="D885" s="1" t="s">
        <v>378</v>
      </c>
      <c r="E885">
        <v>161</v>
      </c>
      <c r="F885">
        <v>166</v>
      </c>
      <c r="G885">
        <v>133</v>
      </c>
      <c r="H885">
        <v>200</v>
      </c>
    </row>
    <row r="886" spans="1:9">
      <c r="A886">
        <v>2018</v>
      </c>
      <c r="B886">
        <v>51</v>
      </c>
      <c r="C886" s="2">
        <v>43457</v>
      </c>
      <c r="D886" s="1" t="s">
        <v>378</v>
      </c>
      <c r="E886">
        <v>177</v>
      </c>
      <c r="F886">
        <v>167</v>
      </c>
      <c r="G886">
        <v>134</v>
      </c>
      <c r="H886">
        <v>200</v>
      </c>
    </row>
    <row r="887" spans="1:9">
      <c r="A887">
        <v>2018</v>
      </c>
      <c r="B887">
        <v>52</v>
      </c>
      <c r="C887" s="2">
        <v>43464</v>
      </c>
      <c r="D887" s="1" t="s">
        <v>378</v>
      </c>
      <c r="E887">
        <v>154</v>
      </c>
      <c r="F887">
        <v>168</v>
      </c>
      <c r="G887">
        <v>135</v>
      </c>
      <c r="H887">
        <v>201</v>
      </c>
    </row>
    <row r="888" spans="1:9">
      <c r="A888">
        <v>2018</v>
      </c>
      <c r="B888">
        <v>1</v>
      </c>
      <c r="C888" s="2">
        <v>43107</v>
      </c>
      <c r="D888" s="1" t="s">
        <v>379</v>
      </c>
      <c r="E888">
        <v>1355</v>
      </c>
      <c r="F888">
        <v>1251</v>
      </c>
      <c r="G888">
        <v>1160</v>
      </c>
      <c r="H888">
        <v>1342</v>
      </c>
      <c r="I888">
        <v>1355</v>
      </c>
    </row>
    <row r="889" spans="1:9">
      <c r="A889">
        <v>2018</v>
      </c>
      <c r="B889">
        <v>2</v>
      </c>
      <c r="C889" s="2">
        <v>43114</v>
      </c>
      <c r="D889" s="1" t="s">
        <v>379</v>
      </c>
      <c r="E889">
        <v>1352</v>
      </c>
      <c r="F889">
        <v>1251</v>
      </c>
      <c r="G889">
        <v>1160</v>
      </c>
      <c r="H889">
        <v>1342</v>
      </c>
      <c r="I889">
        <v>1352</v>
      </c>
    </row>
    <row r="890" spans="1:9">
      <c r="A890">
        <v>2018</v>
      </c>
      <c r="B890">
        <v>3</v>
      </c>
      <c r="C890" s="2">
        <v>43121</v>
      </c>
      <c r="D890" s="1" t="s">
        <v>379</v>
      </c>
      <c r="E890">
        <v>1300</v>
      </c>
      <c r="F890">
        <v>1250</v>
      </c>
      <c r="G890">
        <v>1159</v>
      </c>
      <c r="H890">
        <v>1341</v>
      </c>
    </row>
    <row r="891" spans="1:9">
      <c r="A891">
        <v>2018</v>
      </c>
      <c r="B891">
        <v>4</v>
      </c>
      <c r="C891" s="2">
        <v>43128</v>
      </c>
      <c r="D891" s="1" t="s">
        <v>379</v>
      </c>
      <c r="E891">
        <v>1189</v>
      </c>
      <c r="F891">
        <v>1250</v>
      </c>
      <c r="G891">
        <v>1159</v>
      </c>
      <c r="H891">
        <v>1341</v>
      </c>
    </row>
    <row r="892" spans="1:9">
      <c r="A892">
        <v>2018</v>
      </c>
      <c r="B892">
        <v>5</v>
      </c>
      <c r="C892" s="2">
        <v>43135</v>
      </c>
      <c r="D892" s="1" t="s">
        <v>379</v>
      </c>
      <c r="E892">
        <v>1231</v>
      </c>
      <c r="F892">
        <v>1248</v>
      </c>
      <c r="G892">
        <v>1157</v>
      </c>
      <c r="H892">
        <v>1339</v>
      </c>
    </row>
    <row r="893" spans="1:9">
      <c r="A893">
        <v>2018</v>
      </c>
      <c r="B893">
        <v>6</v>
      </c>
      <c r="C893" s="2">
        <v>43142</v>
      </c>
      <c r="D893" s="1" t="s">
        <v>379</v>
      </c>
      <c r="E893">
        <v>1241</v>
      </c>
      <c r="F893">
        <v>1247</v>
      </c>
      <c r="G893">
        <v>1156</v>
      </c>
      <c r="H893">
        <v>1338</v>
      </c>
    </row>
    <row r="894" spans="1:9">
      <c r="A894">
        <v>2018</v>
      </c>
      <c r="B894">
        <v>7</v>
      </c>
      <c r="C894" s="2">
        <v>43149</v>
      </c>
      <c r="D894" s="1" t="s">
        <v>379</v>
      </c>
      <c r="E894">
        <v>1254</v>
      </c>
      <c r="F894">
        <v>1245</v>
      </c>
      <c r="G894">
        <v>1154</v>
      </c>
      <c r="H894">
        <v>1336</v>
      </c>
    </row>
    <row r="895" spans="1:9">
      <c r="A895">
        <v>2018</v>
      </c>
      <c r="B895">
        <v>8</v>
      </c>
      <c r="C895" s="2">
        <v>43156</v>
      </c>
      <c r="D895" s="1" t="s">
        <v>379</v>
      </c>
      <c r="E895">
        <v>1275</v>
      </c>
      <c r="F895">
        <v>1235</v>
      </c>
      <c r="G895">
        <v>1144</v>
      </c>
      <c r="H895">
        <v>1325</v>
      </c>
    </row>
    <row r="896" spans="1:9">
      <c r="A896">
        <v>2018</v>
      </c>
      <c r="B896">
        <v>9</v>
      </c>
      <c r="C896" s="2">
        <v>43163</v>
      </c>
      <c r="D896" s="1" t="s">
        <v>379</v>
      </c>
      <c r="E896">
        <v>1412</v>
      </c>
      <c r="F896">
        <v>1225</v>
      </c>
      <c r="G896">
        <v>1135</v>
      </c>
      <c r="H896">
        <v>1315</v>
      </c>
      <c r="I896">
        <v>1412</v>
      </c>
    </row>
    <row r="897" spans="1:9">
      <c r="A897">
        <v>2018</v>
      </c>
      <c r="B897">
        <v>10</v>
      </c>
      <c r="C897" s="2">
        <v>43170</v>
      </c>
      <c r="D897" s="1" t="s">
        <v>379</v>
      </c>
      <c r="E897">
        <v>1322</v>
      </c>
      <c r="F897">
        <v>1209</v>
      </c>
      <c r="G897">
        <v>1119</v>
      </c>
      <c r="H897">
        <v>1298</v>
      </c>
      <c r="I897">
        <v>1322</v>
      </c>
    </row>
    <row r="898" spans="1:9">
      <c r="A898">
        <v>2018</v>
      </c>
      <c r="B898">
        <v>11</v>
      </c>
      <c r="C898" s="2">
        <v>43177</v>
      </c>
      <c r="D898" s="1" t="s">
        <v>379</v>
      </c>
      <c r="E898">
        <v>1302</v>
      </c>
      <c r="F898">
        <v>1192</v>
      </c>
      <c r="G898">
        <v>1103</v>
      </c>
      <c r="H898">
        <v>1281</v>
      </c>
      <c r="I898">
        <v>1302</v>
      </c>
    </row>
    <row r="899" spans="1:9">
      <c r="A899">
        <v>2018</v>
      </c>
      <c r="B899">
        <v>12</v>
      </c>
      <c r="C899" s="2">
        <v>43184</v>
      </c>
      <c r="D899" s="1" t="s">
        <v>379</v>
      </c>
      <c r="E899">
        <v>1211</v>
      </c>
      <c r="F899">
        <v>1172</v>
      </c>
      <c r="G899">
        <v>1083</v>
      </c>
      <c r="H899">
        <v>1260</v>
      </c>
    </row>
    <row r="900" spans="1:9">
      <c r="A900">
        <v>2018</v>
      </c>
      <c r="B900">
        <v>13</v>
      </c>
      <c r="C900" s="2">
        <v>43191</v>
      </c>
      <c r="D900" s="1" t="s">
        <v>379</v>
      </c>
      <c r="E900">
        <v>1168</v>
      </c>
      <c r="F900">
        <v>1151</v>
      </c>
      <c r="G900">
        <v>1064</v>
      </c>
      <c r="H900">
        <v>1238</v>
      </c>
    </row>
    <row r="901" spans="1:9">
      <c r="A901">
        <v>2018</v>
      </c>
      <c r="B901">
        <v>14</v>
      </c>
      <c r="C901" s="2">
        <v>43198</v>
      </c>
      <c r="D901" s="1" t="s">
        <v>379</v>
      </c>
      <c r="E901">
        <v>1163</v>
      </c>
      <c r="F901">
        <v>1131</v>
      </c>
      <c r="G901">
        <v>1045</v>
      </c>
      <c r="H901">
        <v>1218</v>
      </c>
    </row>
    <row r="902" spans="1:9">
      <c r="A902">
        <v>2018</v>
      </c>
      <c r="B902">
        <v>15</v>
      </c>
      <c r="C902" s="2">
        <v>43205</v>
      </c>
      <c r="D902" s="1" t="s">
        <v>379</v>
      </c>
      <c r="E902">
        <v>1118</v>
      </c>
      <c r="F902">
        <v>1114</v>
      </c>
      <c r="G902">
        <v>1028</v>
      </c>
      <c r="H902">
        <v>1200</v>
      </c>
    </row>
    <row r="903" spans="1:9">
      <c r="A903">
        <v>2018</v>
      </c>
      <c r="B903">
        <v>16</v>
      </c>
      <c r="C903" s="2">
        <v>43212</v>
      </c>
      <c r="D903" s="1" t="s">
        <v>379</v>
      </c>
      <c r="E903">
        <v>1033</v>
      </c>
      <c r="F903">
        <v>1096</v>
      </c>
      <c r="G903">
        <v>1011</v>
      </c>
      <c r="H903">
        <v>1181</v>
      </c>
    </row>
    <row r="904" spans="1:9">
      <c r="A904">
        <v>2018</v>
      </c>
      <c r="B904">
        <v>17</v>
      </c>
      <c r="C904" s="2">
        <v>43219</v>
      </c>
      <c r="D904" s="1" t="s">
        <v>379</v>
      </c>
      <c r="E904">
        <v>967</v>
      </c>
      <c r="F904">
        <v>1079</v>
      </c>
      <c r="G904">
        <v>995</v>
      </c>
      <c r="H904">
        <v>1164</v>
      </c>
    </row>
    <row r="905" spans="1:9">
      <c r="A905">
        <v>2018</v>
      </c>
      <c r="B905">
        <v>18</v>
      </c>
      <c r="C905" s="2">
        <v>43226</v>
      </c>
      <c r="D905" s="1" t="s">
        <v>379</v>
      </c>
      <c r="E905">
        <v>1064</v>
      </c>
      <c r="F905">
        <v>1063</v>
      </c>
      <c r="G905">
        <v>979</v>
      </c>
      <c r="H905">
        <v>1147</v>
      </c>
    </row>
    <row r="906" spans="1:9">
      <c r="A906">
        <v>2018</v>
      </c>
      <c r="B906">
        <v>19</v>
      </c>
      <c r="C906" s="2">
        <v>43233</v>
      </c>
      <c r="D906" s="1" t="s">
        <v>379</v>
      </c>
      <c r="E906">
        <v>1022</v>
      </c>
      <c r="F906">
        <v>1048</v>
      </c>
      <c r="G906">
        <v>965</v>
      </c>
      <c r="H906">
        <v>1132</v>
      </c>
    </row>
    <row r="907" spans="1:9">
      <c r="A907">
        <v>2018</v>
      </c>
      <c r="B907">
        <v>20</v>
      </c>
      <c r="C907" s="2">
        <v>43240</v>
      </c>
      <c r="D907" s="1" t="s">
        <v>379</v>
      </c>
      <c r="E907">
        <v>932</v>
      </c>
      <c r="F907">
        <v>1034</v>
      </c>
      <c r="G907">
        <v>951</v>
      </c>
      <c r="H907">
        <v>1117</v>
      </c>
    </row>
    <row r="908" spans="1:9">
      <c r="A908">
        <v>2018</v>
      </c>
      <c r="B908">
        <v>21</v>
      </c>
      <c r="C908" s="2">
        <v>43247</v>
      </c>
      <c r="D908" s="1" t="s">
        <v>379</v>
      </c>
      <c r="E908">
        <v>1044</v>
      </c>
      <c r="F908">
        <v>1024</v>
      </c>
      <c r="G908">
        <v>942</v>
      </c>
      <c r="H908">
        <v>1106</v>
      </c>
    </row>
    <row r="909" spans="1:9">
      <c r="A909">
        <v>2018</v>
      </c>
      <c r="B909">
        <v>22</v>
      </c>
      <c r="C909" s="2">
        <v>43254</v>
      </c>
      <c r="D909" s="1" t="s">
        <v>379</v>
      </c>
      <c r="E909">
        <v>989</v>
      </c>
      <c r="F909">
        <v>1018</v>
      </c>
      <c r="G909">
        <v>936</v>
      </c>
      <c r="H909">
        <v>1100</v>
      </c>
    </row>
    <row r="910" spans="1:9">
      <c r="A910">
        <v>2018</v>
      </c>
      <c r="B910">
        <v>23</v>
      </c>
      <c r="C910" s="2">
        <v>43261</v>
      </c>
      <c r="D910" s="1" t="s">
        <v>379</v>
      </c>
      <c r="E910">
        <v>984</v>
      </c>
      <c r="F910">
        <v>1012</v>
      </c>
      <c r="G910">
        <v>930</v>
      </c>
      <c r="H910">
        <v>1094</v>
      </c>
    </row>
    <row r="911" spans="1:9">
      <c r="A911">
        <v>2018</v>
      </c>
      <c r="B911">
        <v>24</v>
      </c>
      <c r="C911" s="2">
        <v>43268</v>
      </c>
      <c r="D911" s="1" t="s">
        <v>379</v>
      </c>
      <c r="E911">
        <v>962</v>
      </c>
      <c r="F911">
        <v>1008</v>
      </c>
      <c r="G911">
        <v>926</v>
      </c>
      <c r="H911">
        <v>1090</v>
      </c>
    </row>
    <row r="912" spans="1:9">
      <c r="A912">
        <v>2018</v>
      </c>
      <c r="B912">
        <v>25</v>
      </c>
      <c r="C912" s="2">
        <v>43275</v>
      </c>
      <c r="D912" s="1" t="s">
        <v>379</v>
      </c>
      <c r="E912">
        <v>938</v>
      </c>
      <c r="F912">
        <v>1008</v>
      </c>
      <c r="G912">
        <v>927</v>
      </c>
      <c r="H912">
        <v>1090</v>
      </c>
    </row>
    <row r="913" spans="1:8">
      <c r="A913">
        <v>2018</v>
      </c>
      <c r="B913">
        <v>26</v>
      </c>
      <c r="C913" s="2">
        <v>43282</v>
      </c>
      <c r="D913" s="1" t="s">
        <v>379</v>
      </c>
      <c r="E913">
        <v>1018</v>
      </c>
      <c r="F913">
        <v>1009</v>
      </c>
      <c r="G913">
        <v>927</v>
      </c>
      <c r="H913">
        <v>1090</v>
      </c>
    </row>
    <row r="914" spans="1:8">
      <c r="A914">
        <v>2018</v>
      </c>
      <c r="B914">
        <v>27</v>
      </c>
      <c r="C914" s="2">
        <v>43289</v>
      </c>
      <c r="D914" s="1" t="s">
        <v>379</v>
      </c>
      <c r="E914">
        <v>973</v>
      </c>
      <c r="F914">
        <v>1011</v>
      </c>
      <c r="G914">
        <v>929</v>
      </c>
      <c r="H914">
        <v>1093</v>
      </c>
    </row>
    <row r="915" spans="1:8">
      <c r="A915">
        <v>2018</v>
      </c>
      <c r="B915">
        <v>28</v>
      </c>
      <c r="C915" s="2">
        <v>43296</v>
      </c>
      <c r="D915" s="1" t="s">
        <v>379</v>
      </c>
      <c r="E915">
        <v>918</v>
      </c>
      <c r="F915">
        <v>1012</v>
      </c>
      <c r="G915">
        <v>930</v>
      </c>
      <c r="H915">
        <v>1094</v>
      </c>
    </row>
    <row r="916" spans="1:8">
      <c r="A916">
        <v>2018</v>
      </c>
      <c r="B916">
        <v>29</v>
      </c>
      <c r="C916" s="2">
        <v>43303</v>
      </c>
      <c r="D916" s="1" t="s">
        <v>379</v>
      </c>
      <c r="E916">
        <v>1045</v>
      </c>
      <c r="F916">
        <v>1013</v>
      </c>
      <c r="G916">
        <v>931</v>
      </c>
      <c r="H916">
        <v>1095</v>
      </c>
    </row>
    <row r="917" spans="1:8">
      <c r="A917">
        <v>2018</v>
      </c>
      <c r="B917">
        <v>30</v>
      </c>
      <c r="C917" s="2">
        <v>43310</v>
      </c>
      <c r="D917" s="1" t="s">
        <v>379</v>
      </c>
      <c r="E917">
        <v>1029</v>
      </c>
      <c r="F917">
        <v>1014</v>
      </c>
      <c r="G917">
        <v>932</v>
      </c>
      <c r="H917">
        <v>1096</v>
      </c>
    </row>
    <row r="918" spans="1:8">
      <c r="A918">
        <v>2018</v>
      </c>
      <c r="B918">
        <v>31</v>
      </c>
      <c r="C918" s="2">
        <v>43317</v>
      </c>
      <c r="D918" s="1" t="s">
        <v>379</v>
      </c>
      <c r="E918">
        <v>1056</v>
      </c>
      <c r="F918">
        <v>1016</v>
      </c>
      <c r="G918">
        <v>934</v>
      </c>
      <c r="H918">
        <v>1098</v>
      </c>
    </row>
    <row r="919" spans="1:8">
      <c r="A919">
        <v>2018</v>
      </c>
      <c r="B919">
        <v>32</v>
      </c>
      <c r="C919" s="2">
        <v>43324</v>
      </c>
      <c r="D919" s="1" t="s">
        <v>379</v>
      </c>
      <c r="E919">
        <v>1053</v>
      </c>
      <c r="F919">
        <v>1018</v>
      </c>
      <c r="G919">
        <v>936</v>
      </c>
      <c r="H919">
        <v>1100</v>
      </c>
    </row>
    <row r="920" spans="1:8">
      <c r="A920">
        <v>2018</v>
      </c>
      <c r="B920">
        <v>33</v>
      </c>
      <c r="C920" s="2">
        <v>43331</v>
      </c>
      <c r="D920" s="1" t="s">
        <v>379</v>
      </c>
      <c r="E920">
        <v>1006</v>
      </c>
      <c r="F920">
        <v>1020</v>
      </c>
      <c r="G920">
        <v>938</v>
      </c>
      <c r="H920">
        <v>1102</v>
      </c>
    </row>
    <row r="921" spans="1:8">
      <c r="A921">
        <v>2018</v>
      </c>
      <c r="B921">
        <v>34</v>
      </c>
      <c r="C921" s="2">
        <v>43338</v>
      </c>
      <c r="D921" s="1" t="s">
        <v>379</v>
      </c>
      <c r="E921">
        <v>985</v>
      </c>
      <c r="F921">
        <v>1022</v>
      </c>
      <c r="G921">
        <v>939</v>
      </c>
      <c r="H921">
        <v>1104</v>
      </c>
    </row>
    <row r="922" spans="1:8">
      <c r="A922">
        <v>2018</v>
      </c>
      <c r="B922">
        <v>35</v>
      </c>
      <c r="C922" s="2">
        <v>43345</v>
      </c>
      <c r="D922" s="1" t="s">
        <v>379</v>
      </c>
      <c r="E922">
        <v>1024</v>
      </c>
      <c r="F922">
        <v>1028</v>
      </c>
      <c r="G922">
        <v>945</v>
      </c>
      <c r="H922">
        <v>1110</v>
      </c>
    </row>
    <row r="923" spans="1:8">
      <c r="A923">
        <v>2018</v>
      </c>
      <c r="B923">
        <v>36</v>
      </c>
      <c r="C923" s="2">
        <v>43352</v>
      </c>
      <c r="D923" s="1" t="s">
        <v>379</v>
      </c>
      <c r="E923">
        <v>986</v>
      </c>
      <c r="F923">
        <v>1034</v>
      </c>
      <c r="G923">
        <v>951</v>
      </c>
      <c r="H923">
        <v>1117</v>
      </c>
    </row>
    <row r="924" spans="1:8">
      <c r="A924">
        <v>2018</v>
      </c>
      <c r="B924">
        <v>37</v>
      </c>
      <c r="C924" s="2">
        <v>43359</v>
      </c>
      <c r="D924" s="1" t="s">
        <v>379</v>
      </c>
      <c r="E924">
        <v>1052</v>
      </c>
      <c r="F924">
        <v>1043</v>
      </c>
      <c r="G924">
        <v>960</v>
      </c>
      <c r="H924">
        <v>1126</v>
      </c>
    </row>
    <row r="925" spans="1:8">
      <c r="A925">
        <v>2018</v>
      </c>
      <c r="B925">
        <v>38</v>
      </c>
      <c r="C925" s="2">
        <v>43366</v>
      </c>
      <c r="D925" s="1" t="s">
        <v>379</v>
      </c>
      <c r="E925">
        <v>989</v>
      </c>
      <c r="F925">
        <v>1052</v>
      </c>
      <c r="G925">
        <v>969</v>
      </c>
      <c r="H925">
        <v>1136</v>
      </c>
    </row>
    <row r="926" spans="1:8">
      <c r="A926">
        <v>2018</v>
      </c>
      <c r="B926">
        <v>39</v>
      </c>
      <c r="C926" s="2">
        <v>43373</v>
      </c>
      <c r="D926" s="1" t="s">
        <v>379</v>
      </c>
      <c r="E926">
        <v>1021</v>
      </c>
      <c r="F926">
        <v>1061</v>
      </c>
      <c r="G926">
        <v>977</v>
      </c>
      <c r="H926">
        <v>1145</v>
      </c>
    </row>
    <row r="927" spans="1:8">
      <c r="A927">
        <v>2018</v>
      </c>
      <c r="B927">
        <v>40</v>
      </c>
      <c r="C927" s="2">
        <v>43380</v>
      </c>
      <c r="D927" s="1" t="s">
        <v>379</v>
      </c>
      <c r="E927">
        <v>1042</v>
      </c>
      <c r="F927">
        <v>1072</v>
      </c>
      <c r="G927">
        <v>988</v>
      </c>
      <c r="H927">
        <v>1156</v>
      </c>
    </row>
    <row r="928" spans="1:8">
      <c r="A928">
        <v>2018</v>
      </c>
      <c r="B928">
        <v>41</v>
      </c>
      <c r="C928" s="2">
        <v>43387</v>
      </c>
      <c r="D928" s="1" t="s">
        <v>379</v>
      </c>
      <c r="E928">
        <v>1046</v>
      </c>
      <c r="F928">
        <v>1081</v>
      </c>
      <c r="G928">
        <v>996</v>
      </c>
      <c r="H928">
        <v>1165</v>
      </c>
    </row>
    <row r="929" spans="1:8">
      <c r="A929">
        <v>2018</v>
      </c>
      <c r="B929">
        <v>42</v>
      </c>
      <c r="C929" s="2">
        <v>43394</v>
      </c>
      <c r="D929" s="1" t="s">
        <v>379</v>
      </c>
      <c r="E929">
        <v>1050</v>
      </c>
      <c r="F929">
        <v>1089</v>
      </c>
      <c r="G929">
        <v>1004</v>
      </c>
      <c r="H929">
        <v>1174</v>
      </c>
    </row>
    <row r="930" spans="1:8">
      <c r="A930">
        <v>2018</v>
      </c>
      <c r="B930">
        <v>43</v>
      </c>
      <c r="C930" s="2">
        <v>43401</v>
      </c>
      <c r="D930" s="1" t="s">
        <v>379</v>
      </c>
      <c r="E930">
        <v>1083</v>
      </c>
      <c r="F930">
        <v>1096</v>
      </c>
      <c r="G930">
        <v>1011</v>
      </c>
      <c r="H930">
        <v>1181</v>
      </c>
    </row>
    <row r="931" spans="1:8">
      <c r="A931">
        <v>2018</v>
      </c>
      <c r="B931">
        <v>44</v>
      </c>
      <c r="C931" s="2">
        <v>43408</v>
      </c>
      <c r="D931" s="1" t="s">
        <v>379</v>
      </c>
      <c r="E931">
        <v>1106</v>
      </c>
      <c r="F931">
        <v>1103</v>
      </c>
      <c r="G931">
        <v>1017</v>
      </c>
      <c r="H931">
        <v>1188</v>
      </c>
    </row>
    <row r="932" spans="1:8">
      <c r="A932">
        <v>2018</v>
      </c>
      <c r="B932">
        <v>45</v>
      </c>
      <c r="C932" s="2">
        <v>43415</v>
      </c>
      <c r="D932" s="1" t="s">
        <v>379</v>
      </c>
      <c r="E932">
        <v>1084</v>
      </c>
      <c r="F932">
        <v>1113</v>
      </c>
      <c r="G932">
        <v>1027</v>
      </c>
      <c r="H932">
        <v>1198</v>
      </c>
    </row>
    <row r="933" spans="1:8">
      <c r="A933">
        <v>2018</v>
      </c>
      <c r="B933">
        <v>46</v>
      </c>
      <c r="C933" s="2">
        <v>43422</v>
      </c>
      <c r="D933" s="1" t="s">
        <v>379</v>
      </c>
      <c r="E933">
        <v>1037</v>
      </c>
      <c r="F933">
        <v>1122</v>
      </c>
      <c r="G933">
        <v>1036</v>
      </c>
      <c r="H933">
        <v>1209</v>
      </c>
    </row>
    <row r="934" spans="1:8">
      <c r="A934">
        <v>2018</v>
      </c>
      <c r="B934">
        <v>47</v>
      </c>
      <c r="C934" s="2">
        <v>43429</v>
      </c>
      <c r="D934" s="1" t="s">
        <v>379</v>
      </c>
      <c r="E934">
        <v>1103</v>
      </c>
      <c r="F934">
        <v>1133</v>
      </c>
      <c r="G934">
        <v>1047</v>
      </c>
      <c r="H934">
        <v>1220</v>
      </c>
    </row>
    <row r="935" spans="1:8">
      <c r="A935">
        <v>2018</v>
      </c>
      <c r="B935">
        <v>48</v>
      </c>
      <c r="C935" s="2">
        <v>43436</v>
      </c>
      <c r="D935" s="1" t="s">
        <v>379</v>
      </c>
      <c r="E935">
        <v>1125</v>
      </c>
      <c r="F935">
        <v>1146</v>
      </c>
      <c r="G935">
        <v>1059</v>
      </c>
      <c r="H935">
        <v>1233</v>
      </c>
    </row>
    <row r="936" spans="1:8">
      <c r="A936">
        <v>2018</v>
      </c>
      <c r="B936">
        <v>49</v>
      </c>
      <c r="C936" s="2">
        <v>43443</v>
      </c>
      <c r="D936" s="1" t="s">
        <v>379</v>
      </c>
      <c r="E936">
        <v>1172</v>
      </c>
      <c r="F936">
        <v>1159</v>
      </c>
      <c r="G936">
        <v>1071</v>
      </c>
      <c r="H936">
        <v>1246</v>
      </c>
    </row>
    <row r="937" spans="1:8">
      <c r="A937">
        <v>2018</v>
      </c>
      <c r="B937">
        <v>50</v>
      </c>
      <c r="C937" s="2">
        <v>43450</v>
      </c>
      <c r="D937" s="1" t="s">
        <v>379</v>
      </c>
      <c r="E937">
        <v>1166</v>
      </c>
      <c r="F937">
        <v>1172</v>
      </c>
      <c r="G937">
        <v>1083</v>
      </c>
      <c r="H937">
        <v>1260</v>
      </c>
    </row>
    <row r="938" spans="1:8">
      <c r="A938">
        <v>2018</v>
      </c>
      <c r="B938">
        <v>51</v>
      </c>
      <c r="C938" s="2">
        <v>43457</v>
      </c>
      <c r="D938" s="1" t="s">
        <v>379</v>
      </c>
      <c r="E938">
        <v>1122</v>
      </c>
      <c r="F938">
        <v>1185</v>
      </c>
      <c r="G938">
        <v>1096</v>
      </c>
      <c r="H938">
        <v>1273</v>
      </c>
    </row>
    <row r="939" spans="1:8">
      <c r="A939">
        <v>2018</v>
      </c>
      <c r="B939">
        <v>52</v>
      </c>
      <c r="C939" s="2">
        <v>43464</v>
      </c>
      <c r="D939" s="1" t="s">
        <v>379</v>
      </c>
      <c r="E939">
        <v>1152</v>
      </c>
      <c r="F939">
        <v>1198</v>
      </c>
      <c r="G939">
        <v>1108</v>
      </c>
      <c r="H939">
        <v>1287</v>
      </c>
    </row>
    <row r="940" spans="1:8">
      <c r="A940">
        <v>2019</v>
      </c>
      <c r="B940">
        <v>1</v>
      </c>
      <c r="C940" s="2">
        <v>43471</v>
      </c>
      <c r="D940" s="1" t="s">
        <v>378</v>
      </c>
      <c r="E940">
        <v>156</v>
      </c>
      <c r="F940">
        <v>174</v>
      </c>
      <c r="G940">
        <v>140</v>
      </c>
      <c r="H940">
        <v>208</v>
      </c>
    </row>
    <row r="941" spans="1:8">
      <c r="A941">
        <v>2019</v>
      </c>
      <c r="B941">
        <v>2</v>
      </c>
      <c r="C941" s="2">
        <v>43478</v>
      </c>
      <c r="D941" s="1" t="s">
        <v>378</v>
      </c>
      <c r="E941">
        <v>171</v>
      </c>
      <c r="F941">
        <v>174</v>
      </c>
      <c r="G941">
        <v>140</v>
      </c>
      <c r="H941">
        <v>208</v>
      </c>
    </row>
    <row r="942" spans="1:8">
      <c r="A942">
        <v>2019</v>
      </c>
      <c r="B942">
        <v>3</v>
      </c>
      <c r="C942" s="2">
        <v>43485</v>
      </c>
      <c r="D942" s="1" t="s">
        <v>378</v>
      </c>
      <c r="E942">
        <v>177</v>
      </c>
      <c r="F942">
        <v>175</v>
      </c>
      <c r="G942">
        <v>141</v>
      </c>
      <c r="H942">
        <v>209</v>
      </c>
    </row>
    <row r="943" spans="1:8">
      <c r="A943">
        <v>2019</v>
      </c>
      <c r="B943">
        <v>4</v>
      </c>
      <c r="C943" s="2">
        <v>43492</v>
      </c>
      <c r="D943" s="1" t="s">
        <v>378</v>
      </c>
      <c r="E943">
        <v>172</v>
      </c>
      <c r="F943">
        <v>176</v>
      </c>
      <c r="G943">
        <v>142</v>
      </c>
      <c r="H943">
        <v>210</v>
      </c>
    </row>
    <row r="944" spans="1:8">
      <c r="A944">
        <v>2019</v>
      </c>
      <c r="B944">
        <v>5</v>
      </c>
      <c r="C944" s="2">
        <v>43499</v>
      </c>
      <c r="D944" s="1" t="s">
        <v>378</v>
      </c>
      <c r="E944">
        <v>170</v>
      </c>
      <c r="F944">
        <v>176</v>
      </c>
      <c r="G944">
        <v>142</v>
      </c>
      <c r="H944">
        <v>210</v>
      </c>
    </row>
    <row r="945" spans="1:9">
      <c r="A945">
        <v>2019</v>
      </c>
      <c r="B945">
        <v>6</v>
      </c>
      <c r="C945" s="2">
        <v>43506</v>
      </c>
      <c r="D945" s="1" t="s">
        <v>378</v>
      </c>
      <c r="E945">
        <v>162</v>
      </c>
      <c r="F945">
        <v>177</v>
      </c>
      <c r="G945">
        <v>142</v>
      </c>
      <c r="H945">
        <v>211</v>
      </c>
    </row>
    <row r="946" spans="1:9">
      <c r="A946">
        <v>2019</v>
      </c>
      <c r="B946">
        <v>7</v>
      </c>
      <c r="C946" s="2">
        <v>43513</v>
      </c>
      <c r="D946" s="1" t="s">
        <v>378</v>
      </c>
      <c r="E946">
        <v>175</v>
      </c>
      <c r="F946">
        <v>177</v>
      </c>
      <c r="G946">
        <v>143</v>
      </c>
      <c r="H946">
        <v>211</v>
      </c>
    </row>
    <row r="947" spans="1:9">
      <c r="A947">
        <v>2019</v>
      </c>
      <c r="B947">
        <v>8</v>
      </c>
      <c r="C947" s="2">
        <v>43520</v>
      </c>
      <c r="D947" s="1" t="s">
        <v>378</v>
      </c>
      <c r="E947">
        <v>159</v>
      </c>
      <c r="F947">
        <v>176</v>
      </c>
      <c r="G947">
        <v>142</v>
      </c>
      <c r="H947">
        <v>210</v>
      </c>
    </row>
    <row r="948" spans="1:9">
      <c r="A948">
        <v>2019</v>
      </c>
      <c r="B948">
        <v>9</v>
      </c>
      <c r="C948" s="2">
        <v>43527</v>
      </c>
      <c r="D948" s="1" t="s">
        <v>378</v>
      </c>
      <c r="E948">
        <v>184</v>
      </c>
      <c r="F948">
        <v>174</v>
      </c>
      <c r="G948">
        <v>140</v>
      </c>
      <c r="H948">
        <v>208</v>
      </c>
    </row>
    <row r="949" spans="1:9">
      <c r="A949">
        <v>2019</v>
      </c>
      <c r="B949">
        <v>10</v>
      </c>
      <c r="C949" s="2">
        <v>43534</v>
      </c>
      <c r="D949" s="1" t="s">
        <v>378</v>
      </c>
      <c r="E949">
        <v>178</v>
      </c>
      <c r="F949">
        <v>172</v>
      </c>
      <c r="G949">
        <v>138</v>
      </c>
      <c r="H949">
        <v>206</v>
      </c>
    </row>
    <row r="950" spans="1:9">
      <c r="A950">
        <v>2019</v>
      </c>
      <c r="B950">
        <v>11</v>
      </c>
      <c r="C950" s="2">
        <v>43541</v>
      </c>
      <c r="D950" s="1" t="s">
        <v>378</v>
      </c>
      <c r="E950">
        <v>147</v>
      </c>
      <c r="F950">
        <v>170</v>
      </c>
      <c r="G950">
        <v>136</v>
      </c>
      <c r="H950">
        <v>204</v>
      </c>
    </row>
    <row r="951" spans="1:9">
      <c r="A951">
        <v>2019</v>
      </c>
      <c r="B951">
        <v>12</v>
      </c>
      <c r="C951" s="2">
        <v>43548</v>
      </c>
      <c r="D951" s="1" t="s">
        <v>378</v>
      </c>
      <c r="E951">
        <v>180</v>
      </c>
      <c r="F951">
        <v>167</v>
      </c>
      <c r="G951">
        <v>134</v>
      </c>
      <c r="H951">
        <v>201</v>
      </c>
    </row>
    <row r="952" spans="1:9">
      <c r="A952">
        <v>2019</v>
      </c>
      <c r="B952">
        <v>13</v>
      </c>
      <c r="C952" s="2">
        <v>43555</v>
      </c>
      <c r="D952" s="1" t="s">
        <v>378</v>
      </c>
      <c r="E952">
        <v>182</v>
      </c>
      <c r="F952">
        <v>165</v>
      </c>
      <c r="G952">
        <v>132</v>
      </c>
      <c r="H952">
        <v>198</v>
      </c>
    </row>
    <row r="953" spans="1:9">
      <c r="A953">
        <v>2019</v>
      </c>
      <c r="B953">
        <v>14</v>
      </c>
      <c r="C953" s="2">
        <v>43562</v>
      </c>
      <c r="D953" s="1" t="s">
        <v>378</v>
      </c>
      <c r="E953">
        <v>175</v>
      </c>
      <c r="F953">
        <v>162</v>
      </c>
      <c r="G953">
        <v>129</v>
      </c>
      <c r="H953">
        <v>195</v>
      </c>
    </row>
    <row r="954" spans="1:9">
      <c r="A954">
        <v>2019</v>
      </c>
      <c r="B954">
        <v>15</v>
      </c>
      <c r="C954" s="2">
        <v>43569</v>
      </c>
      <c r="D954" s="1" t="s">
        <v>378</v>
      </c>
      <c r="E954">
        <v>143</v>
      </c>
      <c r="F954">
        <v>161</v>
      </c>
      <c r="G954">
        <v>128</v>
      </c>
      <c r="H954">
        <v>194</v>
      </c>
    </row>
    <row r="955" spans="1:9">
      <c r="A955">
        <v>2019</v>
      </c>
      <c r="B955">
        <v>16</v>
      </c>
      <c r="C955" s="2">
        <v>43576</v>
      </c>
      <c r="D955" s="1" t="s">
        <v>378</v>
      </c>
      <c r="E955">
        <v>172</v>
      </c>
      <c r="F955">
        <v>159</v>
      </c>
      <c r="G955">
        <v>127</v>
      </c>
      <c r="H955">
        <v>192</v>
      </c>
    </row>
    <row r="956" spans="1:9">
      <c r="A956">
        <v>2019</v>
      </c>
      <c r="B956">
        <v>17</v>
      </c>
      <c r="C956" s="2">
        <v>43583</v>
      </c>
      <c r="D956" s="1" t="s">
        <v>378</v>
      </c>
      <c r="E956">
        <v>151</v>
      </c>
      <c r="F956">
        <v>159</v>
      </c>
      <c r="G956">
        <v>126</v>
      </c>
      <c r="H956">
        <v>191</v>
      </c>
    </row>
    <row r="957" spans="1:9">
      <c r="A957">
        <v>2019</v>
      </c>
      <c r="B957">
        <v>18</v>
      </c>
      <c r="C957" s="2">
        <v>43590</v>
      </c>
      <c r="D957" s="1" t="s">
        <v>378</v>
      </c>
      <c r="E957">
        <v>146</v>
      </c>
      <c r="F957">
        <v>158</v>
      </c>
      <c r="G957">
        <v>126</v>
      </c>
      <c r="H957">
        <v>191</v>
      </c>
    </row>
    <row r="958" spans="1:9">
      <c r="A958">
        <v>2019</v>
      </c>
      <c r="B958">
        <v>19</v>
      </c>
      <c r="C958" s="2">
        <v>43597</v>
      </c>
      <c r="D958" s="1" t="s">
        <v>378</v>
      </c>
      <c r="E958">
        <v>197</v>
      </c>
      <c r="F958">
        <v>158</v>
      </c>
      <c r="G958">
        <v>126</v>
      </c>
      <c r="H958">
        <v>191</v>
      </c>
      <c r="I958">
        <v>197</v>
      </c>
    </row>
    <row r="959" spans="1:9">
      <c r="A959">
        <v>2019</v>
      </c>
      <c r="B959">
        <v>20</v>
      </c>
      <c r="C959" s="2">
        <v>43604</v>
      </c>
      <c r="D959" s="1" t="s">
        <v>378</v>
      </c>
      <c r="E959">
        <v>164</v>
      </c>
      <c r="F959">
        <v>158</v>
      </c>
      <c r="G959">
        <v>126</v>
      </c>
      <c r="H959">
        <v>191</v>
      </c>
    </row>
    <row r="960" spans="1:9">
      <c r="A960">
        <v>2019</v>
      </c>
      <c r="B960">
        <v>21</v>
      </c>
      <c r="C960" s="2">
        <v>43611</v>
      </c>
      <c r="D960" s="1" t="s">
        <v>378</v>
      </c>
      <c r="E960">
        <v>180</v>
      </c>
      <c r="F960">
        <v>159</v>
      </c>
      <c r="G960">
        <v>126</v>
      </c>
      <c r="H960">
        <v>191</v>
      </c>
    </row>
    <row r="961" spans="1:8">
      <c r="A961">
        <v>2019</v>
      </c>
      <c r="B961">
        <v>22</v>
      </c>
      <c r="C961" s="2">
        <v>43618</v>
      </c>
      <c r="D961" s="1" t="s">
        <v>378</v>
      </c>
      <c r="E961">
        <v>158</v>
      </c>
      <c r="F961">
        <v>159</v>
      </c>
      <c r="G961">
        <v>127</v>
      </c>
      <c r="H961">
        <v>192</v>
      </c>
    </row>
    <row r="962" spans="1:8">
      <c r="A962">
        <v>2019</v>
      </c>
      <c r="B962">
        <v>23</v>
      </c>
      <c r="C962" s="2">
        <v>43625</v>
      </c>
      <c r="D962" s="1" t="s">
        <v>378</v>
      </c>
      <c r="E962">
        <v>154</v>
      </c>
      <c r="F962">
        <v>160</v>
      </c>
      <c r="G962">
        <v>127</v>
      </c>
      <c r="H962">
        <v>192</v>
      </c>
    </row>
    <row r="963" spans="1:8">
      <c r="A963">
        <v>2019</v>
      </c>
      <c r="B963">
        <v>24</v>
      </c>
      <c r="C963" s="2">
        <v>43632</v>
      </c>
      <c r="D963" s="1" t="s">
        <v>378</v>
      </c>
      <c r="E963">
        <v>177</v>
      </c>
      <c r="F963">
        <v>160</v>
      </c>
      <c r="G963">
        <v>127</v>
      </c>
      <c r="H963">
        <v>192</v>
      </c>
    </row>
    <row r="964" spans="1:8">
      <c r="A964">
        <v>2019</v>
      </c>
      <c r="B964">
        <v>25</v>
      </c>
      <c r="C964" s="2">
        <v>43639</v>
      </c>
      <c r="D964" s="1" t="s">
        <v>378</v>
      </c>
      <c r="E964">
        <v>179</v>
      </c>
      <c r="F964">
        <v>159</v>
      </c>
      <c r="G964">
        <v>127</v>
      </c>
      <c r="H964">
        <v>192</v>
      </c>
    </row>
    <row r="965" spans="1:8">
      <c r="A965">
        <v>2019</v>
      </c>
      <c r="B965">
        <v>26</v>
      </c>
      <c r="C965" s="2">
        <v>43646</v>
      </c>
      <c r="D965" s="1" t="s">
        <v>378</v>
      </c>
      <c r="E965">
        <v>161</v>
      </c>
      <c r="F965">
        <v>159</v>
      </c>
      <c r="G965">
        <v>127</v>
      </c>
      <c r="H965">
        <v>191</v>
      </c>
    </row>
    <row r="966" spans="1:8">
      <c r="A966">
        <v>2019</v>
      </c>
      <c r="B966">
        <v>27</v>
      </c>
      <c r="C966" s="2">
        <v>43653</v>
      </c>
      <c r="D966" s="1" t="s">
        <v>378</v>
      </c>
      <c r="E966">
        <v>177</v>
      </c>
      <c r="F966">
        <v>159</v>
      </c>
      <c r="G966">
        <v>126</v>
      </c>
      <c r="H966">
        <v>191</v>
      </c>
    </row>
    <row r="967" spans="1:8">
      <c r="A967">
        <v>2019</v>
      </c>
      <c r="B967">
        <v>28</v>
      </c>
      <c r="C967" s="2">
        <v>43660</v>
      </c>
      <c r="D967" s="1" t="s">
        <v>378</v>
      </c>
      <c r="E967">
        <v>166</v>
      </c>
      <c r="F967">
        <v>159</v>
      </c>
      <c r="G967">
        <v>126</v>
      </c>
      <c r="H967">
        <v>191</v>
      </c>
    </row>
    <row r="968" spans="1:8">
      <c r="A968">
        <v>2019</v>
      </c>
      <c r="B968">
        <v>29</v>
      </c>
      <c r="C968" s="2">
        <v>43667</v>
      </c>
      <c r="D968" s="1" t="s">
        <v>378</v>
      </c>
      <c r="E968">
        <v>163</v>
      </c>
      <c r="F968">
        <v>159</v>
      </c>
      <c r="G968">
        <v>126</v>
      </c>
      <c r="H968">
        <v>191</v>
      </c>
    </row>
    <row r="969" spans="1:8">
      <c r="A969">
        <v>2019</v>
      </c>
      <c r="B969">
        <v>30</v>
      </c>
      <c r="C969" s="2">
        <v>43674</v>
      </c>
      <c r="D969" s="1" t="s">
        <v>378</v>
      </c>
      <c r="E969">
        <v>138</v>
      </c>
      <c r="F969">
        <v>158</v>
      </c>
      <c r="G969">
        <v>126</v>
      </c>
      <c r="H969">
        <v>191</v>
      </c>
    </row>
    <row r="970" spans="1:8">
      <c r="A970">
        <v>2019</v>
      </c>
      <c r="B970">
        <v>31</v>
      </c>
      <c r="C970" s="2">
        <v>43681</v>
      </c>
      <c r="D970" s="1" t="s">
        <v>378</v>
      </c>
      <c r="E970">
        <v>147</v>
      </c>
      <c r="F970">
        <v>158</v>
      </c>
      <c r="G970">
        <v>126</v>
      </c>
      <c r="H970">
        <v>190</v>
      </c>
    </row>
    <row r="971" spans="1:8">
      <c r="A971">
        <v>2019</v>
      </c>
      <c r="B971">
        <v>32</v>
      </c>
      <c r="C971" s="2">
        <v>43688</v>
      </c>
      <c r="D971" s="1" t="s">
        <v>378</v>
      </c>
      <c r="E971">
        <v>154</v>
      </c>
      <c r="F971">
        <v>158</v>
      </c>
      <c r="G971">
        <v>126</v>
      </c>
      <c r="H971">
        <v>191</v>
      </c>
    </row>
    <row r="972" spans="1:8">
      <c r="A972">
        <v>2019</v>
      </c>
      <c r="B972">
        <v>33</v>
      </c>
      <c r="C972" s="2">
        <v>43695</v>
      </c>
      <c r="D972" s="1" t="s">
        <v>378</v>
      </c>
      <c r="E972">
        <v>148</v>
      </c>
      <c r="F972">
        <v>158</v>
      </c>
      <c r="G972">
        <v>126</v>
      </c>
      <c r="H972">
        <v>191</v>
      </c>
    </row>
    <row r="973" spans="1:8">
      <c r="A973">
        <v>2019</v>
      </c>
      <c r="B973">
        <v>34</v>
      </c>
      <c r="C973" s="2">
        <v>43702</v>
      </c>
      <c r="D973" s="1" t="s">
        <v>378</v>
      </c>
      <c r="E973">
        <v>167</v>
      </c>
      <c r="F973">
        <v>159</v>
      </c>
      <c r="G973">
        <v>126</v>
      </c>
      <c r="H973">
        <v>191</v>
      </c>
    </row>
    <row r="974" spans="1:8">
      <c r="A974">
        <v>2019</v>
      </c>
      <c r="B974">
        <v>35</v>
      </c>
      <c r="C974" s="2">
        <v>43709</v>
      </c>
      <c r="D974" s="1" t="s">
        <v>378</v>
      </c>
      <c r="E974">
        <v>137</v>
      </c>
      <c r="F974">
        <v>160</v>
      </c>
      <c r="G974">
        <v>127</v>
      </c>
      <c r="H974">
        <v>192</v>
      </c>
    </row>
    <row r="975" spans="1:8">
      <c r="A975">
        <v>2019</v>
      </c>
      <c r="B975">
        <v>36</v>
      </c>
      <c r="C975" s="2">
        <v>43716</v>
      </c>
      <c r="D975" s="1" t="s">
        <v>378</v>
      </c>
      <c r="E975">
        <v>141</v>
      </c>
      <c r="F975">
        <v>160</v>
      </c>
      <c r="G975">
        <v>128</v>
      </c>
      <c r="H975">
        <v>193</v>
      </c>
    </row>
    <row r="976" spans="1:8">
      <c r="A976">
        <v>2019</v>
      </c>
      <c r="B976">
        <v>37</v>
      </c>
      <c r="C976" s="2">
        <v>43723</v>
      </c>
      <c r="D976" s="1" t="s">
        <v>378</v>
      </c>
      <c r="E976">
        <v>164</v>
      </c>
      <c r="F976">
        <v>161</v>
      </c>
      <c r="G976">
        <v>128</v>
      </c>
      <c r="H976">
        <v>193</v>
      </c>
    </row>
    <row r="977" spans="1:8">
      <c r="A977">
        <v>2019</v>
      </c>
      <c r="B977">
        <v>38</v>
      </c>
      <c r="C977" s="2">
        <v>43730</v>
      </c>
      <c r="D977" s="1" t="s">
        <v>378</v>
      </c>
      <c r="E977">
        <v>174</v>
      </c>
      <c r="F977">
        <v>161</v>
      </c>
      <c r="G977">
        <v>128</v>
      </c>
      <c r="H977">
        <v>194</v>
      </c>
    </row>
    <row r="978" spans="1:8">
      <c r="A978">
        <v>2019</v>
      </c>
      <c r="B978">
        <v>39</v>
      </c>
      <c r="C978" s="2">
        <v>43737</v>
      </c>
      <c r="D978" s="1" t="s">
        <v>378</v>
      </c>
      <c r="E978">
        <v>163</v>
      </c>
      <c r="F978">
        <v>161</v>
      </c>
      <c r="G978">
        <v>128</v>
      </c>
      <c r="H978">
        <v>194</v>
      </c>
    </row>
    <row r="979" spans="1:8">
      <c r="A979">
        <v>2019</v>
      </c>
      <c r="B979">
        <v>40</v>
      </c>
      <c r="C979" s="2">
        <v>43744</v>
      </c>
      <c r="D979" s="1" t="s">
        <v>378</v>
      </c>
      <c r="E979">
        <v>166</v>
      </c>
      <c r="F979">
        <v>161</v>
      </c>
      <c r="G979">
        <v>129</v>
      </c>
      <c r="H979">
        <v>194</v>
      </c>
    </row>
    <row r="980" spans="1:8">
      <c r="A980">
        <v>2019</v>
      </c>
      <c r="B980">
        <v>41</v>
      </c>
      <c r="C980" s="2">
        <v>43751</v>
      </c>
      <c r="D980" s="1" t="s">
        <v>378</v>
      </c>
      <c r="E980">
        <v>176</v>
      </c>
      <c r="F980">
        <v>162</v>
      </c>
      <c r="G980">
        <v>129</v>
      </c>
      <c r="H980">
        <v>194</v>
      </c>
    </row>
    <row r="981" spans="1:8">
      <c r="A981">
        <v>2019</v>
      </c>
      <c r="B981">
        <v>42</v>
      </c>
      <c r="C981" s="2">
        <v>43758</v>
      </c>
      <c r="D981" s="1" t="s">
        <v>378</v>
      </c>
      <c r="E981">
        <v>174</v>
      </c>
      <c r="F981">
        <v>162</v>
      </c>
      <c r="G981">
        <v>129</v>
      </c>
      <c r="H981">
        <v>195</v>
      </c>
    </row>
    <row r="982" spans="1:8">
      <c r="A982">
        <v>2019</v>
      </c>
      <c r="B982">
        <v>43</v>
      </c>
      <c r="C982" s="2">
        <v>43765</v>
      </c>
      <c r="D982" s="1" t="s">
        <v>378</v>
      </c>
      <c r="E982">
        <v>160</v>
      </c>
      <c r="F982">
        <v>162</v>
      </c>
      <c r="G982">
        <v>130</v>
      </c>
      <c r="H982">
        <v>195</v>
      </c>
    </row>
    <row r="983" spans="1:8">
      <c r="A983">
        <v>2019</v>
      </c>
      <c r="B983">
        <v>44</v>
      </c>
      <c r="C983" s="2">
        <v>43772</v>
      </c>
      <c r="D983" s="1" t="s">
        <v>378</v>
      </c>
      <c r="E983">
        <v>152</v>
      </c>
      <c r="F983">
        <v>163</v>
      </c>
      <c r="G983">
        <v>130</v>
      </c>
      <c r="H983">
        <v>195</v>
      </c>
    </row>
    <row r="984" spans="1:8">
      <c r="A984">
        <v>2019</v>
      </c>
      <c r="B984">
        <v>45</v>
      </c>
      <c r="C984" s="2">
        <v>43779</v>
      </c>
      <c r="D984" s="1" t="s">
        <v>378</v>
      </c>
      <c r="E984">
        <v>130</v>
      </c>
      <c r="F984">
        <v>163</v>
      </c>
      <c r="G984">
        <v>130</v>
      </c>
      <c r="H984">
        <v>196</v>
      </c>
    </row>
    <row r="985" spans="1:8">
      <c r="A985">
        <v>2019</v>
      </c>
      <c r="B985">
        <v>46</v>
      </c>
      <c r="C985" s="2">
        <v>43786</v>
      </c>
      <c r="D985" s="1" t="s">
        <v>378</v>
      </c>
      <c r="E985">
        <v>155</v>
      </c>
      <c r="F985">
        <v>164</v>
      </c>
      <c r="G985">
        <v>131</v>
      </c>
      <c r="H985">
        <v>197</v>
      </c>
    </row>
    <row r="986" spans="1:8">
      <c r="A986">
        <v>2019</v>
      </c>
      <c r="B986">
        <v>47</v>
      </c>
      <c r="C986" s="2">
        <v>43793</v>
      </c>
      <c r="D986" s="1" t="s">
        <v>378</v>
      </c>
      <c r="E986">
        <v>156</v>
      </c>
      <c r="F986">
        <v>165</v>
      </c>
      <c r="G986">
        <v>132</v>
      </c>
      <c r="H986">
        <v>198</v>
      </c>
    </row>
    <row r="987" spans="1:8">
      <c r="A987">
        <v>2019</v>
      </c>
      <c r="B987">
        <v>48</v>
      </c>
      <c r="C987" s="2">
        <v>43800</v>
      </c>
      <c r="D987" s="1" t="s">
        <v>378</v>
      </c>
      <c r="E987">
        <v>171</v>
      </c>
      <c r="F987">
        <v>165</v>
      </c>
      <c r="G987">
        <v>132</v>
      </c>
      <c r="H987">
        <v>199</v>
      </c>
    </row>
    <row r="988" spans="1:8">
      <c r="A988">
        <v>2019</v>
      </c>
      <c r="B988">
        <v>49</v>
      </c>
      <c r="C988" s="2">
        <v>43807</v>
      </c>
      <c r="D988" s="1" t="s">
        <v>378</v>
      </c>
      <c r="E988">
        <v>138</v>
      </c>
      <c r="F988">
        <v>166</v>
      </c>
      <c r="G988">
        <v>133</v>
      </c>
      <c r="H988">
        <v>199</v>
      </c>
    </row>
    <row r="989" spans="1:8">
      <c r="A989">
        <v>2019</v>
      </c>
      <c r="B989">
        <v>50</v>
      </c>
      <c r="C989" s="2">
        <v>43814</v>
      </c>
      <c r="D989" s="1" t="s">
        <v>378</v>
      </c>
      <c r="E989">
        <v>163</v>
      </c>
      <c r="F989">
        <v>167</v>
      </c>
      <c r="G989">
        <v>133</v>
      </c>
      <c r="H989">
        <v>200</v>
      </c>
    </row>
    <row r="990" spans="1:8">
      <c r="A990">
        <v>2019</v>
      </c>
      <c r="B990">
        <v>51</v>
      </c>
      <c r="C990" s="2">
        <v>43821</v>
      </c>
      <c r="D990" s="1" t="s">
        <v>378</v>
      </c>
      <c r="E990">
        <v>175</v>
      </c>
      <c r="F990">
        <v>167</v>
      </c>
      <c r="G990">
        <v>134</v>
      </c>
      <c r="H990">
        <v>201</v>
      </c>
    </row>
    <row r="991" spans="1:8">
      <c r="A991">
        <v>2019</v>
      </c>
      <c r="B991">
        <v>52</v>
      </c>
      <c r="C991" s="2">
        <v>43828</v>
      </c>
      <c r="D991" s="1" t="s">
        <v>378</v>
      </c>
      <c r="E991">
        <v>147</v>
      </c>
      <c r="F991">
        <v>168</v>
      </c>
      <c r="G991">
        <v>135</v>
      </c>
      <c r="H991">
        <v>201</v>
      </c>
    </row>
    <row r="992" spans="1:8">
      <c r="A992">
        <v>2019</v>
      </c>
      <c r="B992">
        <v>1</v>
      </c>
      <c r="C992" s="2">
        <v>43471</v>
      </c>
      <c r="D992" s="1" t="s">
        <v>379</v>
      </c>
      <c r="E992">
        <v>1174</v>
      </c>
      <c r="F992">
        <v>1247</v>
      </c>
      <c r="G992">
        <v>1156</v>
      </c>
      <c r="H992">
        <v>1338</v>
      </c>
    </row>
    <row r="993" spans="1:9">
      <c r="A993">
        <v>2019</v>
      </c>
      <c r="B993">
        <v>2</v>
      </c>
      <c r="C993" s="2">
        <v>43478</v>
      </c>
      <c r="D993" s="1" t="s">
        <v>379</v>
      </c>
      <c r="E993">
        <v>1199</v>
      </c>
      <c r="F993">
        <v>1253</v>
      </c>
      <c r="G993">
        <v>1162</v>
      </c>
      <c r="H993">
        <v>1344</v>
      </c>
    </row>
    <row r="994" spans="1:9">
      <c r="A994">
        <v>2019</v>
      </c>
      <c r="B994">
        <v>3</v>
      </c>
      <c r="C994" s="2">
        <v>43485</v>
      </c>
      <c r="D994" s="1" t="s">
        <v>379</v>
      </c>
      <c r="E994">
        <v>1170</v>
      </c>
      <c r="F994">
        <v>1258</v>
      </c>
      <c r="G994">
        <v>1167</v>
      </c>
      <c r="H994">
        <v>1349</v>
      </c>
    </row>
    <row r="995" spans="1:9">
      <c r="A995">
        <v>2019</v>
      </c>
      <c r="B995">
        <v>4</v>
      </c>
      <c r="C995" s="2">
        <v>43492</v>
      </c>
      <c r="D995" s="1" t="s">
        <v>379</v>
      </c>
      <c r="E995">
        <v>1219</v>
      </c>
      <c r="F995">
        <v>1263</v>
      </c>
      <c r="G995">
        <v>1172</v>
      </c>
      <c r="H995">
        <v>1355</v>
      </c>
    </row>
    <row r="996" spans="1:9">
      <c r="A996">
        <v>2019</v>
      </c>
      <c r="B996">
        <v>5</v>
      </c>
      <c r="C996" s="2">
        <v>43499</v>
      </c>
      <c r="D996" s="1" t="s">
        <v>379</v>
      </c>
      <c r="E996">
        <v>1255</v>
      </c>
      <c r="F996">
        <v>1267</v>
      </c>
      <c r="G996">
        <v>1176</v>
      </c>
      <c r="H996">
        <v>1359</v>
      </c>
    </row>
    <row r="997" spans="1:9">
      <c r="A997">
        <v>2019</v>
      </c>
      <c r="B997">
        <v>6</v>
      </c>
      <c r="C997" s="2">
        <v>43506</v>
      </c>
      <c r="D997" s="1" t="s">
        <v>379</v>
      </c>
      <c r="E997">
        <v>1308</v>
      </c>
      <c r="F997">
        <v>1272</v>
      </c>
      <c r="G997">
        <v>1180</v>
      </c>
      <c r="H997">
        <v>1363</v>
      </c>
    </row>
    <row r="998" spans="1:9">
      <c r="A998">
        <v>2019</v>
      </c>
      <c r="B998">
        <v>7</v>
      </c>
      <c r="C998" s="2">
        <v>43513</v>
      </c>
      <c r="D998" s="1" t="s">
        <v>379</v>
      </c>
      <c r="E998">
        <v>1373</v>
      </c>
      <c r="F998">
        <v>1268</v>
      </c>
      <c r="G998">
        <v>1177</v>
      </c>
      <c r="H998">
        <v>1360</v>
      </c>
      <c r="I998">
        <v>1373</v>
      </c>
    </row>
    <row r="999" spans="1:9">
      <c r="A999">
        <v>2019</v>
      </c>
      <c r="B999">
        <v>8</v>
      </c>
      <c r="C999" s="2">
        <v>43520</v>
      </c>
      <c r="D999" s="1" t="s">
        <v>379</v>
      </c>
      <c r="E999">
        <v>1354</v>
      </c>
      <c r="F999">
        <v>1255</v>
      </c>
      <c r="G999">
        <v>1163</v>
      </c>
      <c r="H999">
        <v>1346</v>
      </c>
      <c r="I999">
        <v>1354</v>
      </c>
    </row>
    <row r="1000" spans="1:9">
      <c r="A1000">
        <v>2019</v>
      </c>
      <c r="B1000">
        <v>9</v>
      </c>
      <c r="C1000" s="2">
        <v>43527</v>
      </c>
      <c r="D1000" s="1" t="s">
        <v>379</v>
      </c>
      <c r="E1000">
        <v>1334</v>
      </c>
      <c r="F1000">
        <v>1241</v>
      </c>
      <c r="G1000">
        <v>1150</v>
      </c>
      <c r="H1000">
        <v>1332</v>
      </c>
      <c r="I1000">
        <v>1334</v>
      </c>
    </row>
    <row r="1001" spans="1:9">
      <c r="A1001">
        <v>2019</v>
      </c>
      <c r="B1001">
        <v>10</v>
      </c>
      <c r="C1001" s="2">
        <v>43534</v>
      </c>
      <c r="D1001" s="1" t="s">
        <v>379</v>
      </c>
      <c r="E1001">
        <v>1269</v>
      </c>
      <c r="F1001">
        <v>1219</v>
      </c>
      <c r="G1001">
        <v>1129</v>
      </c>
      <c r="H1001">
        <v>1309</v>
      </c>
    </row>
    <row r="1002" spans="1:9">
      <c r="A1002">
        <v>2019</v>
      </c>
      <c r="B1002">
        <v>11</v>
      </c>
      <c r="C1002" s="2">
        <v>43541</v>
      </c>
      <c r="D1002" s="1" t="s">
        <v>379</v>
      </c>
      <c r="E1002">
        <v>1223</v>
      </c>
      <c r="F1002">
        <v>1196</v>
      </c>
      <c r="G1002">
        <v>1107</v>
      </c>
      <c r="H1002">
        <v>1285</v>
      </c>
    </row>
    <row r="1003" spans="1:9">
      <c r="A1003">
        <v>2019</v>
      </c>
      <c r="B1003">
        <v>12</v>
      </c>
      <c r="C1003" s="2">
        <v>43548</v>
      </c>
      <c r="D1003" s="1" t="s">
        <v>379</v>
      </c>
      <c r="E1003">
        <v>1159</v>
      </c>
      <c r="F1003">
        <v>1173</v>
      </c>
      <c r="G1003">
        <v>1085</v>
      </c>
      <c r="H1003">
        <v>1262</v>
      </c>
    </row>
    <row r="1004" spans="1:9">
      <c r="A1004">
        <v>2019</v>
      </c>
      <c r="B1004">
        <v>13</v>
      </c>
      <c r="C1004" s="2">
        <v>43555</v>
      </c>
      <c r="D1004" s="1" t="s">
        <v>379</v>
      </c>
      <c r="E1004">
        <v>1124</v>
      </c>
      <c r="F1004">
        <v>1150</v>
      </c>
      <c r="G1004">
        <v>1063</v>
      </c>
      <c r="H1004">
        <v>1238</v>
      </c>
    </row>
    <row r="1005" spans="1:9">
      <c r="A1005">
        <v>2019</v>
      </c>
      <c r="B1005">
        <v>14</v>
      </c>
      <c r="C1005" s="2">
        <v>43562</v>
      </c>
      <c r="D1005" s="1" t="s">
        <v>379</v>
      </c>
      <c r="E1005">
        <v>1199</v>
      </c>
      <c r="F1005">
        <v>1130</v>
      </c>
      <c r="G1005">
        <v>1043</v>
      </c>
      <c r="H1005">
        <v>1216</v>
      </c>
    </row>
    <row r="1006" spans="1:9">
      <c r="A1006">
        <v>2019</v>
      </c>
      <c r="B1006">
        <v>15</v>
      </c>
      <c r="C1006" s="2">
        <v>43569</v>
      </c>
      <c r="D1006" s="1" t="s">
        <v>379</v>
      </c>
      <c r="E1006">
        <v>1070</v>
      </c>
      <c r="F1006">
        <v>1111</v>
      </c>
      <c r="G1006">
        <v>1026</v>
      </c>
      <c r="H1006">
        <v>1197</v>
      </c>
    </row>
    <row r="1007" spans="1:9">
      <c r="A1007">
        <v>2019</v>
      </c>
      <c r="B1007">
        <v>16</v>
      </c>
      <c r="C1007" s="2">
        <v>43576</v>
      </c>
      <c r="D1007" s="1" t="s">
        <v>379</v>
      </c>
      <c r="E1007">
        <v>1121</v>
      </c>
      <c r="F1007">
        <v>1093</v>
      </c>
      <c r="G1007">
        <v>1008</v>
      </c>
      <c r="H1007">
        <v>1179</v>
      </c>
    </row>
    <row r="1008" spans="1:9">
      <c r="A1008">
        <v>2019</v>
      </c>
      <c r="B1008">
        <v>17</v>
      </c>
      <c r="C1008" s="2">
        <v>43583</v>
      </c>
      <c r="D1008" s="1" t="s">
        <v>379</v>
      </c>
      <c r="E1008">
        <v>1076</v>
      </c>
      <c r="F1008">
        <v>1076</v>
      </c>
      <c r="G1008">
        <v>991</v>
      </c>
      <c r="H1008">
        <v>1160</v>
      </c>
    </row>
    <row r="1009" spans="1:8">
      <c r="A1009">
        <v>2019</v>
      </c>
      <c r="B1009">
        <v>18</v>
      </c>
      <c r="C1009" s="2">
        <v>43590</v>
      </c>
      <c r="D1009" s="1" t="s">
        <v>379</v>
      </c>
      <c r="E1009">
        <v>1103</v>
      </c>
      <c r="F1009">
        <v>1058</v>
      </c>
      <c r="G1009">
        <v>974</v>
      </c>
      <c r="H1009">
        <v>1142</v>
      </c>
    </row>
    <row r="1010" spans="1:8">
      <c r="A1010">
        <v>2019</v>
      </c>
      <c r="B1010">
        <v>19</v>
      </c>
      <c r="C1010" s="2">
        <v>43597</v>
      </c>
      <c r="D1010" s="1" t="s">
        <v>379</v>
      </c>
      <c r="E1010">
        <v>1060</v>
      </c>
      <c r="F1010">
        <v>1044</v>
      </c>
      <c r="G1010">
        <v>961</v>
      </c>
      <c r="H1010">
        <v>1128</v>
      </c>
    </row>
    <row r="1011" spans="1:8">
      <c r="A1011">
        <v>2019</v>
      </c>
      <c r="B1011">
        <v>20</v>
      </c>
      <c r="C1011" s="2">
        <v>43604</v>
      </c>
      <c r="D1011" s="1" t="s">
        <v>379</v>
      </c>
      <c r="E1011">
        <v>1038</v>
      </c>
      <c r="F1011">
        <v>1030</v>
      </c>
      <c r="G1011">
        <v>948</v>
      </c>
      <c r="H1011">
        <v>1113</v>
      </c>
    </row>
    <row r="1012" spans="1:8">
      <c r="A1012">
        <v>2019</v>
      </c>
      <c r="B1012">
        <v>21</v>
      </c>
      <c r="C1012" s="2">
        <v>43611</v>
      </c>
      <c r="D1012" s="1" t="s">
        <v>379</v>
      </c>
      <c r="E1012">
        <v>1080</v>
      </c>
      <c r="F1012">
        <v>1021</v>
      </c>
      <c r="G1012">
        <v>938</v>
      </c>
      <c r="H1012">
        <v>1103</v>
      </c>
    </row>
    <row r="1013" spans="1:8">
      <c r="A1013">
        <v>2019</v>
      </c>
      <c r="B1013">
        <v>22</v>
      </c>
      <c r="C1013" s="2">
        <v>43618</v>
      </c>
      <c r="D1013" s="1" t="s">
        <v>379</v>
      </c>
      <c r="E1013">
        <v>1073</v>
      </c>
      <c r="F1013">
        <v>1015</v>
      </c>
      <c r="G1013">
        <v>933</v>
      </c>
      <c r="H1013">
        <v>1097</v>
      </c>
    </row>
    <row r="1014" spans="1:8">
      <c r="A1014">
        <v>2019</v>
      </c>
      <c r="B1014">
        <v>23</v>
      </c>
      <c r="C1014" s="2">
        <v>43625</v>
      </c>
      <c r="D1014" s="1" t="s">
        <v>379</v>
      </c>
      <c r="E1014">
        <v>1077</v>
      </c>
      <c r="F1014">
        <v>1009</v>
      </c>
      <c r="G1014">
        <v>927</v>
      </c>
      <c r="H1014">
        <v>1091</v>
      </c>
    </row>
    <row r="1015" spans="1:8">
      <c r="A1015">
        <v>2019</v>
      </c>
      <c r="B1015">
        <v>24</v>
      </c>
      <c r="C1015" s="2">
        <v>43632</v>
      </c>
      <c r="D1015" s="1" t="s">
        <v>379</v>
      </c>
      <c r="E1015">
        <v>984</v>
      </c>
      <c r="F1015">
        <v>1007</v>
      </c>
      <c r="G1015">
        <v>925</v>
      </c>
      <c r="H1015">
        <v>1089</v>
      </c>
    </row>
    <row r="1016" spans="1:8">
      <c r="A1016">
        <v>2019</v>
      </c>
      <c r="B1016">
        <v>25</v>
      </c>
      <c r="C1016" s="2">
        <v>43639</v>
      </c>
      <c r="D1016" s="1" t="s">
        <v>379</v>
      </c>
      <c r="E1016">
        <v>1020</v>
      </c>
      <c r="F1016">
        <v>1009</v>
      </c>
      <c r="G1016">
        <v>927</v>
      </c>
      <c r="H1016">
        <v>1091</v>
      </c>
    </row>
    <row r="1017" spans="1:8">
      <c r="A1017">
        <v>2019</v>
      </c>
      <c r="B1017">
        <v>26</v>
      </c>
      <c r="C1017" s="2">
        <v>43646</v>
      </c>
      <c r="D1017" s="1" t="s">
        <v>379</v>
      </c>
      <c r="E1017">
        <v>1069</v>
      </c>
      <c r="F1017">
        <v>1010</v>
      </c>
      <c r="G1017">
        <v>929</v>
      </c>
      <c r="H1017">
        <v>1092</v>
      </c>
    </row>
    <row r="1018" spans="1:8">
      <c r="A1018">
        <v>2019</v>
      </c>
      <c r="B1018">
        <v>27</v>
      </c>
      <c r="C1018" s="2">
        <v>43653</v>
      </c>
      <c r="D1018" s="1" t="s">
        <v>379</v>
      </c>
      <c r="E1018">
        <v>1071</v>
      </c>
      <c r="F1018">
        <v>1016</v>
      </c>
      <c r="G1018">
        <v>934</v>
      </c>
      <c r="H1018">
        <v>1098</v>
      </c>
    </row>
    <row r="1019" spans="1:8">
      <c r="A1019">
        <v>2019</v>
      </c>
      <c r="B1019">
        <v>28</v>
      </c>
      <c r="C1019" s="2">
        <v>43660</v>
      </c>
      <c r="D1019" s="1" t="s">
        <v>379</v>
      </c>
      <c r="E1019">
        <v>1052</v>
      </c>
      <c r="F1019">
        <v>1017</v>
      </c>
      <c r="G1019">
        <v>935</v>
      </c>
      <c r="H1019">
        <v>1099</v>
      </c>
    </row>
    <row r="1020" spans="1:8">
      <c r="A1020">
        <v>2019</v>
      </c>
      <c r="B1020">
        <v>29</v>
      </c>
      <c r="C1020" s="2">
        <v>43667</v>
      </c>
      <c r="D1020" s="1" t="s">
        <v>379</v>
      </c>
      <c r="E1020">
        <v>1033</v>
      </c>
      <c r="F1020">
        <v>1019</v>
      </c>
      <c r="G1020">
        <v>937</v>
      </c>
      <c r="H1020">
        <v>1101</v>
      </c>
    </row>
    <row r="1021" spans="1:8">
      <c r="A1021">
        <v>2019</v>
      </c>
      <c r="B1021">
        <v>30</v>
      </c>
      <c r="C1021" s="2">
        <v>43674</v>
      </c>
      <c r="D1021" s="1" t="s">
        <v>379</v>
      </c>
      <c r="E1021">
        <v>1101</v>
      </c>
      <c r="F1021">
        <v>1020</v>
      </c>
      <c r="G1021">
        <v>938</v>
      </c>
      <c r="H1021">
        <v>1102</v>
      </c>
    </row>
    <row r="1022" spans="1:8">
      <c r="A1022">
        <v>2019</v>
      </c>
      <c r="B1022">
        <v>31</v>
      </c>
      <c r="C1022" s="2">
        <v>43681</v>
      </c>
      <c r="D1022" s="1" t="s">
        <v>379</v>
      </c>
      <c r="E1022">
        <v>972</v>
      </c>
      <c r="F1022">
        <v>1021</v>
      </c>
      <c r="G1022">
        <v>939</v>
      </c>
      <c r="H1022">
        <v>1103</v>
      </c>
    </row>
    <row r="1023" spans="1:8">
      <c r="A1023">
        <v>2019</v>
      </c>
      <c r="B1023">
        <v>32</v>
      </c>
      <c r="C1023" s="2">
        <v>43688</v>
      </c>
      <c r="D1023" s="1" t="s">
        <v>379</v>
      </c>
      <c r="E1023">
        <v>971</v>
      </c>
      <c r="F1023">
        <v>1021</v>
      </c>
      <c r="G1023">
        <v>939</v>
      </c>
      <c r="H1023">
        <v>1104</v>
      </c>
    </row>
    <row r="1024" spans="1:8">
      <c r="A1024">
        <v>2019</v>
      </c>
      <c r="B1024">
        <v>33</v>
      </c>
      <c r="C1024" s="2">
        <v>43695</v>
      </c>
      <c r="D1024" s="1" t="s">
        <v>379</v>
      </c>
      <c r="E1024">
        <v>988</v>
      </c>
      <c r="F1024">
        <v>1022</v>
      </c>
      <c r="G1024">
        <v>939</v>
      </c>
      <c r="H1024">
        <v>1104</v>
      </c>
    </row>
    <row r="1025" spans="1:8">
      <c r="A1025">
        <v>2019</v>
      </c>
      <c r="B1025">
        <v>34</v>
      </c>
      <c r="C1025" s="2">
        <v>43702</v>
      </c>
      <c r="D1025" s="1" t="s">
        <v>379</v>
      </c>
      <c r="E1025">
        <v>1069</v>
      </c>
      <c r="F1025">
        <v>1023</v>
      </c>
      <c r="G1025">
        <v>940</v>
      </c>
      <c r="H1025">
        <v>1105</v>
      </c>
    </row>
    <row r="1026" spans="1:8">
      <c r="A1026">
        <v>2019</v>
      </c>
      <c r="B1026">
        <v>35</v>
      </c>
      <c r="C1026" s="2">
        <v>43709</v>
      </c>
      <c r="D1026" s="1" t="s">
        <v>379</v>
      </c>
      <c r="E1026">
        <v>1001</v>
      </c>
      <c r="F1026">
        <v>1030</v>
      </c>
      <c r="G1026">
        <v>947</v>
      </c>
      <c r="H1026">
        <v>1113</v>
      </c>
    </row>
    <row r="1027" spans="1:8">
      <c r="A1027">
        <v>2019</v>
      </c>
      <c r="B1027">
        <v>36</v>
      </c>
      <c r="C1027" s="2">
        <v>43716</v>
      </c>
      <c r="D1027" s="1" t="s">
        <v>379</v>
      </c>
      <c r="E1027">
        <v>1018</v>
      </c>
      <c r="F1027">
        <v>1037</v>
      </c>
      <c r="G1027">
        <v>954</v>
      </c>
      <c r="H1027">
        <v>1120</v>
      </c>
    </row>
    <row r="1028" spans="1:8">
      <c r="A1028">
        <v>2019</v>
      </c>
      <c r="B1028">
        <v>37</v>
      </c>
      <c r="C1028" s="2">
        <v>43723</v>
      </c>
      <c r="D1028" s="1" t="s">
        <v>379</v>
      </c>
      <c r="E1028">
        <v>1066</v>
      </c>
      <c r="F1028">
        <v>1046</v>
      </c>
      <c r="G1028">
        <v>963</v>
      </c>
      <c r="H1028">
        <v>1129</v>
      </c>
    </row>
    <row r="1029" spans="1:8">
      <c r="A1029">
        <v>2019</v>
      </c>
      <c r="B1029">
        <v>38</v>
      </c>
      <c r="C1029" s="2">
        <v>43730</v>
      </c>
      <c r="D1029" s="1" t="s">
        <v>379</v>
      </c>
      <c r="E1029">
        <v>1100</v>
      </c>
      <c r="F1029">
        <v>1055</v>
      </c>
      <c r="G1029">
        <v>972</v>
      </c>
      <c r="H1029">
        <v>1139</v>
      </c>
    </row>
    <row r="1030" spans="1:8">
      <c r="A1030">
        <v>2019</v>
      </c>
      <c r="B1030">
        <v>39</v>
      </c>
      <c r="C1030" s="2">
        <v>43737</v>
      </c>
      <c r="D1030" s="1" t="s">
        <v>379</v>
      </c>
      <c r="E1030">
        <v>1062</v>
      </c>
      <c r="F1030">
        <v>1065</v>
      </c>
      <c r="G1030">
        <v>981</v>
      </c>
      <c r="H1030">
        <v>1149</v>
      </c>
    </row>
    <row r="1031" spans="1:8">
      <c r="A1031">
        <v>2019</v>
      </c>
      <c r="B1031">
        <v>40</v>
      </c>
      <c r="C1031" s="2">
        <v>43744</v>
      </c>
      <c r="D1031" s="1" t="s">
        <v>379</v>
      </c>
      <c r="E1031">
        <v>1050</v>
      </c>
      <c r="F1031">
        <v>1076</v>
      </c>
      <c r="G1031">
        <v>991</v>
      </c>
      <c r="H1031">
        <v>1160</v>
      </c>
    </row>
    <row r="1032" spans="1:8">
      <c r="A1032">
        <v>2019</v>
      </c>
      <c r="B1032">
        <v>41</v>
      </c>
      <c r="C1032" s="2">
        <v>43751</v>
      </c>
      <c r="D1032" s="1" t="s">
        <v>379</v>
      </c>
      <c r="E1032">
        <v>1088</v>
      </c>
      <c r="F1032">
        <v>1085</v>
      </c>
      <c r="G1032">
        <v>1000</v>
      </c>
      <c r="H1032">
        <v>1170</v>
      </c>
    </row>
    <row r="1033" spans="1:8">
      <c r="A1033">
        <v>2019</v>
      </c>
      <c r="B1033">
        <v>42</v>
      </c>
      <c r="C1033" s="2">
        <v>43758</v>
      </c>
      <c r="D1033" s="1" t="s">
        <v>379</v>
      </c>
      <c r="E1033">
        <v>1108</v>
      </c>
      <c r="F1033">
        <v>1094</v>
      </c>
      <c r="G1033">
        <v>1009</v>
      </c>
      <c r="H1033">
        <v>1179</v>
      </c>
    </row>
    <row r="1034" spans="1:8">
      <c r="A1034">
        <v>2019</v>
      </c>
      <c r="B1034">
        <v>43</v>
      </c>
      <c r="C1034" s="2">
        <v>43765</v>
      </c>
      <c r="D1034" s="1" t="s">
        <v>379</v>
      </c>
      <c r="E1034">
        <v>1133</v>
      </c>
      <c r="F1034">
        <v>1099</v>
      </c>
      <c r="G1034">
        <v>1013</v>
      </c>
      <c r="H1034">
        <v>1184</v>
      </c>
    </row>
    <row r="1035" spans="1:8">
      <c r="A1035">
        <v>2019</v>
      </c>
      <c r="B1035">
        <v>44</v>
      </c>
      <c r="C1035" s="2">
        <v>43772</v>
      </c>
      <c r="D1035" s="1" t="s">
        <v>379</v>
      </c>
      <c r="E1035">
        <v>1060</v>
      </c>
      <c r="F1035">
        <v>1103</v>
      </c>
      <c r="G1035">
        <v>1018</v>
      </c>
      <c r="H1035">
        <v>1189</v>
      </c>
    </row>
    <row r="1036" spans="1:8">
      <c r="A1036">
        <v>2019</v>
      </c>
      <c r="B1036">
        <v>45</v>
      </c>
      <c r="C1036" s="2">
        <v>43779</v>
      </c>
      <c r="D1036" s="1" t="s">
        <v>379</v>
      </c>
      <c r="E1036">
        <v>1118</v>
      </c>
      <c r="F1036">
        <v>1113</v>
      </c>
      <c r="G1036">
        <v>1027</v>
      </c>
      <c r="H1036">
        <v>1199</v>
      </c>
    </row>
    <row r="1037" spans="1:8">
      <c r="A1037">
        <v>2019</v>
      </c>
      <c r="B1037">
        <v>46</v>
      </c>
      <c r="C1037" s="2">
        <v>43786</v>
      </c>
      <c r="D1037" s="1" t="s">
        <v>379</v>
      </c>
      <c r="E1037">
        <v>1192</v>
      </c>
      <c r="F1037">
        <v>1123</v>
      </c>
      <c r="G1037">
        <v>1037</v>
      </c>
      <c r="H1037">
        <v>1209</v>
      </c>
    </row>
    <row r="1038" spans="1:8">
      <c r="A1038">
        <v>2019</v>
      </c>
      <c r="B1038">
        <v>47</v>
      </c>
      <c r="C1038" s="2">
        <v>43793</v>
      </c>
      <c r="D1038" s="1" t="s">
        <v>379</v>
      </c>
      <c r="E1038">
        <v>1168</v>
      </c>
      <c r="F1038">
        <v>1133</v>
      </c>
      <c r="G1038">
        <v>1047</v>
      </c>
      <c r="H1038">
        <v>1220</v>
      </c>
    </row>
    <row r="1039" spans="1:8">
      <c r="A1039">
        <v>2019</v>
      </c>
      <c r="B1039">
        <v>48</v>
      </c>
      <c r="C1039" s="2">
        <v>43800</v>
      </c>
      <c r="D1039" s="1" t="s">
        <v>379</v>
      </c>
      <c r="E1039">
        <v>1183</v>
      </c>
      <c r="F1039">
        <v>1146</v>
      </c>
      <c r="G1039">
        <v>1058</v>
      </c>
      <c r="H1039">
        <v>1233</v>
      </c>
    </row>
    <row r="1040" spans="1:8">
      <c r="A1040">
        <v>2019</v>
      </c>
      <c r="B1040">
        <v>49</v>
      </c>
      <c r="C1040" s="2">
        <v>43807</v>
      </c>
      <c r="D1040" s="1" t="s">
        <v>379</v>
      </c>
      <c r="E1040">
        <v>1057</v>
      </c>
      <c r="F1040">
        <v>1158</v>
      </c>
      <c r="G1040">
        <v>1070</v>
      </c>
      <c r="H1040">
        <v>1245</v>
      </c>
    </row>
    <row r="1041" spans="1:8">
      <c r="A1041">
        <v>2019</v>
      </c>
      <c r="B1041">
        <v>50</v>
      </c>
      <c r="C1041" s="2">
        <v>43814</v>
      </c>
      <c r="D1041" s="1" t="s">
        <v>379</v>
      </c>
      <c r="E1041">
        <v>1189</v>
      </c>
      <c r="F1041">
        <v>1170</v>
      </c>
      <c r="G1041">
        <v>1082</v>
      </c>
      <c r="H1041">
        <v>1258</v>
      </c>
    </row>
    <row r="1042" spans="1:8">
      <c r="A1042">
        <v>2019</v>
      </c>
      <c r="B1042">
        <v>51</v>
      </c>
      <c r="C1042" s="2">
        <v>43821</v>
      </c>
      <c r="D1042" s="1" t="s">
        <v>379</v>
      </c>
      <c r="E1042">
        <v>1200</v>
      </c>
      <c r="F1042">
        <v>1181</v>
      </c>
      <c r="G1042">
        <v>1093</v>
      </c>
      <c r="H1042">
        <v>1270</v>
      </c>
    </row>
    <row r="1043" spans="1:8">
      <c r="A1043">
        <v>2019</v>
      </c>
      <c r="B1043">
        <v>52</v>
      </c>
      <c r="C1043" s="2">
        <v>43828</v>
      </c>
      <c r="D1043" s="1" t="s">
        <v>379</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sheetPr codeName="Tabelle13"/>
  <dimension ref="A3:G527"/>
  <sheetViews>
    <sheetView workbookViewId="0">
      <selection activeCell="A58" sqref="A58"/>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279</v>
      </c>
    </row>
    <row r="4" spans="1:7">
      <c r="B4" t="s">
        <v>501</v>
      </c>
      <c r="D4" t="s">
        <v>494</v>
      </c>
      <c r="F4" t="s">
        <v>502</v>
      </c>
      <c r="G4" t="s">
        <v>503</v>
      </c>
    </row>
    <row r="5" spans="1:7">
      <c r="A5" s="16" t="s">
        <v>277</v>
      </c>
      <c r="B5" t="s">
        <v>378</v>
      </c>
      <c r="C5" t="s">
        <v>379</v>
      </c>
      <c r="D5" t="s">
        <v>378</v>
      </c>
      <c r="E5" t="s">
        <v>379</v>
      </c>
    </row>
    <row r="6" spans="1:7">
      <c r="A6" s="44">
        <v>40188</v>
      </c>
      <c r="B6" s="1">
        <v>193</v>
      </c>
      <c r="C6" s="1">
        <v>1100</v>
      </c>
      <c r="D6" s="1">
        <v>195</v>
      </c>
      <c r="E6" s="1">
        <v>1156</v>
      </c>
      <c r="F6" s="1">
        <v>1293</v>
      </c>
      <c r="G6" s="1">
        <v>1351</v>
      </c>
    </row>
    <row r="7" spans="1:7">
      <c r="A7" s="44">
        <v>40195</v>
      </c>
      <c r="B7" s="1">
        <v>198</v>
      </c>
      <c r="C7" s="1">
        <v>1071</v>
      </c>
      <c r="D7" s="1">
        <v>195</v>
      </c>
      <c r="E7" s="1">
        <v>1149</v>
      </c>
      <c r="F7" s="1">
        <v>1269</v>
      </c>
      <c r="G7" s="1">
        <v>1344</v>
      </c>
    </row>
    <row r="8" spans="1:7">
      <c r="A8" s="44">
        <v>40202</v>
      </c>
      <c r="B8" s="1">
        <v>191</v>
      </c>
      <c r="C8" s="1">
        <v>1005</v>
      </c>
      <c r="D8" s="1">
        <v>194</v>
      </c>
      <c r="E8" s="1">
        <v>1141</v>
      </c>
      <c r="F8" s="1">
        <v>1196</v>
      </c>
      <c r="G8" s="1">
        <v>1335</v>
      </c>
    </row>
    <row r="9" spans="1:7">
      <c r="A9" s="44">
        <v>40209</v>
      </c>
      <c r="B9" s="1">
        <v>207</v>
      </c>
      <c r="C9" s="1">
        <v>1039</v>
      </c>
      <c r="D9" s="1">
        <v>194</v>
      </c>
      <c r="E9" s="1">
        <v>1133</v>
      </c>
      <c r="F9" s="1">
        <v>1246</v>
      </c>
      <c r="G9" s="1">
        <v>1327</v>
      </c>
    </row>
    <row r="10" spans="1:7">
      <c r="A10" s="44">
        <v>40216</v>
      </c>
      <c r="B10" s="1">
        <v>175</v>
      </c>
      <c r="C10" s="1">
        <v>1110</v>
      </c>
      <c r="D10" s="1">
        <v>193</v>
      </c>
      <c r="E10" s="1">
        <v>1125</v>
      </c>
      <c r="F10" s="1">
        <v>1285</v>
      </c>
      <c r="G10" s="1">
        <v>1318</v>
      </c>
    </row>
    <row r="11" spans="1:7">
      <c r="A11" s="44">
        <v>40223</v>
      </c>
      <c r="B11" s="1">
        <v>179</v>
      </c>
      <c r="C11" s="1">
        <v>1057</v>
      </c>
      <c r="D11" s="1">
        <v>192</v>
      </c>
      <c r="E11" s="1">
        <v>1117</v>
      </c>
      <c r="F11" s="1">
        <v>1236</v>
      </c>
      <c r="G11" s="1">
        <v>1309</v>
      </c>
    </row>
    <row r="12" spans="1:7">
      <c r="A12" s="44">
        <v>40230</v>
      </c>
      <c r="B12" s="1">
        <v>218</v>
      </c>
      <c r="C12" s="1">
        <v>1203</v>
      </c>
      <c r="D12" s="1">
        <v>192</v>
      </c>
      <c r="E12" s="1">
        <v>1109</v>
      </c>
      <c r="F12" s="1">
        <v>1421</v>
      </c>
      <c r="G12" s="1">
        <v>1301</v>
      </c>
    </row>
    <row r="13" spans="1:7">
      <c r="A13" s="44">
        <v>40237</v>
      </c>
      <c r="B13" s="1">
        <v>184</v>
      </c>
      <c r="C13" s="1">
        <v>1131</v>
      </c>
      <c r="D13" s="1">
        <v>191</v>
      </c>
      <c r="E13" s="1">
        <v>1095</v>
      </c>
      <c r="F13" s="1">
        <v>1315</v>
      </c>
      <c r="G13" s="1">
        <v>1286</v>
      </c>
    </row>
    <row r="14" spans="1:7">
      <c r="A14" s="44">
        <v>40244</v>
      </c>
      <c r="B14" s="1">
        <v>179</v>
      </c>
      <c r="C14" s="1">
        <v>1119</v>
      </c>
      <c r="D14" s="1">
        <v>190</v>
      </c>
      <c r="E14" s="1">
        <v>1082</v>
      </c>
      <c r="F14" s="1">
        <v>1298</v>
      </c>
      <c r="G14" s="1">
        <v>1272</v>
      </c>
    </row>
    <row r="15" spans="1:7">
      <c r="A15" s="44">
        <v>40251</v>
      </c>
      <c r="B15" s="1">
        <v>221</v>
      </c>
      <c r="C15" s="1">
        <v>1131</v>
      </c>
      <c r="D15" s="1">
        <v>190</v>
      </c>
      <c r="E15" s="1">
        <v>1065</v>
      </c>
      <c r="F15" s="1">
        <v>1352</v>
      </c>
      <c r="G15" s="1">
        <v>1255</v>
      </c>
    </row>
    <row r="16" spans="1:7">
      <c r="A16" s="44">
        <v>40258</v>
      </c>
      <c r="B16" s="1">
        <v>196</v>
      </c>
      <c r="C16" s="1">
        <v>1114</v>
      </c>
      <c r="D16" s="1">
        <v>189</v>
      </c>
      <c r="E16" s="1">
        <v>1049</v>
      </c>
      <c r="F16" s="1">
        <v>1310</v>
      </c>
      <c r="G16" s="1">
        <v>1238</v>
      </c>
    </row>
    <row r="17" spans="1:7">
      <c r="A17" s="44">
        <v>40265</v>
      </c>
      <c r="B17" s="1">
        <v>200</v>
      </c>
      <c r="C17" s="1">
        <v>1048</v>
      </c>
      <c r="D17" s="1">
        <v>189</v>
      </c>
      <c r="E17" s="1">
        <v>1033</v>
      </c>
      <c r="F17" s="1">
        <v>1248</v>
      </c>
      <c r="G17" s="1">
        <v>1222</v>
      </c>
    </row>
    <row r="18" spans="1:7">
      <c r="A18" s="44">
        <v>40272</v>
      </c>
      <c r="B18" s="1">
        <v>162</v>
      </c>
      <c r="C18" s="1">
        <v>1049</v>
      </c>
      <c r="D18" s="1">
        <v>188</v>
      </c>
      <c r="E18" s="1">
        <v>1017</v>
      </c>
      <c r="F18" s="1">
        <v>1211</v>
      </c>
      <c r="G18" s="1">
        <v>1205</v>
      </c>
    </row>
    <row r="19" spans="1:7">
      <c r="A19" s="44">
        <v>40279</v>
      </c>
      <c r="B19" s="1">
        <v>180</v>
      </c>
      <c r="C19" s="1">
        <v>970</v>
      </c>
      <c r="D19" s="1">
        <v>187</v>
      </c>
      <c r="E19" s="1">
        <v>1002</v>
      </c>
      <c r="F19" s="1">
        <v>1150</v>
      </c>
      <c r="G19" s="1">
        <v>1189</v>
      </c>
    </row>
    <row r="20" spans="1:7">
      <c r="A20" s="44">
        <v>40286</v>
      </c>
      <c r="B20" s="1">
        <v>158</v>
      </c>
      <c r="C20" s="1">
        <v>987</v>
      </c>
      <c r="D20" s="1">
        <v>187</v>
      </c>
      <c r="E20" s="1">
        <v>988</v>
      </c>
      <c r="F20" s="1">
        <v>1145</v>
      </c>
      <c r="G20" s="1">
        <v>1175</v>
      </c>
    </row>
    <row r="21" spans="1:7">
      <c r="A21" s="44">
        <v>40293</v>
      </c>
      <c r="B21" s="1">
        <v>226</v>
      </c>
      <c r="C21" s="1">
        <v>971</v>
      </c>
      <c r="D21" s="1">
        <v>186</v>
      </c>
      <c r="E21" s="1">
        <v>975</v>
      </c>
      <c r="F21" s="1">
        <v>1197</v>
      </c>
      <c r="G21" s="1">
        <v>1161</v>
      </c>
    </row>
    <row r="22" spans="1:7">
      <c r="A22" s="44">
        <v>40300</v>
      </c>
      <c r="B22" s="1">
        <v>176</v>
      </c>
      <c r="C22" s="1">
        <v>964</v>
      </c>
      <c r="D22" s="1">
        <v>185</v>
      </c>
      <c r="E22" s="1">
        <v>965</v>
      </c>
      <c r="F22" s="1">
        <v>1140</v>
      </c>
      <c r="G22" s="1">
        <v>1150</v>
      </c>
    </row>
    <row r="23" spans="1:7">
      <c r="A23" s="44">
        <v>40307</v>
      </c>
      <c r="B23" s="1">
        <v>161</v>
      </c>
      <c r="C23" s="1">
        <v>976</v>
      </c>
      <c r="D23" s="1">
        <v>185</v>
      </c>
      <c r="E23" s="1">
        <v>954</v>
      </c>
      <c r="F23" s="1">
        <v>1137</v>
      </c>
      <c r="G23" s="1">
        <v>1139</v>
      </c>
    </row>
    <row r="24" spans="1:7">
      <c r="A24" s="44">
        <v>40314</v>
      </c>
      <c r="B24" s="1">
        <v>190</v>
      </c>
      <c r="C24" s="1">
        <v>974</v>
      </c>
      <c r="D24" s="1">
        <v>184</v>
      </c>
      <c r="E24" s="1">
        <v>947</v>
      </c>
      <c r="F24" s="1">
        <v>1164</v>
      </c>
      <c r="G24" s="1">
        <v>1131</v>
      </c>
    </row>
    <row r="25" spans="1:7">
      <c r="A25" s="44">
        <v>40321</v>
      </c>
      <c r="B25" s="1">
        <v>193</v>
      </c>
      <c r="C25" s="1">
        <v>985</v>
      </c>
      <c r="D25" s="1">
        <v>183</v>
      </c>
      <c r="E25" s="1">
        <v>939</v>
      </c>
      <c r="F25" s="1">
        <v>1178</v>
      </c>
      <c r="G25" s="1">
        <v>1122</v>
      </c>
    </row>
    <row r="26" spans="1:7">
      <c r="A26" s="44">
        <v>40328</v>
      </c>
      <c r="B26" s="1">
        <v>191</v>
      </c>
      <c r="C26" s="1">
        <v>961</v>
      </c>
      <c r="D26" s="1">
        <v>183</v>
      </c>
      <c r="E26" s="1">
        <v>934</v>
      </c>
      <c r="F26" s="1">
        <v>1152</v>
      </c>
      <c r="G26" s="1">
        <v>1117</v>
      </c>
    </row>
    <row r="27" spans="1:7">
      <c r="A27" s="44">
        <v>40335</v>
      </c>
      <c r="B27" s="1">
        <v>202</v>
      </c>
      <c r="C27" s="1">
        <v>898</v>
      </c>
      <c r="D27" s="1">
        <v>182</v>
      </c>
      <c r="E27" s="1">
        <v>930</v>
      </c>
      <c r="F27" s="1">
        <v>1100</v>
      </c>
      <c r="G27" s="1">
        <v>1112</v>
      </c>
    </row>
    <row r="28" spans="1:7">
      <c r="A28" s="44">
        <v>40342</v>
      </c>
      <c r="B28" s="1">
        <v>189</v>
      </c>
      <c r="C28" s="1">
        <v>946</v>
      </c>
      <c r="D28" s="1">
        <v>182</v>
      </c>
      <c r="E28" s="1">
        <v>926</v>
      </c>
      <c r="F28" s="1">
        <v>1135</v>
      </c>
      <c r="G28" s="1">
        <v>1108</v>
      </c>
    </row>
    <row r="29" spans="1:7">
      <c r="A29" s="44">
        <v>40349</v>
      </c>
      <c r="B29" s="1">
        <v>192</v>
      </c>
      <c r="C29" s="1">
        <v>887</v>
      </c>
      <c r="D29" s="1">
        <v>182</v>
      </c>
      <c r="E29" s="1">
        <v>922</v>
      </c>
      <c r="F29" s="1">
        <v>1079</v>
      </c>
      <c r="G29" s="1">
        <v>1104</v>
      </c>
    </row>
    <row r="30" spans="1:7">
      <c r="A30" s="44">
        <v>40356</v>
      </c>
      <c r="B30" s="1">
        <v>168</v>
      </c>
      <c r="C30" s="1">
        <v>907</v>
      </c>
      <c r="D30" s="1">
        <v>182</v>
      </c>
      <c r="E30" s="1">
        <v>919</v>
      </c>
      <c r="F30" s="1">
        <v>1075</v>
      </c>
      <c r="G30" s="1">
        <v>1101</v>
      </c>
    </row>
    <row r="31" spans="1:7">
      <c r="A31" s="44">
        <v>40363</v>
      </c>
      <c r="B31" s="1">
        <v>189</v>
      </c>
      <c r="C31" s="1">
        <v>956</v>
      </c>
      <c r="D31" s="1">
        <v>181</v>
      </c>
      <c r="E31" s="1">
        <v>915</v>
      </c>
      <c r="F31" s="1">
        <v>1145</v>
      </c>
      <c r="G31" s="1">
        <v>1096</v>
      </c>
    </row>
    <row r="32" spans="1:7">
      <c r="A32" s="44">
        <v>40370</v>
      </c>
      <c r="B32" s="1">
        <v>187</v>
      </c>
      <c r="C32" s="1">
        <v>918</v>
      </c>
      <c r="D32" s="1">
        <v>181</v>
      </c>
      <c r="E32" s="1">
        <v>912</v>
      </c>
      <c r="F32" s="1">
        <v>1105</v>
      </c>
      <c r="G32" s="1">
        <v>1093</v>
      </c>
    </row>
    <row r="33" spans="1:7">
      <c r="A33" s="44">
        <v>40377</v>
      </c>
      <c r="B33" s="1">
        <v>184</v>
      </c>
      <c r="C33" s="1">
        <v>936</v>
      </c>
      <c r="D33" s="1">
        <v>181</v>
      </c>
      <c r="E33" s="1">
        <v>910</v>
      </c>
      <c r="F33" s="1">
        <v>1120</v>
      </c>
      <c r="G33" s="1">
        <v>1091</v>
      </c>
    </row>
    <row r="34" spans="1:7">
      <c r="A34" s="44">
        <v>40384</v>
      </c>
      <c r="B34" s="1">
        <v>170</v>
      </c>
      <c r="C34" s="1">
        <v>870</v>
      </c>
      <c r="D34" s="1">
        <v>181</v>
      </c>
      <c r="E34" s="1">
        <v>907</v>
      </c>
      <c r="F34" s="1">
        <v>1040</v>
      </c>
      <c r="G34" s="1">
        <v>1088</v>
      </c>
    </row>
    <row r="35" spans="1:7">
      <c r="A35" s="44">
        <v>40391</v>
      </c>
      <c r="B35" s="1">
        <v>177</v>
      </c>
      <c r="C35" s="1">
        <v>922</v>
      </c>
      <c r="D35" s="1">
        <v>181</v>
      </c>
      <c r="E35" s="1">
        <v>905</v>
      </c>
      <c r="F35" s="1">
        <v>1099</v>
      </c>
      <c r="G35" s="1">
        <v>1086</v>
      </c>
    </row>
    <row r="36" spans="1:7">
      <c r="A36" s="44">
        <v>40398</v>
      </c>
      <c r="B36" s="1">
        <v>187</v>
      </c>
      <c r="C36" s="1">
        <v>914</v>
      </c>
      <c r="D36" s="1">
        <v>181</v>
      </c>
      <c r="E36" s="1">
        <v>902</v>
      </c>
      <c r="F36" s="1">
        <v>1101</v>
      </c>
      <c r="G36" s="1">
        <v>1083</v>
      </c>
    </row>
    <row r="37" spans="1:7">
      <c r="A37" s="44">
        <v>40405</v>
      </c>
      <c r="B37" s="1">
        <v>172</v>
      </c>
      <c r="C37" s="1">
        <v>911</v>
      </c>
      <c r="D37" s="1">
        <v>181</v>
      </c>
      <c r="E37" s="1">
        <v>903</v>
      </c>
      <c r="F37" s="1">
        <v>1083</v>
      </c>
      <c r="G37" s="1">
        <v>1084</v>
      </c>
    </row>
    <row r="38" spans="1:7">
      <c r="A38" s="44">
        <v>40412</v>
      </c>
      <c r="B38" s="1">
        <v>171</v>
      </c>
      <c r="C38" s="1">
        <v>882</v>
      </c>
      <c r="D38" s="1">
        <v>181</v>
      </c>
      <c r="E38" s="1">
        <v>904</v>
      </c>
      <c r="F38" s="1">
        <v>1053</v>
      </c>
      <c r="G38" s="1">
        <v>1085</v>
      </c>
    </row>
    <row r="39" spans="1:7">
      <c r="A39" s="44">
        <v>40419</v>
      </c>
      <c r="B39" s="1">
        <v>169</v>
      </c>
      <c r="C39" s="1">
        <v>938</v>
      </c>
      <c r="D39" s="1">
        <v>182</v>
      </c>
      <c r="E39" s="1">
        <v>909</v>
      </c>
      <c r="F39" s="1">
        <v>1107</v>
      </c>
      <c r="G39" s="1">
        <v>1091</v>
      </c>
    </row>
    <row r="40" spans="1:7">
      <c r="A40" s="44">
        <v>40426</v>
      </c>
      <c r="B40" s="1">
        <v>176</v>
      </c>
      <c r="C40" s="1">
        <v>938</v>
      </c>
      <c r="D40" s="1">
        <v>182</v>
      </c>
      <c r="E40" s="1">
        <v>915</v>
      </c>
      <c r="F40" s="1">
        <v>1114</v>
      </c>
      <c r="G40" s="1">
        <v>1097</v>
      </c>
    </row>
    <row r="41" spans="1:7">
      <c r="A41" s="44">
        <v>40433</v>
      </c>
      <c r="B41" s="1">
        <v>197</v>
      </c>
      <c r="C41" s="1">
        <v>993</v>
      </c>
      <c r="D41" s="1">
        <v>182</v>
      </c>
      <c r="E41" s="1">
        <v>920</v>
      </c>
      <c r="F41" s="1">
        <v>1190</v>
      </c>
      <c r="G41" s="1">
        <v>1102</v>
      </c>
    </row>
    <row r="42" spans="1:7">
      <c r="A42" s="44">
        <v>40440</v>
      </c>
      <c r="B42" s="1">
        <v>176</v>
      </c>
      <c r="C42" s="1">
        <v>945</v>
      </c>
      <c r="D42" s="1">
        <v>182</v>
      </c>
      <c r="E42" s="1">
        <v>927</v>
      </c>
      <c r="F42" s="1">
        <v>1121</v>
      </c>
      <c r="G42" s="1">
        <v>1109</v>
      </c>
    </row>
    <row r="43" spans="1:7">
      <c r="A43" s="44">
        <v>40447</v>
      </c>
      <c r="B43" s="1">
        <v>186</v>
      </c>
      <c r="C43" s="1">
        <v>996</v>
      </c>
      <c r="D43" s="1">
        <v>182</v>
      </c>
      <c r="E43" s="1">
        <v>934</v>
      </c>
      <c r="F43" s="1">
        <v>1182</v>
      </c>
      <c r="G43" s="1">
        <v>1116</v>
      </c>
    </row>
    <row r="44" spans="1:7">
      <c r="A44" s="44">
        <v>40454</v>
      </c>
      <c r="B44" s="1">
        <v>185</v>
      </c>
      <c r="C44" s="1">
        <v>1035</v>
      </c>
      <c r="D44" s="1">
        <v>182</v>
      </c>
      <c r="E44" s="1">
        <v>942</v>
      </c>
      <c r="F44" s="1">
        <v>1220</v>
      </c>
      <c r="G44" s="1">
        <v>1124</v>
      </c>
    </row>
    <row r="45" spans="1:7">
      <c r="A45" s="44">
        <v>40461</v>
      </c>
      <c r="B45" s="1">
        <v>192</v>
      </c>
      <c r="C45" s="1">
        <v>1018</v>
      </c>
      <c r="D45" s="1">
        <v>183</v>
      </c>
      <c r="E45" s="1">
        <v>950</v>
      </c>
      <c r="F45" s="1">
        <v>1210</v>
      </c>
      <c r="G45" s="1">
        <v>1133</v>
      </c>
    </row>
    <row r="46" spans="1:7">
      <c r="A46" s="44">
        <v>40468</v>
      </c>
      <c r="B46" s="1">
        <v>189</v>
      </c>
      <c r="C46" s="1">
        <v>1060</v>
      </c>
      <c r="D46" s="1">
        <v>183</v>
      </c>
      <c r="E46" s="1">
        <v>959</v>
      </c>
      <c r="F46" s="1">
        <v>1249</v>
      </c>
      <c r="G46" s="1">
        <v>1142</v>
      </c>
    </row>
    <row r="47" spans="1:7">
      <c r="A47" s="44">
        <v>40475</v>
      </c>
      <c r="B47" s="1">
        <v>183</v>
      </c>
      <c r="C47" s="1">
        <v>976</v>
      </c>
      <c r="D47" s="1">
        <v>183</v>
      </c>
      <c r="E47" s="1">
        <v>967</v>
      </c>
      <c r="F47" s="1">
        <v>1159</v>
      </c>
      <c r="G47" s="1">
        <v>1150</v>
      </c>
    </row>
    <row r="48" spans="1:7">
      <c r="A48" s="44">
        <v>40482</v>
      </c>
      <c r="B48" s="1">
        <v>181</v>
      </c>
      <c r="C48" s="1">
        <v>1036</v>
      </c>
      <c r="D48" s="1">
        <v>183</v>
      </c>
      <c r="E48" s="1">
        <v>978</v>
      </c>
      <c r="F48" s="1">
        <v>1217</v>
      </c>
      <c r="G48" s="1">
        <v>1161</v>
      </c>
    </row>
    <row r="49" spans="1:7">
      <c r="A49" s="44">
        <v>40489</v>
      </c>
      <c r="B49" s="1">
        <v>178</v>
      </c>
      <c r="C49" s="1">
        <v>1059</v>
      </c>
      <c r="D49" s="1">
        <v>183</v>
      </c>
      <c r="E49" s="1">
        <v>988</v>
      </c>
      <c r="F49" s="1">
        <v>1237</v>
      </c>
      <c r="G49" s="1">
        <v>1171</v>
      </c>
    </row>
    <row r="50" spans="1:7">
      <c r="A50" s="44">
        <v>40496</v>
      </c>
      <c r="B50" s="1">
        <v>169</v>
      </c>
      <c r="C50" s="1">
        <v>1054</v>
      </c>
      <c r="D50" s="1">
        <v>183</v>
      </c>
      <c r="E50" s="1">
        <v>999</v>
      </c>
      <c r="F50" s="1">
        <v>1223</v>
      </c>
      <c r="G50" s="1">
        <v>1182</v>
      </c>
    </row>
    <row r="51" spans="1:7">
      <c r="A51" s="44">
        <v>40503</v>
      </c>
      <c r="B51" s="1">
        <v>182</v>
      </c>
      <c r="C51" s="1">
        <v>993</v>
      </c>
      <c r="D51" s="1">
        <v>183</v>
      </c>
      <c r="E51" s="1">
        <v>1011</v>
      </c>
      <c r="F51" s="1">
        <v>1175</v>
      </c>
      <c r="G51" s="1">
        <v>1194</v>
      </c>
    </row>
    <row r="52" spans="1:7">
      <c r="A52" s="44">
        <v>40510</v>
      </c>
      <c r="B52" s="1">
        <v>180</v>
      </c>
      <c r="C52" s="1">
        <v>1017</v>
      </c>
      <c r="D52" s="1">
        <v>183</v>
      </c>
      <c r="E52" s="1">
        <v>1025</v>
      </c>
      <c r="F52" s="1">
        <v>1197</v>
      </c>
      <c r="G52" s="1">
        <v>1208</v>
      </c>
    </row>
    <row r="53" spans="1:7">
      <c r="A53" s="44">
        <v>40517</v>
      </c>
      <c r="B53" s="1">
        <v>185</v>
      </c>
      <c r="C53" s="1">
        <v>1030</v>
      </c>
      <c r="D53" s="1">
        <v>183</v>
      </c>
      <c r="E53" s="1">
        <v>1041</v>
      </c>
      <c r="F53" s="1">
        <v>1215</v>
      </c>
      <c r="G53" s="1">
        <v>1224</v>
      </c>
    </row>
    <row r="54" spans="1:7">
      <c r="A54" s="44">
        <v>40524</v>
      </c>
      <c r="B54" s="1">
        <v>188</v>
      </c>
      <c r="C54" s="1">
        <v>1085</v>
      </c>
      <c r="D54" s="1">
        <v>184</v>
      </c>
      <c r="E54" s="1">
        <v>1057</v>
      </c>
      <c r="F54" s="1">
        <v>1273</v>
      </c>
      <c r="G54" s="1">
        <v>1241</v>
      </c>
    </row>
    <row r="55" spans="1:7">
      <c r="A55" s="44">
        <v>40531</v>
      </c>
      <c r="B55" s="1">
        <v>191</v>
      </c>
      <c r="C55" s="1">
        <v>1092</v>
      </c>
      <c r="D55" s="1">
        <v>184</v>
      </c>
      <c r="E55" s="1">
        <v>1073</v>
      </c>
      <c r="F55" s="1">
        <v>1283</v>
      </c>
      <c r="G55" s="1">
        <v>1257</v>
      </c>
    </row>
    <row r="56" spans="1:7">
      <c r="A56" s="44">
        <v>40538</v>
      </c>
      <c r="B56" s="1">
        <v>209</v>
      </c>
      <c r="C56" s="1">
        <v>1060</v>
      </c>
      <c r="D56" s="1">
        <v>184</v>
      </c>
      <c r="E56" s="1">
        <v>1089</v>
      </c>
      <c r="F56" s="1">
        <v>1269</v>
      </c>
      <c r="G56" s="1">
        <v>1273</v>
      </c>
    </row>
    <row r="57" spans="1:7">
      <c r="A57" s="44">
        <v>40545</v>
      </c>
      <c r="B57" s="1">
        <v>197</v>
      </c>
      <c r="C57" s="1">
        <v>1122</v>
      </c>
      <c r="D57" s="1">
        <v>184</v>
      </c>
      <c r="E57" s="1">
        <v>1105</v>
      </c>
      <c r="F57" s="1">
        <v>1319</v>
      </c>
      <c r="G57" s="1">
        <v>1289</v>
      </c>
    </row>
    <row r="58" spans="1:7">
      <c r="A58" s="44">
        <v>40552</v>
      </c>
      <c r="B58" s="1">
        <v>199</v>
      </c>
      <c r="C58" s="1">
        <v>1155</v>
      </c>
      <c r="D58" s="1">
        <v>193</v>
      </c>
      <c r="E58" s="1">
        <v>1153</v>
      </c>
      <c r="F58" s="1">
        <v>1354</v>
      </c>
      <c r="G58" s="1">
        <v>1346</v>
      </c>
    </row>
    <row r="59" spans="1:7">
      <c r="A59" s="44">
        <v>40559</v>
      </c>
      <c r="B59" s="1">
        <v>172</v>
      </c>
      <c r="C59" s="1">
        <v>1118</v>
      </c>
      <c r="D59" s="1">
        <v>193</v>
      </c>
      <c r="E59" s="1">
        <v>1150</v>
      </c>
      <c r="F59" s="1">
        <v>1290</v>
      </c>
      <c r="G59" s="1">
        <v>1343</v>
      </c>
    </row>
    <row r="60" spans="1:7">
      <c r="A60" s="44">
        <v>40566</v>
      </c>
      <c r="B60" s="1">
        <v>213</v>
      </c>
      <c r="C60" s="1">
        <v>1033</v>
      </c>
      <c r="D60" s="1">
        <v>192</v>
      </c>
      <c r="E60" s="1">
        <v>1146</v>
      </c>
      <c r="F60" s="1">
        <v>1246</v>
      </c>
      <c r="G60" s="1">
        <v>1338</v>
      </c>
    </row>
    <row r="61" spans="1:7">
      <c r="A61" s="44">
        <v>40573</v>
      </c>
      <c r="B61" s="1">
        <v>188</v>
      </c>
      <c r="C61" s="1">
        <v>1106</v>
      </c>
      <c r="D61" s="1">
        <v>191</v>
      </c>
      <c r="E61" s="1">
        <v>1142</v>
      </c>
      <c r="F61" s="1">
        <v>1294</v>
      </c>
      <c r="G61" s="1">
        <v>1333</v>
      </c>
    </row>
    <row r="62" spans="1:7">
      <c r="A62" s="44">
        <v>40580</v>
      </c>
      <c r="B62" s="1">
        <v>219</v>
      </c>
      <c r="C62" s="1">
        <v>1049</v>
      </c>
      <c r="D62" s="1">
        <v>191</v>
      </c>
      <c r="E62" s="1">
        <v>1138</v>
      </c>
      <c r="F62" s="1">
        <v>1268</v>
      </c>
      <c r="G62" s="1">
        <v>1329</v>
      </c>
    </row>
    <row r="63" spans="1:7">
      <c r="A63" s="44">
        <v>40587</v>
      </c>
      <c r="B63" s="1">
        <v>188</v>
      </c>
      <c r="C63" s="1">
        <v>1059</v>
      </c>
      <c r="D63" s="1">
        <v>190</v>
      </c>
      <c r="E63" s="1">
        <v>1134</v>
      </c>
      <c r="F63" s="1">
        <v>1247</v>
      </c>
      <c r="G63" s="1">
        <v>1324</v>
      </c>
    </row>
    <row r="64" spans="1:7">
      <c r="A64" s="44">
        <v>40594</v>
      </c>
      <c r="B64" s="1">
        <v>167</v>
      </c>
      <c r="C64" s="1">
        <v>1094</v>
      </c>
      <c r="D64" s="1">
        <v>190</v>
      </c>
      <c r="E64" s="1">
        <v>1130</v>
      </c>
      <c r="F64" s="1">
        <v>1261</v>
      </c>
      <c r="G64" s="1">
        <v>1320</v>
      </c>
    </row>
    <row r="65" spans="1:7">
      <c r="A65" s="44">
        <v>40601</v>
      </c>
      <c r="B65" s="1">
        <v>199</v>
      </c>
      <c r="C65" s="1">
        <v>1074</v>
      </c>
      <c r="D65" s="1">
        <v>189</v>
      </c>
      <c r="E65" s="1">
        <v>1119</v>
      </c>
      <c r="F65" s="1">
        <v>1273</v>
      </c>
      <c r="G65" s="1">
        <v>1308</v>
      </c>
    </row>
    <row r="66" spans="1:7">
      <c r="A66" s="44">
        <v>40608</v>
      </c>
      <c r="B66" s="1">
        <v>196</v>
      </c>
      <c r="C66" s="1">
        <v>1050</v>
      </c>
      <c r="D66" s="1">
        <v>189</v>
      </c>
      <c r="E66" s="1">
        <v>1108</v>
      </c>
      <c r="F66" s="1">
        <v>1246</v>
      </c>
      <c r="G66" s="1">
        <v>1297</v>
      </c>
    </row>
    <row r="67" spans="1:7">
      <c r="A67" s="44">
        <v>40615</v>
      </c>
      <c r="B67" s="1">
        <v>174</v>
      </c>
      <c r="C67" s="1">
        <v>1109</v>
      </c>
      <c r="D67" s="1">
        <v>188</v>
      </c>
      <c r="E67" s="1">
        <v>1092</v>
      </c>
      <c r="F67" s="1">
        <v>1283</v>
      </c>
      <c r="G67" s="1">
        <v>1280</v>
      </c>
    </row>
    <row r="68" spans="1:7">
      <c r="A68" s="44">
        <v>40622</v>
      </c>
      <c r="B68" s="1">
        <v>180</v>
      </c>
      <c r="C68" s="1">
        <v>1065</v>
      </c>
      <c r="D68" s="1">
        <v>187</v>
      </c>
      <c r="E68" s="1">
        <v>1076</v>
      </c>
      <c r="F68" s="1">
        <v>1245</v>
      </c>
      <c r="G68" s="1">
        <v>1263</v>
      </c>
    </row>
    <row r="69" spans="1:7">
      <c r="A69" s="44">
        <v>40629</v>
      </c>
      <c r="B69" s="1">
        <v>165</v>
      </c>
      <c r="C69" s="1">
        <v>1017</v>
      </c>
      <c r="D69" s="1">
        <v>187</v>
      </c>
      <c r="E69" s="1">
        <v>1057</v>
      </c>
      <c r="F69" s="1">
        <v>1182</v>
      </c>
      <c r="G69" s="1">
        <v>1244</v>
      </c>
    </row>
    <row r="70" spans="1:7">
      <c r="A70" s="44">
        <v>40636</v>
      </c>
      <c r="B70" s="1">
        <v>192</v>
      </c>
      <c r="C70" s="1">
        <v>1084</v>
      </c>
      <c r="D70" s="1">
        <v>186</v>
      </c>
      <c r="E70" s="1">
        <v>1038</v>
      </c>
      <c r="F70" s="1">
        <v>1276</v>
      </c>
      <c r="G70" s="1">
        <v>1224</v>
      </c>
    </row>
    <row r="71" spans="1:7">
      <c r="A71" s="44">
        <v>40643</v>
      </c>
      <c r="B71" s="1">
        <v>170</v>
      </c>
      <c r="C71" s="1">
        <v>1049</v>
      </c>
      <c r="D71" s="1">
        <v>186</v>
      </c>
      <c r="E71" s="1">
        <v>1021</v>
      </c>
      <c r="F71" s="1">
        <v>1219</v>
      </c>
      <c r="G71" s="1">
        <v>1207</v>
      </c>
    </row>
    <row r="72" spans="1:7">
      <c r="A72" s="44">
        <v>40650</v>
      </c>
      <c r="B72" s="1">
        <v>173</v>
      </c>
      <c r="C72" s="1">
        <v>895</v>
      </c>
      <c r="D72" s="1">
        <v>185</v>
      </c>
      <c r="E72" s="1">
        <v>1008</v>
      </c>
      <c r="F72" s="1">
        <v>1068</v>
      </c>
      <c r="G72" s="1">
        <v>1193</v>
      </c>
    </row>
    <row r="73" spans="1:7">
      <c r="A73" s="44">
        <v>40657</v>
      </c>
      <c r="B73" s="1">
        <v>164</v>
      </c>
      <c r="C73" s="1">
        <v>1027</v>
      </c>
      <c r="D73" s="1">
        <v>184</v>
      </c>
      <c r="E73" s="1">
        <v>995</v>
      </c>
      <c r="F73" s="1">
        <v>1191</v>
      </c>
      <c r="G73" s="1">
        <v>1179</v>
      </c>
    </row>
    <row r="74" spans="1:7">
      <c r="A74" s="44">
        <v>40664</v>
      </c>
      <c r="B74" s="1">
        <v>166</v>
      </c>
      <c r="C74" s="1">
        <v>992</v>
      </c>
      <c r="D74" s="1">
        <v>184</v>
      </c>
      <c r="E74" s="1">
        <v>985</v>
      </c>
      <c r="F74" s="1">
        <v>1158</v>
      </c>
      <c r="G74" s="1">
        <v>1169</v>
      </c>
    </row>
    <row r="75" spans="1:7">
      <c r="A75" s="44">
        <v>40671</v>
      </c>
      <c r="B75" s="1">
        <v>180</v>
      </c>
      <c r="C75" s="1">
        <v>1011</v>
      </c>
      <c r="D75" s="1">
        <v>183</v>
      </c>
      <c r="E75" s="1">
        <v>974</v>
      </c>
      <c r="F75" s="1">
        <v>1191</v>
      </c>
      <c r="G75" s="1">
        <v>1157</v>
      </c>
    </row>
    <row r="76" spans="1:7">
      <c r="A76" s="44">
        <v>40678</v>
      </c>
      <c r="B76" s="1">
        <v>182</v>
      </c>
      <c r="C76" s="1">
        <v>923</v>
      </c>
      <c r="D76" s="1">
        <v>182</v>
      </c>
      <c r="E76" s="1">
        <v>965</v>
      </c>
      <c r="F76" s="1">
        <v>1105</v>
      </c>
      <c r="G76" s="1">
        <v>1147</v>
      </c>
    </row>
    <row r="77" spans="1:7">
      <c r="A77" s="44">
        <v>40685</v>
      </c>
      <c r="B77" s="1">
        <v>187</v>
      </c>
      <c r="C77" s="1">
        <v>920</v>
      </c>
      <c r="D77" s="1">
        <v>181</v>
      </c>
      <c r="E77" s="1">
        <v>956</v>
      </c>
      <c r="F77" s="1">
        <v>1107</v>
      </c>
      <c r="G77" s="1">
        <v>1137</v>
      </c>
    </row>
    <row r="78" spans="1:7">
      <c r="A78" s="44">
        <v>40692</v>
      </c>
      <c r="B78" s="1">
        <v>175</v>
      </c>
      <c r="C78" s="1">
        <v>901</v>
      </c>
      <c r="D78" s="1">
        <v>181</v>
      </c>
      <c r="E78" s="1">
        <v>949</v>
      </c>
      <c r="F78" s="1">
        <v>1076</v>
      </c>
      <c r="G78" s="1">
        <v>1130</v>
      </c>
    </row>
    <row r="79" spans="1:7">
      <c r="A79" s="44">
        <v>40699</v>
      </c>
      <c r="B79" s="1">
        <v>178</v>
      </c>
      <c r="C79" s="1">
        <v>927</v>
      </c>
      <c r="D79" s="1">
        <v>180</v>
      </c>
      <c r="E79" s="1">
        <v>946</v>
      </c>
      <c r="F79" s="1">
        <v>1105</v>
      </c>
      <c r="G79" s="1">
        <v>1126</v>
      </c>
    </row>
    <row r="80" spans="1:7">
      <c r="A80" s="44">
        <v>40706</v>
      </c>
      <c r="B80" s="1">
        <v>160</v>
      </c>
      <c r="C80" s="1">
        <v>906</v>
      </c>
      <c r="D80" s="1">
        <v>180</v>
      </c>
      <c r="E80" s="1">
        <v>943</v>
      </c>
      <c r="F80" s="1">
        <v>1066</v>
      </c>
      <c r="G80" s="1">
        <v>1123</v>
      </c>
    </row>
    <row r="81" spans="1:7">
      <c r="A81" s="44">
        <v>40713</v>
      </c>
      <c r="B81" s="1">
        <v>170</v>
      </c>
      <c r="C81" s="1">
        <v>928</v>
      </c>
      <c r="D81" s="1">
        <v>179</v>
      </c>
      <c r="E81" s="1">
        <v>941</v>
      </c>
      <c r="F81" s="1">
        <v>1098</v>
      </c>
      <c r="G81" s="1">
        <v>1120</v>
      </c>
    </row>
    <row r="82" spans="1:7">
      <c r="A82" s="44">
        <v>40720</v>
      </c>
      <c r="B82" s="1">
        <v>170</v>
      </c>
      <c r="C82" s="1">
        <v>926</v>
      </c>
      <c r="D82" s="1">
        <v>179</v>
      </c>
      <c r="E82" s="1">
        <v>938</v>
      </c>
      <c r="F82" s="1">
        <v>1096</v>
      </c>
      <c r="G82" s="1">
        <v>1117</v>
      </c>
    </row>
    <row r="83" spans="1:7">
      <c r="A83" s="44">
        <v>40727</v>
      </c>
      <c r="B83" s="1">
        <v>186</v>
      </c>
      <c r="C83" s="1">
        <v>955</v>
      </c>
      <c r="D83" s="1">
        <v>179</v>
      </c>
      <c r="E83" s="1">
        <v>934</v>
      </c>
      <c r="F83" s="1">
        <v>1141</v>
      </c>
      <c r="G83" s="1">
        <v>1113</v>
      </c>
    </row>
    <row r="84" spans="1:7">
      <c r="A84" s="44">
        <v>40734</v>
      </c>
      <c r="B84" s="1">
        <v>172</v>
      </c>
      <c r="C84" s="1">
        <v>929</v>
      </c>
      <c r="D84" s="1">
        <v>178</v>
      </c>
      <c r="E84" s="1">
        <v>931</v>
      </c>
      <c r="F84" s="1">
        <v>1101</v>
      </c>
      <c r="G84" s="1">
        <v>1109</v>
      </c>
    </row>
    <row r="85" spans="1:7">
      <c r="A85" s="44">
        <v>40741</v>
      </c>
      <c r="B85" s="1">
        <v>172</v>
      </c>
      <c r="C85" s="1">
        <v>938</v>
      </c>
      <c r="D85" s="1">
        <v>178</v>
      </c>
      <c r="E85" s="1">
        <v>928</v>
      </c>
      <c r="F85" s="1">
        <v>1110</v>
      </c>
      <c r="G85" s="1">
        <v>1106</v>
      </c>
    </row>
    <row r="86" spans="1:7">
      <c r="A86" s="44">
        <v>40748</v>
      </c>
      <c r="B86" s="1">
        <v>179</v>
      </c>
      <c r="C86" s="1">
        <v>908</v>
      </c>
      <c r="D86" s="1">
        <v>178</v>
      </c>
      <c r="E86" s="1">
        <v>924</v>
      </c>
      <c r="F86" s="1">
        <v>1087</v>
      </c>
      <c r="G86" s="1">
        <v>1102</v>
      </c>
    </row>
    <row r="87" spans="1:7">
      <c r="A87" s="44">
        <v>40755</v>
      </c>
      <c r="B87" s="1">
        <v>157</v>
      </c>
      <c r="C87" s="1">
        <v>989</v>
      </c>
      <c r="D87" s="1">
        <v>178</v>
      </c>
      <c r="E87" s="1">
        <v>921</v>
      </c>
      <c r="F87" s="1">
        <v>1146</v>
      </c>
      <c r="G87" s="1">
        <v>1099</v>
      </c>
    </row>
    <row r="88" spans="1:7">
      <c r="A88" s="44">
        <v>40762</v>
      </c>
      <c r="B88" s="1">
        <v>154</v>
      </c>
      <c r="C88" s="1">
        <v>955</v>
      </c>
      <c r="D88" s="1">
        <v>178</v>
      </c>
      <c r="E88" s="1">
        <v>917</v>
      </c>
      <c r="F88" s="1">
        <v>1109</v>
      </c>
      <c r="G88" s="1">
        <v>1095</v>
      </c>
    </row>
    <row r="89" spans="1:7">
      <c r="A89" s="44">
        <v>40769</v>
      </c>
      <c r="B89" s="1">
        <v>191</v>
      </c>
      <c r="C89" s="1">
        <v>892</v>
      </c>
      <c r="D89" s="1">
        <v>178</v>
      </c>
      <c r="E89" s="1">
        <v>919</v>
      </c>
      <c r="F89" s="1">
        <v>1083</v>
      </c>
      <c r="G89" s="1">
        <v>1097</v>
      </c>
    </row>
    <row r="90" spans="1:7">
      <c r="A90" s="44">
        <v>40776</v>
      </c>
      <c r="B90" s="1">
        <v>182</v>
      </c>
      <c r="C90" s="1">
        <v>968</v>
      </c>
      <c r="D90" s="1">
        <v>178</v>
      </c>
      <c r="E90" s="1">
        <v>921</v>
      </c>
      <c r="F90" s="1">
        <v>1150</v>
      </c>
      <c r="G90" s="1">
        <v>1099</v>
      </c>
    </row>
    <row r="91" spans="1:7">
      <c r="A91" s="44">
        <v>40783</v>
      </c>
      <c r="B91" s="1">
        <v>181</v>
      </c>
      <c r="C91" s="1">
        <v>1024</v>
      </c>
      <c r="D91" s="1">
        <v>178</v>
      </c>
      <c r="E91" s="1">
        <v>925</v>
      </c>
      <c r="F91" s="1">
        <v>1205</v>
      </c>
      <c r="G91" s="1">
        <v>1103</v>
      </c>
    </row>
    <row r="92" spans="1:7">
      <c r="A92" s="44">
        <v>40790</v>
      </c>
      <c r="B92" s="1">
        <v>192</v>
      </c>
      <c r="C92" s="1">
        <v>933</v>
      </c>
      <c r="D92" s="1">
        <v>178</v>
      </c>
      <c r="E92" s="1">
        <v>931</v>
      </c>
      <c r="F92" s="1">
        <v>1125</v>
      </c>
      <c r="G92" s="1">
        <v>1109</v>
      </c>
    </row>
    <row r="93" spans="1:7">
      <c r="A93" s="44">
        <v>40797</v>
      </c>
      <c r="B93" s="1">
        <v>181</v>
      </c>
      <c r="C93" s="1">
        <v>930</v>
      </c>
      <c r="D93" s="1">
        <v>179</v>
      </c>
      <c r="E93" s="1">
        <v>936</v>
      </c>
      <c r="F93" s="1">
        <v>1111</v>
      </c>
      <c r="G93" s="1">
        <v>1115</v>
      </c>
    </row>
    <row r="94" spans="1:7">
      <c r="A94" s="44">
        <v>40804</v>
      </c>
      <c r="B94" s="1">
        <v>161</v>
      </c>
      <c r="C94" s="1">
        <v>924</v>
      </c>
      <c r="D94" s="1">
        <v>179</v>
      </c>
      <c r="E94" s="1">
        <v>943</v>
      </c>
      <c r="F94" s="1">
        <v>1085</v>
      </c>
      <c r="G94" s="1">
        <v>1122</v>
      </c>
    </row>
    <row r="95" spans="1:7">
      <c r="A95" s="44">
        <v>40811</v>
      </c>
      <c r="B95" s="1">
        <v>182</v>
      </c>
      <c r="C95" s="1">
        <v>931</v>
      </c>
      <c r="D95" s="1">
        <v>179</v>
      </c>
      <c r="E95" s="1">
        <v>951</v>
      </c>
      <c r="F95" s="1">
        <v>1113</v>
      </c>
      <c r="G95" s="1">
        <v>1130</v>
      </c>
    </row>
    <row r="96" spans="1:7">
      <c r="A96" s="44">
        <v>40818</v>
      </c>
      <c r="B96" s="1">
        <v>179</v>
      </c>
      <c r="C96" s="1">
        <v>953</v>
      </c>
      <c r="D96" s="1">
        <v>179</v>
      </c>
      <c r="E96" s="1">
        <v>958</v>
      </c>
      <c r="F96" s="1">
        <v>1132</v>
      </c>
      <c r="G96" s="1">
        <v>1137</v>
      </c>
    </row>
    <row r="97" spans="1:7">
      <c r="A97" s="44">
        <v>40825</v>
      </c>
      <c r="B97" s="1">
        <v>171</v>
      </c>
      <c r="C97" s="1">
        <v>970</v>
      </c>
      <c r="D97" s="1">
        <v>180</v>
      </c>
      <c r="E97" s="1">
        <v>966</v>
      </c>
      <c r="F97" s="1">
        <v>1141</v>
      </c>
      <c r="G97" s="1">
        <v>1146</v>
      </c>
    </row>
    <row r="98" spans="1:7">
      <c r="A98" s="44">
        <v>40832</v>
      </c>
      <c r="B98" s="1">
        <v>191</v>
      </c>
      <c r="C98" s="1">
        <v>1005</v>
      </c>
      <c r="D98" s="1">
        <v>180</v>
      </c>
      <c r="E98" s="1">
        <v>974</v>
      </c>
      <c r="F98" s="1">
        <v>1196</v>
      </c>
      <c r="G98" s="1">
        <v>1154</v>
      </c>
    </row>
    <row r="99" spans="1:7">
      <c r="A99" s="44">
        <v>40839</v>
      </c>
      <c r="B99" s="1">
        <v>177</v>
      </c>
      <c r="C99" s="1">
        <v>939</v>
      </c>
      <c r="D99" s="1">
        <v>180</v>
      </c>
      <c r="E99" s="1">
        <v>981</v>
      </c>
      <c r="F99" s="1">
        <v>1116</v>
      </c>
      <c r="G99" s="1">
        <v>1161</v>
      </c>
    </row>
    <row r="100" spans="1:7">
      <c r="A100" s="44">
        <v>40846</v>
      </c>
      <c r="B100" s="1">
        <v>194</v>
      </c>
      <c r="C100" s="1">
        <v>1060</v>
      </c>
      <c r="D100" s="1">
        <v>180</v>
      </c>
      <c r="E100" s="1">
        <v>991</v>
      </c>
      <c r="F100" s="1">
        <v>1254</v>
      </c>
      <c r="G100" s="1">
        <v>1171</v>
      </c>
    </row>
    <row r="101" spans="1:7">
      <c r="A101" s="44">
        <v>40853</v>
      </c>
      <c r="B101" s="1">
        <v>156</v>
      </c>
      <c r="C101" s="1">
        <v>1030</v>
      </c>
      <c r="D101" s="1">
        <v>181</v>
      </c>
      <c r="E101" s="1">
        <v>1001</v>
      </c>
      <c r="F101" s="1">
        <v>1186</v>
      </c>
      <c r="G101" s="1">
        <v>1182</v>
      </c>
    </row>
    <row r="102" spans="1:7">
      <c r="A102" s="44">
        <v>40860</v>
      </c>
      <c r="B102" s="1">
        <v>177</v>
      </c>
      <c r="C102" s="1">
        <v>991</v>
      </c>
      <c r="D102" s="1">
        <v>181</v>
      </c>
      <c r="E102" s="1">
        <v>1013</v>
      </c>
      <c r="F102" s="1">
        <v>1168</v>
      </c>
      <c r="G102" s="1">
        <v>1194</v>
      </c>
    </row>
    <row r="103" spans="1:7">
      <c r="A103" s="44">
        <v>40867</v>
      </c>
      <c r="B103" s="1">
        <v>195</v>
      </c>
      <c r="C103" s="1">
        <v>1004</v>
      </c>
      <c r="D103" s="1">
        <v>181</v>
      </c>
      <c r="E103" s="1">
        <v>1024</v>
      </c>
      <c r="F103" s="1">
        <v>1199</v>
      </c>
      <c r="G103" s="1">
        <v>1205</v>
      </c>
    </row>
    <row r="104" spans="1:7">
      <c r="A104" s="44">
        <v>40874</v>
      </c>
      <c r="B104" s="1">
        <v>175</v>
      </c>
      <c r="C104" s="1">
        <v>1048</v>
      </c>
      <c r="D104" s="1">
        <v>181</v>
      </c>
      <c r="E104" s="1">
        <v>1039</v>
      </c>
      <c r="F104" s="1">
        <v>1223</v>
      </c>
      <c r="G104" s="1">
        <v>1220</v>
      </c>
    </row>
    <row r="105" spans="1:7">
      <c r="A105" s="44">
        <v>40881</v>
      </c>
      <c r="B105" s="1">
        <v>168</v>
      </c>
      <c r="C105" s="1">
        <v>1087</v>
      </c>
      <c r="D105" s="1">
        <v>182</v>
      </c>
      <c r="E105" s="1">
        <v>1057</v>
      </c>
      <c r="F105" s="1">
        <v>1255</v>
      </c>
      <c r="G105" s="1">
        <v>1239</v>
      </c>
    </row>
    <row r="106" spans="1:7">
      <c r="A106" s="44">
        <v>40888</v>
      </c>
      <c r="B106" s="1">
        <v>184</v>
      </c>
      <c r="C106" s="1">
        <v>1057</v>
      </c>
      <c r="D106" s="1">
        <v>182</v>
      </c>
      <c r="E106" s="1">
        <v>1075</v>
      </c>
      <c r="F106" s="1">
        <v>1241</v>
      </c>
      <c r="G106" s="1">
        <v>1257</v>
      </c>
    </row>
    <row r="107" spans="1:7">
      <c r="A107" s="44">
        <v>40895</v>
      </c>
      <c r="B107" s="1">
        <v>191</v>
      </c>
      <c r="C107" s="1">
        <v>1090</v>
      </c>
      <c r="D107" s="1">
        <v>182</v>
      </c>
      <c r="E107" s="1">
        <v>1092</v>
      </c>
      <c r="F107" s="1">
        <v>1281</v>
      </c>
      <c r="G107" s="1">
        <v>1274</v>
      </c>
    </row>
    <row r="108" spans="1:7">
      <c r="A108" s="44">
        <v>40902</v>
      </c>
      <c r="B108" s="1">
        <v>197</v>
      </c>
      <c r="C108" s="1">
        <v>1084</v>
      </c>
      <c r="D108" s="1">
        <v>182</v>
      </c>
      <c r="E108" s="1">
        <v>1109</v>
      </c>
      <c r="F108" s="1">
        <v>1281</v>
      </c>
      <c r="G108" s="1">
        <v>1291</v>
      </c>
    </row>
    <row r="109" spans="1:7">
      <c r="A109" s="44">
        <v>40909</v>
      </c>
      <c r="B109" s="1">
        <v>171</v>
      </c>
      <c r="C109" s="1">
        <v>1065</v>
      </c>
      <c r="D109" s="1">
        <v>182</v>
      </c>
      <c r="E109" s="1">
        <v>1126</v>
      </c>
      <c r="F109" s="1">
        <v>1236</v>
      </c>
      <c r="G109" s="1">
        <v>1308</v>
      </c>
    </row>
    <row r="110" spans="1:7">
      <c r="A110" s="44">
        <v>40916</v>
      </c>
      <c r="B110" s="1">
        <v>175</v>
      </c>
      <c r="C110" s="1">
        <v>1174</v>
      </c>
      <c r="D110" s="1">
        <v>188</v>
      </c>
      <c r="E110" s="1">
        <v>1156</v>
      </c>
      <c r="F110" s="1">
        <v>1349</v>
      </c>
      <c r="G110" s="1">
        <v>1344</v>
      </c>
    </row>
    <row r="111" spans="1:7">
      <c r="A111" s="44">
        <v>40923</v>
      </c>
      <c r="B111" s="1">
        <v>198</v>
      </c>
      <c r="C111" s="1">
        <v>1153</v>
      </c>
      <c r="D111" s="1">
        <v>187</v>
      </c>
      <c r="E111" s="1">
        <v>1153</v>
      </c>
      <c r="F111" s="1">
        <v>1351</v>
      </c>
      <c r="G111" s="1">
        <v>1340</v>
      </c>
    </row>
    <row r="112" spans="1:7">
      <c r="A112" s="44">
        <v>40930</v>
      </c>
      <c r="B112" s="1">
        <v>163</v>
      </c>
      <c r="C112" s="1">
        <v>1181</v>
      </c>
      <c r="D112" s="1">
        <v>186</v>
      </c>
      <c r="E112" s="1">
        <v>1149</v>
      </c>
      <c r="F112" s="1">
        <v>1344</v>
      </c>
      <c r="G112" s="1">
        <v>1335</v>
      </c>
    </row>
    <row r="113" spans="1:7">
      <c r="A113" s="44">
        <v>40937</v>
      </c>
      <c r="B113" s="1">
        <v>189</v>
      </c>
      <c r="C113" s="1">
        <v>1148</v>
      </c>
      <c r="D113" s="1">
        <v>186</v>
      </c>
      <c r="E113" s="1">
        <v>1146</v>
      </c>
      <c r="F113" s="1">
        <v>1337</v>
      </c>
      <c r="G113" s="1">
        <v>1332</v>
      </c>
    </row>
    <row r="114" spans="1:7">
      <c r="A114" s="44">
        <v>40944</v>
      </c>
      <c r="B114" s="1">
        <v>199</v>
      </c>
      <c r="C114" s="1">
        <v>1137</v>
      </c>
      <c r="D114" s="1">
        <v>185</v>
      </c>
      <c r="E114" s="1">
        <v>1142</v>
      </c>
      <c r="F114" s="1">
        <v>1336</v>
      </c>
      <c r="G114" s="1">
        <v>1327</v>
      </c>
    </row>
    <row r="115" spans="1:7">
      <c r="A115" s="44">
        <v>40951</v>
      </c>
      <c r="B115" s="1">
        <v>218</v>
      </c>
      <c r="C115" s="1">
        <v>1197</v>
      </c>
      <c r="D115" s="1">
        <v>185</v>
      </c>
      <c r="E115" s="1">
        <v>1138</v>
      </c>
      <c r="F115" s="1">
        <v>1415</v>
      </c>
      <c r="G115" s="1">
        <v>1323</v>
      </c>
    </row>
    <row r="116" spans="1:7">
      <c r="A116" s="44">
        <v>40958</v>
      </c>
      <c r="B116" s="1">
        <v>206</v>
      </c>
      <c r="C116" s="1">
        <v>1218</v>
      </c>
      <c r="D116" s="1">
        <v>184</v>
      </c>
      <c r="E116" s="1">
        <v>1135</v>
      </c>
      <c r="F116" s="1">
        <v>1424</v>
      </c>
      <c r="G116" s="1">
        <v>1319</v>
      </c>
    </row>
    <row r="117" spans="1:7">
      <c r="A117" s="44">
        <v>40965</v>
      </c>
      <c r="B117" s="1">
        <v>181</v>
      </c>
      <c r="C117" s="1">
        <v>1216</v>
      </c>
      <c r="D117" s="1">
        <v>184</v>
      </c>
      <c r="E117" s="1">
        <v>1125</v>
      </c>
      <c r="F117" s="1">
        <v>1397</v>
      </c>
      <c r="G117" s="1">
        <v>1309</v>
      </c>
    </row>
    <row r="118" spans="1:7">
      <c r="A118" s="44">
        <v>40972</v>
      </c>
      <c r="B118" s="1">
        <v>198</v>
      </c>
      <c r="C118" s="1">
        <v>1209</v>
      </c>
      <c r="D118" s="1">
        <v>183</v>
      </c>
      <c r="E118" s="1">
        <v>1115</v>
      </c>
      <c r="F118" s="1">
        <v>1407</v>
      </c>
      <c r="G118" s="1">
        <v>1298</v>
      </c>
    </row>
    <row r="119" spans="1:7">
      <c r="A119" s="44">
        <v>40979</v>
      </c>
      <c r="B119" s="1">
        <v>181</v>
      </c>
      <c r="C119" s="1">
        <v>1146</v>
      </c>
      <c r="D119" s="1">
        <v>182</v>
      </c>
      <c r="E119" s="1">
        <v>1099</v>
      </c>
      <c r="F119" s="1">
        <v>1327</v>
      </c>
      <c r="G119" s="1">
        <v>1281</v>
      </c>
    </row>
    <row r="120" spans="1:7">
      <c r="A120" s="44">
        <v>40986</v>
      </c>
      <c r="B120" s="1">
        <v>210</v>
      </c>
      <c r="C120" s="1">
        <v>1182</v>
      </c>
      <c r="D120" s="1">
        <v>182</v>
      </c>
      <c r="E120" s="1">
        <v>1082</v>
      </c>
      <c r="F120" s="1">
        <v>1392</v>
      </c>
      <c r="G120" s="1">
        <v>1264</v>
      </c>
    </row>
    <row r="121" spans="1:7">
      <c r="A121" s="44">
        <v>40993</v>
      </c>
      <c r="B121" s="1">
        <v>180</v>
      </c>
      <c r="C121" s="1">
        <v>1048</v>
      </c>
      <c r="D121" s="1">
        <v>181</v>
      </c>
      <c r="E121" s="1">
        <v>1062</v>
      </c>
      <c r="F121" s="1">
        <v>1228</v>
      </c>
      <c r="G121" s="1">
        <v>1243</v>
      </c>
    </row>
    <row r="122" spans="1:7">
      <c r="A122" s="44">
        <v>41000</v>
      </c>
      <c r="B122" s="1">
        <v>187</v>
      </c>
      <c r="C122" s="1">
        <v>1121</v>
      </c>
      <c r="D122" s="1">
        <v>181</v>
      </c>
      <c r="E122" s="1">
        <v>1042</v>
      </c>
      <c r="F122" s="1">
        <v>1308</v>
      </c>
      <c r="G122" s="1">
        <v>1223</v>
      </c>
    </row>
    <row r="123" spans="1:7">
      <c r="A123" s="44">
        <v>41007</v>
      </c>
      <c r="B123" s="1">
        <v>202</v>
      </c>
      <c r="C123" s="1">
        <v>1082</v>
      </c>
      <c r="D123" s="1">
        <v>180</v>
      </c>
      <c r="E123" s="1">
        <v>1025</v>
      </c>
      <c r="F123" s="1">
        <v>1284</v>
      </c>
      <c r="G123" s="1">
        <v>1205</v>
      </c>
    </row>
    <row r="124" spans="1:7">
      <c r="A124" s="44">
        <v>41014</v>
      </c>
      <c r="B124" s="1">
        <v>182</v>
      </c>
      <c r="C124" s="1">
        <v>1092</v>
      </c>
      <c r="D124" s="1">
        <v>179</v>
      </c>
      <c r="E124" s="1">
        <v>1010</v>
      </c>
      <c r="F124" s="1">
        <v>1274</v>
      </c>
      <c r="G124" s="1">
        <v>1189</v>
      </c>
    </row>
    <row r="125" spans="1:7">
      <c r="A125" s="44">
        <v>41021</v>
      </c>
      <c r="B125" s="1">
        <v>189</v>
      </c>
      <c r="C125" s="1">
        <v>1018</v>
      </c>
      <c r="D125" s="1">
        <v>179</v>
      </c>
      <c r="E125" s="1">
        <v>996</v>
      </c>
      <c r="F125" s="1">
        <v>1207</v>
      </c>
      <c r="G125" s="1">
        <v>1175</v>
      </c>
    </row>
    <row r="126" spans="1:7">
      <c r="A126" s="44">
        <v>41028</v>
      </c>
      <c r="B126" s="1">
        <v>207</v>
      </c>
      <c r="C126" s="1">
        <v>1088</v>
      </c>
      <c r="D126" s="1">
        <v>178</v>
      </c>
      <c r="E126" s="1">
        <v>985</v>
      </c>
      <c r="F126" s="1">
        <v>1295</v>
      </c>
      <c r="G126" s="1">
        <v>1163</v>
      </c>
    </row>
    <row r="127" spans="1:7">
      <c r="A127" s="44">
        <v>41035</v>
      </c>
      <c r="B127" s="1">
        <v>167</v>
      </c>
      <c r="C127" s="1">
        <v>987</v>
      </c>
      <c r="D127" s="1">
        <v>178</v>
      </c>
      <c r="E127" s="1">
        <v>974</v>
      </c>
      <c r="F127" s="1">
        <v>1154</v>
      </c>
      <c r="G127" s="1">
        <v>1152</v>
      </c>
    </row>
    <row r="128" spans="1:7">
      <c r="A128" s="44">
        <v>41042</v>
      </c>
      <c r="B128" s="1">
        <v>195</v>
      </c>
      <c r="C128" s="1">
        <v>979</v>
      </c>
      <c r="D128" s="1">
        <v>177</v>
      </c>
      <c r="E128" s="1">
        <v>966</v>
      </c>
      <c r="F128" s="1">
        <v>1174</v>
      </c>
      <c r="G128" s="1">
        <v>1143</v>
      </c>
    </row>
    <row r="129" spans="1:7">
      <c r="A129" s="44">
        <v>41049</v>
      </c>
      <c r="B129" s="1">
        <v>161</v>
      </c>
      <c r="C129" s="1">
        <v>941</v>
      </c>
      <c r="D129" s="1">
        <v>176</v>
      </c>
      <c r="E129" s="1">
        <v>957</v>
      </c>
      <c r="F129" s="1">
        <v>1102</v>
      </c>
      <c r="G129" s="1">
        <v>1133</v>
      </c>
    </row>
    <row r="130" spans="1:7">
      <c r="A130" s="44">
        <v>41056</v>
      </c>
      <c r="B130" s="1">
        <v>175</v>
      </c>
      <c r="C130" s="1">
        <v>921</v>
      </c>
      <c r="D130" s="1">
        <v>176</v>
      </c>
      <c r="E130" s="1">
        <v>950</v>
      </c>
      <c r="F130" s="1">
        <v>1096</v>
      </c>
      <c r="G130" s="1">
        <v>1126</v>
      </c>
    </row>
    <row r="131" spans="1:7">
      <c r="A131" s="44">
        <v>41063</v>
      </c>
      <c r="B131" s="1">
        <v>177</v>
      </c>
      <c r="C131" s="1">
        <v>951</v>
      </c>
      <c r="D131" s="1">
        <v>175</v>
      </c>
      <c r="E131" s="1">
        <v>947</v>
      </c>
      <c r="F131" s="1">
        <v>1128</v>
      </c>
      <c r="G131" s="1">
        <v>1122</v>
      </c>
    </row>
    <row r="132" spans="1:7">
      <c r="A132" s="44">
        <v>41070</v>
      </c>
      <c r="B132" s="1">
        <v>162</v>
      </c>
      <c r="C132" s="1">
        <v>873</v>
      </c>
      <c r="D132" s="1">
        <v>175</v>
      </c>
      <c r="E132" s="1">
        <v>944</v>
      </c>
      <c r="F132" s="1">
        <v>1035</v>
      </c>
      <c r="G132" s="1">
        <v>1119</v>
      </c>
    </row>
    <row r="133" spans="1:7">
      <c r="A133" s="44">
        <v>41077</v>
      </c>
      <c r="B133" s="1">
        <v>183</v>
      </c>
      <c r="C133" s="1">
        <v>985</v>
      </c>
      <c r="D133" s="1">
        <v>175</v>
      </c>
      <c r="E133" s="1">
        <v>941</v>
      </c>
      <c r="F133" s="1">
        <v>1168</v>
      </c>
      <c r="G133" s="1">
        <v>1116</v>
      </c>
    </row>
    <row r="134" spans="1:7">
      <c r="A134" s="44">
        <v>41084</v>
      </c>
      <c r="B134" s="1">
        <v>185</v>
      </c>
      <c r="C134" s="1">
        <v>956</v>
      </c>
      <c r="D134" s="1">
        <v>174</v>
      </c>
      <c r="E134" s="1">
        <v>937</v>
      </c>
      <c r="F134" s="1">
        <v>1141</v>
      </c>
      <c r="G134" s="1">
        <v>1111</v>
      </c>
    </row>
    <row r="135" spans="1:7">
      <c r="A135" s="44">
        <v>41091</v>
      </c>
      <c r="B135" s="1">
        <v>190</v>
      </c>
      <c r="C135" s="1">
        <v>945</v>
      </c>
      <c r="D135" s="1">
        <v>174</v>
      </c>
      <c r="E135" s="1">
        <v>933</v>
      </c>
      <c r="F135" s="1">
        <v>1135</v>
      </c>
      <c r="G135" s="1">
        <v>1107</v>
      </c>
    </row>
    <row r="136" spans="1:7">
      <c r="A136" s="44">
        <v>41098</v>
      </c>
      <c r="B136" s="1">
        <v>194</v>
      </c>
      <c r="C136" s="1">
        <v>903</v>
      </c>
      <c r="D136" s="1">
        <v>174</v>
      </c>
      <c r="E136" s="1">
        <v>929</v>
      </c>
      <c r="F136" s="1">
        <v>1097</v>
      </c>
      <c r="G136" s="1">
        <v>1103</v>
      </c>
    </row>
    <row r="137" spans="1:7">
      <c r="A137" s="44">
        <v>41105</v>
      </c>
      <c r="B137" s="1">
        <v>178</v>
      </c>
      <c r="C137" s="1">
        <v>925</v>
      </c>
      <c r="D137" s="1">
        <v>174</v>
      </c>
      <c r="E137" s="1">
        <v>925</v>
      </c>
      <c r="F137" s="1">
        <v>1103</v>
      </c>
      <c r="G137" s="1">
        <v>1099</v>
      </c>
    </row>
    <row r="138" spans="1:7">
      <c r="A138" s="44">
        <v>41112</v>
      </c>
      <c r="B138" s="1">
        <v>140</v>
      </c>
      <c r="C138" s="1">
        <v>933</v>
      </c>
      <c r="D138" s="1">
        <v>173</v>
      </c>
      <c r="E138" s="1">
        <v>921</v>
      </c>
      <c r="F138" s="1">
        <v>1073</v>
      </c>
      <c r="G138" s="1">
        <v>1094</v>
      </c>
    </row>
    <row r="139" spans="1:7">
      <c r="A139" s="44">
        <v>41119</v>
      </c>
      <c r="B139" s="1">
        <v>185</v>
      </c>
      <c r="C139" s="1">
        <v>957</v>
      </c>
      <c r="D139" s="1">
        <v>173</v>
      </c>
      <c r="E139" s="1">
        <v>920</v>
      </c>
      <c r="F139" s="1">
        <v>1142</v>
      </c>
      <c r="G139" s="1">
        <v>1093</v>
      </c>
    </row>
    <row r="140" spans="1:7">
      <c r="A140" s="44">
        <v>41126</v>
      </c>
      <c r="B140" s="1">
        <v>177</v>
      </c>
      <c r="C140" s="1">
        <v>945</v>
      </c>
      <c r="D140" s="1">
        <v>173</v>
      </c>
      <c r="E140" s="1">
        <v>918</v>
      </c>
      <c r="F140" s="1">
        <v>1122</v>
      </c>
      <c r="G140" s="1">
        <v>1091</v>
      </c>
    </row>
    <row r="141" spans="1:7">
      <c r="A141" s="44">
        <v>41133</v>
      </c>
      <c r="B141" s="1">
        <v>166</v>
      </c>
      <c r="C141" s="1">
        <v>858</v>
      </c>
      <c r="D141" s="1">
        <v>173</v>
      </c>
      <c r="E141" s="1">
        <v>921</v>
      </c>
      <c r="F141" s="1">
        <v>1024</v>
      </c>
      <c r="G141" s="1">
        <v>1094</v>
      </c>
    </row>
    <row r="142" spans="1:7">
      <c r="A142" s="44">
        <v>41140</v>
      </c>
      <c r="B142" s="1">
        <v>169</v>
      </c>
      <c r="C142" s="1">
        <v>949</v>
      </c>
      <c r="D142" s="1">
        <v>173</v>
      </c>
      <c r="E142" s="1">
        <v>924</v>
      </c>
      <c r="F142" s="1">
        <v>1118</v>
      </c>
      <c r="G142" s="1">
        <v>1097</v>
      </c>
    </row>
    <row r="143" spans="1:7">
      <c r="A143" s="44">
        <v>41147</v>
      </c>
      <c r="B143" s="1">
        <v>201</v>
      </c>
      <c r="C143" s="1">
        <v>979</v>
      </c>
      <c r="D143" s="1">
        <v>173</v>
      </c>
      <c r="E143" s="1">
        <v>928</v>
      </c>
      <c r="F143" s="1">
        <v>1180</v>
      </c>
      <c r="G143" s="1">
        <v>1101</v>
      </c>
    </row>
    <row r="144" spans="1:7">
      <c r="A144" s="44">
        <v>41154</v>
      </c>
      <c r="B144" s="1">
        <v>167</v>
      </c>
      <c r="C144" s="1">
        <v>914</v>
      </c>
      <c r="D144" s="1">
        <v>174</v>
      </c>
      <c r="E144" s="1">
        <v>934</v>
      </c>
      <c r="F144" s="1">
        <v>1081</v>
      </c>
      <c r="G144" s="1">
        <v>1108</v>
      </c>
    </row>
    <row r="145" spans="1:7">
      <c r="A145" s="44">
        <v>41161</v>
      </c>
      <c r="B145" s="1">
        <v>172</v>
      </c>
      <c r="C145" s="1">
        <v>955</v>
      </c>
      <c r="D145" s="1">
        <v>174</v>
      </c>
      <c r="E145" s="1">
        <v>939</v>
      </c>
      <c r="F145" s="1">
        <v>1127</v>
      </c>
      <c r="G145" s="1">
        <v>1113</v>
      </c>
    </row>
    <row r="146" spans="1:7">
      <c r="A146" s="44">
        <v>41168</v>
      </c>
      <c r="B146" s="1">
        <v>189</v>
      </c>
      <c r="C146" s="1">
        <v>970</v>
      </c>
      <c r="D146" s="1">
        <v>174</v>
      </c>
      <c r="E146" s="1">
        <v>944</v>
      </c>
      <c r="F146" s="1">
        <v>1159</v>
      </c>
      <c r="G146" s="1">
        <v>1118</v>
      </c>
    </row>
    <row r="147" spans="1:7">
      <c r="A147" s="44">
        <v>41175</v>
      </c>
      <c r="B147" s="1">
        <v>180</v>
      </c>
      <c r="C147" s="1">
        <v>993</v>
      </c>
      <c r="D147" s="1">
        <v>174</v>
      </c>
      <c r="E147" s="1">
        <v>950</v>
      </c>
      <c r="F147" s="1">
        <v>1173</v>
      </c>
      <c r="G147" s="1">
        <v>1124</v>
      </c>
    </row>
    <row r="148" spans="1:7">
      <c r="A148" s="44">
        <v>41182</v>
      </c>
      <c r="B148" s="1">
        <v>176</v>
      </c>
      <c r="C148" s="1">
        <v>979</v>
      </c>
      <c r="D148" s="1">
        <v>175</v>
      </c>
      <c r="E148" s="1">
        <v>957</v>
      </c>
      <c r="F148" s="1">
        <v>1155</v>
      </c>
      <c r="G148" s="1">
        <v>1132</v>
      </c>
    </row>
    <row r="149" spans="1:7">
      <c r="A149" s="44">
        <v>41189</v>
      </c>
      <c r="B149" s="1">
        <v>180</v>
      </c>
      <c r="C149" s="1">
        <v>1057</v>
      </c>
      <c r="D149" s="1">
        <v>175</v>
      </c>
      <c r="E149" s="1">
        <v>965</v>
      </c>
      <c r="F149" s="1">
        <v>1237</v>
      </c>
      <c r="G149" s="1">
        <v>1140</v>
      </c>
    </row>
    <row r="150" spans="1:7">
      <c r="A150" s="44">
        <v>41196</v>
      </c>
      <c r="B150" s="1">
        <v>162</v>
      </c>
      <c r="C150" s="1">
        <v>1018</v>
      </c>
      <c r="D150" s="1">
        <v>175</v>
      </c>
      <c r="E150" s="1">
        <v>972</v>
      </c>
      <c r="F150" s="1">
        <v>1180</v>
      </c>
      <c r="G150" s="1">
        <v>1147</v>
      </c>
    </row>
    <row r="151" spans="1:7">
      <c r="A151" s="44">
        <v>41203</v>
      </c>
      <c r="B151" s="1">
        <v>149</v>
      </c>
      <c r="C151" s="1">
        <v>993</v>
      </c>
      <c r="D151" s="1">
        <v>175</v>
      </c>
      <c r="E151" s="1">
        <v>980</v>
      </c>
      <c r="F151" s="1">
        <v>1142</v>
      </c>
      <c r="G151" s="1">
        <v>1155</v>
      </c>
    </row>
    <row r="152" spans="1:7">
      <c r="A152" s="44">
        <v>41210</v>
      </c>
      <c r="B152" s="1">
        <v>181</v>
      </c>
      <c r="C152" s="1">
        <v>1064</v>
      </c>
      <c r="D152" s="1">
        <v>176</v>
      </c>
      <c r="E152" s="1">
        <v>991</v>
      </c>
      <c r="F152" s="1">
        <v>1245</v>
      </c>
      <c r="G152" s="1">
        <v>1167</v>
      </c>
    </row>
    <row r="153" spans="1:7">
      <c r="A153" s="44">
        <v>41217</v>
      </c>
      <c r="B153" s="1">
        <v>187</v>
      </c>
      <c r="C153" s="1">
        <v>986</v>
      </c>
      <c r="D153" s="1">
        <v>176</v>
      </c>
      <c r="E153" s="1">
        <v>1002</v>
      </c>
      <c r="F153" s="1">
        <v>1173</v>
      </c>
      <c r="G153" s="1">
        <v>1178</v>
      </c>
    </row>
    <row r="154" spans="1:7">
      <c r="A154" s="44">
        <v>41224</v>
      </c>
      <c r="B154" s="1">
        <v>190</v>
      </c>
      <c r="C154" s="1">
        <v>994</v>
      </c>
      <c r="D154" s="1">
        <v>176</v>
      </c>
      <c r="E154" s="1">
        <v>1015</v>
      </c>
      <c r="F154" s="1">
        <v>1184</v>
      </c>
      <c r="G154" s="1">
        <v>1191</v>
      </c>
    </row>
    <row r="155" spans="1:7">
      <c r="A155" s="44">
        <v>41231</v>
      </c>
      <c r="B155" s="1">
        <v>183</v>
      </c>
      <c r="C155" s="1">
        <v>1024</v>
      </c>
      <c r="D155" s="1">
        <v>177</v>
      </c>
      <c r="E155" s="1">
        <v>1028</v>
      </c>
      <c r="F155" s="1">
        <v>1207</v>
      </c>
      <c r="G155" s="1">
        <v>1205</v>
      </c>
    </row>
    <row r="156" spans="1:7">
      <c r="A156" s="44">
        <v>41238</v>
      </c>
      <c r="B156" s="1">
        <v>192</v>
      </c>
      <c r="C156" s="1">
        <v>1073</v>
      </c>
      <c r="D156" s="1">
        <v>177</v>
      </c>
      <c r="E156" s="1">
        <v>1043</v>
      </c>
      <c r="F156" s="1">
        <v>1265</v>
      </c>
      <c r="G156" s="1">
        <v>1220</v>
      </c>
    </row>
    <row r="157" spans="1:7">
      <c r="A157" s="44">
        <v>41245</v>
      </c>
      <c r="B157" s="1">
        <v>143</v>
      </c>
      <c r="C157" s="1">
        <v>1067</v>
      </c>
      <c r="D157" s="1">
        <v>177</v>
      </c>
      <c r="E157" s="1">
        <v>1059</v>
      </c>
      <c r="F157" s="1">
        <v>1210</v>
      </c>
      <c r="G157" s="1">
        <v>1236</v>
      </c>
    </row>
    <row r="158" spans="1:7">
      <c r="A158" s="44">
        <v>41252</v>
      </c>
      <c r="B158" s="1">
        <v>168</v>
      </c>
      <c r="C158" s="1">
        <v>1095</v>
      </c>
      <c r="D158" s="1">
        <v>177</v>
      </c>
      <c r="E158" s="1">
        <v>1075</v>
      </c>
      <c r="F158" s="1">
        <v>1263</v>
      </c>
      <c r="G158" s="1">
        <v>1252</v>
      </c>
    </row>
    <row r="159" spans="1:7">
      <c r="A159" s="44">
        <v>41259</v>
      </c>
      <c r="B159" s="1">
        <v>163</v>
      </c>
      <c r="C159" s="1">
        <v>1103</v>
      </c>
      <c r="D159" s="1">
        <v>178</v>
      </c>
      <c r="E159" s="1">
        <v>1091</v>
      </c>
      <c r="F159" s="1">
        <v>1266</v>
      </c>
      <c r="G159" s="1">
        <v>1269</v>
      </c>
    </row>
    <row r="160" spans="1:7">
      <c r="A160" s="44">
        <v>41266</v>
      </c>
      <c r="B160" s="1">
        <v>178</v>
      </c>
      <c r="C160" s="1">
        <v>1094</v>
      </c>
      <c r="D160" s="1">
        <v>178</v>
      </c>
      <c r="E160" s="1">
        <v>1107</v>
      </c>
      <c r="F160" s="1">
        <v>1272</v>
      </c>
      <c r="G160" s="1">
        <v>1285</v>
      </c>
    </row>
    <row r="161" spans="1:7">
      <c r="A161" s="44">
        <v>41273</v>
      </c>
      <c r="B161" s="1">
        <v>202</v>
      </c>
      <c r="C161" s="1">
        <v>1140</v>
      </c>
      <c r="D161" s="1">
        <v>178</v>
      </c>
      <c r="E161" s="1">
        <v>1123</v>
      </c>
      <c r="F161" s="1">
        <v>1342</v>
      </c>
      <c r="G161" s="1">
        <v>1301</v>
      </c>
    </row>
    <row r="162" spans="1:7">
      <c r="A162" s="44">
        <v>41280</v>
      </c>
      <c r="B162" s="1">
        <v>194</v>
      </c>
      <c r="C162" s="1">
        <v>1093</v>
      </c>
      <c r="D162" s="1">
        <v>185</v>
      </c>
      <c r="E162" s="1">
        <v>1184</v>
      </c>
      <c r="F162" s="1">
        <v>1287</v>
      </c>
      <c r="G162" s="1">
        <v>1369</v>
      </c>
    </row>
    <row r="163" spans="1:7">
      <c r="A163" s="44">
        <v>41287</v>
      </c>
      <c r="B163" s="1">
        <v>174</v>
      </c>
      <c r="C163" s="1">
        <v>1238</v>
      </c>
      <c r="D163" s="1">
        <v>185</v>
      </c>
      <c r="E163" s="1">
        <v>1182</v>
      </c>
      <c r="F163" s="1">
        <v>1412</v>
      </c>
      <c r="G163" s="1">
        <v>1367</v>
      </c>
    </row>
    <row r="164" spans="1:7">
      <c r="A164" s="44">
        <v>41294</v>
      </c>
      <c r="B164" s="1">
        <v>204</v>
      </c>
      <c r="C164" s="1">
        <v>1191</v>
      </c>
      <c r="D164" s="1">
        <v>184</v>
      </c>
      <c r="E164" s="1">
        <v>1180</v>
      </c>
      <c r="F164" s="1">
        <v>1395</v>
      </c>
      <c r="G164" s="1">
        <v>1364</v>
      </c>
    </row>
    <row r="165" spans="1:7">
      <c r="A165" s="44">
        <v>41301</v>
      </c>
      <c r="B165" s="1">
        <v>192</v>
      </c>
      <c r="C165" s="1">
        <v>1212</v>
      </c>
      <c r="D165" s="1">
        <v>184</v>
      </c>
      <c r="E165" s="1">
        <v>1178</v>
      </c>
      <c r="F165" s="1">
        <v>1404</v>
      </c>
      <c r="G165" s="1">
        <v>1362</v>
      </c>
    </row>
    <row r="166" spans="1:7">
      <c r="A166" s="44">
        <v>41308</v>
      </c>
      <c r="B166" s="1">
        <v>207</v>
      </c>
      <c r="C166" s="1">
        <v>1223</v>
      </c>
      <c r="D166" s="1">
        <v>183</v>
      </c>
      <c r="E166" s="1">
        <v>1176</v>
      </c>
      <c r="F166" s="1">
        <v>1430</v>
      </c>
      <c r="G166" s="1">
        <v>1359</v>
      </c>
    </row>
    <row r="167" spans="1:7">
      <c r="A167" s="44">
        <v>41315</v>
      </c>
      <c r="B167" s="1">
        <v>195</v>
      </c>
      <c r="C167" s="1">
        <v>1256</v>
      </c>
      <c r="D167" s="1">
        <v>182</v>
      </c>
      <c r="E167" s="1">
        <v>1173</v>
      </c>
      <c r="F167" s="1">
        <v>1451</v>
      </c>
      <c r="G167" s="1">
        <v>1355</v>
      </c>
    </row>
    <row r="168" spans="1:7">
      <c r="A168" s="44">
        <v>41322</v>
      </c>
      <c r="B168" s="1">
        <v>232</v>
      </c>
      <c r="C168" s="1">
        <v>1264</v>
      </c>
      <c r="D168" s="1">
        <v>182</v>
      </c>
      <c r="E168" s="1">
        <v>1171</v>
      </c>
      <c r="F168" s="1">
        <v>1496</v>
      </c>
      <c r="G168" s="1">
        <v>1353</v>
      </c>
    </row>
    <row r="169" spans="1:7">
      <c r="A169" s="44">
        <v>41329</v>
      </c>
      <c r="B169" s="1">
        <v>193</v>
      </c>
      <c r="C169" s="1">
        <v>1230</v>
      </c>
      <c r="D169" s="1">
        <v>181</v>
      </c>
      <c r="E169" s="1">
        <v>1162</v>
      </c>
      <c r="F169" s="1">
        <v>1423</v>
      </c>
      <c r="G169" s="1">
        <v>1343</v>
      </c>
    </row>
    <row r="170" spans="1:7">
      <c r="A170" s="44">
        <v>41336</v>
      </c>
      <c r="B170" s="1">
        <v>206</v>
      </c>
      <c r="C170" s="1">
        <v>1255</v>
      </c>
      <c r="D170" s="1">
        <v>181</v>
      </c>
      <c r="E170" s="1">
        <v>1152</v>
      </c>
      <c r="F170" s="1">
        <v>1461</v>
      </c>
      <c r="G170" s="1">
        <v>1333</v>
      </c>
    </row>
    <row r="171" spans="1:7">
      <c r="A171" s="44">
        <v>41343</v>
      </c>
      <c r="B171" s="1">
        <v>151</v>
      </c>
      <c r="C171" s="1">
        <v>1305</v>
      </c>
      <c r="D171" s="1">
        <v>180</v>
      </c>
      <c r="E171" s="1">
        <v>1136</v>
      </c>
      <c r="F171" s="1">
        <v>1456</v>
      </c>
      <c r="G171" s="1">
        <v>1316</v>
      </c>
    </row>
    <row r="172" spans="1:7">
      <c r="A172" s="44">
        <v>41350</v>
      </c>
      <c r="B172" s="1">
        <v>192</v>
      </c>
      <c r="C172" s="1">
        <v>1227</v>
      </c>
      <c r="D172" s="1">
        <v>180</v>
      </c>
      <c r="E172" s="1">
        <v>1119</v>
      </c>
      <c r="F172" s="1">
        <v>1419</v>
      </c>
      <c r="G172" s="1">
        <v>1299</v>
      </c>
    </row>
    <row r="173" spans="1:7">
      <c r="A173" s="44">
        <v>41357</v>
      </c>
      <c r="B173" s="1">
        <v>203</v>
      </c>
      <c r="C173" s="1">
        <v>1146</v>
      </c>
      <c r="D173" s="1">
        <v>179</v>
      </c>
      <c r="E173" s="1">
        <v>1098</v>
      </c>
      <c r="F173" s="1">
        <v>1349</v>
      </c>
      <c r="G173" s="1">
        <v>1277</v>
      </c>
    </row>
    <row r="174" spans="1:7">
      <c r="A174" s="44">
        <v>41364</v>
      </c>
      <c r="B174" s="1">
        <v>182</v>
      </c>
      <c r="C174" s="1">
        <v>1170</v>
      </c>
      <c r="D174" s="1">
        <v>178</v>
      </c>
      <c r="E174" s="1">
        <v>1077</v>
      </c>
      <c r="F174" s="1">
        <v>1352</v>
      </c>
      <c r="G174" s="1">
        <v>1255</v>
      </c>
    </row>
    <row r="175" spans="1:7">
      <c r="A175" s="44">
        <v>41371</v>
      </c>
      <c r="B175" s="1">
        <v>185</v>
      </c>
      <c r="C175" s="1">
        <v>1132</v>
      </c>
      <c r="D175" s="1">
        <v>178</v>
      </c>
      <c r="E175" s="1">
        <v>1059</v>
      </c>
      <c r="F175" s="1">
        <v>1317</v>
      </c>
      <c r="G175" s="1">
        <v>1237</v>
      </c>
    </row>
    <row r="176" spans="1:7">
      <c r="A176" s="44">
        <v>41378</v>
      </c>
      <c r="B176" s="1">
        <v>161</v>
      </c>
      <c r="C176" s="1">
        <v>1107</v>
      </c>
      <c r="D176" s="1">
        <v>177</v>
      </c>
      <c r="E176" s="1">
        <v>1043</v>
      </c>
      <c r="F176" s="1">
        <v>1268</v>
      </c>
      <c r="G176" s="1">
        <v>1220</v>
      </c>
    </row>
    <row r="177" spans="1:7">
      <c r="A177" s="44">
        <v>41385</v>
      </c>
      <c r="B177" s="1">
        <v>170</v>
      </c>
      <c r="C177" s="1">
        <v>1043</v>
      </c>
      <c r="D177" s="1">
        <v>177</v>
      </c>
      <c r="E177" s="1">
        <v>1028</v>
      </c>
      <c r="F177" s="1">
        <v>1213</v>
      </c>
      <c r="G177" s="1">
        <v>1205</v>
      </c>
    </row>
    <row r="178" spans="1:7">
      <c r="A178" s="44">
        <v>41392</v>
      </c>
      <c r="B178" s="1">
        <v>191</v>
      </c>
      <c r="C178" s="1">
        <v>1054</v>
      </c>
      <c r="D178" s="1">
        <v>176</v>
      </c>
      <c r="E178" s="1">
        <v>1016</v>
      </c>
      <c r="F178" s="1">
        <v>1245</v>
      </c>
      <c r="G178" s="1">
        <v>1192</v>
      </c>
    </row>
    <row r="179" spans="1:7">
      <c r="A179" s="44">
        <v>41399</v>
      </c>
      <c r="B179" s="1">
        <v>184</v>
      </c>
      <c r="C179" s="1">
        <v>968</v>
      </c>
      <c r="D179" s="1">
        <v>175</v>
      </c>
      <c r="E179" s="1">
        <v>1003</v>
      </c>
      <c r="F179" s="1">
        <v>1152</v>
      </c>
      <c r="G179" s="1">
        <v>1178</v>
      </c>
    </row>
    <row r="180" spans="1:7">
      <c r="A180" s="44">
        <v>41406</v>
      </c>
      <c r="B180" s="1">
        <v>170</v>
      </c>
      <c r="C180" s="1">
        <v>935</v>
      </c>
      <c r="D180" s="1">
        <v>175</v>
      </c>
      <c r="E180" s="1">
        <v>992</v>
      </c>
      <c r="F180" s="1">
        <v>1105</v>
      </c>
      <c r="G180" s="1">
        <v>1167</v>
      </c>
    </row>
    <row r="181" spans="1:7">
      <c r="A181" s="44">
        <v>41413</v>
      </c>
      <c r="B181" s="1">
        <v>173</v>
      </c>
      <c r="C181" s="1">
        <v>981</v>
      </c>
      <c r="D181" s="1">
        <v>174</v>
      </c>
      <c r="E181" s="1">
        <v>981</v>
      </c>
      <c r="F181" s="1">
        <v>1154</v>
      </c>
      <c r="G181" s="1">
        <v>1155</v>
      </c>
    </row>
    <row r="182" spans="1:7">
      <c r="A182" s="44">
        <v>41420</v>
      </c>
      <c r="B182" s="1">
        <v>164</v>
      </c>
      <c r="C182" s="1">
        <v>937</v>
      </c>
      <c r="D182" s="1">
        <v>173</v>
      </c>
      <c r="E182" s="1">
        <v>971</v>
      </c>
      <c r="F182" s="1">
        <v>1101</v>
      </c>
      <c r="G182" s="1">
        <v>1144</v>
      </c>
    </row>
    <row r="183" spans="1:7">
      <c r="A183" s="44">
        <v>41427</v>
      </c>
      <c r="B183" s="1">
        <v>184</v>
      </c>
      <c r="C183" s="1">
        <v>935</v>
      </c>
      <c r="D183" s="1">
        <v>173</v>
      </c>
      <c r="E183" s="1">
        <v>966</v>
      </c>
      <c r="F183" s="1">
        <v>1119</v>
      </c>
      <c r="G183" s="1">
        <v>1139</v>
      </c>
    </row>
    <row r="184" spans="1:7">
      <c r="A184" s="44">
        <v>41434</v>
      </c>
      <c r="B184" s="1">
        <v>153</v>
      </c>
      <c r="C184" s="1">
        <v>986</v>
      </c>
      <c r="D184" s="1">
        <v>173</v>
      </c>
      <c r="E184" s="1">
        <v>961</v>
      </c>
      <c r="F184" s="1">
        <v>1139</v>
      </c>
      <c r="G184" s="1">
        <v>1134</v>
      </c>
    </row>
    <row r="185" spans="1:7">
      <c r="A185" s="44">
        <v>41441</v>
      </c>
      <c r="B185" s="1">
        <v>182</v>
      </c>
      <c r="C185" s="1">
        <v>992</v>
      </c>
      <c r="D185" s="1">
        <v>172</v>
      </c>
      <c r="E185" s="1">
        <v>958</v>
      </c>
      <c r="F185" s="1">
        <v>1174</v>
      </c>
      <c r="G185" s="1">
        <v>1130</v>
      </c>
    </row>
    <row r="186" spans="1:7">
      <c r="A186" s="44">
        <v>41448</v>
      </c>
      <c r="B186" s="1">
        <v>169</v>
      </c>
      <c r="C186" s="1">
        <v>1002</v>
      </c>
      <c r="D186" s="1">
        <v>172</v>
      </c>
      <c r="E186" s="1">
        <v>956</v>
      </c>
      <c r="F186" s="1">
        <v>1171</v>
      </c>
      <c r="G186" s="1">
        <v>1128</v>
      </c>
    </row>
    <row r="187" spans="1:7">
      <c r="A187" s="44">
        <v>41455</v>
      </c>
      <c r="B187" s="1">
        <v>191</v>
      </c>
      <c r="C187" s="1">
        <v>909</v>
      </c>
      <c r="D187" s="1">
        <v>172</v>
      </c>
      <c r="E187" s="1">
        <v>953</v>
      </c>
      <c r="F187" s="1">
        <v>1100</v>
      </c>
      <c r="G187" s="1">
        <v>1125</v>
      </c>
    </row>
    <row r="188" spans="1:7">
      <c r="A188" s="44">
        <v>41462</v>
      </c>
      <c r="B188" s="1">
        <v>174</v>
      </c>
      <c r="C188" s="1">
        <v>991</v>
      </c>
      <c r="D188" s="1">
        <v>171</v>
      </c>
      <c r="E188" s="1">
        <v>952</v>
      </c>
      <c r="F188" s="1">
        <v>1165</v>
      </c>
      <c r="G188" s="1">
        <v>1123</v>
      </c>
    </row>
    <row r="189" spans="1:7">
      <c r="A189" s="44">
        <v>41469</v>
      </c>
      <c r="B189" s="1">
        <v>175</v>
      </c>
      <c r="C189" s="1">
        <v>924</v>
      </c>
      <c r="D189" s="1">
        <v>171</v>
      </c>
      <c r="E189" s="1">
        <v>950</v>
      </c>
      <c r="F189" s="1">
        <v>1099</v>
      </c>
      <c r="G189" s="1">
        <v>1121</v>
      </c>
    </row>
    <row r="190" spans="1:7">
      <c r="A190" s="44">
        <v>41476</v>
      </c>
      <c r="B190" s="1">
        <v>161</v>
      </c>
      <c r="C190" s="1">
        <v>1012</v>
      </c>
      <c r="D190" s="1">
        <v>171</v>
      </c>
      <c r="E190" s="1">
        <v>948</v>
      </c>
      <c r="F190" s="1">
        <v>1173</v>
      </c>
      <c r="G190" s="1">
        <v>1119</v>
      </c>
    </row>
    <row r="191" spans="1:7">
      <c r="A191" s="44">
        <v>41483</v>
      </c>
      <c r="B191" s="1">
        <v>176</v>
      </c>
      <c r="C191" s="1">
        <v>1020</v>
      </c>
      <c r="D191" s="1">
        <v>171</v>
      </c>
      <c r="E191" s="1">
        <v>947</v>
      </c>
      <c r="F191" s="1">
        <v>1196</v>
      </c>
      <c r="G191" s="1">
        <v>1118</v>
      </c>
    </row>
    <row r="192" spans="1:7">
      <c r="A192" s="44">
        <v>41490</v>
      </c>
      <c r="B192" s="1">
        <v>174</v>
      </c>
      <c r="C192" s="1">
        <v>967</v>
      </c>
      <c r="D192" s="1">
        <v>171</v>
      </c>
      <c r="E192" s="1">
        <v>946</v>
      </c>
      <c r="F192" s="1">
        <v>1141</v>
      </c>
      <c r="G192" s="1">
        <v>1117</v>
      </c>
    </row>
    <row r="193" spans="1:7">
      <c r="A193" s="44">
        <v>41497</v>
      </c>
      <c r="B193" s="1">
        <v>174</v>
      </c>
      <c r="C193" s="1">
        <v>910</v>
      </c>
      <c r="D193" s="1">
        <v>171</v>
      </c>
      <c r="E193" s="1">
        <v>948</v>
      </c>
      <c r="F193" s="1">
        <v>1084</v>
      </c>
      <c r="G193" s="1">
        <v>1119</v>
      </c>
    </row>
    <row r="194" spans="1:7">
      <c r="A194" s="44">
        <v>41504</v>
      </c>
      <c r="B194" s="1">
        <v>185</v>
      </c>
      <c r="C194" s="1">
        <v>993</v>
      </c>
      <c r="D194" s="1">
        <v>171</v>
      </c>
      <c r="E194" s="1">
        <v>951</v>
      </c>
      <c r="F194" s="1">
        <v>1178</v>
      </c>
      <c r="G194" s="1">
        <v>1122</v>
      </c>
    </row>
    <row r="195" spans="1:7">
      <c r="A195" s="44">
        <v>41511</v>
      </c>
      <c r="B195" s="1">
        <v>176</v>
      </c>
      <c r="C195" s="1">
        <v>948</v>
      </c>
      <c r="D195" s="1">
        <v>171</v>
      </c>
      <c r="E195" s="1">
        <v>955</v>
      </c>
      <c r="F195" s="1">
        <v>1124</v>
      </c>
      <c r="G195" s="1">
        <v>1126</v>
      </c>
    </row>
    <row r="196" spans="1:7">
      <c r="A196" s="44">
        <v>41518</v>
      </c>
      <c r="B196" s="1">
        <v>188</v>
      </c>
      <c r="C196" s="1">
        <v>975</v>
      </c>
      <c r="D196" s="1">
        <v>172</v>
      </c>
      <c r="E196" s="1">
        <v>960</v>
      </c>
      <c r="F196" s="1">
        <v>1163</v>
      </c>
      <c r="G196" s="1">
        <v>1132</v>
      </c>
    </row>
    <row r="197" spans="1:7">
      <c r="A197" s="44">
        <v>41525</v>
      </c>
      <c r="B197" s="1">
        <v>162</v>
      </c>
      <c r="C197" s="1">
        <v>996</v>
      </c>
      <c r="D197" s="1">
        <v>172</v>
      </c>
      <c r="E197" s="1">
        <v>965</v>
      </c>
      <c r="F197" s="1">
        <v>1158</v>
      </c>
      <c r="G197" s="1">
        <v>1137</v>
      </c>
    </row>
    <row r="198" spans="1:7">
      <c r="A198" s="44">
        <v>41532</v>
      </c>
      <c r="B198" s="1">
        <v>164</v>
      </c>
      <c r="C198" s="1">
        <v>942</v>
      </c>
      <c r="D198" s="1">
        <v>172</v>
      </c>
      <c r="E198" s="1">
        <v>970</v>
      </c>
      <c r="F198" s="1">
        <v>1106</v>
      </c>
      <c r="G198" s="1">
        <v>1142</v>
      </c>
    </row>
    <row r="199" spans="1:7">
      <c r="A199" s="44">
        <v>41539</v>
      </c>
      <c r="B199" s="1">
        <v>168</v>
      </c>
      <c r="C199" s="1">
        <v>992</v>
      </c>
      <c r="D199" s="1">
        <v>173</v>
      </c>
      <c r="E199" s="1">
        <v>975</v>
      </c>
      <c r="F199" s="1">
        <v>1160</v>
      </c>
      <c r="G199" s="1">
        <v>1148</v>
      </c>
    </row>
    <row r="200" spans="1:7">
      <c r="A200" s="44">
        <v>41546</v>
      </c>
      <c r="B200" s="1">
        <v>179</v>
      </c>
      <c r="C200" s="1">
        <v>989</v>
      </c>
      <c r="D200" s="1">
        <v>173</v>
      </c>
      <c r="E200" s="1">
        <v>980</v>
      </c>
      <c r="F200" s="1">
        <v>1168</v>
      </c>
      <c r="G200" s="1">
        <v>1153</v>
      </c>
    </row>
    <row r="201" spans="1:7">
      <c r="A201" s="44">
        <v>41553</v>
      </c>
      <c r="B201" s="1">
        <v>195</v>
      </c>
      <c r="C201" s="1">
        <v>920</v>
      </c>
      <c r="D201" s="1">
        <v>173</v>
      </c>
      <c r="E201" s="1">
        <v>987</v>
      </c>
      <c r="F201" s="1">
        <v>1115</v>
      </c>
      <c r="G201" s="1">
        <v>1160</v>
      </c>
    </row>
    <row r="202" spans="1:7">
      <c r="A202" s="44">
        <v>41560</v>
      </c>
      <c r="B202" s="1">
        <v>165</v>
      </c>
      <c r="C202" s="1">
        <v>980</v>
      </c>
      <c r="D202" s="1">
        <v>174</v>
      </c>
      <c r="E202" s="1">
        <v>995</v>
      </c>
      <c r="F202" s="1">
        <v>1145</v>
      </c>
      <c r="G202" s="1">
        <v>1169</v>
      </c>
    </row>
    <row r="203" spans="1:7">
      <c r="A203" s="44">
        <v>41567</v>
      </c>
      <c r="B203" s="1">
        <v>158</v>
      </c>
      <c r="C203" s="1">
        <v>984</v>
      </c>
      <c r="D203" s="1">
        <v>174</v>
      </c>
      <c r="E203" s="1">
        <v>1003</v>
      </c>
      <c r="F203" s="1">
        <v>1142</v>
      </c>
      <c r="G203" s="1">
        <v>1177</v>
      </c>
    </row>
    <row r="204" spans="1:7">
      <c r="A204" s="44">
        <v>41574</v>
      </c>
      <c r="B204" s="1">
        <v>181</v>
      </c>
      <c r="C204" s="1">
        <v>1024</v>
      </c>
      <c r="D204" s="1">
        <v>174</v>
      </c>
      <c r="E204" s="1">
        <v>1015</v>
      </c>
      <c r="F204" s="1">
        <v>1205</v>
      </c>
      <c r="G204" s="1">
        <v>1189</v>
      </c>
    </row>
    <row r="205" spans="1:7">
      <c r="A205" s="44">
        <v>41581</v>
      </c>
      <c r="B205" s="1">
        <v>166</v>
      </c>
      <c r="C205" s="1">
        <v>1030</v>
      </c>
      <c r="D205" s="1">
        <v>175</v>
      </c>
      <c r="E205" s="1">
        <v>1027</v>
      </c>
      <c r="F205" s="1">
        <v>1196</v>
      </c>
      <c r="G205" s="1">
        <v>1202</v>
      </c>
    </row>
    <row r="206" spans="1:7">
      <c r="A206" s="44">
        <v>41588</v>
      </c>
      <c r="B206" s="1">
        <v>168</v>
      </c>
      <c r="C206" s="1">
        <v>1035</v>
      </c>
      <c r="D206" s="1">
        <v>175</v>
      </c>
      <c r="E206" s="1">
        <v>1042</v>
      </c>
      <c r="F206" s="1">
        <v>1203</v>
      </c>
      <c r="G206" s="1">
        <v>1217</v>
      </c>
    </row>
    <row r="207" spans="1:7">
      <c r="A207" s="44">
        <v>41595</v>
      </c>
      <c r="B207" s="1">
        <v>161</v>
      </c>
      <c r="C207" s="1">
        <v>1007</v>
      </c>
      <c r="D207" s="1">
        <v>176</v>
      </c>
      <c r="E207" s="1">
        <v>1057</v>
      </c>
      <c r="F207" s="1">
        <v>1168</v>
      </c>
      <c r="G207" s="1">
        <v>1233</v>
      </c>
    </row>
    <row r="208" spans="1:7">
      <c r="A208" s="44">
        <v>41602</v>
      </c>
      <c r="B208" s="1">
        <v>179</v>
      </c>
      <c r="C208" s="1">
        <v>1061</v>
      </c>
      <c r="D208" s="1">
        <v>176</v>
      </c>
      <c r="E208" s="1">
        <v>1073</v>
      </c>
      <c r="F208" s="1">
        <v>1240</v>
      </c>
      <c r="G208" s="1">
        <v>1249</v>
      </c>
    </row>
    <row r="209" spans="1:7">
      <c r="A209" s="44">
        <v>41609</v>
      </c>
      <c r="B209" s="1">
        <v>165</v>
      </c>
      <c r="C209" s="1">
        <v>1049</v>
      </c>
      <c r="D209" s="1">
        <v>176</v>
      </c>
      <c r="E209" s="1">
        <v>1088</v>
      </c>
      <c r="F209" s="1">
        <v>1214</v>
      </c>
      <c r="G209" s="1">
        <v>1264</v>
      </c>
    </row>
    <row r="210" spans="1:7">
      <c r="A210" s="44">
        <v>41616</v>
      </c>
      <c r="B210" s="1">
        <v>201</v>
      </c>
      <c r="C210" s="1">
        <v>1128</v>
      </c>
      <c r="D210" s="1">
        <v>177</v>
      </c>
      <c r="E210" s="1">
        <v>1103</v>
      </c>
      <c r="F210" s="1">
        <v>1329</v>
      </c>
      <c r="G210" s="1">
        <v>1280</v>
      </c>
    </row>
    <row r="211" spans="1:7">
      <c r="A211" s="44">
        <v>41623</v>
      </c>
      <c r="B211" s="1">
        <v>180</v>
      </c>
      <c r="C211" s="1">
        <v>1076</v>
      </c>
      <c r="D211" s="1">
        <v>177</v>
      </c>
      <c r="E211" s="1">
        <v>1118</v>
      </c>
      <c r="F211" s="1">
        <v>1256</v>
      </c>
      <c r="G211" s="1">
        <v>1295</v>
      </c>
    </row>
    <row r="212" spans="1:7">
      <c r="A212" s="44">
        <v>41630</v>
      </c>
      <c r="B212" s="1">
        <v>190</v>
      </c>
      <c r="C212" s="1">
        <v>1031</v>
      </c>
      <c r="D212" s="1">
        <v>178</v>
      </c>
      <c r="E212" s="1">
        <v>1132</v>
      </c>
      <c r="F212" s="1">
        <v>1221</v>
      </c>
      <c r="G212" s="1">
        <v>1310</v>
      </c>
    </row>
    <row r="213" spans="1:7">
      <c r="A213" s="44">
        <v>41637</v>
      </c>
      <c r="B213" s="1">
        <v>169</v>
      </c>
      <c r="C213" s="1">
        <v>1106</v>
      </c>
      <c r="D213" s="1">
        <v>178</v>
      </c>
      <c r="E213" s="1">
        <v>1147</v>
      </c>
      <c r="F213" s="1">
        <v>1275</v>
      </c>
      <c r="G213" s="1">
        <v>1325</v>
      </c>
    </row>
    <row r="214" spans="1:7">
      <c r="A214" s="44">
        <v>41644</v>
      </c>
      <c r="B214" s="1">
        <v>166</v>
      </c>
      <c r="C214" s="1">
        <v>1143</v>
      </c>
      <c r="D214" s="1">
        <v>185</v>
      </c>
      <c r="E214" s="1">
        <v>1216</v>
      </c>
      <c r="F214" s="1">
        <v>1309</v>
      </c>
      <c r="G214" s="1">
        <v>1401</v>
      </c>
    </row>
    <row r="215" spans="1:7">
      <c r="A215" s="44">
        <v>41651</v>
      </c>
      <c r="B215" s="1">
        <v>160</v>
      </c>
      <c r="C215" s="1">
        <v>1126</v>
      </c>
      <c r="D215" s="1">
        <v>185</v>
      </c>
      <c r="E215" s="1">
        <v>1215</v>
      </c>
      <c r="F215" s="1">
        <v>1286</v>
      </c>
      <c r="G215" s="1">
        <v>1400</v>
      </c>
    </row>
    <row r="216" spans="1:7">
      <c r="A216" s="44">
        <v>41658</v>
      </c>
      <c r="B216" s="1">
        <v>215</v>
      </c>
      <c r="C216" s="1">
        <v>1097</v>
      </c>
      <c r="D216" s="1">
        <v>184</v>
      </c>
      <c r="E216" s="1">
        <v>1216</v>
      </c>
      <c r="F216" s="1">
        <v>1312</v>
      </c>
      <c r="G216" s="1">
        <v>1400</v>
      </c>
    </row>
    <row r="217" spans="1:7">
      <c r="A217" s="44">
        <v>41665</v>
      </c>
      <c r="B217" s="1">
        <v>184</v>
      </c>
      <c r="C217" s="1">
        <v>1131</v>
      </c>
      <c r="D217" s="1">
        <v>183</v>
      </c>
      <c r="E217" s="1">
        <v>1216</v>
      </c>
      <c r="F217" s="1">
        <v>1315</v>
      </c>
      <c r="G217" s="1">
        <v>1399</v>
      </c>
    </row>
    <row r="218" spans="1:7">
      <c r="A218" s="44">
        <v>41672</v>
      </c>
      <c r="B218" s="1">
        <v>149</v>
      </c>
      <c r="C218" s="1">
        <v>1164</v>
      </c>
      <c r="D218" s="1">
        <v>182</v>
      </c>
      <c r="E218" s="1">
        <v>1217</v>
      </c>
      <c r="F218" s="1">
        <v>1313</v>
      </c>
      <c r="G218" s="1">
        <v>1399</v>
      </c>
    </row>
    <row r="219" spans="1:7">
      <c r="A219" s="44">
        <v>41679</v>
      </c>
      <c r="B219" s="1">
        <v>167</v>
      </c>
      <c r="C219" s="1">
        <v>1108</v>
      </c>
      <c r="D219" s="1">
        <v>182</v>
      </c>
      <c r="E219" s="1">
        <v>1218</v>
      </c>
      <c r="F219" s="1">
        <v>1275</v>
      </c>
      <c r="G219" s="1">
        <v>1400</v>
      </c>
    </row>
    <row r="220" spans="1:7">
      <c r="A220" s="44">
        <v>41686</v>
      </c>
      <c r="B220" s="1">
        <v>205</v>
      </c>
      <c r="C220" s="1">
        <v>1095</v>
      </c>
      <c r="D220" s="1">
        <v>181</v>
      </c>
      <c r="E220" s="1">
        <v>1215</v>
      </c>
      <c r="F220" s="1">
        <v>1300</v>
      </c>
      <c r="G220" s="1">
        <v>1396</v>
      </c>
    </row>
    <row r="221" spans="1:7">
      <c r="A221" s="44">
        <v>41693</v>
      </c>
      <c r="B221" s="1">
        <v>191</v>
      </c>
      <c r="C221" s="1">
        <v>1158</v>
      </c>
      <c r="D221" s="1">
        <v>180</v>
      </c>
      <c r="E221" s="1">
        <v>1204</v>
      </c>
      <c r="F221" s="1">
        <v>1349</v>
      </c>
      <c r="G221" s="1">
        <v>1384</v>
      </c>
    </row>
    <row r="222" spans="1:7">
      <c r="A222" s="44">
        <v>41700</v>
      </c>
      <c r="B222" s="1">
        <v>198</v>
      </c>
      <c r="C222" s="1">
        <v>1160</v>
      </c>
      <c r="D222" s="1">
        <v>180</v>
      </c>
      <c r="E222" s="1">
        <v>1193</v>
      </c>
      <c r="F222" s="1">
        <v>1358</v>
      </c>
      <c r="G222" s="1">
        <v>1373</v>
      </c>
    </row>
    <row r="223" spans="1:7">
      <c r="A223" s="44">
        <v>41707</v>
      </c>
      <c r="B223" s="1">
        <v>184</v>
      </c>
      <c r="C223" s="1">
        <v>1151</v>
      </c>
      <c r="D223" s="1">
        <v>179</v>
      </c>
      <c r="E223" s="1">
        <v>1170</v>
      </c>
      <c r="F223" s="1">
        <v>1335</v>
      </c>
      <c r="G223" s="1">
        <v>1349</v>
      </c>
    </row>
    <row r="224" spans="1:7">
      <c r="A224" s="44">
        <v>41714</v>
      </c>
      <c r="B224" s="1">
        <v>178</v>
      </c>
      <c r="C224" s="1">
        <v>1114</v>
      </c>
      <c r="D224" s="1">
        <v>178</v>
      </c>
      <c r="E224" s="1">
        <v>1146</v>
      </c>
      <c r="F224" s="1">
        <v>1292</v>
      </c>
      <c r="G224" s="1">
        <v>1324</v>
      </c>
    </row>
    <row r="225" spans="1:7">
      <c r="A225" s="44">
        <v>41721</v>
      </c>
      <c r="B225" s="1">
        <v>172</v>
      </c>
      <c r="C225" s="1">
        <v>1114</v>
      </c>
      <c r="D225" s="1">
        <v>178</v>
      </c>
      <c r="E225" s="1">
        <v>1121</v>
      </c>
      <c r="F225" s="1">
        <v>1286</v>
      </c>
      <c r="G225" s="1">
        <v>1299</v>
      </c>
    </row>
    <row r="226" spans="1:7">
      <c r="A226" s="44">
        <v>41728</v>
      </c>
      <c r="B226" s="1">
        <v>183</v>
      </c>
      <c r="C226" s="1">
        <v>1026</v>
      </c>
      <c r="D226" s="1">
        <v>177</v>
      </c>
      <c r="E226" s="1">
        <v>1095</v>
      </c>
      <c r="F226" s="1">
        <v>1209</v>
      </c>
      <c r="G226" s="1">
        <v>1272</v>
      </c>
    </row>
    <row r="227" spans="1:7">
      <c r="A227" s="44">
        <v>41735</v>
      </c>
      <c r="B227" s="1">
        <v>188</v>
      </c>
      <c r="C227" s="1">
        <v>1036</v>
      </c>
      <c r="D227" s="1">
        <v>176</v>
      </c>
      <c r="E227" s="1">
        <v>1077</v>
      </c>
      <c r="F227" s="1">
        <v>1224</v>
      </c>
      <c r="G227" s="1">
        <v>1253</v>
      </c>
    </row>
    <row r="228" spans="1:7">
      <c r="A228" s="44">
        <v>41742</v>
      </c>
      <c r="B228" s="1">
        <v>177</v>
      </c>
      <c r="C228" s="1">
        <v>1035</v>
      </c>
      <c r="D228" s="1">
        <v>176</v>
      </c>
      <c r="E228" s="1">
        <v>1063</v>
      </c>
      <c r="F228" s="1">
        <v>1212</v>
      </c>
      <c r="G228" s="1">
        <v>1239</v>
      </c>
    </row>
    <row r="229" spans="1:7">
      <c r="A229" s="44">
        <v>41749</v>
      </c>
      <c r="B229" s="1">
        <v>170</v>
      </c>
      <c r="C229" s="1">
        <v>1020</v>
      </c>
      <c r="D229" s="1">
        <v>175</v>
      </c>
      <c r="E229" s="1">
        <v>1049</v>
      </c>
      <c r="F229" s="1">
        <v>1190</v>
      </c>
      <c r="G229" s="1">
        <v>1224</v>
      </c>
    </row>
    <row r="230" spans="1:7">
      <c r="A230" s="44">
        <v>41756</v>
      </c>
      <c r="B230" s="1">
        <v>156</v>
      </c>
      <c r="C230" s="1">
        <v>980</v>
      </c>
      <c r="D230" s="1">
        <v>174</v>
      </c>
      <c r="E230" s="1">
        <v>1036</v>
      </c>
      <c r="F230" s="1">
        <v>1136</v>
      </c>
      <c r="G230" s="1">
        <v>1210</v>
      </c>
    </row>
    <row r="231" spans="1:7">
      <c r="A231" s="44">
        <v>41763</v>
      </c>
      <c r="B231" s="1">
        <v>141</v>
      </c>
      <c r="C231" s="1">
        <v>1047</v>
      </c>
      <c r="D231" s="1">
        <v>173</v>
      </c>
      <c r="E231" s="1">
        <v>1024</v>
      </c>
      <c r="F231" s="1">
        <v>1188</v>
      </c>
      <c r="G231" s="1">
        <v>1197</v>
      </c>
    </row>
    <row r="232" spans="1:7">
      <c r="A232" s="44">
        <v>41770</v>
      </c>
      <c r="B232" s="1">
        <v>208</v>
      </c>
      <c r="C232" s="1">
        <v>1001</v>
      </c>
      <c r="D232" s="1">
        <v>173</v>
      </c>
      <c r="E232" s="1">
        <v>1012</v>
      </c>
      <c r="F232" s="1">
        <v>1209</v>
      </c>
      <c r="G232" s="1">
        <v>1185</v>
      </c>
    </row>
    <row r="233" spans="1:7">
      <c r="A233" s="44">
        <v>41777</v>
      </c>
      <c r="B233" s="1">
        <v>165</v>
      </c>
      <c r="C233" s="1">
        <v>970</v>
      </c>
      <c r="D233" s="1">
        <v>172</v>
      </c>
      <c r="E233" s="1">
        <v>999</v>
      </c>
      <c r="F233" s="1">
        <v>1135</v>
      </c>
      <c r="G233" s="1">
        <v>1171</v>
      </c>
    </row>
    <row r="234" spans="1:7">
      <c r="A234" s="44">
        <v>41784</v>
      </c>
      <c r="B234" s="1">
        <v>170</v>
      </c>
      <c r="C234" s="1">
        <v>983</v>
      </c>
      <c r="D234" s="1">
        <v>171</v>
      </c>
      <c r="E234" s="1">
        <v>988</v>
      </c>
      <c r="F234" s="1">
        <v>1153</v>
      </c>
      <c r="G234" s="1">
        <v>1159</v>
      </c>
    </row>
    <row r="235" spans="1:7">
      <c r="A235" s="44">
        <v>41791</v>
      </c>
      <c r="B235" s="1">
        <v>176</v>
      </c>
      <c r="C235" s="1">
        <v>948</v>
      </c>
      <c r="D235" s="1">
        <v>171</v>
      </c>
      <c r="E235" s="1">
        <v>984</v>
      </c>
      <c r="F235" s="1">
        <v>1124</v>
      </c>
      <c r="G235" s="1">
        <v>1155</v>
      </c>
    </row>
    <row r="236" spans="1:7">
      <c r="A236" s="44">
        <v>41798</v>
      </c>
      <c r="B236" s="1">
        <v>163</v>
      </c>
      <c r="C236" s="1">
        <v>934</v>
      </c>
      <c r="D236" s="1">
        <v>170</v>
      </c>
      <c r="E236" s="1">
        <v>979</v>
      </c>
      <c r="F236" s="1">
        <v>1097</v>
      </c>
      <c r="G236" s="1">
        <v>1149</v>
      </c>
    </row>
    <row r="237" spans="1:7">
      <c r="A237" s="44">
        <v>41805</v>
      </c>
      <c r="B237" s="1">
        <v>158</v>
      </c>
      <c r="C237" s="1">
        <v>1057</v>
      </c>
      <c r="D237" s="1">
        <v>170</v>
      </c>
      <c r="E237" s="1">
        <v>978</v>
      </c>
      <c r="F237" s="1">
        <v>1215</v>
      </c>
      <c r="G237" s="1">
        <v>1148</v>
      </c>
    </row>
    <row r="238" spans="1:7">
      <c r="A238" s="44">
        <v>41812</v>
      </c>
      <c r="B238" s="1">
        <v>159</v>
      </c>
      <c r="C238" s="1">
        <v>921</v>
      </c>
      <c r="D238" s="1">
        <v>169</v>
      </c>
      <c r="E238" s="1">
        <v>976</v>
      </c>
      <c r="F238" s="1">
        <v>1080</v>
      </c>
      <c r="G238" s="1">
        <v>1145</v>
      </c>
    </row>
    <row r="239" spans="1:7">
      <c r="A239" s="44">
        <v>41819</v>
      </c>
      <c r="B239" s="1">
        <v>163</v>
      </c>
      <c r="C239" s="1">
        <v>916</v>
      </c>
      <c r="D239" s="1">
        <v>169</v>
      </c>
      <c r="E239" s="1">
        <v>975</v>
      </c>
      <c r="F239" s="1">
        <v>1079</v>
      </c>
      <c r="G239" s="1">
        <v>1144</v>
      </c>
    </row>
    <row r="240" spans="1:7">
      <c r="A240" s="44">
        <v>41826</v>
      </c>
      <c r="B240" s="1">
        <v>163</v>
      </c>
      <c r="C240" s="1">
        <v>993</v>
      </c>
      <c r="D240" s="1">
        <v>169</v>
      </c>
      <c r="E240" s="1">
        <v>975</v>
      </c>
      <c r="F240" s="1">
        <v>1156</v>
      </c>
      <c r="G240" s="1">
        <v>1144</v>
      </c>
    </row>
    <row r="241" spans="1:7">
      <c r="A241" s="44">
        <v>41833</v>
      </c>
      <c r="B241" s="1">
        <v>150</v>
      </c>
      <c r="C241" s="1">
        <v>927</v>
      </c>
      <c r="D241" s="1">
        <v>169</v>
      </c>
      <c r="E241" s="1">
        <v>971</v>
      </c>
      <c r="F241" s="1">
        <v>1077</v>
      </c>
      <c r="G241" s="1">
        <v>1140</v>
      </c>
    </row>
    <row r="242" spans="1:7">
      <c r="A242" s="44">
        <v>41840</v>
      </c>
      <c r="B242" s="1">
        <v>167</v>
      </c>
      <c r="C242" s="1">
        <v>1014</v>
      </c>
      <c r="D242" s="1">
        <v>168</v>
      </c>
      <c r="E242" s="1">
        <v>968</v>
      </c>
      <c r="F242" s="1">
        <v>1181</v>
      </c>
      <c r="G242" s="1">
        <v>1136</v>
      </c>
    </row>
    <row r="243" spans="1:7">
      <c r="A243" s="44">
        <v>41847</v>
      </c>
      <c r="B243" s="1">
        <v>165</v>
      </c>
      <c r="C243" s="1">
        <v>971</v>
      </c>
      <c r="D243" s="1">
        <v>168</v>
      </c>
      <c r="E243" s="1">
        <v>967</v>
      </c>
      <c r="F243" s="1">
        <v>1136</v>
      </c>
      <c r="G243" s="1">
        <v>1135</v>
      </c>
    </row>
    <row r="244" spans="1:7">
      <c r="A244" s="44">
        <v>41854</v>
      </c>
      <c r="B244" s="1">
        <v>159</v>
      </c>
      <c r="C244" s="1">
        <v>1002</v>
      </c>
      <c r="D244" s="1">
        <v>168</v>
      </c>
      <c r="E244" s="1">
        <v>967</v>
      </c>
      <c r="F244" s="1">
        <v>1161</v>
      </c>
      <c r="G244" s="1">
        <v>1135</v>
      </c>
    </row>
    <row r="245" spans="1:7">
      <c r="A245" s="44">
        <v>41861</v>
      </c>
      <c r="B245" s="1">
        <v>154</v>
      </c>
      <c r="C245" s="1">
        <v>900</v>
      </c>
      <c r="D245" s="1">
        <v>168</v>
      </c>
      <c r="E245" s="1">
        <v>970</v>
      </c>
      <c r="F245" s="1">
        <v>1054</v>
      </c>
      <c r="G245" s="1">
        <v>1138</v>
      </c>
    </row>
    <row r="246" spans="1:7">
      <c r="A246" s="44">
        <v>41868</v>
      </c>
      <c r="B246" s="1">
        <v>142</v>
      </c>
      <c r="C246" s="1">
        <v>965</v>
      </c>
      <c r="D246" s="1">
        <v>168</v>
      </c>
      <c r="E246" s="1">
        <v>974</v>
      </c>
      <c r="F246" s="1">
        <v>1107</v>
      </c>
      <c r="G246" s="1">
        <v>1142</v>
      </c>
    </row>
    <row r="247" spans="1:7">
      <c r="A247" s="44">
        <v>41875</v>
      </c>
      <c r="B247" s="1">
        <v>160</v>
      </c>
      <c r="C247" s="1">
        <v>943</v>
      </c>
      <c r="D247" s="1">
        <v>168</v>
      </c>
      <c r="E247" s="1">
        <v>980</v>
      </c>
      <c r="F247" s="1">
        <v>1103</v>
      </c>
      <c r="G247" s="1">
        <v>1148</v>
      </c>
    </row>
    <row r="248" spans="1:7">
      <c r="A248" s="44">
        <v>41882</v>
      </c>
      <c r="B248" s="1">
        <v>163</v>
      </c>
      <c r="C248" s="1">
        <v>1014</v>
      </c>
      <c r="D248" s="1">
        <v>169</v>
      </c>
      <c r="E248" s="1">
        <v>987</v>
      </c>
      <c r="F248" s="1">
        <v>1177</v>
      </c>
      <c r="G248" s="1">
        <v>1156</v>
      </c>
    </row>
    <row r="249" spans="1:7">
      <c r="A249" s="44">
        <v>41889</v>
      </c>
      <c r="B249" s="1">
        <v>188</v>
      </c>
      <c r="C249" s="1">
        <v>963</v>
      </c>
      <c r="D249" s="1">
        <v>169</v>
      </c>
      <c r="E249" s="1">
        <v>994</v>
      </c>
      <c r="F249" s="1">
        <v>1151</v>
      </c>
      <c r="G249" s="1">
        <v>1163</v>
      </c>
    </row>
    <row r="250" spans="1:7">
      <c r="A250" s="44">
        <v>41896</v>
      </c>
      <c r="B250" s="1">
        <v>141</v>
      </c>
      <c r="C250" s="1">
        <v>991</v>
      </c>
      <c r="D250" s="1">
        <v>169</v>
      </c>
      <c r="E250" s="1">
        <v>999</v>
      </c>
      <c r="F250" s="1">
        <v>1132</v>
      </c>
      <c r="G250" s="1">
        <v>1168</v>
      </c>
    </row>
    <row r="251" spans="1:7">
      <c r="A251" s="44">
        <v>41903</v>
      </c>
      <c r="B251" s="1">
        <v>157</v>
      </c>
      <c r="C251" s="1">
        <v>958</v>
      </c>
      <c r="D251" s="1">
        <v>170</v>
      </c>
      <c r="E251" s="1">
        <v>1003</v>
      </c>
      <c r="F251" s="1">
        <v>1115</v>
      </c>
      <c r="G251" s="1">
        <v>1173</v>
      </c>
    </row>
    <row r="252" spans="1:7">
      <c r="A252" s="44">
        <v>41910</v>
      </c>
      <c r="B252" s="1">
        <v>169</v>
      </c>
      <c r="C252" s="1">
        <v>966</v>
      </c>
      <c r="D252" s="1">
        <v>170</v>
      </c>
      <c r="E252" s="1">
        <v>1008</v>
      </c>
      <c r="F252" s="1">
        <v>1135</v>
      </c>
      <c r="G252" s="1">
        <v>1178</v>
      </c>
    </row>
    <row r="253" spans="1:7">
      <c r="A253" s="44">
        <v>41917</v>
      </c>
      <c r="B253" s="1">
        <v>167</v>
      </c>
      <c r="C253" s="1">
        <v>1022</v>
      </c>
      <c r="D253" s="1">
        <v>170</v>
      </c>
      <c r="E253" s="1">
        <v>1015</v>
      </c>
      <c r="F253" s="1">
        <v>1189</v>
      </c>
      <c r="G253" s="1">
        <v>1185</v>
      </c>
    </row>
    <row r="254" spans="1:7">
      <c r="A254" s="44">
        <v>41924</v>
      </c>
      <c r="B254" s="1">
        <v>188</v>
      </c>
      <c r="C254" s="1">
        <v>1020</v>
      </c>
      <c r="D254" s="1">
        <v>171</v>
      </c>
      <c r="E254" s="1">
        <v>1024</v>
      </c>
      <c r="F254" s="1">
        <v>1208</v>
      </c>
      <c r="G254" s="1">
        <v>1195</v>
      </c>
    </row>
    <row r="255" spans="1:7">
      <c r="A255" s="44">
        <v>41931</v>
      </c>
      <c r="B255" s="1">
        <v>149</v>
      </c>
      <c r="C255" s="1">
        <v>1020</v>
      </c>
      <c r="D255" s="1">
        <v>172</v>
      </c>
      <c r="E255" s="1">
        <v>1033</v>
      </c>
      <c r="F255" s="1">
        <v>1169</v>
      </c>
      <c r="G255" s="1">
        <v>1205</v>
      </c>
    </row>
    <row r="256" spans="1:7">
      <c r="A256" s="44">
        <v>41938</v>
      </c>
      <c r="B256" s="1">
        <v>158</v>
      </c>
      <c r="C256" s="1">
        <v>1086</v>
      </c>
      <c r="D256" s="1">
        <v>172</v>
      </c>
      <c r="E256" s="1">
        <v>1045</v>
      </c>
      <c r="F256" s="1">
        <v>1244</v>
      </c>
      <c r="G256" s="1">
        <v>1217</v>
      </c>
    </row>
    <row r="257" spans="1:7">
      <c r="A257" s="44">
        <v>41945</v>
      </c>
      <c r="B257" s="1">
        <v>182</v>
      </c>
      <c r="C257" s="1">
        <v>1036</v>
      </c>
      <c r="D257" s="1">
        <v>173</v>
      </c>
      <c r="E257" s="1">
        <v>1057</v>
      </c>
      <c r="F257" s="1">
        <v>1218</v>
      </c>
      <c r="G257" s="1">
        <v>1230</v>
      </c>
    </row>
    <row r="258" spans="1:7">
      <c r="A258" s="44">
        <v>41952</v>
      </c>
      <c r="B258" s="1">
        <v>181</v>
      </c>
      <c r="C258" s="1">
        <v>1085</v>
      </c>
      <c r="D258" s="1">
        <v>173</v>
      </c>
      <c r="E258" s="1">
        <v>1074</v>
      </c>
      <c r="F258" s="1">
        <v>1266</v>
      </c>
      <c r="G258" s="1">
        <v>1247</v>
      </c>
    </row>
    <row r="259" spans="1:7">
      <c r="A259" s="44">
        <v>41959</v>
      </c>
      <c r="B259" s="1">
        <v>207</v>
      </c>
      <c r="C259" s="1">
        <v>1092</v>
      </c>
      <c r="D259" s="1">
        <v>174</v>
      </c>
      <c r="E259" s="1">
        <v>1090</v>
      </c>
      <c r="F259" s="1">
        <v>1299</v>
      </c>
      <c r="G259" s="1">
        <v>1264</v>
      </c>
    </row>
    <row r="260" spans="1:7">
      <c r="A260" s="44">
        <v>41966</v>
      </c>
      <c r="B260" s="1">
        <v>181</v>
      </c>
      <c r="C260" s="1">
        <v>1112</v>
      </c>
      <c r="D260" s="1">
        <v>174</v>
      </c>
      <c r="E260" s="1">
        <v>1106</v>
      </c>
      <c r="F260" s="1">
        <v>1293</v>
      </c>
      <c r="G260" s="1">
        <v>1280</v>
      </c>
    </row>
    <row r="261" spans="1:7">
      <c r="A261" s="44">
        <v>41973</v>
      </c>
      <c r="B261" s="1">
        <v>158</v>
      </c>
      <c r="C261" s="1">
        <v>1125</v>
      </c>
      <c r="D261" s="1">
        <v>175</v>
      </c>
      <c r="E261" s="1">
        <v>1123</v>
      </c>
      <c r="F261" s="1">
        <v>1283</v>
      </c>
      <c r="G261" s="1">
        <v>1298</v>
      </c>
    </row>
    <row r="262" spans="1:7">
      <c r="A262" s="44">
        <v>41980</v>
      </c>
      <c r="B262" s="1">
        <v>194</v>
      </c>
      <c r="C262" s="1">
        <v>1100</v>
      </c>
      <c r="D262" s="1">
        <v>176</v>
      </c>
      <c r="E262" s="1">
        <v>1140</v>
      </c>
      <c r="F262" s="1">
        <v>1294</v>
      </c>
      <c r="G262" s="1">
        <v>1316</v>
      </c>
    </row>
    <row r="263" spans="1:7">
      <c r="A263" s="44">
        <v>41987</v>
      </c>
      <c r="B263" s="1">
        <v>171</v>
      </c>
      <c r="C263" s="1">
        <v>1080</v>
      </c>
      <c r="D263" s="1">
        <v>176</v>
      </c>
      <c r="E263" s="1">
        <v>1149</v>
      </c>
      <c r="F263" s="1">
        <v>1251</v>
      </c>
      <c r="G263" s="1">
        <v>1325</v>
      </c>
    </row>
    <row r="264" spans="1:7">
      <c r="A264" s="44">
        <v>41994</v>
      </c>
      <c r="B264" s="1">
        <v>173</v>
      </c>
      <c r="C264" s="1">
        <v>1160</v>
      </c>
      <c r="D264" s="1">
        <v>177</v>
      </c>
      <c r="E264" s="1">
        <v>1158</v>
      </c>
      <c r="F264" s="1">
        <v>1333</v>
      </c>
      <c r="G264" s="1">
        <v>1335</v>
      </c>
    </row>
    <row r="265" spans="1:7">
      <c r="A265" s="44">
        <v>42001</v>
      </c>
      <c r="B265" s="1">
        <v>177</v>
      </c>
      <c r="C265" s="1">
        <v>1155</v>
      </c>
      <c r="D265" s="1">
        <v>178</v>
      </c>
      <c r="E265" s="1">
        <v>1167</v>
      </c>
      <c r="F265" s="1">
        <v>1332</v>
      </c>
      <c r="G265" s="1">
        <v>1345</v>
      </c>
    </row>
    <row r="266" spans="1:7">
      <c r="A266" s="44">
        <v>42008</v>
      </c>
      <c r="B266" s="1">
        <v>192</v>
      </c>
      <c r="C266" s="1">
        <v>1210</v>
      </c>
      <c r="D266" s="1">
        <v>177</v>
      </c>
      <c r="E266" s="1">
        <v>1188</v>
      </c>
      <c r="F266" s="1">
        <v>1402</v>
      </c>
      <c r="G266" s="1">
        <v>1365</v>
      </c>
    </row>
    <row r="267" spans="1:7">
      <c r="A267" s="44">
        <v>42015</v>
      </c>
      <c r="B267" s="1">
        <v>190</v>
      </c>
      <c r="C267" s="1">
        <v>1293</v>
      </c>
      <c r="D267" s="1">
        <v>177</v>
      </c>
      <c r="E267" s="1">
        <v>1190</v>
      </c>
      <c r="F267" s="1">
        <v>1483</v>
      </c>
      <c r="G267" s="1">
        <v>1367</v>
      </c>
    </row>
    <row r="268" spans="1:7">
      <c r="A268" s="44">
        <v>42022</v>
      </c>
      <c r="B268" s="1">
        <v>197</v>
      </c>
      <c r="C268" s="1">
        <v>1313</v>
      </c>
      <c r="D268" s="1">
        <v>178</v>
      </c>
      <c r="E268" s="1">
        <v>1192</v>
      </c>
      <c r="F268" s="1">
        <v>1510</v>
      </c>
      <c r="G268" s="1">
        <v>1370</v>
      </c>
    </row>
    <row r="269" spans="1:7">
      <c r="A269" s="44">
        <v>42029</v>
      </c>
      <c r="B269" s="1">
        <v>174</v>
      </c>
      <c r="C269" s="1">
        <v>1299</v>
      </c>
      <c r="D269" s="1">
        <v>178</v>
      </c>
      <c r="E269" s="1">
        <v>1195</v>
      </c>
      <c r="F269" s="1">
        <v>1473</v>
      </c>
      <c r="G269" s="1">
        <v>1373</v>
      </c>
    </row>
    <row r="270" spans="1:7">
      <c r="A270" s="44">
        <v>42036</v>
      </c>
      <c r="B270" s="1">
        <v>203</v>
      </c>
      <c r="C270" s="1">
        <v>1378</v>
      </c>
      <c r="D270" s="1">
        <v>179</v>
      </c>
      <c r="E270" s="1">
        <v>1199</v>
      </c>
      <c r="F270" s="1">
        <v>1581</v>
      </c>
      <c r="G270" s="1">
        <v>1378</v>
      </c>
    </row>
    <row r="271" spans="1:7">
      <c r="A271" s="44">
        <v>42043</v>
      </c>
      <c r="B271" s="1">
        <v>178</v>
      </c>
      <c r="C271" s="1">
        <v>1468</v>
      </c>
      <c r="D271" s="1">
        <v>179</v>
      </c>
      <c r="E271" s="1">
        <v>1209</v>
      </c>
      <c r="F271" s="1">
        <v>1646</v>
      </c>
      <c r="G271" s="1">
        <v>1388</v>
      </c>
    </row>
    <row r="272" spans="1:7">
      <c r="A272" s="44">
        <v>42050</v>
      </c>
      <c r="B272" s="1">
        <v>223</v>
      </c>
      <c r="C272" s="1">
        <v>1572</v>
      </c>
      <c r="D272" s="1">
        <v>179</v>
      </c>
      <c r="E272" s="1">
        <v>1213</v>
      </c>
      <c r="F272" s="1">
        <v>1795</v>
      </c>
      <c r="G272" s="1">
        <v>1392</v>
      </c>
    </row>
    <row r="273" spans="1:7">
      <c r="A273" s="44">
        <v>42057</v>
      </c>
      <c r="B273" s="1">
        <v>208</v>
      </c>
      <c r="C273" s="1">
        <v>1548</v>
      </c>
      <c r="D273" s="1">
        <v>178</v>
      </c>
      <c r="E273" s="1">
        <v>1212</v>
      </c>
      <c r="F273" s="1">
        <v>1756</v>
      </c>
      <c r="G273" s="1">
        <v>1390</v>
      </c>
    </row>
    <row r="274" spans="1:7">
      <c r="A274" s="44">
        <v>42064</v>
      </c>
      <c r="B274" s="1">
        <v>188</v>
      </c>
      <c r="C274" s="1">
        <v>1527</v>
      </c>
      <c r="D274" s="1">
        <v>177</v>
      </c>
      <c r="E274" s="1">
        <v>1201</v>
      </c>
      <c r="F274" s="1">
        <v>1715</v>
      </c>
      <c r="G274" s="1">
        <v>1378</v>
      </c>
    </row>
    <row r="275" spans="1:7">
      <c r="A275" s="44">
        <v>42071</v>
      </c>
      <c r="B275" s="1">
        <v>184</v>
      </c>
      <c r="C275" s="1">
        <v>1359</v>
      </c>
      <c r="D275" s="1">
        <v>175</v>
      </c>
      <c r="E275" s="1">
        <v>1176</v>
      </c>
      <c r="F275" s="1">
        <v>1543</v>
      </c>
      <c r="G275" s="1">
        <v>1351</v>
      </c>
    </row>
    <row r="276" spans="1:7">
      <c r="A276" s="44">
        <v>42078</v>
      </c>
      <c r="B276" s="1">
        <v>171</v>
      </c>
      <c r="C276" s="1">
        <v>1359</v>
      </c>
      <c r="D276" s="1">
        <v>174</v>
      </c>
      <c r="E276" s="1">
        <v>1147</v>
      </c>
      <c r="F276" s="1">
        <v>1530</v>
      </c>
      <c r="G276" s="1">
        <v>1321</v>
      </c>
    </row>
    <row r="277" spans="1:7">
      <c r="A277" s="44">
        <v>42085</v>
      </c>
      <c r="B277" s="1">
        <v>187</v>
      </c>
      <c r="C277" s="1">
        <v>1237</v>
      </c>
      <c r="D277" s="1">
        <v>172</v>
      </c>
      <c r="E277" s="1">
        <v>1119</v>
      </c>
      <c r="F277" s="1">
        <v>1424</v>
      </c>
      <c r="G277" s="1">
        <v>1291</v>
      </c>
    </row>
    <row r="278" spans="1:7">
      <c r="A278" s="44">
        <v>42092</v>
      </c>
      <c r="B278" s="1">
        <v>170</v>
      </c>
      <c r="C278" s="1">
        <v>1112</v>
      </c>
      <c r="D278" s="1">
        <v>171</v>
      </c>
      <c r="E278" s="1">
        <v>1092</v>
      </c>
      <c r="F278" s="1">
        <v>1282</v>
      </c>
      <c r="G278" s="1">
        <v>1263</v>
      </c>
    </row>
    <row r="279" spans="1:7">
      <c r="A279" s="44">
        <v>42099</v>
      </c>
      <c r="B279" s="1">
        <v>186</v>
      </c>
      <c r="C279" s="1">
        <v>1104</v>
      </c>
      <c r="D279" s="1">
        <v>170</v>
      </c>
      <c r="E279" s="1">
        <v>1071</v>
      </c>
      <c r="F279" s="1">
        <v>1290</v>
      </c>
      <c r="G279" s="1">
        <v>1241</v>
      </c>
    </row>
    <row r="280" spans="1:7">
      <c r="A280" s="44">
        <v>42106</v>
      </c>
      <c r="B280" s="1">
        <v>161</v>
      </c>
      <c r="C280" s="1">
        <v>1059</v>
      </c>
      <c r="D280" s="1">
        <v>169</v>
      </c>
      <c r="E280" s="1">
        <v>1058</v>
      </c>
      <c r="F280" s="1">
        <v>1220</v>
      </c>
      <c r="G280" s="1">
        <v>1227</v>
      </c>
    </row>
    <row r="281" spans="1:7">
      <c r="A281" s="44">
        <v>42113</v>
      </c>
      <c r="B281" s="1">
        <v>171</v>
      </c>
      <c r="C281" s="1">
        <v>1106</v>
      </c>
      <c r="D281" s="1">
        <v>169</v>
      </c>
      <c r="E281" s="1">
        <v>1045</v>
      </c>
      <c r="F281" s="1">
        <v>1277</v>
      </c>
      <c r="G281" s="1">
        <v>1214</v>
      </c>
    </row>
    <row r="282" spans="1:7">
      <c r="A282" s="44">
        <v>42120</v>
      </c>
      <c r="B282" s="1">
        <v>163</v>
      </c>
      <c r="C282" s="1">
        <v>1043</v>
      </c>
      <c r="D282" s="1">
        <v>169</v>
      </c>
      <c r="E282" s="1">
        <v>1032</v>
      </c>
      <c r="F282" s="1">
        <v>1206</v>
      </c>
      <c r="G282" s="1">
        <v>1201</v>
      </c>
    </row>
    <row r="283" spans="1:7">
      <c r="A283" s="44">
        <v>42127</v>
      </c>
      <c r="B283" s="1">
        <v>159</v>
      </c>
      <c r="C283" s="1">
        <v>1105</v>
      </c>
      <c r="D283" s="1">
        <v>168</v>
      </c>
      <c r="E283" s="1">
        <v>1019</v>
      </c>
      <c r="F283" s="1">
        <v>1264</v>
      </c>
      <c r="G283" s="1">
        <v>1187</v>
      </c>
    </row>
    <row r="284" spans="1:7">
      <c r="A284" s="44">
        <v>42134</v>
      </c>
      <c r="B284" s="1">
        <v>180</v>
      </c>
      <c r="C284" s="1">
        <v>970</v>
      </c>
      <c r="D284" s="1">
        <v>168</v>
      </c>
      <c r="E284" s="1">
        <v>1006</v>
      </c>
      <c r="F284" s="1">
        <v>1150</v>
      </c>
      <c r="G284" s="1">
        <v>1174</v>
      </c>
    </row>
    <row r="285" spans="1:7">
      <c r="A285" s="44">
        <v>42141</v>
      </c>
      <c r="B285" s="1">
        <v>184</v>
      </c>
      <c r="C285" s="1">
        <v>957</v>
      </c>
      <c r="D285" s="1">
        <v>167</v>
      </c>
      <c r="E285" s="1">
        <v>993</v>
      </c>
      <c r="F285" s="1">
        <v>1141</v>
      </c>
      <c r="G285" s="1">
        <v>1160</v>
      </c>
    </row>
    <row r="286" spans="1:7">
      <c r="A286" s="44">
        <v>42148</v>
      </c>
      <c r="B286" s="1">
        <v>166</v>
      </c>
      <c r="C286" s="1">
        <v>950</v>
      </c>
      <c r="D286" s="1">
        <v>167</v>
      </c>
      <c r="E286" s="1">
        <v>981</v>
      </c>
      <c r="F286" s="1">
        <v>1116</v>
      </c>
      <c r="G286" s="1">
        <v>1148</v>
      </c>
    </row>
    <row r="287" spans="1:7">
      <c r="A287" s="44">
        <v>42155</v>
      </c>
      <c r="B287" s="1">
        <v>164</v>
      </c>
      <c r="C287" s="1">
        <v>921</v>
      </c>
      <c r="D287" s="1">
        <v>166</v>
      </c>
      <c r="E287" s="1">
        <v>975</v>
      </c>
      <c r="F287" s="1">
        <v>1085</v>
      </c>
      <c r="G287" s="1">
        <v>1141</v>
      </c>
    </row>
    <row r="288" spans="1:7">
      <c r="A288" s="44">
        <v>42162</v>
      </c>
      <c r="B288" s="1">
        <v>164</v>
      </c>
      <c r="C288" s="1">
        <v>994</v>
      </c>
      <c r="D288" s="1">
        <v>166</v>
      </c>
      <c r="E288" s="1">
        <v>974</v>
      </c>
      <c r="F288" s="1">
        <v>1158</v>
      </c>
      <c r="G288" s="1">
        <v>1140</v>
      </c>
    </row>
    <row r="289" spans="1:7">
      <c r="A289" s="44">
        <v>42169</v>
      </c>
      <c r="B289" s="1">
        <v>175</v>
      </c>
      <c r="C289" s="1">
        <v>982</v>
      </c>
      <c r="D289" s="1">
        <v>166</v>
      </c>
      <c r="E289" s="1">
        <v>975</v>
      </c>
      <c r="F289" s="1">
        <v>1157</v>
      </c>
      <c r="G289" s="1">
        <v>1141</v>
      </c>
    </row>
    <row r="290" spans="1:7">
      <c r="A290" s="44">
        <v>42176</v>
      </c>
      <c r="B290" s="1">
        <v>166</v>
      </c>
      <c r="C290" s="1">
        <v>923</v>
      </c>
      <c r="D290" s="1">
        <v>165</v>
      </c>
      <c r="E290" s="1">
        <v>976</v>
      </c>
      <c r="F290" s="1">
        <v>1089</v>
      </c>
      <c r="G290" s="1">
        <v>1141</v>
      </c>
    </row>
    <row r="291" spans="1:7">
      <c r="A291" s="44">
        <v>42183</v>
      </c>
      <c r="B291" s="1">
        <v>202</v>
      </c>
      <c r="C291" s="1">
        <v>983</v>
      </c>
      <c r="D291" s="1">
        <v>165</v>
      </c>
      <c r="E291" s="1">
        <v>980</v>
      </c>
      <c r="F291" s="1">
        <v>1185</v>
      </c>
      <c r="G291" s="1">
        <v>1145</v>
      </c>
    </row>
    <row r="292" spans="1:7">
      <c r="A292" s="44">
        <v>42190</v>
      </c>
      <c r="B292" s="1">
        <v>179</v>
      </c>
      <c r="C292" s="1">
        <v>1098</v>
      </c>
      <c r="D292" s="1">
        <v>164</v>
      </c>
      <c r="E292" s="1">
        <v>983</v>
      </c>
      <c r="F292" s="1">
        <v>1277</v>
      </c>
      <c r="G292" s="1">
        <v>1147</v>
      </c>
    </row>
    <row r="293" spans="1:7">
      <c r="A293" s="44">
        <v>42197</v>
      </c>
      <c r="B293" s="1">
        <v>181</v>
      </c>
      <c r="C293" s="1">
        <v>1157</v>
      </c>
      <c r="D293" s="1">
        <v>163</v>
      </c>
      <c r="E293" s="1">
        <v>984</v>
      </c>
      <c r="F293" s="1">
        <v>1338</v>
      </c>
      <c r="G293" s="1">
        <v>1147</v>
      </c>
    </row>
    <row r="294" spans="1:7">
      <c r="A294" s="44">
        <v>42204</v>
      </c>
      <c r="B294" s="1">
        <v>203</v>
      </c>
      <c r="C294" s="1">
        <v>1077</v>
      </c>
      <c r="D294" s="1">
        <v>162</v>
      </c>
      <c r="E294" s="1">
        <v>981</v>
      </c>
      <c r="F294" s="1">
        <v>1280</v>
      </c>
      <c r="G294" s="1">
        <v>1143</v>
      </c>
    </row>
    <row r="295" spans="1:7">
      <c r="A295" s="44">
        <v>42211</v>
      </c>
      <c r="B295" s="1">
        <v>157</v>
      </c>
      <c r="C295" s="1">
        <v>994</v>
      </c>
      <c r="D295" s="1">
        <v>161</v>
      </c>
      <c r="E295" s="1">
        <v>977</v>
      </c>
      <c r="F295" s="1">
        <v>1151</v>
      </c>
      <c r="G295" s="1">
        <v>1138</v>
      </c>
    </row>
    <row r="296" spans="1:7">
      <c r="A296" s="44">
        <v>42218</v>
      </c>
      <c r="B296" s="1">
        <v>164</v>
      </c>
      <c r="C296" s="1">
        <v>957</v>
      </c>
      <c r="D296" s="1">
        <v>161</v>
      </c>
      <c r="E296" s="1">
        <v>973</v>
      </c>
      <c r="F296" s="1">
        <v>1121</v>
      </c>
      <c r="G296" s="1">
        <v>1134</v>
      </c>
    </row>
    <row r="297" spans="1:7">
      <c r="A297" s="44">
        <v>42225</v>
      </c>
      <c r="B297" s="1">
        <v>180</v>
      </c>
      <c r="C297" s="1">
        <v>1018</v>
      </c>
      <c r="D297" s="1">
        <v>161</v>
      </c>
      <c r="E297" s="1">
        <v>972</v>
      </c>
      <c r="F297" s="1">
        <v>1198</v>
      </c>
      <c r="G297" s="1">
        <v>1133</v>
      </c>
    </row>
    <row r="298" spans="1:7">
      <c r="A298" s="44">
        <v>42232</v>
      </c>
      <c r="B298" s="1">
        <v>165</v>
      </c>
      <c r="C298" s="1">
        <v>1015</v>
      </c>
      <c r="D298" s="1">
        <v>162</v>
      </c>
      <c r="E298" s="1">
        <v>972</v>
      </c>
      <c r="F298" s="1">
        <v>1180</v>
      </c>
      <c r="G298" s="1">
        <v>1134</v>
      </c>
    </row>
    <row r="299" spans="1:7">
      <c r="A299" s="44">
        <v>42239</v>
      </c>
      <c r="B299" s="1">
        <v>163</v>
      </c>
      <c r="C299" s="1">
        <v>967</v>
      </c>
      <c r="D299" s="1">
        <v>162</v>
      </c>
      <c r="E299" s="1">
        <v>978</v>
      </c>
      <c r="F299" s="1">
        <v>1130</v>
      </c>
      <c r="G299" s="1">
        <v>1140</v>
      </c>
    </row>
    <row r="300" spans="1:7">
      <c r="A300" s="44">
        <v>42246</v>
      </c>
      <c r="B300" s="1">
        <v>176</v>
      </c>
      <c r="C300" s="1">
        <v>990</v>
      </c>
      <c r="D300" s="1">
        <v>163</v>
      </c>
      <c r="E300" s="1">
        <v>988</v>
      </c>
      <c r="F300" s="1">
        <v>1166</v>
      </c>
      <c r="G300" s="1">
        <v>1151</v>
      </c>
    </row>
    <row r="301" spans="1:7">
      <c r="A301" s="44">
        <v>42253</v>
      </c>
      <c r="B301" s="1">
        <v>162</v>
      </c>
      <c r="C301" s="1">
        <v>980</v>
      </c>
      <c r="D301" s="1">
        <v>164</v>
      </c>
      <c r="E301" s="1">
        <v>995</v>
      </c>
      <c r="F301" s="1">
        <v>1142</v>
      </c>
      <c r="G301" s="1">
        <v>1159</v>
      </c>
    </row>
    <row r="302" spans="1:7">
      <c r="A302" s="44">
        <v>42260</v>
      </c>
      <c r="B302" s="1">
        <v>186</v>
      </c>
      <c r="C302" s="1">
        <v>991</v>
      </c>
      <c r="D302" s="1">
        <v>165</v>
      </c>
      <c r="E302" s="1">
        <v>999</v>
      </c>
      <c r="F302" s="1">
        <v>1177</v>
      </c>
      <c r="G302" s="1">
        <v>1164</v>
      </c>
    </row>
    <row r="303" spans="1:7">
      <c r="A303" s="44">
        <v>42267</v>
      </c>
      <c r="B303" s="1">
        <v>169</v>
      </c>
      <c r="C303" s="1">
        <v>952</v>
      </c>
      <c r="D303" s="1">
        <v>166</v>
      </c>
      <c r="E303" s="1">
        <v>1005</v>
      </c>
      <c r="F303" s="1">
        <v>1121</v>
      </c>
      <c r="G303" s="1">
        <v>1171</v>
      </c>
    </row>
    <row r="304" spans="1:7">
      <c r="A304" s="44">
        <v>42274</v>
      </c>
      <c r="B304" s="1">
        <v>146</v>
      </c>
      <c r="C304" s="1">
        <v>1027</v>
      </c>
      <c r="D304" s="1">
        <v>166</v>
      </c>
      <c r="E304" s="1">
        <v>1012</v>
      </c>
      <c r="F304" s="1">
        <v>1173</v>
      </c>
      <c r="G304" s="1">
        <v>1178</v>
      </c>
    </row>
    <row r="305" spans="1:7">
      <c r="A305" s="44">
        <v>42281</v>
      </c>
      <c r="B305" s="1">
        <v>185</v>
      </c>
      <c r="C305" s="1">
        <v>1031</v>
      </c>
      <c r="D305" s="1">
        <v>166</v>
      </c>
      <c r="E305" s="1">
        <v>1021</v>
      </c>
      <c r="F305" s="1">
        <v>1216</v>
      </c>
      <c r="G305" s="1">
        <v>1187</v>
      </c>
    </row>
    <row r="306" spans="1:7">
      <c r="A306" s="44">
        <v>42288</v>
      </c>
      <c r="B306" s="1">
        <v>159</v>
      </c>
      <c r="C306" s="1">
        <v>999</v>
      </c>
      <c r="D306" s="1">
        <v>167</v>
      </c>
      <c r="E306" s="1">
        <v>1034</v>
      </c>
      <c r="F306" s="1">
        <v>1158</v>
      </c>
      <c r="G306" s="1">
        <v>1201</v>
      </c>
    </row>
    <row r="307" spans="1:7">
      <c r="A307" s="44">
        <v>42295</v>
      </c>
      <c r="B307" s="1">
        <v>171</v>
      </c>
      <c r="C307" s="1">
        <v>1039</v>
      </c>
      <c r="D307" s="1">
        <v>167</v>
      </c>
      <c r="E307" s="1">
        <v>1045</v>
      </c>
      <c r="F307" s="1">
        <v>1210</v>
      </c>
      <c r="G307" s="1">
        <v>1212</v>
      </c>
    </row>
    <row r="308" spans="1:7">
      <c r="A308" s="44">
        <v>42302</v>
      </c>
      <c r="B308" s="1">
        <v>170</v>
      </c>
      <c r="C308" s="1">
        <v>1026</v>
      </c>
      <c r="D308" s="1">
        <v>167</v>
      </c>
      <c r="E308" s="1">
        <v>1053</v>
      </c>
      <c r="F308" s="1">
        <v>1196</v>
      </c>
      <c r="G308" s="1">
        <v>1220</v>
      </c>
    </row>
    <row r="309" spans="1:7">
      <c r="A309" s="44">
        <v>42309</v>
      </c>
      <c r="B309" s="1">
        <v>177</v>
      </c>
      <c r="C309" s="1">
        <v>1093</v>
      </c>
      <c r="D309" s="1">
        <v>166</v>
      </c>
      <c r="E309" s="1">
        <v>1061</v>
      </c>
      <c r="F309" s="1">
        <v>1270</v>
      </c>
      <c r="G309" s="1">
        <v>1227</v>
      </c>
    </row>
    <row r="310" spans="1:7">
      <c r="A310" s="44">
        <v>42316</v>
      </c>
      <c r="B310" s="1">
        <v>167</v>
      </c>
      <c r="C310" s="1">
        <v>994</v>
      </c>
      <c r="D310" s="1">
        <v>167</v>
      </c>
      <c r="E310" s="1">
        <v>1073</v>
      </c>
      <c r="F310" s="1">
        <v>1161</v>
      </c>
      <c r="G310" s="1">
        <v>1240</v>
      </c>
    </row>
    <row r="311" spans="1:7">
      <c r="A311" s="44">
        <v>42323</v>
      </c>
      <c r="B311" s="1">
        <v>181</v>
      </c>
      <c r="C311" s="1">
        <v>1007</v>
      </c>
      <c r="D311" s="1">
        <v>167</v>
      </c>
      <c r="E311" s="1">
        <v>1084</v>
      </c>
      <c r="F311" s="1">
        <v>1188</v>
      </c>
      <c r="G311" s="1">
        <v>1251</v>
      </c>
    </row>
    <row r="312" spans="1:7">
      <c r="A312" s="44">
        <v>42330</v>
      </c>
      <c r="B312" s="1">
        <v>178</v>
      </c>
      <c r="C312" s="1">
        <v>1066</v>
      </c>
      <c r="D312" s="1">
        <v>169</v>
      </c>
      <c r="E312" s="1">
        <v>1101</v>
      </c>
      <c r="F312" s="1">
        <v>1244</v>
      </c>
      <c r="G312" s="1">
        <v>1270</v>
      </c>
    </row>
    <row r="313" spans="1:7">
      <c r="A313" s="44">
        <v>42337</v>
      </c>
      <c r="B313" s="1">
        <v>159</v>
      </c>
      <c r="C313" s="1">
        <v>1084</v>
      </c>
      <c r="D313" s="1">
        <v>171</v>
      </c>
      <c r="E313" s="1">
        <v>1121</v>
      </c>
      <c r="F313" s="1">
        <v>1243</v>
      </c>
      <c r="G313" s="1">
        <v>1292</v>
      </c>
    </row>
    <row r="314" spans="1:7">
      <c r="A314" s="44">
        <v>42344</v>
      </c>
      <c r="B314" s="1">
        <v>179</v>
      </c>
      <c r="C314" s="1">
        <v>1111</v>
      </c>
      <c r="D314" s="1">
        <v>173</v>
      </c>
      <c r="E314" s="1">
        <v>1138</v>
      </c>
      <c r="F314" s="1">
        <v>1290</v>
      </c>
      <c r="G314" s="1">
        <v>1311</v>
      </c>
    </row>
    <row r="315" spans="1:7">
      <c r="A315" s="44">
        <v>42351</v>
      </c>
      <c r="B315" s="1">
        <v>180</v>
      </c>
      <c r="C315" s="1">
        <v>1034</v>
      </c>
      <c r="D315" s="1">
        <v>175</v>
      </c>
      <c r="E315" s="1">
        <v>1149</v>
      </c>
      <c r="F315" s="1">
        <v>1214</v>
      </c>
      <c r="G315" s="1">
        <v>1324</v>
      </c>
    </row>
    <row r="316" spans="1:7">
      <c r="A316" s="44">
        <v>42358</v>
      </c>
      <c r="B316" s="1">
        <v>162</v>
      </c>
      <c r="C316" s="1">
        <v>1022</v>
      </c>
      <c r="D316" s="1">
        <v>177</v>
      </c>
      <c r="E316" s="1">
        <v>1159</v>
      </c>
      <c r="F316" s="1">
        <v>1184</v>
      </c>
      <c r="G316" s="1">
        <v>1336</v>
      </c>
    </row>
    <row r="317" spans="1:7">
      <c r="A317" s="44">
        <v>42365</v>
      </c>
      <c r="B317" s="1">
        <v>169</v>
      </c>
      <c r="C317" s="1">
        <v>1099</v>
      </c>
      <c r="D317" s="1">
        <v>179</v>
      </c>
      <c r="E317" s="1">
        <v>1168</v>
      </c>
      <c r="F317" s="1">
        <v>1268</v>
      </c>
      <c r="G317" s="1">
        <v>1347</v>
      </c>
    </row>
    <row r="318" spans="1:7">
      <c r="A318" s="44">
        <v>42372</v>
      </c>
      <c r="B318" s="1">
        <v>165</v>
      </c>
      <c r="C318" s="1">
        <v>1126</v>
      </c>
      <c r="D318" s="1">
        <v>181</v>
      </c>
      <c r="E318" s="1">
        <v>1177</v>
      </c>
      <c r="F318" s="1">
        <v>1291</v>
      </c>
      <c r="G318" s="1">
        <v>1358</v>
      </c>
    </row>
    <row r="319" spans="1:7">
      <c r="A319" s="44">
        <v>42379</v>
      </c>
      <c r="B319" s="1">
        <v>183</v>
      </c>
      <c r="C319" s="1">
        <v>1146</v>
      </c>
      <c r="D319" s="1">
        <v>181</v>
      </c>
      <c r="E319" s="1">
        <v>1237</v>
      </c>
      <c r="F319" s="1">
        <v>1329</v>
      </c>
      <c r="G319" s="1">
        <v>1418</v>
      </c>
    </row>
    <row r="320" spans="1:7">
      <c r="A320" s="44">
        <v>42386</v>
      </c>
      <c r="B320" s="1">
        <v>149</v>
      </c>
      <c r="C320" s="1">
        <v>1090</v>
      </c>
      <c r="D320" s="1">
        <v>181</v>
      </c>
      <c r="E320" s="1">
        <v>1236</v>
      </c>
      <c r="F320" s="1">
        <v>1239</v>
      </c>
      <c r="G320" s="1">
        <v>1417</v>
      </c>
    </row>
    <row r="321" spans="1:7">
      <c r="A321" s="44">
        <v>42393</v>
      </c>
      <c r="B321" s="1">
        <v>183</v>
      </c>
      <c r="C321" s="1">
        <v>1134</v>
      </c>
      <c r="D321" s="1">
        <v>180</v>
      </c>
      <c r="E321" s="1">
        <v>1236</v>
      </c>
      <c r="F321" s="1">
        <v>1317</v>
      </c>
      <c r="G321" s="1">
        <v>1416</v>
      </c>
    </row>
    <row r="322" spans="1:7">
      <c r="A322" s="44">
        <v>42400</v>
      </c>
      <c r="B322" s="1">
        <v>194</v>
      </c>
      <c r="C322" s="1">
        <v>1151</v>
      </c>
      <c r="D322" s="1">
        <v>179</v>
      </c>
      <c r="E322" s="1">
        <v>1235</v>
      </c>
      <c r="F322" s="1">
        <v>1345</v>
      </c>
      <c r="G322" s="1">
        <v>1414</v>
      </c>
    </row>
    <row r="323" spans="1:7">
      <c r="A323" s="44">
        <v>42407</v>
      </c>
      <c r="B323" s="1">
        <v>190</v>
      </c>
      <c r="C323" s="1">
        <v>1138</v>
      </c>
      <c r="D323" s="1">
        <v>178</v>
      </c>
      <c r="E323" s="1">
        <v>1234</v>
      </c>
      <c r="F323" s="1">
        <v>1328</v>
      </c>
      <c r="G323" s="1">
        <v>1412</v>
      </c>
    </row>
    <row r="324" spans="1:7">
      <c r="A324" s="44">
        <v>42414</v>
      </c>
      <c r="B324" s="1">
        <v>187</v>
      </c>
      <c r="C324" s="1">
        <v>1145</v>
      </c>
      <c r="D324" s="1">
        <v>177</v>
      </c>
      <c r="E324" s="1">
        <v>1233</v>
      </c>
      <c r="F324" s="1">
        <v>1332</v>
      </c>
      <c r="G324" s="1">
        <v>1410</v>
      </c>
    </row>
    <row r="325" spans="1:7">
      <c r="A325" s="44">
        <v>42421</v>
      </c>
      <c r="B325" s="1">
        <v>179</v>
      </c>
      <c r="C325" s="1">
        <v>1124</v>
      </c>
      <c r="D325" s="1">
        <v>177</v>
      </c>
      <c r="E325" s="1">
        <v>1231</v>
      </c>
      <c r="F325" s="1">
        <v>1303</v>
      </c>
      <c r="G325" s="1">
        <v>1408</v>
      </c>
    </row>
    <row r="326" spans="1:7">
      <c r="A326" s="44">
        <v>42428</v>
      </c>
      <c r="B326" s="1">
        <v>194</v>
      </c>
      <c r="C326" s="1">
        <v>1181</v>
      </c>
      <c r="D326" s="1">
        <v>176</v>
      </c>
      <c r="E326" s="1">
        <v>1223</v>
      </c>
      <c r="F326" s="1">
        <v>1375</v>
      </c>
      <c r="G326" s="1">
        <v>1399</v>
      </c>
    </row>
    <row r="327" spans="1:7">
      <c r="A327" s="44">
        <v>42435</v>
      </c>
      <c r="B327" s="1">
        <v>181</v>
      </c>
      <c r="C327" s="1">
        <v>1137</v>
      </c>
      <c r="D327" s="1">
        <v>175</v>
      </c>
      <c r="E327" s="1">
        <v>1215</v>
      </c>
      <c r="F327" s="1">
        <v>1318</v>
      </c>
      <c r="G327" s="1">
        <v>1390</v>
      </c>
    </row>
    <row r="328" spans="1:7">
      <c r="A328" s="44">
        <v>42442</v>
      </c>
      <c r="B328" s="1">
        <v>191</v>
      </c>
      <c r="C328" s="1">
        <v>1151</v>
      </c>
      <c r="D328" s="1">
        <v>174</v>
      </c>
      <c r="E328" s="1">
        <v>1200</v>
      </c>
      <c r="F328" s="1">
        <v>1342</v>
      </c>
      <c r="G328" s="1">
        <v>1374</v>
      </c>
    </row>
    <row r="329" spans="1:7">
      <c r="A329" s="44">
        <v>42449</v>
      </c>
      <c r="B329" s="1">
        <v>168</v>
      </c>
      <c r="C329" s="1">
        <v>1102</v>
      </c>
      <c r="D329" s="1">
        <v>174</v>
      </c>
      <c r="E329" s="1">
        <v>1184</v>
      </c>
      <c r="F329" s="1">
        <v>1270</v>
      </c>
      <c r="G329" s="1">
        <v>1358</v>
      </c>
    </row>
    <row r="330" spans="1:7">
      <c r="A330" s="44">
        <v>42456</v>
      </c>
      <c r="B330" s="1">
        <v>183</v>
      </c>
      <c r="C330" s="1">
        <v>1100</v>
      </c>
      <c r="D330" s="1">
        <v>173</v>
      </c>
      <c r="E330" s="1">
        <v>1163</v>
      </c>
      <c r="F330" s="1">
        <v>1283</v>
      </c>
      <c r="G330" s="1">
        <v>1336</v>
      </c>
    </row>
    <row r="331" spans="1:7">
      <c r="A331" s="44">
        <v>42463</v>
      </c>
      <c r="B331" s="1">
        <v>167</v>
      </c>
      <c r="C331" s="1">
        <v>1093</v>
      </c>
      <c r="D331" s="1">
        <v>172</v>
      </c>
      <c r="E331" s="1">
        <v>1143</v>
      </c>
      <c r="F331" s="1">
        <v>1260</v>
      </c>
      <c r="G331" s="1">
        <v>1315</v>
      </c>
    </row>
    <row r="332" spans="1:7">
      <c r="A332" s="44">
        <v>42470</v>
      </c>
      <c r="B332" s="1">
        <v>143</v>
      </c>
      <c r="C332" s="1">
        <v>1091</v>
      </c>
      <c r="D332" s="1">
        <v>171</v>
      </c>
      <c r="E332" s="1">
        <v>1123</v>
      </c>
      <c r="F332" s="1">
        <v>1234</v>
      </c>
      <c r="G332" s="1">
        <v>1294</v>
      </c>
    </row>
    <row r="333" spans="1:7">
      <c r="A333" s="44">
        <v>42477</v>
      </c>
      <c r="B333" s="1">
        <v>159</v>
      </c>
      <c r="C333" s="1">
        <v>1059</v>
      </c>
      <c r="D333" s="1">
        <v>170</v>
      </c>
      <c r="E333" s="1">
        <v>1106</v>
      </c>
      <c r="F333" s="1">
        <v>1218</v>
      </c>
      <c r="G333" s="1">
        <v>1276</v>
      </c>
    </row>
    <row r="334" spans="1:7">
      <c r="A334" s="44">
        <v>42484</v>
      </c>
      <c r="B334" s="1">
        <v>168</v>
      </c>
      <c r="C334" s="1">
        <v>962</v>
      </c>
      <c r="D334" s="1">
        <v>170</v>
      </c>
      <c r="E334" s="1">
        <v>1088</v>
      </c>
      <c r="F334" s="1">
        <v>1130</v>
      </c>
      <c r="G334" s="1">
        <v>1258</v>
      </c>
    </row>
    <row r="335" spans="1:7">
      <c r="A335" s="44">
        <v>42491</v>
      </c>
      <c r="B335" s="1">
        <v>152</v>
      </c>
      <c r="C335" s="1">
        <v>1013</v>
      </c>
      <c r="D335" s="1">
        <v>169</v>
      </c>
      <c r="E335" s="1">
        <v>1073</v>
      </c>
      <c r="F335" s="1">
        <v>1165</v>
      </c>
      <c r="G335" s="1">
        <v>1242</v>
      </c>
    </row>
    <row r="336" spans="1:7">
      <c r="A336" s="44">
        <v>42498</v>
      </c>
      <c r="B336" s="1">
        <v>169</v>
      </c>
      <c r="C336" s="1">
        <v>987</v>
      </c>
      <c r="D336" s="1">
        <v>168</v>
      </c>
      <c r="E336" s="1">
        <v>1057</v>
      </c>
      <c r="F336" s="1">
        <v>1156</v>
      </c>
      <c r="G336" s="1">
        <v>1225</v>
      </c>
    </row>
    <row r="337" spans="1:7">
      <c r="A337" s="44">
        <v>42505</v>
      </c>
      <c r="B337" s="1">
        <v>177</v>
      </c>
      <c r="C337" s="1">
        <v>964</v>
      </c>
      <c r="D337" s="1">
        <v>167</v>
      </c>
      <c r="E337" s="1">
        <v>1045</v>
      </c>
      <c r="F337" s="1">
        <v>1141</v>
      </c>
      <c r="G337" s="1">
        <v>1212</v>
      </c>
    </row>
    <row r="338" spans="1:7">
      <c r="A338" s="44">
        <v>42512</v>
      </c>
      <c r="B338" s="1">
        <v>165</v>
      </c>
      <c r="C338" s="1">
        <v>1003</v>
      </c>
      <c r="D338" s="1">
        <v>166</v>
      </c>
      <c r="E338" s="1">
        <v>1032</v>
      </c>
      <c r="F338" s="1">
        <v>1168</v>
      </c>
      <c r="G338" s="1">
        <v>1198</v>
      </c>
    </row>
    <row r="339" spans="1:7">
      <c r="A339" s="44">
        <v>42519</v>
      </c>
      <c r="B339" s="1">
        <v>146</v>
      </c>
      <c r="C339" s="1">
        <v>1071</v>
      </c>
      <c r="D339" s="1">
        <v>166</v>
      </c>
      <c r="E339" s="1">
        <v>1024</v>
      </c>
      <c r="F339" s="1">
        <v>1217</v>
      </c>
      <c r="G339" s="1">
        <v>1190</v>
      </c>
    </row>
    <row r="340" spans="1:7">
      <c r="A340" s="44">
        <v>42526</v>
      </c>
      <c r="B340" s="1">
        <v>151</v>
      </c>
      <c r="C340" s="1">
        <v>989</v>
      </c>
      <c r="D340" s="1">
        <v>165</v>
      </c>
      <c r="E340" s="1">
        <v>1019</v>
      </c>
      <c r="F340" s="1">
        <v>1140</v>
      </c>
      <c r="G340" s="1">
        <v>1184</v>
      </c>
    </row>
    <row r="341" spans="1:7">
      <c r="A341" s="44">
        <v>42533</v>
      </c>
      <c r="B341" s="1">
        <v>165</v>
      </c>
      <c r="C341" s="1">
        <v>928</v>
      </c>
      <c r="D341" s="1">
        <v>165</v>
      </c>
      <c r="E341" s="1">
        <v>1013</v>
      </c>
      <c r="F341" s="1">
        <v>1093</v>
      </c>
      <c r="G341" s="1">
        <v>1178</v>
      </c>
    </row>
    <row r="342" spans="1:7">
      <c r="A342" s="44">
        <v>42540</v>
      </c>
      <c r="B342" s="1">
        <v>173</v>
      </c>
      <c r="C342" s="1">
        <v>929</v>
      </c>
      <c r="D342" s="1">
        <v>164</v>
      </c>
      <c r="E342" s="1">
        <v>1011</v>
      </c>
      <c r="F342" s="1">
        <v>1102</v>
      </c>
      <c r="G342" s="1">
        <v>1175</v>
      </c>
    </row>
    <row r="343" spans="1:7">
      <c r="A343" s="44">
        <v>42547</v>
      </c>
      <c r="B343" s="1">
        <v>163</v>
      </c>
      <c r="C343" s="1">
        <v>1057</v>
      </c>
      <c r="D343" s="1">
        <v>164</v>
      </c>
      <c r="E343" s="1">
        <v>1012</v>
      </c>
      <c r="F343" s="1">
        <v>1220</v>
      </c>
      <c r="G343" s="1">
        <v>1176</v>
      </c>
    </row>
    <row r="344" spans="1:7">
      <c r="A344" s="44">
        <v>42554</v>
      </c>
      <c r="B344" s="1">
        <v>169</v>
      </c>
      <c r="C344" s="1">
        <v>990</v>
      </c>
      <c r="D344" s="1">
        <v>164</v>
      </c>
      <c r="E344" s="1">
        <v>1012</v>
      </c>
      <c r="F344" s="1">
        <v>1159</v>
      </c>
      <c r="G344" s="1">
        <v>1176</v>
      </c>
    </row>
    <row r="345" spans="1:7">
      <c r="A345" s="44">
        <v>42561</v>
      </c>
      <c r="B345" s="1">
        <v>154</v>
      </c>
      <c r="C345" s="1">
        <v>928</v>
      </c>
      <c r="D345" s="1">
        <v>163</v>
      </c>
      <c r="E345" s="1">
        <v>1015</v>
      </c>
      <c r="F345" s="1">
        <v>1082</v>
      </c>
      <c r="G345" s="1">
        <v>1178</v>
      </c>
    </row>
    <row r="346" spans="1:7">
      <c r="A346" s="44">
        <v>42568</v>
      </c>
      <c r="B346" s="1">
        <v>155</v>
      </c>
      <c r="C346" s="1">
        <v>985</v>
      </c>
      <c r="D346" s="1">
        <v>163</v>
      </c>
      <c r="E346" s="1">
        <v>1014</v>
      </c>
      <c r="F346" s="1">
        <v>1140</v>
      </c>
      <c r="G346" s="1">
        <v>1177</v>
      </c>
    </row>
    <row r="347" spans="1:7">
      <c r="A347" s="44">
        <v>42575</v>
      </c>
      <c r="B347" s="1">
        <v>166</v>
      </c>
      <c r="C347" s="1">
        <v>1053</v>
      </c>
      <c r="D347" s="1">
        <v>163</v>
      </c>
      <c r="E347" s="1">
        <v>1013</v>
      </c>
      <c r="F347" s="1">
        <v>1219</v>
      </c>
      <c r="G347" s="1">
        <v>1176</v>
      </c>
    </row>
    <row r="348" spans="1:7">
      <c r="A348" s="44">
        <v>42582</v>
      </c>
      <c r="B348" s="1">
        <v>160</v>
      </c>
      <c r="C348" s="1">
        <v>999</v>
      </c>
      <c r="D348" s="1">
        <v>163</v>
      </c>
      <c r="E348" s="1">
        <v>1014</v>
      </c>
      <c r="F348" s="1">
        <v>1159</v>
      </c>
      <c r="G348" s="1">
        <v>1177</v>
      </c>
    </row>
    <row r="349" spans="1:7">
      <c r="A349" s="44">
        <v>42589</v>
      </c>
      <c r="B349" s="1">
        <v>195</v>
      </c>
      <c r="C349" s="1">
        <v>902</v>
      </c>
      <c r="D349" s="1">
        <v>163</v>
      </c>
      <c r="E349" s="1">
        <v>1014</v>
      </c>
      <c r="F349" s="1">
        <v>1097</v>
      </c>
      <c r="G349" s="1">
        <v>1177</v>
      </c>
    </row>
    <row r="350" spans="1:7">
      <c r="A350" s="44">
        <v>42596</v>
      </c>
      <c r="B350" s="1">
        <v>187</v>
      </c>
      <c r="C350" s="1">
        <v>959</v>
      </c>
      <c r="D350" s="1">
        <v>163</v>
      </c>
      <c r="E350" s="1">
        <v>1015</v>
      </c>
      <c r="F350" s="1">
        <v>1146</v>
      </c>
      <c r="G350" s="1">
        <v>1178</v>
      </c>
    </row>
    <row r="351" spans="1:7">
      <c r="A351" s="44">
        <v>42603</v>
      </c>
      <c r="B351" s="1">
        <v>151</v>
      </c>
      <c r="C351" s="1">
        <v>1006</v>
      </c>
      <c r="D351" s="1">
        <v>163</v>
      </c>
      <c r="E351" s="1">
        <v>1016</v>
      </c>
      <c r="F351" s="1">
        <v>1157</v>
      </c>
      <c r="G351" s="1">
        <v>1179</v>
      </c>
    </row>
    <row r="352" spans="1:7">
      <c r="A352" s="44">
        <v>42610</v>
      </c>
      <c r="B352" s="1">
        <v>139</v>
      </c>
      <c r="C352" s="1">
        <v>979</v>
      </c>
      <c r="D352" s="1">
        <v>163</v>
      </c>
      <c r="E352" s="1">
        <v>1018</v>
      </c>
      <c r="F352" s="1">
        <v>1118</v>
      </c>
      <c r="G352" s="1">
        <v>1181</v>
      </c>
    </row>
    <row r="353" spans="1:7">
      <c r="A353" s="44">
        <v>42617</v>
      </c>
      <c r="B353" s="1">
        <v>169</v>
      </c>
      <c r="C353" s="1">
        <v>958</v>
      </c>
      <c r="D353" s="1">
        <v>164</v>
      </c>
      <c r="E353" s="1">
        <v>1022</v>
      </c>
      <c r="F353" s="1">
        <v>1127</v>
      </c>
      <c r="G353" s="1">
        <v>1186</v>
      </c>
    </row>
    <row r="354" spans="1:7">
      <c r="A354" s="44">
        <v>42624</v>
      </c>
      <c r="B354" s="1">
        <v>182</v>
      </c>
      <c r="C354" s="1">
        <v>987</v>
      </c>
      <c r="D354" s="1">
        <v>164</v>
      </c>
      <c r="E354" s="1">
        <v>1027</v>
      </c>
      <c r="F354" s="1">
        <v>1169</v>
      </c>
      <c r="G354" s="1">
        <v>1191</v>
      </c>
    </row>
    <row r="355" spans="1:7">
      <c r="A355" s="44">
        <v>42631</v>
      </c>
      <c r="B355" s="1">
        <v>150</v>
      </c>
      <c r="C355" s="1">
        <v>943</v>
      </c>
      <c r="D355" s="1">
        <v>164</v>
      </c>
      <c r="E355" s="1">
        <v>1034</v>
      </c>
      <c r="F355" s="1">
        <v>1093</v>
      </c>
      <c r="G355" s="1">
        <v>1198</v>
      </c>
    </row>
    <row r="356" spans="1:7">
      <c r="A356" s="44">
        <v>42638</v>
      </c>
      <c r="B356" s="1">
        <v>171</v>
      </c>
      <c r="C356" s="1">
        <v>998</v>
      </c>
      <c r="D356" s="1">
        <v>165</v>
      </c>
      <c r="E356" s="1">
        <v>1042</v>
      </c>
      <c r="F356" s="1">
        <v>1169</v>
      </c>
      <c r="G356" s="1">
        <v>1207</v>
      </c>
    </row>
    <row r="357" spans="1:7">
      <c r="A357" s="44">
        <v>42645</v>
      </c>
      <c r="B357" s="1">
        <v>172</v>
      </c>
      <c r="C357" s="1">
        <v>1024</v>
      </c>
      <c r="D357" s="1">
        <v>165</v>
      </c>
      <c r="E357" s="1">
        <v>1051</v>
      </c>
      <c r="F357" s="1">
        <v>1196</v>
      </c>
      <c r="G357" s="1">
        <v>1216</v>
      </c>
    </row>
    <row r="358" spans="1:7">
      <c r="A358" s="44">
        <v>42652</v>
      </c>
      <c r="B358" s="1">
        <v>185</v>
      </c>
      <c r="C358" s="1">
        <v>1082</v>
      </c>
      <c r="D358" s="1">
        <v>165</v>
      </c>
      <c r="E358" s="1">
        <v>1060</v>
      </c>
      <c r="F358" s="1">
        <v>1267</v>
      </c>
      <c r="G358" s="1">
        <v>1225</v>
      </c>
    </row>
    <row r="359" spans="1:7">
      <c r="A359" s="44">
        <v>42659</v>
      </c>
      <c r="B359" s="1">
        <v>172</v>
      </c>
      <c r="C359" s="1">
        <v>1085</v>
      </c>
      <c r="D359" s="1">
        <v>166</v>
      </c>
      <c r="E359" s="1">
        <v>1069</v>
      </c>
      <c r="F359" s="1">
        <v>1257</v>
      </c>
      <c r="G359" s="1">
        <v>1235</v>
      </c>
    </row>
    <row r="360" spans="1:7">
      <c r="A360" s="44">
        <v>42666</v>
      </c>
      <c r="B360" s="1">
        <v>163</v>
      </c>
      <c r="C360" s="1">
        <v>1109</v>
      </c>
      <c r="D360" s="1">
        <v>167</v>
      </c>
      <c r="E360" s="1">
        <v>1078</v>
      </c>
      <c r="F360" s="1">
        <v>1272</v>
      </c>
      <c r="G360" s="1">
        <v>1245</v>
      </c>
    </row>
    <row r="361" spans="1:7">
      <c r="A361" s="44">
        <v>42673</v>
      </c>
      <c r="B361" s="1">
        <v>168</v>
      </c>
      <c r="C361" s="1">
        <v>1054</v>
      </c>
      <c r="D361" s="1">
        <v>167</v>
      </c>
      <c r="E361" s="1">
        <v>1088</v>
      </c>
      <c r="F361" s="1">
        <v>1222</v>
      </c>
      <c r="G361" s="1">
        <v>1255</v>
      </c>
    </row>
    <row r="362" spans="1:7">
      <c r="A362" s="44">
        <v>42680</v>
      </c>
      <c r="B362" s="1">
        <v>176</v>
      </c>
      <c r="C362" s="1">
        <v>1124</v>
      </c>
      <c r="D362" s="1">
        <v>168</v>
      </c>
      <c r="E362" s="1">
        <v>1098</v>
      </c>
      <c r="F362" s="1">
        <v>1300</v>
      </c>
      <c r="G362" s="1">
        <v>1266</v>
      </c>
    </row>
    <row r="363" spans="1:7">
      <c r="A363" s="44">
        <v>42687</v>
      </c>
      <c r="B363" s="1">
        <v>172</v>
      </c>
      <c r="C363" s="1">
        <v>1108</v>
      </c>
      <c r="D363" s="1">
        <v>168</v>
      </c>
      <c r="E363" s="1">
        <v>1109</v>
      </c>
      <c r="F363" s="1">
        <v>1280</v>
      </c>
      <c r="G363" s="1">
        <v>1277</v>
      </c>
    </row>
    <row r="364" spans="1:7">
      <c r="A364" s="44">
        <v>42694</v>
      </c>
      <c r="B364" s="1">
        <v>170</v>
      </c>
      <c r="C364" s="1">
        <v>1176</v>
      </c>
      <c r="D364" s="1">
        <v>169</v>
      </c>
      <c r="E364" s="1">
        <v>1121</v>
      </c>
      <c r="F364" s="1">
        <v>1346</v>
      </c>
      <c r="G364" s="1">
        <v>1290</v>
      </c>
    </row>
    <row r="365" spans="1:7">
      <c r="A365" s="44">
        <v>42701</v>
      </c>
      <c r="B365" s="1">
        <v>134</v>
      </c>
      <c r="C365" s="1">
        <v>1050</v>
      </c>
      <c r="D365" s="1">
        <v>169</v>
      </c>
      <c r="E365" s="1">
        <v>1133</v>
      </c>
      <c r="F365" s="1">
        <v>1184</v>
      </c>
      <c r="G365" s="1">
        <v>1302</v>
      </c>
    </row>
    <row r="366" spans="1:7">
      <c r="A366" s="44">
        <v>42708</v>
      </c>
      <c r="B366" s="1">
        <v>179</v>
      </c>
      <c r="C366" s="1">
        <v>1144</v>
      </c>
      <c r="D366" s="1">
        <v>170</v>
      </c>
      <c r="E366" s="1">
        <v>1146</v>
      </c>
      <c r="F366" s="1">
        <v>1323</v>
      </c>
      <c r="G366" s="1">
        <v>1316</v>
      </c>
    </row>
    <row r="367" spans="1:7">
      <c r="A367" s="44">
        <v>42715</v>
      </c>
      <c r="B367" s="1">
        <v>159</v>
      </c>
      <c r="C367" s="1">
        <v>1125</v>
      </c>
      <c r="D367" s="1">
        <v>170</v>
      </c>
      <c r="E367" s="1">
        <v>1159</v>
      </c>
      <c r="F367" s="1">
        <v>1284</v>
      </c>
      <c r="G367" s="1">
        <v>1329</v>
      </c>
    </row>
    <row r="368" spans="1:7">
      <c r="A368" s="44">
        <v>42722</v>
      </c>
      <c r="B368" s="1">
        <v>163</v>
      </c>
      <c r="C368" s="1">
        <v>1129</v>
      </c>
      <c r="D368" s="1">
        <v>171</v>
      </c>
      <c r="E368" s="1">
        <v>1172</v>
      </c>
      <c r="F368" s="1">
        <v>1292</v>
      </c>
      <c r="G368" s="1">
        <v>1343</v>
      </c>
    </row>
    <row r="369" spans="1:7">
      <c r="A369" s="44">
        <v>42729</v>
      </c>
      <c r="B369" s="1">
        <v>187</v>
      </c>
      <c r="C369" s="1">
        <v>1247</v>
      </c>
      <c r="D369" s="1">
        <v>171</v>
      </c>
      <c r="E369" s="1">
        <v>1186</v>
      </c>
      <c r="F369" s="1">
        <v>1434</v>
      </c>
      <c r="G369" s="1">
        <v>1357</v>
      </c>
    </row>
    <row r="370" spans="1:7">
      <c r="A370" s="44">
        <v>42736</v>
      </c>
      <c r="B370" s="1">
        <v>168</v>
      </c>
      <c r="C370" s="1">
        <v>1404</v>
      </c>
      <c r="D370" s="1">
        <v>172</v>
      </c>
      <c r="E370" s="1">
        <v>1199</v>
      </c>
      <c r="F370" s="1">
        <v>1572</v>
      </c>
      <c r="G370" s="1">
        <v>1371</v>
      </c>
    </row>
    <row r="371" spans="1:7">
      <c r="A371" s="44">
        <v>42743</v>
      </c>
      <c r="B371" s="1">
        <v>170</v>
      </c>
      <c r="C371" s="1">
        <v>1499</v>
      </c>
      <c r="D371" s="1">
        <v>176</v>
      </c>
      <c r="E371" s="1">
        <v>1228</v>
      </c>
      <c r="F371" s="1">
        <v>1669</v>
      </c>
      <c r="G371" s="1">
        <v>1404</v>
      </c>
    </row>
    <row r="372" spans="1:7">
      <c r="A372" s="44">
        <v>42750</v>
      </c>
      <c r="B372" s="1">
        <v>181</v>
      </c>
      <c r="C372" s="1">
        <v>1537</v>
      </c>
      <c r="D372" s="1">
        <v>176</v>
      </c>
      <c r="E372" s="1">
        <v>1228</v>
      </c>
      <c r="F372" s="1">
        <v>1718</v>
      </c>
      <c r="G372" s="1">
        <v>1404</v>
      </c>
    </row>
    <row r="373" spans="1:7">
      <c r="A373" s="44">
        <v>42757</v>
      </c>
      <c r="B373" s="1">
        <v>189</v>
      </c>
      <c r="C373" s="1">
        <v>1549</v>
      </c>
      <c r="D373" s="1">
        <v>176</v>
      </c>
      <c r="E373" s="1">
        <v>1229</v>
      </c>
      <c r="F373" s="1">
        <v>1738</v>
      </c>
      <c r="G373" s="1">
        <v>1405</v>
      </c>
    </row>
    <row r="374" spans="1:7">
      <c r="A374" s="44">
        <v>42764</v>
      </c>
      <c r="B374" s="1">
        <v>170</v>
      </c>
      <c r="C374" s="1">
        <v>1472</v>
      </c>
      <c r="D374" s="1">
        <v>177</v>
      </c>
      <c r="E374" s="1">
        <v>1229</v>
      </c>
      <c r="F374" s="1">
        <v>1642</v>
      </c>
      <c r="G374" s="1">
        <v>1406</v>
      </c>
    </row>
    <row r="375" spans="1:7">
      <c r="A375" s="44">
        <v>42771</v>
      </c>
      <c r="B375" s="1">
        <v>181</v>
      </c>
      <c r="C375" s="1">
        <v>1377</v>
      </c>
      <c r="D375" s="1">
        <v>177</v>
      </c>
      <c r="E375" s="1">
        <v>1229</v>
      </c>
      <c r="F375" s="1">
        <v>1558</v>
      </c>
      <c r="G375" s="1">
        <v>1406</v>
      </c>
    </row>
    <row r="376" spans="1:7">
      <c r="A376" s="44">
        <v>42778</v>
      </c>
      <c r="B376" s="1">
        <v>180</v>
      </c>
      <c r="C376" s="1">
        <v>1405</v>
      </c>
      <c r="D376" s="1">
        <v>177</v>
      </c>
      <c r="E376" s="1">
        <v>1228</v>
      </c>
      <c r="F376" s="1">
        <v>1585</v>
      </c>
      <c r="G376" s="1">
        <v>1405</v>
      </c>
    </row>
    <row r="377" spans="1:7">
      <c r="A377" s="44">
        <v>42785</v>
      </c>
      <c r="B377" s="1">
        <v>174</v>
      </c>
      <c r="C377" s="1">
        <v>1222</v>
      </c>
      <c r="D377" s="1">
        <v>176</v>
      </c>
      <c r="E377" s="1">
        <v>1228</v>
      </c>
      <c r="F377" s="1">
        <v>1396</v>
      </c>
      <c r="G377" s="1">
        <v>1404</v>
      </c>
    </row>
    <row r="378" spans="1:7">
      <c r="A378" s="44">
        <v>42792</v>
      </c>
      <c r="B378" s="1">
        <v>176</v>
      </c>
      <c r="C378" s="1">
        <v>1199</v>
      </c>
      <c r="D378" s="1">
        <v>176</v>
      </c>
      <c r="E378" s="1">
        <v>1220</v>
      </c>
      <c r="F378" s="1">
        <v>1375</v>
      </c>
      <c r="G378" s="1">
        <v>1396</v>
      </c>
    </row>
    <row r="379" spans="1:7">
      <c r="A379" s="44">
        <v>42799</v>
      </c>
      <c r="B379" s="1">
        <v>171</v>
      </c>
      <c r="C379" s="1">
        <v>1204</v>
      </c>
      <c r="D379" s="1">
        <v>175</v>
      </c>
      <c r="E379" s="1">
        <v>1213</v>
      </c>
      <c r="F379" s="1">
        <v>1375</v>
      </c>
      <c r="G379" s="1">
        <v>1388</v>
      </c>
    </row>
    <row r="380" spans="1:7">
      <c r="A380" s="44">
        <v>42806</v>
      </c>
      <c r="B380" s="1">
        <v>194</v>
      </c>
      <c r="C380" s="1">
        <v>1136</v>
      </c>
      <c r="D380" s="1">
        <v>174</v>
      </c>
      <c r="E380" s="1">
        <v>1199</v>
      </c>
      <c r="F380" s="1">
        <v>1330</v>
      </c>
      <c r="G380" s="1">
        <v>1373</v>
      </c>
    </row>
    <row r="381" spans="1:7">
      <c r="A381" s="44">
        <v>42813</v>
      </c>
      <c r="B381" s="1">
        <v>169</v>
      </c>
      <c r="C381" s="1">
        <v>1070</v>
      </c>
      <c r="D381" s="1">
        <v>172</v>
      </c>
      <c r="E381" s="1">
        <v>1185</v>
      </c>
      <c r="F381" s="1">
        <v>1239</v>
      </c>
      <c r="G381" s="1">
        <v>1357</v>
      </c>
    </row>
    <row r="382" spans="1:7">
      <c r="A382" s="44">
        <v>42820</v>
      </c>
      <c r="B382" s="1">
        <v>174</v>
      </c>
      <c r="C382" s="1">
        <v>1061</v>
      </c>
      <c r="D382" s="1">
        <v>171</v>
      </c>
      <c r="E382" s="1">
        <v>1165</v>
      </c>
      <c r="F382" s="1">
        <v>1235</v>
      </c>
      <c r="G382" s="1">
        <v>1336</v>
      </c>
    </row>
    <row r="383" spans="1:7">
      <c r="A383" s="44">
        <v>42827</v>
      </c>
      <c r="B383" s="1">
        <v>169</v>
      </c>
      <c r="C383" s="1">
        <v>1002</v>
      </c>
      <c r="D383" s="1">
        <v>169</v>
      </c>
      <c r="E383" s="1">
        <v>1146</v>
      </c>
      <c r="F383" s="1">
        <v>1171</v>
      </c>
      <c r="G383" s="1">
        <v>1315</v>
      </c>
    </row>
    <row r="384" spans="1:7">
      <c r="A384" s="44">
        <v>42834</v>
      </c>
      <c r="B384" s="1">
        <v>169</v>
      </c>
      <c r="C384" s="1">
        <v>1055</v>
      </c>
      <c r="D384" s="1">
        <v>167</v>
      </c>
      <c r="E384" s="1">
        <v>1125</v>
      </c>
      <c r="F384" s="1">
        <v>1224</v>
      </c>
      <c r="G384" s="1">
        <v>1292</v>
      </c>
    </row>
    <row r="385" spans="1:7">
      <c r="A385" s="44">
        <v>42841</v>
      </c>
      <c r="B385" s="1">
        <v>163</v>
      </c>
      <c r="C385" s="1">
        <v>1022</v>
      </c>
      <c r="D385" s="1">
        <v>166</v>
      </c>
      <c r="E385" s="1">
        <v>1107</v>
      </c>
      <c r="F385" s="1">
        <v>1185</v>
      </c>
      <c r="G385" s="1">
        <v>1273</v>
      </c>
    </row>
    <row r="386" spans="1:7">
      <c r="A386" s="44">
        <v>42848</v>
      </c>
      <c r="B386" s="1">
        <v>159</v>
      </c>
      <c r="C386" s="1">
        <v>1005</v>
      </c>
      <c r="D386" s="1">
        <v>165</v>
      </c>
      <c r="E386" s="1">
        <v>1089</v>
      </c>
      <c r="F386" s="1">
        <v>1164</v>
      </c>
      <c r="G386" s="1">
        <v>1254</v>
      </c>
    </row>
    <row r="387" spans="1:7">
      <c r="A387" s="44">
        <v>42855</v>
      </c>
      <c r="B387" s="1">
        <v>159</v>
      </c>
      <c r="C387" s="1">
        <v>1052</v>
      </c>
      <c r="D387" s="1">
        <v>164</v>
      </c>
      <c r="E387" s="1">
        <v>1072</v>
      </c>
      <c r="F387" s="1">
        <v>1211</v>
      </c>
      <c r="G387" s="1">
        <v>1236</v>
      </c>
    </row>
    <row r="388" spans="1:7">
      <c r="A388" s="44">
        <v>42862</v>
      </c>
      <c r="B388" s="1">
        <v>162</v>
      </c>
      <c r="C388" s="1">
        <v>1035</v>
      </c>
      <c r="D388" s="1">
        <v>163</v>
      </c>
      <c r="E388" s="1">
        <v>1055</v>
      </c>
      <c r="F388" s="1">
        <v>1197</v>
      </c>
      <c r="G388" s="1">
        <v>1218</v>
      </c>
    </row>
    <row r="389" spans="1:7">
      <c r="A389" s="44">
        <v>42869</v>
      </c>
      <c r="B389" s="1">
        <v>164</v>
      </c>
      <c r="C389" s="1">
        <v>1023</v>
      </c>
      <c r="D389" s="1">
        <v>162</v>
      </c>
      <c r="E389" s="1">
        <v>1041</v>
      </c>
      <c r="F389" s="1">
        <v>1187</v>
      </c>
      <c r="G389" s="1">
        <v>1203</v>
      </c>
    </row>
    <row r="390" spans="1:7">
      <c r="A390" s="44">
        <v>42876</v>
      </c>
      <c r="B390" s="1">
        <v>169</v>
      </c>
      <c r="C390" s="1">
        <v>1029</v>
      </c>
      <c r="D390" s="1">
        <v>162</v>
      </c>
      <c r="E390" s="1">
        <v>1027</v>
      </c>
      <c r="F390" s="1">
        <v>1198</v>
      </c>
      <c r="G390" s="1">
        <v>1189</v>
      </c>
    </row>
    <row r="391" spans="1:7">
      <c r="A391" s="44">
        <v>42883</v>
      </c>
      <c r="B391" s="1">
        <v>159</v>
      </c>
      <c r="C391" s="1">
        <v>1012</v>
      </c>
      <c r="D391" s="1">
        <v>162</v>
      </c>
      <c r="E391" s="1">
        <v>1017</v>
      </c>
      <c r="F391" s="1">
        <v>1171</v>
      </c>
      <c r="G391" s="1">
        <v>1179</v>
      </c>
    </row>
    <row r="392" spans="1:7">
      <c r="A392" s="44">
        <v>42890</v>
      </c>
      <c r="B392" s="1">
        <v>159</v>
      </c>
      <c r="C392" s="1">
        <v>951</v>
      </c>
      <c r="D392" s="1">
        <v>162</v>
      </c>
      <c r="E392" s="1">
        <v>1011</v>
      </c>
      <c r="F392" s="1">
        <v>1110</v>
      </c>
      <c r="G392" s="1">
        <v>1173</v>
      </c>
    </row>
    <row r="393" spans="1:7">
      <c r="A393" s="44">
        <v>42897</v>
      </c>
      <c r="B393" s="1">
        <v>175</v>
      </c>
      <c r="C393" s="1">
        <v>920</v>
      </c>
      <c r="D393" s="1">
        <v>162</v>
      </c>
      <c r="E393" s="1">
        <v>1005</v>
      </c>
      <c r="F393" s="1">
        <v>1095</v>
      </c>
      <c r="G393" s="1">
        <v>1167</v>
      </c>
    </row>
    <row r="394" spans="1:7">
      <c r="A394" s="44">
        <v>42904</v>
      </c>
      <c r="B394" s="1">
        <v>149</v>
      </c>
      <c r="C394" s="1">
        <v>960</v>
      </c>
      <c r="D394" s="1">
        <v>162</v>
      </c>
      <c r="E394" s="1">
        <v>1002</v>
      </c>
      <c r="F394" s="1">
        <v>1109</v>
      </c>
      <c r="G394" s="1">
        <v>1164</v>
      </c>
    </row>
    <row r="395" spans="1:7">
      <c r="A395" s="44">
        <v>42911</v>
      </c>
      <c r="B395" s="1">
        <v>154</v>
      </c>
      <c r="C395" s="1">
        <v>1028</v>
      </c>
      <c r="D395" s="1">
        <v>161</v>
      </c>
      <c r="E395" s="1">
        <v>1002</v>
      </c>
      <c r="F395" s="1">
        <v>1182</v>
      </c>
      <c r="G395" s="1">
        <v>1163</v>
      </c>
    </row>
    <row r="396" spans="1:7">
      <c r="A396" s="44">
        <v>42918</v>
      </c>
      <c r="B396" s="1">
        <v>166</v>
      </c>
      <c r="C396" s="1">
        <v>991</v>
      </c>
      <c r="D396" s="1">
        <v>161</v>
      </c>
      <c r="E396" s="1">
        <v>1002</v>
      </c>
      <c r="F396" s="1">
        <v>1157</v>
      </c>
      <c r="G396" s="1">
        <v>1163</v>
      </c>
    </row>
    <row r="397" spans="1:7">
      <c r="A397" s="44">
        <v>42925</v>
      </c>
      <c r="B397" s="1">
        <v>146</v>
      </c>
      <c r="C397" s="1">
        <v>993</v>
      </c>
      <c r="D397" s="1">
        <v>161</v>
      </c>
      <c r="E397" s="1">
        <v>1004</v>
      </c>
      <c r="F397" s="1">
        <v>1139</v>
      </c>
      <c r="G397" s="1">
        <v>1165</v>
      </c>
    </row>
    <row r="398" spans="1:7">
      <c r="A398" s="44">
        <v>42932</v>
      </c>
      <c r="B398" s="1">
        <v>150</v>
      </c>
      <c r="C398" s="1">
        <v>922</v>
      </c>
      <c r="D398" s="1">
        <v>161</v>
      </c>
      <c r="E398" s="1">
        <v>1004</v>
      </c>
      <c r="F398" s="1">
        <v>1072</v>
      </c>
      <c r="G398" s="1">
        <v>1165</v>
      </c>
    </row>
    <row r="399" spans="1:7">
      <c r="A399" s="44">
        <v>42939</v>
      </c>
      <c r="B399" s="1">
        <v>167</v>
      </c>
      <c r="C399" s="1">
        <v>968</v>
      </c>
      <c r="D399" s="1">
        <v>161</v>
      </c>
      <c r="E399" s="1">
        <v>1005</v>
      </c>
      <c r="F399" s="1">
        <v>1135</v>
      </c>
      <c r="G399" s="1">
        <v>1166</v>
      </c>
    </row>
    <row r="400" spans="1:7">
      <c r="A400" s="44">
        <v>42946</v>
      </c>
      <c r="B400" s="1">
        <v>153</v>
      </c>
      <c r="C400" s="1">
        <v>947</v>
      </c>
      <c r="D400" s="1">
        <v>161</v>
      </c>
      <c r="E400" s="1">
        <v>1006</v>
      </c>
      <c r="F400" s="1">
        <v>1100</v>
      </c>
      <c r="G400" s="1">
        <v>1167</v>
      </c>
    </row>
    <row r="401" spans="1:7">
      <c r="A401" s="44">
        <v>42953</v>
      </c>
      <c r="B401" s="1">
        <v>170</v>
      </c>
      <c r="C401" s="1">
        <v>1011</v>
      </c>
      <c r="D401" s="1">
        <v>161</v>
      </c>
      <c r="E401" s="1">
        <v>1007</v>
      </c>
      <c r="F401" s="1">
        <v>1181</v>
      </c>
      <c r="G401" s="1">
        <v>1168</v>
      </c>
    </row>
    <row r="402" spans="1:7">
      <c r="A402" s="44">
        <v>42960</v>
      </c>
      <c r="B402" s="1">
        <v>141</v>
      </c>
      <c r="C402" s="1">
        <v>944</v>
      </c>
      <c r="D402" s="1">
        <v>161</v>
      </c>
      <c r="E402" s="1">
        <v>1009</v>
      </c>
      <c r="F402" s="1">
        <v>1085</v>
      </c>
      <c r="G402" s="1">
        <v>1170</v>
      </c>
    </row>
    <row r="403" spans="1:7">
      <c r="A403" s="44">
        <v>42967</v>
      </c>
      <c r="B403" s="1">
        <v>139</v>
      </c>
      <c r="C403" s="1">
        <v>972</v>
      </c>
      <c r="D403" s="1">
        <v>161</v>
      </c>
      <c r="E403" s="1">
        <v>1011</v>
      </c>
      <c r="F403" s="1">
        <v>1111</v>
      </c>
      <c r="G403" s="1">
        <v>1172</v>
      </c>
    </row>
    <row r="404" spans="1:7">
      <c r="A404" s="44">
        <v>42974</v>
      </c>
      <c r="B404" s="1">
        <v>201</v>
      </c>
      <c r="C404" s="1">
        <v>990</v>
      </c>
      <c r="D404" s="1">
        <v>161</v>
      </c>
      <c r="E404" s="1">
        <v>1012</v>
      </c>
      <c r="F404" s="1">
        <v>1191</v>
      </c>
      <c r="G404" s="1">
        <v>1173</v>
      </c>
    </row>
    <row r="405" spans="1:7">
      <c r="A405" s="44">
        <v>42981</v>
      </c>
      <c r="B405" s="1">
        <v>166</v>
      </c>
      <c r="C405" s="1">
        <v>984</v>
      </c>
      <c r="D405" s="1">
        <v>161</v>
      </c>
      <c r="E405" s="1">
        <v>1018</v>
      </c>
      <c r="F405" s="1">
        <v>1150</v>
      </c>
      <c r="G405" s="1">
        <v>1179</v>
      </c>
    </row>
    <row r="406" spans="1:7">
      <c r="A406" s="44">
        <v>42988</v>
      </c>
      <c r="B406" s="1">
        <v>177</v>
      </c>
      <c r="C406" s="1">
        <v>960</v>
      </c>
      <c r="D406" s="1">
        <v>162</v>
      </c>
      <c r="E406" s="1">
        <v>1023</v>
      </c>
      <c r="F406" s="1">
        <v>1137</v>
      </c>
      <c r="G406" s="1">
        <v>1185</v>
      </c>
    </row>
    <row r="407" spans="1:7">
      <c r="A407" s="44">
        <v>42995</v>
      </c>
      <c r="B407" s="1">
        <v>184</v>
      </c>
      <c r="C407" s="1">
        <v>989</v>
      </c>
      <c r="D407" s="1">
        <v>162</v>
      </c>
      <c r="E407" s="1">
        <v>1031</v>
      </c>
      <c r="F407" s="1">
        <v>1173</v>
      </c>
      <c r="G407" s="1">
        <v>1193</v>
      </c>
    </row>
    <row r="408" spans="1:7">
      <c r="A408" s="44">
        <v>43002</v>
      </c>
      <c r="B408" s="1">
        <v>186</v>
      </c>
      <c r="C408" s="1">
        <v>1072</v>
      </c>
      <c r="D408" s="1">
        <v>163</v>
      </c>
      <c r="E408" s="1">
        <v>1040</v>
      </c>
      <c r="F408" s="1">
        <v>1258</v>
      </c>
      <c r="G408" s="1">
        <v>1203</v>
      </c>
    </row>
    <row r="409" spans="1:7">
      <c r="A409" s="44">
        <v>43009</v>
      </c>
      <c r="B409" s="1">
        <v>166</v>
      </c>
      <c r="C409" s="1">
        <v>1059</v>
      </c>
      <c r="D409" s="1">
        <v>163</v>
      </c>
      <c r="E409" s="1">
        <v>1049</v>
      </c>
      <c r="F409" s="1">
        <v>1225</v>
      </c>
      <c r="G409" s="1">
        <v>1212</v>
      </c>
    </row>
    <row r="410" spans="1:7">
      <c r="A410" s="44">
        <v>43016</v>
      </c>
      <c r="B410" s="1">
        <v>171</v>
      </c>
      <c r="C410" s="1">
        <v>1104</v>
      </c>
      <c r="D410" s="1">
        <v>163</v>
      </c>
      <c r="E410" s="1">
        <v>1060</v>
      </c>
      <c r="F410" s="1">
        <v>1275</v>
      </c>
      <c r="G410" s="1">
        <v>1223</v>
      </c>
    </row>
    <row r="411" spans="1:7">
      <c r="A411" s="44">
        <v>43023</v>
      </c>
      <c r="B411" s="1">
        <v>170</v>
      </c>
      <c r="C411" s="1">
        <v>1087</v>
      </c>
      <c r="D411" s="1">
        <v>163</v>
      </c>
      <c r="E411" s="1">
        <v>1069</v>
      </c>
      <c r="F411" s="1">
        <v>1257</v>
      </c>
      <c r="G411" s="1">
        <v>1232</v>
      </c>
    </row>
    <row r="412" spans="1:7">
      <c r="A412" s="44">
        <v>43030</v>
      </c>
      <c r="B412" s="1">
        <v>165</v>
      </c>
      <c r="C412" s="1">
        <v>1023</v>
      </c>
      <c r="D412" s="1">
        <v>164</v>
      </c>
      <c r="E412" s="1">
        <v>1078</v>
      </c>
      <c r="F412" s="1">
        <v>1188</v>
      </c>
      <c r="G412" s="1">
        <v>1242</v>
      </c>
    </row>
    <row r="413" spans="1:7">
      <c r="A413" s="44">
        <v>43037</v>
      </c>
      <c r="B413" s="1">
        <v>151</v>
      </c>
      <c r="C413" s="1">
        <v>1050</v>
      </c>
      <c r="D413" s="1">
        <v>164</v>
      </c>
      <c r="E413" s="1">
        <v>1086</v>
      </c>
      <c r="F413" s="1">
        <v>1201</v>
      </c>
      <c r="G413" s="1">
        <v>1250</v>
      </c>
    </row>
    <row r="414" spans="1:7">
      <c r="A414" s="44">
        <v>43044</v>
      </c>
      <c r="B414" s="1">
        <v>176</v>
      </c>
      <c r="C414" s="1">
        <v>967</v>
      </c>
      <c r="D414" s="1">
        <v>164</v>
      </c>
      <c r="E414" s="1">
        <v>1094</v>
      </c>
      <c r="F414" s="1">
        <v>1143</v>
      </c>
      <c r="G414" s="1">
        <v>1258</v>
      </c>
    </row>
    <row r="415" spans="1:7">
      <c r="A415" s="44">
        <v>43051</v>
      </c>
      <c r="B415" s="1">
        <v>198</v>
      </c>
      <c r="C415" s="1">
        <v>1100</v>
      </c>
      <c r="D415" s="1">
        <v>164</v>
      </c>
      <c r="E415" s="1">
        <v>1104</v>
      </c>
      <c r="F415" s="1">
        <v>1298</v>
      </c>
      <c r="G415" s="1">
        <v>1268</v>
      </c>
    </row>
    <row r="416" spans="1:7">
      <c r="A416" s="44">
        <v>43058</v>
      </c>
      <c r="B416" s="1">
        <v>180</v>
      </c>
      <c r="C416" s="1">
        <v>1055</v>
      </c>
      <c r="D416" s="1">
        <v>165</v>
      </c>
      <c r="E416" s="1">
        <v>1114</v>
      </c>
      <c r="F416" s="1">
        <v>1235</v>
      </c>
      <c r="G416" s="1">
        <v>1279</v>
      </c>
    </row>
    <row r="417" spans="1:7">
      <c r="A417" s="44">
        <v>43065</v>
      </c>
      <c r="B417" s="1">
        <v>161</v>
      </c>
      <c r="C417" s="1">
        <v>1139</v>
      </c>
      <c r="D417" s="1">
        <v>166</v>
      </c>
      <c r="E417" s="1">
        <v>1126</v>
      </c>
      <c r="F417" s="1">
        <v>1300</v>
      </c>
      <c r="G417" s="1">
        <v>1292</v>
      </c>
    </row>
    <row r="418" spans="1:7">
      <c r="A418" s="44">
        <v>43072</v>
      </c>
      <c r="B418" s="1">
        <v>188</v>
      </c>
      <c r="C418" s="1">
        <v>1177</v>
      </c>
      <c r="D418" s="1">
        <v>167</v>
      </c>
      <c r="E418" s="1">
        <v>1140</v>
      </c>
      <c r="F418" s="1">
        <v>1365</v>
      </c>
      <c r="G418" s="1">
        <v>1307</v>
      </c>
    </row>
    <row r="419" spans="1:7">
      <c r="A419" s="44">
        <v>43079</v>
      </c>
      <c r="B419" s="1">
        <v>166</v>
      </c>
      <c r="C419" s="1">
        <v>1196</v>
      </c>
      <c r="D419" s="1">
        <v>168</v>
      </c>
      <c r="E419" s="1">
        <v>1154</v>
      </c>
      <c r="F419" s="1">
        <v>1362</v>
      </c>
      <c r="G419" s="1">
        <v>1322</v>
      </c>
    </row>
    <row r="420" spans="1:7">
      <c r="A420" s="44">
        <v>43086</v>
      </c>
      <c r="B420" s="1">
        <v>164</v>
      </c>
      <c r="C420" s="1">
        <v>1165</v>
      </c>
      <c r="D420" s="1">
        <v>169</v>
      </c>
      <c r="E420" s="1">
        <v>1168</v>
      </c>
      <c r="F420" s="1">
        <v>1329</v>
      </c>
      <c r="G420" s="1">
        <v>1337</v>
      </c>
    </row>
    <row r="421" spans="1:7">
      <c r="A421" s="44">
        <v>43093</v>
      </c>
      <c r="B421" s="1">
        <v>156</v>
      </c>
      <c r="C421" s="1">
        <v>1270</v>
      </c>
      <c r="D421" s="1">
        <v>170</v>
      </c>
      <c r="E421" s="1">
        <v>1182</v>
      </c>
      <c r="F421" s="1">
        <v>1426</v>
      </c>
      <c r="G421" s="1">
        <v>1352</v>
      </c>
    </row>
    <row r="422" spans="1:7">
      <c r="A422" s="44">
        <v>43100</v>
      </c>
      <c r="B422" s="1">
        <v>171</v>
      </c>
      <c r="C422" s="1">
        <v>1159</v>
      </c>
      <c r="D422" s="1">
        <v>171</v>
      </c>
      <c r="E422" s="1">
        <v>1197</v>
      </c>
      <c r="F422" s="1">
        <v>1330</v>
      </c>
      <c r="G422" s="1">
        <v>1368</v>
      </c>
    </row>
    <row r="423" spans="1:7">
      <c r="A423" s="44">
        <v>43107</v>
      </c>
      <c r="B423" s="1">
        <v>179</v>
      </c>
      <c r="C423" s="1">
        <v>1355</v>
      </c>
      <c r="D423" s="1">
        <v>174</v>
      </c>
      <c r="E423" s="1">
        <v>1251</v>
      </c>
      <c r="F423" s="1">
        <v>1534</v>
      </c>
      <c r="G423" s="1">
        <v>1425</v>
      </c>
    </row>
    <row r="424" spans="1:7">
      <c r="A424" s="44">
        <v>43114</v>
      </c>
      <c r="B424" s="1">
        <v>174</v>
      </c>
      <c r="C424" s="1">
        <v>1352</v>
      </c>
      <c r="D424" s="1">
        <v>175</v>
      </c>
      <c r="E424" s="1">
        <v>1251</v>
      </c>
      <c r="F424" s="1">
        <v>1526</v>
      </c>
      <c r="G424" s="1">
        <v>1426</v>
      </c>
    </row>
    <row r="425" spans="1:7">
      <c r="A425" s="44">
        <v>43121</v>
      </c>
      <c r="B425" s="1">
        <v>187</v>
      </c>
      <c r="C425" s="1">
        <v>1300</v>
      </c>
      <c r="D425" s="1">
        <v>176</v>
      </c>
      <c r="E425" s="1">
        <v>1250</v>
      </c>
      <c r="F425" s="1">
        <v>1487</v>
      </c>
      <c r="G425" s="1">
        <v>1426</v>
      </c>
    </row>
    <row r="426" spans="1:7">
      <c r="A426" s="44">
        <v>43128</v>
      </c>
      <c r="B426" s="1">
        <v>189</v>
      </c>
      <c r="C426" s="1">
        <v>1189</v>
      </c>
      <c r="D426" s="1">
        <v>176</v>
      </c>
      <c r="E426" s="1">
        <v>1250</v>
      </c>
      <c r="F426" s="1">
        <v>1378</v>
      </c>
      <c r="G426" s="1">
        <v>1426</v>
      </c>
    </row>
    <row r="427" spans="1:7">
      <c r="A427" s="44">
        <v>43135</v>
      </c>
      <c r="B427" s="1">
        <v>152</v>
      </c>
      <c r="C427" s="1">
        <v>1231</v>
      </c>
      <c r="D427" s="1">
        <v>177</v>
      </c>
      <c r="E427" s="1">
        <v>1248</v>
      </c>
      <c r="F427" s="1">
        <v>1383</v>
      </c>
      <c r="G427" s="1">
        <v>1425</v>
      </c>
    </row>
    <row r="428" spans="1:7">
      <c r="A428" s="44">
        <v>43142</v>
      </c>
      <c r="B428" s="1">
        <v>191</v>
      </c>
      <c r="C428" s="1">
        <v>1241</v>
      </c>
      <c r="D428" s="1">
        <v>177</v>
      </c>
      <c r="E428" s="1">
        <v>1247</v>
      </c>
      <c r="F428" s="1">
        <v>1432</v>
      </c>
      <c r="G428" s="1">
        <v>1424</v>
      </c>
    </row>
    <row r="429" spans="1:7">
      <c r="A429" s="44">
        <v>43149</v>
      </c>
      <c r="B429" s="1">
        <v>195</v>
      </c>
      <c r="C429" s="1">
        <v>1254</v>
      </c>
      <c r="D429" s="1">
        <v>177</v>
      </c>
      <c r="E429" s="1">
        <v>1245</v>
      </c>
      <c r="F429" s="1">
        <v>1449</v>
      </c>
      <c r="G429" s="1">
        <v>1422</v>
      </c>
    </row>
    <row r="430" spans="1:7">
      <c r="A430" s="44">
        <v>43156</v>
      </c>
      <c r="B430" s="1">
        <v>190</v>
      </c>
      <c r="C430" s="1">
        <v>1275</v>
      </c>
      <c r="D430" s="1">
        <v>176</v>
      </c>
      <c r="E430" s="1">
        <v>1235</v>
      </c>
      <c r="F430" s="1">
        <v>1465</v>
      </c>
      <c r="G430" s="1">
        <v>1411</v>
      </c>
    </row>
    <row r="431" spans="1:7">
      <c r="A431" s="44">
        <v>43163</v>
      </c>
      <c r="B431" s="1">
        <v>213</v>
      </c>
      <c r="C431" s="1">
        <v>1412</v>
      </c>
      <c r="D431" s="1">
        <v>175</v>
      </c>
      <c r="E431" s="1">
        <v>1225</v>
      </c>
      <c r="F431" s="1">
        <v>1625</v>
      </c>
      <c r="G431" s="1">
        <v>1400</v>
      </c>
    </row>
    <row r="432" spans="1:7">
      <c r="A432" s="44">
        <v>43170</v>
      </c>
      <c r="B432" s="1">
        <v>202</v>
      </c>
      <c r="C432" s="1">
        <v>1322</v>
      </c>
      <c r="D432" s="1">
        <v>173</v>
      </c>
      <c r="E432" s="1">
        <v>1209</v>
      </c>
      <c r="F432" s="1">
        <v>1524</v>
      </c>
      <c r="G432" s="1">
        <v>1382</v>
      </c>
    </row>
    <row r="433" spans="1:7">
      <c r="A433" s="44">
        <v>43177</v>
      </c>
      <c r="B433" s="1">
        <v>175</v>
      </c>
      <c r="C433" s="1">
        <v>1302</v>
      </c>
      <c r="D433" s="1">
        <v>171</v>
      </c>
      <c r="E433" s="1">
        <v>1192</v>
      </c>
      <c r="F433" s="1">
        <v>1477</v>
      </c>
      <c r="G433" s="1">
        <v>1363</v>
      </c>
    </row>
    <row r="434" spans="1:7">
      <c r="A434" s="44">
        <v>43184</v>
      </c>
      <c r="B434" s="1">
        <v>160</v>
      </c>
      <c r="C434" s="1">
        <v>1211</v>
      </c>
      <c r="D434" s="1">
        <v>168</v>
      </c>
      <c r="E434" s="1">
        <v>1172</v>
      </c>
      <c r="F434" s="1">
        <v>1371</v>
      </c>
      <c r="G434" s="1">
        <v>1340</v>
      </c>
    </row>
    <row r="435" spans="1:7">
      <c r="A435" s="44">
        <v>43191</v>
      </c>
      <c r="B435" s="1">
        <v>171</v>
      </c>
      <c r="C435" s="1">
        <v>1168</v>
      </c>
      <c r="D435" s="1">
        <v>166</v>
      </c>
      <c r="E435" s="1">
        <v>1151</v>
      </c>
      <c r="F435" s="1">
        <v>1339</v>
      </c>
      <c r="G435" s="1">
        <v>1317</v>
      </c>
    </row>
    <row r="436" spans="1:7">
      <c r="A436" s="44">
        <v>43198</v>
      </c>
      <c r="B436" s="1">
        <v>171</v>
      </c>
      <c r="C436" s="1">
        <v>1163</v>
      </c>
      <c r="D436" s="1">
        <v>163</v>
      </c>
      <c r="E436" s="1">
        <v>1131</v>
      </c>
      <c r="F436" s="1">
        <v>1334</v>
      </c>
      <c r="G436" s="1">
        <v>1294</v>
      </c>
    </row>
    <row r="437" spans="1:7">
      <c r="A437" s="44">
        <v>43205</v>
      </c>
      <c r="B437" s="1">
        <v>170</v>
      </c>
      <c r="C437" s="1">
        <v>1118</v>
      </c>
      <c r="D437" s="1">
        <v>162</v>
      </c>
      <c r="E437" s="1">
        <v>1114</v>
      </c>
      <c r="F437" s="1">
        <v>1288</v>
      </c>
      <c r="G437" s="1">
        <v>1276</v>
      </c>
    </row>
    <row r="438" spans="1:7">
      <c r="A438" s="44">
        <v>43212</v>
      </c>
      <c r="B438" s="1">
        <v>182</v>
      </c>
      <c r="C438" s="1">
        <v>1033</v>
      </c>
      <c r="D438" s="1">
        <v>160</v>
      </c>
      <c r="E438" s="1">
        <v>1096</v>
      </c>
      <c r="F438" s="1">
        <v>1215</v>
      </c>
      <c r="G438" s="1">
        <v>1256</v>
      </c>
    </row>
    <row r="439" spans="1:7">
      <c r="A439" s="44">
        <v>43219</v>
      </c>
      <c r="B439" s="1">
        <v>163</v>
      </c>
      <c r="C439" s="1">
        <v>967</v>
      </c>
      <c r="D439" s="1">
        <v>160</v>
      </c>
      <c r="E439" s="1">
        <v>1079</v>
      </c>
      <c r="F439" s="1">
        <v>1130</v>
      </c>
      <c r="G439" s="1">
        <v>1239</v>
      </c>
    </row>
    <row r="440" spans="1:7">
      <c r="A440" s="44">
        <v>43226</v>
      </c>
      <c r="B440" s="1">
        <v>151</v>
      </c>
      <c r="C440" s="1">
        <v>1064</v>
      </c>
      <c r="D440" s="1">
        <v>159</v>
      </c>
      <c r="E440" s="1">
        <v>1063</v>
      </c>
      <c r="F440" s="1">
        <v>1215</v>
      </c>
      <c r="G440" s="1">
        <v>1222</v>
      </c>
    </row>
    <row r="441" spans="1:7">
      <c r="A441" s="44">
        <v>43233</v>
      </c>
      <c r="B441" s="1">
        <v>162</v>
      </c>
      <c r="C441" s="1">
        <v>1022</v>
      </c>
      <c r="D441" s="1">
        <v>159</v>
      </c>
      <c r="E441" s="1">
        <v>1048</v>
      </c>
      <c r="F441" s="1">
        <v>1184</v>
      </c>
      <c r="G441" s="1">
        <v>1207</v>
      </c>
    </row>
    <row r="442" spans="1:7">
      <c r="A442" s="44">
        <v>43240</v>
      </c>
      <c r="B442" s="1">
        <v>167</v>
      </c>
      <c r="C442" s="1">
        <v>932</v>
      </c>
      <c r="D442" s="1">
        <v>159</v>
      </c>
      <c r="E442" s="1">
        <v>1034</v>
      </c>
      <c r="F442" s="1">
        <v>1099</v>
      </c>
      <c r="G442" s="1">
        <v>1193</v>
      </c>
    </row>
    <row r="443" spans="1:7">
      <c r="A443" s="44">
        <v>43247</v>
      </c>
      <c r="B443" s="1">
        <v>172</v>
      </c>
      <c r="C443" s="1">
        <v>1044</v>
      </c>
      <c r="D443" s="1">
        <v>159</v>
      </c>
      <c r="E443" s="1">
        <v>1024</v>
      </c>
      <c r="F443" s="1">
        <v>1216</v>
      </c>
      <c r="G443" s="1">
        <v>1183</v>
      </c>
    </row>
    <row r="444" spans="1:7">
      <c r="A444" s="44">
        <v>43254</v>
      </c>
      <c r="B444" s="1">
        <v>156</v>
      </c>
      <c r="C444" s="1">
        <v>989</v>
      </c>
      <c r="D444" s="1">
        <v>159</v>
      </c>
      <c r="E444" s="1">
        <v>1018</v>
      </c>
      <c r="F444" s="1">
        <v>1145</v>
      </c>
      <c r="G444" s="1">
        <v>1177</v>
      </c>
    </row>
    <row r="445" spans="1:7">
      <c r="A445" s="44">
        <v>43261</v>
      </c>
      <c r="B445" s="1">
        <v>171</v>
      </c>
      <c r="C445" s="1">
        <v>984</v>
      </c>
      <c r="D445" s="1">
        <v>160</v>
      </c>
      <c r="E445" s="1">
        <v>1012</v>
      </c>
      <c r="F445" s="1">
        <v>1155</v>
      </c>
      <c r="G445" s="1">
        <v>1172</v>
      </c>
    </row>
    <row r="446" spans="1:7">
      <c r="A446" s="44">
        <v>43268</v>
      </c>
      <c r="B446" s="1">
        <v>149</v>
      </c>
      <c r="C446" s="1">
        <v>962</v>
      </c>
      <c r="D446" s="1">
        <v>160</v>
      </c>
      <c r="E446" s="1">
        <v>1008</v>
      </c>
      <c r="F446" s="1">
        <v>1111</v>
      </c>
      <c r="G446" s="1">
        <v>1168</v>
      </c>
    </row>
    <row r="447" spans="1:7">
      <c r="A447" s="44">
        <v>43275</v>
      </c>
      <c r="B447" s="1">
        <v>174</v>
      </c>
      <c r="C447" s="1">
        <v>938</v>
      </c>
      <c r="D447" s="1">
        <v>160</v>
      </c>
      <c r="E447" s="1">
        <v>1008</v>
      </c>
      <c r="F447" s="1">
        <v>1112</v>
      </c>
      <c r="G447" s="1">
        <v>1168</v>
      </c>
    </row>
    <row r="448" spans="1:7">
      <c r="A448" s="44">
        <v>43282</v>
      </c>
      <c r="B448" s="1">
        <v>150</v>
      </c>
      <c r="C448" s="1">
        <v>1018</v>
      </c>
      <c r="D448" s="1">
        <v>160</v>
      </c>
      <c r="E448" s="1">
        <v>1009</v>
      </c>
      <c r="F448" s="1">
        <v>1168</v>
      </c>
      <c r="G448" s="1">
        <v>1169</v>
      </c>
    </row>
    <row r="449" spans="1:7">
      <c r="A449" s="44">
        <v>43289</v>
      </c>
      <c r="B449" s="1">
        <v>155</v>
      </c>
      <c r="C449" s="1">
        <v>973</v>
      </c>
      <c r="D449" s="1">
        <v>160</v>
      </c>
      <c r="E449" s="1">
        <v>1011</v>
      </c>
      <c r="F449" s="1">
        <v>1128</v>
      </c>
      <c r="G449" s="1">
        <v>1171</v>
      </c>
    </row>
    <row r="450" spans="1:7">
      <c r="A450" s="44">
        <v>43296</v>
      </c>
      <c r="B450" s="1">
        <v>146</v>
      </c>
      <c r="C450" s="1">
        <v>918</v>
      </c>
      <c r="D450" s="1">
        <v>160</v>
      </c>
      <c r="E450" s="1">
        <v>1012</v>
      </c>
      <c r="F450" s="1">
        <v>1064</v>
      </c>
      <c r="G450" s="1">
        <v>1172</v>
      </c>
    </row>
    <row r="451" spans="1:7">
      <c r="A451" s="44">
        <v>43303</v>
      </c>
      <c r="B451" s="1">
        <v>159</v>
      </c>
      <c r="C451" s="1">
        <v>1045</v>
      </c>
      <c r="D451" s="1">
        <v>160</v>
      </c>
      <c r="E451" s="1">
        <v>1013</v>
      </c>
      <c r="F451" s="1">
        <v>1204</v>
      </c>
      <c r="G451" s="1">
        <v>1173</v>
      </c>
    </row>
    <row r="452" spans="1:7">
      <c r="A452" s="44">
        <v>43310</v>
      </c>
      <c r="B452" s="1">
        <v>170</v>
      </c>
      <c r="C452" s="1">
        <v>1029</v>
      </c>
      <c r="D452" s="1">
        <v>159</v>
      </c>
      <c r="E452" s="1">
        <v>1014</v>
      </c>
      <c r="F452" s="1">
        <v>1199</v>
      </c>
      <c r="G452" s="1">
        <v>1173</v>
      </c>
    </row>
    <row r="453" spans="1:7">
      <c r="A453" s="44">
        <v>43317</v>
      </c>
      <c r="B453" s="1">
        <v>188</v>
      </c>
      <c r="C453" s="1">
        <v>1056</v>
      </c>
      <c r="D453" s="1">
        <v>159</v>
      </c>
      <c r="E453" s="1">
        <v>1016</v>
      </c>
      <c r="F453" s="1">
        <v>1244</v>
      </c>
      <c r="G453" s="1">
        <v>1175</v>
      </c>
    </row>
    <row r="454" spans="1:7">
      <c r="A454" s="44">
        <v>43324</v>
      </c>
      <c r="B454" s="1">
        <v>153</v>
      </c>
      <c r="C454" s="1">
        <v>1053</v>
      </c>
      <c r="D454" s="1">
        <v>159</v>
      </c>
      <c r="E454" s="1">
        <v>1018</v>
      </c>
      <c r="F454" s="1">
        <v>1206</v>
      </c>
      <c r="G454" s="1">
        <v>1177</v>
      </c>
    </row>
    <row r="455" spans="1:7">
      <c r="A455" s="44">
        <v>43331</v>
      </c>
      <c r="B455" s="1">
        <v>162</v>
      </c>
      <c r="C455" s="1">
        <v>1006</v>
      </c>
      <c r="D455" s="1">
        <v>159</v>
      </c>
      <c r="E455" s="1">
        <v>1020</v>
      </c>
      <c r="F455" s="1">
        <v>1168</v>
      </c>
      <c r="G455" s="1">
        <v>1179</v>
      </c>
    </row>
    <row r="456" spans="1:7">
      <c r="A456" s="44">
        <v>43338</v>
      </c>
      <c r="B456" s="1">
        <v>152</v>
      </c>
      <c r="C456" s="1">
        <v>985</v>
      </c>
      <c r="D456" s="1">
        <v>160</v>
      </c>
      <c r="E456" s="1">
        <v>1022</v>
      </c>
      <c r="F456" s="1">
        <v>1137</v>
      </c>
      <c r="G456" s="1">
        <v>1182</v>
      </c>
    </row>
    <row r="457" spans="1:7">
      <c r="A457" s="44">
        <v>43345</v>
      </c>
      <c r="B457" s="1">
        <v>168</v>
      </c>
      <c r="C457" s="1">
        <v>1024</v>
      </c>
      <c r="D457" s="1">
        <v>161</v>
      </c>
      <c r="E457" s="1">
        <v>1028</v>
      </c>
      <c r="F457" s="1">
        <v>1192</v>
      </c>
      <c r="G457" s="1">
        <v>1189</v>
      </c>
    </row>
    <row r="458" spans="1:7">
      <c r="A458" s="44">
        <v>43352</v>
      </c>
      <c r="B458" s="1">
        <v>177</v>
      </c>
      <c r="C458" s="1">
        <v>986</v>
      </c>
      <c r="D458" s="1">
        <v>161</v>
      </c>
      <c r="E458" s="1">
        <v>1034</v>
      </c>
      <c r="F458" s="1">
        <v>1163</v>
      </c>
      <c r="G458" s="1">
        <v>1195</v>
      </c>
    </row>
    <row r="459" spans="1:7">
      <c r="A459" s="44">
        <v>43359</v>
      </c>
      <c r="B459" s="1">
        <v>159</v>
      </c>
      <c r="C459" s="1">
        <v>1052</v>
      </c>
      <c r="D459" s="1">
        <v>162</v>
      </c>
      <c r="E459" s="1">
        <v>1043</v>
      </c>
      <c r="F459" s="1">
        <v>1211</v>
      </c>
      <c r="G459" s="1">
        <v>1205</v>
      </c>
    </row>
    <row r="460" spans="1:7">
      <c r="A460" s="44">
        <v>43366</v>
      </c>
      <c r="B460" s="1">
        <v>172</v>
      </c>
      <c r="C460" s="1">
        <v>989</v>
      </c>
      <c r="D460" s="1">
        <v>162</v>
      </c>
      <c r="E460" s="1">
        <v>1052</v>
      </c>
      <c r="F460" s="1">
        <v>1161</v>
      </c>
      <c r="G460" s="1">
        <v>1214</v>
      </c>
    </row>
    <row r="461" spans="1:7">
      <c r="A461" s="44">
        <v>43373</v>
      </c>
      <c r="B461" s="1">
        <v>166</v>
      </c>
      <c r="C461" s="1">
        <v>1021</v>
      </c>
      <c r="D461" s="1">
        <v>162</v>
      </c>
      <c r="E461" s="1">
        <v>1061</v>
      </c>
      <c r="F461" s="1">
        <v>1187</v>
      </c>
      <c r="G461" s="1">
        <v>1223</v>
      </c>
    </row>
    <row r="462" spans="1:7">
      <c r="A462" s="44">
        <v>43380</v>
      </c>
      <c r="B462" s="1">
        <v>171</v>
      </c>
      <c r="C462" s="1">
        <v>1042</v>
      </c>
      <c r="D462" s="1">
        <v>163</v>
      </c>
      <c r="E462" s="1">
        <v>1072</v>
      </c>
      <c r="F462" s="1">
        <v>1213</v>
      </c>
      <c r="G462" s="1">
        <v>1235</v>
      </c>
    </row>
    <row r="463" spans="1:7">
      <c r="A463" s="44">
        <v>43387</v>
      </c>
      <c r="B463" s="1">
        <v>162</v>
      </c>
      <c r="C463" s="1">
        <v>1046</v>
      </c>
      <c r="D463" s="1">
        <v>163</v>
      </c>
      <c r="E463" s="1">
        <v>1081</v>
      </c>
      <c r="F463" s="1">
        <v>1208</v>
      </c>
      <c r="G463" s="1">
        <v>1244</v>
      </c>
    </row>
    <row r="464" spans="1:7">
      <c r="A464" s="44">
        <v>43394</v>
      </c>
      <c r="B464" s="1">
        <v>149</v>
      </c>
      <c r="C464" s="1">
        <v>1050</v>
      </c>
      <c r="D464" s="1">
        <v>163</v>
      </c>
      <c r="E464" s="1">
        <v>1089</v>
      </c>
      <c r="F464" s="1">
        <v>1199</v>
      </c>
      <c r="G464" s="1">
        <v>1252</v>
      </c>
    </row>
    <row r="465" spans="1:7">
      <c r="A465" s="44">
        <v>43401</v>
      </c>
      <c r="B465" s="1">
        <v>134</v>
      </c>
      <c r="C465" s="1">
        <v>1083</v>
      </c>
      <c r="D465" s="1">
        <v>163</v>
      </c>
      <c r="E465" s="1">
        <v>1096</v>
      </c>
      <c r="F465" s="1">
        <v>1217</v>
      </c>
      <c r="G465" s="1">
        <v>1259</v>
      </c>
    </row>
    <row r="466" spans="1:7">
      <c r="A466" s="44">
        <v>43408</v>
      </c>
      <c r="B466" s="1">
        <v>149</v>
      </c>
      <c r="C466" s="1">
        <v>1106</v>
      </c>
      <c r="D466" s="1">
        <v>163</v>
      </c>
      <c r="E466" s="1">
        <v>1103</v>
      </c>
      <c r="F466" s="1">
        <v>1255</v>
      </c>
      <c r="G466" s="1">
        <v>1266</v>
      </c>
    </row>
    <row r="467" spans="1:7">
      <c r="A467" s="44">
        <v>43415</v>
      </c>
      <c r="B467" s="1">
        <v>169</v>
      </c>
      <c r="C467" s="1">
        <v>1084</v>
      </c>
      <c r="D467" s="1">
        <v>163</v>
      </c>
      <c r="E467" s="1">
        <v>1113</v>
      </c>
      <c r="F467" s="1">
        <v>1253</v>
      </c>
      <c r="G467" s="1">
        <v>1276</v>
      </c>
    </row>
    <row r="468" spans="1:7">
      <c r="A468" s="44">
        <v>43422</v>
      </c>
      <c r="B468" s="1">
        <v>186</v>
      </c>
      <c r="C468" s="1">
        <v>1037</v>
      </c>
      <c r="D468" s="1">
        <v>163</v>
      </c>
      <c r="E468" s="1">
        <v>1122</v>
      </c>
      <c r="F468" s="1">
        <v>1223</v>
      </c>
      <c r="G468" s="1">
        <v>1285</v>
      </c>
    </row>
    <row r="469" spans="1:7">
      <c r="A469" s="44">
        <v>43429</v>
      </c>
      <c r="B469" s="1">
        <v>164</v>
      </c>
      <c r="C469" s="1">
        <v>1103</v>
      </c>
      <c r="D469" s="1">
        <v>164</v>
      </c>
      <c r="E469" s="1">
        <v>1133</v>
      </c>
      <c r="F469" s="1">
        <v>1267</v>
      </c>
      <c r="G469" s="1">
        <v>1297</v>
      </c>
    </row>
    <row r="470" spans="1:7">
      <c r="A470" s="44">
        <v>43436</v>
      </c>
      <c r="B470" s="1">
        <v>181</v>
      </c>
      <c r="C470" s="1">
        <v>1125</v>
      </c>
      <c r="D470" s="1">
        <v>165</v>
      </c>
      <c r="E470" s="1">
        <v>1146</v>
      </c>
      <c r="F470" s="1">
        <v>1306</v>
      </c>
      <c r="G470" s="1">
        <v>1311</v>
      </c>
    </row>
    <row r="471" spans="1:7">
      <c r="A471" s="44">
        <v>43443</v>
      </c>
      <c r="B471" s="1">
        <v>198</v>
      </c>
      <c r="C471" s="1">
        <v>1172</v>
      </c>
      <c r="D471" s="1">
        <v>166</v>
      </c>
      <c r="E471" s="1">
        <v>1159</v>
      </c>
      <c r="F471" s="1">
        <v>1370</v>
      </c>
      <c r="G471" s="1">
        <v>1325</v>
      </c>
    </row>
    <row r="472" spans="1:7">
      <c r="A472" s="44">
        <v>43450</v>
      </c>
      <c r="B472" s="1">
        <v>161</v>
      </c>
      <c r="C472" s="1">
        <v>1166</v>
      </c>
      <c r="D472" s="1">
        <v>166</v>
      </c>
      <c r="E472" s="1">
        <v>1172</v>
      </c>
      <c r="F472" s="1">
        <v>1327</v>
      </c>
      <c r="G472" s="1">
        <v>1338</v>
      </c>
    </row>
    <row r="473" spans="1:7">
      <c r="A473" s="44">
        <v>43457</v>
      </c>
      <c r="B473" s="1">
        <v>177</v>
      </c>
      <c r="C473" s="1">
        <v>1122</v>
      </c>
      <c r="D473" s="1">
        <v>167</v>
      </c>
      <c r="E473" s="1">
        <v>1185</v>
      </c>
      <c r="F473" s="1">
        <v>1299</v>
      </c>
      <c r="G473" s="1">
        <v>1352</v>
      </c>
    </row>
    <row r="474" spans="1:7">
      <c r="A474" s="44">
        <v>43464</v>
      </c>
      <c r="B474" s="1">
        <v>154</v>
      </c>
      <c r="C474" s="1">
        <v>1152</v>
      </c>
      <c r="D474" s="1">
        <v>168</v>
      </c>
      <c r="E474" s="1">
        <v>1198</v>
      </c>
      <c r="F474" s="1">
        <v>1306</v>
      </c>
      <c r="G474" s="1">
        <v>1366</v>
      </c>
    </row>
    <row r="475" spans="1:7">
      <c r="A475" s="44">
        <v>43471</v>
      </c>
      <c r="B475" s="1">
        <v>156</v>
      </c>
      <c r="C475" s="1">
        <v>1174</v>
      </c>
      <c r="D475" s="1">
        <v>174</v>
      </c>
      <c r="E475" s="1">
        <v>1247</v>
      </c>
      <c r="F475" s="1">
        <v>1330</v>
      </c>
      <c r="G475" s="1">
        <v>1421</v>
      </c>
    </row>
    <row r="476" spans="1:7">
      <c r="A476" s="44">
        <v>43478</v>
      </c>
      <c r="B476" s="1">
        <v>171</v>
      </c>
      <c r="C476" s="1">
        <v>1199</v>
      </c>
      <c r="D476" s="1">
        <v>174</v>
      </c>
      <c r="E476" s="1">
        <v>1253</v>
      </c>
      <c r="F476" s="1">
        <v>1370</v>
      </c>
      <c r="G476" s="1">
        <v>1427</v>
      </c>
    </row>
    <row r="477" spans="1:7">
      <c r="A477" s="44">
        <v>43485</v>
      </c>
      <c r="B477" s="1">
        <v>177</v>
      </c>
      <c r="C477" s="1">
        <v>1170</v>
      </c>
      <c r="D477" s="1">
        <v>175</v>
      </c>
      <c r="E477" s="1">
        <v>1258</v>
      </c>
      <c r="F477" s="1">
        <v>1347</v>
      </c>
      <c r="G477" s="1">
        <v>1433</v>
      </c>
    </row>
    <row r="478" spans="1:7">
      <c r="A478" s="44">
        <v>43492</v>
      </c>
      <c r="B478" s="1">
        <v>172</v>
      </c>
      <c r="C478" s="1">
        <v>1219</v>
      </c>
      <c r="D478" s="1">
        <v>176</v>
      </c>
      <c r="E478" s="1">
        <v>1263</v>
      </c>
      <c r="F478" s="1">
        <v>1391</v>
      </c>
      <c r="G478" s="1">
        <v>1439</v>
      </c>
    </row>
    <row r="479" spans="1:7">
      <c r="A479" s="44">
        <v>43499</v>
      </c>
      <c r="B479" s="1">
        <v>170</v>
      </c>
      <c r="C479" s="1">
        <v>1255</v>
      </c>
      <c r="D479" s="1">
        <v>176</v>
      </c>
      <c r="E479" s="1">
        <v>1267</v>
      </c>
      <c r="F479" s="1">
        <v>1425</v>
      </c>
      <c r="G479" s="1">
        <v>1443</v>
      </c>
    </row>
    <row r="480" spans="1:7">
      <c r="A480" s="44">
        <v>43506</v>
      </c>
      <c r="B480" s="1">
        <v>162</v>
      </c>
      <c r="C480" s="1">
        <v>1308</v>
      </c>
      <c r="D480" s="1">
        <v>177</v>
      </c>
      <c r="E480" s="1">
        <v>1272</v>
      </c>
      <c r="F480" s="1">
        <v>1470</v>
      </c>
      <c r="G480" s="1">
        <v>1449</v>
      </c>
    </row>
    <row r="481" spans="1:7">
      <c r="A481" s="44">
        <v>43513</v>
      </c>
      <c r="B481" s="1">
        <v>175</v>
      </c>
      <c r="C481" s="1">
        <v>1373</v>
      </c>
      <c r="D481" s="1">
        <v>177</v>
      </c>
      <c r="E481" s="1">
        <v>1268</v>
      </c>
      <c r="F481" s="1">
        <v>1548</v>
      </c>
      <c r="G481" s="1">
        <v>1445</v>
      </c>
    </row>
    <row r="482" spans="1:7">
      <c r="A482" s="44">
        <v>43520</v>
      </c>
      <c r="B482" s="1">
        <v>159</v>
      </c>
      <c r="C482" s="1">
        <v>1354</v>
      </c>
      <c r="D482" s="1">
        <v>176</v>
      </c>
      <c r="E482" s="1">
        <v>1255</v>
      </c>
      <c r="F482" s="1">
        <v>1513</v>
      </c>
      <c r="G482" s="1">
        <v>1431</v>
      </c>
    </row>
    <row r="483" spans="1:7">
      <c r="A483" s="44">
        <v>43527</v>
      </c>
      <c r="B483" s="1">
        <v>184</v>
      </c>
      <c r="C483" s="1">
        <v>1334</v>
      </c>
      <c r="D483" s="1">
        <v>174</v>
      </c>
      <c r="E483" s="1">
        <v>1241</v>
      </c>
      <c r="F483" s="1">
        <v>1518</v>
      </c>
      <c r="G483" s="1">
        <v>1415</v>
      </c>
    </row>
    <row r="484" spans="1:7">
      <c r="A484" s="44">
        <v>43534</v>
      </c>
      <c r="B484" s="1">
        <v>178</v>
      </c>
      <c r="C484" s="1">
        <v>1269</v>
      </c>
      <c r="D484" s="1">
        <v>172</v>
      </c>
      <c r="E484" s="1">
        <v>1219</v>
      </c>
      <c r="F484" s="1">
        <v>1447</v>
      </c>
      <c r="G484" s="1">
        <v>1391</v>
      </c>
    </row>
    <row r="485" spans="1:7">
      <c r="A485" s="44">
        <v>43541</v>
      </c>
      <c r="B485" s="1">
        <v>147</v>
      </c>
      <c r="C485" s="1">
        <v>1223</v>
      </c>
      <c r="D485" s="1">
        <v>170</v>
      </c>
      <c r="E485" s="1">
        <v>1196</v>
      </c>
      <c r="F485" s="1">
        <v>1370</v>
      </c>
      <c r="G485" s="1">
        <v>1366</v>
      </c>
    </row>
    <row r="486" spans="1:7">
      <c r="A486" s="44">
        <v>43548</v>
      </c>
      <c r="B486" s="1">
        <v>180</v>
      </c>
      <c r="C486" s="1">
        <v>1159</v>
      </c>
      <c r="D486" s="1">
        <v>167</v>
      </c>
      <c r="E486" s="1">
        <v>1173</v>
      </c>
      <c r="F486" s="1">
        <v>1339</v>
      </c>
      <c r="G486" s="1">
        <v>1340</v>
      </c>
    </row>
    <row r="487" spans="1:7">
      <c r="A487" s="44">
        <v>43555</v>
      </c>
      <c r="B487" s="1">
        <v>182</v>
      </c>
      <c r="C487" s="1">
        <v>1124</v>
      </c>
      <c r="D487" s="1">
        <v>165</v>
      </c>
      <c r="E487" s="1">
        <v>1150</v>
      </c>
      <c r="F487" s="1">
        <v>1306</v>
      </c>
      <c r="G487" s="1">
        <v>1315</v>
      </c>
    </row>
    <row r="488" spans="1:7">
      <c r="A488" s="44">
        <v>43562</v>
      </c>
      <c r="B488" s="1">
        <v>175</v>
      </c>
      <c r="C488" s="1">
        <v>1199</v>
      </c>
      <c r="D488" s="1">
        <v>162</v>
      </c>
      <c r="E488" s="1">
        <v>1130</v>
      </c>
      <c r="F488" s="1">
        <v>1374</v>
      </c>
      <c r="G488" s="1">
        <v>1292</v>
      </c>
    </row>
    <row r="489" spans="1:7">
      <c r="A489" s="44">
        <v>43569</v>
      </c>
      <c r="B489" s="1">
        <v>143</v>
      </c>
      <c r="C489" s="1">
        <v>1070</v>
      </c>
      <c r="D489" s="1">
        <v>161</v>
      </c>
      <c r="E489" s="1">
        <v>1111</v>
      </c>
      <c r="F489" s="1">
        <v>1213</v>
      </c>
      <c r="G489" s="1">
        <v>1272</v>
      </c>
    </row>
    <row r="490" spans="1:7">
      <c r="A490" s="44">
        <v>43576</v>
      </c>
      <c r="B490" s="1">
        <v>172</v>
      </c>
      <c r="C490" s="1">
        <v>1121</v>
      </c>
      <c r="D490" s="1">
        <v>159</v>
      </c>
      <c r="E490" s="1">
        <v>1093</v>
      </c>
      <c r="F490" s="1">
        <v>1293</v>
      </c>
      <c r="G490" s="1">
        <v>1252</v>
      </c>
    </row>
    <row r="491" spans="1:7">
      <c r="A491" s="44">
        <v>43583</v>
      </c>
      <c r="B491" s="1">
        <v>151</v>
      </c>
      <c r="C491" s="1">
        <v>1076</v>
      </c>
      <c r="D491" s="1">
        <v>159</v>
      </c>
      <c r="E491" s="1">
        <v>1076</v>
      </c>
      <c r="F491" s="1">
        <v>1227</v>
      </c>
      <c r="G491" s="1">
        <v>1235</v>
      </c>
    </row>
    <row r="492" spans="1:7">
      <c r="A492" s="44">
        <v>43590</v>
      </c>
      <c r="B492" s="1">
        <v>146</v>
      </c>
      <c r="C492" s="1">
        <v>1103</v>
      </c>
      <c r="D492" s="1">
        <v>158</v>
      </c>
      <c r="E492" s="1">
        <v>1058</v>
      </c>
      <c r="F492" s="1">
        <v>1249</v>
      </c>
      <c r="G492" s="1">
        <v>1216</v>
      </c>
    </row>
    <row r="493" spans="1:7">
      <c r="A493" s="44">
        <v>43597</v>
      </c>
      <c r="B493" s="1">
        <v>197</v>
      </c>
      <c r="C493" s="1">
        <v>1060</v>
      </c>
      <c r="D493" s="1">
        <v>158</v>
      </c>
      <c r="E493" s="1">
        <v>1044</v>
      </c>
      <c r="F493" s="1">
        <v>1257</v>
      </c>
      <c r="G493" s="1">
        <v>1202</v>
      </c>
    </row>
    <row r="494" spans="1:7">
      <c r="A494" s="44">
        <v>43604</v>
      </c>
      <c r="B494" s="1">
        <v>164</v>
      </c>
      <c r="C494" s="1">
        <v>1038</v>
      </c>
      <c r="D494" s="1">
        <v>158</v>
      </c>
      <c r="E494" s="1">
        <v>1030</v>
      </c>
      <c r="F494" s="1">
        <v>1202</v>
      </c>
      <c r="G494" s="1">
        <v>1188</v>
      </c>
    </row>
    <row r="495" spans="1:7">
      <c r="A495" s="44">
        <v>43611</v>
      </c>
      <c r="B495" s="1">
        <v>180</v>
      </c>
      <c r="C495" s="1">
        <v>1080</v>
      </c>
      <c r="D495" s="1">
        <v>159</v>
      </c>
      <c r="E495" s="1">
        <v>1021</v>
      </c>
      <c r="F495" s="1">
        <v>1260</v>
      </c>
      <c r="G495" s="1">
        <v>1180</v>
      </c>
    </row>
    <row r="496" spans="1:7">
      <c r="A496" s="44">
        <v>43618</v>
      </c>
      <c r="B496" s="1">
        <v>158</v>
      </c>
      <c r="C496" s="1">
        <v>1073</v>
      </c>
      <c r="D496" s="1">
        <v>159</v>
      </c>
      <c r="E496" s="1">
        <v>1015</v>
      </c>
      <c r="F496" s="1">
        <v>1231</v>
      </c>
      <c r="G496" s="1">
        <v>1174</v>
      </c>
    </row>
    <row r="497" spans="1:7">
      <c r="A497" s="44">
        <v>43625</v>
      </c>
      <c r="B497" s="1">
        <v>154</v>
      </c>
      <c r="C497" s="1">
        <v>1077</v>
      </c>
      <c r="D497" s="1">
        <v>160</v>
      </c>
      <c r="E497" s="1">
        <v>1009</v>
      </c>
      <c r="F497" s="1">
        <v>1231</v>
      </c>
      <c r="G497" s="1">
        <v>1169</v>
      </c>
    </row>
    <row r="498" spans="1:7">
      <c r="A498" s="44">
        <v>43632</v>
      </c>
      <c r="B498" s="1">
        <v>177</v>
      </c>
      <c r="C498" s="1">
        <v>984</v>
      </c>
      <c r="D498" s="1">
        <v>160</v>
      </c>
      <c r="E498" s="1">
        <v>1007</v>
      </c>
      <c r="F498" s="1">
        <v>1161</v>
      </c>
      <c r="G498" s="1">
        <v>1167</v>
      </c>
    </row>
    <row r="499" spans="1:7">
      <c r="A499" s="44">
        <v>43639</v>
      </c>
      <c r="B499" s="1">
        <v>179</v>
      </c>
      <c r="C499" s="1">
        <v>1020</v>
      </c>
      <c r="D499" s="1">
        <v>159</v>
      </c>
      <c r="E499" s="1">
        <v>1009</v>
      </c>
      <c r="F499" s="1">
        <v>1199</v>
      </c>
      <c r="G499" s="1">
        <v>1168</v>
      </c>
    </row>
    <row r="500" spans="1:7">
      <c r="A500" s="44">
        <v>43646</v>
      </c>
      <c r="B500" s="1">
        <v>161</v>
      </c>
      <c r="C500" s="1">
        <v>1069</v>
      </c>
      <c r="D500" s="1">
        <v>159</v>
      </c>
      <c r="E500" s="1">
        <v>1010</v>
      </c>
      <c r="F500" s="1">
        <v>1230</v>
      </c>
      <c r="G500" s="1">
        <v>1169</v>
      </c>
    </row>
    <row r="501" spans="1:7">
      <c r="A501" s="44">
        <v>43653</v>
      </c>
      <c r="B501" s="1">
        <v>177</v>
      </c>
      <c r="C501" s="1">
        <v>1071</v>
      </c>
      <c r="D501" s="1">
        <v>159</v>
      </c>
      <c r="E501" s="1">
        <v>1016</v>
      </c>
      <c r="F501" s="1">
        <v>1248</v>
      </c>
      <c r="G501" s="1">
        <v>1175</v>
      </c>
    </row>
    <row r="502" spans="1:7">
      <c r="A502" s="44">
        <v>43660</v>
      </c>
      <c r="B502" s="1">
        <v>166</v>
      </c>
      <c r="C502" s="1">
        <v>1052</v>
      </c>
      <c r="D502" s="1">
        <v>159</v>
      </c>
      <c r="E502" s="1">
        <v>1017</v>
      </c>
      <c r="F502" s="1">
        <v>1218</v>
      </c>
      <c r="G502" s="1">
        <v>1176</v>
      </c>
    </row>
    <row r="503" spans="1:7">
      <c r="A503" s="44">
        <v>43667</v>
      </c>
      <c r="B503" s="1">
        <v>163</v>
      </c>
      <c r="C503" s="1">
        <v>1033</v>
      </c>
      <c r="D503" s="1">
        <v>159</v>
      </c>
      <c r="E503" s="1">
        <v>1019</v>
      </c>
      <c r="F503" s="1">
        <v>1196</v>
      </c>
      <c r="G503" s="1">
        <v>1178</v>
      </c>
    </row>
    <row r="504" spans="1:7">
      <c r="A504" s="44">
        <v>43674</v>
      </c>
      <c r="B504" s="1">
        <v>138</v>
      </c>
      <c r="C504" s="1">
        <v>1101</v>
      </c>
      <c r="D504" s="1">
        <v>158</v>
      </c>
      <c r="E504" s="1">
        <v>1020</v>
      </c>
      <c r="F504" s="1">
        <v>1239</v>
      </c>
      <c r="G504" s="1">
        <v>1178</v>
      </c>
    </row>
    <row r="505" spans="1:7">
      <c r="A505" s="44">
        <v>43681</v>
      </c>
      <c r="B505" s="1">
        <v>147</v>
      </c>
      <c r="C505" s="1">
        <v>972</v>
      </c>
      <c r="D505" s="1">
        <v>158</v>
      </c>
      <c r="E505" s="1">
        <v>1021</v>
      </c>
      <c r="F505" s="1">
        <v>1119</v>
      </c>
      <c r="G505" s="1">
        <v>1179</v>
      </c>
    </row>
    <row r="506" spans="1:7">
      <c r="A506" s="44">
        <v>43688</v>
      </c>
      <c r="B506" s="1">
        <v>154</v>
      </c>
      <c r="C506" s="1">
        <v>971</v>
      </c>
      <c r="D506" s="1">
        <v>158</v>
      </c>
      <c r="E506" s="1">
        <v>1021</v>
      </c>
      <c r="F506" s="1">
        <v>1125</v>
      </c>
      <c r="G506" s="1">
        <v>1179</v>
      </c>
    </row>
    <row r="507" spans="1:7">
      <c r="A507" s="44">
        <v>43695</v>
      </c>
      <c r="B507" s="1">
        <v>148</v>
      </c>
      <c r="C507" s="1">
        <v>988</v>
      </c>
      <c r="D507" s="1">
        <v>158</v>
      </c>
      <c r="E507" s="1">
        <v>1022</v>
      </c>
      <c r="F507" s="1">
        <v>1136</v>
      </c>
      <c r="G507" s="1">
        <v>1180</v>
      </c>
    </row>
    <row r="508" spans="1:7">
      <c r="A508" s="44">
        <v>43702</v>
      </c>
      <c r="B508" s="1">
        <v>167</v>
      </c>
      <c r="C508" s="1">
        <v>1069</v>
      </c>
      <c r="D508" s="1">
        <v>159</v>
      </c>
      <c r="E508" s="1">
        <v>1023</v>
      </c>
      <c r="F508" s="1">
        <v>1236</v>
      </c>
      <c r="G508" s="1">
        <v>1182</v>
      </c>
    </row>
    <row r="509" spans="1:7">
      <c r="A509" s="44">
        <v>43709</v>
      </c>
      <c r="B509" s="1">
        <v>137</v>
      </c>
      <c r="C509" s="1">
        <v>1001</v>
      </c>
      <c r="D509" s="1">
        <v>160</v>
      </c>
      <c r="E509" s="1">
        <v>1030</v>
      </c>
      <c r="F509" s="1">
        <v>1138</v>
      </c>
      <c r="G509" s="1">
        <v>1190</v>
      </c>
    </row>
    <row r="510" spans="1:7">
      <c r="A510" s="44">
        <v>43716</v>
      </c>
      <c r="B510" s="1">
        <v>141</v>
      </c>
      <c r="C510" s="1">
        <v>1018</v>
      </c>
      <c r="D510" s="1">
        <v>160</v>
      </c>
      <c r="E510" s="1">
        <v>1037</v>
      </c>
      <c r="F510" s="1">
        <v>1159</v>
      </c>
      <c r="G510" s="1">
        <v>1197</v>
      </c>
    </row>
    <row r="511" spans="1:7">
      <c r="A511" s="44">
        <v>43723</v>
      </c>
      <c r="B511" s="1">
        <v>164</v>
      </c>
      <c r="C511" s="1">
        <v>1066</v>
      </c>
      <c r="D511" s="1">
        <v>161</v>
      </c>
      <c r="E511" s="1">
        <v>1046</v>
      </c>
      <c r="F511" s="1">
        <v>1230</v>
      </c>
      <c r="G511" s="1">
        <v>1207</v>
      </c>
    </row>
    <row r="512" spans="1:7">
      <c r="A512" s="44">
        <v>43730</v>
      </c>
      <c r="B512" s="1">
        <v>174</v>
      </c>
      <c r="C512" s="1">
        <v>1100</v>
      </c>
      <c r="D512" s="1">
        <v>161</v>
      </c>
      <c r="E512" s="1">
        <v>1055</v>
      </c>
      <c r="F512" s="1">
        <v>1274</v>
      </c>
      <c r="G512" s="1">
        <v>1216</v>
      </c>
    </row>
    <row r="513" spans="1:7">
      <c r="A513" s="44">
        <v>43737</v>
      </c>
      <c r="B513" s="1">
        <v>163</v>
      </c>
      <c r="C513" s="1">
        <v>1062</v>
      </c>
      <c r="D513" s="1">
        <v>161</v>
      </c>
      <c r="E513" s="1">
        <v>1065</v>
      </c>
      <c r="F513" s="1">
        <v>1225</v>
      </c>
      <c r="G513" s="1">
        <v>1226</v>
      </c>
    </row>
    <row r="514" spans="1:7">
      <c r="A514" s="44">
        <v>43744</v>
      </c>
      <c r="B514" s="1">
        <v>166</v>
      </c>
      <c r="C514" s="1">
        <v>1050</v>
      </c>
      <c r="D514" s="1">
        <v>161</v>
      </c>
      <c r="E514" s="1">
        <v>1076</v>
      </c>
      <c r="F514" s="1">
        <v>1216</v>
      </c>
      <c r="G514" s="1">
        <v>1237</v>
      </c>
    </row>
    <row r="515" spans="1:7">
      <c r="A515" s="44">
        <v>43751</v>
      </c>
      <c r="B515" s="1">
        <v>176</v>
      </c>
      <c r="C515" s="1">
        <v>1088</v>
      </c>
      <c r="D515" s="1">
        <v>162</v>
      </c>
      <c r="E515" s="1">
        <v>1085</v>
      </c>
      <c r="F515" s="1">
        <v>1264</v>
      </c>
      <c r="G515" s="1">
        <v>1247</v>
      </c>
    </row>
    <row r="516" spans="1:7">
      <c r="A516" s="44">
        <v>43758</v>
      </c>
      <c r="B516" s="1">
        <v>174</v>
      </c>
      <c r="C516" s="1">
        <v>1108</v>
      </c>
      <c r="D516" s="1">
        <v>162</v>
      </c>
      <c r="E516" s="1">
        <v>1094</v>
      </c>
      <c r="F516" s="1">
        <v>1282</v>
      </c>
      <c r="G516" s="1">
        <v>1256</v>
      </c>
    </row>
    <row r="517" spans="1:7">
      <c r="A517" s="44">
        <v>43765</v>
      </c>
      <c r="B517" s="1">
        <v>160</v>
      </c>
      <c r="C517" s="1">
        <v>1133</v>
      </c>
      <c r="D517" s="1">
        <v>162</v>
      </c>
      <c r="E517" s="1">
        <v>1099</v>
      </c>
      <c r="F517" s="1">
        <v>1293</v>
      </c>
      <c r="G517" s="1">
        <v>1261</v>
      </c>
    </row>
    <row r="518" spans="1:7">
      <c r="A518" s="44">
        <v>43772</v>
      </c>
      <c r="B518" s="1">
        <v>152</v>
      </c>
      <c r="C518" s="1">
        <v>1060</v>
      </c>
      <c r="D518" s="1">
        <v>163</v>
      </c>
      <c r="E518" s="1">
        <v>1103</v>
      </c>
      <c r="F518" s="1">
        <v>1212</v>
      </c>
      <c r="G518" s="1">
        <v>1266</v>
      </c>
    </row>
    <row r="519" spans="1:7">
      <c r="A519" s="44">
        <v>43779</v>
      </c>
      <c r="B519" s="1">
        <v>130</v>
      </c>
      <c r="C519" s="1">
        <v>1118</v>
      </c>
      <c r="D519" s="1">
        <v>163</v>
      </c>
      <c r="E519" s="1">
        <v>1113</v>
      </c>
      <c r="F519" s="1">
        <v>1248</v>
      </c>
      <c r="G519" s="1">
        <v>1276</v>
      </c>
    </row>
    <row r="520" spans="1:7">
      <c r="A520" s="44">
        <v>43786</v>
      </c>
      <c r="B520" s="1">
        <v>155</v>
      </c>
      <c r="C520" s="1">
        <v>1192</v>
      </c>
      <c r="D520" s="1">
        <v>164</v>
      </c>
      <c r="E520" s="1">
        <v>1123</v>
      </c>
      <c r="F520" s="1">
        <v>1347</v>
      </c>
      <c r="G520" s="1">
        <v>1287</v>
      </c>
    </row>
    <row r="521" spans="1:7">
      <c r="A521" s="44">
        <v>43793</v>
      </c>
      <c r="B521" s="1">
        <v>156</v>
      </c>
      <c r="C521" s="1">
        <v>1168</v>
      </c>
      <c r="D521" s="1">
        <v>165</v>
      </c>
      <c r="E521" s="1">
        <v>1133</v>
      </c>
      <c r="F521" s="1">
        <v>1324</v>
      </c>
      <c r="G521" s="1">
        <v>1298</v>
      </c>
    </row>
    <row r="522" spans="1:7">
      <c r="A522" s="44">
        <v>43800</v>
      </c>
      <c r="B522" s="1">
        <v>171</v>
      </c>
      <c r="C522" s="1">
        <v>1183</v>
      </c>
      <c r="D522" s="1">
        <v>165</v>
      </c>
      <c r="E522" s="1">
        <v>1146</v>
      </c>
      <c r="F522" s="1">
        <v>1354</v>
      </c>
      <c r="G522" s="1">
        <v>1311</v>
      </c>
    </row>
    <row r="523" spans="1:7">
      <c r="A523" s="44">
        <v>43807</v>
      </c>
      <c r="B523" s="1">
        <v>138</v>
      </c>
      <c r="C523" s="1">
        <v>1057</v>
      </c>
      <c r="D523" s="1">
        <v>166</v>
      </c>
      <c r="E523" s="1">
        <v>1158</v>
      </c>
      <c r="F523" s="1">
        <v>1195</v>
      </c>
      <c r="G523" s="1">
        <v>1324</v>
      </c>
    </row>
    <row r="524" spans="1:7">
      <c r="A524" s="44">
        <v>43814</v>
      </c>
      <c r="B524" s="1">
        <v>163</v>
      </c>
      <c r="C524" s="1">
        <v>1189</v>
      </c>
      <c r="D524" s="1">
        <v>167</v>
      </c>
      <c r="E524" s="1">
        <v>1170</v>
      </c>
      <c r="F524" s="1">
        <v>1352</v>
      </c>
      <c r="G524" s="1">
        <v>1337</v>
      </c>
    </row>
    <row r="525" spans="1:7">
      <c r="A525" s="44">
        <v>43821</v>
      </c>
      <c r="B525" s="1">
        <v>175</v>
      </c>
      <c r="C525" s="1">
        <v>1200</v>
      </c>
      <c r="D525" s="1">
        <v>167</v>
      </c>
      <c r="E525" s="1">
        <v>1181</v>
      </c>
      <c r="F525" s="1">
        <v>1375</v>
      </c>
      <c r="G525" s="1">
        <v>1348</v>
      </c>
    </row>
    <row r="526" spans="1:7">
      <c r="A526" s="44">
        <v>43828</v>
      </c>
      <c r="B526" s="1">
        <v>147</v>
      </c>
      <c r="C526" s="1">
        <v>1157</v>
      </c>
      <c r="D526" s="1">
        <v>168</v>
      </c>
      <c r="E526" s="1">
        <v>1193</v>
      </c>
      <c r="F526" s="1">
        <v>1304</v>
      </c>
      <c r="G526" s="1">
        <v>1361</v>
      </c>
    </row>
    <row r="527" spans="1:7">
      <c r="A527" s="17" t="s">
        <v>278</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7"/>
  </cols>
  <sheetData>
    <row r="1" spans="1:25">
      <c r="A1" s="7" t="s">
        <v>273</v>
      </c>
      <c r="B1" s="7" t="s">
        <v>274</v>
      </c>
      <c r="C1" s="8" t="s">
        <v>327</v>
      </c>
      <c r="D1" s="48" t="s">
        <v>326</v>
      </c>
      <c r="E1" s="7" t="s">
        <v>275</v>
      </c>
      <c r="F1" s="8"/>
      <c r="H1" s="8"/>
      <c r="I1" s="8"/>
      <c r="J1" s="8"/>
      <c r="K1" s="8"/>
      <c r="L1" s="8"/>
      <c r="M1" s="8"/>
      <c r="N1" s="8"/>
      <c r="O1" s="8"/>
      <c r="P1" s="8"/>
      <c r="Q1" s="8"/>
      <c r="R1" s="8"/>
      <c r="S1" s="8"/>
      <c r="T1" s="8"/>
      <c r="U1" s="8"/>
      <c r="V1" s="8"/>
      <c r="W1" s="8"/>
      <c r="X1" s="8"/>
      <c r="Y1" s="8"/>
    </row>
    <row r="2" spans="1:25">
      <c r="A2" t="s">
        <v>276</v>
      </c>
      <c r="B2" t="s">
        <v>34</v>
      </c>
      <c r="C2" s="9" t="str">
        <f>kt_latest!E2</f>
        <v>Aargau</v>
      </c>
      <c r="D2" s="49">
        <f>kt_latest!R2</f>
        <v>36</v>
      </c>
      <c r="E2" s="5">
        <v>878</v>
      </c>
      <c r="F2" s="9"/>
      <c r="H2" s="9"/>
      <c r="I2" s="9"/>
      <c r="J2" s="9"/>
      <c r="K2" s="9"/>
      <c r="L2" s="9"/>
      <c r="M2" s="9"/>
      <c r="N2" s="9"/>
      <c r="O2" s="9"/>
      <c r="P2" s="11"/>
      <c r="Q2" s="11"/>
      <c r="R2" s="9"/>
      <c r="S2" s="9"/>
      <c r="T2" s="11"/>
      <c r="U2" s="9"/>
      <c r="V2" s="11"/>
      <c r="W2" s="9"/>
      <c r="X2" s="9"/>
      <c r="Y2" s="9"/>
    </row>
    <row r="3" spans="1:25">
      <c r="A3" t="s">
        <v>276</v>
      </c>
      <c r="B3" t="s">
        <v>38</v>
      </c>
      <c r="C3" s="10" t="str">
        <f>kt_latest!E3</f>
        <v>Appenzell Innerrhoden</v>
      </c>
      <c r="D3" s="50">
        <v>0</v>
      </c>
      <c r="E3" s="6">
        <v>24</v>
      </c>
      <c r="F3" s="10"/>
      <c r="H3" s="10"/>
      <c r="I3" s="10"/>
      <c r="J3" s="10"/>
      <c r="K3" s="10"/>
      <c r="L3" s="10"/>
      <c r="M3" s="10"/>
      <c r="N3" s="10"/>
      <c r="O3" s="10"/>
      <c r="P3" s="12"/>
      <c r="Q3" s="12"/>
      <c r="R3" s="10"/>
      <c r="S3" s="10"/>
      <c r="T3" s="12"/>
      <c r="U3" s="10"/>
      <c r="V3" s="12"/>
      <c r="W3" s="10"/>
      <c r="X3" s="10"/>
      <c r="Y3" s="10"/>
    </row>
    <row r="4" spans="1:25">
      <c r="A4" t="s">
        <v>276</v>
      </c>
      <c r="B4" t="s">
        <v>41</v>
      </c>
      <c r="C4" s="9" t="str">
        <f>kt_latest!E4</f>
        <v>Appenzell Ausserrhoden</v>
      </c>
      <c r="D4" s="49">
        <f>kt_latest!R3</f>
        <v>0</v>
      </c>
      <c r="E4" s="5">
        <v>77</v>
      </c>
      <c r="F4" s="9"/>
      <c r="H4" s="9"/>
      <c r="I4" s="9"/>
      <c r="J4" s="9"/>
      <c r="K4" s="9"/>
      <c r="L4" s="9"/>
      <c r="M4" s="9"/>
      <c r="N4" s="9"/>
      <c r="O4" s="9"/>
      <c r="P4" s="11"/>
      <c r="Q4" s="11"/>
      <c r="R4" s="9"/>
      <c r="S4" s="9"/>
      <c r="T4" s="11"/>
      <c r="U4" s="9"/>
      <c r="V4" s="11"/>
      <c r="W4" s="9"/>
      <c r="X4" s="9"/>
      <c r="Y4" s="9"/>
    </row>
    <row r="5" spans="1:25">
      <c r="A5" t="s">
        <v>276</v>
      </c>
      <c r="B5" t="s">
        <v>44</v>
      </c>
      <c r="C5" s="10" t="str">
        <f>kt_latest!E5</f>
        <v>Bern/Berne</v>
      </c>
      <c r="D5" s="50">
        <f>kt_latest!R5</f>
        <v>90</v>
      </c>
      <c r="E5" s="6">
        <v>1419</v>
      </c>
      <c r="F5" s="10"/>
      <c r="H5" s="10"/>
      <c r="I5" s="10"/>
      <c r="J5" s="10"/>
      <c r="K5" s="10"/>
      <c r="L5" s="10"/>
      <c r="M5" s="10"/>
      <c r="N5" s="10"/>
      <c r="O5" s="10"/>
      <c r="P5" s="12"/>
      <c r="Q5" s="12"/>
      <c r="R5" s="10"/>
      <c r="S5" s="10"/>
      <c r="T5" s="12"/>
      <c r="U5" s="10"/>
      <c r="V5" s="12"/>
      <c r="W5" s="10"/>
      <c r="X5" s="10"/>
      <c r="Y5" s="10"/>
    </row>
    <row r="6" spans="1:25">
      <c r="A6" t="s">
        <v>276</v>
      </c>
      <c r="B6" t="s">
        <v>47</v>
      </c>
      <c r="C6" s="9" t="str">
        <f>kt_latest!E6</f>
        <v>Basel-Landschaft</v>
      </c>
      <c r="D6" s="49">
        <f>kt_latest!R6</f>
        <v>33</v>
      </c>
      <c r="E6" s="5">
        <v>736</v>
      </c>
      <c r="F6" s="9"/>
      <c r="H6" s="9"/>
      <c r="I6" s="9"/>
      <c r="J6" s="9"/>
      <c r="K6" s="9"/>
      <c r="L6" s="9"/>
      <c r="M6" s="9"/>
      <c r="N6" s="9"/>
      <c r="O6" s="9"/>
      <c r="P6" s="11"/>
      <c r="Q6" s="11"/>
      <c r="R6" s="9"/>
      <c r="S6" s="9"/>
      <c r="T6" s="11"/>
      <c r="U6" s="9"/>
      <c r="V6" s="11"/>
      <c r="W6" s="9"/>
      <c r="X6" s="9"/>
      <c r="Y6" s="9"/>
    </row>
    <row r="7" spans="1:25">
      <c r="A7" t="s">
        <v>276</v>
      </c>
      <c r="B7" t="s">
        <v>50</v>
      </c>
      <c r="C7" s="10" t="str">
        <f>kt_latest!E7</f>
        <v>Basel-Stadt</v>
      </c>
      <c r="D7" s="50">
        <f>kt_latest!R7</f>
        <v>50</v>
      </c>
      <c r="E7" s="6">
        <v>882</v>
      </c>
      <c r="F7" s="10"/>
      <c r="H7" s="10"/>
      <c r="I7" s="10"/>
      <c r="J7" s="10"/>
      <c r="K7" s="10"/>
      <c r="L7" s="10"/>
      <c r="M7" s="10"/>
      <c r="N7" s="10"/>
      <c r="O7" s="10"/>
      <c r="P7" s="12"/>
      <c r="Q7" s="12"/>
      <c r="R7" s="10"/>
      <c r="S7" s="10"/>
      <c r="T7" s="12"/>
      <c r="U7" s="10"/>
      <c r="V7" s="12"/>
      <c r="W7" s="10"/>
      <c r="X7" s="10"/>
      <c r="Y7" s="10"/>
    </row>
    <row r="8" spans="1:25">
      <c r="A8" t="s">
        <v>276</v>
      </c>
      <c r="B8" t="s">
        <v>56</v>
      </c>
      <c r="C8" s="10" t="str">
        <f>kt_latest!E9</f>
        <v>Fribourg</v>
      </c>
      <c r="D8" s="50">
        <f>kt_latest!R9</f>
        <v>80</v>
      </c>
      <c r="E8" s="6">
        <v>846</v>
      </c>
      <c r="F8" s="10"/>
      <c r="H8" s="10"/>
      <c r="I8" s="10"/>
      <c r="J8" s="10"/>
      <c r="K8" s="10"/>
      <c r="L8" s="10"/>
      <c r="M8" s="10"/>
      <c r="N8" s="10"/>
      <c r="O8" s="10"/>
      <c r="P8" s="12"/>
      <c r="Q8" s="12"/>
      <c r="R8" s="10"/>
      <c r="S8" s="10"/>
      <c r="T8" s="12"/>
      <c r="U8" s="10"/>
      <c r="V8" s="12"/>
      <c r="W8" s="10"/>
      <c r="X8" s="10"/>
      <c r="Y8" s="10"/>
    </row>
    <row r="9" spans="1:25">
      <c r="A9" t="s">
        <v>276</v>
      </c>
      <c r="B9" t="s">
        <v>58</v>
      </c>
      <c r="C9" s="9" t="str">
        <f>kt_latest!E10</f>
        <v>Genève</v>
      </c>
      <c r="D9" s="49">
        <f>kt_latest!R10</f>
        <v>254</v>
      </c>
      <c r="E9" s="5">
        <v>4310</v>
      </c>
      <c r="F9" s="9"/>
      <c r="H9" s="9"/>
      <c r="I9" s="9"/>
      <c r="J9" s="9"/>
      <c r="K9" s="9"/>
      <c r="L9" s="9"/>
      <c r="M9" s="9"/>
      <c r="N9" s="9"/>
      <c r="O9" s="9"/>
      <c r="P9" s="11"/>
      <c r="Q9" s="11"/>
      <c r="R9" s="9"/>
      <c r="S9" s="9"/>
      <c r="T9" s="11"/>
      <c r="U9" s="9"/>
      <c r="V9" s="11"/>
      <c r="W9" s="9"/>
      <c r="X9" s="9"/>
      <c r="Y9" s="9"/>
    </row>
    <row r="10" spans="1:25">
      <c r="A10" t="s">
        <v>276</v>
      </c>
      <c r="B10" t="s">
        <v>60</v>
      </c>
      <c r="C10" s="10" t="str">
        <f>kt_latest!E11</f>
        <v>Glarus</v>
      </c>
      <c r="D10" s="50">
        <f>kt_latest!R11</f>
        <v>12</v>
      </c>
      <c r="E10" s="6">
        <v>91</v>
      </c>
      <c r="F10" s="10"/>
      <c r="H10" s="10"/>
      <c r="I10" s="10"/>
      <c r="J10" s="10"/>
      <c r="K10" s="10"/>
      <c r="L10" s="10"/>
      <c r="M10" s="10"/>
      <c r="N10" s="10"/>
      <c r="O10" s="10"/>
      <c r="P10" s="12"/>
      <c r="Q10" s="12"/>
      <c r="R10" s="10"/>
      <c r="S10" s="10"/>
      <c r="T10" s="12"/>
      <c r="U10" s="10"/>
      <c r="V10" s="12"/>
      <c r="W10" s="10"/>
      <c r="X10" s="10"/>
      <c r="Y10" s="10"/>
    </row>
    <row r="11" spans="1:25">
      <c r="A11" t="s">
        <v>276</v>
      </c>
      <c r="B11" t="s">
        <v>62</v>
      </c>
      <c r="C11" s="9" t="str">
        <f>kt_latest!E12</f>
        <v>Graubünden/Grigioni</v>
      </c>
      <c r="D11" s="49">
        <f>kt_latest!R12</f>
        <v>45</v>
      </c>
      <c r="E11" s="5">
        <v>715</v>
      </c>
      <c r="F11" s="9"/>
      <c r="H11" s="9"/>
      <c r="I11" s="9"/>
      <c r="J11" s="9"/>
      <c r="K11" s="9"/>
      <c r="L11" s="9"/>
      <c r="M11" s="9"/>
      <c r="N11" s="9"/>
      <c r="O11" s="9"/>
      <c r="P11" s="11"/>
      <c r="Q11" s="11"/>
      <c r="R11" s="9"/>
      <c r="S11" s="9"/>
      <c r="T11" s="11"/>
      <c r="U11" s="9"/>
      <c r="V11" s="11"/>
      <c r="W11" s="9"/>
      <c r="X11" s="9"/>
      <c r="Y11" s="9"/>
    </row>
    <row r="12" spans="1:25">
      <c r="A12" t="s">
        <v>276</v>
      </c>
      <c r="B12" t="s">
        <v>64</v>
      </c>
      <c r="C12" s="10" t="str">
        <f>kt_latest!E13</f>
        <v>Jura</v>
      </c>
      <c r="D12" s="5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276</v>
      </c>
      <c r="B13" t="s">
        <v>66</v>
      </c>
      <c r="C13" s="9" t="str">
        <f>kt_latest!E14</f>
        <v>Luzern</v>
      </c>
      <c r="D13" s="49">
        <f>kt_latest!R14</f>
        <v>18</v>
      </c>
      <c r="E13" s="5">
        <v>568</v>
      </c>
      <c r="F13" s="9"/>
      <c r="H13" s="9"/>
      <c r="I13" s="9"/>
      <c r="J13" s="9"/>
      <c r="K13" s="9"/>
      <c r="L13" s="9"/>
      <c r="M13" s="9"/>
      <c r="N13" s="9"/>
      <c r="O13" s="9"/>
      <c r="P13" s="11"/>
      <c r="Q13" s="11"/>
      <c r="R13" s="9"/>
      <c r="S13" s="9"/>
      <c r="T13" s="11"/>
      <c r="U13" s="9"/>
      <c r="V13" s="11"/>
      <c r="W13" s="9"/>
      <c r="X13" s="9"/>
      <c r="Y13" s="9"/>
    </row>
    <row r="14" spans="1:25">
      <c r="A14" t="s">
        <v>276</v>
      </c>
      <c r="B14" t="s">
        <v>69</v>
      </c>
      <c r="C14" s="10" t="str">
        <f>kt_latest!E15</f>
        <v>Neuchâtel</v>
      </c>
      <c r="D14" s="50">
        <f>kt_latest!R15</f>
        <v>76</v>
      </c>
      <c r="E14" s="6">
        <v>552</v>
      </c>
      <c r="F14" s="10"/>
      <c r="H14" s="10"/>
      <c r="I14" s="10"/>
      <c r="J14" s="10"/>
      <c r="K14" s="10"/>
      <c r="L14" s="10"/>
      <c r="M14" s="10"/>
      <c r="N14" s="10"/>
      <c r="O14" s="10"/>
      <c r="P14" s="12"/>
      <c r="Q14" s="12"/>
      <c r="R14" s="10"/>
      <c r="S14" s="10"/>
      <c r="T14" s="12"/>
      <c r="U14" s="10"/>
      <c r="V14" s="12"/>
      <c r="W14" s="10"/>
      <c r="X14" s="10"/>
      <c r="Y14" s="10"/>
    </row>
    <row r="15" spans="1:25">
      <c r="A15" t="s">
        <v>276</v>
      </c>
      <c r="B15" t="s">
        <v>71</v>
      </c>
      <c r="C15" s="9" t="str">
        <f>kt_latest!E16</f>
        <v>Nidwalden</v>
      </c>
      <c r="D15" s="49">
        <f>kt_latest!R16</f>
        <v>3</v>
      </c>
      <c r="E15" s="5">
        <v>103</v>
      </c>
      <c r="F15" s="9"/>
      <c r="H15" s="9"/>
      <c r="I15" s="9"/>
      <c r="J15" s="9"/>
      <c r="K15" s="9"/>
      <c r="L15" s="9"/>
      <c r="M15" s="9"/>
      <c r="N15" s="9"/>
      <c r="O15" s="9"/>
      <c r="P15" s="11"/>
      <c r="Q15" s="11"/>
      <c r="R15" s="9"/>
      <c r="S15" s="9"/>
      <c r="T15" s="11"/>
      <c r="U15" s="9"/>
      <c r="V15" s="11"/>
      <c r="W15" s="9"/>
      <c r="X15" s="9"/>
      <c r="Y15" s="9"/>
    </row>
    <row r="16" spans="1:25">
      <c r="A16" t="s">
        <v>276</v>
      </c>
      <c r="B16" t="s">
        <v>73</v>
      </c>
      <c r="C16" s="10" t="str">
        <f>kt_latest!E17</f>
        <v>Obwalden</v>
      </c>
      <c r="D16" s="5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276</v>
      </c>
      <c r="B17" t="s">
        <v>76</v>
      </c>
      <c r="C17" s="9" t="str">
        <f>kt_latest!E18</f>
        <v>St. Gallen</v>
      </c>
      <c r="D17" s="49">
        <f>kt_latest!R18</f>
        <v>33</v>
      </c>
      <c r="E17" s="5">
        <v>649</v>
      </c>
      <c r="F17" s="9"/>
      <c r="H17" s="9"/>
      <c r="I17" s="9"/>
      <c r="J17" s="9"/>
      <c r="K17" s="9"/>
      <c r="L17" s="9"/>
      <c r="M17" s="9"/>
      <c r="N17" s="9"/>
      <c r="O17" s="9"/>
      <c r="P17" s="11"/>
      <c r="Q17" s="11"/>
      <c r="R17" s="9"/>
      <c r="S17" s="9"/>
      <c r="T17" s="11"/>
      <c r="U17" s="9"/>
      <c r="V17" s="11"/>
      <c r="W17" s="9"/>
      <c r="X17" s="9"/>
      <c r="Y17" s="9"/>
    </row>
    <row r="18" spans="1:25">
      <c r="A18" t="s">
        <v>276</v>
      </c>
      <c r="B18" t="s">
        <v>79</v>
      </c>
      <c r="C18" s="10" t="str">
        <f>kt_latest!E19</f>
        <v>Schaffhausen</v>
      </c>
      <c r="D18" s="5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276</v>
      </c>
      <c r="B19" t="s">
        <v>81</v>
      </c>
      <c r="C19" s="9" t="str">
        <f>kt_latest!E20</f>
        <v>Solothurn</v>
      </c>
      <c r="D19" s="49">
        <f>kt_latest!R20</f>
        <v>15</v>
      </c>
      <c r="E19" s="5">
        <v>306</v>
      </c>
      <c r="F19" s="9"/>
      <c r="H19" s="9"/>
      <c r="I19" s="9"/>
      <c r="J19" s="9"/>
      <c r="K19" s="9"/>
      <c r="L19" s="9"/>
      <c r="M19" s="9"/>
      <c r="N19" s="9"/>
      <c r="O19" s="9"/>
      <c r="P19" s="11"/>
      <c r="Q19" s="11"/>
      <c r="R19" s="9"/>
      <c r="S19" s="9"/>
      <c r="T19" s="11"/>
      <c r="U19" s="9"/>
      <c r="V19" s="11"/>
      <c r="W19" s="9"/>
      <c r="X19" s="9"/>
      <c r="Y19" s="9"/>
    </row>
    <row r="20" spans="1:25">
      <c r="A20" t="s">
        <v>276</v>
      </c>
      <c r="B20" t="s">
        <v>84</v>
      </c>
      <c r="C20" s="10" t="str">
        <f>kt_latest!E21</f>
        <v>Schwyz</v>
      </c>
      <c r="D20" s="50">
        <f>kt_latest!R21</f>
        <v>23</v>
      </c>
      <c r="E20" s="6">
        <v>251</v>
      </c>
      <c r="F20" s="10"/>
      <c r="H20" s="10"/>
      <c r="I20" s="10"/>
      <c r="J20" s="10"/>
      <c r="K20" s="10"/>
      <c r="L20" s="10"/>
      <c r="M20" s="10"/>
      <c r="N20" s="10"/>
      <c r="O20" s="10"/>
      <c r="P20" s="12"/>
      <c r="Q20" s="12"/>
      <c r="R20" s="10"/>
      <c r="S20" s="10"/>
      <c r="T20" s="12"/>
      <c r="U20" s="10"/>
      <c r="V20" s="12"/>
      <c r="W20" s="10"/>
      <c r="X20" s="10"/>
      <c r="Y20" s="10"/>
    </row>
    <row r="21" spans="1:25">
      <c r="A21" t="s">
        <v>276</v>
      </c>
      <c r="B21" t="s">
        <v>86</v>
      </c>
      <c r="C21" s="9" t="str">
        <f>kt_latest!E22</f>
        <v>Thurgau</v>
      </c>
      <c r="D21" s="49">
        <f>kt_latest!R22</f>
        <v>17</v>
      </c>
      <c r="E21" s="5">
        <v>274</v>
      </c>
      <c r="F21" s="9"/>
      <c r="H21" s="9"/>
      <c r="I21" s="9"/>
      <c r="J21" s="9"/>
      <c r="K21" s="9"/>
      <c r="L21" s="9"/>
      <c r="M21" s="9"/>
      <c r="N21" s="9"/>
      <c r="O21" s="9"/>
      <c r="P21" s="11"/>
      <c r="Q21" s="11"/>
      <c r="R21" s="9"/>
      <c r="S21" s="9"/>
      <c r="T21" s="11"/>
      <c r="U21" s="9"/>
      <c r="V21" s="11"/>
      <c r="W21" s="9"/>
      <c r="X21" s="9"/>
      <c r="Y21" s="9"/>
    </row>
    <row r="22" spans="1:25">
      <c r="A22" t="s">
        <v>276</v>
      </c>
      <c r="B22" t="s">
        <v>89</v>
      </c>
      <c r="C22" s="10" t="str">
        <f>kt_latest!E23</f>
        <v>Ticino</v>
      </c>
      <c r="D22" s="50">
        <f>kt_latest!R23</f>
        <v>331</v>
      </c>
      <c r="E22" s="6">
        <v>2869</v>
      </c>
      <c r="F22" s="10"/>
      <c r="H22" s="10"/>
      <c r="I22" s="10"/>
      <c r="J22" s="10"/>
      <c r="K22" s="10"/>
      <c r="L22" s="10"/>
      <c r="M22" s="10"/>
      <c r="N22" s="10"/>
      <c r="O22" s="10"/>
      <c r="P22" s="12"/>
      <c r="Q22" s="12"/>
      <c r="R22" s="10"/>
      <c r="S22" s="10"/>
      <c r="T22" s="12"/>
      <c r="U22" s="10"/>
      <c r="V22" s="12"/>
      <c r="W22" s="10"/>
      <c r="X22" s="10"/>
      <c r="Y22" s="10"/>
    </row>
    <row r="23" spans="1:25">
      <c r="A23" t="s">
        <v>276</v>
      </c>
      <c r="B23" t="s">
        <v>91</v>
      </c>
      <c r="C23" s="9" t="str">
        <f>kt_latest!E24</f>
        <v>Uri</v>
      </c>
      <c r="D23" s="49">
        <f>kt_latest!R24</f>
        <v>7</v>
      </c>
      <c r="E23" s="5">
        <v>75</v>
      </c>
      <c r="F23" s="9"/>
      <c r="H23" s="9"/>
      <c r="I23" s="9"/>
      <c r="J23" s="9"/>
      <c r="K23" s="9"/>
      <c r="L23" s="9"/>
      <c r="M23" s="9"/>
      <c r="N23" s="9"/>
      <c r="O23" s="9"/>
      <c r="P23" s="11"/>
      <c r="Q23" s="11"/>
      <c r="R23" s="9"/>
      <c r="S23" s="9"/>
      <c r="T23" s="11"/>
      <c r="U23" s="9"/>
      <c r="V23" s="11"/>
      <c r="W23" s="9"/>
      <c r="X23" s="9"/>
      <c r="Y23" s="9"/>
    </row>
    <row r="24" spans="1:25">
      <c r="A24" t="s">
        <v>276</v>
      </c>
      <c r="B24" t="s">
        <v>94</v>
      </c>
      <c r="C24" s="10" t="str">
        <f>kt_latest!E25</f>
        <v>Vaud</v>
      </c>
      <c r="D24" s="50">
        <f>kt_latest!R25</f>
        <v>388</v>
      </c>
      <c r="E24" s="6">
        <v>4524</v>
      </c>
      <c r="F24" s="10"/>
      <c r="H24" s="10"/>
      <c r="I24" s="10"/>
      <c r="J24" s="10"/>
      <c r="K24" s="10"/>
      <c r="L24" s="10"/>
      <c r="M24" s="10"/>
      <c r="N24" s="10"/>
      <c r="O24" s="10"/>
      <c r="P24" s="12"/>
      <c r="Q24" s="12"/>
      <c r="R24" s="10"/>
      <c r="S24" s="10"/>
      <c r="T24" s="12"/>
      <c r="U24" s="10"/>
      <c r="V24" s="12"/>
      <c r="W24" s="10"/>
      <c r="X24" s="10"/>
      <c r="Y24" s="10"/>
    </row>
    <row r="25" spans="1:25">
      <c r="A25" t="s">
        <v>276</v>
      </c>
      <c r="B25" t="s">
        <v>97</v>
      </c>
      <c r="C25" s="9" t="str">
        <f>kt_latest!E26</f>
        <v>Valais/Wallis</v>
      </c>
      <c r="D25" s="49">
        <f>kt_latest!R26</f>
        <v>146</v>
      </c>
      <c r="E25" s="5">
        <v>1592</v>
      </c>
      <c r="F25" s="9"/>
      <c r="H25" s="9"/>
      <c r="I25" s="9"/>
      <c r="J25" s="9"/>
      <c r="K25" s="9"/>
      <c r="L25" s="9"/>
      <c r="M25" s="9"/>
      <c r="N25" s="9"/>
      <c r="O25" s="9"/>
      <c r="P25" s="11"/>
      <c r="Q25" s="11"/>
      <c r="R25" s="9"/>
      <c r="S25" s="9"/>
      <c r="T25" s="11"/>
      <c r="U25" s="9"/>
      <c r="V25" s="11"/>
      <c r="W25" s="9"/>
      <c r="X25" s="9"/>
      <c r="Y25" s="9"/>
    </row>
    <row r="26" spans="1:25">
      <c r="A26" t="s">
        <v>276</v>
      </c>
      <c r="B26" t="s">
        <v>99</v>
      </c>
      <c r="C26" t="e">
        <f>kt_latest!#REF!</f>
        <v>#REF!</v>
      </c>
      <c r="D26" s="47" t="e">
        <f>kt_latest!#REF!</f>
        <v>#REF!</v>
      </c>
      <c r="E26" s="6">
        <v>168</v>
      </c>
      <c r="F26" s="10"/>
      <c r="H26" s="10"/>
      <c r="I26" s="10"/>
      <c r="J26" s="10"/>
      <c r="K26" s="10"/>
      <c r="L26" s="10"/>
      <c r="M26" s="10"/>
      <c r="N26" s="10"/>
      <c r="O26" s="10"/>
      <c r="P26" s="12"/>
      <c r="Q26" s="12"/>
      <c r="R26" s="10"/>
      <c r="S26" s="10"/>
      <c r="T26" s="12"/>
      <c r="U26" s="10"/>
      <c r="V26" s="12"/>
      <c r="W26" s="10"/>
      <c r="X26" s="10"/>
      <c r="Y26" s="10"/>
    </row>
    <row r="27" spans="1:25">
      <c r="A27" t="s">
        <v>276</v>
      </c>
      <c r="B27" t="s">
        <v>101</v>
      </c>
      <c r="C27" t="str">
        <f>kt_latest!E28</f>
        <v>Zürich</v>
      </c>
      <c r="D27" s="47">
        <f>kt_latest!R28</f>
        <v>124</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B22" sqref="B22"/>
    </sheetView>
  </sheetViews>
  <sheetFormatPr baseColWidth="10" defaultRowHeight="14.5"/>
  <cols>
    <col min="1" max="1" width="14.81640625" style="2" customWidth="1"/>
    <col min="2" max="2" width="16.26953125" customWidth="1"/>
    <col min="3" max="3" width="22.26953125" customWidth="1"/>
  </cols>
  <sheetData>
    <row r="1" spans="1:3">
      <c r="A1" s="2" t="s">
        <v>284</v>
      </c>
      <c r="B1" t="s">
        <v>285</v>
      </c>
    </row>
    <row r="2" spans="1:3">
      <c r="B2">
        <f>MAX(ch_latest!G1:'ch_latest'!G222)</f>
        <v>29985</v>
      </c>
      <c r="C2" s="18"/>
    </row>
    <row r="4" spans="1:3">
      <c r="A4" s="2" t="s">
        <v>286</v>
      </c>
      <c r="B4" t="s">
        <v>6</v>
      </c>
      <c r="C4" t="s">
        <v>14</v>
      </c>
    </row>
    <row r="5" spans="1:3">
      <c r="B5">
        <f>INDEX(ch_latest!L2:'ch_latest'!L222,COUNTA(ch_latest!L2:'ch_latest'!L222)+1)</f>
        <v>9</v>
      </c>
      <c r="C5">
        <f>INDEX(ch_latest!Q2:'ch_latest'!Q222,COUNTA(ch_latest!Q2:'ch_latest'!Q222))</f>
        <v>488.45419199999998</v>
      </c>
    </row>
    <row r="6" spans="1:3">
      <c r="B6" s="21"/>
    </row>
    <row r="7" spans="1:3">
      <c r="A7" s="2" t="s">
        <v>289</v>
      </c>
      <c r="B7" t="s">
        <v>288</v>
      </c>
    </row>
    <row r="8" spans="1:3">
      <c r="A8" s="2" t="s">
        <v>290</v>
      </c>
      <c r="B8">
        <f>INDEX(ch_latest!I1:'ch_latest'!I222,COUNTA(ch_latest!I1:'ch_latest'!I222))</f>
        <v>4901</v>
      </c>
    </row>
    <row r="9" spans="1:3">
      <c r="A9" s="2" t="s">
        <v>291</v>
      </c>
      <c r="B9">
        <f>INDEX(ch_latest!I1:'ch_latest'!I222,COUNTA(ch_latest!I1:'ch_latest'!I222)-1)</f>
        <v>4892</v>
      </c>
    </row>
    <row r="10" spans="1:3">
      <c r="A10" s="2" t="s">
        <v>292</v>
      </c>
      <c r="B10">
        <f>B8-B9</f>
        <v>9</v>
      </c>
    </row>
    <row r="11" spans="1:3">
      <c r="B11" s="19"/>
    </row>
    <row r="12" spans="1:3">
      <c r="A12" s="2" t="s">
        <v>301</v>
      </c>
      <c r="B12" s="2">
        <f>INDEX(ch_latest!A1:'ch_latest'!A222,COUNTA(ch_latest!A1:'ch_latest'!A222))</f>
        <v>43958</v>
      </c>
      <c r="C12" s="4">
        <f>INDEX(ch_latest!B1:'ch_latest'!B222,COUNTA(ch_latest!B1:'ch_latest'!B222))</f>
        <v>43958.377581018518</v>
      </c>
    </row>
    <row r="13" spans="1:3">
      <c r="B13" s="20"/>
    </row>
    <row r="14" spans="1:3">
      <c r="A14" s="2" t="s">
        <v>356</v>
      </c>
      <c r="B14" t="s">
        <v>357</v>
      </c>
    </row>
    <row r="15" spans="1:3">
      <c r="A15" s="2" t="s">
        <v>291</v>
      </c>
      <c r="B15">
        <f>INDEX(ch_latest!E1:'ch_latest'!E222,COUNTA(ch_latest!E1:'ch_latest'!E222))</f>
        <v>820</v>
      </c>
    </row>
    <row r="16" spans="1:3">
      <c r="A16" s="2" t="s">
        <v>290</v>
      </c>
      <c r="B16">
        <f>INDEX(ch_latest!E1:'ch_latest'!E222,COUNTA(ch_latest!E1:'ch_latest'!E222)-1)</f>
        <v>823</v>
      </c>
    </row>
    <row r="17" spans="1:2">
      <c r="A17" s="2" t="s">
        <v>292</v>
      </c>
      <c r="B17">
        <f>B15-B16</f>
        <v>-3</v>
      </c>
    </row>
    <row r="19" spans="1:2">
      <c r="A19" s="2" t="s">
        <v>366</v>
      </c>
      <c r="B19" t="s">
        <v>367</v>
      </c>
    </row>
    <row r="20" spans="1:2">
      <c r="A20" s="2" t="s">
        <v>291</v>
      </c>
      <c r="B20">
        <f>INDEX(ch_latest!D5:'ch_latest'!D226,COUNTA(ch_latest!D5:'ch_latest'!D226))</f>
        <v>118</v>
      </c>
    </row>
    <row r="21" spans="1:2">
      <c r="A21" s="2" t="s">
        <v>290</v>
      </c>
      <c r="B21">
        <f>INDEX(ch_latest!D6:'ch_latest'!D227,COUNTA(ch_latest!D6:'ch_latest'!D227)-1)</f>
        <v>120</v>
      </c>
    </row>
    <row r="22" spans="1:2">
      <c r="A22" s="2" t="s">
        <v>292</v>
      </c>
      <c r="B22">
        <f>$B$20-$B$21</f>
        <v>-2</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2020-05-07T10:18:31Z</dcterms:modified>
</cp:coreProperties>
</file>